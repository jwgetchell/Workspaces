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emf" ContentType="image/x-emf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Default Extension="pptx" ContentType="application/vnd.openxmlformats-officedocument.presentationml.presentation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-15" yWindow="5055" windowWidth="19080" windowHeight="5115" activeTab="1"/>
  </bookViews>
  <sheets>
    <sheet name="Summary" sheetId="9" r:id="rId1"/>
    <sheet name="Calculations" sheetId="8" r:id="rId2"/>
    <sheet name="data0" sheetId="10" r:id="rId3"/>
    <sheet name="data1" sheetId="11" r:id="rId4"/>
    <sheet name="data2" sheetId="12" r:id="rId5"/>
    <sheet name="data3" sheetId="13" r:id="rId6"/>
  </sheets>
  <functionGroups/>
  <definedNames>
    <definedName name="dataScale">Calculations!#REF!</definedName>
    <definedName name="params">Summary!$I$31</definedName>
    <definedName name="partNumber">Summary!$L$2</definedName>
    <definedName name="_xlnm.Print_Area" localSheetId="0">Summary!$A$16:$H$74</definedName>
    <definedName name="PswpStart">Summary!$Q$4</definedName>
    <definedName name="PswpStep">Summary!$Q$6</definedName>
    <definedName name="PswpStop">Summary!$Q$5</definedName>
    <definedName name="relativePrx">Calculations!$B$5</definedName>
  </definedNames>
  <calcPr calcId="125725" calcMode="manual"/>
</workbook>
</file>

<file path=xl/calcChain.xml><?xml version="1.0" encoding="utf-8"?>
<calcChain xmlns="http://schemas.openxmlformats.org/spreadsheetml/2006/main">
  <c r="BC13" i="8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3"/>
  <c r="X12"/>
  <c r="X11"/>
  <c r="X10"/>
  <c r="L11" i="9"/>
  <c r="O124" i="8"/>
  <c r="N124"/>
  <c r="M124"/>
  <c r="L124"/>
  <c r="K124"/>
  <c r="J124"/>
  <c r="I124"/>
  <c r="G124"/>
  <c r="E124"/>
  <c r="O123"/>
  <c r="N123"/>
  <c r="M123"/>
  <c r="L123"/>
  <c r="K123"/>
  <c r="J123"/>
  <c r="I123"/>
  <c r="G123"/>
  <c r="E123"/>
  <c r="O122"/>
  <c r="N122"/>
  <c r="M122"/>
  <c r="L122"/>
  <c r="K122"/>
  <c r="J122"/>
  <c r="I122"/>
  <c r="G122"/>
  <c r="E122"/>
  <c r="O121"/>
  <c r="N121"/>
  <c r="M121"/>
  <c r="L121"/>
  <c r="K121"/>
  <c r="J121"/>
  <c r="I121"/>
  <c r="G121"/>
  <c r="E121"/>
  <c r="O120"/>
  <c r="N120"/>
  <c r="M120"/>
  <c r="L120"/>
  <c r="K120"/>
  <c r="J120"/>
  <c r="I120"/>
  <c r="G120"/>
  <c r="E120"/>
  <c r="O119"/>
  <c r="N119"/>
  <c r="M119"/>
  <c r="L119"/>
  <c r="K119"/>
  <c r="J119"/>
  <c r="I119"/>
  <c r="G119"/>
  <c r="E119"/>
  <c r="O118"/>
  <c r="N118"/>
  <c r="M118"/>
  <c r="L118"/>
  <c r="K118"/>
  <c r="J118"/>
  <c r="I118"/>
  <c r="G118"/>
  <c r="E118"/>
  <c r="O117"/>
  <c r="N117"/>
  <c r="M117"/>
  <c r="L117"/>
  <c r="K117"/>
  <c r="J117"/>
  <c r="I117"/>
  <c r="G117"/>
  <c r="E117"/>
  <c r="O116"/>
  <c r="N116"/>
  <c r="M116"/>
  <c r="L116"/>
  <c r="K116"/>
  <c r="J116"/>
  <c r="I116"/>
  <c r="G116"/>
  <c r="E116"/>
  <c r="O115"/>
  <c r="N115"/>
  <c r="M115"/>
  <c r="L115"/>
  <c r="K115"/>
  <c r="J115"/>
  <c r="I115"/>
  <c r="G115"/>
  <c r="E115"/>
  <c r="O114"/>
  <c r="N114"/>
  <c r="M114"/>
  <c r="L114"/>
  <c r="K114"/>
  <c r="J114"/>
  <c r="I114"/>
  <c r="G114"/>
  <c r="E114"/>
  <c r="O113"/>
  <c r="N113"/>
  <c r="M113"/>
  <c r="L113"/>
  <c r="K113"/>
  <c r="J113"/>
  <c r="I113"/>
  <c r="G113"/>
  <c r="E113"/>
  <c r="O112"/>
  <c r="N112"/>
  <c r="M112"/>
  <c r="L112"/>
  <c r="K112"/>
  <c r="J112"/>
  <c r="I112"/>
  <c r="G112"/>
  <c r="E112"/>
  <c r="O111"/>
  <c r="N111"/>
  <c r="M111"/>
  <c r="L111"/>
  <c r="K111"/>
  <c r="J111"/>
  <c r="I111"/>
  <c r="G111"/>
  <c r="E111"/>
  <c r="O110"/>
  <c r="N110"/>
  <c r="M110"/>
  <c r="L110"/>
  <c r="K110"/>
  <c r="J110"/>
  <c r="I110"/>
  <c r="G110"/>
  <c r="E110"/>
  <c r="O109"/>
  <c r="N109"/>
  <c r="M109"/>
  <c r="L109"/>
  <c r="K109"/>
  <c r="J109"/>
  <c r="I109"/>
  <c r="G109"/>
  <c r="E109"/>
  <c r="O108"/>
  <c r="N108"/>
  <c r="M108"/>
  <c r="L108"/>
  <c r="K108"/>
  <c r="J108"/>
  <c r="I108"/>
  <c r="G108"/>
  <c r="E108"/>
  <c r="O107"/>
  <c r="N107"/>
  <c r="M107"/>
  <c r="L107"/>
  <c r="K107"/>
  <c r="J107"/>
  <c r="I107"/>
  <c r="G107"/>
  <c r="E107"/>
  <c r="O106"/>
  <c r="N106"/>
  <c r="M106"/>
  <c r="L106"/>
  <c r="K106"/>
  <c r="J106"/>
  <c r="I106"/>
  <c r="G106"/>
  <c r="E106"/>
  <c r="O105"/>
  <c r="N105"/>
  <c r="M105"/>
  <c r="L105"/>
  <c r="K105"/>
  <c r="J105"/>
  <c r="I105"/>
  <c r="G105"/>
  <c r="E105"/>
  <c r="O104"/>
  <c r="N104"/>
  <c r="M104"/>
  <c r="L104"/>
  <c r="K104"/>
  <c r="J104"/>
  <c r="I104"/>
  <c r="G104"/>
  <c r="E104"/>
  <c r="O103"/>
  <c r="N103"/>
  <c r="M103"/>
  <c r="L103"/>
  <c r="K103"/>
  <c r="J103"/>
  <c r="I103"/>
  <c r="G103"/>
  <c r="E103"/>
  <c r="O102"/>
  <c r="N102"/>
  <c r="M102"/>
  <c r="L102"/>
  <c r="K102"/>
  <c r="J102"/>
  <c r="I102"/>
  <c r="G102"/>
  <c r="E102"/>
  <c r="O101"/>
  <c r="N101"/>
  <c r="M101"/>
  <c r="L101"/>
  <c r="K101"/>
  <c r="J101"/>
  <c r="I101"/>
  <c r="G101"/>
  <c r="E101"/>
  <c r="O100"/>
  <c r="N100"/>
  <c r="M100"/>
  <c r="L100"/>
  <c r="K100"/>
  <c r="J100"/>
  <c r="I100"/>
  <c r="G100"/>
  <c r="E100"/>
  <c r="O99"/>
  <c r="N99"/>
  <c r="M99"/>
  <c r="L99"/>
  <c r="K99"/>
  <c r="J99"/>
  <c r="I99"/>
  <c r="G99"/>
  <c r="E99"/>
  <c r="O98"/>
  <c r="N98"/>
  <c r="M98"/>
  <c r="L98"/>
  <c r="K98"/>
  <c r="J98"/>
  <c r="I98"/>
  <c r="G98"/>
  <c r="E98"/>
  <c r="O97"/>
  <c r="N97"/>
  <c r="M97"/>
  <c r="L97"/>
  <c r="K97"/>
  <c r="J97"/>
  <c r="I97"/>
  <c r="G97"/>
  <c r="E97"/>
  <c r="O96"/>
  <c r="N96"/>
  <c r="M96"/>
  <c r="L96"/>
  <c r="K96"/>
  <c r="J96"/>
  <c r="I96"/>
  <c r="G96"/>
  <c r="E96"/>
  <c r="O95"/>
  <c r="N95"/>
  <c r="M95"/>
  <c r="L95"/>
  <c r="K95"/>
  <c r="J95"/>
  <c r="I95"/>
  <c r="G95"/>
  <c r="E95"/>
  <c r="O94"/>
  <c r="N94"/>
  <c r="M94"/>
  <c r="L94"/>
  <c r="K94"/>
  <c r="J94"/>
  <c r="I94"/>
  <c r="G94"/>
  <c r="E94"/>
  <c r="O93"/>
  <c r="N93"/>
  <c r="M93"/>
  <c r="L93"/>
  <c r="K93"/>
  <c r="J93"/>
  <c r="I93"/>
  <c r="G93"/>
  <c r="E93"/>
  <c r="O92"/>
  <c r="N92"/>
  <c r="M92"/>
  <c r="L92"/>
  <c r="K92"/>
  <c r="J92"/>
  <c r="I92"/>
  <c r="G92"/>
  <c r="E92"/>
  <c r="O91"/>
  <c r="N91"/>
  <c r="M91"/>
  <c r="L91"/>
  <c r="K91"/>
  <c r="J91"/>
  <c r="I91"/>
  <c r="G91"/>
  <c r="E91"/>
  <c r="O90"/>
  <c r="N90"/>
  <c r="M90"/>
  <c r="L90"/>
  <c r="K90"/>
  <c r="J90"/>
  <c r="I90"/>
  <c r="G90"/>
  <c r="E90"/>
  <c r="O89"/>
  <c r="N89"/>
  <c r="M89"/>
  <c r="L89"/>
  <c r="K89"/>
  <c r="J89"/>
  <c r="I89"/>
  <c r="G89"/>
  <c r="E89"/>
  <c r="O88"/>
  <c r="N88"/>
  <c r="M88"/>
  <c r="L88"/>
  <c r="K88"/>
  <c r="J88"/>
  <c r="I88"/>
  <c r="G88"/>
  <c r="E88"/>
  <c r="O87"/>
  <c r="N87"/>
  <c r="M87"/>
  <c r="L87"/>
  <c r="K87"/>
  <c r="J87"/>
  <c r="I87"/>
  <c r="G87"/>
  <c r="E87"/>
  <c r="O86"/>
  <c r="N86"/>
  <c r="M86"/>
  <c r="L86"/>
  <c r="K86"/>
  <c r="J86"/>
  <c r="I86"/>
  <c r="G86"/>
  <c r="E86"/>
  <c r="O85"/>
  <c r="N85"/>
  <c r="M85"/>
  <c r="L85"/>
  <c r="K85"/>
  <c r="J85"/>
  <c r="I85"/>
  <c r="G85"/>
  <c r="E85"/>
  <c r="O84"/>
  <c r="N84"/>
  <c r="M84"/>
  <c r="L84"/>
  <c r="K84"/>
  <c r="J84"/>
  <c r="I84"/>
  <c r="G84"/>
  <c r="E84"/>
  <c r="O83"/>
  <c r="N83"/>
  <c r="M83"/>
  <c r="L83"/>
  <c r="K83"/>
  <c r="J83"/>
  <c r="I83"/>
  <c r="G83"/>
  <c r="E83"/>
  <c r="O82"/>
  <c r="N82"/>
  <c r="M82"/>
  <c r="L82"/>
  <c r="K82"/>
  <c r="J82"/>
  <c r="I82"/>
  <c r="G82"/>
  <c r="E82"/>
  <c r="O81"/>
  <c r="N81"/>
  <c r="M81"/>
  <c r="L81"/>
  <c r="K81"/>
  <c r="J81"/>
  <c r="I81"/>
  <c r="G81"/>
  <c r="E81"/>
  <c r="O80"/>
  <c r="N80"/>
  <c r="M80"/>
  <c r="L80"/>
  <c r="K80"/>
  <c r="J80"/>
  <c r="I80"/>
  <c r="G80"/>
  <c r="E80"/>
  <c r="O79"/>
  <c r="N79"/>
  <c r="M79"/>
  <c r="L79"/>
  <c r="K79"/>
  <c r="J79"/>
  <c r="I79"/>
  <c r="G79"/>
  <c r="E79"/>
  <c r="O78"/>
  <c r="N78"/>
  <c r="M78"/>
  <c r="L78"/>
  <c r="K78"/>
  <c r="J78"/>
  <c r="I78"/>
  <c r="G78"/>
  <c r="E78"/>
  <c r="O77"/>
  <c r="N77"/>
  <c r="M77"/>
  <c r="L77"/>
  <c r="K77"/>
  <c r="J77"/>
  <c r="I77"/>
  <c r="G77"/>
  <c r="E77"/>
  <c r="O76"/>
  <c r="N76"/>
  <c r="M76"/>
  <c r="L76"/>
  <c r="K76"/>
  <c r="J76"/>
  <c r="I76"/>
  <c r="G76"/>
  <c r="E76"/>
  <c r="O75"/>
  <c r="N75"/>
  <c r="M75"/>
  <c r="L75"/>
  <c r="K75"/>
  <c r="J75"/>
  <c r="I75"/>
  <c r="G75"/>
  <c r="E75"/>
  <c r="O74"/>
  <c r="N74"/>
  <c r="M74"/>
  <c r="L74"/>
  <c r="K74"/>
  <c r="J74"/>
  <c r="I74"/>
  <c r="G74"/>
  <c r="E74"/>
  <c r="O73"/>
  <c r="N73"/>
  <c r="M73"/>
  <c r="L73"/>
  <c r="K73"/>
  <c r="J73"/>
  <c r="I73"/>
  <c r="G73"/>
  <c r="E73"/>
  <c r="O72"/>
  <c r="N72"/>
  <c r="M72"/>
  <c r="L72"/>
  <c r="K72"/>
  <c r="J72"/>
  <c r="I72"/>
  <c r="G72"/>
  <c r="E72"/>
  <c r="O71"/>
  <c r="N71"/>
  <c r="M71"/>
  <c r="L71"/>
  <c r="K71"/>
  <c r="J71"/>
  <c r="I71"/>
  <c r="G71"/>
  <c r="E71"/>
  <c r="O70"/>
  <c r="N70"/>
  <c r="M70"/>
  <c r="L70"/>
  <c r="K70"/>
  <c r="J70"/>
  <c r="I70"/>
  <c r="G70"/>
  <c r="E70"/>
  <c r="O69"/>
  <c r="N69"/>
  <c r="M69"/>
  <c r="L69"/>
  <c r="K69"/>
  <c r="J69"/>
  <c r="I69"/>
  <c r="G69"/>
  <c r="E69"/>
  <c r="O68"/>
  <c r="N68"/>
  <c r="M68"/>
  <c r="L68"/>
  <c r="K68"/>
  <c r="J68"/>
  <c r="I68"/>
  <c r="G68"/>
  <c r="E68"/>
  <c r="O67"/>
  <c r="N67"/>
  <c r="M67"/>
  <c r="L67"/>
  <c r="K67"/>
  <c r="J67"/>
  <c r="I67"/>
  <c r="G67"/>
  <c r="E67"/>
  <c r="O66"/>
  <c r="N66"/>
  <c r="M66"/>
  <c r="L66"/>
  <c r="K66"/>
  <c r="J66"/>
  <c r="I66"/>
  <c r="G66"/>
  <c r="E66"/>
  <c r="O65"/>
  <c r="N65"/>
  <c r="M65"/>
  <c r="L65"/>
  <c r="K65"/>
  <c r="J65"/>
  <c r="I65"/>
  <c r="G65"/>
  <c r="E65"/>
  <c r="O64"/>
  <c r="N64"/>
  <c r="M64"/>
  <c r="L64"/>
  <c r="K64"/>
  <c r="J64"/>
  <c r="I64"/>
  <c r="G64"/>
  <c r="E64"/>
  <c r="O63"/>
  <c r="N63"/>
  <c r="M63"/>
  <c r="L63"/>
  <c r="K63"/>
  <c r="J63"/>
  <c r="I63"/>
  <c r="G63"/>
  <c r="E63"/>
  <c r="O62"/>
  <c r="N62"/>
  <c r="M62"/>
  <c r="L62"/>
  <c r="K62"/>
  <c r="J62"/>
  <c r="I62"/>
  <c r="G62"/>
  <c r="E62"/>
  <c r="O61"/>
  <c r="N61"/>
  <c r="M61"/>
  <c r="L61"/>
  <c r="K61"/>
  <c r="J61"/>
  <c r="I61"/>
  <c r="G61"/>
  <c r="E61"/>
  <c r="O60"/>
  <c r="N60"/>
  <c r="M60"/>
  <c r="L60"/>
  <c r="K60"/>
  <c r="J60"/>
  <c r="I60"/>
  <c r="G60"/>
  <c r="E60"/>
  <c r="O59"/>
  <c r="N59"/>
  <c r="M59"/>
  <c r="L59"/>
  <c r="K59"/>
  <c r="J59"/>
  <c r="I59"/>
  <c r="G59"/>
  <c r="E59"/>
  <c r="O58"/>
  <c r="N58"/>
  <c r="M58"/>
  <c r="L58"/>
  <c r="K58"/>
  <c r="J58"/>
  <c r="I58"/>
  <c r="G58"/>
  <c r="E58"/>
  <c r="O57"/>
  <c r="N57"/>
  <c r="M57"/>
  <c r="L57"/>
  <c r="K57"/>
  <c r="J57"/>
  <c r="I57"/>
  <c r="G57"/>
  <c r="E57"/>
  <c r="O56"/>
  <c r="N56"/>
  <c r="M56"/>
  <c r="L56"/>
  <c r="K56"/>
  <c r="J56"/>
  <c r="I56"/>
  <c r="G56"/>
  <c r="E56"/>
  <c r="O55"/>
  <c r="N55"/>
  <c r="M55"/>
  <c r="L55"/>
  <c r="K55"/>
  <c r="J55"/>
  <c r="I55"/>
  <c r="G55"/>
  <c r="E55"/>
  <c r="O54"/>
  <c r="N54"/>
  <c r="M54"/>
  <c r="L54"/>
  <c r="K54"/>
  <c r="J54"/>
  <c r="I54"/>
  <c r="G54"/>
  <c r="E54"/>
  <c r="O53"/>
  <c r="N53"/>
  <c r="M53"/>
  <c r="L53"/>
  <c r="K53"/>
  <c r="J53"/>
  <c r="I53"/>
  <c r="G53"/>
  <c r="E53"/>
  <c r="O52"/>
  <c r="N52"/>
  <c r="M52"/>
  <c r="L52"/>
  <c r="K52"/>
  <c r="J52"/>
  <c r="I52"/>
  <c r="G52"/>
  <c r="E52"/>
  <c r="O51"/>
  <c r="N51"/>
  <c r="M51"/>
  <c r="L51"/>
  <c r="K51"/>
  <c r="J51"/>
  <c r="I51"/>
  <c r="G51"/>
  <c r="E51"/>
  <c r="O50"/>
  <c r="N50"/>
  <c r="M50"/>
  <c r="L50"/>
  <c r="K50"/>
  <c r="J50"/>
  <c r="I50"/>
  <c r="G50"/>
  <c r="E50"/>
  <c r="O49"/>
  <c r="N49"/>
  <c r="M49"/>
  <c r="L49"/>
  <c r="K49"/>
  <c r="J49"/>
  <c r="I49"/>
  <c r="G49"/>
  <c r="E49"/>
  <c r="O48"/>
  <c r="N48"/>
  <c r="M48"/>
  <c r="L48"/>
  <c r="K48"/>
  <c r="J48"/>
  <c r="I48"/>
  <c r="G48"/>
  <c r="E48"/>
  <c r="O47"/>
  <c r="N47"/>
  <c r="M47"/>
  <c r="L47"/>
  <c r="K47"/>
  <c r="J47"/>
  <c r="I47"/>
  <c r="G47"/>
  <c r="E47"/>
  <c r="O46"/>
  <c r="N46"/>
  <c r="M46"/>
  <c r="L46"/>
  <c r="K46"/>
  <c r="J46"/>
  <c r="I46"/>
  <c r="G46"/>
  <c r="E46"/>
  <c r="O45"/>
  <c r="N45"/>
  <c r="M45"/>
  <c r="L45"/>
  <c r="K45"/>
  <c r="J45"/>
  <c r="I45"/>
  <c r="G45"/>
  <c r="E45"/>
  <c r="O44"/>
  <c r="N44"/>
  <c r="M44"/>
  <c r="L44"/>
  <c r="K44"/>
  <c r="J44"/>
  <c r="I44"/>
  <c r="G44"/>
  <c r="E44"/>
  <c r="N42"/>
  <c r="L42"/>
  <c r="J42"/>
  <c r="D42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BC2"/>
  <c r="BB2"/>
  <c r="BA2"/>
  <c r="AZ2"/>
  <c r="AY2"/>
  <c r="AX2"/>
  <c r="AW2"/>
  <c r="AV2"/>
  <c r="AU2"/>
  <c r="AT2"/>
  <c r="AS2"/>
  <c r="AR2"/>
  <c r="AQ2"/>
  <c r="AP2"/>
  <c r="AO2"/>
  <c r="AN2"/>
  <c r="AM2"/>
  <c r="AL2"/>
  <c r="AK2"/>
  <c r="AJ2"/>
  <c r="AI2"/>
  <c r="AH2"/>
  <c r="AG2"/>
  <c r="AF2"/>
  <c r="AE2"/>
  <c r="AD2"/>
  <c r="AC2"/>
  <c r="AB2"/>
  <c r="AA2"/>
  <c r="Z2"/>
  <c r="Y2"/>
  <c r="X2"/>
  <c r="B2"/>
  <c r="B67" i="9"/>
  <c r="B68" s="1"/>
  <c r="AI89" i="8" s="1"/>
  <c r="B85" i="9"/>
  <c r="I65"/>
  <c r="AI72" i="8" s="1"/>
  <c r="I64" i="9"/>
  <c r="B65"/>
  <c r="Z72" i="8" s="1"/>
  <c r="B64" i="9"/>
  <c r="B34"/>
  <c r="Z42" i="8" s="1"/>
  <c r="I34" i="9"/>
  <c r="AI42" i="8" s="1"/>
  <c r="I33" i="9"/>
  <c r="I31"/>
  <c r="A1"/>
  <c r="B86"/>
  <c r="Z89" i="8" s="1"/>
  <c r="V43"/>
  <c r="U43"/>
  <c r="T43"/>
  <c r="Q5" i="9"/>
  <c r="Q6" s="1"/>
  <c r="B4" i="8" s="1"/>
  <c r="O6" i="9"/>
  <c r="O5"/>
  <c r="G27"/>
  <c r="G31" s="1"/>
  <c r="A28"/>
  <c r="A29" s="1"/>
  <c r="A30" s="1"/>
  <c r="G23"/>
  <c r="A24"/>
  <c r="A25" s="1"/>
  <c r="A26" s="1"/>
  <c r="G5"/>
  <c r="G6" s="1"/>
  <c r="G7" s="1"/>
  <c r="G8" s="1"/>
  <c r="G9" s="1"/>
  <c r="G10" s="1"/>
  <c r="G11" s="1"/>
  <c r="G12" s="1"/>
  <c r="G13" s="1"/>
  <c r="G14" s="1"/>
  <c r="G15" s="1"/>
  <c r="G16" s="1"/>
  <c r="G17" s="1"/>
  <c r="G18" s="1"/>
  <c r="G4"/>
  <c r="B3"/>
  <c r="A5"/>
  <c r="A6" s="1"/>
  <c r="A4"/>
  <c r="B3" i="8"/>
  <c r="F23"/>
  <c r="G19"/>
  <c r="G20" s="1"/>
  <c r="G21" s="1"/>
  <c r="F19"/>
  <c r="F20" s="1"/>
  <c r="F21" s="1"/>
  <c r="K17"/>
  <c r="M17" s="1"/>
  <c r="O17" s="1"/>
  <c r="Q17" s="1"/>
  <c r="J17"/>
  <c r="L17" s="1"/>
  <c r="N17" s="1"/>
  <c r="P17" s="1"/>
  <c r="AS5" i="10" l="1"/>
  <c r="AS4"/>
  <c r="AP4"/>
  <c r="G10" i="8"/>
  <c r="F10"/>
  <c r="AG89" i="13"/>
  <c r="AG90" s="1"/>
  <c r="AF89"/>
  <c r="AF90" s="1"/>
  <c r="AE89"/>
  <c r="AE90" s="1"/>
  <c r="AD89"/>
  <c r="AD90" s="1"/>
  <c r="AC89"/>
  <c r="AC90" s="1"/>
  <c r="AB89"/>
  <c r="AB90" s="1"/>
  <c r="AA89"/>
  <c r="AA90" s="1"/>
  <c r="Z89"/>
  <c r="Z90" s="1"/>
  <c r="Y89"/>
  <c r="Y90" s="1"/>
  <c r="X89"/>
  <c r="X90" s="1"/>
  <c r="W89"/>
  <c r="W90" s="1"/>
  <c r="V89"/>
  <c r="V90" s="1"/>
  <c r="U89"/>
  <c r="U90" s="1"/>
  <c r="T89"/>
  <c r="T90" s="1"/>
  <c r="S89"/>
  <c r="S90" s="1"/>
  <c r="R89"/>
  <c r="R90" s="1"/>
  <c r="Q89"/>
  <c r="Q90" s="1"/>
  <c r="P89"/>
  <c r="P90" s="1"/>
  <c r="O89"/>
  <c r="O90" s="1"/>
  <c r="N89"/>
  <c r="N90" s="1"/>
  <c r="M89"/>
  <c r="M90" s="1"/>
  <c r="L89"/>
  <c r="L90" s="1"/>
  <c r="K89"/>
  <c r="K90" s="1"/>
  <c r="J89"/>
  <c r="J90" s="1"/>
  <c r="I89"/>
  <c r="I90" s="1"/>
  <c r="H89"/>
  <c r="H90" s="1"/>
  <c r="G89"/>
  <c r="G90" s="1"/>
  <c r="F89"/>
  <c r="F90" s="1"/>
  <c r="E89"/>
  <c r="E90" s="1"/>
  <c r="D89"/>
  <c r="D90" s="1"/>
  <c r="C89"/>
  <c r="C90" s="1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AG89" i="12"/>
  <c r="AG90" s="1"/>
  <c r="AF89"/>
  <c r="AF90" s="1"/>
  <c r="AE89"/>
  <c r="AE90" s="1"/>
  <c r="AD89"/>
  <c r="AD90" s="1"/>
  <c r="AC89"/>
  <c r="AC90" s="1"/>
  <c r="AB89"/>
  <c r="AB90" s="1"/>
  <c r="AA89"/>
  <c r="AA90" s="1"/>
  <c r="Z89"/>
  <c r="Z90" s="1"/>
  <c r="Y89"/>
  <c r="Y90" s="1"/>
  <c r="X89"/>
  <c r="X90" s="1"/>
  <c r="W89"/>
  <c r="W90" s="1"/>
  <c r="V89"/>
  <c r="V90" s="1"/>
  <c r="U89"/>
  <c r="U90" s="1"/>
  <c r="T89"/>
  <c r="T90" s="1"/>
  <c r="S89"/>
  <c r="S90" s="1"/>
  <c r="R89"/>
  <c r="R90" s="1"/>
  <c r="Q89"/>
  <c r="Q90" s="1"/>
  <c r="P89"/>
  <c r="P90" s="1"/>
  <c r="O89"/>
  <c r="O90" s="1"/>
  <c r="N89"/>
  <c r="N90" s="1"/>
  <c r="M89"/>
  <c r="M90" s="1"/>
  <c r="L89"/>
  <c r="L90" s="1"/>
  <c r="K89"/>
  <c r="K90" s="1"/>
  <c r="J89"/>
  <c r="J90" s="1"/>
  <c r="I89"/>
  <c r="I90" s="1"/>
  <c r="H89"/>
  <c r="H90" s="1"/>
  <c r="G89"/>
  <c r="G90" s="1"/>
  <c r="F89"/>
  <c r="F90" s="1"/>
  <c r="E89"/>
  <c r="E90" s="1"/>
  <c r="D89"/>
  <c r="D90" s="1"/>
  <c r="C89"/>
  <c r="C90" s="1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AG89" i="11"/>
  <c r="AG90" s="1"/>
  <c r="AF89"/>
  <c r="AF90" s="1"/>
  <c r="AE89"/>
  <c r="AE90" s="1"/>
  <c r="AD89"/>
  <c r="AD90" s="1"/>
  <c r="AC89"/>
  <c r="AC90" s="1"/>
  <c r="AB89"/>
  <c r="AB90" s="1"/>
  <c r="AA89"/>
  <c r="AA90" s="1"/>
  <c r="Z89"/>
  <c r="Z90" s="1"/>
  <c r="Y89"/>
  <c r="Y90" s="1"/>
  <c r="X89"/>
  <c r="X90" s="1"/>
  <c r="W89"/>
  <c r="W90" s="1"/>
  <c r="V89"/>
  <c r="V90" s="1"/>
  <c r="U89"/>
  <c r="U90" s="1"/>
  <c r="T89"/>
  <c r="T90" s="1"/>
  <c r="S89"/>
  <c r="S90" s="1"/>
  <c r="R89"/>
  <c r="R90" s="1"/>
  <c r="Q89"/>
  <c r="Q90" s="1"/>
  <c r="P89"/>
  <c r="P90" s="1"/>
  <c r="O89"/>
  <c r="O90" s="1"/>
  <c r="N89"/>
  <c r="N90" s="1"/>
  <c r="M89"/>
  <c r="M90" s="1"/>
  <c r="L89"/>
  <c r="L90" s="1"/>
  <c r="K89"/>
  <c r="K90" s="1"/>
  <c r="J89"/>
  <c r="J90" s="1"/>
  <c r="I89"/>
  <c r="I90" s="1"/>
  <c r="H89"/>
  <c r="H90" s="1"/>
  <c r="G89"/>
  <c r="G90" s="1"/>
  <c r="F89"/>
  <c r="F90" s="1"/>
  <c r="E89"/>
  <c r="E90" s="1"/>
  <c r="D89"/>
  <c r="D90" s="1"/>
  <c r="C89"/>
  <c r="C90" s="1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AG89" i="10"/>
  <c r="AG90" s="1"/>
  <c r="AF89"/>
  <c r="AF90" s="1"/>
  <c r="AE89"/>
  <c r="AE90" s="1"/>
  <c r="AD89"/>
  <c r="AD90" s="1"/>
  <c r="AC89"/>
  <c r="AC90" s="1"/>
  <c r="AB89"/>
  <c r="AB90" s="1"/>
  <c r="AA89"/>
  <c r="AA90" s="1"/>
  <c r="Z89"/>
  <c r="Z90" s="1"/>
  <c r="Y89"/>
  <c r="Y90" s="1"/>
  <c r="X89"/>
  <c r="X90" s="1"/>
  <c r="W89"/>
  <c r="W90" s="1"/>
  <c r="V89"/>
  <c r="V90" s="1"/>
  <c r="U89"/>
  <c r="U90" s="1"/>
  <c r="T89"/>
  <c r="T90" s="1"/>
  <c r="S89"/>
  <c r="S90" s="1"/>
  <c r="R89"/>
  <c r="R90" s="1"/>
  <c r="Q89"/>
  <c r="Q90" s="1"/>
  <c r="P89"/>
  <c r="P90" s="1"/>
  <c r="O89"/>
  <c r="O90" s="1"/>
  <c r="N89"/>
  <c r="N90" s="1"/>
  <c r="M89"/>
  <c r="M90" s="1"/>
  <c r="L89"/>
  <c r="L90" s="1"/>
  <c r="K89"/>
  <c r="K90" s="1"/>
  <c r="J89"/>
  <c r="J90" s="1"/>
  <c r="I89"/>
  <c r="I90" s="1"/>
  <c r="H89"/>
  <c r="H90" s="1"/>
  <c r="G89"/>
  <c r="G90" s="1"/>
  <c r="F89"/>
  <c r="F90" s="1"/>
  <c r="E89"/>
  <c r="E90" s="1"/>
  <c r="D89"/>
  <c r="D90" s="1"/>
  <c r="C89"/>
  <c r="C90" s="1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9" i="13"/>
  <c r="B90" s="1"/>
  <c r="B88"/>
  <c r="B89" i="12"/>
  <c r="B90" s="1"/>
  <c r="B88"/>
  <c r="B89" i="11"/>
  <c r="B90" s="1"/>
  <c r="B88"/>
  <c r="B89" i="10"/>
  <c r="B90" s="1"/>
  <c r="B88"/>
  <c r="G21" i="9"/>
  <c r="G20"/>
  <c r="G24" s="1"/>
  <c r="G28" s="1"/>
  <c r="AA9" i="8" l="1"/>
  <c r="AE9"/>
  <c r="AI9"/>
  <c r="AM9"/>
  <c r="AQ9"/>
  <c r="AU9"/>
  <c r="AY9"/>
  <c r="BC9"/>
  <c r="Z9"/>
  <c r="AD9"/>
  <c r="AH9"/>
  <c r="AL9"/>
  <c r="AP9"/>
  <c r="AT9"/>
  <c r="AX9"/>
  <c r="BB9"/>
  <c r="Y9"/>
  <c r="AC9"/>
  <c r="AG9"/>
  <c r="AK9"/>
  <c r="AO9"/>
  <c r="AS9"/>
  <c r="AW9"/>
  <c r="BA9"/>
  <c r="X9"/>
  <c r="AB9"/>
  <c r="AF9"/>
  <c r="AJ9"/>
  <c r="M9" s="1"/>
  <c r="AN9"/>
  <c r="AR9"/>
  <c r="AV9"/>
  <c r="AZ9"/>
  <c r="G22" i="9"/>
  <c r="G26" s="1"/>
  <c r="G30" s="1"/>
  <c r="G25"/>
  <c r="G29" s="1"/>
  <c r="J9" i="8"/>
  <c r="N9"/>
  <c r="K43"/>
  <c r="M43" s="1"/>
  <c r="O43" s="1"/>
  <c r="J43"/>
  <c r="L43" s="1"/>
  <c r="N43" s="1"/>
  <c r="AJ82" i="10"/>
  <c r="AH82"/>
  <c r="AJ81"/>
  <c r="AH81"/>
  <c r="AJ80"/>
  <c r="AH80"/>
  <c r="AJ79"/>
  <c r="AH79"/>
  <c r="AJ78"/>
  <c r="AH78"/>
  <c r="AJ77"/>
  <c r="AH77"/>
  <c r="AJ76"/>
  <c r="AH76"/>
  <c r="AJ75"/>
  <c r="AH75"/>
  <c r="AJ74"/>
  <c r="AH74"/>
  <c r="AJ73"/>
  <c r="AH73"/>
  <c r="AJ72"/>
  <c r="AH72"/>
  <c r="AJ71"/>
  <c r="AH71"/>
  <c r="AJ70"/>
  <c r="AH70"/>
  <c r="AJ69"/>
  <c r="AH69"/>
  <c r="AJ68"/>
  <c r="AH68"/>
  <c r="AJ67"/>
  <c r="AH67"/>
  <c r="AJ66"/>
  <c r="AH66"/>
  <c r="AJ65"/>
  <c r="AH65"/>
  <c r="AJ64"/>
  <c r="AH64"/>
  <c r="AJ63"/>
  <c r="AH63"/>
  <c r="AJ62"/>
  <c r="AH62"/>
  <c r="AJ61"/>
  <c r="AH61"/>
  <c r="AJ60"/>
  <c r="AH60"/>
  <c r="AJ59"/>
  <c r="AH59"/>
  <c r="AJ58"/>
  <c r="AH58"/>
  <c r="AJ57"/>
  <c r="AH57"/>
  <c r="AJ56"/>
  <c r="AH56"/>
  <c r="AJ55"/>
  <c r="AH55"/>
  <c r="AJ54"/>
  <c r="AH54"/>
  <c r="AJ53"/>
  <c r="AH53"/>
  <c r="AJ52"/>
  <c r="AH52"/>
  <c r="AJ51"/>
  <c r="AH51"/>
  <c r="AJ50"/>
  <c r="AH50"/>
  <c r="AJ49"/>
  <c r="AH49"/>
  <c r="AJ48"/>
  <c r="AH48"/>
  <c r="AJ47"/>
  <c r="AH47"/>
  <c r="AJ46"/>
  <c r="AH46"/>
  <c r="AJ45"/>
  <c r="AH45"/>
  <c r="AJ44"/>
  <c r="AH44"/>
  <c r="AJ43"/>
  <c r="AH43"/>
  <c r="AJ42"/>
  <c r="AH42"/>
  <c r="AJ41"/>
  <c r="AH41"/>
  <c r="AJ40"/>
  <c r="AH40"/>
  <c r="AJ39"/>
  <c r="AH39"/>
  <c r="AJ38"/>
  <c r="AH38"/>
  <c r="AJ37"/>
  <c r="AH37"/>
  <c r="AJ36"/>
  <c r="AH36"/>
  <c r="AJ35"/>
  <c r="AH35"/>
  <c r="AJ34"/>
  <c r="AH34"/>
  <c r="AJ33"/>
  <c r="AH33"/>
  <c r="AJ32"/>
  <c r="AH32"/>
  <c r="AJ31"/>
  <c r="AH31"/>
  <c r="AJ30"/>
  <c r="AH30"/>
  <c r="AJ29"/>
  <c r="AH29"/>
  <c r="AJ28"/>
  <c r="AH28"/>
  <c r="AJ27"/>
  <c r="AH27"/>
  <c r="AJ26"/>
  <c r="AH26"/>
  <c r="AJ25"/>
  <c r="AH25"/>
  <c r="AJ24"/>
  <c r="AH24"/>
  <c r="AJ23"/>
  <c r="AH23"/>
  <c r="AJ22"/>
  <c r="AH22"/>
  <c r="AJ21"/>
  <c r="AH21"/>
  <c r="AJ20"/>
  <c r="AH20"/>
  <c r="AJ19"/>
  <c r="AH19"/>
  <c r="AJ18"/>
  <c r="AH18"/>
  <c r="AJ17"/>
  <c r="AH17"/>
  <c r="AJ16"/>
  <c r="AH16"/>
  <c r="AJ15"/>
  <c r="AH15"/>
  <c r="AJ14"/>
  <c r="AH14"/>
  <c r="AJ13"/>
  <c r="AH13"/>
  <c r="AJ12"/>
  <c r="AH12"/>
  <c r="AJ11"/>
  <c r="AH11"/>
  <c r="AJ10"/>
  <c r="AH10"/>
  <c r="AJ9"/>
  <c r="AH9"/>
  <c r="AJ8"/>
  <c r="AH8"/>
  <c r="AJ7"/>
  <c r="AH7"/>
  <c r="AJ6"/>
  <c r="AH6"/>
  <c r="AJ5"/>
  <c r="AH5"/>
  <c r="AJ4"/>
  <c r="AH4"/>
  <c r="AJ3"/>
  <c r="AH3"/>
  <c r="AJ2"/>
  <c r="AH2"/>
  <c r="A2" i="13"/>
  <c r="A3" s="1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C1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2" i="12"/>
  <c r="A3" s="1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C1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P2" i="8"/>
  <c r="N2"/>
  <c r="L2"/>
  <c r="K35"/>
  <c r="M35" s="1"/>
  <c r="O35" s="1"/>
  <c r="Q35" s="1"/>
  <c r="J35"/>
  <c r="L35" s="1"/>
  <c r="N35" s="1"/>
  <c r="P35" s="1"/>
  <c r="K29"/>
  <c r="M29" s="1"/>
  <c r="O29" s="1"/>
  <c r="Q29" s="1"/>
  <c r="J29"/>
  <c r="L29" s="1"/>
  <c r="N29" s="1"/>
  <c r="P29" s="1"/>
  <c r="K23"/>
  <c r="M23" s="1"/>
  <c r="O23" s="1"/>
  <c r="Q23" s="1"/>
  <c r="J23"/>
  <c r="L23" s="1"/>
  <c r="N23" s="1"/>
  <c r="P23" s="1"/>
  <c r="K3"/>
  <c r="M3" s="1"/>
  <c r="O3" s="1"/>
  <c r="Q3" s="1"/>
  <c r="J3"/>
  <c r="L3" s="1"/>
  <c r="N3" s="1"/>
  <c r="P3" s="1"/>
  <c r="J2"/>
  <c r="B7" i="9"/>
  <c r="AU32" i="8"/>
  <c r="AX32"/>
  <c r="AO32"/>
  <c r="AT32"/>
  <c r="AL32"/>
  <c r="AY20"/>
  <c r="AQ20"/>
  <c r="AI20"/>
  <c r="AX20"/>
  <c r="AP20"/>
  <c r="BC26"/>
  <c r="AY26"/>
  <c r="AU26"/>
  <c r="AQ26"/>
  <c r="AM26"/>
  <c r="AI26"/>
  <c r="AZ26"/>
  <c r="AV26"/>
  <c r="AR26"/>
  <c r="AN26"/>
  <c r="AJ26"/>
  <c r="AU33"/>
  <c r="BA33"/>
  <c r="AK33"/>
  <c r="AX33"/>
  <c r="AP33"/>
  <c r="BC21"/>
  <c r="AU21"/>
  <c r="AM21"/>
  <c r="BB21"/>
  <c r="AT21"/>
  <c r="AL21"/>
  <c r="BA27"/>
  <c r="AW27"/>
  <c r="AS27"/>
  <c r="AO27"/>
  <c r="AK27"/>
  <c r="BB27"/>
  <c r="AX27"/>
  <c r="AT27"/>
  <c r="AP27"/>
  <c r="AL27"/>
  <c r="BA39"/>
  <c r="AS39"/>
  <c r="AK39"/>
  <c r="AV39"/>
  <c r="AN39"/>
  <c r="AY32"/>
  <c r="AI32"/>
  <c r="AS32"/>
  <c r="BB32"/>
  <c r="AJ32"/>
  <c r="AO20"/>
  <c r="AR20"/>
  <c r="BA38"/>
  <c r="AS38"/>
  <c r="AK38"/>
  <c r="AX38"/>
  <c r="AP38"/>
  <c r="AY33"/>
  <c r="AO33"/>
  <c r="AN33"/>
  <c r="AS21"/>
  <c r="AV21"/>
  <c r="BC39"/>
  <c r="AM39"/>
  <c r="AT39"/>
  <c r="BC32"/>
  <c r="AM32"/>
  <c r="AW32"/>
  <c r="AZ32"/>
  <c r="AP32"/>
  <c r="BC20"/>
  <c r="AU20"/>
  <c r="AM20"/>
  <c r="BB20"/>
  <c r="AT20"/>
  <c r="AL20"/>
  <c r="BA26"/>
  <c r="AW26"/>
  <c r="AS26"/>
  <c r="AO26"/>
  <c r="AK26"/>
  <c r="BB26"/>
  <c r="AX26"/>
  <c r="AT26"/>
  <c r="AP26"/>
  <c r="AL26"/>
  <c r="BC33"/>
  <c r="AM33"/>
  <c r="AS33"/>
  <c r="BB33"/>
  <c r="AT33"/>
  <c r="AL33"/>
  <c r="AY21"/>
  <c r="AQ21"/>
  <c r="AI21"/>
  <c r="AX21"/>
  <c r="AP21"/>
  <c r="BC27"/>
  <c r="AY27"/>
  <c r="AU27"/>
  <c r="AQ27"/>
  <c r="AM27"/>
  <c r="AI27"/>
  <c r="AZ27"/>
  <c r="AV27"/>
  <c r="AR27"/>
  <c r="AN27"/>
  <c r="AJ27"/>
  <c r="AW39"/>
  <c r="AO39"/>
  <c r="AZ39"/>
  <c r="AR39"/>
  <c r="AJ39"/>
  <c r="AQ32"/>
  <c r="BA32"/>
  <c r="AK32"/>
  <c r="AV32"/>
  <c r="AN32"/>
  <c r="BA20"/>
  <c r="AS20"/>
  <c r="AK20"/>
  <c r="AV20"/>
  <c r="AN20"/>
  <c r="BC38"/>
  <c r="AY38"/>
  <c r="AU38"/>
  <c r="AQ38"/>
  <c r="AM38"/>
  <c r="AI38"/>
  <c r="AZ38"/>
  <c r="AV38"/>
  <c r="AR38"/>
  <c r="AN38"/>
  <c r="AJ38"/>
  <c r="AQ33"/>
  <c r="AW33"/>
  <c r="AZ33"/>
  <c r="AR33"/>
  <c r="AJ33"/>
  <c r="AW21"/>
  <c r="AO21"/>
  <c r="AZ21"/>
  <c r="AR21"/>
  <c r="AJ21"/>
  <c r="AY39"/>
  <c r="AQ39"/>
  <c r="AI39"/>
  <c r="AX39"/>
  <c r="AP39"/>
  <c r="AR32"/>
  <c r="AW20"/>
  <c r="AZ20"/>
  <c r="AJ20"/>
  <c r="AW38"/>
  <c r="AO38"/>
  <c r="BB38"/>
  <c r="AT38"/>
  <c r="AL38"/>
  <c r="AI33"/>
  <c r="AV33"/>
  <c r="BA21"/>
  <c r="AK21"/>
  <c r="AN21"/>
  <c r="AU39"/>
  <c r="BB39"/>
  <c r="AL39"/>
  <c r="AH33"/>
  <c r="AH21"/>
  <c r="AH27"/>
  <c r="AH39"/>
  <c r="AH38"/>
  <c r="AH32"/>
  <c r="AH20"/>
  <c r="AH26"/>
  <c r="AG39"/>
  <c r="AG33"/>
  <c r="AG27"/>
  <c r="AG21"/>
  <c r="AG26"/>
  <c r="AG20"/>
  <c r="AG32"/>
  <c r="AG38"/>
  <c r="AF21"/>
  <c r="AF39"/>
  <c r="AF27"/>
  <c r="AF33"/>
  <c r="AF26"/>
  <c r="AF32"/>
  <c r="AF20"/>
  <c r="AF38"/>
  <c r="AE33"/>
  <c r="AE21"/>
  <c r="AE39"/>
  <c r="AE27"/>
  <c r="AE32"/>
  <c r="AE20"/>
  <c r="AE38"/>
  <c r="AE26"/>
  <c r="AD33"/>
  <c r="AD21"/>
  <c r="AD27"/>
  <c r="AD39"/>
  <c r="AD38"/>
  <c r="AD32"/>
  <c r="AD20"/>
  <c r="AD26"/>
  <c r="AC27"/>
  <c r="AC21"/>
  <c r="AC33"/>
  <c r="AC39"/>
  <c r="AC20"/>
  <c r="AC38"/>
  <c r="AC26"/>
  <c r="AC32"/>
  <c r="AB39"/>
  <c r="AB33"/>
  <c r="AB27"/>
  <c r="AB21"/>
  <c r="AB26"/>
  <c r="AB32"/>
  <c r="AB20"/>
  <c r="AB38"/>
  <c r="AA21"/>
  <c r="AA27"/>
  <c r="AA39"/>
  <c r="AA33"/>
  <c r="AA32"/>
  <c r="AA20"/>
  <c r="AA26"/>
  <c r="AA38"/>
  <c r="Z33"/>
  <c r="Z21"/>
  <c r="Z27"/>
  <c r="Z39"/>
  <c r="Z38"/>
  <c r="Z32"/>
  <c r="Z20"/>
  <c r="Z26"/>
  <c r="Y33"/>
  <c r="Y27"/>
  <c r="Y39"/>
  <c r="Y21"/>
  <c r="Y20"/>
  <c r="Y26"/>
  <c r="Y32"/>
  <c r="Y38"/>
  <c r="X27"/>
  <c r="X21"/>
  <c r="X39"/>
  <c r="X33"/>
  <c r="X26"/>
  <c r="X32"/>
  <c r="X20"/>
  <c r="X38"/>
  <c r="I9" l="1"/>
  <c r="I11"/>
  <c r="L9"/>
  <c r="N13"/>
  <c r="O11"/>
  <c r="K10"/>
  <c r="O9"/>
  <c r="K9"/>
  <c r="Q9"/>
  <c r="Q13"/>
  <c r="P11"/>
  <c r="H9"/>
  <c r="E31" i="9" s="1"/>
  <c r="L11" i="8"/>
  <c r="Q10"/>
  <c r="P12"/>
  <c r="L10"/>
  <c r="P9"/>
  <c r="H13"/>
  <c r="E26" i="9" s="1"/>
  <c r="Q11" i="8"/>
  <c r="O13"/>
  <c r="M13"/>
  <c r="K13"/>
  <c r="O12"/>
  <c r="O10"/>
  <c r="H11"/>
  <c r="E24" i="9" s="1"/>
  <c r="M12" i="8"/>
  <c r="I12"/>
  <c r="K12"/>
  <c r="N12"/>
  <c r="M10"/>
  <c r="H12"/>
  <c r="E25" i="9" s="1"/>
  <c r="H10" i="8"/>
  <c r="L12"/>
  <c r="J13"/>
  <c r="N10"/>
  <c r="P13"/>
  <c r="L13"/>
  <c r="N11"/>
  <c r="J12"/>
  <c r="AK1" i="10"/>
  <c r="E7" i="8"/>
  <c r="E21" s="1"/>
  <c r="C6" i="9" s="1"/>
  <c r="R43" i="8"/>
  <c r="J72" i="9" s="1"/>
  <c r="K6" i="8"/>
  <c r="M6"/>
  <c r="L6"/>
  <c r="O6"/>
  <c r="N6"/>
  <c r="Q6"/>
  <c r="P6"/>
  <c r="J7"/>
  <c r="L7"/>
  <c r="M7"/>
  <c r="N7"/>
  <c r="O7"/>
  <c r="P7"/>
  <c r="Q7"/>
  <c r="Q43"/>
  <c r="J71" i="9" s="1"/>
  <c r="E6" i="8"/>
  <c r="E20" s="1"/>
  <c r="C5" i="9" s="1"/>
  <c r="F31" l="1"/>
  <c r="J11" i="8"/>
  <c r="I10"/>
  <c r="J10"/>
  <c r="P10"/>
  <c r="K11"/>
  <c r="M11"/>
  <c r="I13"/>
  <c r="D31" i="9"/>
  <c r="D26"/>
  <c r="F26" s="1"/>
  <c r="Q12" i="8"/>
  <c r="D24" i="9"/>
  <c r="F24" s="1"/>
  <c r="AK3" i="10"/>
  <c r="AP2"/>
  <c r="H6" i="8"/>
  <c r="I6"/>
  <c r="K7"/>
  <c r="H7"/>
  <c r="AS3" i="10"/>
  <c r="E23" i="9"/>
  <c r="D25"/>
  <c r="F25" s="1"/>
  <c r="K20" i="8"/>
  <c r="I20"/>
  <c r="J20"/>
  <c r="H20"/>
  <c r="E5" i="9" s="1"/>
  <c r="M20" i="8"/>
  <c r="L20"/>
  <c r="O20"/>
  <c r="N20"/>
  <c r="Q20"/>
  <c r="P20"/>
  <c r="K21"/>
  <c r="I21"/>
  <c r="J21"/>
  <c r="H21"/>
  <c r="E6" i="9" s="1"/>
  <c r="M21" i="8"/>
  <c r="L21"/>
  <c r="O21"/>
  <c r="N21"/>
  <c r="Q21"/>
  <c r="P21"/>
  <c r="AK82" i="10"/>
  <c r="AN82" s="1"/>
  <c r="AK80"/>
  <c r="AN80" s="1"/>
  <c r="AK78"/>
  <c r="AN78" s="1"/>
  <c r="AK76"/>
  <c r="AN76" s="1"/>
  <c r="AK74"/>
  <c r="AN74" s="1"/>
  <c r="AK72"/>
  <c r="AN72" s="1"/>
  <c r="AK70"/>
  <c r="AN70" s="1"/>
  <c r="AK68"/>
  <c r="AN68" s="1"/>
  <c r="AK66"/>
  <c r="AN66" s="1"/>
  <c r="AK64"/>
  <c r="AN64" s="1"/>
  <c r="AK62"/>
  <c r="AN62" s="1"/>
  <c r="AK60"/>
  <c r="AN60" s="1"/>
  <c r="AK58"/>
  <c r="AN58" s="1"/>
  <c r="AK56"/>
  <c r="AN56" s="1"/>
  <c r="AK54"/>
  <c r="AN54" s="1"/>
  <c r="AK52"/>
  <c r="AN52" s="1"/>
  <c r="AK50"/>
  <c r="AN50" s="1"/>
  <c r="AK48"/>
  <c r="AN48" s="1"/>
  <c r="AK46"/>
  <c r="AN46" s="1"/>
  <c r="AK44"/>
  <c r="AN44" s="1"/>
  <c r="AK42"/>
  <c r="AN42" s="1"/>
  <c r="AK40"/>
  <c r="AN40" s="1"/>
  <c r="AK38"/>
  <c r="AN38" s="1"/>
  <c r="AK36"/>
  <c r="AN36" s="1"/>
  <c r="AK34"/>
  <c r="AN34" s="1"/>
  <c r="AK32"/>
  <c r="AN32" s="1"/>
  <c r="AK30"/>
  <c r="AN30" s="1"/>
  <c r="AK28"/>
  <c r="AN28" s="1"/>
  <c r="AK26"/>
  <c r="AN26" s="1"/>
  <c r="AK24"/>
  <c r="AN24" s="1"/>
  <c r="AK22"/>
  <c r="AN22" s="1"/>
  <c r="AK20"/>
  <c r="AN20" s="1"/>
  <c r="AK18"/>
  <c r="AN18" s="1"/>
  <c r="AK16"/>
  <c r="AN16" s="1"/>
  <c r="AK14"/>
  <c r="AN14" s="1"/>
  <c r="AK12"/>
  <c r="AN12" s="1"/>
  <c r="AK10"/>
  <c r="AK8"/>
  <c r="AK6"/>
  <c r="AK4"/>
  <c r="AK2"/>
  <c r="AK81"/>
  <c r="AN81" s="1"/>
  <c r="AK79"/>
  <c r="AN79" s="1"/>
  <c r="AK77"/>
  <c r="AN77" s="1"/>
  <c r="AK75"/>
  <c r="AN75" s="1"/>
  <c r="AK73"/>
  <c r="AN73" s="1"/>
  <c r="AK71"/>
  <c r="AN71" s="1"/>
  <c r="AK69"/>
  <c r="AN69" s="1"/>
  <c r="AK67"/>
  <c r="AN67" s="1"/>
  <c r="AK65"/>
  <c r="AN65" s="1"/>
  <c r="AK63"/>
  <c r="AN63" s="1"/>
  <c r="AK61"/>
  <c r="AN61" s="1"/>
  <c r="AK59"/>
  <c r="AN59" s="1"/>
  <c r="AK57"/>
  <c r="AN57" s="1"/>
  <c r="AK55"/>
  <c r="AN55" s="1"/>
  <c r="AK53"/>
  <c r="AN53" s="1"/>
  <c r="AK51"/>
  <c r="AN51" s="1"/>
  <c r="AK49"/>
  <c r="AN49" s="1"/>
  <c r="AK47"/>
  <c r="AN47" s="1"/>
  <c r="AK45"/>
  <c r="AN45" s="1"/>
  <c r="AK43"/>
  <c r="AN43" s="1"/>
  <c r="AK41"/>
  <c r="AN41" s="1"/>
  <c r="AK39"/>
  <c r="AN39" s="1"/>
  <c r="AK37"/>
  <c r="AN37" s="1"/>
  <c r="AK35"/>
  <c r="AN35" s="1"/>
  <c r="AK33"/>
  <c r="AN33" s="1"/>
  <c r="AK31"/>
  <c r="AN31" s="1"/>
  <c r="AK29"/>
  <c r="AN29" s="1"/>
  <c r="AK27"/>
  <c r="AN27" s="1"/>
  <c r="AK25"/>
  <c r="AN25" s="1"/>
  <c r="AK23"/>
  <c r="AN23" s="1"/>
  <c r="AK21"/>
  <c r="AN21" s="1"/>
  <c r="AK19"/>
  <c r="AN19" s="1"/>
  <c r="AK17"/>
  <c r="AN17" s="1"/>
  <c r="AK15"/>
  <c r="AN15" s="1"/>
  <c r="AK13"/>
  <c r="AN13" s="1"/>
  <c r="AK11"/>
  <c r="AK9"/>
  <c r="AK7"/>
  <c r="AK5"/>
  <c r="Q27" i="8"/>
  <c r="P27"/>
  <c r="O27"/>
  <c r="N27"/>
  <c r="M27"/>
  <c r="L27"/>
  <c r="Q26"/>
  <c r="P26"/>
  <c r="O26"/>
  <c r="N26"/>
  <c r="M26"/>
  <c r="L26"/>
  <c r="D21" i="9"/>
  <c r="I7" i="8"/>
  <c r="C22" i="9"/>
  <c r="C26" s="1"/>
  <c r="C30" s="1"/>
  <c r="E27" i="8"/>
  <c r="C21" i="9"/>
  <c r="C25" s="1"/>
  <c r="C29" s="1"/>
  <c r="E26" i="8"/>
  <c r="J6"/>
  <c r="G5"/>
  <c r="F5"/>
  <c r="F35"/>
  <c r="F29"/>
  <c r="A2" i="11"/>
  <c r="A3" s="1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C1"/>
  <c r="A2" i="10"/>
  <c r="C1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BA31" i="8"/>
  <c r="AK31"/>
  <c r="AU31"/>
  <c r="BB31"/>
  <c r="AT31"/>
  <c r="BA19"/>
  <c r="AS19"/>
  <c r="AK19"/>
  <c r="AV19"/>
  <c r="BC25"/>
  <c r="AY25"/>
  <c r="AU25"/>
  <c r="AQ25"/>
  <c r="AM25"/>
  <c r="AI25"/>
  <c r="AZ25"/>
  <c r="AV25"/>
  <c r="AP25"/>
  <c r="AL19"/>
  <c r="AO31"/>
  <c r="AQ31"/>
  <c r="AZ31"/>
  <c r="AR31"/>
  <c r="AY19"/>
  <c r="AI19"/>
  <c r="AX19"/>
  <c r="AP19"/>
  <c r="BA37"/>
  <c r="AW37"/>
  <c r="AS37"/>
  <c r="AO37"/>
  <c r="AK37"/>
  <c r="BB37"/>
  <c r="AX37"/>
  <c r="AT37"/>
  <c r="AL37"/>
  <c r="AJ31"/>
  <c r="AN19"/>
  <c r="AS31"/>
  <c r="BC31"/>
  <c r="AM31"/>
  <c r="AX31"/>
  <c r="AP31"/>
  <c r="AW19"/>
  <c r="AO19"/>
  <c r="AZ19"/>
  <c r="AR19"/>
  <c r="BA25"/>
  <c r="AW25"/>
  <c r="AS25"/>
  <c r="AO25"/>
  <c r="AK25"/>
  <c r="BB25"/>
  <c r="AX25"/>
  <c r="AR25"/>
  <c r="AL25"/>
  <c r="AW31"/>
  <c r="AY31"/>
  <c r="AI31"/>
  <c r="AV31"/>
  <c r="BC19"/>
  <c r="AU19"/>
  <c r="AM19"/>
  <c r="BB19"/>
  <c r="AT19"/>
  <c r="BC37"/>
  <c r="AY37"/>
  <c r="AU37"/>
  <c r="AQ37"/>
  <c r="AM37"/>
  <c r="AI37"/>
  <c r="AZ37"/>
  <c r="AV37"/>
  <c r="AR37"/>
  <c r="AN37"/>
  <c r="AJ37"/>
  <c r="AL31"/>
  <c r="AT25"/>
  <c r="AJ25"/>
  <c r="AJ19"/>
  <c r="AQ19"/>
  <c r="AP37"/>
  <c r="AN31"/>
  <c r="AN25"/>
  <c r="AH25"/>
  <c r="AH19"/>
  <c r="AH37"/>
  <c r="AH31"/>
  <c r="AG25"/>
  <c r="AG19"/>
  <c r="AG31"/>
  <c r="AG37"/>
  <c r="AF31"/>
  <c r="AF25"/>
  <c r="AF37"/>
  <c r="AF19"/>
  <c r="AE31"/>
  <c r="AE25"/>
  <c r="AE19"/>
  <c r="AE37"/>
  <c r="AD25"/>
  <c r="AD31"/>
  <c r="AD19"/>
  <c r="AD37"/>
  <c r="AC19"/>
  <c r="AC37"/>
  <c r="AC31"/>
  <c r="AC25"/>
  <c r="AB25"/>
  <c r="AB31"/>
  <c r="AB37"/>
  <c r="AB19"/>
  <c r="AA25"/>
  <c r="AA19"/>
  <c r="AA31"/>
  <c r="AA37"/>
  <c r="Z37"/>
  <c r="Z19"/>
  <c r="Z31"/>
  <c r="Z25"/>
  <c r="Y25"/>
  <c r="Y37"/>
  <c r="Y19"/>
  <c r="Y31"/>
  <c r="X25"/>
  <c r="X31"/>
  <c r="X37"/>
  <c r="X19"/>
  <c r="F21" i="9" l="1"/>
  <c r="E21"/>
  <c r="E29" s="1"/>
  <c r="D23"/>
  <c r="F23" s="1"/>
  <c r="F85"/>
  <c r="R124" i="8"/>
  <c r="R97"/>
  <c r="R44"/>
  <c r="R112"/>
  <c r="D29" i="9"/>
  <c r="R65" i="8"/>
  <c r="R76"/>
  <c r="R121"/>
  <c r="R49"/>
  <c r="R60"/>
  <c r="R122"/>
  <c r="R81"/>
  <c r="R92"/>
  <c r="R57"/>
  <c r="R89"/>
  <c r="R68"/>
  <c r="R100"/>
  <c r="R107"/>
  <c r="R73"/>
  <c r="R52"/>
  <c r="R84"/>
  <c r="R117"/>
  <c r="R53"/>
  <c r="R51"/>
  <c r="R59"/>
  <c r="R67"/>
  <c r="R75"/>
  <c r="R83"/>
  <c r="R91"/>
  <c r="R99"/>
  <c r="R46"/>
  <c r="R54"/>
  <c r="R62"/>
  <c r="R70"/>
  <c r="R78"/>
  <c r="R86"/>
  <c r="R94"/>
  <c r="R102"/>
  <c r="R114"/>
  <c r="R118"/>
  <c r="R104"/>
  <c r="R109"/>
  <c r="R123"/>
  <c r="F22" i="9"/>
  <c r="F30" s="1"/>
  <c r="R47" i="8"/>
  <c r="R55"/>
  <c r="R63"/>
  <c r="R71"/>
  <c r="R79"/>
  <c r="R87"/>
  <c r="R95"/>
  <c r="R103"/>
  <c r="E22" i="9"/>
  <c r="E30" s="1"/>
  <c r="R50" i="8"/>
  <c r="R58"/>
  <c r="R66"/>
  <c r="R74"/>
  <c r="R82"/>
  <c r="R90"/>
  <c r="R98"/>
  <c r="R110"/>
  <c r="R116"/>
  <c r="R120"/>
  <c r="R106"/>
  <c r="R113"/>
  <c r="R45"/>
  <c r="R61"/>
  <c r="R69"/>
  <c r="R77"/>
  <c r="R85"/>
  <c r="R93"/>
  <c r="R101"/>
  <c r="R48"/>
  <c r="R56"/>
  <c r="R64"/>
  <c r="R72"/>
  <c r="R80"/>
  <c r="R88"/>
  <c r="R96"/>
  <c r="R108"/>
  <c r="R115"/>
  <c r="R119"/>
  <c r="R105"/>
  <c r="R111"/>
  <c r="F6"/>
  <c r="F11"/>
  <c r="G6"/>
  <c r="G11"/>
  <c r="K72" i="9"/>
  <c r="F29"/>
  <c r="F6"/>
  <c r="D6"/>
  <c r="F5"/>
  <c r="D5"/>
  <c r="D22"/>
  <c r="D30" s="1"/>
  <c r="M39" i="8"/>
  <c r="L39"/>
  <c r="Q39"/>
  <c r="P39"/>
  <c r="M38"/>
  <c r="L38"/>
  <c r="O38"/>
  <c r="N38"/>
  <c r="Q38"/>
  <c r="P38"/>
  <c r="O39"/>
  <c r="N39"/>
  <c r="N33"/>
  <c r="O33"/>
  <c r="L32"/>
  <c r="M32"/>
  <c r="N32"/>
  <c r="O32"/>
  <c r="P32"/>
  <c r="Q32"/>
  <c r="L33"/>
  <c r="M33"/>
  <c r="P33"/>
  <c r="Q33"/>
  <c r="K26"/>
  <c r="I26"/>
  <c r="J26"/>
  <c r="H26"/>
  <c r="K27"/>
  <c r="I27"/>
  <c r="J27"/>
  <c r="H27"/>
  <c r="J39"/>
  <c r="H39"/>
  <c r="K39"/>
  <c r="I39"/>
  <c r="K32"/>
  <c r="I32"/>
  <c r="J32"/>
  <c r="H32"/>
  <c r="J38"/>
  <c r="H38"/>
  <c r="K38"/>
  <c r="I38"/>
  <c r="K33"/>
  <c r="I33"/>
  <c r="J33"/>
  <c r="H33"/>
  <c r="C9" i="9"/>
  <c r="E32" i="8"/>
  <c r="C10" i="9"/>
  <c r="E33" i="8"/>
  <c r="A3" i="10"/>
  <c r="AI2"/>
  <c r="AL2" s="1"/>
  <c r="B11" i="9"/>
  <c r="B15"/>
  <c r="D1" i="11"/>
  <c r="F46" i="8"/>
  <c r="A8" i="9"/>
  <c r="A9" s="1"/>
  <c r="A10" s="1"/>
  <c r="A12" s="1"/>
  <c r="A13" s="1"/>
  <c r="A14" s="1"/>
  <c r="A16" s="1"/>
  <c r="A17" s="1"/>
  <c r="A18" s="1"/>
  <c r="A20" s="1"/>
  <c r="A21" s="1"/>
  <c r="A22" s="1"/>
  <c r="A1" i="8"/>
  <c r="D46" l="1"/>
  <c r="G7"/>
  <c r="G13" s="1"/>
  <c r="G12"/>
  <c r="F7"/>
  <c r="F13" s="1"/>
  <c r="F12"/>
  <c r="K19"/>
  <c r="I19"/>
  <c r="J19"/>
  <c r="H19"/>
  <c r="E4" i="9" s="1"/>
  <c r="M19" i="8"/>
  <c r="L19"/>
  <c r="O19"/>
  <c r="N19"/>
  <c r="Q19"/>
  <c r="P19"/>
  <c r="C14" i="9"/>
  <c r="E39" i="8"/>
  <c r="C18" i="9" s="1"/>
  <c r="C13"/>
  <c r="E38" i="8"/>
  <c r="C17" i="9" s="1"/>
  <c r="F14"/>
  <c r="D14"/>
  <c r="E14"/>
  <c r="F17"/>
  <c r="D17"/>
  <c r="E17"/>
  <c r="E13"/>
  <c r="F13"/>
  <c r="D13"/>
  <c r="E18"/>
  <c r="F18"/>
  <c r="D18"/>
  <c r="E10"/>
  <c r="F10"/>
  <c r="D10"/>
  <c r="F9"/>
  <c r="D9"/>
  <c r="E9"/>
  <c r="A4" i="10"/>
  <c r="AI3"/>
  <c r="AL3" s="1"/>
  <c r="AM3" s="1"/>
  <c r="AN3" s="1"/>
  <c r="E1" i="11"/>
  <c r="K5" i="8"/>
  <c r="J37"/>
  <c r="K37"/>
  <c r="J25"/>
  <c r="K25"/>
  <c r="J31"/>
  <c r="K31"/>
  <c r="N31"/>
  <c r="O31"/>
  <c r="N37"/>
  <c r="O37"/>
  <c r="Q31"/>
  <c r="P31"/>
  <c r="N25"/>
  <c r="O25"/>
  <c r="M31"/>
  <c r="L31"/>
  <c r="M37"/>
  <c r="L37"/>
  <c r="Q25"/>
  <c r="P25"/>
  <c r="Q37"/>
  <c r="P37"/>
  <c r="M25"/>
  <c r="L25"/>
  <c r="H4"/>
  <c r="H44" s="1"/>
  <c r="U44" s="1"/>
  <c r="M4"/>
  <c r="L4"/>
  <c r="Q5"/>
  <c r="P5"/>
  <c r="N4"/>
  <c r="O4"/>
  <c r="K4"/>
  <c r="J4"/>
  <c r="J5"/>
  <c r="N5"/>
  <c r="O5"/>
  <c r="M5"/>
  <c r="L5"/>
  <c r="Q4"/>
  <c r="P4"/>
  <c r="I5"/>
  <c r="H5"/>
  <c r="I4"/>
  <c r="G37"/>
  <c r="G38" s="1"/>
  <c r="G39" s="1"/>
  <c r="F37"/>
  <c r="F38" s="1"/>
  <c r="F39" s="1"/>
  <c r="G31"/>
  <c r="G32" s="1"/>
  <c r="G33" s="1"/>
  <c r="F31"/>
  <c r="F32" s="1"/>
  <c r="F33" s="1"/>
  <c r="F25"/>
  <c r="F26" s="1"/>
  <c r="F27" s="1"/>
  <c r="C44"/>
  <c r="S44" s="1"/>
  <c r="V46" l="1"/>
  <c r="A46"/>
  <c r="T46"/>
  <c r="W44"/>
  <c r="C45"/>
  <c r="S45" s="1"/>
  <c r="H96"/>
  <c r="U96" s="1"/>
  <c r="H64"/>
  <c r="U64" s="1"/>
  <c r="H65"/>
  <c r="U65" s="1"/>
  <c r="H117"/>
  <c r="U117" s="1"/>
  <c r="H54"/>
  <c r="U54" s="1"/>
  <c r="H115"/>
  <c r="U115" s="1"/>
  <c r="H75"/>
  <c r="U75" s="1"/>
  <c r="H121"/>
  <c r="U121" s="1"/>
  <c r="H122"/>
  <c r="U122" s="1"/>
  <c r="H91"/>
  <c r="U91" s="1"/>
  <c r="H76"/>
  <c r="U76" s="1"/>
  <c r="H93"/>
  <c r="U93" s="1"/>
  <c r="H78"/>
  <c r="U78" s="1"/>
  <c r="H102"/>
  <c r="U102" s="1"/>
  <c r="H50"/>
  <c r="U50" s="1"/>
  <c r="H87"/>
  <c r="U87" s="1"/>
  <c r="H55"/>
  <c r="U55" s="1"/>
  <c r="H69"/>
  <c r="U69" s="1"/>
  <c r="H124"/>
  <c r="U124" s="1"/>
  <c r="H95"/>
  <c r="U95" s="1"/>
  <c r="H104"/>
  <c r="U104" s="1"/>
  <c r="H72"/>
  <c r="U72" s="1"/>
  <c r="H85"/>
  <c r="U85" s="1"/>
  <c r="H62"/>
  <c r="U62" s="1"/>
  <c r="H86"/>
  <c r="U86" s="1"/>
  <c r="H123"/>
  <c r="U123" s="1"/>
  <c r="H83"/>
  <c r="U83" s="1"/>
  <c r="H51"/>
  <c r="U51" s="1"/>
  <c r="H57"/>
  <c r="U57" s="1"/>
  <c r="H48"/>
  <c r="U48" s="1"/>
  <c r="H84"/>
  <c r="U84" s="1"/>
  <c r="H113"/>
  <c r="U113" s="1"/>
  <c r="H110"/>
  <c r="U110" s="1"/>
  <c r="H61"/>
  <c r="U61" s="1"/>
  <c r="H82"/>
  <c r="U82" s="1"/>
  <c r="H103"/>
  <c r="U103" s="1"/>
  <c r="H63"/>
  <c r="U63" s="1"/>
  <c r="H89"/>
  <c r="U89" s="1"/>
  <c r="H74"/>
  <c r="U74" s="1"/>
  <c r="H68"/>
  <c r="U68" s="1"/>
  <c r="H112"/>
  <c r="U112" s="1"/>
  <c r="H80"/>
  <c r="U80" s="1"/>
  <c r="H105"/>
  <c r="U105" s="1"/>
  <c r="H94"/>
  <c r="U94" s="1"/>
  <c r="H114"/>
  <c r="U114" s="1"/>
  <c r="H66"/>
  <c r="U66" s="1"/>
  <c r="H99"/>
  <c r="U99" s="1"/>
  <c r="H59"/>
  <c r="U59" s="1"/>
  <c r="H81"/>
  <c r="U81" s="1"/>
  <c r="H58"/>
  <c r="U58" s="1"/>
  <c r="H100"/>
  <c r="U100" s="1"/>
  <c r="H52"/>
  <c r="U52" s="1"/>
  <c r="H53"/>
  <c r="U53" s="1"/>
  <c r="H97"/>
  <c r="U97" s="1"/>
  <c r="H118"/>
  <c r="U118" s="1"/>
  <c r="H111"/>
  <c r="U111" s="1"/>
  <c r="H71"/>
  <c r="U71" s="1"/>
  <c r="H109"/>
  <c r="U109" s="1"/>
  <c r="H106"/>
  <c r="U106" s="1"/>
  <c r="H92"/>
  <c r="U92" s="1"/>
  <c r="H120"/>
  <c r="U120" s="1"/>
  <c r="H88"/>
  <c r="U88" s="1"/>
  <c r="H56"/>
  <c r="U56" s="1"/>
  <c r="H45"/>
  <c r="U45" s="1"/>
  <c r="H77"/>
  <c r="U77" s="1"/>
  <c r="H98"/>
  <c r="U98" s="1"/>
  <c r="H107"/>
  <c r="U107" s="1"/>
  <c r="H67"/>
  <c r="U67" s="1"/>
  <c r="H101"/>
  <c r="U101" s="1"/>
  <c r="H90"/>
  <c r="U90" s="1"/>
  <c r="H116"/>
  <c r="U116" s="1"/>
  <c r="H60"/>
  <c r="U60" s="1"/>
  <c r="H73"/>
  <c r="U73" s="1"/>
  <c r="H46"/>
  <c r="U46" s="1"/>
  <c r="H70"/>
  <c r="U70" s="1"/>
  <c r="H119"/>
  <c r="U119" s="1"/>
  <c r="H79"/>
  <c r="U79" s="1"/>
  <c r="H47"/>
  <c r="U47" s="1"/>
  <c r="H49"/>
  <c r="U49" s="1"/>
  <c r="H108"/>
  <c r="U108" s="1"/>
  <c r="F57"/>
  <c r="V57" s="1"/>
  <c r="D57"/>
  <c r="T57" s="1"/>
  <c r="F69"/>
  <c r="V69" s="1"/>
  <c r="D69"/>
  <c r="T69" s="1"/>
  <c r="F89"/>
  <c r="V89" s="1"/>
  <c r="D89"/>
  <c r="T89" s="1"/>
  <c r="F101"/>
  <c r="V101" s="1"/>
  <c r="D101"/>
  <c r="T101" s="1"/>
  <c r="F45"/>
  <c r="V45" s="1"/>
  <c r="D45"/>
  <c r="T45" s="1"/>
  <c r="F47"/>
  <c r="V47" s="1"/>
  <c r="D47"/>
  <c r="T47" s="1"/>
  <c r="F51"/>
  <c r="V51" s="1"/>
  <c r="D51"/>
  <c r="T51" s="1"/>
  <c r="F55"/>
  <c r="V55" s="1"/>
  <c r="D55"/>
  <c r="T55" s="1"/>
  <c r="F59"/>
  <c r="V59" s="1"/>
  <c r="D59"/>
  <c r="T59" s="1"/>
  <c r="F63"/>
  <c r="V63" s="1"/>
  <c r="D63"/>
  <c r="T63" s="1"/>
  <c r="F67"/>
  <c r="V67" s="1"/>
  <c r="D67"/>
  <c r="T67" s="1"/>
  <c r="F71"/>
  <c r="V71" s="1"/>
  <c r="D71"/>
  <c r="T71" s="1"/>
  <c r="F75"/>
  <c r="V75" s="1"/>
  <c r="D75"/>
  <c r="T75" s="1"/>
  <c r="F79"/>
  <c r="V79" s="1"/>
  <c r="D79"/>
  <c r="T79" s="1"/>
  <c r="F83"/>
  <c r="V83" s="1"/>
  <c r="D83"/>
  <c r="T83" s="1"/>
  <c r="F87"/>
  <c r="V87" s="1"/>
  <c r="D87"/>
  <c r="T87" s="1"/>
  <c r="F91"/>
  <c r="V91" s="1"/>
  <c r="D91"/>
  <c r="T91" s="1"/>
  <c r="F95"/>
  <c r="V95" s="1"/>
  <c r="D95"/>
  <c r="T95" s="1"/>
  <c r="F99"/>
  <c r="V99" s="1"/>
  <c r="D99"/>
  <c r="T99" s="1"/>
  <c r="F103"/>
  <c r="V103" s="1"/>
  <c r="D103"/>
  <c r="T103" s="1"/>
  <c r="F107"/>
  <c r="V107" s="1"/>
  <c r="D107"/>
  <c r="T107" s="1"/>
  <c r="F111"/>
  <c r="V111" s="1"/>
  <c r="D111"/>
  <c r="T111" s="1"/>
  <c r="F115"/>
  <c r="V115" s="1"/>
  <c r="D115"/>
  <c r="T115" s="1"/>
  <c r="F119"/>
  <c r="V119" s="1"/>
  <c r="D119"/>
  <c r="T119" s="1"/>
  <c r="F123"/>
  <c r="V123" s="1"/>
  <c r="D123"/>
  <c r="T123" s="1"/>
  <c r="F49"/>
  <c r="V49" s="1"/>
  <c r="D49"/>
  <c r="T49" s="1"/>
  <c r="F61"/>
  <c r="V61" s="1"/>
  <c r="D61"/>
  <c r="T61" s="1"/>
  <c r="F81"/>
  <c r="V81" s="1"/>
  <c r="D81"/>
  <c r="T81" s="1"/>
  <c r="F97"/>
  <c r="V97" s="1"/>
  <c r="D97"/>
  <c r="T97" s="1"/>
  <c r="F109"/>
  <c r="V109" s="1"/>
  <c r="D109"/>
  <c r="T109" s="1"/>
  <c r="F121"/>
  <c r="V121" s="1"/>
  <c r="D121"/>
  <c r="T121" s="1"/>
  <c r="D44"/>
  <c r="T44" s="1"/>
  <c r="F44"/>
  <c r="V44" s="1"/>
  <c r="F48"/>
  <c r="V48" s="1"/>
  <c r="D48"/>
  <c r="T48" s="1"/>
  <c r="F52"/>
  <c r="V52" s="1"/>
  <c r="D52"/>
  <c r="T52" s="1"/>
  <c r="F56"/>
  <c r="V56" s="1"/>
  <c r="D56"/>
  <c r="T56" s="1"/>
  <c r="F60"/>
  <c r="V60" s="1"/>
  <c r="D60"/>
  <c r="T60" s="1"/>
  <c r="F64"/>
  <c r="V64" s="1"/>
  <c r="D64"/>
  <c r="T64" s="1"/>
  <c r="F68"/>
  <c r="V68" s="1"/>
  <c r="D68"/>
  <c r="T68" s="1"/>
  <c r="F72"/>
  <c r="V72" s="1"/>
  <c r="D72"/>
  <c r="T72" s="1"/>
  <c r="F76"/>
  <c r="V76" s="1"/>
  <c r="D76"/>
  <c r="T76" s="1"/>
  <c r="F80"/>
  <c r="V80" s="1"/>
  <c r="D80"/>
  <c r="T80" s="1"/>
  <c r="F84"/>
  <c r="V84" s="1"/>
  <c r="D84"/>
  <c r="T84" s="1"/>
  <c r="F88"/>
  <c r="V88" s="1"/>
  <c r="D88"/>
  <c r="T88" s="1"/>
  <c r="F92"/>
  <c r="V92" s="1"/>
  <c r="D92"/>
  <c r="T92" s="1"/>
  <c r="F96"/>
  <c r="V96" s="1"/>
  <c r="D96"/>
  <c r="T96" s="1"/>
  <c r="F100"/>
  <c r="V100" s="1"/>
  <c r="D100"/>
  <c r="T100" s="1"/>
  <c r="F104"/>
  <c r="V104" s="1"/>
  <c r="D104"/>
  <c r="T104" s="1"/>
  <c r="F108"/>
  <c r="V108" s="1"/>
  <c r="D108"/>
  <c r="T108" s="1"/>
  <c r="F112"/>
  <c r="V112" s="1"/>
  <c r="D112"/>
  <c r="T112" s="1"/>
  <c r="F116"/>
  <c r="V116" s="1"/>
  <c r="D116"/>
  <c r="T116" s="1"/>
  <c r="F120"/>
  <c r="V120" s="1"/>
  <c r="D120"/>
  <c r="T120" s="1"/>
  <c r="F124"/>
  <c r="V124" s="1"/>
  <c r="D124"/>
  <c r="T124" s="1"/>
  <c r="F73"/>
  <c r="V73" s="1"/>
  <c r="D73"/>
  <c r="T73" s="1"/>
  <c r="F85"/>
  <c r="V85" s="1"/>
  <c r="D85"/>
  <c r="T85" s="1"/>
  <c r="F113"/>
  <c r="V113" s="1"/>
  <c r="D113"/>
  <c r="T113" s="1"/>
  <c r="F53"/>
  <c r="V53" s="1"/>
  <c r="D53"/>
  <c r="T53" s="1"/>
  <c r="F65"/>
  <c r="V65" s="1"/>
  <c r="D65"/>
  <c r="T65" s="1"/>
  <c r="F77"/>
  <c r="V77" s="1"/>
  <c r="D77"/>
  <c r="T77" s="1"/>
  <c r="F93"/>
  <c r="V93" s="1"/>
  <c r="D93"/>
  <c r="T93" s="1"/>
  <c r="F105"/>
  <c r="V105" s="1"/>
  <c r="D105"/>
  <c r="T105" s="1"/>
  <c r="F117"/>
  <c r="V117" s="1"/>
  <c r="D117"/>
  <c r="T117" s="1"/>
  <c r="F50"/>
  <c r="V50" s="1"/>
  <c r="D50"/>
  <c r="T50" s="1"/>
  <c r="F54"/>
  <c r="V54" s="1"/>
  <c r="D54"/>
  <c r="T54" s="1"/>
  <c r="F58"/>
  <c r="V58" s="1"/>
  <c r="D58"/>
  <c r="T58" s="1"/>
  <c r="F62"/>
  <c r="V62" s="1"/>
  <c r="D62"/>
  <c r="T62" s="1"/>
  <c r="F66"/>
  <c r="V66" s="1"/>
  <c r="D66"/>
  <c r="T66" s="1"/>
  <c r="F70"/>
  <c r="V70" s="1"/>
  <c r="D70"/>
  <c r="T70" s="1"/>
  <c r="F74"/>
  <c r="V74" s="1"/>
  <c r="D74"/>
  <c r="T74" s="1"/>
  <c r="F78"/>
  <c r="V78" s="1"/>
  <c r="D78"/>
  <c r="T78" s="1"/>
  <c r="F82"/>
  <c r="V82" s="1"/>
  <c r="D82"/>
  <c r="T82" s="1"/>
  <c r="F86"/>
  <c r="V86" s="1"/>
  <c r="D86"/>
  <c r="T86" s="1"/>
  <c r="F90"/>
  <c r="V90" s="1"/>
  <c r="D90"/>
  <c r="T90" s="1"/>
  <c r="F94"/>
  <c r="V94" s="1"/>
  <c r="D94"/>
  <c r="T94" s="1"/>
  <c r="F98"/>
  <c r="V98" s="1"/>
  <c r="D98"/>
  <c r="T98" s="1"/>
  <c r="F102"/>
  <c r="V102" s="1"/>
  <c r="D102"/>
  <c r="T102" s="1"/>
  <c r="F106"/>
  <c r="V106" s="1"/>
  <c r="D106"/>
  <c r="T106" s="1"/>
  <c r="F110"/>
  <c r="V110" s="1"/>
  <c r="D110"/>
  <c r="T110" s="1"/>
  <c r="F114"/>
  <c r="V114" s="1"/>
  <c r="D114"/>
  <c r="T114" s="1"/>
  <c r="F118"/>
  <c r="V118" s="1"/>
  <c r="D118"/>
  <c r="T118" s="1"/>
  <c r="F122"/>
  <c r="V122" s="1"/>
  <c r="D122"/>
  <c r="T122" s="1"/>
  <c r="F4" i="9"/>
  <c r="D4"/>
  <c r="Q44" i="8"/>
  <c r="Q45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E5"/>
  <c r="P43"/>
  <c r="J70" i="9" s="1"/>
  <c r="F20"/>
  <c r="F28" s="1"/>
  <c r="D20"/>
  <c r="D28" s="1"/>
  <c r="E19"/>
  <c r="E27" s="1"/>
  <c r="F19"/>
  <c r="F27" s="1"/>
  <c r="D19"/>
  <c r="D27" s="1"/>
  <c r="Q46" i="8"/>
  <c r="A5" i="10"/>
  <c r="AI4"/>
  <c r="AL4" s="1"/>
  <c r="AM4" s="1"/>
  <c r="AN4" s="1"/>
  <c r="F1" i="11"/>
  <c r="P46" i="8"/>
  <c r="E20" i="9"/>
  <c r="E28" s="1"/>
  <c r="K71" s="1"/>
  <c r="P81" i="8"/>
  <c r="P82"/>
  <c r="P83"/>
  <c r="P84"/>
  <c r="P85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87"/>
  <c r="P80"/>
  <c r="P107"/>
  <c r="P86"/>
  <c r="P65"/>
  <c r="P58"/>
  <c r="P76"/>
  <c r="P55"/>
  <c r="P74"/>
  <c r="P72"/>
  <c r="P67"/>
  <c r="P64"/>
  <c r="P54"/>
  <c r="P53"/>
  <c r="P79"/>
  <c r="P78"/>
  <c r="P77"/>
  <c r="P75"/>
  <c r="P73"/>
  <c r="P69"/>
  <c r="P68"/>
  <c r="P66"/>
  <c r="P63"/>
  <c r="P59"/>
  <c r="P57"/>
  <c r="P52"/>
  <c r="P48"/>
  <c r="P71"/>
  <c r="P70"/>
  <c r="P62"/>
  <c r="P61"/>
  <c r="P60"/>
  <c r="P56"/>
  <c r="P45"/>
  <c r="P50"/>
  <c r="P44"/>
  <c r="P47"/>
  <c r="P49"/>
  <c r="P51"/>
  <c r="E4"/>
  <c r="E18" s="1"/>
  <c r="C3" i="9" s="1"/>
  <c r="C46" i="8"/>
  <c r="S46" s="1"/>
  <c r="I25"/>
  <c r="H25"/>
  <c r="G25"/>
  <c r="G26" s="1"/>
  <c r="G27" s="1"/>
  <c r="W46" l="1"/>
  <c r="W45"/>
  <c r="C47"/>
  <c r="K70" i="9"/>
  <c r="E25" i="8"/>
  <c r="E19"/>
  <c r="C4" i="9" s="1"/>
  <c r="C19"/>
  <c r="C23" s="1"/>
  <c r="C27" s="1"/>
  <c r="E24" i="8"/>
  <c r="C20" i="9"/>
  <c r="C24" s="1"/>
  <c r="C28" s="1"/>
  <c r="D8"/>
  <c r="F8"/>
  <c r="A6" i="10"/>
  <c r="AI5"/>
  <c r="G1" i="11"/>
  <c r="I31" i="8"/>
  <c r="H31"/>
  <c r="H37"/>
  <c r="I37"/>
  <c r="E8" i="9"/>
  <c r="S47" i="8" l="1"/>
  <c r="W47"/>
  <c r="C48"/>
  <c r="E31"/>
  <c r="C8" i="9"/>
  <c r="AL5" i="10"/>
  <c r="AM5" s="1"/>
  <c r="AN5" s="1"/>
  <c r="F16" i="9"/>
  <c r="D16"/>
  <c r="E12"/>
  <c r="D12"/>
  <c r="F12"/>
  <c r="E30" i="8"/>
  <c r="C7" i="9"/>
  <c r="A7" i="10"/>
  <c r="AI6"/>
  <c r="AL6" s="1"/>
  <c r="AM6" s="1"/>
  <c r="AN6" s="1"/>
  <c r="H1" i="11"/>
  <c r="E16" i="9"/>
  <c r="S48" i="8" l="1"/>
  <c r="W48"/>
  <c r="C49"/>
  <c r="E37"/>
  <c r="C16" i="9" s="1"/>
  <c r="C12"/>
  <c r="E36" i="8"/>
  <c r="C15" i="9" s="1"/>
  <c r="C11"/>
  <c r="A8" i="10"/>
  <c r="AI7"/>
  <c r="AL7" s="1"/>
  <c r="AM7" s="1"/>
  <c r="AN7" s="1"/>
  <c r="I1" i="11"/>
  <c r="S49" i="8" l="1"/>
  <c r="W49"/>
  <c r="C50"/>
  <c r="A9" i="10"/>
  <c r="AI8"/>
  <c r="AL8" s="1"/>
  <c r="AM8" s="1"/>
  <c r="AN8" s="1"/>
  <c r="J1" i="11"/>
  <c r="S50" i="8" l="1"/>
  <c r="W50"/>
  <c r="C51"/>
  <c r="A10" i="10"/>
  <c r="AI9"/>
  <c r="AL9" s="1"/>
  <c r="AM9" s="1"/>
  <c r="AN9" s="1"/>
  <c r="K1" i="11"/>
  <c r="S51" i="8" l="1"/>
  <c r="W51"/>
  <c r="C52"/>
  <c r="A11" i="10"/>
  <c r="AI10"/>
  <c r="AL10" s="1"/>
  <c r="AM10" s="1"/>
  <c r="AN10" s="1"/>
  <c r="L1" i="11"/>
  <c r="S52" i="8" l="1"/>
  <c r="W52"/>
  <c r="C53"/>
  <c r="A12" i="10"/>
  <c r="AI11"/>
  <c r="AL11" s="1"/>
  <c r="AM11" s="1"/>
  <c r="AN11" s="1"/>
  <c r="M1" i="11"/>
  <c r="S53" i="8" l="1"/>
  <c r="W53"/>
  <c r="C54"/>
  <c r="A13" i="10"/>
  <c r="AI12"/>
  <c r="AL12" s="1"/>
  <c r="AM12" s="1"/>
  <c r="N1" i="11"/>
  <c r="S54" i="8" l="1"/>
  <c r="W54"/>
  <c r="C55"/>
  <c r="A14" i="10"/>
  <c r="AI13"/>
  <c r="AL13" s="1"/>
  <c r="AM13" s="1"/>
  <c r="O1" i="11"/>
  <c r="S55" i="8" l="1"/>
  <c r="W55"/>
  <c r="C56"/>
  <c r="A15" i="10"/>
  <c r="AI14"/>
  <c r="AL14" s="1"/>
  <c r="AM14" s="1"/>
  <c r="P1" i="11"/>
  <c r="S56" i="8" l="1"/>
  <c r="W56"/>
  <c r="C57"/>
  <c r="A16" i="10"/>
  <c r="AI15"/>
  <c r="AL15" s="1"/>
  <c r="AM15" s="1"/>
  <c r="Q1" i="11"/>
  <c r="S57" i="8" l="1"/>
  <c r="W57"/>
  <c r="C58"/>
  <c r="A17" i="10"/>
  <c r="AI16"/>
  <c r="AL16" s="1"/>
  <c r="AM16" s="1"/>
  <c r="R1" i="11"/>
  <c r="S58" i="8" l="1"/>
  <c r="W58"/>
  <c r="C59"/>
  <c r="A18" i="10"/>
  <c r="AI17"/>
  <c r="AL17" s="1"/>
  <c r="AM17" s="1"/>
  <c r="S1" i="11"/>
  <c r="S59" i="8" l="1"/>
  <c r="W59"/>
  <c r="C60"/>
  <c r="A19" i="10"/>
  <c r="AI18"/>
  <c r="AL18" s="1"/>
  <c r="AM18" s="1"/>
  <c r="T1" i="11"/>
  <c r="S60" i="8" l="1"/>
  <c r="W60"/>
  <c r="C61"/>
  <c r="A20" i="10"/>
  <c r="AI19"/>
  <c r="AL19" s="1"/>
  <c r="AM19" s="1"/>
  <c r="U1" i="11"/>
  <c r="S61" i="8" l="1"/>
  <c r="W61"/>
  <c r="C62"/>
  <c r="A21" i="10"/>
  <c r="AI20"/>
  <c r="AP3" s="1"/>
  <c r="V1" i="11"/>
  <c r="S62" i="8" l="1"/>
  <c r="W62"/>
  <c r="C63"/>
  <c r="AL20" i="10"/>
  <c r="AM20" s="1"/>
  <c r="A22"/>
  <c r="AI21"/>
  <c r="AL21" s="1"/>
  <c r="AM21" s="1"/>
  <c r="W1" i="11"/>
  <c r="S63" i="8" l="1"/>
  <c r="W63"/>
  <c r="C64"/>
  <c r="A23" i="10"/>
  <c r="AI22"/>
  <c r="AL22" s="1"/>
  <c r="AM22" s="1"/>
  <c r="X1" i="11"/>
  <c r="S64" i="8" l="1"/>
  <c r="W64"/>
  <c r="C65"/>
  <c r="A24" i="10"/>
  <c r="AI23"/>
  <c r="AL23" s="1"/>
  <c r="AM23" s="1"/>
  <c r="Y1" i="11"/>
  <c r="S65" i="8" l="1"/>
  <c r="W65"/>
  <c r="C66"/>
  <c r="A25" i="10"/>
  <c r="AI24"/>
  <c r="AL24" s="1"/>
  <c r="AM24" s="1"/>
  <c r="Z1" i="11"/>
  <c r="S66" i="8" l="1"/>
  <c r="W66"/>
  <c r="C67"/>
  <c r="A26" i="10"/>
  <c r="AI25"/>
  <c r="AL25" s="1"/>
  <c r="AM25" s="1"/>
  <c r="AA1" i="11"/>
  <c r="S67" i="8" l="1"/>
  <c r="W67"/>
  <c r="C68"/>
  <c r="A27" i="10"/>
  <c r="AI26"/>
  <c r="AL26" s="1"/>
  <c r="AM26" s="1"/>
  <c r="AB1" i="11"/>
  <c r="S68" i="8" l="1"/>
  <c r="W68"/>
  <c r="C69"/>
  <c r="A28" i="10"/>
  <c r="AI27"/>
  <c r="AL27" s="1"/>
  <c r="AM27" s="1"/>
  <c r="AC1" i="11"/>
  <c r="S69" i="8" l="1"/>
  <c r="W69"/>
  <c r="C70"/>
  <c r="A29" i="10"/>
  <c r="AI28"/>
  <c r="AL28" s="1"/>
  <c r="AM28" s="1"/>
  <c r="AD1" i="11"/>
  <c r="S70" i="8" l="1"/>
  <c r="W70"/>
  <c r="C71"/>
  <c r="A30" i="10"/>
  <c r="AI29"/>
  <c r="AL29" s="1"/>
  <c r="AM29" s="1"/>
  <c r="AE1" i="11"/>
  <c r="S71" i="8" l="1"/>
  <c r="W71"/>
  <c r="C72"/>
  <c r="A31" i="10"/>
  <c r="AI30"/>
  <c r="AL30" s="1"/>
  <c r="AM30" s="1"/>
  <c r="AF1" i="11"/>
  <c r="S72" i="8" l="1"/>
  <c r="W72"/>
  <c r="C73"/>
  <c r="A32" i="10"/>
  <c r="AI31"/>
  <c r="AL31" s="1"/>
  <c r="AM31" s="1"/>
  <c r="AG1" i="11"/>
  <c r="S73" i="8" l="1"/>
  <c r="W73"/>
  <c r="C74"/>
  <c r="A33" i="10"/>
  <c r="AI32"/>
  <c r="S74" i="8" l="1"/>
  <c r="W74"/>
  <c r="C75"/>
  <c r="A34" i="10"/>
  <c r="AI33"/>
  <c r="S75" i="8" l="1"/>
  <c r="W75"/>
  <c r="C76"/>
  <c r="A35" i="10"/>
  <c r="AI34"/>
  <c r="S76" i="8" l="1"/>
  <c r="W76"/>
  <c r="C77"/>
  <c r="A36" i="10"/>
  <c r="AI35"/>
  <c r="S77" i="8" l="1"/>
  <c r="W77"/>
  <c r="C78"/>
  <c r="A37" i="10"/>
  <c r="AI36"/>
  <c r="S78" i="8" l="1"/>
  <c r="W78"/>
  <c r="C79"/>
  <c r="A38" i="10"/>
  <c r="AI37"/>
  <c r="S79" i="8" l="1"/>
  <c r="W79"/>
  <c r="C80"/>
  <c r="A39" i="10"/>
  <c r="AI38"/>
  <c r="S80" i="8" l="1"/>
  <c r="W80"/>
  <c r="C81"/>
  <c r="A40" i="10"/>
  <c r="AI39"/>
  <c r="S81" i="8" l="1"/>
  <c r="W81"/>
  <c r="C82"/>
  <c r="A41" i="10"/>
  <c r="AI40"/>
  <c r="S82" i="8" l="1"/>
  <c r="W82"/>
  <c r="C83"/>
  <c r="A42" i="10"/>
  <c r="AI41"/>
  <c r="S83" i="8" l="1"/>
  <c r="W83"/>
  <c r="C84"/>
  <c r="A43" i="10"/>
  <c r="AI42"/>
  <c r="S84" i="8" l="1"/>
  <c r="W84"/>
  <c r="C85"/>
  <c r="A44" i="10"/>
  <c r="AI43"/>
  <c r="S85" i="8" l="1"/>
  <c r="W85"/>
  <c r="C86"/>
  <c r="A45" i="10"/>
  <c r="AI44"/>
  <c r="S86" i="8" l="1"/>
  <c r="W86"/>
  <c r="C87"/>
  <c r="A46" i="10"/>
  <c r="AI45"/>
  <c r="S87" i="8" l="1"/>
  <c r="W87"/>
  <c r="C88"/>
  <c r="A47" i="10"/>
  <c r="AI46"/>
  <c r="S88" i="8" l="1"/>
  <c r="W88"/>
  <c r="C89"/>
  <c r="A48" i="10"/>
  <c r="AI47"/>
  <c r="S89" i="8" l="1"/>
  <c r="W89"/>
  <c r="C90"/>
  <c r="A49" i="10"/>
  <c r="AI48"/>
  <c r="S90" i="8" l="1"/>
  <c r="W90"/>
  <c r="C91"/>
  <c r="A50" i="10"/>
  <c r="AI49"/>
  <c r="S91" i="8" l="1"/>
  <c r="W91"/>
  <c r="C92"/>
  <c r="A51" i="10"/>
  <c r="AI50"/>
  <c r="S92" i="8" l="1"/>
  <c r="W92"/>
  <c r="C93"/>
  <c r="A52" i="10"/>
  <c r="AI51"/>
  <c r="S93" i="8" l="1"/>
  <c r="W93"/>
  <c r="C94"/>
  <c r="A53" i="10"/>
  <c r="AI52"/>
  <c r="S94" i="8" l="1"/>
  <c r="W94"/>
  <c r="C95"/>
  <c r="A54" i="10"/>
  <c r="AI53"/>
  <c r="S95" i="8" l="1"/>
  <c r="W95"/>
  <c r="C96"/>
  <c r="A55" i="10"/>
  <c r="AI54"/>
  <c r="S96" i="8" l="1"/>
  <c r="W96"/>
  <c r="C97"/>
  <c r="A56" i="10"/>
  <c r="AI55"/>
  <c r="S97" i="8" l="1"/>
  <c r="W97"/>
  <c r="C98"/>
  <c r="A57" i="10"/>
  <c r="AI56"/>
  <c r="S98" i="8" l="1"/>
  <c r="W98"/>
  <c r="C99"/>
  <c r="A58" i="10"/>
  <c r="AI57"/>
  <c r="S99" i="8" l="1"/>
  <c r="W99"/>
  <c r="C100"/>
  <c r="A59" i="10"/>
  <c r="AI58"/>
  <c r="S100" i="8" l="1"/>
  <c r="W100"/>
  <c r="C101"/>
  <c r="A60" i="10"/>
  <c r="AI59"/>
  <c r="S101" i="8" l="1"/>
  <c r="W101"/>
  <c r="C102"/>
  <c r="A61" i="10"/>
  <c r="AI60"/>
  <c r="S102" i="8" l="1"/>
  <c r="W102"/>
  <c r="C103"/>
  <c r="A62" i="10"/>
  <c r="AI61"/>
  <c r="S103" i="8" l="1"/>
  <c r="W103"/>
  <c r="C104"/>
  <c r="A63" i="10"/>
  <c r="AI62"/>
  <c r="S104" i="8" l="1"/>
  <c r="W104"/>
  <c r="C105"/>
  <c r="A64" i="10"/>
  <c r="AI63"/>
  <c r="S105" i="8" l="1"/>
  <c r="W105"/>
  <c r="C106"/>
  <c r="A65" i="10"/>
  <c r="AI64"/>
  <c r="S106" i="8" l="1"/>
  <c r="W106"/>
  <c r="C107"/>
  <c r="A66" i="10"/>
  <c r="AI65"/>
  <c r="S107" i="8" l="1"/>
  <c r="W107"/>
  <c r="C108"/>
  <c r="A67" i="10"/>
  <c r="AI66"/>
  <c r="S108" i="8" l="1"/>
  <c r="W108"/>
  <c r="C109"/>
  <c r="A68" i="10"/>
  <c r="AI67"/>
  <c r="S109" i="8" l="1"/>
  <c r="W109"/>
  <c r="C110"/>
  <c r="A69" i="10"/>
  <c r="AI68"/>
  <c r="S110" i="8" l="1"/>
  <c r="W110"/>
  <c r="C111"/>
  <c r="A70" i="10"/>
  <c r="AI69"/>
  <c r="S111" i="8" l="1"/>
  <c r="W111"/>
  <c r="C112"/>
  <c r="A71" i="10"/>
  <c r="AI70"/>
  <c r="S112" i="8" l="1"/>
  <c r="W112"/>
  <c r="C113"/>
  <c r="A72" i="10"/>
  <c r="AI71"/>
  <c r="S113" i="8" l="1"/>
  <c r="W113"/>
  <c r="C114"/>
  <c r="A73" i="10"/>
  <c r="AI72"/>
  <c r="S114" i="8" l="1"/>
  <c r="W114"/>
  <c r="C115"/>
  <c r="A74" i="10"/>
  <c r="AI73"/>
  <c r="S115" i="8" l="1"/>
  <c r="W115"/>
  <c r="C116"/>
  <c r="A75" i="10"/>
  <c r="AI74"/>
  <c r="S116" i="8" l="1"/>
  <c r="W116"/>
  <c r="C117"/>
  <c r="A76" i="10"/>
  <c r="AI75"/>
  <c r="S117" i="8" l="1"/>
  <c r="W117"/>
  <c r="C118"/>
  <c r="A77" i="10"/>
  <c r="AI76"/>
  <c r="S118" i="8" l="1"/>
  <c r="W118"/>
  <c r="C119"/>
  <c r="A78" i="10"/>
  <c r="AI77"/>
  <c r="S119" i="8" l="1"/>
  <c r="W119"/>
  <c r="C120"/>
  <c r="A79" i="10"/>
  <c r="AI78"/>
  <c r="S120" i="8" l="1"/>
  <c r="W120"/>
  <c r="C121"/>
  <c r="A80" i="10"/>
  <c r="AI79"/>
  <c r="S121" i="8" l="1"/>
  <c r="W121"/>
  <c r="C122"/>
  <c r="A81" i="10"/>
  <c r="AI80"/>
  <c r="S122" i="8" l="1"/>
  <c r="W122"/>
  <c r="C123"/>
  <c r="A82" i="10"/>
  <c r="AI81"/>
  <c r="BA30" i="8"/>
  <c r="AK30"/>
  <c r="AQ30"/>
  <c r="BC18"/>
  <c r="AU18"/>
  <c r="AM18"/>
  <c r="BC24"/>
  <c r="AY24"/>
  <c r="AU24"/>
  <c r="AQ24"/>
  <c r="AM24"/>
  <c r="AI24"/>
  <c r="AZ24"/>
  <c r="AV24"/>
  <c r="AR24"/>
  <c r="AN24"/>
  <c r="AJ24"/>
  <c r="AZ18"/>
  <c r="AV18"/>
  <c r="AR18"/>
  <c r="AN18"/>
  <c r="AJ18"/>
  <c r="AO30"/>
  <c r="AU30"/>
  <c r="BA18"/>
  <c r="AS18"/>
  <c r="AK18"/>
  <c r="BA36"/>
  <c r="AW36"/>
  <c r="AS36"/>
  <c r="AO36"/>
  <c r="AK36"/>
  <c r="BB36"/>
  <c r="AX36"/>
  <c r="AT36"/>
  <c r="AP36"/>
  <c r="AL36"/>
  <c r="BB30"/>
  <c r="AX30"/>
  <c r="AT30"/>
  <c r="AP30"/>
  <c r="AS30"/>
  <c r="AY30"/>
  <c r="AI30"/>
  <c r="AY18"/>
  <c r="AQ18"/>
  <c r="AI18"/>
  <c r="BA24"/>
  <c r="AW24"/>
  <c r="AS24"/>
  <c r="AO24"/>
  <c r="AK24"/>
  <c r="BB24"/>
  <c r="AX24"/>
  <c r="AT24"/>
  <c r="AP24"/>
  <c r="AL24"/>
  <c r="BB18"/>
  <c r="AX18"/>
  <c r="AT18"/>
  <c r="AP18"/>
  <c r="AL18"/>
  <c r="AW30"/>
  <c r="BC30"/>
  <c r="AM30"/>
  <c r="AW18"/>
  <c r="AO18"/>
  <c r="BC36"/>
  <c r="AY36"/>
  <c r="AU36"/>
  <c r="AQ36"/>
  <c r="AM36"/>
  <c r="AI36"/>
  <c r="AZ36"/>
  <c r="AV36"/>
  <c r="AR36"/>
  <c r="AN36"/>
  <c r="AJ36"/>
  <c r="AZ30"/>
  <c r="AV30"/>
  <c r="AR30"/>
  <c r="AN30"/>
  <c r="AJ30"/>
  <c r="AL30"/>
  <c r="AH18"/>
  <c r="AH36"/>
  <c r="AH24"/>
  <c r="AH30"/>
  <c r="AG30"/>
  <c r="AG24"/>
  <c r="AG18"/>
  <c r="AG36"/>
  <c r="AF18"/>
  <c r="AF24"/>
  <c r="AF36"/>
  <c r="AF30"/>
  <c r="AE18"/>
  <c r="AE30"/>
  <c r="AE24"/>
  <c r="AE36"/>
  <c r="AD24"/>
  <c r="AD36"/>
  <c r="AD18"/>
  <c r="AD30"/>
  <c r="AC30"/>
  <c r="AC24"/>
  <c r="AC18"/>
  <c r="AC36"/>
  <c r="AB18"/>
  <c r="AB24"/>
  <c r="AB36"/>
  <c r="AB30"/>
  <c r="AA24"/>
  <c r="AA30"/>
  <c r="AA18"/>
  <c r="AA36"/>
  <c r="Z18"/>
  <c r="Z36"/>
  <c r="Z24"/>
  <c r="Z30"/>
  <c r="Y18"/>
  <c r="Y24"/>
  <c r="Y30"/>
  <c r="Y36"/>
  <c r="X18"/>
  <c r="X36"/>
  <c r="X30"/>
  <c r="X24"/>
  <c r="S123" l="1"/>
  <c r="W123"/>
  <c r="C124"/>
  <c r="AI82" i="10"/>
  <c r="S124" i="8" l="1"/>
  <c r="W124"/>
  <c r="K18"/>
  <c r="I18"/>
  <c r="J18"/>
  <c r="H18"/>
  <c r="E3" i="9" s="1"/>
  <c r="Q18" i="8"/>
  <c r="P18"/>
  <c r="O18"/>
  <c r="N18"/>
  <c r="M18"/>
  <c r="L18"/>
  <c r="O36"/>
  <c r="N36"/>
  <c r="L36"/>
  <c r="M36"/>
  <c r="P36"/>
  <c r="Q36"/>
  <c r="K24"/>
  <c r="J24"/>
  <c r="I24"/>
  <c r="AS45"/>
  <c r="AS53"/>
  <c r="H24"/>
  <c r="L30"/>
  <c r="M30"/>
  <c r="P30"/>
  <c r="Q30"/>
  <c r="O30"/>
  <c r="N30"/>
  <c r="O24"/>
  <c r="N24"/>
  <c r="L24"/>
  <c r="M24"/>
  <c r="K36"/>
  <c r="J36"/>
  <c r="H36"/>
  <c r="I36"/>
  <c r="P24"/>
  <c r="Q24"/>
  <c r="K30"/>
  <c r="J30"/>
  <c r="I30"/>
  <c r="H30"/>
  <c r="F3" i="9" l="1"/>
  <c r="D3"/>
  <c r="F15"/>
  <c r="D15"/>
  <c r="E15"/>
  <c r="AS44" i="8"/>
  <c r="AS46" s="1"/>
  <c r="F11" i="9"/>
  <c r="D11"/>
  <c r="E11"/>
  <c r="D7"/>
  <c r="F7"/>
  <c r="E7"/>
  <c r="D64" s="1"/>
  <c r="AS47" i="8" l="1"/>
  <c r="AS48" l="1"/>
  <c r="AS49" l="1"/>
  <c r="AS50" l="1"/>
  <c r="AS51" l="1"/>
  <c r="AS52" l="1"/>
  <c r="AT53"/>
  <c r="AT51"/>
  <c r="AT46"/>
  <c r="AT49"/>
  <c r="AT50"/>
  <c r="AT47"/>
  <c r="AT48"/>
  <c r="AT45"/>
  <c r="AT52"/>
</calcChain>
</file>

<file path=xl/comments1.xml><?xml version="1.0" encoding="utf-8"?>
<comments xmlns="http://schemas.openxmlformats.org/spreadsheetml/2006/main">
  <authors>
    <author>Author</author>
  </authors>
  <commentList>
    <comment ref="B4" authorId="0">
      <text>
        <r>
          <rPr>
            <sz val="12"/>
            <color indexed="81"/>
            <rFont val="Tahoma"/>
            <family val="2"/>
          </rPr>
          <t>Step size: Use to control overall range
Fixed 80 Points
1: Range 80mm
2: Range 160mm
3: Range 240mm</t>
        </r>
      </text>
    </comment>
    <comment ref="B5" authorId="0">
      <text>
        <r>
          <rPr>
            <sz val="12"/>
            <color indexed="81"/>
            <rFont val="Tahoma"/>
            <family val="2"/>
          </rPr>
          <t>0 - Fixture which actually goes to zero when FAR (normal use)
1 - Xtalk creates an offset @ FAR</t>
        </r>
      </text>
    </comment>
  </commentList>
</comments>
</file>

<file path=xl/sharedStrings.xml><?xml version="1.0" encoding="utf-8"?>
<sst xmlns="http://schemas.openxmlformats.org/spreadsheetml/2006/main" count="124" uniqueCount="80">
  <si>
    <t>mean</t>
  </si>
  <si>
    <t>stdev</t>
  </si>
  <si>
    <t>#/devices</t>
  </si>
  <si>
    <t>start</t>
  </si>
  <si>
    <t>increment</t>
  </si>
  <si>
    <t>Transition</t>
  </si>
  <si>
    <t>Mean</t>
  </si>
  <si>
    <t>Stdev</t>
  </si>
  <si>
    <t>data</t>
  </si>
  <si>
    <t>#</t>
  </si>
  <si>
    <t>Label</t>
  </si>
  <si>
    <t>Sub Label</t>
  </si>
  <si>
    <t>Unit</t>
  </si>
  <si>
    <t>mm</t>
  </si>
  <si>
    <t>step</t>
  </si>
  <si>
    <t>min</t>
  </si>
  <si>
    <t>max</t>
  </si>
  <si>
    <t>count</t>
  </si>
  <si>
    <t>Histogram</t>
  </si>
  <si>
    <t>Range Ratio</t>
  </si>
  <si>
    <t>rev</t>
  </si>
  <si>
    <t>Offset</t>
  </si>
  <si>
    <t>relativePrx</t>
  </si>
  <si>
    <t>HI</t>
  </si>
  <si>
    <t>LO</t>
  </si>
  <si>
    <t>FSR</t>
  </si>
  <si>
    <t>Cell 0</t>
  </si>
  <si>
    <t>Cell 1</t>
  </si>
  <si>
    <t>Cell 2</t>
  </si>
  <si>
    <t>Cell 3</t>
  </si>
  <si>
    <t>All</t>
  </si>
  <si>
    <t>LO-MID</t>
  </si>
  <si>
    <t>HI-MID</t>
  </si>
  <si>
    <t>MAX</t>
  </si>
  <si>
    <t>X</t>
  </si>
  <si>
    <t>AVG</t>
  </si>
  <si>
    <t>Composite</t>
  </si>
  <si>
    <r>
      <t>3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Min</t>
    </r>
  </si>
  <si>
    <r>
      <t>3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Max</t>
    </r>
  </si>
  <si>
    <t>min Offset</t>
  </si>
  <si>
    <t>max Offset</t>
  </si>
  <si>
    <t>Saturation</t>
  </si>
  <si>
    <t>resolution</t>
  </si>
  <si>
    <t>fullscale</t>
  </si>
  <si>
    <t>Mask</t>
  </si>
  <si>
    <t>Adjust</t>
  </si>
  <si>
    <t>res.</t>
  </si>
  <si>
    <t>Set</t>
  </si>
  <si>
    <t>Glass Xmit @850nm=</t>
  </si>
  <si>
    <t>Target Reflection=</t>
  </si>
  <si>
    <t>Package Height=</t>
  </si>
  <si>
    <t>Spacer=</t>
  </si>
  <si>
    <t>Gap=</t>
  </si>
  <si>
    <t>Device</t>
  </si>
  <si>
    <t>Palette</t>
  </si>
  <si>
    <t>Start (mm)=</t>
  </si>
  <si>
    <t>Offset Adjust</t>
  </si>
  <si>
    <t>Total Offset</t>
  </si>
  <si>
    <t>Total Offset Ratio</t>
  </si>
  <si>
    <t>Key</t>
  </si>
  <si>
    <t>Output Values</t>
  </si>
  <si>
    <t>Input Values</t>
  </si>
  <si>
    <t>Out of Range</t>
  </si>
  <si>
    <t>SwpRng</t>
  </si>
  <si>
    <t>Sweep Range (mm)=</t>
  </si>
  <si>
    <t>Params</t>
  </si>
  <si>
    <t>PswpStart=</t>
  </si>
  <si>
    <t>PswpStop=</t>
  </si>
  <si>
    <t>PswpStep=</t>
  </si>
  <si>
    <r>
      <t>-1.5</t>
    </r>
    <r>
      <rPr>
        <sz val="11"/>
        <color theme="1"/>
        <rFont val="Calibri"/>
        <family val="2"/>
      </rPr>
      <t>σ</t>
    </r>
  </si>
  <si>
    <t>+1.5σ</t>
  </si>
  <si>
    <t>Max</t>
  </si>
  <si>
    <t>Rel.</t>
  </si>
  <si>
    <t>Valid "Near"</t>
  </si>
  <si>
    <r>
      <t>y = 5.9868x</t>
    </r>
    <r>
      <rPr>
        <vertAlign val="superscript"/>
        <sz val="10"/>
        <color rgb="FF000000"/>
        <rFont val="Calibri"/>
        <family val="2"/>
        <scheme val="minor"/>
      </rPr>
      <t>-1.191</t>
    </r>
    <r>
      <rPr>
        <sz val="10"/>
        <color rgb="FF000000"/>
        <rFont val="Calibri"/>
        <family val="2"/>
        <scheme val="minor"/>
      </rPr>
      <t xml:space="preserve"> </t>
    </r>
  </si>
  <si>
    <t>Normalize Hi Range</t>
  </si>
  <si>
    <t>Calc.</t>
  </si>
  <si>
    <t>Offset Resolution</t>
  </si>
  <si>
    <t xml:space="preserve"> Proximity Sweep: </t>
  </si>
  <si>
    <t>Plate Thickness=</t>
  </si>
</sst>
</file>

<file path=xl/styles.xml><?xml version="1.0" encoding="utf-8"?>
<styleSheet xmlns="http://schemas.openxmlformats.org/spreadsheetml/2006/main">
  <numFmts count="3">
    <numFmt numFmtId="164" formatCode="0.000"/>
    <numFmt numFmtId="165" formatCode="0.0"/>
    <numFmt numFmtId="166" formatCode="0.0%"/>
  </numFmts>
  <fonts count="8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b/>
      <sz val="11"/>
      <color theme="1"/>
      <name val="Calibri"/>
      <family val="2"/>
      <scheme val="minor"/>
    </font>
    <font>
      <sz val="12"/>
      <color indexed="81"/>
      <name val="Tahoma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rgb="FF000000"/>
      <name val="Calibri"/>
      <family val="2"/>
      <scheme val="minor"/>
    </font>
    <font>
      <vertAlign val="superscript"/>
      <sz val="10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1" xfId="0" applyNumberFormat="1" applyFont="1" applyBorder="1" applyAlignment="1">
      <alignment horizontal="center"/>
    </xf>
    <xf numFmtId="0" fontId="0" fillId="0" borderId="0" xfId="0" applyFill="1" applyBorder="1" applyAlignment="1"/>
    <xf numFmtId="165" fontId="0" fillId="0" borderId="0" xfId="0" applyNumberFormat="1" applyFont="1" applyFill="1" applyBorder="1" applyAlignment="1">
      <alignment horizontal="center"/>
    </xf>
    <xf numFmtId="0" fontId="0" fillId="3" borderId="1" xfId="0" applyFill="1" applyBorder="1"/>
    <xf numFmtId="165" fontId="0" fillId="3" borderId="1" xfId="0" applyNumberFormat="1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2" xfId="0" applyFill="1" applyBorder="1" applyAlignment="1">
      <alignment horizontal="right"/>
    </xf>
    <xf numFmtId="165" fontId="0" fillId="0" borderId="0" xfId="0" applyNumberFormat="1" applyBorder="1" applyAlignment="1">
      <alignment horizontal="center"/>
    </xf>
    <xf numFmtId="166" fontId="0" fillId="0" borderId="1" xfId="0" applyNumberFormat="1" applyFont="1" applyBorder="1" applyAlignment="1">
      <alignment horizontal="center"/>
    </xf>
    <xf numFmtId="0" fontId="0" fillId="0" borderId="1" xfId="0" applyFill="1" applyBorder="1"/>
    <xf numFmtId="0" fontId="0" fillId="0" borderId="1" xfId="0" applyFill="1" applyBorder="1" applyAlignment="1">
      <alignment horizontal="center"/>
    </xf>
    <xf numFmtId="165" fontId="0" fillId="0" borderId="0" xfId="0" applyNumberFormat="1"/>
    <xf numFmtId="0" fontId="0" fillId="0" borderId="0" xfId="0"/>
    <xf numFmtId="0" fontId="0" fillId="0" borderId="0" xfId="0" applyBorder="1"/>
    <xf numFmtId="165" fontId="0" fillId="0" borderId="0" xfId="0" applyNumberFormat="1" applyBorder="1"/>
    <xf numFmtId="166" fontId="0" fillId="0" borderId="0" xfId="0" applyNumberFormat="1" applyBorder="1"/>
    <xf numFmtId="0" fontId="0" fillId="0" borderId="0" xfId="0" applyBorder="1" applyAlignment="1"/>
    <xf numFmtId="0" fontId="0" fillId="0" borderId="0" xfId="0" applyAlignment="1">
      <alignment horizontal="center"/>
    </xf>
    <xf numFmtId="9" fontId="0" fillId="0" borderId="0" xfId="0" applyNumberFormat="1" applyBorder="1"/>
    <xf numFmtId="2" fontId="0" fillId="2" borderId="2" xfId="0" applyNumberFormat="1" applyFill="1" applyBorder="1"/>
    <xf numFmtId="165" fontId="0" fillId="0" borderId="7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4" fontId="0" fillId="0" borderId="0" xfId="0" applyNumberFormat="1" applyBorder="1"/>
    <xf numFmtId="165" fontId="2" fillId="0" borderId="0" xfId="0" applyNumberFormat="1" applyFont="1"/>
    <xf numFmtId="164" fontId="0" fillId="0" borderId="0" xfId="0" applyNumberFormat="1" applyFont="1" applyBorder="1"/>
    <xf numFmtId="166" fontId="0" fillId="0" borderId="1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165" fontId="0" fillId="0" borderId="0" xfId="0" applyNumberFormat="1" applyAlignment="1">
      <alignment vertical="center"/>
    </xf>
    <xf numFmtId="165" fontId="0" fillId="0" borderId="3" xfId="0" applyNumberFormat="1" applyBorder="1"/>
    <xf numFmtId="165" fontId="0" fillId="0" borderId="6" xfId="0" applyNumberFormat="1" applyBorder="1"/>
    <xf numFmtId="166" fontId="0" fillId="0" borderId="7" xfId="0" applyNumberFormat="1" applyBorder="1"/>
    <xf numFmtId="165" fontId="0" fillId="0" borderId="8" xfId="0" applyNumberFormat="1" applyBorder="1"/>
    <xf numFmtId="166" fontId="0" fillId="0" borderId="9" xfId="0" applyNumberFormat="1" applyBorder="1"/>
    <xf numFmtId="166" fontId="0" fillId="0" borderId="10" xfId="0" applyNumberFormat="1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Font="1"/>
    <xf numFmtId="0" fontId="0" fillId="0" borderId="0" xfId="0" applyAlignment="1">
      <alignment horizontal="left"/>
    </xf>
    <xf numFmtId="0" fontId="0" fillId="0" borderId="0" xfId="0" applyFill="1" applyBorder="1" applyAlignment="1">
      <alignment horizontal="center"/>
    </xf>
    <xf numFmtId="9" fontId="0" fillId="4" borderId="7" xfId="0" applyNumberFormat="1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5" borderId="10" xfId="0" applyFill="1" applyBorder="1" applyAlignment="1">
      <alignment horizontal="left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right"/>
    </xf>
    <xf numFmtId="166" fontId="0" fillId="0" borderId="0" xfId="0" applyNumberFormat="1" applyBorder="1" applyAlignment="1">
      <alignment horizontal="center"/>
    </xf>
    <xf numFmtId="0" fontId="0" fillId="0" borderId="0" xfId="0" applyBorder="1" applyAlignment="1">
      <alignment vertical="top"/>
    </xf>
    <xf numFmtId="165" fontId="0" fillId="0" borderId="0" xfId="0" applyNumberFormat="1" applyBorder="1" applyAlignment="1"/>
    <xf numFmtId="164" fontId="0" fillId="0" borderId="0" xfId="0" applyNumberFormat="1" applyBorder="1" applyAlignment="1"/>
    <xf numFmtId="164" fontId="0" fillId="0" borderId="0" xfId="0" applyNumberFormat="1" applyFill="1" applyBorder="1" applyAlignment="1"/>
    <xf numFmtId="0" fontId="0" fillId="4" borderId="5" xfId="0" applyNumberFormat="1" applyFill="1" applyBorder="1" applyAlignment="1">
      <alignment horizontal="center" vertical="center"/>
    </xf>
    <xf numFmtId="0" fontId="0" fillId="4" borderId="7" xfId="0" applyNumberFormat="1" applyFill="1" applyBorder="1" applyAlignment="1">
      <alignment horizontal="center" vertical="center"/>
    </xf>
    <xf numFmtId="165" fontId="0" fillId="4" borderId="7" xfId="0" applyNumberFormat="1" applyFill="1" applyBorder="1" applyAlignment="1">
      <alignment horizontal="left" vertical="center"/>
    </xf>
    <xf numFmtId="2" fontId="0" fillId="2" borderId="2" xfId="0" applyNumberFormat="1" applyFill="1" applyBorder="1" applyAlignment="1">
      <alignment horizontal="right"/>
    </xf>
    <xf numFmtId="165" fontId="0" fillId="0" borderId="1" xfId="0" applyNumberFormat="1" applyBorder="1" applyAlignment="1">
      <alignment horizontal="center"/>
    </xf>
    <xf numFmtId="2" fontId="0" fillId="2" borderId="0" xfId="0" applyNumberFormat="1" applyFill="1" applyBorder="1"/>
    <xf numFmtId="166" fontId="0" fillId="0" borderId="0" xfId="0" applyNumberFormat="1" applyFont="1" applyBorder="1" applyAlignment="1">
      <alignment horizontal="center"/>
    </xf>
    <xf numFmtId="0" fontId="0" fillId="0" borderId="6" xfId="0" applyBorder="1"/>
    <xf numFmtId="0" fontId="0" fillId="0" borderId="8" xfId="0" applyBorder="1"/>
    <xf numFmtId="0" fontId="0" fillId="0" borderId="0" xfId="0" quotePrefix="1" applyBorder="1" applyAlignment="1">
      <alignment horizontal="center"/>
    </xf>
    <xf numFmtId="0" fontId="0" fillId="4" borderId="0" xfId="0" applyFill="1" applyBorder="1"/>
    <xf numFmtId="2" fontId="0" fillId="2" borderId="1" xfId="0" applyNumberFormat="1" applyFill="1" applyBorder="1"/>
    <xf numFmtId="0" fontId="0" fillId="0" borderId="0" xfId="0" applyBorder="1" applyAlignment="1">
      <alignment horizontal="left" vertical="top" wrapText="1"/>
    </xf>
    <xf numFmtId="2" fontId="0" fillId="0" borderId="0" xfId="0" applyNumberFormat="1" applyFill="1" applyBorder="1"/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6" xfId="0" applyBorder="1" applyAlignment="1">
      <alignment horizontal="right"/>
    </xf>
    <xf numFmtId="0" fontId="0" fillId="0" borderId="0" xfId="0" applyBorder="1" applyAlignment="1">
      <alignment horizontal="right"/>
    </xf>
    <xf numFmtId="0" fontId="2" fillId="0" borderId="0" xfId="0" applyFont="1" applyAlignment="1">
      <alignment horizontal="right"/>
    </xf>
    <xf numFmtId="0" fontId="0" fillId="0" borderId="1" xfId="0" applyBorder="1" applyAlignment="1">
      <alignment horizontal="center" vertical="top" wrapText="1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8" xfId="0" applyFill="1" applyBorder="1" applyAlignment="1">
      <alignment horizontal="right"/>
    </xf>
    <xf numFmtId="0" fontId="0" fillId="0" borderId="9" xfId="0" applyFill="1" applyBorder="1" applyAlignment="1">
      <alignment horizontal="right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left" vertical="top" wrapText="1"/>
    </xf>
    <xf numFmtId="0" fontId="0" fillId="2" borderId="1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9" fontId="0" fillId="0" borderId="1" xfId="0" applyNumberFormat="1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9" fontId="0" fillId="0" borderId="11" xfId="0" applyNumberFormat="1" applyBorder="1" applyAlignment="1">
      <alignment horizontal="center" vertical="top"/>
    </xf>
    <xf numFmtId="0" fontId="0" fillId="0" borderId="12" xfId="0" applyBorder="1" applyAlignment="1">
      <alignment horizontal="center" vertical="top"/>
    </xf>
    <xf numFmtId="0" fontId="0" fillId="0" borderId="13" xfId="0" applyBorder="1" applyAlignment="1">
      <alignment horizontal="center" vertical="top"/>
    </xf>
    <xf numFmtId="0" fontId="0" fillId="0" borderId="0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7" borderId="0" xfId="0" applyFill="1" applyBorder="1" applyAlignment="1">
      <alignment horizontal="center"/>
    </xf>
    <xf numFmtId="0" fontId="6" fillId="0" borderId="0" xfId="0" applyFont="1" applyAlignment="1">
      <alignment horizontal="center" readingOrder="1"/>
    </xf>
    <xf numFmtId="0" fontId="4" fillId="0" borderId="0" xfId="0" applyFont="1" applyAlignment="1">
      <alignment horizontal="left"/>
    </xf>
    <xf numFmtId="0" fontId="0" fillId="4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</cellXfs>
  <cellStyles count="1">
    <cellStyle name="Normal" xfId="0" builtinId="0"/>
  </cellStyles>
  <dxfs count="70"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C00000"/>
        </patternFill>
      </fill>
    </dxf>
  </dxfs>
  <tableStyles count="0" defaultTableStyle="TableStyleMedium9" defaultPivotStyle="PivotStyleLight16"/>
  <colors>
    <mruColors>
      <color rgb="FF070707"/>
      <color rgb="FFE5E5E5"/>
      <color rgb="FF2D2D2D"/>
      <color rgb="FF0C0C0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000"/>
              <a:t>29149 Range Distribution (10%): 6% Reflector , 77% Xmit @ 850nm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cat>
            <c:numRef>
              <c:f>Calculations!$AS$45:$AS$53</c:f>
              <c:numCache>
                <c:formatCode>0.0</c:formatCode>
                <c:ptCount val="9"/>
                <c:pt idx="0">
                  <c:v>32.75</c:v>
                </c:pt>
                <c:pt idx="1">
                  <c:v>33.15625</c:v>
                </c:pt>
                <c:pt idx="2">
                  <c:v>33.5625</c:v>
                </c:pt>
                <c:pt idx="3">
                  <c:v>33.96875</c:v>
                </c:pt>
                <c:pt idx="4">
                  <c:v>34.375</c:v>
                </c:pt>
                <c:pt idx="5">
                  <c:v>34.78125</c:v>
                </c:pt>
                <c:pt idx="6">
                  <c:v>35.1875</c:v>
                </c:pt>
                <c:pt idx="7">
                  <c:v>35.59375</c:v>
                </c:pt>
                <c:pt idx="8">
                  <c:v>36</c:v>
                </c:pt>
              </c:numCache>
            </c:numRef>
          </c:cat>
          <c:val>
            <c:numRef>
              <c:f>Calculations!$AT$45:$AT$53</c:f>
              <c:numCache>
                <c:formatCode>General</c:formatCode>
                <c:ptCount val="9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6</c:v>
                </c:pt>
                <c:pt idx="4">
                  <c:v>7</c:v>
                </c:pt>
                <c:pt idx="5">
                  <c:v>4</c:v>
                </c:pt>
                <c:pt idx="6">
                  <c:v>3</c:v>
                </c:pt>
                <c:pt idx="7">
                  <c:v>6</c:v>
                </c:pt>
                <c:pt idx="8">
                  <c:v>3</c:v>
                </c:pt>
              </c:numCache>
            </c:numRef>
          </c:val>
        </c:ser>
        <c:axId val="133351680"/>
        <c:axId val="133431296"/>
      </c:barChart>
      <c:catAx>
        <c:axId val="1333516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Sensor to</a:t>
                </a:r>
                <a:r>
                  <a:rPr lang="en-US" baseline="0"/>
                  <a:t> Target Distance in mm</a:t>
                </a:r>
                <a:endParaRPr lang="en-US"/>
              </a:p>
            </c:rich>
          </c:tx>
        </c:title>
        <c:numFmt formatCode="0.0" sourceLinked="1"/>
        <c:tickLblPos val="nextTo"/>
        <c:crossAx val="133431296"/>
        <c:crosses val="autoZero"/>
        <c:auto val="1"/>
        <c:lblAlgn val="ctr"/>
        <c:lblOffset val="100"/>
      </c:catAx>
      <c:valAx>
        <c:axId val="13343129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#/ devices</a:t>
                </a:r>
              </a:p>
            </c:rich>
          </c:tx>
        </c:title>
        <c:numFmt formatCode="General" sourceLinked="1"/>
        <c:tickLblPos val="nextTo"/>
        <c:crossAx val="133351680"/>
        <c:crosses val="autoZero"/>
        <c:crossBetween val="between"/>
      </c:valAx>
    </c:plotArea>
    <c:plotVisOnly val="1"/>
  </c:chart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000"/>
              <a:t>29149 Proximity Sweep: 6% Reflector , 77% Xmit @ 850nm</a:t>
            </a:r>
          </a:p>
        </c:rich>
      </c:tx>
    </c:title>
    <c:plotArea>
      <c:layout/>
      <c:scatterChart>
        <c:scatterStyle val="lineMarker"/>
        <c:ser>
          <c:idx val="2"/>
          <c:order val="2"/>
          <c:tx>
            <c:strRef>
              <c:f>Calculations!$D$42</c:f>
              <c:strCache>
                <c:ptCount val="1"/>
                <c:pt idx="0">
                  <c:v>HI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Calculations!$E$44:$E$124</c:f>
              <c:numCache>
                <c:formatCode>0.000</c:formatCode>
                <c:ptCount val="81"/>
                <c:pt idx="0">
                  <c:v>0.99899999999999956</c:v>
                </c:pt>
                <c:pt idx="1">
                  <c:v>0.99899999999999956</c:v>
                </c:pt>
                <c:pt idx="2">
                  <c:v>0.99899999999999956</c:v>
                </c:pt>
                <c:pt idx="3">
                  <c:v>0.99899999999999956</c:v>
                </c:pt>
                <c:pt idx="4">
                  <c:v>0.99899999999999956</c:v>
                </c:pt>
                <c:pt idx="5">
                  <c:v>0.99899999999999956</c:v>
                </c:pt>
                <c:pt idx="6">
                  <c:v>0.99899999999999956</c:v>
                </c:pt>
                <c:pt idx="7">
                  <c:v>0.99899999999999956</c:v>
                </c:pt>
                <c:pt idx="8">
                  <c:v>0.99899999999999956</c:v>
                </c:pt>
                <c:pt idx="9">
                  <c:v>0.99899999999999956</c:v>
                </c:pt>
                <c:pt idx="10">
                  <c:v>0.9898449754901959</c:v>
                </c:pt>
                <c:pt idx="11">
                  <c:v>0.93615196078431384</c:v>
                </c:pt>
                <c:pt idx="12">
                  <c:v>0.82708333333333373</c:v>
                </c:pt>
                <c:pt idx="13">
                  <c:v>0.73394607843137305</c:v>
                </c:pt>
                <c:pt idx="14">
                  <c:v>0.66102941176470609</c:v>
                </c:pt>
                <c:pt idx="15">
                  <c:v>0.60061274509803908</c:v>
                </c:pt>
                <c:pt idx="16">
                  <c:v>0.54816176470588218</c:v>
                </c:pt>
                <c:pt idx="17">
                  <c:v>0.49987745098039221</c:v>
                </c:pt>
                <c:pt idx="18">
                  <c:v>0.4596813725490197</c:v>
                </c:pt>
                <c:pt idx="19">
                  <c:v>0.42757352941176491</c:v>
                </c:pt>
                <c:pt idx="20">
                  <c:v>0.39803921568627476</c:v>
                </c:pt>
                <c:pt idx="21">
                  <c:v>0.37414215686274538</c:v>
                </c:pt>
                <c:pt idx="22">
                  <c:v>0.34938725490196082</c:v>
                </c:pt>
                <c:pt idx="23">
                  <c:v>0.33100490196078419</c:v>
                </c:pt>
                <c:pt idx="24">
                  <c:v>0.31115196078431356</c:v>
                </c:pt>
                <c:pt idx="25">
                  <c:v>0.29473039215686264</c:v>
                </c:pt>
                <c:pt idx="26">
                  <c:v>0.27879901960784303</c:v>
                </c:pt>
                <c:pt idx="27">
                  <c:v>0.26874999999999999</c:v>
                </c:pt>
                <c:pt idx="28">
                  <c:v>0.25784313725490199</c:v>
                </c:pt>
                <c:pt idx="29">
                  <c:v>0.24730392156862749</c:v>
                </c:pt>
                <c:pt idx="30">
                  <c:v>0.23713235294117652</c:v>
                </c:pt>
                <c:pt idx="31">
                  <c:v>0.22830882352941179</c:v>
                </c:pt>
                <c:pt idx="32">
                  <c:v>0.21985294117647053</c:v>
                </c:pt>
                <c:pt idx="33">
                  <c:v>0.2118872549019607</c:v>
                </c:pt>
                <c:pt idx="34">
                  <c:v>0.20563725490196072</c:v>
                </c:pt>
                <c:pt idx="35">
                  <c:v>0.1992647058823529</c:v>
                </c:pt>
                <c:pt idx="36">
                  <c:v>0.19362745098039211</c:v>
                </c:pt>
                <c:pt idx="37">
                  <c:v>0.18860294117647056</c:v>
                </c:pt>
                <c:pt idx="38">
                  <c:v>0.18370098039215685</c:v>
                </c:pt>
                <c:pt idx="39">
                  <c:v>0.17928921568627451</c:v>
                </c:pt>
                <c:pt idx="40">
                  <c:v>0.1738970588235294</c:v>
                </c:pt>
                <c:pt idx="41">
                  <c:v>0.17034313725490197</c:v>
                </c:pt>
                <c:pt idx="42">
                  <c:v>0.1667892156862745</c:v>
                </c:pt>
                <c:pt idx="43">
                  <c:v>0.16286764705882353</c:v>
                </c:pt>
                <c:pt idx="44">
                  <c:v>0.1593137254901961</c:v>
                </c:pt>
                <c:pt idx="45">
                  <c:v>0.15526960784313729</c:v>
                </c:pt>
                <c:pt idx="46">
                  <c:v>0.15269607843137259</c:v>
                </c:pt>
                <c:pt idx="47">
                  <c:v>0.15073529411764711</c:v>
                </c:pt>
                <c:pt idx="48">
                  <c:v>0.14852941176470591</c:v>
                </c:pt>
                <c:pt idx="49">
                  <c:v>0.14656862745098043</c:v>
                </c:pt>
                <c:pt idx="50">
                  <c:v>0.14374999999999996</c:v>
                </c:pt>
                <c:pt idx="51">
                  <c:v>0.14227941176470585</c:v>
                </c:pt>
                <c:pt idx="52">
                  <c:v>0.13946078431372544</c:v>
                </c:pt>
                <c:pt idx="53">
                  <c:v>0.13823529411764704</c:v>
                </c:pt>
                <c:pt idx="54">
                  <c:v>0.13553921568627447</c:v>
                </c:pt>
                <c:pt idx="55">
                  <c:v>0.1345588235294117</c:v>
                </c:pt>
                <c:pt idx="56">
                  <c:v>0.13259803921568622</c:v>
                </c:pt>
                <c:pt idx="57">
                  <c:v>0.13137254901960779</c:v>
                </c:pt>
                <c:pt idx="58">
                  <c:v>0.13002450980392152</c:v>
                </c:pt>
                <c:pt idx="59">
                  <c:v>0.1279411764705882</c:v>
                </c:pt>
                <c:pt idx="60">
                  <c:v>0.12512254901960779</c:v>
                </c:pt>
                <c:pt idx="61">
                  <c:v>0.12438725490196072</c:v>
                </c:pt>
                <c:pt idx="62">
                  <c:v>0.12463235294117642</c:v>
                </c:pt>
                <c:pt idx="63">
                  <c:v>0.12426470588235289</c:v>
                </c:pt>
                <c:pt idx="64">
                  <c:v>0.12230392156862741</c:v>
                </c:pt>
                <c:pt idx="65">
                  <c:v>0.12144607843137249</c:v>
                </c:pt>
                <c:pt idx="66">
                  <c:v>0.12107843137254896</c:v>
                </c:pt>
                <c:pt idx="67">
                  <c:v>0.11948529411764701</c:v>
                </c:pt>
                <c:pt idx="68">
                  <c:v>0.11936274509803918</c:v>
                </c:pt>
                <c:pt idx="69">
                  <c:v>0.11887254901960778</c:v>
                </c:pt>
                <c:pt idx="70">
                  <c:v>0.11678921568627446</c:v>
                </c:pt>
                <c:pt idx="71">
                  <c:v>0.11703431372549014</c:v>
                </c:pt>
                <c:pt idx="72">
                  <c:v>0.11617647058823524</c:v>
                </c:pt>
                <c:pt idx="73">
                  <c:v>0.11519607843137249</c:v>
                </c:pt>
                <c:pt idx="74">
                  <c:v>0.11482843137254896</c:v>
                </c:pt>
                <c:pt idx="75">
                  <c:v>0.11360294117647053</c:v>
                </c:pt>
                <c:pt idx="76">
                  <c:v>0.11249999999999995</c:v>
                </c:pt>
                <c:pt idx="77">
                  <c:v>0.11200980392156858</c:v>
                </c:pt>
                <c:pt idx="78">
                  <c:v>0.11127450980392152</c:v>
                </c:pt>
                <c:pt idx="79">
                  <c:v>0.11029411764705878</c:v>
                </c:pt>
                <c:pt idx="80">
                  <c:v>0.10857843137254898</c:v>
                </c:pt>
              </c:numCache>
            </c:numRef>
          </c:yVal>
        </c:ser>
        <c:ser>
          <c:idx val="3"/>
          <c:order val="3"/>
          <c:tx>
            <c:strRef>
              <c:f>Calculations!$J$42</c:f>
              <c:strCache>
                <c:ptCount val="1"/>
                <c:pt idx="0">
                  <c:v>HI-MID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Calculations!$J$44:$J$124</c:f>
              <c:numCache>
                <c:formatCode>0.000</c:formatCode>
                <c:ptCount val="81"/>
                <c:pt idx="0">
                  <c:v>0.99899999999999956</c:v>
                </c:pt>
                <c:pt idx="1">
                  <c:v>0.99899999999999956</c:v>
                </c:pt>
                <c:pt idx="2">
                  <c:v>0.99899999999999956</c:v>
                </c:pt>
                <c:pt idx="3">
                  <c:v>0.99899999999999956</c:v>
                </c:pt>
                <c:pt idx="4">
                  <c:v>0.99899999999999956</c:v>
                </c:pt>
                <c:pt idx="5">
                  <c:v>0.99899999999999956</c:v>
                </c:pt>
                <c:pt idx="6">
                  <c:v>0.99899999999999956</c:v>
                </c:pt>
                <c:pt idx="7">
                  <c:v>0.99899999999999956</c:v>
                </c:pt>
                <c:pt idx="8">
                  <c:v>0.99899999999999956</c:v>
                </c:pt>
                <c:pt idx="9">
                  <c:v>0.99899999999999956</c:v>
                </c:pt>
                <c:pt idx="10">
                  <c:v>0.99899999999999956</c:v>
                </c:pt>
                <c:pt idx="11">
                  <c:v>0.99899999999999956</c:v>
                </c:pt>
                <c:pt idx="12">
                  <c:v>0.99899999999999956</c:v>
                </c:pt>
                <c:pt idx="13">
                  <c:v>0.99899999999999956</c:v>
                </c:pt>
                <c:pt idx="14">
                  <c:v>0.94252450980392166</c:v>
                </c:pt>
                <c:pt idx="15">
                  <c:v>0.84901960784313757</c:v>
                </c:pt>
                <c:pt idx="16">
                  <c:v>0.76090686274509856</c:v>
                </c:pt>
                <c:pt idx="17">
                  <c:v>0.68100490196078445</c:v>
                </c:pt>
                <c:pt idx="18">
                  <c:v>0.61200980392156867</c:v>
                </c:pt>
                <c:pt idx="19">
                  <c:v>0.55637254901960786</c:v>
                </c:pt>
                <c:pt idx="20">
                  <c:v>0.50980392156862742</c:v>
                </c:pt>
                <c:pt idx="21">
                  <c:v>0.46752450980392163</c:v>
                </c:pt>
                <c:pt idx="22">
                  <c:v>0.42671568627450995</c:v>
                </c:pt>
                <c:pt idx="23">
                  <c:v>0.39546568627451001</c:v>
                </c:pt>
                <c:pt idx="24">
                  <c:v>0.3632352941176471</c:v>
                </c:pt>
                <c:pt idx="25">
                  <c:v>0.33455882352941185</c:v>
                </c:pt>
                <c:pt idx="26">
                  <c:v>0.30833333333333335</c:v>
                </c:pt>
                <c:pt idx="27">
                  <c:v>0.29215686274509806</c:v>
                </c:pt>
                <c:pt idx="28">
                  <c:v>0.27340686274509807</c:v>
                </c:pt>
                <c:pt idx="29">
                  <c:v>0.25637254901960788</c:v>
                </c:pt>
                <c:pt idx="30">
                  <c:v>0.23897058823529416</c:v>
                </c:pt>
                <c:pt idx="31">
                  <c:v>0.22401960784313732</c:v>
                </c:pt>
                <c:pt idx="32">
                  <c:v>0.21176470588235302</c:v>
                </c:pt>
                <c:pt idx="33">
                  <c:v>0.19693627450980403</c:v>
                </c:pt>
                <c:pt idx="34">
                  <c:v>0.1862745098039216</c:v>
                </c:pt>
                <c:pt idx="35">
                  <c:v>0.17561274509803923</c:v>
                </c:pt>
                <c:pt idx="36">
                  <c:v>0.16629901960784316</c:v>
                </c:pt>
                <c:pt idx="37">
                  <c:v>0.15686274509803924</c:v>
                </c:pt>
                <c:pt idx="38">
                  <c:v>0.14926470588235297</c:v>
                </c:pt>
                <c:pt idx="39">
                  <c:v>0.14142156862745098</c:v>
                </c:pt>
                <c:pt idx="40">
                  <c:v>0.1338235294117647</c:v>
                </c:pt>
                <c:pt idx="41">
                  <c:v>0.12659313725490196</c:v>
                </c:pt>
                <c:pt idx="42">
                  <c:v>0.12071078431372551</c:v>
                </c:pt>
                <c:pt idx="43">
                  <c:v>0.11531862745098041</c:v>
                </c:pt>
                <c:pt idx="44">
                  <c:v>0.10857843137254906</c:v>
                </c:pt>
                <c:pt idx="45">
                  <c:v>0.10343137254901966</c:v>
                </c:pt>
                <c:pt idx="46">
                  <c:v>9.7794117647058865E-2</c:v>
                </c:pt>
                <c:pt idx="47">
                  <c:v>9.3872549019607884E-2</c:v>
                </c:pt>
                <c:pt idx="48">
                  <c:v>9.0196078431372562E-2</c:v>
                </c:pt>
                <c:pt idx="49">
                  <c:v>8.6887254901960795E-2</c:v>
                </c:pt>
                <c:pt idx="50">
                  <c:v>8.25980392156863E-2</c:v>
                </c:pt>
                <c:pt idx="51">
                  <c:v>7.9779411764705904E-2</c:v>
                </c:pt>
                <c:pt idx="52">
                  <c:v>7.794117647058825E-2</c:v>
                </c:pt>
                <c:pt idx="53">
                  <c:v>7.6470588235294124E-2</c:v>
                </c:pt>
                <c:pt idx="54">
                  <c:v>7.120098039215686E-2</c:v>
                </c:pt>
                <c:pt idx="55">
                  <c:v>6.7647058823529407E-2</c:v>
                </c:pt>
                <c:pt idx="56">
                  <c:v>6.5441176470588239E-2</c:v>
                </c:pt>
                <c:pt idx="57">
                  <c:v>6.3112745098039214E-2</c:v>
                </c:pt>
                <c:pt idx="58">
                  <c:v>5.9926470588235303E-2</c:v>
                </c:pt>
                <c:pt idx="59">
                  <c:v>5.8578431372549027E-2</c:v>
                </c:pt>
                <c:pt idx="60">
                  <c:v>5.7598039215686285E-2</c:v>
                </c:pt>
                <c:pt idx="61">
                  <c:v>4.926470588235296E-2</c:v>
                </c:pt>
                <c:pt idx="62">
                  <c:v>5.1593137254901986E-2</c:v>
                </c:pt>
                <c:pt idx="63">
                  <c:v>4.9387254901960803E-2</c:v>
                </c:pt>
                <c:pt idx="64">
                  <c:v>4.6568627450980393E-2</c:v>
                </c:pt>
                <c:pt idx="65">
                  <c:v>4.5220588235294137E-2</c:v>
                </c:pt>
                <c:pt idx="66">
                  <c:v>4.534313725490198E-2</c:v>
                </c:pt>
                <c:pt idx="67">
                  <c:v>4.2647058823529427E-2</c:v>
                </c:pt>
                <c:pt idx="68">
                  <c:v>4.1789215686274528E-2</c:v>
                </c:pt>
                <c:pt idx="69">
                  <c:v>4.1053921568627465E-2</c:v>
                </c:pt>
                <c:pt idx="70">
                  <c:v>4.0318627450980402E-2</c:v>
                </c:pt>
                <c:pt idx="71">
                  <c:v>3.9950980392156846E-2</c:v>
                </c:pt>
                <c:pt idx="72">
                  <c:v>3.7499999999999992E-2</c:v>
                </c:pt>
                <c:pt idx="73">
                  <c:v>3.5416666666666659E-2</c:v>
                </c:pt>
                <c:pt idx="74">
                  <c:v>3.3578431372549018E-2</c:v>
                </c:pt>
                <c:pt idx="75">
                  <c:v>3.1495098039215685E-2</c:v>
                </c:pt>
                <c:pt idx="76">
                  <c:v>3.1372549019607843E-2</c:v>
                </c:pt>
                <c:pt idx="77">
                  <c:v>2.7818627450980397E-2</c:v>
                </c:pt>
                <c:pt idx="78">
                  <c:v>2.7205882352941173E-2</c:v>
                </c:pt>
                <c:pt idx="79">
                  <c:v>2.7573529411764709E-2</c:v>
                </c:pt>
                <c:pt idx="80">
                  <c:v>2.5490196078431372E-2</c:v>
                </c:pt>
              </c:numCache>
            </c:numRef>
          </c:yVal>
        </c:ser>
        <c:ser>
          <c:idx val="0"/>
          <c:order val="0"/>
          <c:tx>
            <c:strRef>
              <c:f>Calculations!$L$42</c:f>
              <c:strCache>
                <c:ptCount val="1"/>
                <c:pt idx="0">
                  <c:v>LO-MID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Calculations!$L$44:$L$124</c:f>
              <c:numCache>
                <c:formatCode>0.000</c:formatCode>
                <c:ptCount val="81"/>
                <c:pt idx="0">
                  <c:v>0.99899999999999956</c:v>
                </c:pt>
                <c:pt idx="1">
                  <c:v>0.99899999999999956</c:v>
                </c:pt>
                <c:pt idx="2">
                  <c:v>0.99899999999999956</c:v>
                </c:pt>
                <c:pt idx="3">
                  <c:v>0.99899999999999956</c:v>
                </c:pt>
                <c:pt idx="4">
                  <c:v>0.99899999999999956</c:v>
                </c:pt>
                <c:pt idx="5">
                  <c:v>0.99899999999999956</c:v>
                </c:pt>
                <c:pt idx="6">
                  <c:v>0.99899999999999956</c:v>
                </c:pt>
                <c:pt idx="7">
                  <c:v>0.99899999999999956</c:v>
                </c:pt>
                <c:pt idx="8">
                  <c:v>0.99899999999999956</c:v>
                </c:pt>
                <c:pt idx="9">
                  <c:v>0.99899999999999956</c:v>
                </c:pt>
                <c:pt idx="10">
                  <c:v>0.99899999999999956</c:v>
                </c:pt>
                <c:pt idx="11">
                  <c:v>0.99899999999999956</c:v>
                </c:pt>
                <c:pt idx="12">
                  <c:v>0.92879901960784328</c:v>
                </c:pt>
                <c:pt idx="13">
                  <c:v>0.82022058823529453</c:v>
                </c:pt>
                <c:pt idx="14">
                  <c:v>0.7350490196078433</c:v>
                </c:pt>
                <c:pt idx="15">
                  <c:v>0.66507352941176479</c:v>
                </c:pt>
                <c:pt idx="16">
                  <c:v>0.60563725490196085</c:v>
                </c:pt>
                <c:pt idx="17">
                  <c:v>0.54889705882352946</c:v>
                </c:pt>
                <c:pt idx="18">
                  <c:v>0.50245098039215685</c:v>
                </c:pt>
                <c:pt idx="19">
                  <c:v>0.46519607843137262</c:v>
                </c:pt>
                <c:pt idx="20">
                  <c:v>0.4310049019607845</c:v>
                </c:pt>
                <c:pt idx="21">
                  <c:v>0.40318627450980415</c:v>
                </c:pt>
                <c:pt idx="22">
                  <c:v>0.37487745098039243</c:v>
                </c:pt>
                <c:pt idx="23">
                  <c:v>0.35367647058823531</c:v>
                </c:pt>
                <c:pt idx="24">
                  <c:v>0.33149509803921573</c:v>
                </c:pt>
                <c:pt idx="25">
                  <c:v>0.31102941176470589</c:v>
                </c:pt>
                <c:pt idx="26">
                  <c:v>0.29276960784313727</c:v>
                </c:pt>
                <c:pt idx="27">
                  <c:v>0.28051470588235294</c:v>
                </c:pt>
                <c:pt idx="28">
                  <c:v>0.26813725490196083</c:v>
                </c:pt>
                <c:pt idx="29">
                  <c:v>0.25551470588235292</c:v>
                </c:pt>
                <c:pt idx="30">
                  <c:v>0.24534313725490198</c:v>
                </c:pt>
                <c:pt idx="31">
                  <c:v>0.23480392156862748</c:v>
                </c:pt>
                <c:pt idx="32">
                  <c:v>0.22463235294117653</c:v>
                </c:pt>
                <c:pt idx="33">
                  <c:v>0.21605392156862754</c:v>
                </c:pt>
                <c:pt idx="34">
                  <c:v>0.20821078431372558</c:v>
                </c:pt>
                <c:pt idx="35">
                  <c:v>0.20061274509803934</c:v>
                </c:pt>
                <c:pt idx="36">
                  <c:v>0.19497549019607854</c:v>
                </c:pt>
                <c:pt idx="37">
                  <c:v>0.18909313725490201</c:v>
                </c:pt>
                <c:pt idx="38">
                  <c:v>0.18333333333333338</c:v>
                </c:pt>
                <c:pt idx="39">
                  <c:v>0.17757352941176474</c:v>
                </c:pt>
                <c:pt idx="40">
                  <c:v>0.17303921568627453</c:v>
                </c:pt>
                <c:pt idx="41">
                  <c:v>0.16740196078431377</c:v>
                </c:pt>
                <c:pt idx="42">
                  <c:v>0.16360294117647062</c:v>
                </c:pt>
                <c:pt idx="43">
                  <c:v>0.15943627450980394</c:v>
                </c:pt>
                <c:pt idx="44">
                  <c:v>0.15379901960784315</c:v>
                </c:pt>
                <c:pt idx="45">
                  <c:v>0.15036764705882355</c:v>
                </c:pt>
                <c:pt idx="46">
                  <c:v>0.14718137254901961</c:v>
                </c:pt>
                <c:pt idx="47">
                  <c:v>0.14375000000000002</c:v>
                </c:pt>
                <c:pt idx="48">
                  <c:v>0.14178921568627451</c:v>
                </c:pt>
                <c:pt idx="49">
                  <c:v>0.13921568627450981</c:v>
                </c:pt>
                <c:pt idx="50">
                  <c:v>0.13676470588235295</c:v>
                </c:pt>
                <c:pt idx="51">
                  <c:v>0.13468137254901963</c:v>
                </c:pt>
                <c:pt idx="52">
                  <c:v>0.13210784313725488</c:v>
                </c:pt>
                <c:pt idx="53">
                  <c:v>0.12916666666666668</c:v>
                </c:pt>
                <c:pt idx="54">
                  <c:v>0.12745098039215685</c:v>
                </c:pt>
                <c:pt idx="55">
                  <c:v>0.12647058823529411</c:v>
                </c:pt>
                <c:pt idx="56">
                  <c:v>0.12279411764705883</c:v>
                </c:pt>
                <c:pt idx="57">
                  <c:v>0.12095588235294119</c:v>
                </c:pt>
                <c:pt idx="58">
                  <c:v>0.11960784313725491</c:v>
                </c:pt>
                <c:pt idx="59">
                  <c:v>0.11838235294117648</c:v>
                </c:pt>
                <c:pt idx="60">
                  <c:v>0.11531862745098041</c:v>
                </c:pt>
                <c:pt idx="61">
                  <c:v>0.11458333333333336</c:v>
                </c:pt>
                <c:pt idx="62">
                  <c:v>0.11458333333333336</c:v>
                </c:pt>
                <c:pt idx="63">
                  <c:v>0.11311274509803924</c:v>
                </c:pt>
                <c:pt idx="64">
                  <c:v>0.11090686274509808</c:v>
                </c:pt>
                <c:pt idx="65">
                  <c:v>0.11029411764705886</c:v>
                </c:pt>
                <c:pt idx="66">
                  <c:v>0.10931372549019611</c:v>
                </c:pt>
                <c:pt idx="67">
                  <c:v>0.10833333333333336</c:v>
                </c:pt>
                <c:pt idx="68">
                  <c:v>0.10845588235294121</c:v>
                </c:pt>
                <c:pt idx="69">
                  <c:v>0.1061274509803922</c:v>
                </c:pt>
                <c:pt idx="70">
                  <c:v>0.10477941176470593</c:v>
                </c:pt>
                <c:pt idx="71">
                  <c:v>0.10465686274509808</c:v>
                </c:pt>
                <c:pt idx="72">
                  <c:v>0.1035539215686275</c:v>
                </c:pt>
                <c:pt idx="73">
                  <c:v>0.10379901960784318</c:v>
                </c:pt>
                <c:pt idx="74">
                  <c:v>0.101593137254902</c:v>
                </c:pt>
                <c:pt idx="75">
                  <c:v>0.10049019607843142</c:v>
                </c:pt>
                <c:pt idx="76">
                  <c:v>9.9632352941176519E-2</c:v>
                </c:pt>
                <c:pt idx="77">
                  <c:v>9.877450980392162E-2</c:v>
                </c:pt>
                <c:pt idx="78">
                  <c:v>9.8529411764705935E-2</c:v>
                </c:pt>
                <c:pt idx="79">
                  <c:v>9.6568627450980452E-2</c:v>
                </c:pt>
                <c:pt idx="80">
                  <c:v>9.6323529411764766E-2</c:v>
                </c:pt>
              </c:numCache>
            </c:numRef>
          </c:yVal>
        </c:ser>
        <c:ser>
          <c:idx val="1"/>
          <c:order val="1"/>
          <c:tx>
            <c:strRef>
              <c:f>Calculations!$N$42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Calculations!$N$44:$N$124</c:f>
              <c:numCache>
                <c:formatCode>0.000</c:formatCode>
                <c:ptCount val="81"/>
                <c:pt idx="0">
                  <c:v>0.99899999999999956</c:v>
                </c:pt>
                <c:pt idx="1">
                  <c:v>0.99899999999999956</c:v>
                </c:pt>
                <c:pt idx="2">
                  <c:v>0.99899999999999956</c:v>
                </c:pt>
                <c:pt idx="3">
                  <c:v>0.99899999999999956</c:v>
                </c:pt>
                <c:pt idx="4">
                  <c:v>0.99899999999999956</c:v>
                </c:pt>
                <c:pt idx="5">
                  <c:v>0.99899999999999956</c:v>
                </c:pt>
                <c:pt idx="6">
                  <c:v>0.99899999999999956</c:v>
                </c:pt>
                <c:pt idx="7">
                  <c:v>0.99899999999999956</c:v>
                </c:pt>
                <c:pt idx="8">
                  <c:v>0.99899999999999956</c:v>
                </c:pt>
                <c:pt idx="9">
                  <c:v>0.99899999999999956</c:v>
                </c:pt>
                <c:pt idx="10">
                  <c:v>0.98972242647058806</c:v>
                </c:pt>
                <c:pt idx="11">
                  <c:v>0.93529411764705894</c:v>
                </c:pt>
                <c:pt idx="12">
                  <c:v>0.82708333333333373</c:v>
                </c:pt>
                <c:pt idx="13">
                  <c:v>0.73296568627451031</c:v>
                </c:pt>
                <c:pt idx="14">
                  <c:v>0.66004901960784335</c:v>
                </c:pt>
                <c:pt idx="15">
                  <c:v>0.59987745098039214</c:v>
                </c:pt>
                <c:pt idx="16">
                  <c:v>0.54865196078431355</c:v>
                </c:pt>
                <c:pt idx="17">
                  <c:v>0.50036764705882364</c:v>
                </c:pt>
                <c:pt idx="18">
                  <c:v>0.46029411764705891</c:v>
                </c:pt>
                <c:pt idx="19">
                  <c:v>0.42634803921568648</c:v>
                </c:pt>
                <c:pt idx="20">
                  <c:v>0.39620098039215712</c:v>
                </c:pt>
                <c:pt idx="21">
                  <c:v>0.37267156862745127</c:v>
                </c:pt>
                <c:pt idx="22">
                  <c:v>0.34914215686274513</c:v>
                </c:pt>
                <c:pt idx="23">
                  <c:v>0.33112745098039204</c:v>
                </c:pt>
                <c:pt idx="24">
                  <c:v>0.31127450980392141</c:v>
                </c:pt>
                <c:pt idx="25">
                  <c:v>0.29264705882352932</c:v>
                </c:pt>
                <c:pt idx="26">
                  <c:v>0.27794117647058814</c:v>
                </c:pt>
                <c:pt idx="27">
                  <c:v>0.26691176470588235</c:v>
                </c:pt>
                <c:pt idx="28">
                  <c:v>0.25686274509803925</c:v>
                </c:pt>
                <c:pt idx="29">
                  <c:v>0.24497549019607848</c:v>
                </c:pt>
                <c:pt idx="30">
                  <c:v>0.23750000000000004</c:v>
                </c:pt>
                <c:pt idx="31">
                  <c:v>0.2279411764705882</c:v>
                </c:pt>
                <c:pt idx="32">
                  <c:v>0.21948529411764695</c:v>
                </c:pt>
                <c:pt idx="33">
                  <c:v>0.2118872549019607</c:v>
                </c:pt>
                <c:pt idx="34">
                  <c:v>0.20477941176470582</c:v>
                </c:pt>
                <c:pt idx="35">
                  <c:v>0.19914215686274503</c:v>
                </c:pt>
                <c:pt idx="36">
                  <c:v>0.19338235294117642</c:v>
                </c:pt>
                <c:pt idx="37">
                  <c:v>0.18725490196078429</c:v>
                </c:pt>
                <c:pt idx="38">
                  <c:v>0.18419117647058822</c:v>
                </c:pt>
                <c:pt idx="39">
                  <c:v>0.18026960784313725</c:v>
                </c:pt>
                <c:pt idx="40">
                  <c:v>0.17475490196078433</c:v>
                </c:pt>
                <c:pt idx="41">
                  <c:v>0.16936274509803922</c:v>
                </c:pt>
                <c:pt idx="42">
                  <c:v>0.1659313725490196</c:v>
                </c:pt>
                <c:pt idx="43">
                  <c:v>0.16360294117647059</c:v>
                </c:pt>
                <c:pt idx="44">
                  <c:v>0.15821078431372551</c:v>
                </c:pt>
                <c:pt idx="45">
                  <c:v>0.15575980392156866</c:v>
                </c:pt>
                <c:pt idx="46">
                  <c:v>0.15232843137254906</c:v>
                </c:pt>
                <c:pt idx="47">
                  <c:v>0.14963235294117649</c:v>
                </c:pt>
                <c:pt idx="48">
                  <c:v>0.14754901960784317</c:v>
                </c:pt>
                <c:pt idx="49">
                  <c:v>0.14644607843137258</c:v>
                </c:pt>
                <c:pt idx="50">
                  <c:v>0.14374999999999999</c:v>
                </c:pt>
                <c:pt idx="51">
                  <c:v>0.14154411764705879</c:v>
                </c:pt>
                <c:pt idx="52">
                  <c:v>0.13958333333333328</c:v>
                </c:pt>
                <c:pt idx="53">
                  <c:v>0.13774509803921561</c:v>
                </c:pt>
                <c:pt idx="54">
                  <c:v>0.13431372549019602</c:v>
                </c:pt>
                <c:pt idx="55">
                  <c:v>0.13406862745098033</c:v>
                </c:pt>
                <c:pt idx="56">
                  <c:v>0.13210784313725485</c:v>
                </c:pt>
                <c:pt idx="57">
                  <c:v>0.12953431372549015</c:v>
                </c:pt>
                <c:pt idx="58">
                  <c:v>0.12818627450980385</c:v>
                </c:pt>
                <c:pt idx="59">
                  <c:v>0.12720588235294111</c:v>
                </c:pt>
                <c:pt idx="60">
                  <c:v>0.12585784313725484</c:v>
                </c:pt>
                <c:pt idx="61">
                  <c:v>0.12377450980392152</c:v>
                </c:pt>
                <c:pt idx="62">
                  <c:v>0.12475490196078426</c:v>
                </c:pt>
                <c:pt idx="63">
                  <c:v>0.1240196078431372</c:v>
                </c:pt>
                <c:pt idx="64">
                  <c:v>0.12169117647058819</c:v>
                </c:pt>
                <c:pt idx="65">
                  <c:v>0.12107843137254898</c:v>
                </c:pt>
                <c:pt idx="66">
                  <c:v>0.11899509803921564</c:v>
                </c:pt>
                <c:pt idx="67">
                  <c:v>0.11899509803921564</c:v>
                </c:pt>
                <c:pt idx="68">
                  <c:v>0.11838235294117644</c:v>
                </c:pt>
                <c:pt idx="69">
                  <c:v>0.11727941176470583</c:v>
                </c:pt>
                <c:pt idx="70">
                  <c:v>0.11617647058823526</c:v>
                </c:pt>
                <c:pt idx="71">
                  <c:v>0.1160539215686274</c:v>
                </c:pt>
                <c:pt idx="72">
                  <c:v>0.11446078431372544</c:v>
                </c:pt>
                <c:pt idx="73">
                  <c:v>0.11470588235294112</c:v>
                </c:pt>
                <c:pt idx="74">
                  <c:v>0.11397058823529406</c:v>
                </c:pt>
                <c:pt idx="75">
                  <c:v>0.11384803921568622</c:v>
                </c:pt>
                <c:pt idx="76">
                  <c:v>0.11225490196078426</c:v>
                </c:pt>
                <c:pt idx="77">
                  <c:v>0.11053921568627446</c:v>
                </c:pt>
                <c:pt idx="78">
                  <c:v>0.11066176470588231</c:v>
                </c:pt>
                <c:pt idx="79">
                  <c:v>0.11041666666666662</c:v>
                </c:pt>
                <c:pt idx="80">
                  <c:v>0.10968137254901957</c:v>
                </c:pt>
              </c:numCache>
            </c:numRef>
          </c:yVal>
        </c:ser>
        <c:axId val="133495424"/>
        <c:axId val="133640960"/>
      </c:scatterChart>
      <c:valAx>
        <c:axId val="133495424"/>
        <c:scaling>
          <c:orientation val="minMax"/>
          <c:max val="80"/>
          <c:min val="0"/>
        </c:scaling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Sensor</a:t>
                </a:r>
                <a:r>
                  <a:rPr lang="en-US" baseline="0"/>
                  <a:t> to Target DIstance in mm</a:t>
                </a:r>
                <a:endParaRPr lang="en-US"/>
              </a:p>
            </c:rich>
          </c:tx>
        </c:title>
        <c:numFmt formatCode="0" sourceLinked="0"/>
        <c:tickLblPos val="nextTo"/>
        <c:crossAx val="133640960"/>
        <c:crosses val="autoZero"/>
        <c:crossBetween val="midCat"/>
      </c:valAx>
      <c:valAx>
        <c:axId val="133640960"/>
        <c:scaling>
          <c:orientation val="minMax"/>
          <c:max val="1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Detected Power in %FSR</a:t>
                </a:r>
              </a:p>
            </c:rich>
          </c:tx>
        </c:title>
        <c:numFmt formatCode="0%" sourceLinked="0"/>
        <c:tickLblPos val="nextTo"/>
        <c:crossAx val="133495424"/>
        <c:crosses val="autoZero"/>
        <c:crossBetween val="midCat"/>
        <c:majorUnit val="0.1"/>
        <c:minorUnit val="0.05"/>
      </c:valAx>
    </c:plotArea>
    <c:legend>
      <c:legendPos val="r"/>
      <c:layout>
        <c:manualLayout>
          <c:xMode val="edge"/>
          <c:yMode val="edge"/>
          <c:x val="0.84425090079436249"/>
          <c:y val="0.32421819267641006"/>
          <c:w val="0.13440813913970046"/>
          <c:h val="0.35156317292941774"/>
        </c:manualLayout>
      </c:layout>
      <c:txPr>
        <a:bodyPr/>
        <a:lstStyle/>
        <a:p>
          <a:pPr>
            <a:defRPr sz="700"/>
          </a:pPr>
          <a:endParaRPr lang="en-US"/>
        </a:p>
      </c:txPr>
    </c:legend>
    <c:plotVisOnly val="1"/>
  </c:chart>
  <c:printSettings>
    <c:headerFooter/>
    <c:pageMargins b="0.75000000000000577" l="0.70000000000000062" r="0.70000000000000062" t="0.7500000000000057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Summary!$B$65</c:f>
          <c:strCache>
            <c:ptCount val="1"/>
            <c:pt idx="0">
              <c:v>29147 `Near' Detect Region: 6% Reflector , 77% Xmit @ 850nm</c:v>
            </c:pt>
          </c:strCache>
        </c:strRef>
      </c:tx>
      <c:txPr>
        <a:bodyPr/>
        <a:lstStyle/>
        <a:p>
          <a:pPr>
            <a:defRPr sz="1000"/>
          </a:pPr>
          <a:endParaRPr lang="en-US"/>
        </a:p>
      </c:txPr>
    </c:title>
    <c:plotArea>
      <c:layout/>
      <c:scatterChart>
        <c:scatterStyle val="lineMarker"/>
        <c:ser>
          <c:idx val="2"/>
          <c:order val="2"/>
          <c:tx>
            <c:strRef>
              <c:f>Calculations!$D$42</c:f>
              <c:strCache>
                <c:ptCount val="1"/>
                <c:pt idx="0">
                  <c:v>HI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Calculations!$E$44:$E$124</c:f>
              <c:numCache>
                <c:formatCode>0.000</c:formatCode>
                <c:ptCount val="81"/>
                <c:pt idx="0">
                  <c:v>0.99899999999999956</c:v>
                </c:pt>
                <c:pt idx="1">
                  <c:v>0.99899999999999956</c:v>
                </c:pt>
                <c:pt idx="2">
                  <c:v>0.99899999999999956</c:v>
                </c:pt>
                <c:pt idx="3">
                  <c:v>0.99899999999999956</c:v>
                </c:pt>
                <c:pt idx="4">
                  <c:v>0.99899999999999956</c:v>
                </c:pt>
                <c:pt idx="5">
                  <c:v>0.99899999999999956</c:v>
                </c:pt>
                <c:pt idx="6">
                  <c:v>0.99899999999999956</c:v>
                </c:pt>
                <c:pt idx="7">
                  <c:v>0.99899999999999956</c:v>
                </c:pt>
                <c:pt idx="8">
                  <c:v>0.99899999999999956</c:v>
                </c:pt>
                <c:pt idx="9">
                  <c:v>0.99899999999999956</c:v>
                </c:pt>
                <c:pt idx="10">
                  <c:v>0.9898449754901959</c:v>
                </c:pt>
                <c:pt idx="11">
                  <c:v>0.93615196078431384</c:v>
                </c:pt>
                <c:pt idx="12">
                  <c:v>0.82708333333333373</c:v>
                </c:pt>
                <c:pt idx="13">
                  <c:v>0.73394607843137305</c:v>
                </c:pt>
                <c:pt idx="14">
                  <c:v>0.66102941176470609</c:v>
                </c:pt>
                <c:pt idx="15">
                  <c:v>0.60061274509803908</c:v>
                </c:pt>
                <c:pt idx="16">
                  <c:v>0.54816176470588218</c:v>
                </c:pt>
                <c:pt idx="17">
                  <c:v>0.49987745098039221</c:v>
                </c:pt>
                <c:pt idx="18">
                  <c:v>0.4596813725490197</c:v>
                </c:pt>
                <c:pt idx="19">
                  <c:v>0.42757352941176491</c:v>
                </c:pt>
                <c:pt idx="20">
                  <c:v>0.39803921568627476</c:v>
                </c:pt>
                <c:pt idx="21">
                  <c:v>0.37414215686274538</c:v>
                </c:pt>
                <c:pt idx="22">
                  <c:v>0.34938725490196082</c:v>
                </c:pt>
                <c:pt idx="23">
                  <c:v>0.33100490196078419</c:v>
                </c:pt>
                <c:pt idx="24">
                  <c:v>0.31115196078431356</c:v>
                </c:pt>
                <c:pt idx="25">
                  <c:v>0.29473039215686264</c:v>
                </c:pt>
                <c:pt idx="26">
                  <c:v>0.27879901960784303</c:v>
                </c:pt>
                <c:pt idx="27">
                  <c:v>0.26874999999999999</c:v>
                </c:pt>
                <c:pt idx="28">
                  <c:v>0.25784313725490199</c:v>
                </c:pt>
                <c:pt idx="29">
                  <c:v>0.24730392156862749</c:v>
                </c:pt>
                <c:pt idx="30">
                  <c:v>0.23713235294117652</c:v>
                </c:pt>
                <c:pt idx="31">
                  <c:v>0.22830882352941179</c:v>
                </c:pt>
                <c:pt idx="32">
                  <c:v>0.21985294117647053</c:v>
                </c:pt>
                <c:pt idx="33">
                  <c:v>0.2118872549019607</c:v>
                </c:pt>
                <c:pt idx="34">
                  <c:v>0.20563725490196072</c:v>
                </c:pt>
                <c:pt idx="35">
                  <c:v>0.1992647058823529</c:v>
                </c:pt>
                <c:pt idx="36">
                  <c:v>0.19362745098039211</c:v>
                </c:pt>
                <c:pt idx="37">
                  <c:v>0.18860294117647056</c:v>
                </c:pt>
                <c:pt idx="38">
                  <c:v>0.18370098039215685</c:v>
                </c:pt>
                <c:pt idx="39">
                  <c:v>0.17928921568627451</c:v>
                </c:pt>
                <c:pt idx="40">
                  <c:v>0.1738970588235294</c:v>
                </c:pt>
                <c:pt idx="41">
                  <c:v>0.17034313725490197</c:v>
                </c:pt>
                <c:pt idx="42">
                  <c:v>0.1667892156862745</c:v>
                </c:pt>
                <c:pt idx="43">
                  <c:v>0.16286764705882353</c:v>
                </c:pt>
                <c:pt idx="44">
                  <c:v>0.1593137254901961</c:v>
                </c:pt>
                <c:pt idx="45">
                  <c:v>0.15526960784313729</c:v>
                </c:pt>
                <c:pt idx="46">
                  <c:v>0.15269607843137259</c:v>
                </c:pt>
                <c:pt idx="47">
                  <c:v>0.15073529411764711</c:v>
                </c:pt>
                <c:pt idx="48">
                  <c:v>0.14852941176470591</c:v>
                </c:pt>
                <c:pt idx="49">
                  <c:v>0.14656862745098043</c:v>
                </c:pt>
                <c:pt idx="50">
                  <c:v>0.14374999999999996</c:v>
                </c:pt>
                <c:pt idx="51">
                  <c:v>0.14227941176470585</c:v>
                </c:pt>
                <c:pt idx="52">
                  <c:v>0.13946078431372544</c:v>
                </c:pt>
                <c:pt idx="53">
                  <c:v>0.13823529411764704</c:v>
                </c:pt>
                <c:pt idx="54">
                  <c:v>0.13553921568627447</c:v>
                </c:pt>
                <c:pt idx="55">
                  <c:v>0.1345588235294117</c:v>
                </c:pt>
                <c:pt idx="56">
                  <c:v>0.13259803921568622</c:v>
                </c:pt>
                <c:pt idx="57">
                  <c:v>0.13137254901960779</c:v>
                </c:pt>
                <c:pt idx="58">
                  <c:v>0.13002450980392152</c:v>
                </c:pt>
                <c:pt idx="59">
                  <c:v>0.1279411764705882</c:v>
                </c:pt>
                <c:pt idx="60">
                  <c:v>0.12512254901960779</c:v>
                </c:pt>
                <c:pt idx="61">
                  <c:v>0.12438725490196072</c:v>
                </c:pt>
                <c:pt idx="62">
                  <c:v>0.12463235294117642</c:v>
                </c:pt>
                <c:pt idx="63">
                  <c:v>0.12426470588235289</c:v>
                </c:pt>
                <c:pt idx="64">
                  <c:v>0.12230392156862741</c:v>
                </c:pt>
                <c:pt idx="65">
                  <c:v>0.12144607843137249</c:v>
                </c:pt>
                <c:pt idx="66">
                  <c:v>0.12107843137254896</c:v>
                </c:pt>
                <c:pt idx="67">
                  <c:v>0.11948529411764701</c:v>
                </c:pt>
                <c:pt idx="68">
                  <c:v>0.11936274509803918</c:v>
                </c:pt>
                <c:pt idx="69">
                  <c:v>0.11887254901960778</c:v>
                </c:pt>
                <c:pt idx="70">
                  <c:v>0.11678921568627446</c:v>
                </c:pt>
                <c:pt idx="71">
                  <c:v>0.11703431372549014</c:v>
                </c:pt>
                <c:pt idx="72">
                  <c:v>0.11617647058823524</c:v>
                </c:pt>
                <c:pt idx="73">
                  <c:v>0.11519607843137249</c:v>
                </c:pt>
                <c:pt idx="74">
                  <c:v>0.11482843137254896</c:v>
                </c:pt>
                <c:pt idx="75">
                  <c:v>0.11360294117647053</c:v>
                </c:pt>
                <c:pt idx="76">
                  <c:v>0.11249999999999995</c:v>
                </c:pt>
                <c:pt idx="77">
                  <c:v>0.11200980392156858</c:v>
                </c:pt>
                <c:pt idx="78">
                  <c:v>0.11127450980392152</c:v>
                </c:pt>
                <c:pt idx="79">
                  <c:v>0.11029411764705878</c:v>
                </c:pt>
                <c:pt idx="80">
                  <c:v>0.10857843137254898</c:v>
                </c:pt>
              </c:numCache>
            </c:numRef>
          </c:yVal>
        </c:ser>
        <c:ser>
          <c:idx val="3"/>
          <c:order val="3"/>
          <c:tx>
            <c:strRef>
              <c:f>Calculations!$J$42</c:f>
              <c:strCache>
                <c:ptCount val="1"/>
                <c:pt idx="0">
                  <c:v>HI-MID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Calculations!$J$44:$J$124</c:f>
              <c:numCache>
                <c:formatCode>0.000</c:formatCode>
                <c:ptCount val="81"/>
                <c:pt idx="0">
                  <c:v>0.99899999999999956</c:v>
                </c:pt>
                <c:pt idx="1">
                  <c:v>0.99899999999999956</c:v>
                </c:pt>
                <c:pt idx="2">
                  <c:v>0.99899999999999956</c:v>
                </c:pt>
                <c:pt idx="3">
                  <c:v>0.99899999999999956</c:v>
                </c:pt>
                <c:pt idx="4">
                  <c:v>0.99899999999999956</c:v>
                </c:pt>
                <c:pt idx="5">
                  <c:v>0.99899999999999956</c:v>
                </c:pt>
                <c:pt idx="6">
                  <c:v>0.99899999999999956</c:v>
                </c:pt>
                <c:pt idx="7">
                  <c:v>0.99899999999999956</c:v>
                </c:pt>
                <c:pt idx="8">
                  <c:v>0.99899999999999956</c:v>
                </c:pt>
                <c:pt idx="9">
                  <c:v>0.99899999999999956</c:v>
                </c:pt>
                <c:pt idx="10">
                  <c:v>0.99899999999999956</c:v>
                </c:pt>
                <c:pt idx="11">
                  <c:v>0.99899999999999956</c:v>
                </c:pt>
                <c:pt idx="12">
                  <c:v>0.99899999999999956</c:v>
                </c:pt>
                <c:pt idx="13">
                  <c:v>0.99899999999999956</c:v>
                </c:pt>
                <c:pt idx="14">
                  <c:v>0.94252450980392166</c:v>
                </c:pt>
                <c:pt idx="15">
                  <c:v>0.84901960784313757</c:v>
                </c:pt>
                <c:pt idx="16">
                  <c:v>0.76090686274509856</c:v>
                </c:pt>
                <c:pt idx="17">
                  <c:v>0.68100490196078445</c:v>
                </c:pt>
                <c:pt idx="18">
                  <c:v>0.61200980392156867</c:v>
                </c:pt>
                <c:pt idx="19">
                  <c:v>0.55637254901960786</c:v>
                </c:pt>
                <c:pt idx="20">
                  <c:v>0.50980392156862742</c:v>
                </c:pt>
                <c:pt idx="21">
                  <c:v>0.46752450980392163</c:v>
                </c:pt>
                <c:pt idx="22">
                  <c:v>0.42671568627450995</c:v>
                </c:pt>
                <c:pt idx="23">
                  <c:v>0.39546568627451001</c:v>
                </c:pt>
                <c:pt idx="24">
                  <c:v>0.3632352941176471</c:v>
                </c:pt>
                <c:pt idx="25">
                  <c:v>0.33455882352941185</c:v>
                </c:pt>
                <c:pt idx="26">
                  <c:v>0.30833333333333335</c:v>
                </c:pt>
                <c:pt idx="27">
                  <c:v>0.29215686274509806</c:v>
                </c:pt>
                <c:pt idx="28">
                  <c:v>0.27340686274509807</c:v>
                </c:pt>
                <c:pt idx="29">
                  <c:v>0.25637254901960788</c:v>
                </c:pt>
                <c:pt idx="30">
                  <c:v>0.23897058823529416</c:v>
                </c:pt>
                <c:pt idx="31">
                  <c:v>0.22401960784313732</c:v>
                </c:pt>
                <c:pt idx="32">
                  <c:v>0.21176470588235302</c:v>
                </c:pt>
                <c:pt idx="33">
                  <c:v>0.19693627450980403</c:v>
                </c:pt>
                <c:pt idx="34">
                  <c:v>0.1862745098039216</c:v>
                </c:pt>
                <c:pt idx="35">
                  <c:v>0.17561274509803923</c:v>
                </c:pt>
                <c:pt idx="36">
                  <c:v>0.16629901960784316</c:v>
                </c:pt>
                <c:pt idx="37">
                  <c:v>0.15686274509803924</c:v>
                </c:pt>
                <c:pt idx="38">
                  <c:v>0.14926470588235297</c:v>
                </c:pt>
                <c:pt idx="39">
                  <c:v>0.14142156862745098</c:v>
                </c:pt>
                <c:pt idx="40">
                  <c:v>0.1338235294117647</c:v>
                </c:pt>
                <c:pt idx="41">
                  <c:v>0.12659313725490196</c:v>
                </c:pt>
                <c:pt idx="42">
                  <c:v>0.12071078431372551</c:v>
                </c:pt>
                <c:pt idx="43">
                  <c:v>0.11531862745098041</c:v>
                </c:pt>
                <c:pt idx="44">
                  <c:v>0.10857843137254906</c:v>
                </c:pt>
                <c:pt idx="45">
                  <c:v>0.10343137254901966</c:v>
                </c:pt>
                <c:pt idx="46">
                  <c:v>9.7794117647058865E-2</c:v>
                </c:pt>
                <c:pt idx="47">
                  <c:v>9.3872549019607884E-2</c:v>
                </c:pt>
                <c:pt idx="48">
                  <c:v>9.0196078431372562E-2</c:v>
                </c:pt>
                <c:pt idx="49">
                  <c:v>8.6887254901960795E-2</c:v>
                </c:pt>
                <c:pt idx="50">
                  <c:v>8.25980392156863E-2</c:v>
                </c:pt>
                <c:pt idx="51">
                  <c:v>7.9779411764705904E-2</c:v>
                </c:pt>
                <c:pt idx="52">
                  <c:v>7.794117647058825E-2</c:v>
                </c:pt>
                <c:pt idx="53">
                  <c:v>7.6470588235294124E-2</c:v>
                </c:pt>
                <c:pt idx="54">
                  <c:v>7.120098039215686E-2</c:v>
                </c:pt>
                <c:pt idx="55">
                  <c:v>6.7647058823529407E-2</c:v>
                </c:pt>
                <c:pt idx="56">
                  <c:v>6.5441176470588239E-2</c:v>
                </c:pt>
                <c:pt idx="57">
                  <c:v>6.3112745098039214E-2</c:v>
                </c:pt>
                <c:pt idx="58">
                  <c:v>5.9926470588235303E-2</c:v>
                </c:pt>
                <c:pt idx="59">
                  <c:v>5.8578431372549027E-2</c:v>
                </c:pt>
                <c:pt idx="60">
                  <c:v>5.7598039215686285E-2</c:v>
                </c:pt>
                <c:pt idx="61">
                  <c:v>4.926470588235296E-2</c:v>
                </c:pt>
                <c:pt idx="62">
                  <c:v>5.1593137254901986E-2</c:v>
                </c:pt>
                <c:pt idx="63">
                  <c:v>4.9387254901960803E-2</c:v>
                </c:pt>
                <c:pt idx="64">
                  <c:v>4.6568627450980393E-2</c:v>
                </c:pt>
                <c:pt idx="65">
                  <c:v>4.5220588235294137E-2</c:v>
                </c:pt>
                <c:pt idx="66">
                  <c:v>4.534313725490198E-2</c:v>
                </c:pt>
                <c:pt idx="67">
                  <c:v>4.2647058823529427E-2</c:v>
                </c:pt>
                <c:pt idx="68">
                  <c:v>4.1789215686274528E-2</c:v>
                </c:pt>
                <c:pt idx="69">
                  <c:v>4.1053921568627465E-2</c:v>
                </c:pt>
                <c:pt idx="70">
                  <c:v>4.0318627450980402E-2</c:v>
                </c:pt>
                <c:pt idx="71">
                  <c:v>3.9950980392156846E-2</c:v>
                </c:pt>
                <c:pt idx="72">
                  <c:v>3.7499999999999992E-2</c:v>
                </c:pt>
                <c:pt idx="73">
                  <c:v>3.5416666666666659E-2</c:v>
                </c:pt>
                <c:pt idx="74">
                  <c:v>3.3578431372549018E-2</c:v>
                </c:pt>
                <c:pt idx="75">
                  <c:v>3.1495098039215685E-2</c:v>
                </c:pt>
                <c:pt idx="76">
                  <c:v>3.1372549019607843E-2</c:v>
                </c:pt>
                <c:pt idx="77">
                  <c:v>2.7818627450980397E-2</c:v>
                </c:pt>
                <c:pt idx="78">
                  <c:v>2.7205882352941173E-2</c:v>
                </c:pt>
                <c:pt idx="79">
                  <c:v>2.7573529411764709E-2</c:v>
                </c:pt>
                <c:pt idx="80">
                  <c:v>2.5490196078431372E-2</c:v>
                </c:pt>
              </c:numCache>
            </c:numRef>
          </c:yVal>
        </c:ser>
        <c:ser>
          <c:idx val="0"/>
          <c:order val="0"/>
          <c:tx>
            <c:strRef>
              <c:f>Calculations!$L$42</c:f>
              <c:strCache>
                <c:ptCount val="1"/>
                <c:pt idx="0">
                  <c:v>LO-MID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Calculations!$L$44:$L$124</c:f>
              <c:numCache>
                <c:formatCode>0.000</c:formatCode>
                <c:ptCount val="81"/>
                <c:pt idx="0">
                  <c:v>0.99899999999999956</c:v>
                </c:pt>
                <c:pt idx="1">
                  <c:v>0.99899999999999956</c:v>
                </c:pt>
                <c:pt idx="2">
                  <c:v>0.99899999999999956</c:v>
                </c:pt>
                <c:pt idx="3">
                  <c:v>0.99899999999999956</c:v>
                </c:pt>
                <c:pt idx="4">
                  <c:v>0.99899999999999956</c:v>
                </c:pt>
                <c:pt idx="5">
                  <c:v>0.99899999999999956</c:v>
                </c:pt>
                <c:pt idx="6">
                  <c:v>0.99899999999999956</c:v>
                </c:pt>
                <c:pt idx="7">
                  <c:v>0.99899999999999956</c:v>
                </c:pt>
                <c:pt idx="8">
                  <c:v>0.99899999999999956</c:v>
                </c:pt>
                <c:pt idx="9">
                  <c:v>0.99899999999999956</c:v>
                </c:pt>
                <c:pt idx="10">
                  <c:v>0.99899999999999956</c:v>
                </c:pt>
                <c:pt idx="11">
                  <c:v>0.99899999999999956</c:v>
                </c:pt>
                <c:pt idx="12">
                  <c:v>0.92879901960784328</c:v>
                </c:pt>
                <c:pt idx="13">
                  <c:v>0.82022058823529453</c:v>
                </c:pt>
                <c:pt idx="14">
                  <c:v>0.7350490196078433</c:v>
                </c:pt>
                <c:pt idx="15">
                  <c:v>0.66507352941176479</c:v>
                </c:pt>
                <c:pt idx="16">
                  <c:v>0.60563725490196085</c:v>
                </c:pt>
                <c:pt idx="17">
                  <c:v>0.54889705882352946</c:v>
                </c:pt>
                <c:pt idx="18">
                  <c:v>0.50245098039215685</c:v>
                </c:pt>
                <c:pt idx="19">
                  <c:v>0.46519607843137262</c:v>
                </c:pt>
                <c:pt idx="20">
                  <c:v>0.4310049019607845</c:v>
                </c:pt>
                <c:pt idx="21">
                  <c:v>0.40318627450980415</c:v>
                </c:pt>
                <c:pt idx="22">
                  <c:v>0.37487745098039243</c:v>
                </c:pt>
                <c:pt idx="23">
                  <c:v>0.35367647058823531</c:v>
                </c:pt>
                <c:pt idx="24">
                  <c:v>0.33149509803921573</c:v>
                </c:pt>
                <c:pt idx="25">
                  <c:v>0.31102941176470589</c:v>
                </c:pt>
                <c:pt idx="26">
                  <c:v>0.29276960784313727</c:v>
                </c:pt>
                <c:pt idx="27">
                  <c:v>0.28051470588235294</c:v>
                </c:pt>
                <c:pt idx="28">
                  <c:v>0.26813725490196083</c:v>
                </c:pt>
                <c:pt idx="29">
                  <c:v>0.25551470588235292</c:v>
                </c:pt>
                <c:pt idx="30">
                  <c:v>0.24534313725490198</c:v>
                </c:pt>
                <c:pt idx="31">
                  <c:v>0.23480392156862748</c:v>
                </c:pt>
                <c:pt idx="32">
                  <c:v>0.22463235294117653</c:v>
                </c:pt>
                <c:pt idx="33">
                  <c:v>0.21605392156862754</c:v>
                </c:pt>
                <c:pt idx="34">
                  <c:v>0.20821078431372558</c:v>
                </c:pt>
                <c:pt idx="35">
                  <c:v>0.20061274509803934</c:v>
                </c:pt>
                <c:pt idx="36">
                  <c:v>0.19497549019607854</c:v>
                </c:pt>
                <c:pt idx="37">
                  <c:v>0.18909313725490201</c:v>
                </c:pt>
                <c:pt idx="38">
                  <c:v>0.18333333333333338</c:v>
                </c:pt>
                <c:pt idx="39">
                  <c:v>0.17757352941176474</c:v>
                </c:pt>
                <c:pt idx="40">
                  <c:v>0.17303921568627453</c:v>
                </c:pt>
                <c:pt idx="41">
                  <c:v>0.16740196078431377</c:v>
                </c:pt>
                <c:pt idx="42">
                  <c:v>0.16360294117647062</c:v>
                </c:pt>
                <c:pt idx="43">
                  <c:v>0.15943627450980394</c:v>
                </c:pt>
                <c:pt idx="44">
                  <c:v>0.15379901960784315</c:v>
                </c:pt>
                <c:pt idx="45">
                  <c:v>0.15036764705882355</c:v>
                </c:pt>
                <c:pt idx="46">
                  <c:v>0.14718137254901961</c:v>
                </c:pt>
                <c:pt idx="47">
                  <c:v>0.14375000000000002</c:v>
                </c:pt>
                <c:pt idx="48">
                  <c:v>0.14178921568627451</c:v>
                </c:pt>
                <c:pt idx="49">
                  <c:v>0.13921568627450981</c:v>
                </c:pt>
                <c:pt idx="50">
                  <c:v>0.13676470588235295</c:v>
                </c:pt>
                <c:pt idx="51">
                  <c:v>0.13468137254901963</c:v>
                </c:pt>
                <c:pt idx="52">
                  <c:v>0.13210784313725488</c:v>
                </c:pt>
                <c:pt idx="53">
                  <c:v>0.12916666666666668</c:v>
                </c:pt>
                <c:pt idx="54">
                  <c:v>0.12745098039215685</c:v>
                </c:pt>
                <c:pt idx="55">
                  <c:v>0.12647058823529411</c:v>
                </c:pt>
                <c:pt idx="56">
                  <c:v>0.12279411764705883</c:v>
                </c:pt>
                <c:pt idx="57">
                  <c:v>0.12095588235294119</c:v>
                </c:pt>
                <c:pt idx="58">
                  <c:v>0.11960784313725491</c:v>
                </c:pt>
                <c:pt idx="59">
                  <c:v>0.11838235294117648</c:v>
                </c:pt>
                <c:pt idx="60">
                  <c:v>0.11531862745098041</c:v>
                </c:pt>
                <c:pt idx="61">
                  <c:v>0.11458333333333336</c:v>
                </c:pt>
                <c:pt idx="62">
                  <c:v>0.11458333333333336</c:v>
                </c:pt>
                <c:pt idx="63">
                  <c:v>0.11311274509803924</c:v>
                </c:pt>
                <c:pt idx="64">
                  <c:v>0.11090686274509808</c:v>
                </c:pt>
                <c:pt idx="65">
                  <c:v>0.11029411764705886</c:v>
                </c:pt>
                <c:pt idx="66">
                  <c:v>0.10931372549019611</c:v>
                </c:pt>
                <c:pt idx="67">
                  <c:v>0.10833333333333336</c:v>
                </c:pt>
                <c:pt idx="68">
                  <c:v>0.10845588235294121</c:v>
                </c:pt>
                <c:pt idx="69">
                  <c:v>0.1061274509803922</c:v>
                </c:pt>
                <c:pt idx="70">
                  <c:v>0.10477941176470593</c:v>
                </c:pt>
                <c:pt idx="71">
                  <c:v>0.10465686274509808</c:v>
                </c:pt>
                <c:pt idx="72">
                  <c:v>0.1035539215686275</c:v>
                </c:pt>
                <c:pt idx="73">
                  <c:v>0.10379901960784318</c:v>
                </c:pt>
                <c:pt idx="74">
                  <c:v>0.101593137254902</c:v>
                </c:pt>
                <c:pt idx="75">
                  <c:v>0.10049019607843142</c:v>
                </c:pt>
                <c:pt idx="76">
                  <c:v>9.9632352941176519E-2</c:v>
                </c:pt>
                <c:pt idx="77">
                  <c:v>9.877450980392162E-2</c:v>
                </c:pt>
                <c:pt idx="78">
                  <c:v>9.8529411764705935E-2</c:v>
                </c:pt>
                <c:pt idx="79">
                  <c:v>9.6568627450980452E-2</c:v>
                </c:pt>
                <c:pt idx="80">
                  <c:v>9.6323529411764766E-2</c:v>
                </c:pt>
              </c:numCache>
            </c:numRef>
          </c:yVal>
        </c:ser>
        <c:ser>
          <c:idx val="1"/>
          <c:order val="1"/>
          <c:tx>
            <c:strRef>
              <c:f>Calculations!$N$42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Calculations!$N$44:$N$124</c:f>
              <c:numCache>
                <c:formatCode>0.000</c:formatCode>
                <c:ptCount val="81"/>
                <c:pt idx="0">
                  <c:v>0.99899999999999956</c:v>
                </c:pt>
                <c:pt idx="1">
                  <c:v>0.99899999999999956</c:v>
                </c:pt>
                <c:pt idx="2">
                  <c:v>0.99899999999999956</c:v>
                </c:pt>
                <c:pt idx="3">
                  <c:v>0.99899999999999956</c:v>
                </c:pt>
                <c:pt idx="4">
                  <c:v>0.99899999999999956</c:v>
                </c:pt>
                <c:pt idx="5">
                  <c:v>0.99899999999999956</c:v>
                </c:pt>
                <c:pt idx="6">
                  <c:v>0.99899999999999956</c:v>
                </c:pt>
                <c:pt idx="7">
                  <c:v>0.99899999999999956</c:v>
                </c:pt>
                <c:pt idx="8">
                  <c:v>0.99899999999999956</c:v>
                </c:pt>
                <c:pt idx="9">
                  <c:v>0.99899999999999956</c:v>
                </c:pt>
                <c:pt idx="10">
                  <c:v>0.98972242647058806</c:v>
                </c:pt>
                <c:pt idx="11">
                  <c:v>0.93529411764705894</c:v>
                </c:pt>
                <c:pt idx="12">
                  <c:v>0.82708333333333373</c:v>
                </c:pt>
                <c:pt idx="13">
                  <c:v>0.73296568627451031</c:v>
                </c:pt>
                <c:pt idx="14">
                  <c:v>0.66004901960784335</c:v>
                </c:pt>
                <c:pt idx="15">
                  <c:v>0.59987745098039214</c:v>
                </c:pt>
                <c:pt idx="16">
                  <c:v>0.54865196078431355</c:v>
                </c:pt>
                <c:pt idx="17">
                  <c:v>0.50036764705882364</c:v>
                </c:pt>
                <c:pt idx="18">
                  <c:v>0.46029411764705891</c:v>
                </c:pt>
                <c:pt idx="19">
                  <c:v>0.42634803921568648</c:v>
                </c:pt>
                <c:pt idx="20">
                  <c:v>0.39620098039215712</c:v>
                </c:pt>
                <c:pt idx="21">
                  <c:v>0.37267156862745127</c:v>
                </c:pt>
                <c:pt idx="22">
                  <c:v>0.34914215686274513</c:v>
                </c:pt>
                <c:pt idx="23">
                  <c:v>0.33112745098039204</c:v>
                </c:pt>
                <c:pt idx="24">
                  <c:v>0.31127450980392141</c:v>
                </c:pt>
                <c:pt idx="25">
                  <c:v>0.29264705882352932</c:v>
                </c:pt>
                <c:pt idx="26">
                  <c:v>0.27794117647058814</c:v>
                </c:pt>
                <c:pt idx="27">
                  <c:v>0.26691176470588235</c:v>
                </c:pt>
                <c:pt idx="28">
                  <c:v>0.25686274509803925</c:v>
                </c:pt>
                <c:pt idx="29">
                  <c:v>0.24497549019607848</c:v>
                </c:pt>
                <c:pt idx="30">
                  <c:v>0.23750000000000004</c:v>
                </c:pt>
                <c:pt idx="31">
                  <c:v>0.2279411764705882</c:v>
                </c:pt>
                <c:pt idx="32">
                  <c:v>0.21948529411764695</c:v>
                </c:pt>
                <c:pt idx="33">
                  <c:v>0.2118872549019607</c:v>
                </c:pt>
                <c:pt idx="34">
                  <c:v>0.20477941176470582</c:v>
                </c:pt>
                <c:pt idx="35">
                  <c:v>0.19914215686274503</c:v>
                </c:pt>
                <c:pt idx="36">
                  <c:v>0.19338235294117642</c:v>
                </c:pt>
                <c:pt idx="37">
                  <c:v>0.18725490196078429</c:v>
                </c:pt>
                <c:pt idx="38">
                  <c:v>0.18419117647058822</c:v>
                </c:pt>
                <c:pt idx="39">
                  <c:v>0.18026960784313725</c:v>
                </c:pt>
                <c:pt idx="40">
                  <c:v>0.17475490196078433</c:v>
                </c:pt>
                <c:pt idx="41">
                  <c:v>0.16936274509803922</c:v>
                </c:pt>
                <c:pt idx="42">
                  <c:v>0.1659313725490196</c:v>
                </c:pt>
                <c:pt idx="43">
                  <c:v>0.16360294117647059</c:v>
                </c:pt>
                <c:pt idx="44">
                  <c:v>0.15821078431372551</c:v>
                </c:pt>
                <c:pt idx="45">
                  <c:v>0.15575980392156866</c:v>
                </c:pt>
                <c:pt idx="46">
                  <c:v>0.15232843137254906</c:v>
                </c:pt>
                <c:pt idx="47">
                  <c:v>0.14963235294117649</c:v>
                </c:pt>
                <c:pt idx="48">
                  <c:v>0.14754901960784317</c:v>
                </c:pt>
                <c:pt idx="49">
                  <c:v>0.14644607843137258</c:v>
                </c:pt>
                <c:pt idx="50">
                  <c:v>0.14374999999999999</c:v>
                </c:pt>
                <c:pt idx="51">
                  <c:v>0.14154411764705879</c:v>
                </c:pt>
                <c:pt idx="52">
                  <c:v>0.13958333333333328</c:v>
                </c:pt>
                <c:pt idx="53">
                  <c:v>0.13774509803921561</c:v>
                </c:pt>
                <c:pt idx="54">
                  <c:v>0.13431372549019602</c:v>
                </c:pt>
                <c:pt idx="55">
                  <c:v>0.13406862745098033</c:v>
                </c:pt>
                <c:pt idx="56">
                  <c:v>0.13210784313725485</c:v>
                </c:pt>
                <c:pt idx="57">
                  <c:v>0.12953431372549015</c:v>
                </c:pt>
                <c:pt idx="58">
                  <c:v>0.12818627450980385</c:v>
                </c:pt>
                <c:pt idx="59">
                  <c:v>0.12720588235294111</c:v>
                </c:pt>
                <c:pt idx="60">
                  <c:v>0.12585784313725484</c:v>
                </c:pt>
                <c:pt idx="61">
                  <c:v>0.12377450980392152</c:v>
                </c:pt>
                <c:pt idx="62">
                  <c:v>0.12475490196078426</c:v>
                </c:pt>
                <c:pt idx="63">
                  <c:v>0.1240196078431372</c:v>
                </c:pt>
                <c:pt idx="64">
                  <c:v>0.12169117647058819</c:v>
                </c:pt>
                <c:pt idx="65">
                  <c:v>0.12107843137254898</c:v>
                </c:pt>
                <c:pt idx="66">
                  <c:v>0.11899509803921564</c:v>
                </c:pt>
                <c:pt idx="67">
                  <c:v>0.11899509803921564</c:v>
                </c:pt>
                <c:pt idx="68">
                  <c:v>0.11838235294117644</c:v>
                </c:pt>
                <c:pt idx="69">
                  <c:v>0.11727941176470583</c:v>
                </c:pt>
                <c:pt idx="70">
                  <c:v>0.11617647058823526</c:v>
                </c:pt>
                <c:pt idx="71">
                  <c:v>0.1160539215686274</c:v>
                </c:pt>
                <c:pt idx="72">
                  <c:v>0.11446078431372544</c:v>
                </c:pt>
                <c:pt idx="73">
                  <c:v>0.11470588235294112</c:v>
                </c:pt>
                <c:pt idx="74">
                  <c:v>0.11397058823529406</c:v>
                </c:pt>
                <c:pt idx="75">
                  <c:v>0.11384803921568622</c:v>
                </c:pt>
                <c:pt idx="76">
                  <c:v>0.11225490196078426</c:v>
                </c:pt>
                <c:pt idx="77">
                  <c:v>0.11053921568627446</c:v>
                </c:pt>
                <c:pt idx="78">
                  <c:v>0.11066176470588231</c:v>
                </c:pt>
                <c:pt idx="79">
                  <c:v>0.11041666666666662</c:v>
                </c:pt>
                <c:pt idx="80">
                  <c:v>0.10968137254901957</c:v>
                </c:pt>
              </c:numCache>
            </c:numRef>
          </c:yVal>
        </c:ser>
        <c:axId val="134351104"/>
        <c:axId val="134369664"/>
      </c:scatterChart>
      <c:valAx>
        <c:axId val="134351104"/>
        <c:scaling>
          <c:orientation val="minMax"/>
          <c:max val="30"/>
          <c:min val="5"/>
        </c:scaling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Sensor</a:t>
                </a:r>
                <a:r>
                  <a:rPr lang="en-US" baseline="0"/>
                  <a:t> to Target DIstance in mm</a:t>
                </a:r>
                <a:endParaRPr lang="en-US"/>
              </a:p>
            </c:rich>
          </c:tx>
        </c:title>
        <c:numFmt formatCode="0" sourceLinked="0"/>
        <c:tickLblPos val="nextTo"/>
        <c:crossAx val="134369664"/>
        <c:crosses val="autoZero"/>
        <c:crossBetween val="midCat"/>
        <c:majorUnit val="5"/>
        <c:minorUnit val="1"/>
      </c:valAx>
      <c:valAx>
        <c:axId val="134369664"/>
        <c:scaling>
          <c:orientation val="minMax"/>
          <c:max val="0.5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Detected Power in %FSR</a:t>
                </a:r>
              </a:p>
            </c:rich>
          </c:tx>
        </c:title>
        <c:numFmt formatCode="0%" sourceLinked="0"/>
        <c:tickLblPos val="nextTo"/>
        <c:crossAx val="134351104"/>
        <c:crosses val="autoZero"/>
        <c:crossBetween val="midCat"/>
        <c:minorUnit val="1.0000000000000005E-2"/>
      </c:valAx>
    </c:plotArea>
    <c:legend>
      <c:legendPos val="r"/>
      <c:layout>
        <c:manualLayout>
          <c:xMode val="edge"/>
          <c:yMode val="edge"/>
          <c:x val="0.84425090079436249"/>
          <c:y val="0.32421819267641017"/>
          <c:w val="0.13440813913970051"/>
          <c:h val="0.35156317292941791"/>
        </c:manualLayout>
      </c:layout>
      <c:txPr>
        <a:bodyPr/>
        <a:lstStyle/>
        <a:p>
          <a:pPr>
            <a:defRPr sz="700"/>
          </a:pPr>
          <a:endParaRPr lang="en-US"/>
        </a:p>
      </c:txPr>
    </c:legend>
    <c:plotVisOnly val="1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000"/>
              <a:t>29149 `Far` Offset Region: 6% Reflector , 77% Xmit @ 850nm</a:t>
            </a:r>
          </a:p>
        </c:rich>
      </c:tx>
    </c:title>
    <c:plotArea>
      <c:layout/>
      <c:scatterChart>
        <c:scatterStyle val="lineMarker"/>
        <c:ser>
          <c:idx val="2"/>
          <c:order val="2"/>
          <c:tx>
            <c:strRef>
              <c:f>Calculations!$D$42</c:f>
              <c:strCache>
                <c:ptCount val="1"/>
                <c:pt idx="0">
                  <c:v>HI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Calculations!$E$44:$E$124</c:f>
              <c:numCache>
                <c:formatCode>0.000</c:formatCode>
                <c:ptCount val="81"/>
                <c:pt idx="0">
                  <c:v>0.99899999999999956</c:v>
                </c:pt>
                <c:pt idx="1">
                  <c:v>0.99899999999999956</c:v>
                </c:pt>
                <c:pt idx="2">
                  <c:v>0.99899999999999956</c:v>
                </c:pt>
                <c:pt idx="3">
                  <c:v>0.99899999999999956</c:v>
                </c:pt>
                <c:pt idx="4">
                  <c:v>0.99899999999999956</c:v>
                </c:pt>
                <c:pt idx="5">
                  <c:v>0.99899999999999956</c:v>
                </c:pt>
                <c:pt idx="6">
                  <c:v>0.99899999999999956</c:v>
                </c:pt>
                <c:pt idx="7">
                  <c:v>0.99899999999999956</c:v>
                </c:pt>
                <c:pt idx="8">
                  <c:v>0.99899999999999956</c:v>
                </c:pt>
                <c:pt idx="9">
                  <c:v>0.99899999999999956</c:v>
                </c:pt>
                <c:pt idx="10">
                  <c:v>0.9898449754901959</c:v>
                </c:pt>
                <c:pt idx="11">
                  <c:v>0.93615196078431384</c:v>
                </c:pt>
                <c:pt idx="12">
                  <c:v>0.82708333333333373</c:v>
                </c:pt>
                <c:pt idx="13">
                  <c:v>0.73394607843137305</c:v>
                </c:pt>
                <c:pt idx="14">
                  <c:v>0.66102941176470609</c:v>
                </c:pt>
                <c:pt idx="15">
                  <c:v>0.60061274509803908</c:v>
                </c:pt>
                <c:pt idx="16">
                  <c:v>0.54816176470588218</c:v>
                </c:pt>
                <c:pt idx="17">
                  <c:v>0.49987745098039221</c:v>
                </c:pt>
                <c:pt idx="18">
                  <c:v>0.4596813725490197</c:v>
                </c:pt>
                <c:pt idx="19">
                  <c:v>0.42757352941176491</c:v>
                </c:pt>
                <c:pt idx="20">
                  <c:v>0.39803921568627476</c:v>
                </c:pt>
                <c:pt idx="21">
                  <c:v>0.37414215686274538</c:v>
                </c:pt>
                <c:pt idx="22">
                  <c:v>0.34938725490196082</c:v>
                </c:pt>
                <c:pt idx="23">
                  <c:v>0.33100490196078419</c:v>
                </c:pt>
                <c:pt idx="24">
                  <c:v>0.31115196078431356</c:v>
                </c:pt>
                <c:pt idx="25">
                  <c:v>0.29473039215686264</c:v>
                </c:pt>
                <c:pt idx="26">
                  <c:v>0.27879901960784303</c:v>
                </c:pt>
                <c:pt idx="27">
                  <c:v>0.26874999999999999</c:v>
                </c:pt>
                <c:pt idx="28">
                  <c:v>0.25784313725490199</c:v>
                </c:pt>
                <c:pt idx="29">
                  <c:v>0.24730392156862749</c:v>
                </c:pt>
                <c:pt idx="30">
                  <c:v>0.23713235294117652</c:v>
                </c:pt>
                <c:pt idx="31">
                  <c:v>0.22830882352941179</c:v>
                </c:pt>
                <c:pt idx="32">
                  <c:v>0.21985294117647053</c:v>
                </c:pt>
                <c:pt idx="33">
                  <c:v>0.2118872549019607</c:v>
                </c:pt>
                <c:pt idx="34">
                  <c:v>0.20563725490196072</c:v>
                </c:pt>
                <c:pt idx="35">
                  <c:v>0.1992647058823529</c:v>
                </c:pt>
                <c:pt idx="36">
                  <c:v>0.19362745098039211</c:v>
                </c:pt>
                <c:pt idx="37">
                  <c:v>0.18860294117647056</c:v>
                </c:pt>
                <c:pt idx="38">
                  <c:v>0.18370098039215685</c:v>
                </c:pt>
                <c:pt idx="39">
                  <c:v>0.17928921568627451</c:v>
                </c:pt>
                <c:pt idx="40">
                  <c:v>0.1738970588235294</c:v>
                </c:pt>
                <c:pt idx="41">
                  <c:v>0.17034313725490197</c:v>
                </c:pt>
                <c:pt idx="42">
                  <c:v>0.1667892156862745</c:v>
                </c:pt>
                <c:pt idx="43">
                  <c:v>0.16286764705882353</c:v>
                </c:pt>
                <c:pt idx="44">
                  <c:v>0.1593137254901961</c:v>
                </c:pt>
                <c:pt idx="45">
                  <c:v>0.15526960784313729</c:v>
                </c:pt>
                <c:pt idx="46">
                  <c:v>0.15269607843137259</c:v>
                </c:pt>
                <c:pt idx="47">
                  <c:v>0.15073529411764711</c:v>
                </c:pt>
                <c:pt idx="48">
                  <c:v>0.14852941176470591</c:v>
                </c:pt>
                <c:pt idx="49">
                  <c:v>0.14656862745098043</c:v>
                </c:pt>
                <c:pt idx="50">
                  <c:v>0.14374999999999996</c:v>
                </c:pt>
                <c:pt idx="51">
                  <c:v>0.14227941176470585</c:v>
                </c:pt>
                <c:pt idx="52">
                  <c:v>0.13946078431372544</c:v>
                </c:pt>
                <c:pt idx="53">
                  <c:v>0.13823529411764704</c:v>
                </c:pt>
                <c:pt idx="54">
                  <c:v>0.13553921568627447</c:v>
                </c:pt>
                <c:pt idx="55">
                  <c:v>0.1345588235294117</c:v>
                </c:pt>
                <c:pt idx="56">
                  <c:v>0.13259803921568622</c:v>
                </c:pt>
                <c:pt idx="57">
                  <c:v>0.13137254901960779</c:v>
                </c:pt>
                <c:pt idx="58">
                  <c:v>0.13002450980392152</c:v>
                </c:pt>
                <c:pt idx="59">
                  <c:v>0.1279411764705882</c:v>
                </c:pt>
                <c:pt idx="60">
                  <c:v>0.12512254901960779</c:v>
                </c:pt>
                <c:pt idx="61">
                  <c:v>0.12438725490196072</c:v>
                </c:pt>
                <c:pt idx="62">
                  <c:v>0.12463235294117642</c:v>
                </c:pt>
                <c:pt idx="63">
                  <c:v>0.12426470588235289</c:v>
                </c:pt>
                <c:pt idx="64">
                  <c:v>0.12230392156862741</c:v>
                </c:pt>
                <c:pt idx="65">
                  <c:v>0.12144607843137249</c:v>
                </c:pt>
                <c:pt idx="66">
                  <c:v>0.12107843137254896</c:v>
                </c:pt>
                <c:pt idx="67">
                  <c:v>0.11948529411764701</c:v>
                </c:pt>
                <c:pt idx="68">
                  <c:v>0.11936274509803918</c:v>
                </c:pt>
                <c:pt idx="69">
                  <c:v>0.11887254901960778</c:v>
                </c:pt>
                <c:pt idx="70">
                  <c:v>0.11678921568627446</c:v>
                </c:pt>
                <c:pt idx="71">
                  <c:v>0.11703431372549014</c:v>
                </c:pt>
                <c:pt idx="72">
                  <c:v>0.11617647058823524</c:v>
                </c:pt>
                <c:pt idx="73">
                  <c:v>0.11519607843137249</c:v>
                </c:pt>
                <c:pt idx="74">
                  <c:v>0.11482843137254896</c:v>
                </c:pt>
                <c:pt idx="75">
                  <c:v>0.11360294117647053</c:v>
                </c:pt>
                <c:pt idx="76">
                  <c:v>0.11249999999999995</c:v>
                </c:pt>
                <c:pt idx="77">
                  <c:v>0.11200980392156858</c:v>
                </c:pt>
                <c:pt idx="78">
                  <c:v>0.11127450980392152</c:v>
                </c:pt>
                <c:pt idx="79">
                  <c:v>0.11029411764705878</c:v>
                </c:pt>
                <c:pt idx="80">
                  <c:v>0.10857843137254898</c:v>
                </c:pt>
              </c:numCache>
            </c:numRef>
          </c:yVal>
        </c:ser>
        <c:ser>
          <c:idx val="3"/>
          <c:order val="3"/>
          <c:tx>
            <c:strRef>
              <c:f>Calculations!$J$42</c:f>
              <c:strCache>
                <c:ptCount val="1"/>
                <c:pt idx="0">
                  <c:v>HI-MID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Calculations!$J$44:$J$124</c:f>
              <c:numCache>
                <c:formatCode>0.000</c:formatCode>
                <c:ptCount val="81"/>
                <c:pt idx="0">
                  <c:v>0.99899999999999956</c:v>
                </c:pt>
                <c:pt idx="1">
                  <c:v>0.99899999999999956</c:v>
                </c:pt>
                <c:pt idx="2">
                  <c:v>0.99899999999999956</c:v>
                </c:pt>
                <c:pt idx="3">
                  <c:v>0.99899999999999956</c:v>
                </c:pt>
                <c:pt idx="4">
                  <c:v>0.99899999999999956</c:v>
                </c:pt>
                <c:pt idx="5">
                  <c:v>0.99899999999999956</c:v>
                </c:pt>
                <c:pt idx="6">
                  <c:v>0.99899999999999956</c:v>
                </c:pt>
                <c:pt idx="7">
                  <c:v>0.99899999999999956</c:v>
                </c:pt>
                <c:pt idx="8">
                  <c:v>0.99899999999999956</c:v>
                </c:pt>
                <c:pt idx="9">
                  <c:v>0.99899999999999956</c:v>
                </c:pt>
                <c:pt idx="10">
                  <c:v>0.99899999999999956</c:v>
                </c:pt>
                <c:pt idx="11">
                  <c:v>0.99899999999999956</c:v>
                </c:pt>
                <c:pt idx="12">
                  <c:v>0.99899999999999956</c:v>
                </c:pt>
                <c:pt idx="13">
                  <c:v>0.99899999999999956</c:v>
                </c:pt>
                <c:pt idx="14">
                  <c:v>0.94252450980392166</c:v>
                </c:pt>
                <c:pt idx="15">
                  <c:v>0.84901960784313757</c:v>
                </c:pt>
                <c:pt idx="16">
                  <c:v>0.76090686274509856</c:v>
                </c:pt>
                <c:pt idx="17">
                  <c:v>0.68100490196078445</c:v>
                </c:pt>
                <c:pt idx="18">
                  <c:v>0.61200980392156867</c:v>
                </c:pt>
                <c:pt idx="19">
                  <c:v>0.55637254901960786</c:v>
                </c:pt>
                <c:pt idx="20">
                  <c:v>0.50980392156862742</c:v>
                </c:pt>
                <c:pt idx="21">
                  <c:v>0.46752450980392163</c:v>
                </c:pt>
                <c:pt idx="22">
                  <c:v>0.42671568627450995</c:v>
                </c:pt>
                <c:pt idx="23">
                  <c:v>0.39546568627451001</c:v>
                </c:pt>
                <c:pt idx="24">
                  <c:v>0.3632352941176471</c:v>
                </c:pt>
                <c:pt idx="25">
                  <c:v>0.33455882352941185</c:v>
                </c:pt>
                <c:pt idx="26">
                  <c:v>0.30833333333333335</c:v>
                </c:pt>
                <c:pt idx="27">
                  <c:v>0.29215686274509806</c:v>
                </c:pt>
                <c:pt idx="28">
                  <c:v>0.27340686274509807</c:v>
                </c:pt>
                <c:pt idx="29">
                  <c:v>0.25637254901960788</c:v>
                </c:pt>
                <c:pt idx="30">
                  <c:v>0.23897058823529416</c:v>
                </c:pt>
                <c:pt idx="31">
                  <c:v>0.22401960784313732</c:v>
                </c:pt>
                <c:pt idx="32">
                  <c:v>0.21176470588235302</c:v>
                </c:pt>
                <c:pt idx="33">
                  <c:v>0.19693627450980403</c:v>
                </c:pt>
                <c:pt idx="34">
                  <c:v>0.1862745098039216</c:v>
                </c:pt>
                <c:pt idx="35">
                  <c:v>0.17561274509803923</c:v>
                </c:pt>
                <c:pt idx="36">
                  <c:v>0.16629901960784316</c:v>
                </c:pt>
                <c:pt idx="37">
                  <c:v>0.15686274509803924</c:v>
                </c:pt>
                <c:pt idx="38">
                  <c:v>0.14926470588235297</c:v>
                </c:pt>
                <c:pt idx="39">
                  <c:v>0.14142156862745098</c:v>
                </c:pt>
                <c:pt idx="40">
                  <c:v>0.1338235294117647</c:v>
                </c:pt>
                <c:pt idx="41">
                  <c:v>0.12659313725490196</c:v>
                </c:pt>
                <c:pt idx="42">
                  <c:v>0.12071078431372551</c:v>
                </c:pt>
                <c:pt idx="43">
                  <c:v>0.11531862745098041</c:v>
                </c:pt>
                <c:pt idx="44">
                  <c:v>0.10857843137254906</c:v>
                </c:pt>
                <c:pt idx="45">
                  <c:v>0.10343137254901966</c:v>
                </c:pt>
                <c:pt idx="46">
                  <c:v>9.7794117647058865E-2</c:v>
                </c:pt>
                <c:pt idx="47">
                  <c:v>9.3872549019607884E-2</c:v>
                </c:pt>
                <c:pt idx="48">
                  <c:v>9.0196078431372562E-2</c:v>
                </c:pt>
                <c:pt idx="49">
                  <c:v>8.6887254901960795E-2</c:v>
                </c:pt>
                <c:pt idx="50">
                  <c:v>8.25980392156863E-2</c:v>
                </c:pt>
                <c:pt idx="51">
                  <c:v>7.9779411764705904E-2</c:v>
                </c:pt>
                <c:pt idx="52">
                  <c:v>7.794117647058825E-2</c:v>
                </c:pt>
                <c:pt idx="53">
                  <c:v>7.6470588235294124E-2</c:v>
                </c:pt>
                <c:pt idx="54">
                  <c:v>7.120098039215686E-2</c:v>
                </c:pt>
                <c:pt idx="55">
                  <c:v>6.7647058823529407E-2</c:v>
                </c:pt>
                <c:pt idx="56">
                  <c:v>6.5441176470588239E-2</c:v>
                </c:pt>
                <c:pt idx="57">
                  <c:v>6.3112745098039214E-2</c:v>
                </c:pt>
                <c:pt idx="58">
                  <c:v>5.9926470588235303E-2</c:v>
                </c:pt>
                <c:pt idx="59">
                  <c:v>5.8578431372549027E-2</c:v>
                </c:pt>
                <c:pt idx="60">
                  <c:v>5.7598039215686285E-2</c:v>
                </c:pt>
                <c:pt idx="61">
                  <c:v>4.926470588235296E-2</c:v>
                </c:pt>
                <c:pt idx="62">
                  <c:v>5.1593137254901986E-2</c:v>
                </c:pt>
                <c:pt idx="63">
                  <c:v>4.9387254901960803E-2</c:v>
                </c:pt>
                <c:pt idx="64">
                  <c:v>4.6568627450980393E-2</c:v>
                </c:pt>
                <c:pt idx="65">
                  <c:v>4.5220588235294137E-2</c:v>
                </c:pt>
                <c:pt idx="66">
                  <c:v>4.534313725490198E-2</c:v>
                </c:pt>
                <c:pt idx="67">
                  <c:v>4.2647058823529427E-2</c:v>
                </c:pt>
                <c:pt idx="68">
                  <c:v>4.1789215686274528E-2</c:v>
                </c:pt>
                <c:pt idx="69">
                  <c:v>4.1053921568627465E-2</c:v>
                </c:pt>
                <c:pt idx="70">
                  <c:v>4.0318627450980402E-2</c:v>
                </c:pt>
                <c:pt idx="71">
                  <c:v>3.9950980392156846E-2</c:v>
                </c:pt>
                <c:pt idx="72">
                  <c:v>3.7499999999999992E-2</c:v>
                </c:pt>
                <c:pt idx="73">
                  <c:v>3.5416666666666659E-2</c:v>
                </c:pt>
                <c:pt idx="74">
                  <c:v>3.3578431372549018E-2</c:v>
                </c:pt>
                <c:pt idx="75">
                  <c:v>3.1495098039215685E-2</c:v>
                </c:pt>
                <c:pt idx="76">
                  <c:v>3.1372549019607843E-2</c:v>
                </c:pt>
                <c:pt idx="77">
                  <c:v>2.7818627450980397E-2</c:v>
                </c:pt>
                <c:pt idx="78">
                  <c:v>2.7205882352941173E-2</c:v>
                </c:pt>
                <c:pt idx="79">
                  <c:v>2.7573529411764709E-2</c:v>
                </c:pt>
                <c:pt idx="80">
                  <c:v>2.5490196078431372E-2</c:v>
                </c:pt>
              </c:numCache>
            </c:numRef>
          </c:yVal>
        </c:ser>
        <c:ser>
          <c:idx val="0"/>
          <c:order val="0"/>
          <c:tx>
            <c:strRef>
              <c:f>Calculations!$L$42</c:f>
              <c:strCache>
                <c:ptCount val="1"/>
                <c:pt idx="0">
                  <c:v>LO-MID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Calculations!$L$44:$L$124</c:f>
              <c:numCache>
                <c:formatCode>0.000</c:formatCode>
                <c:ptCount val="81"/>
                <c:pt idx="0">
                  <c:v>0.99899999999999956</c:v>
                </c:pt>
                <c:pt idx="1">
                  <c:v>0.99899999999999956</c:v>
                </c:pt>
                <c:pt idx="2">
                  <c:v>0.99899999999999956</c:v>
                </c:pt>
                <c:pt idx="3">
                  <c:v>0.99899999999999956</c:v>
                </c:pt>
                <c:pt idx="4">
                  <c:v>0.99899999999999956</c:v>
                </c:pt>
                <c:pt idx="5">
                  <c:v>0.99899999999999956</c:v>
                </c:pt>
                <c:pt idx="6">
                  <c:v>0.99899999999999956</c:v>
                </c:pt>
                <c:pt idx="7">
                  <c:v>0.99899999999999956</c:v>
                </c:pt>
                <c:pt idx="8">
                  <c:v>0.99899999999999956</c:v>
                </c:pt>
                <c:pt idx="9">
                  <c:v>0.99899999999999956</c:v>
                </c:pt>
                <c:pt idx="10">
                  <c:v>0.99899999999999956</c:v>
                </c:pt>
                <c:pt idx="11">
                  <c:v>0.99899999999999956</c:v>
                </c:pt>
                <c:pt idx="12">
                  <c:v>0.92879901960784328</c:v>
                </c:pt>
                <c:pt idx="13">
                  <c:v>0.82022058823529453</c:v>
                </c:pt>
                <c:pt idx="14">
                  <c:v>0.7350490196078433</c:v>
                </c:pt>
                <c:pt idx="15">
                  <c:v>0.66507352941176479</c:v>
                </c:pt>
                <c:pt idx="16">
                  <c:v>0.60563725490196085</c:v>
                </c:pt>
                <c:pt idx="17">
                  <c:v>0.54889705882352946</c:v>
                </c:pt>
                <c:pt idx="18">
                  <c:v>0.50245098039215685</c:v>
                </c:pt>
                <c:pt idx="19">
                  <c:v>0.46519607843137262</c:v>
                </c:pt>
                <c:pt idx="20">
                  <c:v>0.4310049019607845</c:v>
                </c:pt>
                <c:pt idx="21">
                  <c:v>0.40318627450980415</c:v>
                </c:pt>
                <c:pt idx="22">
                  <c:v>0.37487745098039243</c:v>
                </c:pt>
                <c:pt idx="23">
                  <c:v>0.35367647058823531</c:v>
                </c:pt>
                <c:pt idx="24">
                  <c:v>0.33149509803921573</c:v>
                </c:pt>
                <c:pt idx="25">
                  <c:v>0.31102941176470589</c:v>
                </c:pt>
                <c:pt idx="26">
                  <c:v>0.29276960784313727</c:v>
                </c:pt>
                <c:pt idx="27">
                  <c:v>0.28051470588235294</c:v>
                </c:pt>
                <c:pt idx="28">
                  <c:v>0.26813725490196083</c:v>
                </c:pt>
                <c:pt idx="29">
                  <c:v>0.25551470588235292</c:v>
                </c:pt>
                <c:pt idx="30">
                  <c:v>0.24534313725490198</c:v>
                </c:pt>
                <c:pt idx="31">
                  <c:v>0.23480392156862748</c:v>
                </c:pt>
                <c:pt idx="32">
                  <c:v>0.22463235294117653</c:v>
                </c:pt>
                <c:pt idx="33">
                  <c:v>0.21605392156862754</c:v>
                </c:pt>
                <c:pt idx="34">
                  <c:v>0.20821078431372558</c:v>
                </c:pt>
                <c:pt idx="35">
                  <c:v>0.20061274509803934</c:v>
                </c:pt>
                <c:pt idx="36">
                  <c:v>0.19497549019607854</c:v>
                </c:pt>
                <c:pt idx="37">
                  <c:v>0.18909313725490201</c:v>
                </c:pt>
                <c:pt idx="38">
                  <c:v>0.18333333333333338</c:v>
                </c:pt>
                <c:pt idx="39">
                  <c:v>0.17757352941176474</c:v>
                </c:pt>
                <c:pt idx="40">
                  <c:v>0.17303921568627453</c:v>
                </c:pt>
                <c:pt idx="41">
                  <c:v>0.16740196078431377</c:v>
                </c:pt>
                <c:pt idx="42">
                  <c:v>0.16360294117647062</c:v>
                </c:pt>
                <c:pt idx="43">
                  <c:v>0.15943627450980394</c:v>
                </c:pt>
                <c:pt idx="44">
                  <c:v>0.15379901960784315</c:v>
                </c:pt>
                <c:pt idx="45">
                  <c:v>0.15036764705882355</c:v>
                </c:pt>
                <c:pt idx="46">
                  <c:v>0.14718137254901961</c:v>
                </c:pt>
                <c:pt idx="47">
                  <c:v>0.14375000000000002</c:v>
                </c:pt>
                <c:pt idx="48">
                  <c:v>0.14178921568627451</c:v>
                </c:pt>
                <c:pt idx="49">
                  <c:v>0.13921568627450981</c:v>
                </c:pt>
                <c:pt idx="50">
                  <c:v>0.13676470588235295</c:v>
                </c:pt>
                <c:pt idx="51">
                  <c:v>0.13468137254901963</c:v>
                </c:pt>
                <c:pt idx="52">
                  <c:v>0.13210784313725488</c:v>
                </c:pt>
                <c:pt idx="53">
                  <c:v>0.12916666666666668</c:v>
                </c:pt>
                <c:pt idx="54">
                  <c:v>0.12745098039215685</c:v>
                </c:pt>
                <c:pt idx="55">
                  <c:v>0.12647058823529411</c:v>
                </c:pt>
                <c:pt idx="56">
                  <c:v>0.12279411764705883</c:v>
                </c:pt>
                <c:pt idx="57">
                  <c:v>0.12095588235294119</c:v>
                </c:pt>
                <c:pt idx="58">
                  <c:v>0.11960784313725491</c:v>
                </c:pt>
                <c:pt idx="59">
                  <c:v>0.11838235294117648</c:v>
                </c:pt>
                <c:pt idx="60">
                  <c:v>0.11531862745098041</c:v>
                </c:pt>
                <c:pt idx="61">
                  <c:v>0.11458333333333336</c:v>
                </c:pt>
                <c:pt idx="62">
                  <c:v>0.11458333333333336</c:v>
                </c:pt>
                <c:pt idx="63">
                  <c:v>0.11311274509803924</c:v>
                </c:pt>
                <c:pt idx="64">
                  <c:v>0.11090686274509808</c:v>
                </c:pt>
                <c:pt idx="65">
                  <c:v>0.11029411764705886</c:v>
                </c:pt>
                <c:pt idx="66">
                  <c:v>0.10931372549019611</c:v>
                </c:pt>
                <c:pt idx="67">
                  <c:v>0.10833333333333336</c:v>
                </c:pt>
                <c:pt idx="68">
                  <c:v>0.10845588235294121</c:v>
                </c:pt>
                <c:pt idx="69">
                  <c:v>0.1061274509803922</c:v>
                </c:pt>
                <c:pt idx="70">
                  <c:v>0.10477941176470593</c:v>
                </c:pt>
                <c:pt idx="71">
                  <c:v>0.10465686274509808</c:v>
                </c:pt>
                <c:pt idx="72">
                  <c:v>0.1035539215686275</c:v>
                </c:pt>
                <c:pt idx="73">
                  <c:v>0.10379901960784318</c:v>
                </c:pt>
                <c:pt idx="74">
                  <c:v>0.101593137254902</c:v>
                </c:pt>
                <c:pt idx="75">
                  <c:v>0.10049019607843142</c:v>
                </c:pt>
                <c:pt idx="76">
                  <c:v>9.9632352941176519E-2</c:v>
                </c:pt>
                <c:pt idx="77">
                  <c:v>9.877450980392162E-2</c:v>
                </c:pt>
                <c:pt idx="78">
                  <c:v>9.8529411764705935E-2</c:v>
                </c:pt>
                <c:pt idx="79">
                  <c:v>9.6568627450980452E-2</c:v>
                </c:pt>
                <c:pt idx="80">
                  <c:v>9.6323529411764766E-2</c:v>
                </c:pt>
              </c:numCache>
            </c:numRef>
          </c:yVal>
        </c:ser>
        <c:ser>
          <c:idx val="1"/>
          <c:order val="1"/>
          <c:tx>
            <c:strRef>
              <c:f>Calculations!$N$42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Calculations!$N$44:$N$124</c:f>
              <c:numCache>
                <c:formatCode>0.000</c:formatCode>
                <c:ptCount val="81"/>
                <c:pt idx="0">
                  <c:v>0.99899999999999956</c:v>
                </c:pt>
                <c:pt idx="1">
                  <c:v>0.99899999999999956</c:v>
                </c:pt>
                <c:pt idx="2">
                  <c:v>0.99899999999999956</c:v>
                </c:pt>
                <c:pt idx="3">
                  <c:v>0.99899999999999956</c:v>
                </c:pt>
                <c:pt idx="4">
                  <c:v>0.99899999999999956</c:v>
                </c:pt>
                <c:pt idx="5">
                  <c:v>0.99899999999999956</c:v>
                </c:pt>
                <c:pt idx="6">
                  <c:v>0.99899999999999956</c:v>
                </c:pt>
                <c:pt idx="7">
                  <c:v>0.99899999999999956</c:v>
                </c:pt>
                <c:pt idx="8">
                  <c:v>0.99899999999999956</c:v>
                </c:pt>
                <c:pt idx="9">
                  <c:v>0.99899999999999956</c:v>
                </c:pt>
                <c:pt idx="10">
                  <c:v>0.98972242647058806</c:v>
                </c:pt>
                <c:pt idx="11">
                  <c:v>0.93529411764705894</c:v>
                </c:pt>
                <c:pt idx="12">
                  <c:v>0.82708333333333373</c:v>
                </c:pt>
                <c:pt idx="13">
                  <c:v>0.73296568627451031</c:v>
                </c:pt>
                <c:pt idx="14">
                  <c:v>0.66004901960784335</c:v>
                </c:pt>
                <c:pt idx="15">
                  <c:v>0.59987745098039214</c:v>
                </c:pt>
                <c:pt idx="16">
                  <c:v>0.54865196078431355</c:v>
                </c:pt>
                <c:pt idx="17">
                  <c:v>0.50036764705882364</c:v>
                </c:pt>
                <c:pt idx="18">
                  <c:v>0.46029411764705891</c:v>
                </c:pt>
                <c:pt idx="19">
                  <c:v>0.42634803921568648</c:v>
                </c:pt>
                <c:pt idx="20">
                  <c:v>0.39620098039215712</c:v>
                </c:pt>
                <c:pt idx="21">
                  <c:v>0.37267156862745127</c:v>
                </c:pt>
                <c:pt idx="22">
                  <c:v>0.34914215686274513</c:v>
                </c:pt>
                <c:pt idx="23">
                  <c:v>0.33112745098039204</c:v>
                </c:pt>
                <c:pt idx="24">
                  <c:v>0.31127450980392141</c:v>
                </c:pt>
                <c:pt idx="25">
                  <c:v>0.29264705882352932</c:v>
                </c:pt>
                <c:pt idx="26">
                  <c:v>0.27794117647058814</c:v>
                </c:pt>
                <c:pt idx="27">
                  <c:v>0.26691176470588235</c:v>
                </c:pt>
                <c:pt idx="28">
                  <c:v>0.25686274509803925</c:v>
                </c:pt>
                <c:pt idx="29">
                  <c:v>0.24497549019607848</c:v>
                </c:pt>
                <c:pt idx="30">
                  <c:v>0.23750000000000004</c:v>
                </c:pt>
                <c:pt idx="31">
                  <c:v>0.2279411764705882</c:v>
                </c:pt>
                <c:pt idx="32">
                  <c:v>0.21948529411764695</c:v>
                </c:pt>
                <c:pt idx="33">
                  <c:v>0.2118872549019607</c:v>
                </c:pt>
                <c:pt idx="34">
                  <c:v>0.20477941176470582</c:v>
                </c:pt>
                <c:pt idx="35">
                  <c:v>0.19914215686274503</c:v>
                </c:pt>
                <c:pt idx="36">
                  <c:v>0.19338235294117642</c:v>
                </c:pt>
                <c:pt idx="37">
                  <c:v>0.18725490196078429</c:v>
                </c:pt>
                <c:pt idx="38">
                  <c:v>0.18419117647058822</c:v>
                </c:pt>
                <c:pt idx="39">
                  <c:v>0.18026960784313725</c:v>
                </c:pt>
                <c:pt idx="40">
                  <c:v>0.17475490196078433</c:v>
                </c:pt>
                <c:pt idx="41">
                  <c:v>0.16936274509803922</c:v>
                </c:pt>
                <c:pt idx="42">
                  <c:v>0.1659313725490196</c:v>
                </c:pt>
                <c:pt idx="43">
                  <c:v>0.16360294117647059</c:v>
                </c:pt>
                <c:pt idx="44">
                  <c:v>0.15821078431372551</c:v>
                </c:pt>
                <c:pt idx="45">
                  <c:v>0.15575980392156866</c:v>
                </c:pt>
                <c:pt idx="46">
                  <c:v>0.15232843137254906</c:v>
                </c:pt>
                <c:pt idx="47">
                  <c:v>0.14963235294117649</c:v>
                </c:pt>
                <c:pt idx="48">
                  <c:v>0.14754901960784317</c:v>
                </c:pt>
                <c:pt idx="49">
                  <c:v>0.14644607843137258</c:v>
                </c:pt>
                <c:pt idx="50">
                  <c:v>0.14374999999999999</c:v>
                </c:pt>
                <c:pt idx="51">
                  <c:v>0.14154411764705879</c:v>
                </c:pt>
                <c:pt idx="52">
                  <c:v>0.13958333333333328</c:v>
                </c:pt>
                <c:pt idx="53">
                  <c:v>0.13774509803921561</c:v>
                </c:pt>
                <c:pt idx="54">
                  <c:v>0.13431372549019602</c:v>
                </c:pt>
                <c:pt idx="55">
                  <c:v>0.13406862745098033</c:v>
                </c:pt>
                <c:pt idx="56">
                  <c:v>0.13210784313725485</c:v>
                </c:pt>
                <c:pt idx="57">
                  <c:v>0.12953431372549015</c:v>
                </c:pt>
                <c:pt idx="58">
                  <c:v>0.12818627450980385</c:v>
                </c:pt>
                <c:pt idx="59">
                  <c:v>0.12720588235294111</c:v>
                </c:pt>
                <c:pt idx="60">
                  <c:v>0.12585784313725484</c:v>
                </c:pt>
                <c:pt idx="61">
                  <c:v>0.12377450980392152</c:v>
                </c:pt>
                <c:pt idx="62">
                  <c:v>0.12475490196078426</c:v>
                </c:pt>
                <c:pt idx="63">
                  <c:v>0.1240196078431372</c:v>
                </c:pt>
                <c:pt idx="64">
                  <c:v>0.12169117647058819</c:v>
                </c:pt>
                <c:pt idx="65">
                  <c:v>0.12107843137254898</c:v>
                </c:pt>
                <c:pt idx="66">
                  <c:v>0.11899509803921564</c:v>
                </c:pt>
                <c:pt idx="67">
                  <c:v>0.11899509803921564</c:v>
                </c:pt>
                <c:pt idx="68">
                  <c:v>0.11838235294117644</c:v>
                </c:pt>
                <c:pt idx="69">
                  <c:v>0.11727941176470583</c:v>
                </c:pt>
                <c:pt idx="70">
                  <c:v>0.11617647058823526</c:v>
                </c:pt>
                <c:pt idx="71">
                  <c:v>0.1160539215686274</c:v>
                </c:pt>
                <c:pt idx="72">
                  <c:v>0.11446078431372544</c:v>
                </c:pt>
                <c:pt idx="73">
                  <c:v>0.11470588235294112</c:v>
                </c:pt>
                <c:pt idx="74">
                  <c:v>0.11397058823529406</c:v>
                </c:pt>
                <c:pt idx="75">
                  <c:v>0.11384803921568622</c:v>
                </c:pt>
                <c:pt idx="76">
                  <c:v>0.11225490196078426</c:v>
                </c:pt>
                <c:pt idx="77">
                  <c:v>0.11053921568627446</c:v>
                </c:pt>
                <c:pt idx="78">
                  <c:v>0.11066176470588231</c:v>
                </c:pt>
                <c:pt idx="79">
                  <c:v>0.11041666666666662</c:v>
                </c:pt>
                <c:pt idx="80">
                  <c:v>0.10968137254901957</c:v>
                </c:pt>
              </c:numCache>
            </c:numRef>
          </c:yVal>
        </c:ser>
        <c:axId val="134408064"/>
        <c:axId val="134414336"/>
      </c:scatterChart>
      <c:valAx>
        <c:axId val="134408064"/>
        <c:scaling>
          <c:orientation val="minMax"/>
          <c:max val="80"/>
          <c:min val="70"/>
        </c:scaling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Sensor</a:t>
                </a:r>
                <a:r>
                  <a:rPr lang="en-US" baseline="0"/>
                  <a:t> to Target DIstance in mm</a:t>
                </a:r>
                <a:endParaRPr lang="en-US"/>
              </a:p>
            </c:rich>
          </c:tx>
        </c:title>
        <c:numFmt formatCode="0" sourceLinked="0"/>
        <c:tickLblPos val="nextTo"/>
        <c:crossAx val="134414336"/>
        <c:crosses val="autoZero"/>
        <c:crossBetween val="midCat"/>
      </c:valAx>
      <c:valAx>
        <c:axId val="134414336"/>
        <c:scaling>
          <c:orientation val="minMax"/>
          <c:max val="0.1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Detected Power in %FSR</a:t>
                </a:r>
              </a:p>
            </c:rich>
          </c:tx>
        </c:title>
        <c:numFmt formatCode="0%" sourceLinked="0"/>
        <c:tickLblPos val="nextTo"/>
        <c:crossAx val="134408064"/>
        <c:crosses val="autoZero"/>
        <c:crossBetween val="midCat"/>
        <c:minorUnit val="1.0000000000000005E-2"/>
      </c:valAx>
    </c:plotArea>
    <c:legend>
      <c:legendPos val="r"/>
      <c:layout>
        <c:manualLayout>
          <c:xMode val="edge"/>
          <c:yMode val="edge"/>
          <c:x val="0.84425090079436249"/>
          <c:y val="0.32421819267641017"/>
          <c:w val="0.13440813913970051"/>
          <c:h val="0.35156317292941791"/>
        </c:manualLayout>
      </c:layout>
      <c:txPr>
        <a:bodyPr/>
        <a:lstStyle/>
        <a:p>
          <a:pPr>
            <a:defRPr sz="700"/>
          </a:pPr>
          <a:endParaRPr lang="en-US"/>
        </a:p>
      </c:txPr>
    </c:legend>
    <c:plotVisOnly val="1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Summary!$B$68</c:f>
          <c:strCache>
            <c:ptCount val="1"/>
            <c:pt idx="0">
              <c:v>29147 IRDR Range Ratio: 6% Reflector , 77% Xmit @ 850nm</c:v>
            </c:pt>
          </c:strCache>
        </c:strRef>
      </c:tx>
      <c:layout/>
      <c:txPr>
        <a:bodyPr/>
        <a:lstStyle/>
        <a:p>
          <a:pPr>
            <a:defRPr sz="1000"/>
          </a:pPr>
          <a:endParaRPr lang="en-US"/>
        </a:p>
      </c:txPr>
    </c:title>
    <c:plotArea>
      <c:layout/>
      <c:scatterChart>
        <c:scatterStyle val="smoothMarker"/>
        <c:ser>
          <c:idx val="0"/>
          <c:order val="0"/>
          <c:tx>
            <c:strRef>
              <c:f>Calculations!$P$43</c:f>
              <c:strCache>
                <c:ptCount val="1"/>
                <c:pt idx="0">
                  <c:v>HI-MID</c:v>
                </c:pt>
              </c:strCache>
            </c:strRef>
          </c:tx>
          <c:marker>
            <c:symbol val="none"/>
          </c:marker>
          <c:xVal>
            <c:numRef>
              <c:f>Calculations!$C$47:$C$62</c:f>
              <c:numCache>
                <c:formatCode>0.0</c:formatCode>
                <c:ptCount val="16"/>
                <c:pt idx="0">
                  <c:v>4.5999999999999996</c:v>
                </c:pt>
                <c:pt idx="1">
                  <c:v>5.6</c:v>
                </c:pt>
                <c:pt idx="2">
                  <c:v>6.6</c:v>
                </c:pt>
                <c:pt idx="3">
                  <c:v>7.6</c:v>
                </c:pt>
                <c:pt idx="4">
                  <c:v>8.6</c:v>
                </c:pt>
                <c:pt idx="5">
                  <c:v>9.6</c:v>
                </c:pt>
                <c:pt idx="6">
                  <c:v>10.6</c:v>
                </c:pt>
                <c:pt idx="7">
                  <c:v>11.6</c:v>
                </c:pt>
                <c:pt idx="8">
                  <c:v>12.6</c:v>
                </c:pt>
                <c:pt idx="9">
                  <c:v>13.6</c:v>
                </c:pt>
                <c:pt idx="10">
                  <c:v>14.6</c:v>
                </c:pt>
                <c:pt idx="11">
                  <c:v>15.6</c:v>
                </c:pt>
                <c:pt idx="12">
                  <c:v>16.600000000000001</c:v>
                </c:pt>
                <c:pt idx="13">
                  <c:v>17.600000000000001</c:v>
                </c:pt>
                <c:pt idx="14">
                  <c:v>18.600000000000001</c:v>
                </c:pt>
                <c:pt idx="15">
                  <c:v>19.600000000000001</c:v>
                </c:pt>
              </c:numCache>
            </c:numRef>
          </c:xVal>
          <c:yVal>
            <c:numRef>
              <c:f>Calculations!$P$47:$P$62</c:f>
              <c:numCache>
                <c:formatCode>General</c:formatCode>
                <c:ptCount val="16"/>
                <c:pt idx="0">
                  <c:v>0.91583511131607886</c:v>
                </c:pt>
                <c:pt idx="1">
                  <c:v>0.91583511131607886</c:v>
                </c:pt>
                <c:pt idx="2">
                  <c:v>0.91583511131607886</c:v>
                </c:pt>
                <c:pt idx="3">
                  <c:v>0.91583511131607886</c:v>
                </c:pt>
                <c:pt idx="4">
                  <c:v>0.91583511131607886</c:v>
                </c:pt>
                <c:pt idx="5">
                  <c:v>0.91583511131607886</c:v>
                </c:pt>
                <c:pt idx="6">
                  <c:v>0.91583511131607886</c:v>
                </c:pt>
                <c:pt idx="7">
                  <c:v>0.90637020388098599</c:v>
                </c:pt>
                <c:pt idx="8">
                  <c:v>0.85085976657324913</c:v>
                </c:pt>
                <c:pt idx="9">
                  <c:v>0.738099340668252</c:v>
                </c:pt>
                <c:pt idx="10">
                  <c:v>0.64180953877184976</c:v>
                </c:pt>
                <c:pt idx="11">
                  <c:v>0.60154736275565135</c:v>
                </c:pt>
                <c:pt idx="12">
                  <c:v>0.59644624381466449</c:v>
                </c:pt>
                <c:pt idx="13">
                  <c:v>0.59658823529411698</c:v>
                </c:pt>
                <c:pt idx="14">
                  <c:v>0.59563986409966019</c:v>
                </c:pt>
                <c:pt idx="15">
                  <c:v>0.59719112988384382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Calculations!$Q$43</c:f>
              <c:strCache>
                <c:ptCount val="1"/>
                <c:pt idx="0">
                  <c:v>LO-MID</c:v>
                </c:pt>
              </c:strCache>
            </c:strRef>
          </c:tx>
          <c:marker>
            <c:symbol val="none"/>
          </c:marker>
          <c:xVal>
            <c:numRef>
              <c:f>Calculations!$C$47:$C$62</c:f>
              <c:numCache>
                <c:formatCode>0.0</c:formatCode>
                <c:ptCount val="16"/>
                <c:pt idx="0">
                  <c:v>4.5999999999999996</c:v>
                </c:pt>
                <c:pt idx="1">
                  <c:v>5.6</c:v>
                </c:pt>
                <c:pt idx="2">
                  <c:v>6.6</c:v>
                </c:pt>
                <c:pt idx="3">
                  <c:v>7.6</c:v>
                </c:pt>
                <c:pt idx="4">
                  <c:v>8.6</c:v>
                </c:pt>
                <c:pt idx="5">
                  <c:v>9.6</c:v>
                </c:pt>
                <c:pt idx="6">
                  <c:v>10.6</c:v>
                </c:pt>
                <c:pt idx="7">
                  <c:v>11.6</c:v>
                </c:pt>
                <c:pt idx="8">
                  <c:v>12.6</c:v>
                </c:pt>
                <c:pt idx="9">
                  <c:v>13.6</c:v>
                </c:pt>
                <c:pt idx="10">
                  <c:v>14.6</c:v>
                </c:pt>
                <c:pt idx="11">
                  <c:v>15.6</c:v>
                </c:pt>
                <c:pt idx="12">
                  <c:v>16.600000000000001</c:v>
                </c:pt>
                <c:pt idx="13">
                  <c:v>17.600000000000001</c:v>
                </c:pt>
                <c:pt idx="14">
                  <c:v>18.600000000000001</c:v>
                </c:pt>
                <c:pt idx="15">
                  <c:v>19.600000000000001</c:v>
                </c:pt>
              </c:numCache>
            </c:numRef>
          </c:xVal>
          <c:yVal>
            <c:numRef>
              <c:f>Calculations!$Q$47:$Q$62</c:f>
              <c:numCache>
                <c:formatCode>General</c:formatCode>
                <c:ptCount val="16"/>
                <c:pt idx="0">
                  <c:v>1.0763981321870431</c:v>
                </c:pt>
                <c:pt idx="1">
                  <c:v>1.0763981321870431</c:v>
                </c:pt>
                <c:pt idx="2">
                  <c:v>1.0763981321870431</c:v>
                </c:pt>
                <c:pt idx="3">
                  <c:v>1.0763981321870431</c:v>
                </c:pt>
                <c:pt idx="4">
                  <c:v>1.0763981321870431</c:v>
                </c:pt>
                <c:pt idx="5">
                  <c:v>1.0763981321870431</c:v>
                </c:pt>
                <c:pt idx="6">
                  <c:v>1.0763981321870431</c:v>
                </c:pt>
                <c:pt idx="7">
                  <c:v>1.0763981321870431</c:v>
                </c:pt>
                <c:pt idx="8">
                  <c:v>1.0763981321870431</c:v>
                </c:pt>
                <c:pt idx="9">
                  <c:v>1.1676144264623205</c:v>
                </c:pt>
                <c:pt idx="10">
                  <c:v>1.3437365930062295</c:v>
                </c:pt>
                <c:pt idx="11">
                  <c:v>1.4350814860585461</c:v>
                </c:pt>
                <c:pt idx="12">
                  <c:v>1.4473284430747864</c:v>
                </c:pt>
                <c:pt idx="13">
                  <c:v>1.4431939458620362</c:v>
                </c:pt>
                <c:pt idx="14">
                  <c:v>1.4476200885294279</c:v>
                </c:pt>
                <c:pt idx="15">
                  <c:v>1.4432455498658863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Calculations!$R$43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Calculations!$C$47:$C$62</c:f>
              <c:numCache>
                <c:formatCode>0.0</c:formatCode>
                <c:ptCount val="16"/>
                <c:pt idx="0">
                  <c:v>4.5999999999999996</c:v>
                </c:pt>
                <c:pt idx="1">
                  <c:v>5.6</c:v>
                </c:pt>
                <c:pt idx="2">
                  <c:v>6.6</c:v>
                </c:pt>
                <c:pt idx="3">
                  <c:v>7.6</c:v>
                </c:pt>
                <c:pt idx="4">
                  <c:v>8.6</c:v>
                </c:pt>
                <c:pt idx="5">
                  <c:v>9.6</c:v>
                </c:pt>
                <c:pt idx="6">
                  <c:v>10.6</c:v>
                </c:pt>
                <c:pt idx="7">
                  <c:v>11.6</c:v>
                </c:pt>
                <c:pt idx="8">
                  <c:v>12.6</c:v>
                </c:pt>
                <c:pt idx="9">
                  <c:v>13.6</c:v>
                </c:pt>
                <c:pt idx="10">
                  <c:v>14.6</c:v>
                </c:pt>
                <c:pt idx="11">
                  <c:v>15.6</c:v>
                </c:pt>
                <c:pt idx="12">
                  <c:v>16.600000000000001</c:v>
                </c:pt>
                <c:pt idx="13">
                  <c:v>17.600000000000001</c:v>
                </c:pt>
                <c:pt idx="14">
                  <c:v>18.600000000000001</c:v>
                </c:pt>
                <c:pt idx="15">
                  <c:v>19.600000000000001</c:v>
                </c:pt>
              </c:numCache>
            </c:numRef>
          </c:xVal>
          <c:yVal>
            <c:numRef>
              <c:f>Calculations!$R$47:$R$62</c:f>
              <c:numCache>
                <c:formatCode>General</c:formatCode>
                <c:ptCount val="16"/>
                <c:pt idx="0">
                  <c:v>1.01384022763787</c:v>
                </c:pt>
                <c:pt idx="1">
                  <c:v>1.01384022763787</c:v>
                </c:pt>
                <c:pt idx="2">
                  <c:v>1.01384022763787</c:v>
                </c:pt>
                <c:pt idx="3">
                  <c:v>1.01384022763787</c:v>
                </c:pt>
                <c:pt idx="4">
                  <c:v>1.01384022763787</c:v>
                </c:pt>
                <c:pt idx="5">
                  <c:v>1.01384022763787</c:v>
                </c:pt>
                <c:pt idx="6">
                  <c:v>1.01384022763787</c:v>
                </c:pt>
                <c:pt idx="7">
                  <c:v>1.0245646294765771</c:v>
                </c:pt>
                <c:pt idx="8">
                  <c:v>1.0923533004603208</c:v>
                </c:pt>
                <c:pt idx="9">
                  <c:v>1.1595450880834344</c:v>
                </c:pt>
                <c:pt idx="10">
                  <c:v>1.1604401683228953</c:v>
                </c:pt>
                <c:pt idx="11">
                  <c:v>1.1594241834016163</c:v>
                </c:pt>
                <c:pt idx="12">
                  <c:v>1.1589908695324098</c:v>
                </c:pt>
                <c:pt idx="13">
                  <c:v>1.1588385754841619</c:v>
                </c:pt>
                <c:pt idx="14">
                  <c:v>1.156810064165376</c:v>
                </c:pt>
                <c:pt idx="15">
                  <c:v>1.1565551521133708</c:v>
                </c:pt>
              </c:numCache>
            </c:numRef>
          </c:yVal>
          <c:smooth val="1"/>
        </c:ser>
        <c:axId val="134470272"/>
        <c:axId val="134484352"/>
      </c:scatterChart>
      <c:valAx>
        <c:axId val="134470272"/>
        <c:scaling>
          <c:orientation val="minMax"/>
          <c:max val="21"/>
          <c:min val="6"/>
        </c:scaling>
        <c:axPos val="b"/>
        <c:numFmt formatCode="0" sourceLinked="0"/>
        <c:tickLblPos val="nextTo"/>
        <c:crossAx val="134484352"/>
        <c:crosses val="autoZero"/>
        <c:crossBetween val="midCat"/>
      </c:valAx>
      <c:valAx>
        <c:axId val="134484352"/>
        <c:scaling>
          <c:orientation val="minMax"/>
          <c:min val="1"/>
        </c:scaling>
        <c:axPos val="l"/>
        <c:majorGridlines/>
        <c:minorGridlines/>
        <c:numFmt formatCode="General" sourceLinked="1"/>
        <c:tickLblPos val="nextTo"/>
        <c:crossAx val="134470272"/>
        <c:crosses val="autoZero"/>
        <c:crossBetween val="midCat"/>
        <c:minorUnit val="0.1"/>
      </c:valAx>
    </c:plotArea>
    <c:legend>
      <c:legendPos val="r"/>
      <c:layout/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Summary!$B$86</c:f>
          <c:strCache>
            <c:ptCount val="1"/>
            <c:pt idx="0">
              <c:v>29147 System Curve: 6% Reflector , 77% Xmit @ 850nm</c:v>
            </c:pt>
          </c:strCache>
        </c:strRef>
      </c:tx>
      <c:layout/>
      <c:txPr>
        <a:bodyPr/>
        <a:lstStyle/>
        <a:p>
          <a:pPr>
            <a:defRPr sz="10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Calculations!$T$43</c:f>
              <c:strCache>
                <c:ptCount val="1"/>
                <c:pt idx="0">
                  <c:v>-1.5σ</c:v>
                </c:pt>
              </c:strCache>
            </c:strRef>
          </c:tx>
          <c:spPr>
            <a:ln>
              <a:solidFill>
                <a:srgbClr val="070707"/>
              </a:solidFill>
              <a:prstDash val="sysDot"/>
            </a:ln>
          </c:spPr>
          <c:marker>
            <c:symbol val="none"/>
          </c:marker>
          <c:xVal>
            <c:numRef>
              <c:f>Calculations!$S$44:$S$124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Calculations!$T$44:$T$124</c:f>
              <c:numCache>
                <c:formatCode>0.000</c:formatCode>
                <c:ptCount val="81"/>
                <c:pt idx="0">
                  <c:v>0.88585049019607731</c:v>
                </c:pt>
                <c:pt idx="1">
                  <c:v>0.88585049019607731</c:v>
                </c:pt>
                <c:pt idx="2">
                  <c:v>0.88585049019607731</c:v>
                </c:pt>
                <c:pt idx="3">
                  <c:v>0.88585049019607731</c:v>
                </c:pt>
                <c:pt idx="4">
                  <c:v>0.88585049019607731</c:v>
                </c:pt>
                <c:pt idx="5">
                  <c:v>0.88585049019607731</c:v>
                </c:pt>
                <c:pt idx="6">
                  <c:v>0.88585049019607731</c:v>
                </c:pt>
                <c:pt idx="7">
                  <c:v>0.88585049019607731</c:v>
                </c:pt>
                <c:pt idx="8">
                  <c:v>0.88585049019607731</c:v>
                </c:pt>
                <c:pt idx="9">
                  <c:v>0.88585049019607731</c:v>
                </c:pt>
                <c:pt idx="10">
                  <c:v>0.8540874615096451</c:v>
                </c:pt>
                <c:pt idx="11">
                  <c:v>0.72664353038504426</c:v>
                </c:pt>
                <c:pt idx="12">
                  <c:v>0.61764298141422269</c:v>
                </c:pt>
                <c:pt idx="13">
                  <c:v>0.52571012479646861</c:v>
                </c:pt>
                <c:pt idx="14">
                  <c:v>0.45251415592878297</c:v>
                </c:pt>
                <c:pt idx="15">
                  <c:v>0.3927531763976746</c:v>
                </c:pt>
                <c:pt idx="16">
                  <c:v>0.3391236231358527</c:v>
                </c:pt>
                <c:pt idx="17">
                  <c:v>0.29123298596047797</c:v>
                </c:pt>
                <c:pt idx="18">
                  <c:v>0.25074805318469773</c:v>
                </c:pt>
                <c:pt idx="19">
                  <c:v>0.21768070659568706</c:v>
                </c:pt>
                <c:pt idx="20">
                  <c:v>0.18854508501841616</c:v>
                </c:pt>
                <c:pt idx="21">
                  <c:v>0.16458016658384744</c:v>
                </c:pt>
                <c:pt idx="22">
                  <c:v>0.13933447863255904</c:v>
                </c:pt>
                <c:pt idx="23">
                  <c:v>0.12135033774310236</c:v>
                </c:pt>
                <c:pt idx="24">
                  <c:v>0.10012214412367434</c:v>
                </c:pt>
                <c:pt idx="25">
                  <c:v>8.6470963919371008E-2</c:v>
                </c:pt>
                <c:pt idx="26">
                  <c:v>6.7806271936713375E-2</c:v>
                </c:pt>
                <c:pt idx="27">
                  <c:v>5.8551909573890171E-2</c:v>
                </c:pt>
                <c:pt idx="28">
                  <c:v>4.6786062459764549E-2</c:v>
                </c:pt>
                <c:pt idx="29">
                  <c:v>3.5497989619266701E-2</c:v>
                </c:pt>
                <c:pt idx="30">
                  <c:v>2.5950130671096805E-2</c:v>
                </c:pt>
                <c:pt idx="31">
                  <c:v>1.7998659019690416E-2</c:v>
                </c:pt>
                <c:pt idx="32">
                  <c:v>9.7589584546270286E-3</c:v>
                </c:pt>
                <c:pt idx="33">
                  <c:v>3.0851248317181335E-3</c:v>
                </c:pt>
                <c:pt idx="34">
                  <c:v>-4.1915485131001351E-3</c:v>
                </c:pt>
                <c:pt idx="35">
                  <c:v>-9.8398002096545534E-3</c:v>
                </c:pt>
                <c:pt idx="36">
                  <c:v>-1.6395264116757485E-2</c:v>
                </c:pt>
                <c:pt idx="37">
                  <c:v>-2.1610962407005357E-2</c:v>
                </c:pt>
                <c:pt idx="38">
                  <c:v>-2.72204412591283E-2</c:v>
                </c:pt>
                <c:pt idx="39">
                  <c:v>-3.1164444712368039E-2</c:v>
                </c:pt>
                <c:pt idx="40">
                  <c:v>-3.7621894034170683E-2</c:v>
                </c:pt>
                <c:pt idx="41">
                  <c:v>-4.0644797546361439E-2</c:v>
                </c:pt>
                <c:pt idx="42">
                  <c:v>-4.4938017411798314E-2</c:v>
                </c:pt>
                <c:pt idx="43">
                  <c:v>-4.8018092062908177E-2</c:v>
                </c:pt>
                <c:pt idx="44">
                  <c:v>-5.1088480112089579E-2</c:v>
                </c:pt>
                <c:pt idx="45">
                  <c:v>-5.428080444271273E-2</c:v>
                </c:pt>
                <c:pt idx="46">
                  <c:v>-5.8428663498106603E-2</c:v>
                </c:pt>
                <c:pt idx="47">
                  <c:v>-6.2262716843732885E-2</c:v>
                </c:pt>
                <c:pt idx="48">
                  <c:v>-6.1562412101920483E-2</c:v>
                </c:pt>
                <c:pt idx="49">
                  <c:v>-6.4929224854584702E-2</c:v>
                </c:pt>
                <c:pt idx="50">
                  <c:v>-6.7211370630289619E-2</c:v>
                </c:pt>
                <c:pt idx="51">
                  <c:v>-6.9360028955000069E-2</c:v>
                </c:pt>
                <c:pt idx="52">
                  <c:v>-7.117284344646313E-2</c:v>
                </c:pt>
                <c:pt idx="53">
                  <c:v>-7.2043452407061809E-2</c:v>
                </c:pt>
                <c:pt idx="54">
                  <c:v>-7.5813114597599207E-2</c:v>
                </c:pt>
                <c:pt idx="55">
                  <c:v>-7.5965968197773348E-2</c:v>
                </c:pt>
                <c:pt idx="56">
                  <c:v>-7.8509612271532497E-2</c:v>
                </c:pt>
                <c:pt idx="57">
                  <c:v>-7.8630000064296574E-2</c:v>
                </c:pt>
                <c:pt idx="58">
                  <c:v>-7.9528797110551303E-2</c:v>
                </c:pt>
                <c:pt idx="59">
                  <c:v>-8.2461029131697478E-2</c:v>
                </c:pt>
                <c:pt idx="60">
                  <c:v>-8.6393567052440196E-2</c:v>
                </c:pt>
                <c:pt idx="61">
                  <c:v>-8.7195504019095163E-2</c:v>
                </c:pt>
                <c:pt idx="62">
                  <c:v>-8.6364672637760764E-2</c:v>
                </c:pt>
                <c:pt idx="63">
                  <c:v>-8.8459045466227931E-2</c:v>
                </c:pt>
                <c:pt idx="64">
                  <c:v>-8.9790096050251206E-2</c:v>
                </c:pt>
                <c:pt idx="65">
                  <c:v>-9.0682305109036881E-2</c:v>
                </c:pt>
                <c:pt idx="66">
                  <c:v>-8.9827469978947486E-2</c:v>
                </c:pt>
                <c:pt idx="67">
                  <c:v>-9.2037913765149443E-2</c:v>
                </c:pt>
                <c:pt idx="68">
                  <c:v>-9.1167777873948502E-2</c:v>
                </c:pt>
                <c:pt idx="69">
                  <c:v>-9.0753999259840235E-2</c:v>
                </c:pt>
                <c:pt idx="70">
                  <c:v>-9.2967943951777682E-2</c:v>
                </c:pt>
                <c:pt idx="71">
                  <c:v>-9.3715712809482377E-2</c:v>
                </c:pt>
                <c:pt idx="72">
                  <c:v>-9.5139623146737379E-2</c:v>
                </c:pt>
                <c:pt idx="73">
                  <c:v>-9.5572709101419476E-2</c:v>
                </c:pt>
                <c:pt idx="74">
                  <c:v>-9.4331858128550869E-2</c:v>
                </c:pt>
                <c:pt idx="75">
                  <c:v>-9.4731273719663722E-2</c:v>
                </c:pt>
                <c:pt idx="76">
                  <c:v>-9.6067910965735567E-2</c:v>
                </c:pt>
                <c:pt idx="77">
                  <c:v>-9.5670789043766594E-2</c:v>
                </c:pt>
                <c:pt idx="78">
                  <c:v>-9.6545459036940576E-2</c:v>
                </c:pt>
                <c:pt idx="79">
                  <c:v>-9.8685985513372113E-2</c:v>
                </c:pt>
                <c:pt idx="80">
                  <c:v>-9.9167081728099113E-2</c:v>
                </c:pt>
              </c:numCache>
            </c:numRef>
          </c:yVal>
        </c:ser>
        <c:ser>
          <c:idx val="1"/>
          <c:order val="1"/>
          <c:tx>
            <c:strRef>
              <c:f>Calculations!$U$43</c:f>
              <c:strCache>
                <c:ptCount val="1"/>
                <c:pt idx="0">
                  <c:v>mean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Calculations!$S$44:$S$124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Calculations!$U$44:$U$124</c:f>
              <c:numCache>
                <c:formatCode>0.000</c:formatCode>
                <c:ptCount val="81"/>
                <c:pt idx="0">
                  <c:v>0.88585049019607798</c:v>
                </c:pt>
                <c:pt idx="1">
                  <c:v>0.88585049019607798</c:v>
                </c:pt>
                <c:pt idx="2">
                  <c:v>0.88585049019607798</c:v>
                </c:pt>
                <c:pt idx="3">
                  <c:v>0.88585049019607798</c:v>
                </c:pt>
                <c:pt idx="4">
                  <c:v>0.88585049019607798</c:v>
                </c:pt>
                <c:pt idx="5">
                  <c:v>0.88585049019607798</c:v>
                </c:pt>
                <c:pt idx="6">
                  <c:v>0.88585049019607798</c:v>
                </c:pt>
                <c:pt idx="7">
                  <c:v>0.88585049019607798</c:v>
                </c:pt>
                <c:pt idx="8">
                  <c:v>0.88585049019607798</c:v>
                </c:pt>
                <c:pt idx="9">
                  <c:v>0.88585049019607798</c:v>
                </c:pt>
                <c:pt idx="10">
                  <c:v>0.87669546568627432</c:v>
                </c:pt>
                <c:pt idx="11">
                  <c:v>0.82300245098039226</c:v>
                </c:pt>
                <c:pt idx="12">
                  <c:v>0.71393382352941215</c:v>
                </c:pt>
                <c:pt idx="13">
                  <c:v>0.62079656862745147</c:v>
                </c:pt>
                <c:pt idx="14">
                  <c:v>0.54787990196078451</c:v>
                </c:pt>
                <c:pt idx="15">
                  <c:v>0.4874632352941175</c:v>
                </c:pt>
                <c:pt idx="16">
                  <c:v>0.4350122549019606</c:v>
                </c:pt>
                <c:pt idx="17">
                  <c:v>0.38672794117647064</c:v>
                </c:pt>
                <c:pt idx="18">
                  <c:v>0.34653186274509812</c:v>
                </c:pt>
                <c:pt idx="19">
                  <c:v>0.31442401960784333</c:v>
                </c:pt>
                <c:pt idx="20">
                  <c:v>0.28488970588235318</c:v>
                </c:pt>
                <c:pt idx="21">
                  <c:v>0.2609926470588238</c:v>
                </c:pt>
                <c:pt idx="22">
                  <c:v>0.23623774509803924</c:v>
                </c:pt>
                <c:pt idx="23">
                  <c:v>0.21785539215686262</c:v>
                </c:pt>
                <c:pt idx="24">
                  <c:v>0.19800245098039199</c:v>
                </c:pt>
                <c:pt idx="25">
                  <c:v>0.18158088235294106</c:v>
                </c:pt>
                <c:pt idx="26">
                  <c:v>0.16564950980392146</c:v>
                </c:pt>
                <c:pt idx="27">
                  <c:v>0.15560049019607841</c:v>
                </c:pt>
                <c:pt idx="28">
                  <c:v>0.14469362745098041</c:v>
                </c:pt>
                <c:pt idx="29">
                  <c:v>0.13415441176470591</c:v>
                </c:pt>
                <c:pt idx="30">
                  <c:v>0.12398284313725494</c:v>
                </c:pt>
                <c:pt idx="31">
                  <c:v>0.11515931372549021</c:v>
                </c:pt>
                <c:pt idx="32">
                  <c:v>0.10670343137254895</c:v>
                </c:pt>
                <c:pt idx="33">
                  <c:v>9.873774509803912E-2</c:v>
                </c:pt>
                <c:pt idx="34">
                  <c:v>9.2487745098039142E-2</c:v>
                </c:pt>
                <c:pt idx="35">
                  <c:v>8.6115196078431322E-2</c:v>
                </c:pt>
                <c:pt idx="36">
                  <c:v>8.047794117647053E-2</c:v>
                </c:pt>
                <c:pt idx="37">
                  <c:v>7.5453431372548979E-2</c:v>
                </c:pt>
                <c:pt idx="38">
                  <c:v>7.0551470588235271E-2</c:v>
                </c:pt>
                <c:pt idx="39">
                  <c:v>6.6139705882352934E-2</c:v>
                </c:pt>
                <c:pt idx="40">
                  <c:v>6.0747549019607827E-2</c:v>
                </c:pt>
                <c:pt idx="41">
                  <c:v>5.7193627450980389E-2</c:v>
                </c:pt>
                <c:pt idx="42">
                  <c:v>5.3639705882352923E-2</c:v>
                </c:pt>
                <c:pt idx="43">
                  <c:v>4.9718137254901956E-2</c:v>
                </c:pt>
                <c:pt idx="44">
                  <c:v>4.6164215686274518E-2</c:v>
                </c:pt>
                <c:pt idx="45">
                  <c:v>4.2120098039215709E-2</c:v>
                </c:pt>
                <c:pt idx="46">
                  <c:v>3.9546568627451012E-2</c:v>
                </c:pt>
                <c:pt idx="47">
                  <c:v>3.7585784313725529E-2</c:v>
                </c:pt>
                <c:pt idx="48">
                  <c:v>3.5379901960784332E-2</c:v>
                </c:pt>
                <c:pt idx="49">
                  <c:v>3.3419117647058849E-2</c:v>
                </c:pt>
                <c:pt idx="50">
                  <c:v>3.0600490196078384E-2</c:v>
                </c:pt>
                <c:pt idx="51">
                  <c:v>2.9129901960784271E-2</c:v>
                </c:pt>
                <c:pt idx="52">
                  <c:v>2.6311274509803861E-2</c:v>
                </c:pt>
                <c:pt idx="53">
                  <c:v>2.5085784313725462E-2</c:v>
                </c:pt>
                <c:pt idx="54">
                  <c:v>2.2389705882352895E-2</c:v>
                </c:pt>
                <c:pt idx="55">
                  <c:v>2.1409313725490126E-2</c:v>
                </c:pt>
                <c:pt idx="56">
                  <c:v>1.9448529411764642E-2</c:v>
                </c:pt>
                <c:pt idx="57">
                  <c:v>1.8223039215686215E-2</c:v>
                </c:pt>
                <c:pt idx="58">
                  <c:v>1.6874999999999946E-2</c:v>
                </c:pt>
                <c:pt idx="59">
                  <c:v>1.479166666666662E-2</c:v>
                </c:pt>
                <c:pt idx="60">
                  <c:v>1.197303921568621E-2</c:v>
                </c:pt>
                <c:pt idx="61">
                  <c:v>1.123774509803914E-2</c:v>
                </c:pt>
                <c:pt idx="62">
                  <c:v>1.1482843137254839E-2</c:v>
                </c:pt>
                <c:pt idx="63">
                  <c:v>1.1115196078431311E-2</c:v>
                </c:pt>
                <c:pt idx="64">
                  <c:v>9.1544117647058276E-3</c:v>
                </c:pt>
                <c:pt idx="65">
                  <c:v>8.2965686274509148E-3</c:v>
                </c:pt>
                <c:pt idx="66">
                  <c:v>7.9289215686273867E-3</c:v>
                </c:pt>
                <c:pt idx="67">
                  <c:v>6.3357843137254316E-3</c:v>
                </c:pt>
                <c:pt idx="68">
                  <c:v>6.2132352941176028E-3</c:v>
                </c:pt>
                <c:pt idx="69">
                  <c:v>5.7230392156862042E-3</c:v>
                </c:pt>
                <c:pt idx="70">
                  <c:v>3.6397058823528783E-3</c:v>
                </c:pt>
                <c:pt idx="71">
                  <c:v>3.8848039215685637E-3</c:v>
                </c:pt>
                <c:pt idx="72">
                  <c:v>3.0269607843136648E-3</c:v>
                </c:pt>
                <c:pt idx="73">
                  <c:v>2.0465686274509093E-3</c:v>
                </c:pt>
                <c:pt idx="74">
                  <c:v>1.6789215686273812E-3</c:v>
                </c:pt>
                <c:pt idx="75">
                  <c:v>4.5343137254895416E-4</c:v>
                </c:pt>
                <c:pt idx="76">
                  <c:v>-6.4950980392163016E-4</c:v>
                </c:pt>
                <c:pt idx="77">
                  <c:v>-1.139705882353001E-3</c:v>
                </c:pt>
                <c:pt idx="78">
                  <c:v>-1.8750000000000572E-3</c:v>
                </c:pt>
                <c:pt idx="79">
                  <c:v>-2.8553921568627988E-3</c:v>
                </c:pt>
                <c:pt idx="80">
                  <c:v>-4.5710784313725966E-3</c:v>
                </c:pt>
              </c:numCache>
            </c:numRef>
          </c:yVal>
        </c:ser>
        <c:ser>
          <c:idx val="2"/>
          <c:order val="2"/>
          <c:tx>
            <c:strRef>
              <c:f>Calculations!$V$43</c:f>
              <c:strCache>
                <c:ptCount val="1"/>
                <c:pt idx="0">
                  <c:v>+1.5σ</c:v>
                </c:pt>
              </c:strCache>
            </c:strRef>
          </c:tx>
          <c:spPr>
            <a:ln>
              <a:solidFill>
                <a:srgbClr val="00B050"/>
              </a:solidFill>
              <a:prstDash val="sysDot"/>
            </a:ln>
          </c:spPr>
          <c:marker>
            <c:symbol val="none"/>
          </c:marker>
          <c:xVal>
            <c:numRef>
              <c:f>Calculations!$S$44:$S$124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Calculations!$V$44:$V$124</c:f>
              <c:numCache>
                <c:formatCode>0.000</c:formatCode>
                <c:ptCount val="81"/>
                <c:pt idx="0">
                  <c:v>0.88585049019607864</c:v>
                </c:pt>
                <c:pt idx="1">
                  <c:v>0.88585049019607864</c:v>
                </c:pt>
                <c:pt idx="2">
                  <c:v>0.88585049019607864</c:v>
                </c:pt>
                <c:pt idx="3">
                  <c:v>0.88585049019607864</c:v>
                </c:pt>
                <c:pt idx="4">
                  <c:v>0.88585049019607864</c:v>
                </c:pt>
                <c:pt idx="5">
                  <c:v>0.88585049019607864</c:v>
                </c:pt>
                <c:pt idx="6">
                  <c:v>0.88585049019607864</c:v>
                </c:pt>
                <c:pt idx="7">
                  <c:v>0.88585049019607864</c:v>
                </c:pt>
                <c:pt idx="8">
                  <c:v>0.88585049019607864</c:v>
                </c:pt>
                <c:pt idx="9">
                  <c:v>0.88585049019607864</c:v>
                </c:pt>
                <c:pt idx="10">
                  <c:v>0.89930346986290355</c:v>
                </c:pt>
                <c:pt idx="11">
                  <c:v>0.91936137157574016</c:v>
                </c:pt>
                <c:pt idx="12">
                  <c:v>0.8102246656446016</c:v>
                </c:pt>
                <c:pt idx="13">
                  <c:v>0.71588301245843433</c:v>
                </c:pt>
                <c:pt idx="14">
                  <c:v>0.64324564799278605</c:v>
                </c:pt>
                <c:pt idx="15">
                  <c:v>0.58217329419056041</c:v>
                </c:pt>
                <c:pt idx="16">
                  <c:v>0.53090088666806845</c:v>
                </c:pt>
                <c:pt idx="17">
                  <c:v>0.4822228963924633</c:v>
                </c:pt>
                <c:pt idx="18">
                  <c:v>0.44231567230549851</c:v>
                </c:pt>
                <c:pt idx="19">
                  <c:v>0.4111673326199996</c:v>
                </c:pt>
                <c:pt idx="20">
                  <c:v>0.38123432674629021</c:v>
                </c:pt>
                <c:pt idx="21">
                  <c:v>0.35740512753380016</c:v>
                </c:pt>
                <c:pt idx="22">
                  <c:v>0.33314101156351944</c:v>
                </c:pt>
                <c:pt idx="23">
                  <c:v>0.3143604465706229</c:v>
                </c:pt>
                <c:pt idx="24">
                  <c:v>0.2958827578371096</c:v>
                </c:pt>
                <c:pt idx="25">
                  <c:v>0.27669080078651109</c:v>
                </c:pt>
                <c:pt idx="26">
                  <c:v>0.26349274767112951</c:v>
                </c:pt>
                <c:pt idx="27">
                  <c:v>0.25264907081826665</c:v>
                </c:pt>
                <c:pt idx="28">
                  <c:v>0.24260119244219625</c:v>
                </c:pt>
                <c:pt idx="29">
                  <c:v>0.23281083391014512</c:v>
                </c:pt>
                <c:pt idx="30">
                  <c:v>0.22201555560341307</c:v>
                </c:pt>
                <c:pt idx="31">
                  <c:v>0.21231996843128997</c:v>
                </c:pt>
                <c:pt idx="32">
                  <c:v>0.20364790429047086</c:v>
                </c:pt>
                <c:pt idx="33">
                  <c:v>0.19439036536436011</c:v>
                </c:pt>
                <c:pt idx="34">
                  <c:v>0.18916703870917839</c:v>
                </c:pt>
                <c:pt idx="35">
                  <c:v>0.18207019236651723</c:v>
                </c:pt>
                <c:pt idx="36">
                  <c:v>0.17735114646969852</c:v>
                </c:pt>
                <c:pt idx="37">
                  <c:v>0.17251782515210334</c:v>
                </c:pt>
                <c:pt idx="38">
                  <c:v>0.16832338243559886</c:v>
                </c:pt>
                <c:pt idx="39">
                  <c:v>0.16344385647707393</c:v>
                </c:pt>
                <c:pt idx="40">
                  <c:v>0.15911699207338637</c:v>
                </c:pt>
                <c:pt idx="41">
                  <c:v>0.15503205244832219</c:v>
                </c:pt>
                <c:pt idx="42">
                  <c:v>0.15221742917650416</c:v>
                </c:pt>
                <c:pt idx="43">
                  <c:v>0.1474543665727121</c:v>
                </c:pt>
                <c:pt idx="44">
                  <c:v>0.14341691148463864</c:v>
                </c:pt>
                <c:pt idx="45">
                  <c:v>0.13852100052114413</c:v>
                </c:pt>
                <c:pt idx="46">
                  <c:v>0.13752180075300863</c:v>
                </c:pt>
                <c:pt idx="47">
                  <c:v>0.13743428547118397</c:v>
                </c:pt>
                <c:pt idx="48">
                  <c:v>0.13232221602348915</c:v>
                </c:pt>
                <c:pt idx="49">
                  <c:v>0.13176746014870239</c:v>
                </c:pt>
                <c:pt idx="50">
                  <c:v>0.12841235102244639</c:v>
                </c:pt>
                <c:pt idx="51">
                  <c:v>0.12761983287656861</c:v>
                </c:pt>
                <c:pt idx="52">
                  <c:v>0.12379539246607085</c:v>
                </c:pt>
                <c:pt idx="53">
                  <c:v>0.12221502103451273</c:v>
                </c:pt>
                <c:pt idx="54">
                  <c:v>0.120592526362305</c:v>
                </c:pt>
                <c:pt idx="55">
                  <c:v>0.1187845956487536</c:v>
                </c:pt>
                <c:pt idx="56">
                  <c:v>0.11740667109506178</c:v>
                </c:pt>
                <c:pt idx="57">
                  <c:v>0.115076078495669</c:v>
                </c:pt>
                <c:pt idx="58">
                  <c:v>0.11327879711055119</c:v>
                </c:pt>
                <c:pt idx="59">
                  <c:v>0.11204436246503072</c:v>
                </c:pt>
                <c:pt idx="60">
                  <c:v>0.11033964548381262</c:v>
                </c:pt>
                <c:pt idx="61">
                  <c:v>0.10967099421517346</c:v>
                </c:pt>
                <c:pt idx="62">
                  <c:v>0.10933035891227044</c:v>
                </c:pt>
                <c:pt idx="63">
                  <c:v>0.11068943762309055</c:v>
                </c:pt>
                <c:pt idx="64">
                  <c:v>0.10809891957966286</c:v>
                </c:pt>
                <c:pt idx="65">
                  <c:v>0.10727544236393871</c:v>
                </c:pt>
                <c:pt idx="66">
                  <c:v>0.10568531311620227</c:v>
                </c:pt>
                <c:pt idx="67">
                  <c:v>0.10470948239260031</c:v>
                </c:pt>
                <c:pt idx="68">
                  <c:v>0.10359424846218371</c:v>
                </c:pt>
                <c:pt idx="69">
                  <c:v>0.10220007769121264</c:v>
                </c:pt>
                <c:pt idx="70">
                  <c:v>0.10024735571648344</c:v>
                </c:pt>
                <c:pt idx="71">
                  <c:v>0.1014853206526195</c:v>
                </c:pt>
                <c:pt idx="72">
                  <c:v>0.10119354471536471</c:v>
                </c:pt>
                <c:pt idx="73">
                  <c:v>9.9665846356321308E-2</c:v>
                </c:pt>
                <c:pt idx="74">
                  <c:v>9.7689701265805617E-2</c:v>
                </c:pt>
                <c:pt idx="75">
                  <c:v>9.5638136464761631E-2</c:v>
                </c:pt>
                <c:pt idx="76">
                  <c:v>9.4768891357892293E-2</c:v>
                </c:pt>
                <c:pt idx="77">
                  <c:v>9.3391377279060606E-2</c:v>
                </c:pt>
                <c:pt idx="78">
                  <c:v>9.2795459036940475E-2</c:v>
                </c:pt>
                <c:pt idx="79">
                  <c:v>9.2975201199646529E-2</c:v>
                </c:pt>
                <c:pt idx="80">
                  <c:v>9.0024924865353906E-2</c:v>
                </c:pt>
              </c:numCache>
            </c:numRef>
          </c:yVal>
        </c:ser>
        <c:ser>
          <c:idx val="3"/>
          <c:order val="3"/>
          <c:tx>
            <c:strRef>
              <c:f>Calculations!$W$43</c:f>
              <c:strCache>
                <c:ptCount val="1"/>
                <c:pt idx="0">
                  <c:v>Calc.</c:v>
                </c:pt>
              </c:strCache>
            </c:strRef>
          </c:tx>
          <c:spPr>
            <a:ln>
              <a:solidFill>
                <a:srgbClr val="0070C0"/>
              </a:solidFill>
              <a:prstDash val="dash"/>
            </a:ln>
          </c:spPr>
          <c:marker>
            <c:symbol val="none"/>
          </c:marker>
          <c:xVal>
            <c:numRef>
              <c:f>Calculations!$S$44:$S$124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Calculations!$W$44:$W$124</c:f>
              <c:numCache>
                <c:formatCode>0.000</c:formatCode>
                <c:ptCount val="81"/>
                <c:pt idx="0">
                  <c:v>3.3073367535718297</c:v>
                </c:pt>
                <c:pt idx="1">
                  <c:v>1.8053491164360511</c:v>
                </c:pt>
                <c:pt idx="2">
                  <c:v>1.1889328989113435</c:v>
                </c:pt>
                <c:pt idx="3">
                  <c:v>0.85926218313368907</c:v>
                </c:pt>
                <c:pt idx="4">
                  <c:v>0.65616302702677898</c:v>
                </c:pt>
                <c:pt idx="5">
                  <c:v>0.51943408189462759</c:v>
                </c:pt>
                <c:pt idx="6">
                  <c:v>0.42159429470796694</c:v>
                </c:pt>
                <c:pt idx="7">
                  <c:v>0.34838809780809171</c:v>
                </c:pt>
                <c:pt idx="8">
                  <c:v>0.29171500280668855</c:v>
                </c:pt>
                <c:pt idx="9">
                  <c:v>0.24664577245996544</c:v>
                </c:pt>
                <c:pt idx="10">
                  <c:v>0.21001620894799194</c:v>
                </c:pt>
                <c:pt idx="11">
                  <c:v>0.17970602121720369</c:v>
                </c:pt>
                <c:pt idx="12">
                  <c:v>0.15424341403842906</c:v>
                </c:pt>
                <c:pt idx="13">
                  <c:v>0.13257614370346421</c:v>
                </c:pt>
                <c:pt idx="14">
                  <c:v>0.11393282628773058</c:v>
                </c:pt>
                <c:pt idx="15">
                  <c:v>9.773564905122753E-2</c:v>
                </c:pt>
                <c:pt idx="16">
                  <c:v>8.3543607178743651E-2</c:v>
                </c:pt>
                <c:pt idx="17">
                  <c:v>7.1014530166580409E-2</c:v>
                </c:pt>
                <c:pt idx="18">
                  <c:v>5.9879040452785665E-2</c:v>
                </c:pt>
                <c:pt idx="19">
                  <c:v>4.9922299779122159E-2</c:v>
                </c:pt>
                <c:pt idx="20">
                  <c:v>4.0970962898425278E-2</c:v>
                </c:pt>
                <c:pt idx="21">
                  <c:v>3.2883689197187232E-2</c:v>
                </c:pt>
                <c:pt idx="22">
                  <c:v>2.5544132792130497E-2</c:v>
                </c:pt>
                <c:pt idx="23">
                  <c:v>1.8855689584315133E-2</c:v>
                </c:pt>
                <c:pt idx="24">
                  <c:v>1.2737509692147292E-2</c:v>
                </c:pt>
                <c:pt idx="25">
                  <c:v>7.1214344791687978E-3</c:v>
                </c:pt>
                <c:pt idx="26">
                  <c:v>1.9496181573460808E-3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axId val="134542848"/>
        <c:axId val="134544384"/>
      </c:scatterChart>
      <c:valAx>
        <c:axId val="134542848"/>
        <c:scaling>
          <c:orientation val="minMax"/>
          <c:max val="80"/>
        </c:scaling>
        <c:axPos val="b"/>
        <c:numFmt formatCode="0.0" sourceLinked="1"/>
        <c:tickLblPos val="nextTo"/>
        <c:crossAx val="134544384"/>
        <c:crosses val="autoZero"/>
        <c:crossBetween val="midCat"/>
      </c:valAx>
      <c:valAx>
        <c:axId val="134544384"/>
        <c:scaling>
          <c:orientation val="minMax"/>
          <c:max val="1.2"/>
          <c:min val="0"/>
        </c:scaling>
        <c:axPos val="l"/>
        <c:majorGridlines/>
        <c:numFmt formatCode="0%" sourceLinked="0"/>
        <c:tickLblPos val="nextTo"/>
        <c:crossAx val="13454284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000"/>
              <a:t>29149 Range Distribution (10%): 6% Reflector , 77% Xmit @ 850nm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cat>
            <c:numRef>
              <c:f>Calculations!$AS$45:$AS$53</c:f>
              <c:numCache>
                <c:formatCode>0.0</c:formatCode>
                <c:ptCount val="9"/>
                <c:pt idx="0">
                  <c:v>32.75</c:v>
                </c:pt>
                <c:pt idx="1">
                  <c:v>33.15625</c:v>
                </c:pt>
                <c:pt idx="2">
                  <c:v>33.5625</c:v>
                </c:pt>
                <c:pt idx="3">
                  <c:v>33.96875</c:v>
                </c:pt>
                <c:pt idx="4">
                  <c:v>34.375</c:v>
                </c:pt>
                <c:pt idx="5">
                  <c:v>34.78125</c:v>
                </c:pt>
                <c:pt idx="6">
                  <c:v>35.1875</c:v>
                </c:pt>
                <c:pt idx="7">
                  <c:v>35.59375</c:v>
                </c:pt>
                <c:pt idx="8">
                  <c:v>36</c:v>
                </c:pt>
              </c:numCache>
            </c:numRef>
          </c:cat>
          <c:val>
            <c:numRef>
              <c:f>Calculations!$AT$45:$AT$53</c:f>
              <c:numCache>
                <c:formatCode>General</c:formatCode>
                <c:ptCount val="9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6</c:v>
                </c:pt>
                <c:pt idx="4">
                  <c:v>7</c:v>
                </c:pt>
                <c:pt idx="5">
                  <c:v>4</c:v>
                </c:pt>
                <c:pt idx="6">
                  <c:v>3</c:v>
                </c:pt>
                <c:pt idx="7">
                  <c:v>6</c:v>
                </c:pt>
                <c:pt idx="8">
                  <c:v>3</c:v>
                </c:pt>
              </c:numCache>
            </c:numRef>
          </c:val>
        </c:ser>
        <c:axId val="134575232"/>
        <c:axId val="134577152"/>
      </c:barChart>
      <c:catAx>
        <c:axId val="1345752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Sensor to</a:t>
                </a:r>
                <a:r>
                  <a:rPr lang="en-US" baseline="0"/>
                  <a:t> Target Distance in mm</a:t>
                </a:r>
                <a:endParaRPr lang="en-US"/>
              </a:p>
            </c:rich>
          </c:tx>
          <c:layout/>
        </c:title>
        <c:numFmt formatCode="0.0" sourceLinked="1"/>
        <c:tickLblPos val="nextTo"/>
        <c:crossAx val="134577152"/>
        <c:crosses val="autoZero"/>
        <c:auto val="1"/>
        <c:lblAlgn val="ctr"/>
        <c:lblOffset val="100"/>
      </c:catAx>
      <c:valAx>
        <c:axId val="13457715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#/ devices</a:t>
                </a:r>
              </a:p>
            </c:rich>
          </c:tx>
          <c:layout/>
        </c:title>
        <c:numFmt formatCode="General" sourceLinked="1"/>
        <c:tickLblPos val="nextTo"/>
        <c:crossAx val="134575232"/>
        <c:crosses val="autoZero"/>
        <c:crossBetween val="between"/>
      </c:valAx>
    </c:plotArea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000"/>
              <a:t>29149 Proximity Sweep: 6% Reflector , 77% Xmit @ 850nm</a:t>
            </a:r>
          </a:p>
        </c:rich>
      </c:tx>
      <c:layout/>
    </c:title>
    <c:plotArea>
      <c:layout/>
      <c:scatterChart>
        <c:scatterStyle val="lineMarker"/>
        <c:ser>
          <c:idx val="2"/>
          <c:order val="2"/>
          <c:tx>
            <c:strRef>
              <c:f>Calculations!$D$42</c:f>
              <c:strCache>
                <c:ptCount val="1"/>
                <c:pt idx="0">
                  <c:v>HI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Calculations!$E$44:$E$124</c:f>
              <c:numCache>
                <c:formatCode>0.000</c:formatCode>
                <c:ptCount val="81"/>
                <c:pt idx="0">
                  <c:v>0.99899999999999956</c:v>
                </c:pt>
                <c:pt idx="1">
                  <c:v>0.99899999999999956</c:v>
                </c:pt>
                <c:pt idx="2">
                  <c:v>0.99899999999999956</c:v>
                </c:pt>
                <c:pt idx="3">
                  <c:v>0.99899999999999956</c:v>
                </c:pt>
                <c:pt idx="4">
                  <c:v>0.99899999999999956</c:v>
                </c:pt>
                <c:pt idx="5">
                  <c:v>0.99899999999999956</c:v>
                </c:pt>
                <c:pt idx="6">
                  <c:v>0.99899999999999956</c:v>
                </c:pt>
                <c:pt idx="7">
                  <c:v>0.99899999999999956</c:v>
                </c:pt>
                <c:pt idx="8">
                  <c:v>0.99899999999999956</c:v>
                </c:pt>
                <c:pt idx="9">
                  <c:v>0.99899999999999956</c:v>
                </c:pt>
                <c:pt idx="10">
                  <c:v>0.9898449754901959</c:v>
                </c:pt>
                <c:pt idx="11">
                  <c:v>0.93615196078431384</c:v>
                </c:pt>
                <c:pt idx="12">
                  <c:v>0.82708333333333373</c:v>
                </c:pt>
                <c:pt idx="13">
                  <c:v>0.73394607843137305</c:v>
                </c:pt>
                <c:pt idx="14">
                  <c:v>0.66102941176470609</c:v>
                </c:pt>
                <c:pt idx="15">
                  <c:v>0.60061274509803908</c:v>
                </c:pt>
                <c:pt idx="16">
                  <c:v>0.54816176470588218</c:v>
                </c:pt>
                <c:pt idx="17">
                  <c:v>0.49987745098039221</c:v>
                </c:pt>
                <c:pt idx="18">
                  <c:v>0.4596813725490197</c:v>
                </c:pt>
                <c:pt idx="19">
                  <c:v>0.42757352941176491</c:v>
                </c:pt>
                <c:pt idx="20">
                  <c:v>0.39803921568627476</c:v>
                </c:pt>
                <c:pt idx="21">
                  <c:v>0.37414215686274538</c:v>
                </c:pt>
                <c:pt idx="22">
                  <c:v>0.34938725490196082</c:v>
                </c:pt>
                <c:pt idx="23">
                  <c:v>0.33100490196078419</c:v>
                </c:pt>
                <c:pt idx="24">
                  <c:v>0.31115196078431356</c:v>
                </c:pt>
                <c:pt idx="25">
                  <c:v>0.29473039215686264</c:v>
                </c:pt>
                <c:pt idx="26">
                  <c:v>0.27879901960784303</c:v>
                </c:pt>
                <c:pt idx="27">
                  <c:v>0.26874999999999999</c:v>
                </c:pt>
                <c:pt idx="28">
                  <c:v>0.25784313725490199</c:v>
                </c:pt>
                <c:pt idx="29">
                  <c:v>0.24730392156862749</c:v>
                </c:pt>
                <c:pt idx="30">
                  <c:v>0.23713235294117652</c:v>
                </c:pt>
                <c:pt idx="31">
                  <c:v>0.22830882352941179</c:v>
                </c:pt>
                <c:pt idx="32">
                  <c:v>0.21985294117647053</c:v>
                </c:pt>
                <c:pt idx="33">
                  <c:v>0.2118872549019607</c:v>
                </c:pt>
                <c:pt idx="34">
                  <c:v>0.20563725490196072</c:v>
                </c:pt>
                <c:pt idx="35">
                  <c:v>0.1992647058823529</c:v>
                </c:pt>
                <c:pt idx="36">
                  <c:v>0.19362745098039211</c:v>
                </c:pt>
                <c:pt idx="37">
                  <c:v>0.18860294117647056</c:v>
                </c:pt>
                <c:pt idx="38">
                  <c:v>0.18370098039215685</c:v>
                </c:pt>
                <c:pt idx="39">
                  <c:v>0.17928921568627451</c:v>
                </c:pt>
                <c:pt idx="40">
                  <c:v>0.1738970588235294</c:v>
                </c:pt>
                <c:pt idx="41">
                  <c:v>0.17034313725490197</c:v>
                </c:pt>
                <c:pt idx="42">
                  <c:v>0.1667892156862745</c:v>
                </c:pt>
                <c:pt idx="43">
                  <c:v>0.16286764705882353</c:v>
                </c:pt>
                <c:pt idx="44">
                  <c:v>0.1593137254901961</c:v>
                </c:pt>
                <c:pt idx="45">
                  <c:v>0.15526960784313729</c:v>
                </c:pt>
                <c:pt idx="46">
                  <c:v>0.15269607843137259</c:v>
                </c:pt>
                <c:pt idx="47">
                  <c:v>0.15073529411764711</c:v>
                </c:pt>
                <c:pt idx="48">
                  <c:v>0.14852941176470591</c:v>
                </c:pt>
                <c:pt idx="49">
                  <c:v>0.14656862745098043</c:v>
                </c:pt>
                <c:pt idx="50">
                  <c:v>0.14374999999999996</c:v>
                </c:pt>
                <c:pt idx="51">
                  <c:v>0.14227941176470585</c:v>
                </c:pt>
                <c:pt idx="52">
                  <c:v>0.13946078431372544</c:v>
                </c:pt>
                <c:pt idx="53">
                  <c:v>0.13823529411764704</c:v>
                </c:pt>
                <c:pt idx="54">
                  <c:v>0.13553921568627447</c:v>
                </c:pt>
                <c:pt idx="55">
                  <c:v>0.1345588235294117</c:v>
                </c:pt>
                <c:pt idx="56">
                  <c:v>0.13259803921568622</c:v>
                </c:pt>
                <c:pt idx="57">
                  <c:v>0.13137254901960779</c:v>
                </c:pt>
                <c:pt idx="58">
                  <c:v>0.13002450980392152</c:v>
                </c:pt>
                <c:pt idx="59">
                  <c:v>0.1279411764705882</c:v>
                </c:pt>
                <c:pt idx="60">
                  <c:v>0.12512254901960779</c:v>
                </c:pt>
                <c:pt idx="61">
                  <c:v>0.12438725490196072</c:v>
                </c:pt>
                <c:pt idx="62">
                  <c:v>0.12463235294117642</c:v>
                </c:pt>
                <c:pt idx="63">
                  <c:v>0.12426470588235289</c:v>
                </c:pt>
                <c:pt idx="64">
                  <c:v>0.12230392156862741</c:v>
                </c:pt>
                <c:pt idx="65">
                  <c:v>0.12144607843137249</c:v>
                </c:pt>
                <c:pt idx="66">
                  <c:v>0.12107843137254896</c:v>
                </c:pt>
                <c:pt idx="67">
                  <c:v>0.11948529411764701</c:v>
                </c:pt>
                <c:pt idx="68">
                  <c:v>0.11936274509803918</c:v>
                </c:pt>
                <c:pt idx="69">
                  <c:v>0.11887254901960778</c:v>
                </c:pt>
                <c:pt idx="70">
                  <c:v>0.11678921568627446</c:v>
                </c:pt>
                <c:pt idx="71">
                  <c:v>0.11703431372549014</c:v>
                </c:pt>
                <c:pt idx="72">
                  <c:v>0.11617647058823524</c:v>
                </c:pt>
                <c:pt idx="73">
                  <c:v>0.11519607843137249</c:v>
                </c:pt>
                <c:pt idx="74">
                  <c:v>0.11482843137254896</c:v>
                </c:pt>
                <c:pt idx="75">
                  <c:v>0.11360294117647053</c:v>
                </c:pt>
                <c:pt idx="76">
                  <c:v>0.11249999999999995</c:v>
                </c:pt>
                <c:pt idx="77">
                  <c:v>0.11200980392156858</c:v>
                </c:pt>
                <c:pt idx="78">
                  <c:v>0.11127450980392152</c:v>
                </c:pt>
                <c:pt idx="79">
                  <c:v>0.11029411764705878</c:v>
                </c:pt>
                <c:pt idx="80">
                  <c:v>0.10857843137254898</c:v>
                </c:pt>
              </c:numCache>
            </c:numRef>
          </c:yVal>
        </c:ser>
        <c:ser>
          <c:idx val="3"/>
          <c:order val="3"/>
          <c:tx>
            <c:strRef>
              <c:f>Calculations!$J$42</c:f>
              <c:strCache>
                <c:ptCount val="1"/>
                <c:pt idx="0">
                  <c:v>HI-MID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Calculations!$J$44:$J$124</c:f>
              <c:numCache>
                <c:formatCode>0.000</c:formatCode>
                <c:ptCount val="81"/>
                <c:pt idx="0">
                  <c:v>0.99899999999999956</c:v>
                </c:pt>
                <c:pt idx="1">
                  <c:v>0.99899999999999956</c:v>
                </c:pt>
                <c:pt idx="2">
                  <c:v>0.99899999999999956</c:v>
                </c:pt>
                <c:pt idx="3">
                  <c:v>0.99899999999999956</c:v>
                </c:pt>
                <c:pt idx="4">
                  <c:v>0.99899999999999956</c:v>
                </c:pt>
                <c:pt idx="5">
                  <c:v>0.99899999999999956</c:v>
                </c:pt>
                <c:pt idx="6">
                  <c:v>0.99899999999999956</c:v>
                </c:pt>
                <c:pt idx="7">
                  <c:v>0.99899999999999956</c:v>
                </c:pt>
                <c:pt idx="8">
                  <c:v>0.99899999999999956</c:v>
                </c:pt>
                <c:pt idx="9">
                  <c:v>0.99899999999999956</c:v>
                </c:pt>
                <c:pt idx="10">
                  <c:v>0.99899999999999956</c:v>
                </c:pt>
                <c:pt idx="11">
                  <c:v>0.99899999999999956</c:v>
                </c:pt>
                <c:pt idx="12">
                  <c:v>0.99899999999999956</c:v>
                </c:pt>
                <c:pt idx="13">
                  <c:v>0.99899999999999956</c:v>
                </c:pt>
                <c:pt idx="14">
                  <c:v>0.94252450980392166</c:v>
                </c:pt>
                <c:pt idx="15">
                  <c:v>0.84901960784313757</c:v>
                </c:pt>
                <c:pt idx="16">
                  <c:v>0.76090686274509856</c:v>
                </c:pt>
                <c:pt idx="17">
                  <c:v>0.68100490196078445</c:v>
                </c:pt>
                <c:pt idx="18">
                  <c:v>0.61200980392156867</c:v>
                </c:pt>
                <c:pt idx="19">
                  <c:v>0.55637254901960786</c:v>
                </c:pt>
                <c:pt idx="20">
                  <c:v>0.50980392156862742</c:v>
                </c:pt>
                <c:pt idx="21">
                  <c:v>0.46752450980392163</c:v>
                </c:pt>
                <c:pt idx="22">
                  <c:v>0.42671568627450995</c:v>
                </c:pt>
                <c:pt idx="23">
                  <c:v>0.39546568627451001</c:v>
                </c:pt>
                <c:pt idx="24">
                  <c:v>0.3632352941176471</c:v>
                </c:pt>
                <c:pt idx="25">
                  <c:v>0.33455882352941185</c:v>
                </c:pt>
                <c:pt idx="26">
                  <c:v>0.30833333333333335</c:v>
                </c:pt>
                <c:pt idx="27">
                  <c:v>0.29215686274509806</c:v>
                </c:pt>
                <c:pt idx="28">
                  <c:v>0.27340686274509807</c:v>
                </c:pt>
                <c:pt idx="29">
                  <c:v>0.25637254901960788</c:v>
                </c:pt>
                <c:pt idx="30">
                  <c:v>0.23897058823529416</c:v>
                </c:pt>
                <c:pt idx="31">
                  <c:v>0.22401960784313732</c:v>
                </c:pt>
                <c:pt idx="32">
                  <c:v>0.21176470588235302</c:v>
                </c:pt>
                <c:pt idx="33">
                  <c:v>0.19693627450980403</c:v>
                </c:pt>
                <c:pt idx="34">
                  <c:v>0.1862745098039216</c:v>
                </c:pt>
                <c:pt idx="35">
                  <c:v>0.17561274509803923</c:v>
                </c:pt>
                <c:pt idx="36">
                  <c:v>0.16629901960784316</c:v>
                </c:pt>
                <c:pt idx="37">
                  <c:v>0.15686274509803924</c:v>
                </c:pt>
                <c:pt idx="38">
                  <c:v>0.14926470588235297</c:v>
                </c:pt>
                <c:pt idx="39">
                  <c:v>0.14142156862745098</c:v>
                </c:pt>
                <c:pt idx="40">
                  <c:v>0.1338235294117647</c:v>
                </c:pt>
                <c:pt idx="41">
                  <c:v>0.12659313725490196</c:v>
                </c:pt>
                <c:pt idx="42">
                  <c:v>0.12071078431372551</c:v>
                </c:pt>
                <c:pt idx="43">
                  <c:v>0.11531862745098041</c:v>
                </c:pt>
                <c:pt idx="44">
                  <c:v>0.10857843137254906</c:v>
                </c:pt>
                <c:pt idx="45">
                  <c:v>0.10343137254901966</c:v>
                </c:pt>
                <c:pt idx="46">
                  <c:v>9.7794117647058865E-2</c:v>
                </c:pt>
                <c:pt idx="47">
                  <c:v>9.3872549019607884E-2</c:v>
                </c:pt>
                <c:pt idx="48">
                  <c:v>9.0196078431372562E-2</c:v>
                </c:pt>
                <c:pt idx="49">
                  <c:v>8.6887254901960795E-2</c:v>
                </c:pt>
                <c:pt idx="50">
                  <c:v>8.25980392156863E-2</c:v>
                </c:pt>
                <c:pt idx="51">
                  <c:v>7.9779411764705904E-2</c:v>
                </c:pt>
                <c:pt idx="52">
                  <c:v>7.794117647058825E-2</c:v>
                </c:pt>
                <c:pt idx="53">
                  <c:v>7.6470588235294124E-2</c:v>
                </c:pt>
                <c:pt idx="54">
                  <c:v>7.120098039215686E-2</c:v>
                </c:pt>
                <c:pt idx="55">
                  <c:v>6.7647058823529407E-2</c:v>
                </c:pt>
                <c:pt idx="56">
                  <c:v>6.5441176470588239E-2</c:v>
                </c:pt>
                <c:pt idx="57">
                  <c:v>6.3112745098039214E-2</c:v>
                </c:pt>
                <c:pt idx="58">
                  <c:v>5.9926470588235303E-2</c:v>
                </c:pt>
                <c:pt idx="59">
                  <c:v>5.8578431372549027E-2</c:v>
                </c:pt>
                <c:pt idx="60">
                  <c:v>5.7598039215686285E-2</c:v>
                </c:pt>
                <c:pt idx="61">
                  <c:v>4.926470588235296E-2</c:v>
                </c:pt>
                <c:pt idx="62">
                  <c:v>5.1593137254901986E-2</c:v>
                </c:pt>
                <c:pt idx="63">
                  <c:v>4.9387254901960803E-2</c:v>
                </c:pt>
                <c:pt idx="64">
                  <c:v>4.6568627450980393E-2</c:v>
                </c:pt>
                <c:pt idx="65">
                  <c:v>4.5220588235294137E-2</c:v>
                </c:pt>
                <c:pt idx="66">
                  <c:v>4.534313725490198E-2</c:v>
                </c:pt>
                <c:pt idx="67">
                  <c:v>4.2647058823529427E-2</c:v>
                </c:pt>
                <c:pt idx="68">
                  <c:v>4.1789215686274528E-2</c:v>
                </c:pt>
                <c:pt idx="69">
                  <c:v>4.1053921568627465E-2</c:v>
                </c:pt>
                <c:pt idx="70">
                  <c:v>4.0318627450980402E-2</c:v>
                </c:pt>
                <c:pt idx="71">
                  <c:v>3.9950980392156846E-2</c:v>
                </c:pt>
                <c:pt idx="72">
                  <c:v>3.7499999999999992E-2</c:v>
                </c:pt>
                <c:pt idx="73">
                  <c:v>3.5416666666666659E-2</c:v>
                </c:pt>
                <c:pt idx="74">
                  <c:v>3.3578431372549018E-2</c:v>
                </c:pt>
                <c:pt idx="75">
                  <c:v>3.1495098039215685E-2</c:v>
                </c:pt>
                <c:pt idx="76">
                  <c:v>3.1372549019607843E-2</c:v>
                </c:pt>
                <c:pt idx="77">
                  <c:v>2.7818627450980397E-2</c:v>
                </c:pt>
                <c:pt idx="78">
                  <c:v>2.7205882352941173E-2</c:v>
                </c:pt>
                <c:pt idx="79">
                  <c:v>2.7573529411764709E-2</c:v>
                </c:pt>
                <c:pt idx="80">
                  <c:v>2.5490196078431372E-2</c:v>
                </c:pt>
              </c:numCache>
            </c:numRef>
          </c:yVal>
        </c:ser>
        <c:ser>
          <c:idx val="0"/>
          <c:order val="0"/>
          <c:tx>
            <c:strRef>
              <c:f>Calculations!$L$42</c:f>
              <c:strCache>
                <c:ptCount val="1"/>
                <c:pt idx="0">
                  <c:v>LO-MID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Calculations!$L$44:$L$124</c:f>
              <c:numCache>
                <c:formatCode>0.000</c:formatCode>
                <c:ptCount val="81"/>
                <c:pt idx="0">
                  <c:v>0.99899999999999956</c:v>
                </c:pt>
                <c:pt idx="1">
                  <c:v>0.99899999999999956</c:v>
                </c:pt>
                <c:pt idx="2">
                  <c:v>0.99899999999999956</c:v>
                </c:pt>
                <c:pt idx="3">
                  <c:v>0.99899999999999956</c:v>
                </c:pt>
                <c:pt idx="4">
                  <c:v>0.99899999999999956</c:v>
                </c:pt>
                <c:pt idx="5">
                  <c:v>0.99899999999999956</c:v>
                </c:pt>
                <c:pt idx="6">
                  <c:v>0.99899999999999956</c:v>
                </c:pt>
                <c:pt idx="7">
                  <c:v>0.99899999999999956</c:v>
                </c:pt>
                <c:pt idx="8">
                  <c:v>0.99899999999999956</c:v>
                </c:pt>
                <c:pt idx="9">
                  <c:v>0.99899999999999956</c:v>
                </c:pt>
                <c:pt idx="10">
                  <c:v>0.99899999999999956</c:v>
                </c:pt>
                <c:pt idx="11">
                  <c:v>0.99899999999999956</c:v>
                </c:pt>
                <c:pt idx="12">
                  <c:v>0.92879901960784328</c:v>
                </c:pt>
                <c:pt idx="13">
                  <c:v>0.82022058823529453</c:v>
                </c:pt>
                <c:pt idx="14">
                  <c:v>0.7350490196078433</c:v>
                </c:pt>
                <c:pt idx="15">
                  <c:v>0.66507352941176479</c:v>
                </c:pt>
                <c:pt idx="16">
                  <c:v>0.60563725490196085</c:v>
                </c:pt>
                <c:pt idx="17">
                  <c:v>0.54889705882352946</c:v>
                </c:pt>
                <c:pt idx="18">
                  <c:v>0.50245098039215685</c:v>
                </c:pt>
                <c:pt idx="19">
                  <c:v>0.46519607843137262</c:v>
                </c:pt>
                <c:pt idx="20">
                  <c:v>0.4310049019607845</c:v>
                </c:pt>
                <c:pt idx="21">
                  <c:v>0.40318627450980415</c:v>
                </c:pt>
                <c:pt idx="22">
                  <c:v>0.37487745098039243</c:v>
                </c:pt>
                <c:pt idx="23">
                  <c:v>0.35367647058823531</c:v>
                </c:pt>
                <c:pt idx="24">
                  <c:v>0.33149509803921573</c:v>
                </c:pt>
                <c:pt idx="25">
                  <c:v>0.31102941176470589</c:v>
                </c:pt>
                <c:pt idx="26">
                  <c:v>0.29276960784313727</c:v>
                </c:pt>
                <c:pt idx="27">
                  <c:v>0.28051470588235294</c:v>
                </c:pt>
                <c:pt idx="28">
                  <c:v>0.26813725490196083</c:v>
                </c:pt>
                <c:pt idx="29">
                  <c:v>0.25551470588235292</c:v>
                </c:pt>
                <c:pt idx="30">
                  <c:v>0.24534313725490198</c:v>
                </c:pt>
                <c:pt idx="31">
                  <c:v>0.23480392156862748</c:v>
                </c:pt>
                <c:pt idx="32">
                  <c:v>0.22463235294117653</c:v>
                </c:pt>
                <c:pt idx="33">
                  <c:v>0.21605392156862754</c:v>
                </c:pt>
                <c:pt idx="34">
                  <c:v>0.20821078431372558</c:v>
                </c:pt>
                <c:pt idx="35">
                  <c:v>0.20061274509803934</c:v>
                </c:pt>
                <c:pt idx="36">
                  <c:v>0.19497549019607854</c:v>
                </c:pt>
                <c:pt idx="37">
                  <c:v>0.18909313725490201</c:v>
                </c:pt>
                <c:pt idx="38">
                  <c:v>0.18333333333333338</c:v>
                </c:pt>
                <c:pt idx="39">
                  <c:v>0.17757352941176474</c:v>
                </c:pt>
                <c:pt idx="40">
                  <c:v>0.17303921568627453</c:v>
                </c:pt>
                <c:pt idx="41">
                  <c:v>0.16740196078431377</c:v>
                </c:pt>
                <c:pt idx="42">
                  <c:v>0.16360294117647062</c:v>
                </c:pt>
                <c:pt idx="43">
                  <c:v>0.15943627450980394</c:v>
                </c:pt>
                <c:pt idx="44">
                  <c:v>0.15379901960784315</c:v>
                </c:pt>
                <c:pt idx="45">
                  <c:v>0.15036764705882355</c:v>
                </c:pt>
                <c:pt idx="46">
                  <c:v>0.14718137254901961</c:v>
                </c:pt>
                <c:pt idx="47">
                  <c:v>0.14375000000000002</c:v>
                </c:pt>
                <c:pt idx="48">
                  <c:v>0.14178921568627451</c:v>
                </c:pt>
                <c:pt idx="49">
                  <c:v>0.13921568627450981</c:v>
                </c:pt>
                <c:pt idx="50">
                  <c:v>0.13676470588235295</c:v>
                </c:pt>
                <c:pt idx="51">
                  <c:v>0.13468137254901963</c:v>
                </c:pt>
                <c:pt idx="52">
                  <c:v>0.13210784313725488</c:v>
                </c:pt>
                <c:pt idx="53">
                  <c:v>0.12916666666666668</c:v>
                </c:pt>
                <c:pt idx="54">
                  <c:v>0.12745098039215685</c:v>
                </c:pt>
                <c:pt idx="55">
                  <c:v>0.12647058823529411</c:v>
                </c:pt>
                <c:pt idx="56">
                  <c:v>0.12279411764705883</c:v>
                </c:pt>
                <c:pt idx="57">
                  <c:v>0.12095588235294119</c:v>
                </c:pt>
                <c:pt idx="58">
                  <c:v>0.11960784313725491</c:v>
                </c:pt>
                <c:pt idx="59">
                  <c:v>0.11838235294117648</c:v>
                </c:pt>
                <c:pt idx="60">
                  <c:v>0.11531862745098041</c:v>
                </c:pt>
                <c:pt idx="61">
                  <c:v>0.11458333333333336</c:v>
                </c:pt>
                <c:pt idx="62">
                  <c:v>0.11458333333333336</c:v>
                </c:pt>
                <c:pt idx="63">
                  <c:v>0.11311274509803924</c:v>
                </c:pt>
                <c:pt idx="64">
                  <c:v>0.11090686274509808</c:v>
                </c:pt>
                <c:pt idx="65">
                  <c:v>0.11029411764705886</c:v>
                </c:pt>
                <c:pt idx="66">
                  <c:v>0.10931372549019611</c:v>
                </c:pt>
                <c:pt idx="67">
                  <c:v>0.10833333333333336</c:v>
                </c:pt>
                <c:pt idx="68">
                  <c:v>0.10845588235294121</c:v>
                </c:pt>
                <c:pt idx="69">
                  <c:v>0.1061274509803922</c:v>
                </c:pt>
                <c:pt idx="70">
                  <c:v>0.10477941176470593</c:v>
                </c:pt>
                <c:pt idx="71">
                  <c:v>0.10465686274509808</c:v>
                </c:pt>
                <c:pt idx="72">
                  <c:v>0.1035539215686275</c:v>
                </c:pt>
                <c:pt idx="73">
                  <c:v>0.10379901960784318</c:v>
                </c:pt>
                <c:pt idx="74">
                  <c:v>0.101593137254902</c:v>
                </c:pt>
                <c:pt idx="75">
                  <c:v>0.10049019607843142</c:v>
                </c:pt>
                <c:pt idx="76">
                  <c:v>9.9632352941176519E-2</c:v>
                </c:pt>
                <c:pt idx="77">
                  <c:v>9.877450980392162E-2</c:v>
                </c:pt>
                <c:pt idx="78">
                  <c:v>9.8529411764705935E-2</c:v>
                </c:pt>
                <c:pt idx="79">
                  <c:v>9.6568627450980452E-2</c:v>
                </c:pt>
                <c:pt idx="80">
                  <c:v>9.6323529411764766E-2</c:v>
                </c:pt>
              </c:numCache>
            </c:numRef>
          </c:yVal>
        </c:ser>
        <c:ser>
          <c:idx val="1"/>
          <c:order val="1"/>
          <c:tx>
            <c:strRef>
              <c:f>Calculations!$N$42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Calculations!$N$44:$N$124</c:f>
              <c:numCache>
                <c:formatCode>0.000</c:formatCode>
                <c:ptCount val="81"/>
                <c:pt idx="0">
                  <c:v>0.99899999999999956</c:v>
                </c:pt>
                <c:pt idx="1">
                  <c:v>0.99899999999999956</c:v>
                </c:pt>
                <c:pt idx="2">
                  <c:v>0.99899999999999956</c:v>
                </c:pt>
                <c:pt idx="3">
                  <c:v>0.99899999999999956</c:v>
                </c:pt>
                <c:pt idx="4">
                  <c:v>0.99899999999999956</c:v>
                </c:pt>
                <c:pt idx="5">
                  <c:v>0.99899999999999956</c:v>
                </c:pt>
                <c:pt idx="6">
                  <c:v>0.99899999999999956</c:v>
                </c:pt>
                <c:pt idx="7">
                  <c:v>0.99899999999999956</c:v>
                </c:pt>
                <c:pt idx="8">
                  <c:v>0.99899999999999956</c:v>
                </c:pt>
                <c:pt idx="9">
                  <c:v>0.99899999999999956</c:v>
                </c:pt>
                <c:pt idx="10">
                  <c:v>0.98972242647058806</c:v>
                </c:pt>
                <c:pt idx="11">
                  <c:v>0.93529411764705894</c:v>
                </c:pt>
                <c:pt idx="12">
                  <c:v>0.82708333333333373</c:v>
                </c:pt>
                <c:pt idx="13">
                  <c:v>0.73296568627451031</c:v>
                </c:pt>
                <c:pt idx="14">
                  <c:v>0.66004901960784335</c:v>
                </c:pt>
                <c:pt idx="15">
                  <c:v>0.59987745098039214</c:v>
                </c:pt>
                <c:pt idx="16">
                  <c:v>0.54865196078431355</c:v>
                </c:pt>
                <c:pt idx="17">
                  <c:v>0.50036764705882364</c:v>
                </c:pt>
                <c:pt idx="18">
                  <c:v>0.46029411764705891</c:v>
                </c:pt>
                <c:pt idx="19">
                  <c:v>0.42634803921568648</c:v>
                </c:pt>
                <c:pt idx="20">
                  <c:v>0.39620098039215712</c:v>
                </c:pt>
                <c:pt idx="21">
                  <c:v>0.37267156862745127</c:v>
                </c:pt>
                <c:pt idx="22">
                  <c:v>0.34914215686274513</c:v>
                </c:pt>
                <c:pt idx="23">
                  <c:v>0.33112745098039204</c:v>
                </c:pt>
                <c:pt idx="24">
                  <c:v>0.31127450980392141</c:v>
                </c:pt>
                <c:pt idx="25">
                  <c:v>0.29264705882352932</c:v>
                </c:pt>
                <c:pt idx="26">
                  <c:v>0.27794117647058814</c:v>
                </c:pt>
                <c:pt idx="27">
                  <c:v>0.26691176470588235</c:v>
                </c:pt>
                <c:pt idx="28">
                  <c:v>0.25686274509803925</c:v>
                </c:pt>
                <c:pt idx="29">
                  <c:v>0.24497549019607848</c:v>
                </c:pt>
                <c:pt idx="30">
                  <c:v>0.23750000000000004</c:v>
                </c:pt>
                <c:pt idx="31">
                  <c:v>0.2279411764705882</c:v>
                </c:pt>
                <c:pt idx="32">
                  <c:v>0.21948529411764695</c:v>
                </c:pt>
                <c:pt idx="33">
                  <c:v>0.2118872549019607</c:v>
                </c:pt>
                <c:pt idx="34">
                  <c:v>0.20477941176470582</c:v>
                </c:pt>
                <c:pt idx="35">
                  <c:v>0.19914215686274503</c:v>
                </c:pt>
                <c:pt idx="36">
                  <c:v>0.19338235294117642</c:v>
                </c:pt>
                <c:pt idx="37">
                  <c:v>0.18725490196078429</c:v>
                </c:pt>
                <c:pt idx="38">
                  <c:v>0.18419117647058822</c:v>
                </c:pt>
                <c:pt idx="39">
                  <c:v>0.18026960784313725</c:v>
                </c:pt>
                <c:pt idx="40">
                  <c:v>0.17475490196078433</c:v>
                </c:pt>
                <c:pt idx="41">
                  <c:v>0.16936274509803922</c:v>
                </c:pt>
                <c:pt idx="42">
                  <c:v>0.1659313725490196</c:v>
                </c:pt>
                <c:pt idx="43">
                  <c:v>0.16360294117647059</c:v>
                </c:pt>
                <c:pt idx="44">
                  <c:v>0.15821078431372551</c:v>
                </c:pt>
                <c:pt idx="45">
                  <c:v>0.15575980392156866</c:v>
                </c:pt>
                <c:pt idx="46">
                  <c:v>0.15232843137254906</c:v>
                </c:pt>
                <c:pt idx="47">
                  <c:v>0.14963235294117649</c:v>
                </c:pt>
                <c:pt idx="48">
                  <c:v>0.14754901960784317</c:v>
                </c:pt>
                <c:pt idx="49">
                  <c:v>0.14644607843137258</c:v>
                </c:pt>
                <c:pt idx="50">
                  <c:v>0.14374999999999999</c:v>
                </c:pt>
                <c:pt idx="51">
                  <c:v>0.14154411764705879</c:v>
                </c:pt>
                <c:pt idx="52">
                  <c:v>0.13958333333333328</c:v>
                </c:pt>
                <c:pt idx="53">
                  <c:v>0.13774509803921561</c:v>
                </c:pt>
                <c:pt idx="54">
                  <c:v>0.13431372549019602</c:v>
                </c:pt>
                <c:pt idx="55">
                  <c:v>0.13406862745098033</c:v>
                </c:pt>
                <c:pt idx="56">
                  <c:v>0.13210784313725485</c:v>
                </c:pt>
                <c:pt idx="57">
                  <c:v>0.12953431372549015</c:v>
                </c:pt>
                <c:pt idx="58">
                  <c:v>0.12818627450980385</c:v>
                </c:pt>
                <c:pt idx="59">
                  <c:v>0.12720588235294111</c:v>
                </c:pt>
                <c:pt idx="60">
                  <c:v>0.12585784313725484</c:v>
                </c:pt>
                <c:pt idx="61">
                  <c:v>0.12377450980392152</c:v>
                </c:pt>
                <c:pt idx="62">
                  <c:v>0.12475490196078426</c:v>
                </c:pt>
                <c:pt idx="63">
                  <c:v>0.1240196078431372</c:v>
                </c:pt>
                <c:pt idx="64">
                  <c:v>0.12169117647058819</c:v>
                </c:pt>
                <c:pt idx="65">
                  <c:v>0.12107843137254898</c:v>
                </c:pt>
                <c:pt idx="66">
                  <c:v>0.11899509803921564</c:v>
                </c:pt>
                <c:pt idx="67">
                  <c:v>0.11899509803921564</c:v>
                </c:pt>
                <c:pt idx="68">
                  <c:v>0.11838235294117644</c:v>
                </c:pt>
                <c:pt idx="69">
                  <c:v>0.11727941176470583</c:v>
                </c:pt>
                <c:pt idx="70">
                  <c:v>0.11617647058823526</c:v>
                </c:pt>
                <c:pt idx="71">
                  <c:v>0.1160539215686274</c:v>
                </c:pt>
                <c:pt idx="72">
                  <c:v>0.11446078431372544</c:v>
                </c:pt>
                <c:pt idx="73">
                  <c:v>0.11470588235294112</c:v>
                </c:pt>
                <c:pt idx="74">
                  <c:v>0.11397058823529406</c:v>
                </c:pt>
                <c:pt idx="75">
                  <c:v>0.11384803921568622</c:v>
                </c:pt>
                <c:pt idx="76">
                  <c:v>0.11225490196078426</c:v>
                </c:pt>
                <c:pt idx="77">
                  <c:v>0.11053921568627446</c:v>
                </c:pt>
                <c:pt idx="78">
                  <c:v>0.11066176470588231</c:v>
                </c:pt>
                <c:pt idx="79">
                  <c:v>0.11041666666666662</c:v>
                </c:pt>
                <c:pt idx="80">
                  <c:v>0.10968137254901957</c:v>
                </c:pt>
              </c:numCache>
            </c:numRef>
          </c:yVal>
        </c:ser>
        <c:axId val="134714496"/>
        <c:axId val="134716416"/>
      </c:scatterChart>
      <c:valAx>
        <c:axId val="134714496"/>
        <c:scaling>
          <c:orientation val="minMax"/>
          <c:max val="80"/>
          <c:min val="0"/>
        </c:scaling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Sensor</a:t>
                </a:r>
                <a:r>
                  <a:rPr lang="en-US" baseline="0"/>
                  <a:t> to Target DIstance in mm</a:t>
                </a:r>
                <a:endParaRPr lang="en-US"/>
              </a:p>
            </c:rich>
          </c:tx>
          <c:layout/>
        </c:title>
        <c:numFmt formatCode="0" sourceLinked="0"/>
        <c:tickLblPos val="nextTo"/>
        <c:crossAx val="134716416"/>
        <c:crosses val="autoZero"/>
        <c:crossBetween val="midCat"/>
      </c:valAx>
      <c:valAx>
        <c:axId val="134716416"/>
        <c:scaling>
          <c:orientation val="minMax"/>
          <c:max val="1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Detected Power in %FSR</a:t>
                </a:r>
              </a:p>
            </c:rich>
          </c:tx>
          <c:layout/>
        </c:title>
        <c:numFmt formatCode="0%" sourceLinked="0"/>
        <c:tickLblPos val="nextTo"/>
        <c:crossAx val="134714496"/>
        <c:crosses val="autoZero"/>
        <c:crossBetween val="midCat"/>
        <c:majorUnit val="0.1"/>
        <c:minorUnit val="0.05"/>
      </c:valAx>
    </c:plotArea>
    <c:legend>
      <c:legendPos val="r"/>
      <c:layout>
        <c:manualLayout>
          <c:xMode val="edge"/>
          <c:yMode val="edge"/>
          <c:x val="0.84425090079436249"/>
          <c:y val="0.32421819267641017"/>
          <c:w val="0.13440813913970051"/>
          <c:h val="0.35156317292941791"/>
        </c:manualLayout>
      </c:layout>
      <c:txPr>
        <a:bodyPr/>
        <a:lstStyle/>
        <a:p>
          <a:pPr>
            <a:defRPr sz="700"/>
          </a:pPr>
          <a:endParaRPr lang="en-US"/>
        </a:p>
      </c:txPr>
    </c:legend>
    <c:plotVisOnly val="1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Summary!$B$65</c:f>
          <c:strCache>
            <c:ptCount val="1"/>
            <c:pt idx="0">
              <c:v>29147 `Near' Detect Region: 6% Reflector , 77% Xmit @ 850nm</c:v>
            </c:pt>
          </c:strCache>
        </c:strRef>
      </c:tx>
      <c:layout/>
      <c:txPr>
        <a:bodyPr/>
        <a:lstStyle/>
        <a:p>
          <a:pPr>
            <a:defRPr sz="1000"/>
          </a:pPr>
          <a:endParaRPr lang="en-US"/>
        </a:p>
      </c:txPr>
    </c:title>
    <c:plotArea>
      <c:layout/>
      <c:scatterChart>
        <c:scatterStyle val="lineMarker"/>
        <c:ser>
          <c:idx val="2"/>
          <c:order val="2"/>
          <c:tx>
            <c:strRef>
              <c:f>Calculations!$D$42</c:f>
              <c:strCache>
                <c:ptCount val="1"/>
                <c:pt idx="0">
                  <c:v>HI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Calculations!$E$44:$E$124</c:f>
              <c:numCache>
                <c:formatCode>0.000</c:formatCode>
                <c:ptCount val="81"/>
                <c:pt idx="0">
                  <c:v>0.99899999999999956</c:v>
                </c:pt>
                <c:pt idx="1">
                  <c:v>0.99899999999999956</c:v>
                </c:pt>
                <c:pt idx="2">
                  <c:v>0.99899999999999956</c:v>
                </c:pt>
                <c:pt idx="3">
                  <c:v>0.99899999999999956</c:v>
                </c:pt>
                <c:pt idx="4">
                  <c:v>0.99899999999999956</c:v>
                </c:pt>
                <c:pt idx="5">
                  <c:v>0.99899999999999956</c:v>
                </c:pt>
                <c:pt idx="6">
                  <c:v>0.99899999999999956</c:v>
                </c:pt>
                <c:pt idx="7">
                  <c:v>0.99899999999999956</c:v>
                </c:pt>
                <c:pt idx="8">
                  <c:v>0.99899999999999956</c:v>
                </c:pt>
                <c:pt idx="9">
                  <c:v>0.99899999999999956</c:v>
                </c:pt>
                <c:pt idx="10">
                  <c:v>0.9898449754901959</c:v>
                </c:pt>
                <c:pt idx="11">
                  <c:v>0.93615196078431384</c:v>
                </c:pt>
                <c:pt idx="12">
                  <c:v>0.82708333333333373</c:v>
                </c:pt>
                <c:pt idx="13">
                  <c:v>0.73394607843137305</c:v>
                </c:pt>
                <c:pt idx="14">
                  <c:v>0.66102941176470609</c:v>
                </c:pt>
                <c:pt idx="15">
                  <c:v>0.60061274509803908</c:v>
                </c:pt>
                <c:pt idx="16">
                  <c:v>0.54816176470588218</c:v>
                </c:pt>
                <c:pt idx="17">
                  <c:v>0.49987745098039221</c:v>
                </c:pt>
                <c:pt idx="18">
                  <c:v>0.4596813725490197</c:v>
                </c:pt>
                <c:pt idx="19">
                  <c:v>0.42757352941176491</c:v>
                </c:pt>
                <c:pt idx="20">
                  <c:v>0.39803921568627476</c:v>
                </c:pt>
                <c:pt idx="21">
                  <c:v>0.37414215686274538</c:v>
                </c:pt>
                <c:pt idx="22">
                  <c:v>0.34938725490196082</c:v>
                </c:pt>
                <c:pt idx="23">
                  <c:v>0.33100490196078419</c:v>
                </c:pt>
                <c:pt idx="24">
                  <c:v>0.31115196078431356</c:v>
                </c:pt>
                <c:pt idx="25">
                  <c:v>0.29473039215686264</c:v>
                </c:pt>
                <c:pt idx="26">
                  <c:v>0.27879901960784303</c:v>
                </c:pt>
                <c:pt idx="27">
                  <c:v>0.26874999999999999</c:v>
                </c:pt>
                <c:pt idx="28">
                  <c:v>0.25784313725490199</c:v>
                </c:pt>
                <c:pt idx="29">
                  <c:v>0.24730392156862749</c:v>
                </c:pt>
                <c:pt idx="30">
                  <c:v>0.23713235294117652</c:v>
                </c:pt>
                <c:pt idx="31">
                  <c:v>0.22830882352941179</c:v>
                </c:pt>
                <c:pt idx="32">
                  <c:v>0.21985294117647053</c:v>
                </c:pt>
                <c:pt idx="33">
                  <c:v>0.2118872549019607</c:v>
                </c:pt>
                <c:pt idx="34">
                  <c:v>0.20563725490196072</c:v>
                </c:pt>
                <c:pt idx="35">
                  <c:v>0.1992647058823529</c:v>
                </c:pt>
                <c:pt idx="36">
                  <c:v>0.19362745098039211</c:v>
                </c:pt>
                <c:pt idx="37">
                  <c:v>0.18860294117647056</c:v>
                </c:pt>
                <c:pt idx="38">
                  <c:v>0.18370098039215685</c:v>
                </c:pt>
                <c:pt idx="39">
                  <c:v>0.17928921568627451</c:v>
                </c:pt>
                <c:pt idx="40">
                  <c:v>0.1738970588235294</c:v>
                </c:pt>
                <c:pt idx="41">
                  <c:v>0.17034313725490197</c:v>
                </c:pt>
                <c:pt idx="42">
                  <c:v>0.1667892156862745</c:v>
                </c:pt>
                <c:pt idx="43">
                  <c:v>0.16286764705882353</c:v>
                </c:pt>
                <c:pt idx="44">
                  <c:v>0.1593137254901961</c:v>
                </c:pt>
                <c:pt idx="45">
                  <c:v>0.15526960784313729</c:v>
                </c:pt>
                <c:pt idx="46">
                  <c:v>0.15269607843137259</c:v>
                </c:pt>
                <c:pt idx="47">
                  <c:v>0.15073529411764711</c:v>
                </c:pt>
                <c:pt idx="48">
                  <c:v>0.14852941176470591</c:v>
                </c:pt>
                <c:pt idx="49">
                  <c:v>0.14656862745098043</c:v>
                </c:pt>
                <c:pt idx="50">
                  <c:v>0.14374999999999996</c:v>
                </c:pt>
                <c:pt idx="51">
                  <c:v>0.14227941176470585</c:v>
                </c:pt>
                <c:pt idx="52">
                  <c:v>0.13946078431372544</c:v>
                </c:pt>
                <c:pt idx="53">
                  <c:v>0.13823529411764704</c:v>
                </c:pt>
                <c:pt idx="54">
                  <c:v>0.13553921568627447</c:v>
                </c:pt>
                <c:pt idx="55">
                  <c:v>0.1345588235294117</c:v>
                </c:pt>
                <c:pt idx="56">
                  <c:v>0.13259803921568622</c:v>
                </c:pt>
                <c:pt idx="57">
                  <c:v>0.13137254901960779</c:v>
                </c:pt>
                <c:pt idx="58">
                  <c:v>0.13002450980392152</c:v>
                </c:pt>
                <c:pt idx="59">
                  <c:v>0.1279411764705882</c:v>
                </c:pt>
                <c:pt idx="60">
                  <c:v>0.12512254901960779</c:v>
                </c:pt>
                <c:pt idx="61">
                  <c:v>0.12438725490196072</c:v>
                </c:pt>
                <c:pt idx="62">
                  <c:v>0.12463235294117642</c:v>
                </c:pt>
                <c:pt idx="63">
                  <c:v>0.12426470588235289</c:v>
                </c:pt>
                <c:pt idx="64">
                  <c:v>0.12230392156862741</c:v>
                </c:pt>
                <c:pt idx="65">
                  <c:v>0.12144607843137249</c:v>
                </c:pt>
                <c:pt idx="66">
                  <c:v>0.12107843137254896</c:v>
                </c:pt>
                <c:pt idx="67">
                  <c:v>0.11948529411764701</c:v>
                </c:pt>
                <c:pt idx="68">
                  <c:v>0.11936274509803918</c:v>
                </c:pt>
                <c:pt idx="69">
                  <c:v>0.11887254901960778</c:v>
                </c:pt>
                <c:pt idx="70">
                  <c:v>0.11678921568627446</c:v>
                </c:pt>
                <c:pt idx="71">
                  <c:v>0.11703431372549014</c:v>
                </c:pt>
                <c:pt idx="72">
                  <c:v>0.11617647058823524</c:v>
                </c:pt>
                <c:pt idx="73">
                  <c:v>0.11519607843137249</c:v>
                </c:pt>
                <c:pt idx="74">
                  <c:v>0.11482843137254896</c:v>
                </c:pt>
                <c:pt idx="75">
                  <c:v>0.11360294117647053</c:v>
                </c:pt>
                <c:pt idx="76">
                  <c:v>0.11249999999999995</c:v>
                </c:pt>
                <c:pt idx="77">
                  <c:v>0.11200980392156858</c:v>
                </c:pt>
                <c:pt idx="78">
                  <c:v>0.11127450980392152</c:v>
                </c:pt>
                <c:pt idx="79">
                  <c:v>0.11029411764705878</c:v>
                </c:pt>
                <c:pt idx="80">
                  <c:v>0.10857843137254898</c:v>
                </c:pt>
              </c:numCache>
            </c:numRef>
          </c:yVal>
        </c:ser>
        <c:ser>
          <c:idx val="3"/>
          <c:order val="3"/>
          <c:tx>
            <c:strRef>
              <c:f>Calculations!$J$42</c:f>
              <c:strCache>
                <c:ptCount val="1"/>
                <c:pt idx="0">
                  <c:v>HI-MID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Calculations!$J$44:$J$124</c:f>
              <c:numCache>
                <c:formatCode>0.000</c:formatCode>
                <c:ptCount val="81"/>
                <c:pt idx="0">
                  <c:v>0.99899999999999956</c:v>
                </c:pt>
                <c:pt idx="1">
                  <c:v>0.99899999999999956</c:v>
                </c:pt>
                <c:pt idx="2">
                  <c:v>0.99899999999999956</c:v>
                </c:pt>
                <c:pt idx="3">
                  <c:v>0.99899999999999956</c:v>
                </c:pt>
                <c:pt idx="4">
                  <c:v>0.99899999999999956</c:v>
                </c:pt>
                <c:pt idx="5">
                  <c:v>0.99899999999999956</c:v>
                </c:pt>
                <c:pt idx="6">
                  <c:v>0.99899999999999956</c:v>
                </c:pt>
                <c:pt idx="7">
                  <c:v>0.99899999999999956</c:v>
                </c:pt>
                <c:pt idx="8">
                  <c:v>0.99899999999999956</c:v>
                </c:pt>
                <c:pt idx="9">
                  <c:v>0.99899999999999956</c:v>
                </c:pt>
                <c:pt idx="10">
                  <c:v>0.99899999999999956</c:v>
                </c:pt>
                <c:pt idx="11">
                  <c:v>0.99899999999999956</c:v>
                </c:pt>
                <c:pt idx="12">
                  <c:v>0.99899999999999956</c:v>
                </c:pt>
                <c:pt idx="13">
                  <c:v>0.99899999999999956</c:v>
                </c:pt>
                <c:pt idx="14">
                  <c:v>0.94252450980392166</c:v>
                </c:pt>
                <c:pt idx="15">
                  <c:v>0.84901960784313757</c:v>
                </c:pt>
                <c:pt idx="16">
                  <c:v>0.76090686274509856</c:v>
                </c:pt>
                <c:pt idx="17">
                  <c:v>0.68100490196078445</c:v>
                </c:pt>
                <c:pt idx="18">
                  <c:v>0.61200980392156867</c:v>
                </c:pt>
                <c:pt idx="19">
                  <c:v>0.55637254901960786</c:v>
                </c:pt>
                <c:pt idx="20">
                  <c:v>0.50980392156862742</c:v>
                </c:pt>
                <c:pt idx="21">
                  <c:v>0.46752450980392163</c:v>
                </c:pt>
                <c:pt idx="22">
                  <c:v>0.42671568627450995</c:v>
                </c:pt>
                <c:pt idx="23">
                  <c:v>0.39546568627451001</c:v>
                </c:pt>
                <c:pt idx="24">
                  <c:v>0.3632352941176471</c:v>
                </c:pt>
                <c:pt idx="25">
                  <c:v>0.33455882352941185</c:v>
                </c:pt>
                <c:pt idx="26">
                  <c:v>0.30833333333333335</c:v>
                </c:pt>
                <c:pt idx="27">
                  <c:v>0.29215686274509806</c:v>
                </c:pt>
                <c:pt idx="28">
                  <c:v>0.27340686274509807</c:v>
                </c:pt>
                <c:pt idx="29">
                  <c:v>0.25637254901960788</c:v>
                </c:pt>
                <c:pt idx="30">
                  <c:v>0.23897058823529416</c:v>
                </c:pt>
                <c:pt idx="31">
                  <c:v>0.22401960784313732</c:v>
                </c:pt>
                <c:pt idx="32">
                  <c:v>0.21176470588235302</c:v>
                </c:pt>
                <c:pt idx="33">
                  <c:v>0.19693627450980403</c:v>
                </c:pt>
                <c:pt idx="34">
                  <c:v>0.1862745098039216</c:v>
                </c:pt>
                <c:pt idx="35">
                  <c:v>0.17561274509803923</c:v>
                </c:pt>
                <c:pt idx="36">
                  <c:v>0.16629901960784316</c:v>
                </c:pt>
                <c:pt idx="37">
                  <c:v>0.15686274509803924</c:v>
                </c:pt>
                <c:pt idx="38">
                  <c:v>0.14926470588235297</c:v>
                </c:pt>
                <c:pt idx="39">
                  <c:v>0.14142156862745098</c:v>
                </c:pt>
                <c:pt idx="40">
                  <c:v>0.1338235294117647</c:v>
                </c:pt>
                <c:pt idx="41">
                  <c:v>0.12659313725490196</c:v>
                </c:pt>
                <c:pt idx="42">
                  <c:v>0.12071078431372551</c:v>
                </c:pt>
                <c:pt idx="43">
                  <c:v>0.11531862745098041</c:v>
                </c:pt>
                <c:pt idx="44">
                  <c:v>0.10857843137254906</c:v>
                </c:pt>
                <c:pt idx="45">
                  <c:v>0.10343137254901966</c:v>
                </c:pt>
                <c:pt idx="46">
                  <c:v>9.7794117647058865E-2</c:v>
                </c:pt>
                <c:pt idx="47">
                  <c:v>9.3872549019607884E-2</c:v>
                </c:pt>
                <c:pt idx="48">
                  <c:v>9.0196078431372562E-2</c:v>
                </c:pt>
                <c:pt idx="49">
                  <c:v>8.6887254901960795E-2</c:v>
                </c:pt>
                <c:pt idx="50">
                  <c:v>8.25980392156863E-2</c:v>
                </c:pt>
                <c:pt idx="51">
                  <c:v>7.9779411764705904E-2</c:v>
                </c:pt>
                <c:pt idx="52">
                  <c:v>7.794117647058825E-2</c:v>
                </c:pt>
                <c:pt idx="53">
                  <c:v>7.6470588235294124E-2</c:v>
                </c:pt>
                <c:pt idx="54">
                  <c:v>7.120098039215686E-2</c:v>
                </c:pt>
                <c:pt idx="55">
                  <c:v>6.7647058823529407E-2</c:v>
                </c:pt>
                <c:pt idx="56">
                  <c:v>6.5441176470588239E-2</c:v>
                </c:pt>
                <c:pt idx="57">
                  <c:v>6.3112745098039214E-2</c:v>
                </c:pt>
                <c:pt idx="58">
                  <c:v>5.9926470588235303E-2</c:v>
                </c:pt>
                <c:pt idx="59">
                  <c:v>5.8578431372549027E-2</c:v>
                </c:pt>
                <c:pt idx="60">
                  <c:v>5.7598039215686285E-2</c:v>
                </c:pt>
                <c:pt idx="61">
                  <c:v>4.926470588235296E-2</c:v>
                </c:pt>
                <c:pt idx="62">
                  <c:v>5.1593137254901986E-2</c:v>
                </c:pt>
                <c:pt idx="63">
                  <c:v>4.9387254901960803E-2</c:v>
                </c:pt>
                <c:pt idx="64">
                  <c:v>4.6568627450980393E-2</c:v>
                </c:pt>
                <c:pt idx="65">
                  <c:v>4.5220588235294137E-2</c:v>
                </c:pt>
                <c:pt idx="66">
                  <c:v>4.534313725490198E-2</c:v>
                </c:pt>
                <c:pt idx="67">
                  <c:v>4.2647058823529427E-2</c:v>
                </c:pt>
                <c:pt idx="68">
                  <c:v>4.1789215686274528E-2</c:v>
                </c:pt>
                <c:pt idx="69">
                  <c:v>4.1053921568627465E-2</c:v>
                </c:pt>
                <c:pt idx="70">
                  <c:v>4.0318627450980402E-2</c:v>
                </c:pt>
                <c:pt idx="71">
                  <c:v>3.9950980392156846E-2</c:v>
                </c:pt>
                <c:pt idx="72">
                  <c:v>3.7499999999999992E-2</c:v>
                </c:pt>
                <c:pt idx="73">
                  <c:v>3.5416666666666659E-2</c:v>
                </c:pt>
                <c:pt idx="74">
                  <c:v>3.3578431372549018E-2</c:v>
                </c:pt>
                <c:pt idx="75">
                  <c:v>3.1495098039215685E-2</c:v>
                </c:pt>
                <c:pt idx="76">
                  <c:v>3.1372549019607843E-2</c:v>
                </c:pt>
                <c:pt idx="77">
                  <c:v>2.7818627450980397E-2</c:v>
                </c:pt>
                <c:pt idx="78">
                  <c:v>2.7205882352941173E-2</c:v>
                </c:pt>
                <c:pt idx="79">
                  <c:v>2.7573529411764709E-2</c:v>
                </c:pt>
                <c:pt idx="80">
                  <c:v>2.5490196078431372E-2</c:v>
                </c:pt>
              </c:numCache>
            </c:numRef>
          </c:yVal>
        </c:ser>
        <c:ser>
          <c:idx val="0"/>
          <c:order val="0"/>
          <c:tx>
            <c:strRef>
              <c:f>Calculations!$L$42</c:f>
              <c:strCache>
                <c:ptCount val="1"/>
                <c:pt idx="0">
                  <c:v>LO-MID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Calculations!$L$44:$L$124</c:f>
              <c:numCache>
                <c:formatCode>0.000</c:formatCode>
                <c:ptCount val="81"/>
                <c:pt idx="0">
                  <c:v>0.99899999999999956</c:v>
                </c:pt>
                <c:pt idx="1">
                  <c:v>0.99899999999999956</c:v>
                </c:pt>
                <c:pt idx="2">
                  <c:v>0.99899999999999956</c:v>
                </c:pt>
                <c:pt idx="3">
                  <c:v>0.99899999999999956</c:v>
                </c:pt>
                <c:pt idx="4">
                  <c:v>0.99899999999999956</c:v>
                </c:pt>
                <c:pt idx="5">
                  <c:v>0.99899999999999956</c:v>
                </c:pt>
                <c:pt idx="6">
                  <c:v>0.99899999999999956</c:v>
                </c:pt>
                <c:pt idx="7">
                  <c:v>0.99899999999999956</c:v>
                </c:pt>
                <c:pt idx="8">
                  <c:v>0.99899999999999956</c:v>
                </c:pt>
                <c:pt idx="9">
                  <c:v>0.99899999999999956</c:v>
                </c:pt>
                <c:pt idx="10">
                  <c:v>0.99899999999999956</c:v>
                </c:pt>
                <c:pt idx="11">
                  <c:v>0.99899999999999956</c:v>
                </c:pt>
                <c:pt idx="12">
                  <c:v>0.92879901960784328</c:v>
                </c:pt>
                <c:pt idx="13">
                  <c:v>0.82022058823529453</c:v>
                </c:pt>
                <c:pt idx="14">
                  <c:v>0.7350490196078433</c:v>
                </c:pt>
                <c:pt idx="15">
                  <c:v>0.66507352941176479</c:v>
                </c:pt>
                <c:pt idx="16">
                  <c:v>0.60563725490196085</c:v>
                </c:pt>
                <c:pt idx="17">
                  <c:v>0.54889705882352946</c:v>
                </c:pt>
                <c:pt idx="18">
                  <c:v>0.50245098039215685</c:v>
                </c:pt>
                <c:pt idx="19">
                  <c:v>0.46519607843137262</c:v>
                </c:pt>
                <c:pt idx="20">
                  <c:v>0.4310049019607845</c:v>
                </c:pt>
                <c:pt idx="21">
                  <c:v>0.40318627450980415</c:v>
                </c:pt>
                <c:pt idx="22">
                  <c:v>0.37487745098039243</c:v>
                </c:pt>
                <c:pt idx="23">
                  <c:v>0.35367647058823531</c:v>
                </c:pt>
                <c:pt idx="24">
                  <c:v>0.33149509803921573</c:v>
                </c:pt>
                <c:pt idx="25">
                  <c:v>0.31102941176470589</c:v>
                </c:pt>
                <c:pt idx="26">
                  <c:v>0.29276960784313727</c:v>
                </c:pt>
                <c:pt idx="27">
                  <c:v>0.28051470588235294</c:v>
                </c:pt>
                <c:pt idx="28">
                  <c:v>0.26813725490196083</c:v>
                </c:pt>
                <c:pt idx="29">
                  <c:v>0.25551470588235292</c:v>
                </c:pt>
                <c:pt idx="30">
                  <c:v>0.24534313725490198</c:v>
                </c:pt>
                <c:pt idx="31">
                  <c:v>0.23480392156862748</c:v>
                </c:pt>
                <c:pt idx="32">
                  <c:v>0.22463235294117653</c:v>
                </c:pt>
                <c:pt idx="33">
                  <c:v>0.21605392156862754</c:v>
                </c:pt>
                <c:pt idx="34">
                  <c:v>0.20821078431372558</c:v>
                </c:pt>
                <c:pt idx="35">
                  <c:v>0.20061274509803934</c:v>
                </c:pt>
                <c:pt idx="36">
                  <c:v>0.19497549019607854</c:v>
                </c:pt>
                <c:pt idx="37">
                  <c:v>0.18909313725490201</c:v>
                </c:pt>
                <c:pt idx="38">
                  <c:v>0.18333333333333338</c:v>
                </c:pt>
                <c:pt idx="39">
                  <c:v>0.17757352941176474</c:v>
                </c:pt>
                <c:pt idx="40">
                  <c:v>0.17303921568627453</c:v>
                </c:pt>
                <c:pt idx="41">
                  <c:v>0.16740196078431377</c:v>
                </c:pt>
                <c:pt idx="42">
                  <c:v>0.16360294117647062</c:v>
                </c:pt>
                <c:pt idx="43">
                  <c:v>0.15943627450980394</c:v>
                </c:pt>
                <c:pt idx="44">
                  <c:v>0.15379901960784315</c:v>
                </c:pt>
                <c:pt idx="45">
                  <c:v>0.15036764705882355</c:v>
                </c:pt>
                <c:pt idx="46">
                  <c:v>0.14718137254901961</c:v>
                </c:pt>
                <c:pt idx="47">
                  <c:v>0.14375000000000002</c:v>
                </c:pt>
                <c:pt idx="48">
                  <c:v>0.14178921568627451</c:v>
                </c:pt>
                <c:pt idx="49">
                  <c:v>0.13921568627450981</c:v>
                </c:pt>
                <c:pt idx="50">
                  <c:v>0.13676470588235295</c:v>
                </c:pt>
                <c:pt idx="51">
                  <c:v>0.13468137254901963</c:v>
                </c:pt>
                <c:pt idx="52">
                  <c:v>0.13210784313725488</c:v>
                </c:pt>
                <c:pt idx="53">
                  <c:v>0.12916666666666668</c:v>
                </c:pt>
                <c:pt idx="54">
                  <c:v>0.12745098039215685</c:v>
                </c:pt>
                <c:pt idx="55">
                  <c:v>0.12647058823529411</c:v>
                </c:pt>
                <c:pt idx="56">
                  <c:v>0.12279411764705883</c:v>
                </c:pt>
                <c:pt idx="57">
                  <c:v>0.12095588235294119</c:v>
                </c:pt>
                <c:pt idx="58">
                  <c:v>0.11960784313725491</c:v>
                </c:pt>
                <c:pt idx="59">
                  <c:v>0.11838235294117648</c:v>
                </c:pt>
                <c:pt idx="60">
                  <c:v>0.11531862745098041</c:v>
                </c:pt>
                <c:pt idx="61">
                  <c:v>0.11458333333333336</c:v>
                </c:pt>
                <c:pt idx="62">
                  <c:v>0.11458333333333336</c:v>
                </c:pt>
                <c:pt idx="63">
                  <c:v>0.11311274509803924</c:v>
                </c:pt>
                <c:pt idx="64">
                  <c:v>0.11090686274509808</c:v>
                </c:pt>
                <c:pt idx="65">
                  <c:v>0.11029411764705886</c:v>
                </c:pt>
                <c:pt idx="66">
                  <c:v>0.10931372549019611</c:v>
                </c:pt>
                <c:pt idx="67">
                  <c:v>0.10833333333333336</c:v>
                </c:pt>
                <c:pt idx="68">
                  <c:v>0.10845588235294121</c:v>
                </c:pt>
                <c:pt idx="69">
                  <c:v>0.1061274509803922</c:v>
                </c:pt>
                <c:pt idx="70">
                  <c:v>0.10477941176470593</c:v>
                </c:pt>
                <c:pt idx="71">
                  <c:v>0.10465686274509808</c:v>
                </c:pt>
                <c:pt idx="72">
                  <c:v>0.1035539215686275</c:v>
                </c:pt>
                <c:pt idx="73">
                  <c:v>0.10379901960784318</c:v>
                </c:pt>
                <c:pt idx="74">
                  <c:v>0.101593137254902</c:v>
                </c:pt>
                <c:pt idx="75">
                  <c:v>0.10049019607843142</c:v>
                </c:pt>
                <c:pt idx="76">
                  <c:v>9.9632352941176519E-2</c:v>
                </c:pt>
                <c:pt idx="77">
                  <c:v>9.877450980392162E-2</c:v>
                </c:pt>
                <c:pt idx="78">
                  <c:v>9.8529411764705935E-2</c:v>
                </c:pt>
                <c:pt idx="79">
                  <c:v>9.6568627450980452E-2</c:v>
                </c:pt>
                <c:pt idx="80">
                  <c:v>9.6323529411764766E-2</c:v>
                </c:pt>
              </c:numCache>
            </c:numRef>
          </c:yVal>
        </c:ser>
        <c:ser>
          <c:idx val="1"/>
          <c:order val="1"/>
          <c:tx>
            <c:strRef>
              <c:f>Calculations!$N$42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Calculations!$N$44:$N$124</c:f>
              <c:numCache>
                <c:formatCode>0.000</c:formatCode>
                <c:ptCount val="81"/>
                <c:pt idx="0">
                  <c:v>0.99899999999999956</c:v>
                </c:pt>
                <c:pt idx="1">
                  <c:v>0.99899999999999956</c:v>
                </c:pt>
                <c:pt idx="2">
                  <c:v>0.99899999999999956</c:v>
                </c:pt>
                <c:pt idx="3">
                  <c:v>0.99899999999999956</c:v>
                </c:pt>
                <c:pt idx="4">
                  <c:v>0.99899999999999956</c:v>
                </c:pt>
                <c:pt idx="5">
                  <c:v>0.99899999999999956</c:v>
                </c:pt>
                <c:pt idx="6">
                  <c:v>0.99899999999999956</c:v>
                </c:pt>
                <c:pt idx="7">
                  <c:v>0.99899999999999956</c:v>
                </c:pt>
                <c:pt idx="8">
                  <c:v>0.99899999999999956</c:v>
                </c:pt>
                <c:pt idx="9">
                  <c:v>0.99899999999999956</c:v>
                </c:pt>
                <c:pt idx="10">
                  <c:v>0.98972242647058806</c:v>
                </c:pt>
                <c:pt idx="11">
                  <c:v>0.93529411764705894</c:v>
                </c:pt>
                <c:pt idx="12">
                  <c:v>0.82708333333333373</c:v>
                </c:pt>
                <c:pt idx="13">
                  <c:v>0.73296568627451031</c:v>
                </c:pt>
                <c:pt idx="14">
                  <c:v>0.66004901960784335</c:v>
                </c:pt>
                <c:pt idx="15">
                  <c:v>0.59987745098039214</c:v>
                </c:pt>
                <c:pt idx="16">
                  <c:v>0.54865196078431355</c:v>
                </c:pt>
                <c:pt idx="17">
                  <c:v>0.50036764705882364</c:v>
                </c:pt>
                <c:pt idx="18">
                  <c:v>0.46029411764705891</c:v>
                </c:pt>
                <c:pt idx="19">
                  <c:v>0.42634803921568648</c:v>
                </c:pt>
                <c:pt idx="20">
                  <c:v>0.39620098039215712</c:v>
                </c:pt>
                <c:pt idx="21">
                  <c:v>0.37267156862745127</c:v>
                </c:pt>
                <c:pt idx="22">
                  <c:v>0.34914215686274513</c:v>
                </c:pt>
                <c:pt idx="23">
                  <c:v>0.33112745098039204</c:v>
                </c:pt>
                <c:pt idx="24">
                  <c:v>0.31127450980392141</c:v>
                </c:pt>
                <c:pt idx="25">
                  <c:v>0.29264705882352932</c:v>
                </c:pt>
                <c:pt idx="26">
                  <c:v>0.27794117647058814</c:v>
                </c:pt>
                <c:pt idx="27">
                  <c:v>0.26691176470588235</c:v>
                </c:pt>
                <c:pt idx="28">
                  <c:v>0.25686274509803925</c:v>
                </c:pt>
                <c:pt idx="29">
                  <c:v>0.24497549019607848</c:v>
                </c:pt>
                <c:pt idx="30">
                  <c:v>0.23750000000000004</c:v>
                </c:pt>
                <c:pt idx="31">
                  <c:v>0.2279411764705882</c:v>
                </c:pt>
                <c:pt idx="32">
                  <c:v>0.21948529411764695</c:v>
                </c:pt>
                <c:pt idx="33">
                  <c:v>0.2118872549019607</c:v>
                </c:pt>
                <c:pt idx="34">
                  <c:v>0.20477941176470582</c:v>
                </c:pt>
                <c:pt idx="35">
                  <c:v>0.19914215686274503</c:v>
                </c:pt>
                <c:pt idx="36">
                  <c:v>0.19338235294117642</c:v>
                </c:pt>
                <c:pt idx="37">
                  <c:v>0.18725490196078429</c:v>
                </c:pt>
                <c:pt idx="38">
                  <c:v>0.18419117647058822</c:v>
                </c:pt>
                <c:pt idx="39">
                  <c:v>0.18026960784313725</c:v>
                </c:pt>
                <c:pt idx="40">
                  <c:v>0.17475490196078433</c:v>
                </c:pt>
                <c:pt idx="41">
                  <c:v>0.16936274509803922</c:v>
                </c:pt>
                <c:pt idx="42">
                  <c:v>0.1659313725490196</c:v>
                </c:pt>
                <c:pt idx="43">
                  <c:v>0.16360294117647059</c:v>
                </c:pt>
                <c:pt idx="44">
                  <c:v>0.15821078431372551</c:v>
                </c:pt>
                <c:pt idx="45">
                  <c:v>0.15575980392156866</c:v>
                </c:pt>
                <c:pt idx="46">
                  <c:v>0.15232843137254906</c:v>
                </c:pt>
                <c:pt idx="47">
                  <c:v>0.14963235294117649</c:v>
                </c:pt>
                <c:pt idx="48">
                  <c:v>0.14754901960784317</c:v>
                </c:pt>
                <c:pt idx="49">
                  <c:v>0.14644607843137258</c:v>
                </c:pt>
                <c:pt idx="50">
                  <c:v>0.14374999999999999</c:v>
                </c:pt>
                <c:pt idx="51">
                  <c:v>0.14154411764705879</c:v>
                </c:pt>
                <c:pt idx="52">
                  <c:v>0.13958333333333328</c:v>
                </c:pt>
                <c:pt idx="53">
                  <c:v>0.13774509803921561</c:v>
                </c:pt>
                <c:pt idx="54">
                  <c:v>0.13431372549019602</c:v>
                </c:pt>
                <c:pt idx="55">
                  <c:v>0.13406862745098033</c:v>
                </c:pt>
                <c:pt idx="56">
                  <c:v>0.13210784313725485</c:v>
                </c:pt>
                <c:pt idx="57">
                  <c:v>0.12953431372549015</c:v>
                </c:pt>
                <c:pt idx="58">
                  <c:v>0.12818627450980385</c:v>
                </c:pt>
                <c:pt idx="59">
                  <c:v>0.12720588235294111</c:v>
                </c:pt>
                <c:pt idx="60">
                  <c:v>0.12585784313725484</c:v>
                </c:pt>
                <c:pt idx="61">
                  <c:v>0.12377450980392152</c:v>
                </c:pt>
                <c:pt idx="62">
                  <c:v>0.12475490196078426</c:v>
                </c:pt>
                <c:pt idx="63">
                  <c:v>0.1240196078431372</c:v>
                </c:pt>
                <c:pt idx="64">
                  <c:v>0.12169117647058819</c:v>
                </c:pt>
                <c:pt idx="65">
                  <c:v>0.12107843137254898</c:v>
                </c:pt>
                <c:pt idx="66">
                  <c:v>0.11899509803921564</c:v>
                </c:pt>
                <c:pt idx="67">
                  <c:v>0.11899509803921564</c:v>
                </c:pt>
                <c:pt idx="68">
                  <c:v>0.11838235294117644</c:v>
                </c:pt>
                <c:pt idx="69">
                  <c:v>0.11727941176470583</c:v>
                </c:pt>
                <c:pt idx="70">
                  <c:v>0.11617647058823526</c:v>
                </c:pt>
                <c:pt idx="71">
                  <c:v>0.1160539215686274</c:v>
                </c:pt>
                <c:pt idx="72">
                  <c:v>0.11446078431372544</c:v>
                </c:pt>
                <c:pt idx="73">
                  <c:v>0.11470588235294112</c:v>
                </c:pt>
                <c:pt idx="74">
                  <c:v>0.11397058823529406</c:v>
                </c:pt>
                <c:pt idx="75">
                  <c:v>0.11384803921568622</c:v>
                </c:pt>
                <c:pt idx="76">
                  <c:v>0.11225490196078426</c:v>
                </c:pt>
                <c:pt idx="77">
                  <c:v>0.11053921568627446</c:v>
                </c:pt>
                <c:pt idx="78">
                  <c:v>0.11066176470588231</c:v>
                </c:pt>
                <c:pt idx="79">
                  <c:v>0.11041666666666662</c:v>
                </c:pt>
                <c:pt idx="80">
                  <c:v>0.10968137254901957</c:v>
                </c:pt>
              </c:numCache>
            </c:numRef>
          </c:yVal>
        </c:ser>
        <c:axId val="135222400"/>
        <c:axId val="135224320"/>
      </c:scatterChart>
      <c:valAx>
        <c:axId val="135222400"/>
        <c:scaling>
          <c:orientation val="minMax"/>
          <c:max val="30"/>
          <c:min val="5"/>
        </c:scaling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Sensor</a:t>
                </a:r>
                <a:r>
                  <a:rPr lang="en-US" baseline="0"/>
                  <a:t> to Target DIstance in mm</a:t>
                </a:r>
                <a:endParaRPr lang="en-US"/>
              </a:p>
            </c:rich>
          </c:tx>
          <c:layout/>
        </c:title>
        <c:numFmt formatCode="0" sourceLinked="0"/>
        <c:tickLblPos val="nextTo"/>
        <c:crossAx val="135224320"/>
        <c:crosses val="autoZero"/>
        <c:crossBetween val="midCat"/>
        <c:majorUnit val="5"/>
        <c:minorUnit val="1"/>
      </c:valAx>
      <c:valAx>
        <c:axId val="135224320"/>
        <c:scaling>
          <c:orientation val="minMax"/>
          <c:max val="0.5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Detected Power in %FSR</a:t>
                </a:r>
              </a:p>
            </c:rich>
          </c:tx>
          <c:layout/>
        </c:title>
        <c:numFmt formatCode="0%" sourceLinked="0"/>
        <c:tickLblPos val="nextTo"/>
        <c:crossAx val="135222400"/>
        <c:crosses val="autoZero"/>
        <c:crossBetween val="midCat"/>
        <c:minorUnit val="1.0000000000000005E-2"/>
      </c:valAx>
    </c:plotArea>
    <c:legend>
      <c:legendPos val="r"/>
      <c:layout>
        <c:manualLayout>
          <c:xMode val="edge"/>
          <c:yMode val="edge"/>
          <c:x val="0.84425090079436249"/>
          <c:y val="0.32421819267641028"/>
          <c:w val="0.13440813913970057"/>
          <c:h val="0.35156317292941802"/>
        </c:manualLayout>
      </c:layout>
      <c:txPr>
        <a:bodyPr/>
        <a:lstStyle/>
        <a:p>
          <a:pPr>
            <a:defRPr sz="700"/>
          </a:pPr>
          <a:endParaRPr lang="en-US"/>
        </a:p>
      </c:txPr>
    </c:legend>
    <c:plotVisOnly val="1"/>
  </c:chart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Calculations!$AI$72</c:f>
          <c:strCache>
            <c:ptCount val="1"/>
            <c:pt idx="0">
              <c:v>29147 `Far` Offset Region: 6% Reflector , 77% Xmit @ 850nm</c:v>
            </c:pt>
          </c:strCache>
        </c:strRef>
      </c:tx>
      <c:layout/>
      <c:txPr>
        <a:bodyPr/>
        <a:lstStyle/>
        <a:p>
          <a:pPr>
            <a:defRPr sz="1000"/>
          </a:pPr>
          <a:endParaRPr lang="en-US"/>
        </a:p>
      </c:txPr>
    </c:title>
    <c:plotArea>
      <c:layout/>
      <c:scatterChart>
        <c:scatterStyle val="lineMarker"/>
        <c:ser>
          <c:idx val="2"/>
          <c:order val="2"/>
          <c:tx>
            <c:strRef>
              <c:f>Calculations!$D$42</c:f>
              <c:strCache>
                <c:ptCount val="1"/>
                <c:pt idx="0">
                  <c:v>HI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Calculations!$E$44:$E$124</c:f>
              <c:numCache>
                <c:formatCode>0.000</c:formatCode>
                <c:ptCount val="81"/>
                <c:pt idx="0">
                  <c:v>0.99899999999999956</c:v>
                </c:pt>
                <c:pt idx="1">
                  <c:v>0.99899999999999956</c:v>
                </c:pt>
                <c:pt idx="2">
                  <c:v>0.99899999999999956</c:v>
                </c:pt>
                <c:pt idx="3">
                  <c:v>0.99899999999999956</c:v>
                </c:pt>
                <c:pt idx="4">
                  <c:v>0.99899999999999956</c:v>
                </c:pt>
                <c:pt idx="5">
                  <c:v>0.99899999999999956</c:v>
                </c:pt>
                <c:pt idx="6">
                  <c:v>0.99899999999999956</c:v>
                </c:pt>
                <c:pt idx="7">
                  <c:v>0.99899999999999956</c:v>
                </c:pt>
                <c:pt idx="8">
                  <c:v>0.99899999999999956</c:v>
                </c:pt>
                <c:pt idx="9">
                  <c:v>0.99899999999999956</c:v>
                </c:pt>
                <c:pt idx="10">
                  <c:v>0.9898449754901959</c:v>
                </c:pt>
                <c:pt idx="11">
                  <c:v>0.93615196078431384</c:v>
                </c:pt>
                <c:pt idx="12">
                  <c:v>0.82708333333333373</c:v>
                </c:pt>
                <c:pt idx="13">
                  <c:v>0.73394607843137305</c:v>
                </c:pt>
                <c:pt idx="14">
                  <c:v>0.66102941176470609</c:v>
                </c:pt>
                <c:pt idx="15">
                  <c:v>0.60061274509803908</c:v>
                </c:pt>
                <c:pt idx="16">
                  <c:v>0.54816176470588218</c:v>
                </c:pt>
                <c:pt idx="17">
                  <c:v>0.49987745098039221</c:v>
                </c:pt>
                <c:pt idx="18">
                  <c:v>0.4596813725490197</c:v>
                </c:pt>
                <c:pt idx="19">
                  <c:v>0.42757352941176491</c:v>
                </c:pt>
                <c:pt idx="20">
                  <c:v>0.39803921568627476</c:v>
                </c:pt>
                <c:pt idx="21">
                  <c:v>0.37414215686274538</c:v>
                </c:pt>
                <c:pt idx="22">
                  <c:v>0.34938725490196082</c:v>
                </c:pt>
                <c:pt idx="23">
                  <c:v>0.33100490196078419</c:v>
                </c:pt>
                <c:pt idx="24">
                  <c:v>0.31115196078431356</c:v>
                </c:pt>
                <c:pt idx="25">
                  <c:v>0.29473039215686264</c:v>
                </c:pt>
                <c:pt idx="26">
                  <c:v>0.27879901960784303</c:v>
                </c:pt>
                <c:pt idx="27">
                  <c:v>0.26874999999999999</c:v>
                </c:pt>
                <c:pt idx="28">
                  <c:v>0.25784313725490199</c:v>
                </c:pt>
                <c:pt idx="29">
                  <c:v>0.24730392156862749</c:v>
                </c:pt>
                <c:pt idx="30">
                  <c:v>0.23713235294117652</c:v>
                </c:pt>
                <c:pt idx="31">
                  <c:v>0.22830882352941179</c:v>
                </c:pt>
                <c:pt idx="32">
                  <c:v>0.21985294117647053</c:v>
                </c:pt>
                <c:pt idx="33">
                  <c:v>0.2118872549019607</c:v>
                </c:pt>
                <c:pt idx="34">
                  <c:v>0.20563725490196072</c:v>
                </c:pt>
                <c:pt idx="35">
                  <c:v>0.1992647058823529</c:v>
                </c:pt>
                <c:pt idx="36">
                  <c:v>0.19362745098039211</c:v>
                </c:pt>
                <c:pt idx="37">
                  <c:v>0.18860294117647056</c:v>
                </c:pt>
                <c:pt idx="38">
                  <c:v>0.18370098039215685</c:v>
                </c:pt>
                <c:pt idx="39">
                  <c:v>0.17928921568627451</c:v>
                </c:pt>
                <c:pt idx="40">
                  <c:v>0.1738970588235294</c:v>
                </c:pt>
                <c:pt idx="41">
                  <c:v>0.17034313725490197</c:v>
                </c:pt>
                <c:pt idx="42">
                  <c:v>0.1667892156862745</c:v>
                </c:pt>
                <c:pt idx="43">
                  <c:v>0.16286764705882353</c:v>
                </c:pt>
                <c:pt idx="44">
                  <c:v>0.1593137254901961</c:v>
                </c:pt>
                <c:pt idx="45">
                  <c:v>0.15526960784313729</c:v>
                </c:pt>
                <c:pt idx="46">
                  <c:v>0.15269607843137259</c:v>
                </c:pt>
                <c:pt idx="47">
                  <c:v>0.15073529411764711</c:v>
                </c:pt>
                <c:pt idx="48">
                  <c:v>0.14852941176470591</c:v>
                </c:pt>
                <c:pt idx="49">
                  <c:v>0.14656862745098043</c:v>
                </c:pt>
                <c:pt idx="50">
                  <c:v>0.14374999999999996</c:v>
                </c:pt>
                <c:pt idx="51">
                  <c:v>0.14227941176470585</c:v>
                </c:pt>
                <c:pt idx="52">
                  <c:v>0.13946078431372544</c:v>
                </c:pt>
                <c:pt idx="53">
                  <c:v>0.13823529411764704</c:v>
                </c:pt>
                <c:pt idx="54">
                  <c:v>0.13553921568627447</c:v>
                </c:pt>
                <c:pt idx="55">
                  <c:v>0.1345588235294117</c:v>
                </c:pt>
                <c:pt idx="56">
                  <c:v>0.13259803921568622</c:v>
                </c:pt>
                <c:pt idx="57">
                  <c:v>0.13137254901960779</c:v>
                </c:pt>
                <c:pt idx="58">
                  <c:v>0.13002450980392152</c:v>
                </c:pt>
                <c:pt idx="59">
                  <c:v>0.1279411764705882</c:v>
                </c:pt>
                <c:pt idx="60">
                  <c:v>0.12512254901960779</c:v>
                </c:pt>
                <c:pt idx="61">
                  <c:v>0.12438725490196072</c:v>
                </c:pt>
                <c:pt idx="62">
                  <c:v>0.12463235294117642</c:v>
                </c:pt>
                <c:pt idx="63">
                  <c:v>0.12426470588235289</c:v>
                </c:pt>
                <c:pt idx="64">
                  <c:v>0.12230392156862741</c:v>
                </c:pt>
                <c:pt idx="65">
                  <c:v>0.12144607843137249</c:v>
                </c:pt>
                <c:pt idx="66">
                  <c:v>0.12107843137254896</c:v>
                </c:pt>
                <c:pt idx="67">
                  <c:v>0.11948529411764701</c:v>
                </c:pt>
                <c:pt idx="68">
                  <c:v>0.11936274509803918</c:v>
                </c:pt>
                <c:pt idx="69">
                  <c:v>0.11887254901960778</c:v>
                </c:pt>
                <c:pt idx="70">
                  <c:v>0.11678921568627446</c:v>
                </c:pt>
                <c:pt idx="71">
                  <c:v>0.11703431372549014</c:v>
                </c:pt>
                <c:pt idx="72">
                  <c:v>0.11617647058823524</c:v>
                </c:pt>
                <c:pt idx="73">
                  <c:v>0.11519607843137249</c:v>
                </c:pt>
                <c:pt idx="74">
                  <c:v>0.11482843137254896</c:v>
                </c:pt>
                <c:pt idx="75">
                  <c:v>0.11360294117647053</c:v>
                </c:pt>
                <c:pt idx="76">
                  <c:v>0.11249999999999995</c:v>
                </c:pt>
                <c:pt idx="77">
                  <c:v>0.11200980392156858</c:v>
                </c:pt>
                <c:pt idx="78">
                  <c:v>0.11127450980392152</c:v>
                </c:pt>
                <c:pt idx="79">
                  <c:v>0.11029411764705878</c:v>
                </c:pt>
                <c:pt idx="80">
                  <c:v>0.10857843137254898</c:v>
                </c:pt>
              </c:numCache>
            </c:numRef>
          </c:yVal>
        </c:ser>
        <c:ser>
          <c:idx val="3"/>
          <c:order val="3"/>
          <c:tx>
            <c:strRef>
              <c:f>Calculations!$J$42</c:f>
              <c:strCache>
                <c:ptCount val="1"/>
                <c:pt idx="0">
                  <c:v>HI-MID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Calculations!$J$44:$J$124</c:f>
              <c:numCache>
                <c:formatCode>0.000</c:formatCode>
                <c:ptCount val="81"/>
                <c:pt idx="0">
                  <c:v>0.99899999999999956</c:v>
                </c:pt>
                <c:pt idx="1">
                  <c:v>0.99899999999999956</c:v>
                </c:pt>
                <c:pt idx="2">
                  <c:v>0.99899999999999956</c:v>
                </c:pt>
                <c:pt idx="3">
                  <c:v>0.99899999999999956</c:v>
                </c:pt>
                <c:pt idx="4">
                  <c:v>0.99899999999999956</c:v>
                </c:pt>
                <c:pt idx="5">
                  <c:v>0.99899999999999956</c:v>
                </c:pt>
                <c:pt idx="6">
                  <c:v>0.99899999999999956</c:v>
                </c:pt>
                <c:pt idx="7">
                  <c:v>0.99899999999999956</c:v>
                </c:pt>
                <c:pt idx="8">
                  <c:v>0.99899999999999956</c:v>
                </c:pt>
                <c:pt idx="9">
                  <c:v>0.99899999999999956</c:v>
                </c:pt>
                <c:pt idx="10">
                  <c:v>0.99899999999999956</c:v>
                </c:pt>
                <c:pt idx="11">
                  <c:v>0.99899999999999956</c:v>
                </c:pt>
                <c:pt idx="12">
                  <c:v>0.99899999999999956</c:v>
                </c:pt>
                <c:pt idx="13">
                  <c:v>0.99899999999999956</c:v>
                </c:pt>
                <c:pt idx="14">
                  <c:v>0.94252450980392166</c:v>
                </c:pt>
                <c:pt idx="15">
                  <c:v>0.84901960784313757</c:v>
                </c:pt>
                <c:pt idx="16">
                  <c:v>0.76090686274509856</c:v>
                </c:pt>
                <c:pt idx="17">
                  <c:v>0.68100490196078445</c:v>
                </c:pt>
                <c:pt idx="18">
                  <c:v>0.61200980392156867</c:v>
                </c:pt>
                <c:pt idx="19">
                  <c:v>0.55637254901960786</c:v>
                </c:pt>
                <c:pt idx="20">
                  <c:v>0.50980392156862742</c:v>
                </c:pt>
                <c:pt idx="21">
                  <c:v>0.46752450980392163</c:v>
                </c:pt>
                <c:pt idx="22">
                  <c:v>0.42671568627450995</c:v>
                </c:pt>
                <c:pt idx="23">
                  <c:v>0.39546568627451001</c:v>
                </c:pt>
                <c:pt idx="24">
                  <c:v>0.3632352941176471</c:v>
                </c:pt>
                <c:pt idx="25">
                  <c:v>0.33455882352941185</c:v>
                </c:pt>
                <c:pt idx="26">
                  <c:v>0.30833333333333335</c:v>
                </c:pt>
                <c:pt idx="27">
                  <c:v>0.29215686274509806</c:v>
                </c:pt>
                <c:pt idx="28">
                  <c:v>0.27340686274509807</c:v>
                </c:pt>
                <c:pt idx="29">
                  <c:v>0.25637254901960788</c:v>
                </c:pt>
                <c:pt idx="30">
                  <c:v>0.23897058823529416</c:v>
                </c:pt>
                <c:pt idx="31">
                  <c:v>0.22401960784313732</c:v>
                </c:pt>
                <c:pt idx="32">
                  <c:v>0.21176470588235302</c:v>
                </c:pt>
                <c:pt idx="33">
                  <c:v>0.19693627450980403</c:v>
                </c:pt>
                <c:pt idx="34">
                  <c:v>0.1862745098039216</c:v>
                </c:pt>
                <c:pt idx="35">
                  <c:v>0.17561274509803923</c:v>
                </c:pt>
                <c:pt idx="36">
                  <c:v>0.16629901960784316</c:v>
                </c:pt>
                <c:pt idx="37">
                  <c:v>0.15686274509803924</c:v>
                </c:pt>
                <c:pt idx="38">
                  <c:v>0.14926470588235297</c:v>
                </c:pt>
                <c:pt idx="39">
                  <c:v>0.14142156862745098</c:v>
                </c:pt>
                <c:pt idx="40">
                  <c:v>0.1338235294117647</c:v>
                </c:pt>
                <c:pt idx="41">
                  <c:v>0.12659313725490196</c:v>
                </c:pt>
                <c:pt idx="42">
                  <c:v>0.12071078431372551</c:v>
                </c:pt>
                <c:pt idx="43">
                  <c:v>0.11531862745098041</c:v>
                </c:pt>
                <c:pt idx="44">
                  <c:v>0.10857843137254906</c:v>
                </c:pt>
                <c:pt idx="45">
                  <c:v>0.10343137254901966</c:v>
                </c:pt>
                <c:pt idx="46">
                  <c:v>9.7794117647058865E-2</c:v>
                </c:pt>
                <c:pt idx="47">
                  <c:v>9.3872549019607884E-2</c:v>
                </c:pt>
                <c:pt idx="48">
                  <c:v>9.0196078431372562E-2</c:v>
                </c:pt>
                <c:pt idx="49">
                  <c:v>8.6887254901960795E-2</c:v>
                </c:pt>
                <c:pt idx="50">
                  <c:v>8.25980392156863E-2</c:v>
                </c:pt>
                <c:pt idx="51">
                  <c:v>7.9779411764705904E-2</c:v>
                </c:pt>
                <c:pt idx="52">
                  <c:v>7.794117647058825E-2</c:v>
                </c:pt>
                <c:pt idx="53">
                  <c:v>7.6470588235294124E-2</c:v>
                </c:pt>
                <c:pt idx="54">
                  <c:v>7.120098039215686E-2</c:v>
                </c:pt>
                <c:pt idx="55">
                  <c:v>6.7647058823529407E-2</c:v>
                </c:pt>
                <c:pt idx="56">
                  <c:v>6.5441176470588239E-2</c:v>
                </c:pt>
                <c:pt idx="57">
                  <c:v>6.3112745098039214E-2</c:v>
                </c:pt>
                <c:pt idx="58">
                  <c:v>5.9926470588235303E-2</c:v>
                </c:pt>
                <c:pt idx="59">
                  <c:v>5.8578431372549027E-2</c:v>
                </c:pt>
                <c:pt idx="60">
                  <c:v>5.7598039215686285E-2</c:v>
                </c:pt>
                <c:pt idx="61">
                  <c:v>4.926470588235296E-2</c:v>
                </c:pt>
                <c:pt idx="62">
                  <c:v>5.1593137254901986E-2</c:v>
                </c:pt>
                <c:pt idx="63">
                  <c:v>4.9387254901960803E-2</c:v>
                </c:pt>
                <c:pt idx="64">
                  <c:v>4.6568627450980393E-2</c:v>
                </c:pt>
                <c:pt idx="65">
                  <c:v>4.5220588235294137E-2</c:v>
                </c:pt>
                <c:pt idx="66">
                  <c:v>4.534313725490198E-2</c:v>
                </c:pt>
                <c:pt idx="67">
                  <c:v>4.2647058823529427E-2</c:v>
                </c:pt>
                <c:pt idx="68">
                  <c:v>4.1789215686274528E-2</c:v>
                </c:pt>
                <c:pt idx="69">
                  <c:v>4.1053921568627465E-2</c:v>
                </c:pt>
                <c:pt idx="70">
                  <c:v>4.0318627450980402E-2</c:v>
                </c:pt>
                <c:pt idx="71">
                  <c:v>3.9950980392156846E-2</c:v>
                </c:pt>
                <c:pt idx="72">
                  <c:v>3.7499999999999992E-2</c:v>
                </c:pt>
                <c:pt idx="73">
                  <c:v>3.5416666666666659E-2</c:v>
                </c:pt>
                <c:pt idx="74">
                  <c:v>3.3578431372549018E-2</c:v>
                </c:pt>
                <c:pt idx="75">
                  <c:v>3.1495098039215685E-2</c:v>
                </c:pt>
                <c:pt idx="76">
                  <c:v>3.1372549019607843E-2</c:v>
                </c:pt>
                <c:pt idx="77">
                  <c:v>2.7818627450980397E-2</c:v>
                </c:pt>
                <c:pt idx="78">
                  <c:v>2.7205882352941173E-2</c:v>
                </c:pt>
                <c:pt idx="79">
                  <c:v>2.7573529411764709E-2</c:v>
                </c:pt>
                <c:pt idx="80">
                  <c:v>2.5490196078431372E-2</c:v>
                </c:pt>
              </c:numCache>
            </c:numRef>
          </c:yVal>
        </c:ser>
        <c:ser>
          <c:idx val="0"/>
          <c:order val="0"/>
          <c:tx>
            <c:strRef>
              <c:f>Calculations!$L$42</c:f>
              <c:strCache>
                <c:ptCount val="1"/>
                <c:pt idx="0">
                  <c:v>LO-MID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Calculations!$L$44:$L$124</c:f>
              <c:numCache>
                <c:formatCode>0.000</c:formatCode>
                <c:ptCount val="81"/>
                <c:pt idx="0">
                  <c:v>0.99899999999999956</c:v>
                </c:pt>
                <c:pt idx="1">
                  <c:v>0.99899999999999956</c:v>
                </c:pt>
                <c:pt idx="2">
                  <c:v>0.99899999999999956</c:v>
                </c:pt>
                <c:pt idx="3">
                  <c:v>0.99899999999999956</c:v>
                </c:pt>
                <c:pt idx="4">
                  <c:v>0.99899999999999956</c:v>
                </c:pt>
                <c:pt idx="5">
                  <c:v>0.99899999999999956</c:v>
                </c:pt>
                <c:pt idx="6">
                  <c:v>0.99899999999999956</c:v>
                </c:pt>
                <c:pt idx="7">
                  <c:v>0.99899999999999956</c:v>
                </c:pt>
                <c:pt idx="8">
                  <c:v>0.99899999999999956</c:v>
                </c:pt>
                <c:pt idx="9">
                  <c:v>0.99899999999999956</c:v>
                </c:pt>
                <c:pt idx="10">
                  <c:v>0.99899999999999956</c:v>
                </c:pt>
                <c:pt idx="11">
                  <c:v>0.99899999999999956</c:v>
                </c:pt>
                <c:pt idx="12">
                  <c:v>0.92879901960784328</c:v>
                </c:pt>
                <c:pt idx="13">
                  <c:v>0.82022058823529453</c:v>
                </c:pt>
                <c:pt idx="14">
                  <c:v>0.7350490196078433</c:v>
                </c:pt>
                <c:pt idx="15">
                  <c:v>0.66507352941176479</c:v>
                </c:pt>
                <c:pt idx="16">
                  <c:v>0.60563725490196085</c:v>
                </c:pt>
                <c:pt idx="17">
                  <c:v>0.54889705882352946</c:v>
                </c:pt>
                <c:pt idx="18">
                  <c:v>0.50245098039215685</c:v>
                </c:pt>
                <c:pt idx="19">
                  <c:v>0.46519607843137262</c:v>
                </c:pt>
                <c:pt idx="20">
                  <c:v>0.4310049019607845</c:v>
                </c:pt>
                <c:pt idx="21">
                  <c:v>0.40318627450980415</c:v>
                </c:pt>
                <c:pt idx="22">
                  <c:v>0.37487745098039243</c:v>
                </c:pt>
                <c:pt idx="23">
                  <c:v>0.35367647058823531</c:v>
                </c:pt>
                <c:pt idx="24">
                  <c:v>0.33149509803921573</c:v>
                </c:pt>
                <c:pt idx="25">
                  <c:v>0.31102941176470589</c:v>
                </c:pt>
                <c:pt idx="26">
                  <c:v>0.29276960784313727</c:v>
                </c:pt>
                <c:pt idx="27">
                  <c:v>0.28051470588235294</c:v>
                </c:pt>
                <c:pt idx="28">
                  <c:v>0.26813725490196083</c:v>
                </c:pt>
                <c:pt idx="29">
                  <c:v>0.25551470588235292</c:v>
                </c:pt>
                <c:pt idx="30">
                  <c:v>0.24534313725490198</c:v>
                </c:pt>
                <c:pt idx="31">
                  <c:v>0.23480392156862748</c:v>
                </c:pt>
                <c:pt idx="32">
                  <c:v>0.22463235294117653</c:v>
                </c:pt>
                <c:pt idx="33">
                  <c:v>0.21605392156862754</c:v>
                </c:pt>
                <c:pt idx="34">
                  <c:v>0.20821078431372558</c:v>
                </c:pt>
                <c:pt idx="35">
                  <c:v>0.20061274509803934</c:v>
                </c:pt>
                <c:pt idx="36">
                  <c:v>0.19497549019607854</c:v>
                </c:pt>
                <c:pt idx="37">
                  <c:v>0.18909313725490201</c:v>
                </c:pt>
                <c:pt idx="38">
                  <c:v>0.18333333333333338</c:v>
                </c:pt>
                <c:pt idx="39">
                  <c:v>0.17757352941176474</c:v>
                </c:pt>
                <c:pt idx="40">
                  <c:v>0.17303921568627453</c:v>
                </c:pt>
                <c:pt idx="41">
                  <c:v>0.16740196078431377</c:v>
                </c:pt>
                <c:pt idx="42">
                  <c:v>0.16360294117647062</c:v>
                </c:pt>
                <c:pt idx="43">
                  <c:v>0.15943627450980394</c:v>
                </c:pt>
                <c:pt idx="44">
                  <c:v>0.15379901960784315</c:v>
                </c:pt>
                <c:pt idx="45">
                  <c:v>0.15036764705882355</c:v>
                </c:pt>
                <c:pt idx="46">
                  <c:v>0.14718137254901961</c:v>
                </c:pt>
                <c:pt idx="47">
                  <c:v>0.14375000000000002</c:v>
                </c:pt>
                <c:pt idx="48">
                  <c:v>0.14178921568627451</c:v>
                </c:pt>
                <c:pt idx="49">
                  <c:v>0.13921568627450981</c:v>
                </c:pt>
                <c:pt idx="50">
                  <c:v>0.13676470588235295</c:v>
                </c:pt>
                <c:pt idx="51">
                  <c:v>0.13468137254901963</c:v>
                </c:pt>
                <c:pt idx="52">
                  <c:v>0.13210784313725488</c:v>
                </c:pt>
                <c:pt idx="53">
                  <c:v>0.12916666666666668</c:v>
                </c:pt>
                <c:pt idx="54">
                  <c:v>0.12745098039215685</c:v>
                </c:pt>
                <c:pt idx="55">
                  <c:v>0.12647058823529411</c:v>
                </c:pt>
                <c:pt idx="56">
                  <c:v>0.12279411764705883</c:v>
                </c:pt>
                <c:pt idx="57">
                  <c:v>0.12095588235294119</c:v>
                </c:pt>
                <c:pt idx="58">
                  <c:v>0.11960784313725491</c:v>
                </c:pt>
                <c:pt idx="59">
                  <c:v>0.11838235294117648</c:v>
                </c:pt>
                <c:pt idx="60">
                  <c:v>0.11531862745098041</c:v>
                </c:pt>
                <c:pt idx="61">
                  <c:v>0.11458333333333336</c:v>
                </c:pt>
                <c:pt idx="62">
                  <c:v>0.11458333333333336</c:v>
                </c:pt>
                <c:pt idx="63">
                  <c:v>0.11311274509803924</c:v>
                </c:pt>
                <c:pt idx="64">
                  <c:v>0.11090686274509808</c:v>
                </c:pt>
                <c:pt idx="65">
                  <c:v>0.11029411764705886</c:v>
                </c:pt>
                <c:pt idx="66">
                  <c:v>0.10931372549019611</c:v>
                </c:pt>
                <c:pt idx="67">
                  <c:v>0.10833333333333336</c:v>
                </c:pt>
                <c:pt idx="68">
                  <c:v>0.10845588235294121</c:v>
                </c:pt>
                <c:pt idx="69">
                  <c:v>0.1061274509803922</c:v>
                </c:pt>
                <c:pt idx="70">
                  <c:v>0.10477941176470593</c:v>
                </c:pt>
                <c:pt idx="71">
                  <c:v>0.10465686274509808</c:v>
                </c:pt>
                <c:pt idx="72">
                  <c:v>0.1035539215686275</c:v>
                </c:pt>
                <c:pt idx="73">
                  <c:v>0.10379901960784318</c:v>
                </c:pt>
                <c:pt idx="74">
                  <c:v>0.101593137254902</c:v>
                </c:pt>
                <c:pt idx="75">
                  <c:v>0.10049019607843142</c:v>
                </c:pt>
                <c:pt idx="76">
                  <c:v>9.9632352941176519E-2</c:v>
                </c:pt>
                <c:pt idx="77">
                  <c:v>9.877450980392162E-2</c:v>
                </c:pt>
                <c:pt idx="78">
                  <c:v>9.8529411764705935E-2</c:v>
                </c:pt>
                <c:pt idx="79">
                  <c:v>9.6568627450980452E-2</c:v>
                </c:pt>
                <c:pt idx="80">
                  <c:v>9.6323529411764766E-2</c:v>
                </c:pt>
              </c:numCache>
            </c:numRef>
          </c:yVal>
        </c:ser>
        <c:ser>
          <c:idx val="1"/>
          <c:order val="1"/>
          <c:tx>
            <c:strRef>
              <c:f>Calculations!$N$42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Calculations!$N$44:$N$124</c:f>
              <c:numCache>
                <c:formatCode>0.000</c:formatCode>
                <c:ptCount val="81"/>
                <c:pt idx="0">
                  <c:v>0.99899999999999956</c:v>
                </c:pt>
                <c:pt idx="1">
                  <c:v>0.99899999999999956</c:v>
                </c:pt>
                <c:pt idx="2">
                  <c:v>0.99899999999999956</c:v>
                </c:pt>
                <c:pt idx="3">
                  <c:v>0.99899999999999956</c:v>
                </c:pt>
                <c:pt idx="4">
                  <c:v>0.99899999999999956</c:v>
                </c:pt>
                <c:pt idx="5">
                  <c:v>0.99899999999999956</c:v>
                </c:pt>
                <c:pt idx="6">
                  <c:v>0.99899999999999956</c:v>
                </c:pt>
                <c:pt idx="7">
                  <c:v>0.99899999999999956</c:v>
                </c:pt>
                <c:pt idx="8">
                  <c:v>0.99899999999999956</c:v>
                </c:pt>
                <c:pt idx="9">
                  <c:v>0.99899999999999956</c:v>
                </c:pt>
                <c:pt idx="10">
                  <c:v>0.98972242647058806</c:v>
                </c:pt>
                <c:pt idx="11">
                  <c:v>0.93529411764705894</c:v>
                </c:pt>
                <c:pt idx="12">
                  <c:v>0.82708333333333373</c:v>
                </c:pt>
                <c:pt idx="13">
                  <c:v>0.73296568627451031</c:v>
                </c:pt>
                <c:pt idx="14">
                  <c:v>0.66004901960784335</c:v>
                </c:pt>
                <c:pt idx="15">
                  <c:v>0.59987745098039214</c:v>
                </c:pt>
                <c:pt idx="16">
                  <c:v>0.54865196078431355</c:v>
                </c:pt>
                <c:pt idx="17">
                  <c:v>0.50036764705882364</c:v>
                </c:pt>
                <c:pt idx="18">
                  <c:v>0.46029411764705891</c:v>
                </c:pt>
                <c:pt idx="19">
                  <c:v>0.42634803921568648</c:v>
                </c:pt>
                <c:pt idx="20">
                  <c:v>0.39620098039215712</c:v>
                </c:pt>
                <c:pt idx="21">
                  <c:v>0.37267156862745127</c:v>
                </c:pt>
                <c:pt idx="22">
                  <c:v>0.34914215686274513</c:v>
                </c:pt>
                <c:pt idx="23">
                  <c:v>0.33112745098039204</c:v>
                </c:pt>
                <c:pt idx="24">
                  <c:v>0.31127450980392141</c:v>
                </c:pt>
                <c:pt idx="25">
                  <c:v>0.29264705882352932</c:v>
                </c:pt>
                <c:pt idx="26">
                  <c:v>0.27794117647058814</c:v>
                </c:pt>
                <c:pt idx="27">
                  <c:v>0.26691176470588235</c:v>
                </c:pt>
                <c:pt idx="28">
                  <c:v>0.25686274509803925</c:v>
                </c:pt>
                <c:pt idx="29">
                  <c:v>0.24497549019607848</c:v>
                </c:pt>
                <c:pt idx="30">
                  <c:v>0.23750000000000004</c:v>
                </c:pt>
                <c:pt idx="31">
                  <c:v>0.2279411764705882</c:v>
                </c:pt>
                <c:pt idx="32">
                  <c:v>0.21948529411764695</c:v>
                </c:pt>
                <c:pt idx="33">
                  <c:v>0.2118872549019607</c:v>
                </c:pt>
                <c:pt idx="34">
                  <c:v>0.20477941176470582</c:v>
                </c:pt>
                <c:pt idx="35">
                  <c:v>0.19914215686274503</c:v>
                </c:pt>
                <c:pt idx="36">
                  <c:v>0.19338235294117642</c:v>
                </c:pt>
                <c:pt idx="37">
                  <c:v>0.18725490196078429</c:v>
                </c:pt>
                <c:pt idx="38">
                  <c:v>0.18419117647058822</c:v>
                </c:pt>
                <c:pt idx="39">
                  <c:v>0.18026960784313725</c:v>
                </c:pt>
                <c:pt idx="40">
                  <c:v>0.17475490196078433</c:v>
                </c:pt>
                <c:pt idx="41">
                  <c:v>0.16936274509803922</c:v>
                </c:pt>
                <c:pt idx="42">
                  <c:v>0.1659313725490196</c:v>
                </c:pt>
                <c:pt idx="43">
                  <c:v>0.16360294117647059</c:v>
                </c:pt>
                <c:pt idx="44">
                  <c:v>0.15821078431372551</c:v>
                </c:pt>
                <c:pt idx="45">
                  <c:v>0.15575980392156866</c:v>
                </c:pt>
                <c:pt idx="46">
                  <c:v>0.15232843137254906</c:v>
                </c:pt>
                <c:pt idx="47">
                  <c:v>0.14963235294117649</c:v>
                </c:pt>
                <c:pt idx="48">
                  <c:v>0.14754901960784317</c:v>
                </c:pt>
                <c:pt idx="49">
                  <c:v>0.14644607843137258</c:v>
                </c:pt>
                <c:pt idx="50">
                  <c:v>0.14374999999999999</c:v>
                </c:pt>
                <c:pt idx="51">
                  <c:v>0.14154411764705879</c:v>
                </c:pt>
                <c:pt idx="52">
                  <c:v>0.13958333333333328</c:v>
                </c:pt>
                <c:pt idx="53">
                  <c:v>0.13774509803921561</c:v>
                </c:pt>
                <c:pt idx="54">
                  <c:v>0.13431372549019602</c:v>
                </c:pt>
                <c:pt idx="55">
                  <c:v>0.13406862745098033</c:v>
                </c:pt>
                <c:pt idx="56">
                  <c:v>0.13210784313725485</c:v>
                </c:pt>
                <c:pt idx="57">
                  <c:v>0.12953431372549015</c:v>
                </c:pt>
                <c:pt idx="58">
                  <c:v>0.12818627450980385</c:v>
                </c:pt>
                <c:pt idx="59">
                  <c:v>0.12720588235294111</c:v>
                </c:pt>
                <c:pt idx="60">
                  <c:v>0.12585784313725484</c:v>
                </c:pt>
                <c:pt idx="61">
                  <c:v>0.12377450980392152</c:v>
                </c:pt>
                <c:pt idx="62">
                  <c:v>0.12475490196078426</c:v>
                </c:pt>
                <c:pt idx="63">
                  <c:v>0.1240196078431372</c:v>
                </c:pt>
                <c:pt idx="64">
                  <c:v>0.12169117647058819</c:v>
                </c:pt>
                <c:pt idx="65">
                  <c:v>0.12107843137254898</c:v>
                </c:pt>
                <c:pt idx="66">
                  <c:v>0.11899509803921564</c:v>
                </c:pt>
                <c:pt idx="67">
                  <c:v>0.11899509803921564</c:v>
                </c:pt>
                <c:pt idx="68">
                  <c:v>0.11838235294117644</c:v>
                </c:pt>
                <c:pt idx="69">
                  <c:v>0.11727941176470583</c:v>
                </c:pt>
                <c:pt idx="70">
                  <c:v>0.11617647058823526</c:v>
                </c:pt>
                <c:pt idx="71">
                  <c:v>0.1160539215686274</c:v>
                </c:pt>
                <c:pt idx="72">
                  <c:v>0.11446078431372544</c:v>
                </c:pt>
                <c:pt idx="73">
                  <c:v>0.11470588235294112</c:v>
                </c:pt>
                <c:pt idx="74">
                  <c:v>0.11397058823529406</c:v>
                </c:pt>
                <c:pt idx="75">
                  <c:v>0.11384803921568622</c:v>
                </c:pt>
                <c:pt idx="76">
                  <c:v>0.11225490196078426</c:v>
                </c:pt>
                <c:pt idx="77">
                  <c:v>0.11053921568627446</c:v>
                </c:pt>
                <c:pt idx="78">
                  <c:v>0.11066176470588231</c:v>
                </c:pt>
                <c:pt idx="79">
                  <c:v>0.11041666666666662</c:v>
                </c:pt>
                <c:pt idx="80">
                  <c:v>0.10968137254901957</c:v>
                </c:pt>
              </c:numCache>
            </c:numRef>
          </c:yVal>
        </c:ser>
        <c:axId val="135152768"/>
        <c:axId val="135154688"/>
      </c:scatterChart>
      <c:valAx>
        <c:axId val="135152768"/>
        <c:scaling>
          <c:orientation val="minMax"/>
          <c:max val="80"/>
          <c:min val="70"/>
        </c:scaling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Sensor</a:t>
                </a:r>
                <a:r>
                  <a:rPr lang="en-US" baseline="0"/>
                  <a:t> to Target DIstance in mm</a:t>
                </a:r>
                <a:endParaRPr lang="en-US"/>
              </a:p>
            </c:rich>
          </c:tx>
          <c:layout/>
        </c:title>
        <c:numFmt formatCode="0" sourceLinked="0"/>
        <c:tickLblPos val="nextTo"/>
        <c:crossAx val="135154688"/>
        <c:crosses val="autoZero"/>
        <c:crossBetween val="midCat"/>
      </c:valAx>
      <c:valAx>
        <c:axId val="135154688"/>
        <c:scaling>
          <c:orientation val="minMax"/>
          <c:max val="0.1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Detected Power in %FSR</a:t>
                </a:r>
              </a:p>
            </c:rich>
          </c:tx>
          <c:layout/>
        </c:title>
        <c:numFmt formatCode="0%" sourceLinked="0"/>
        <c:tickLblPos val="nextTo"/>
        <c:crossAx val="135152768"/>
        <c:crosses val="autoZero"/>
        <c:crossBetween val="midCat"/>
        <c:minorUnit val="1.0000000000000005E-2"/>
      </c:valAx>
    </c:plotArea>
    <c:legend>
      <c:legendPos val="r"/>
      <c:layout>
        <c:manualLayout>
          <c:xMode val="edge"/>
          <c:yMode val="edge"/>
          <c:x val="0.84425090079436249"/>
          <c:y val="0.32421819267641028"/>
          <c:w val="0.13440813913970057"/>
          <c:h val="0.35156317292941802"/>
        </c:manualLayout>
      </c:layout>
      <c:txPr>
        <a:bodyPr/>
        <a:lstStyle/>
        <a:p>
          <a:pPr>
            <a:defRPr sz="700"/>
          </a:pPr>
          <a:endParaRPr lang="en-US"/>
        </a:p>
      </c:txPr>
    </c:legend>
    <c:plotVisOnly val="1"/>
  </c:chart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Calculations!$AI$89</c:f>
          <c:strCache>
            <c:ptCount val="1"/>
            <c:pt idx="0">
              <c:v>29147 IRDR Range Ratio: 6% Reflector , 77% Xmit @ 850nm</c:v>
            </c:pt>
          </c:strCache>
        </c:strRef>
      </c:tx>
      <c:layout/>
      <c:txPr>
        <a:bodyPr/>
        <a:lstStyle/>
        <a:p>
          <a:pPr>
            <a:defRPr sz="1000"/>
          </a:pPr>
          <a:endParaRPr lang="en-US"/>
        </a:p>
      </c:txPr>
    </c:title>
    <c:plotArea>
      <c:layout/>
      <c:scatterChart>
        <c:scatterStyle val="smoothMarker"/>
        <c:ser>
          <c:idx val="0"/>
          <c:order val="0"/>
          <c:tx>
            <c:strRef>
              <c:f>Calculations!$P$43</c:f>
              <c:strCache>
                <c:ptCount val="1"/>
                <c:pt idx="0">
                  <c:v>HI-MID</c:v>
                </c:pt>
              </c:strCache>
            </c:strRef>
          </c:tx>
          <c:marker>
            <c:symbol val="none"/>
          </c:marker>
          <c:xVal>
            <c:numRef>
              <c:f>Calculations!$C$47:$C$62</c:f>
              <c:numCache>
                <c:formatCode>0.0</c:formatCode>
                <c:ptCount val="16"/>
                <c:pt idx="0">
                  <c:v>4.5999999999999996</c:v>
                </c:pt>
                <c:pt idx="1">
                  <c:v>5.6</c:v>
                </c:pt>
                <c:pt idx="2">
                  <c:v>6.6</c:v>
                </c:pt>
                <c:pt idx="3">
                  <c:v>7.6</c:v>
                </c:pt>
                <c:pt idx="4">
                  <c:v>8.6</c:v>
                </c:pt>
                <c:pt idx="5">
                  <c:v>9.6</c:v>
                </c:pt>
                <c:pt idx="6">
                  <c:v>10.6</c:v>
                </c:pt>
                <c:pt idx="7">
                  <c:v>11.6</c:v>
                </c:pt>
                <c:pt idx="8">
                  <c:v>12.6</c:v>
                </c:pt>
                <c:pt idx="9">
                  <c:v>13.6</c:v>
                </c:pt>
                <c:pt idx="10">
                  <c:v>14.6</c:v>
                </c:pt>
                <c:pt idx="11">
                  <c:v>15.6</c:v>
                </c:pt>
                <c:pt idx="12">
                  <c:v>16.600000000000001</c:v>
                </c:pt>
                <c:pt idx="13">
                  <c:v>17.600000000000001</c:v>
                </c:pt>
                <c:pt idx="14">
                  <c:v>18.600000000000001</c:v>
                </c:pt>
                <c:pt idx="15">
                  <c:v>19.600000000000001</c:v>
                </c:pt>
              </c:numCache>
            </c:numRef>
          </c:xVal>
          <c:yVal>
            <c:numRef>
              <c:f>Calculations!$P$47:$P$62</c:f>
              <c:numCache>
                <c:formatCode>General</c:formatCode>
                <c:ptCount val="16"/>
                <c:pt idx="0">
                  <c:v>0.91583511131607886</c:v>
                </c:pt>
                <c:pt idx="1">
                  <c:v>0.91583511131607886</c:v>
                </c:pt>
                <c:pt idx="2">
                  <c:v>0.91583511131607886</c:v>
                </c:pt>
                <c:pt idx="3">
                  <c:v>0.91583511131607886</c:v>
                </c:pt>
                <c:pt idx="4">
                  <c:v>0.91583511131607886</c:v>
                </c:pt>
                <c:pt idx="5">
                  <c:v>0.91583511131607886</c:v>
                </c:pt>
                <c:pt idx="6">
                  <c:v>0.91583511131607886</c:v>
                </c:pt>
                <c:pt idx="7">
                  <c:v>0.90637020388098599</c:v>
                </c:pt>
                <c:pt idx="8">
                  <c:v>0.85085976657324913</c:v>
                </c:pt>
                <c:pt idx="9">
                  <c:v>0.738099340668252</c:v>
                </c:pt>
                <c:pt idx="10">
                  <c:v>0.64180953877184976</c:v>
                </c:pt>
                <c:pt idx="11">
                  <c:v>0.60154736275565135</c:v>
                </c:pt>
                <c:pt idx="12">
                  <c:v>0.59644624381466449</c:v>
                </c:pt>
                <c:pt idx="13">
                  <c:v>0.59658823529411698</c:v>
                </c:pt>
                <c:pt idx="14">
                  <c:v>0.59563986409966019</c:v>
                </c:pt>
                <c:pt idx="15">
                  <c:v>0.59719112988384382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Calculations!$Q$43</c:f>
              <c:strCache>
                <c:ptCount val="1"/>
                <c:pt idx="0">
                  <c:v>LO-MID</c:v>
                </c:pt>
              </c:strCache>
            </c:strRef>
          </c:tx>
          <c:marker>
            <c:symbol val="none"/>
          </c:marker>
          <c:xVal>
            <c:numRef>
              <c:f>Calculations!$C$47:$C$62</c:f>
              <c:numCache>
                <c:formatCode>0.0</c:formatCode>
                <c:ptCount val="16"/>
                <c:pt idx="0">
                  <c:v>4.5999999999999996</c:v>
                </c:pt>
                <c:pt idx="1">
                  <c:v>5.6</c:v>
                </c:pt>
                <c:pt idx="2">
                  <c:v>6.6</c:v>
                </c:pt>
                <c:pt idx="3">
                  <c:v>7.6</c:v>
                </c:pt>
                <c:pt idx="4">
                  <c:v>8.6</c:v>
                </c:pt>
                <c:pt idx="5">
                  <c:v>9.6</c:v>
                </c:pt>
                <c:pt idx="6">
                  <c:v>10.6</c:v>
                </c:pt>
                <c:pt idx="7">
                  <c:v>11.6</c:v>
                </c:pt>
                <c:pt idx="8">
                  <c:v>12.6</c:v>
                </c:pt>
                <c:pt idx="9">
                  <c:v>13.6</c:v>
                </c:pt>
                <c:pt idx="10">
                  <c:v>14.6</c:v>
                </c:pt>
                <c:pt idx="11">
                  <c:v>15.6</c:v>
                </c:pt>
                <c:pt idx="12">
                  <c:v>16.600000000000001</c:v>
                </c:pt>
                <c:pt idx="13">
                  <c:v>17.600000000000001</c:v>
                </c:pt>
                <c:pt idx="14">
                  <c:v>18.600000000000001</c:v>
                </c:pt>
                <c:pt idx="15">
                  <c:v>19.600000000000001</c:v>
                </c:pt>
              </c:numCache>
            </c:numRef>
          </c:xVal>
          <c:yVal>
            <c:numRef>
              <c:f>Calculations!$Q$47:$Q$62</c:f>
              <c:numCache>
                <c:formatCode>General</c:formatCode>
                <c:ptCount val="16"/>
                <c:pt idx="0">
                  <c:v>1.0763981321870431</c:v>
                </c:pt>
                <c:pt idx="1">
                  <c:v>1.0763981321870431</c:v>
                </c:pt>
                <c:pt idx="2">
                  <c:v>1.0763981321870431</c:v>
                </c:pt>
                <c:pt idx="3">
                  <c:v>1.0763981321870431</c:v>
                </c:pt>
                <c:pt idx="4">
                  <c:v>1.0763981321870431</c:v>
                </c:pt>
                <c:pt idx="5">
                  <c:v>1.0763981321870431</c:v>
                </c:pt>
                <c:pt idx="6">
                  <c:v>1.0763981321870431</c:v>
                </c:pt>
                <c:pt idx="7">
                  <c:v>1.0763981321870431</c:v>
                </c:pt>
                <c:pt idx="8">
                  <c:v>1.0763981321870431</c:v>
                </c:pt>
                <c:pt idx="9">
                  <c:v>1.1676144264623205</c:v>
                </c:pt>
                <c:pt idx="10">
                  <c:v>1.3437365930062295</c:v>
                </c:pt>
                <c:pt idx="11">
                  <c:v>1.4350814860585461</c:v>
                </c:pt>
                <c:pt idx="12">
                  <c:v>1.4473284430747864</c:v>
                </c:pt>
                <c:pt idx="13">
                  <c:v>1.4431939458620362</c:v>
                </c:pt>
                <c:pt idx="14">
                  <c:v>1.4476200885294279</c:v>
                </c:pt>
                <c:pt idx="15">
                  <c:v>1.4432455498658863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Calculations!$R$43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Calculations!$C$47:$C$62</c:f>
              <c:numCache>
                <c:formatCode>0.0</c:formatCode>
                <c:ptCount val="16"/>
                <c:pt idx="0">
                  <c:v>4.5999999999999996</c:v>
                </c:pt>
                <c:pt idx="1">
                  <c:v>5.6</c:v>
                </c:pt>
                <c:pt idx="2">
                  <c:v>6.6</c:v>
                </c:pt>
                <c:pt idx="3">
                  <c:v>7.6</c:v>
                </c:pt>
                <c:pt idx="4">
                  <c:v>8.6</c:v>
                </c:pt>
                <c:pt idx="5">
                  <c:v>9.6</c:v>
                </c:pt>
                <c:pt idx="6">
                  <c:v>10.6</c:v>
                </c:pt>
                <c:pt idx="7">
                  <c:v>11.6</c:v>
                </c:pt>
                <c:pt idx="8">
                  <c:v>12.6</c:v>
                </c:pt>
                <c:pt idx="9">
                  <c:v>13.6</c:v>
                </c:pt>
                <c:pt idx="10">
                  <c:v>14.6</c:v>
                </c:pt>
                <c:pt idx="11">
                  <c:v>15.6</c:v>
                </c:pt>
                <c:pt idx="12">
                  <c:v>16.600000000000001</c:v>
                </c:pt>
                <c:pt idx="13">
                  <c:v>17.600000000000001</c:v>
                </c:pt>
                <c:pt idx="14">
                  <c:v>18.600000000000001</c:v>
                </c:pt>
                <c:pt idx="15">
                  <c:v>19.600000000000001</c:v>
                </c:pt>
              </c:numCache>
            </c:numRef>
          </c:xVal>
          <c:yVal>
            <c:numRef>
              <c:f>Calculations!$R$47:$R$62</c:f>
              <c:numCache>
                <c:formatCode>General</c:formatCode>
                <c:ptCount val="16"/>
                <c:pt idx="0">
                  <c:v>1.01384022763787</c:v>
                </c:pt>
                <c:pt idx="1">
                  <c:v>1.01384022763787</c:v>
                </c:pt>
                <c:pt idx="2">
                  <c:v>1.01384022763787</c:v>
                </c:pt>
                <c:pt idx="3">
                  <c:v>1.01384022763787</c:v>
                </c:pt>
                <c:pt idx="4">
                  <c:v>1.01384022763787</c:v>
                </c:pt>
                <c:pt idx="5">
                  <c:v>1.01384022763787</c:v>
                </c:pt>
                <c:pt idx="6">
                  <c:v>1.01384022763787</c:v>
                </c:pt>
                <c:pt idx="7">
                  <c:v>1.0245646294765771</c:v>
                </c:pt>
                <c:pt idx="8">
                  <c:v>1.0923533004603208</c:v>
                </c:pt>
                <c:pt idx="9">
                  <c:v>1.1595450880834344</c:v>
                </c:pt>
                <c:pt idx="10">
                  <c:v>1.1604401683228953</c:v>
                </c:pt>
                <c:pt idx="11">
                  <c:v>1.1594241834016163</c:v>
                </c:pt>
                <c:pt idx="12">
                  <c:v>1.1589908695324098</c:v>
                </c:pt>
                <c:pt idx="13">
                  <c:v>1.1588385754841619</c:v>
                </c:pt>
                <c:pt idx="14">
                  <c:v>1.156810064165376</c:v>
                </c:pt>
                <c:pt idx="15">
                  <c:v>1.1565551521133708</c:v>
                </c:pt>
              </c:numCache>
            </c:numRef>
          </c:yVal>
          <c:smooth val="1"/>
        </c:ser>
        <c:axId val="135196672"/>
        <c:axId val="135198208"/>
      </c:scatterChart>
      <c:valAx>
        <c:axId val="135196672"/>
        <c:scaling>
          <c:orientation val="minMax"/>
          <c:max val="21"/>
          <c:min val="6"/>
        </c:scaling>
        <c:axPos val="b"/>
        <c:numFmt formatCode="0" sourceLinked="0"/>
        <c:tickLblPos val="nextTo"/>
        <c:crossAx val="135198208"/>
        <c:crosses val="autoZero"/>
        <c:crossBetween val="midCat"/>
      </c:valAx>
      <c:valAx>
        <c:axId val="135198208"/>
        <c:scaling>
          <c:orientation val="minMax"/>
          <c:min val="1"/>
        </c:scaling>
        <c:axPos val="l"/>
        <c:majorGridlines/>
        <c:minorGridlines/>
        <c:numFmt formatCode="General" sourceLinked="1"/>
        <c:tickLblPos val="nextTo"/>
        <c:crossAx val="135196672"/>
        <c:crosses val="autoZero"/>
        <c:crossBetween val="midCat"/>
        <c:minorUnit val="0.1"/>
      </c:valAx>
    </c:plotArea>
    <c:legend>
      <c:legendPos val="r"/>
      <c:layout/>
    </c:legend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/>
            </a:pPr>
            <a:r>
              <a:rPr lang="en-US" sz="1050"/>
              <a:t>Power Series Calulation: Hi Range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Calculations!$E$43</c:f>
              <c:strCache>
                <c:ptCount val="1"/>
                <c:pt idx="0">
                  <c:v>mean</c:v>
                </c:pt>
              </c:strCache>
            </c:strRef>
          </c:tx>
          <c:marker>
            <c:symbol val="none"/>
          </c:marker>
          <c:trendline>
            <c:trendlineType val="power"/>
            <c:dispEq val="1"/>
            <c:trendlineLbl>
              <c:layout>
                <c:manualLayout>
                  <c:x val="0.37954400661605636"/>
                  <c:y val="-0.55991044415656144"/>
                </c:manualLayout>
              </c:layout>
              <c:numFmt formatCode="General" sourceLinked="0"/>
            </c:trendlineLbl>
          </c:trendline>
          <c:xVal>
            <c:numRef>
              <c:f>Calculations!$C$47:$C$61</c:f>
              <c:numCache>
                <c:formatCode>0.0</c:formatCode>
                <c:ptCount val="15"/>
                <c:pt idx="0">
                  <c:v>4.5999999999999996</c:v>
                </c:pt>
                <c:pt idx="1">
                  <c:v>5.6</c:v>
                </c:pt>
                <c:pt idx="2">
                  <c:v>6.6</c:v>
                </c:pt>
                <c:pt idx="3">
                  <c:v>7.6</c:v>
                </c:pt>
                <c:pt idx="4">
                  <c:v>8.6</c:v>
                </c:pt>
                <c:pt idx="5">
                  <c:v>9.6</c:v>
                </c:pt>
                <c:pt idx="6">
                  <c:v>10.6</c:v>
                </c:pt>
                <c:pt idx="7">
                  <c:v>11.6</c:v>
                </c:pt>
                <c:pt idx="8">
                  <c:v>12.6</c:v>
                </c:pt>
                <c:pt idx="9">
                  <c:v>13.6</c:v>
                </c:pt>
                <c:pt idx="10">
                  <c:v>14.6</c:v>
                </c:pt>
                <c:pt idx="11">
                  <c:v>15.6</c:v>
                </c:pt>
                <c:pt idx="12">
                  <c:v>16.600000000000001</c:v>
                </c:pt>
                <c:pt idx="13">
                  <c:v>17.600000000000001</c:v>
                </c:pt>
                <c:pt idx="14">
                  <c:v>18.600000000000001</c:v>
                </c:pt>
              </c:numCache>
            </c:numRef>
          </c:xVal>
          <c:yVal>
            <c:numRef>
              <c:f>Calculations!$E$47:$E$61</c:f>
              <c:numCache>
                <c:formatCode>0.000</c:formatCode>
                <c:ptCount val="15"/>
                <c:pt idx="0">
                  <c:v>0.99899999999999956</c:v>
                </c:pt>
                <c:pt idx="1">
                  <c:v>0.99899999999999956</c:v>
                </c:pt>
                <c:pt idx="2">
                  <c:v>0.99899999999999956</c:v>
                </c:pt>
                <c:pt idx="3">
                  <c:v>0.99899999999999956</c:v>
                </c:pt>
                <c:pt idx="4">
                  <c:v>0.99899999999999956</c:v>
                </c:pt>
                <c:pt idx="5">
                  <c:v>0.99899999999999956</c:v>
                </c:pt>
                <c:pt idx="6">
                  <c:v>0.99899999999999956</c:v>
                </c:pt>
                <c:pt idx="7">
                  <c:v>0.9898449754901959</c:v>
                </c:pt>
                <c:pt idx="8">
                  <c:v>0.93615196078431384</c:v>
                </c:pt>
                <c:pt idx="9">
                  <c:v>0.82708333333333373</c:v>
                </c:pt>
                <c:pt idx="10">
                  <c:v>0.73394607843137305</c:v>
                </c:pt>
                <c:pt idx="11">
                  <c:v>0.66102941176470609</c:v>
                </c:pt>
                <c:pt idx="12">
                  <c:v>0.60061274509803908</c:v>
                </c:pt>
                <c:pt idx="13">
                  <c:v>0.54816176470588218</c:v>
                </c:pt>
                <c:pt idx="14">
                  <c:v>0.49987745098039221</c:v>
                </c:pt>
              </c:numCache>
            </c:numRef>
          </c:yVal>
        </c:ser>
        <c:axId val="135303936"/>
        <c:axId val="135305472"/>
      </c:scatterChart>
      <c:valAx>
        <c:axId val="135303936"/>
        <c:scaling>
          <c:orientation val="minMax"/>
        </c:scaling>
        <c:axPos val="b"/>
        <c:numFmt formatCode="0.0" sourceLinked="1"/>
        <c:tickLblPos val="nextTo"/>
        <c:crossAx val="135305472"/>
        <c:crosses val="autoZero"/>
        <c:crossBetween val="midCat"/>
      </c:valAx>
      <c:valAx>
        <c:axId val="135305472"/>
        <c:scaling>
          <c:orientation val="minMax"/>
        </c:scaling>
        <c:axPos val="l"/>
        <c:majorGridlines/>
        <c:numFmt formatCode="0.000" sourceLinked="1"/>
        <c:tickLblPos val="nextTo"/>
        <c:crossAx val="13530393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Calculations!$Z$89</c:f>
          <c:strCache>
            <c:ptCount val="1"/>
            <c:pt idx="0">
              <c:v>29147 System Curve: 6% Reflector , 77% Xmit @ 850nm</c:v>
            </c:pt>
          </c:strCache>
        </c:strRef>
      </c:tx>
      <c:layout/>
      <c:txPr>
        <a:bodyPr/>
        <a:lstStyle/>
        <a:p>
          <a:pPr>
            <a:defRPr sz="10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Calculations!$T$43</c:f>
              <c:strCache>
                <c:ptCount val="1"/>
                <c:pt idx="0">
                  <c:v>-1.5σ</c:v>
                </c:pt>
              </c:strCache>
            </c:strRef>
          </c:tx>
          <c:spPr>
            <a:ln>
              <a:solidFill>
                <a:srgbClr val="070707"/>
              </a:solidFill>
              <a:prstDash val="sysDot"/>
            </a:ln>
          </c:spPr>
          <c:marker>
            <c:symbol val="none"/>
          </c:marker>
          <c:xVal>
            <c:numRef>
              <c:f>Calculations!$S$44:$S$124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Calculations!$T$44:$T$124</c:f>
              <c:numCache>
                <c:formatCode>0.000</c:formatCode>
                <c:ptCount val="81"/>
                <c:pt idx="0">
                  <c:v>0.88585049019607731</c:v>
                </c:pt>
                <c:pt idx="1">
                  <c:v>0.88585049019607731</c:v>
                </c:pt>
                <c:pt idx="2">
                  <c:v>0.88585049019607731</c:v>
                </c:pt>
                <c:pt idx="3">
                  <c:v>0.88585049019607731</c:v>
                </c:pt>
                <c:pt idx="4">
                  <c:v>0.88585049019607731</c:v>
                </c:pt>
                <c:pt idx="5">
                  <c:v>0.88585049019607731</c:v>
                </c:pt>
                <c:pt idx="6">
                  <c:v>0.88585049019607731</c:v>
                </c:pt>
                <c:pt idx="7">
                  <c:v>0.88585049019607731</c:v>
                </c:pt>
                <c:pt idx="8">
                  <c:v>0.88585049019607731</c:v>
                </c:pt>
                <c:pt idx="9">
                  <c:v>0.88585049019607731</c:v>
                </c:pt>
                <c:pt idx="10">
                  <c:v>0.8540874615096451</c:v>
                </c:pt>
                <c:pt idx="11">
                  <c:v>0.72664353038504426</c:v>
                </c:pt>
                <c:pt idx="12">
                  <c:v>0.61764298141422269</c:v>
                </c:pt>
                <c:pt idx="13">
                  <c:v>0.52571012479646861</c:v>
                </c:pt>
                <c:pt idx="14">
                  <c:v>0.45251415592878297</c:v>
                </c:pt>
                <c:pt idx="15">
                  <c:v>0.3927531763976746</c:v>
                </c:pt>
                <c:pt idx="16">
                  <c:v>0.3391236231358527</c:v>
                </c:pt>
                <c:pt idx="17">
                  <c:v>0.29123298596047797</c:v>
                </c:pt>
                <c:pt idx="18">
                  <c:v>0.25074805318469773</c:v>
                </c:pt>
                <c:pt idx="19">
                  <c:v>0.21768070659568706</c:v>
                </c:pt>
                <c:pt idx="20">
                  <c:v>0.18854508501841616</c:v>
                </c:pt>
                <c:pt idx="21">
                  <c:v>0.16458016658384744</c:v>
                </c:pt>
                <c:pt idx="22">
                  <c:v>0.13933447863255904</c:v>
                </c:pt>
                <c:pt idx="23">
                  <c:v>0.12135033774310236</c:v>
                </c:pt>
                <c:pt idx="24">
                  <c:v>0.10012214412367434</c:v>
                </c:pt>
                <c:pt idx="25">
                  <c:v>8.6470963919371008E-2</c:v>
                </c:pt>
                <c:pt idx="26">
                  <c:v>6.7806271936713375E-2</c:v>
                </c:pt>
                <c:pt idx="27">
                  <c:v>5.8551909573890171E-2</c:v>
                </c:pt>
                <c:pt idx="28">
                  <c:v>4.6786062459764549E-2</c:v>
                </c:pt>
                <c:pt idx="29">
                  <c:v>3.5497989619266701E-2</c:v>
                </c:pt>
                <c:pt idx="30">
                  <c:v>2.5950130671096805E-2</c:v>
                </c:pt>
                <c:pt idx="31">
                  <c:v>1.7998659019690416E-2</c:v>
                </c:pt>
                <c:pt idx="32">
                  <c:v>9.7589584546270286E-3</c:v>
                </c:pt>
                <c:pt idx="33">
                  <c:v>3.0851248317181335E-3</c:v>
                </c:pt>
                <c:pt idx="34">
                  <c:v>-4.1915485131001351E-3</c:v>
                </c:pt>
                <c:pt idx="35">
                  <c:v>-9.8398002096545534E-3</c:v>
                </c:pt>
                <c:pt idx="36">
                  <c:v>-1.6395264116757485E-2</c:v>
                </c:pt>
                <c:pt idx="37">
                  <c:v>-2.1610962407005357E-2</c:v>
                </c:pt>
                <c:pt idx="38">
                  <c:v>-2.72204412591283E-2</c:v>
                </c:pt>
                <c:pt idx="39">
                  <c:v>-3.1164444712368039E-2</c:v>
                </c:pt>
                <c:pt idx="40">
                  <c:v>-3.7621894034170683E-2</c:v>
                </c:pt>
                <c:pt idx="41">
                  <c:v>-4.0644797546361439E-2</c:v>
                </c:pt>
                <c:pt idx="42">
                  <c:v>-4.4938017411798314E-2</c:v>
                </c:pt>
                <c:pt idx="43">
                  <c:v>-4.8018092062908177E-2</c:v>
                </c:pt>
                <c:pt idx="44">
                  <c:v>-5.1088480112089579E-2</c:v>
                </c:pt>
                <c:pt idx="45">
                  <c:v>-5.428080444271273E-2</c:v>
                </c:pt>
                <c:pt idx="46">
                  <c:v>-5.8428663498106603E-2</c:v>
                </c:pt>
                <c:pt idx="47">
                  <c:v>-6.2262716843732885E-2</c:v>
                </c:pt>
                <c:pt idx="48">
                  <c:v>-6.1562412101920483E-2</c:v>
                </c:pt>
                <c:pt idx="49">
                  <c:v>-6.4929224854584702E-2</c:v>
                </c:pt>
                <c:pt idx="50">
                  <c:v>-6.7211370630289619E-2</c:v>
                </c:pt>
                <c:pt idx="51">
                  <c:v>-6.9360028955000069E-2</c:v>
                </c:pt>
                <c:pt idx="52">
                  <c:v>-7.117284344646313E-2</c:v>
                </c:pt>
                <c:pt idx="53">
                  <c:v>-7.2043452407061809E-2</c:v>
                </c:pt>
                <c:pt idx="54">
                  <c:v>-7.5813114597599207E-2</c:v>
                </c:pt>
                <c:pt idx="55">
                  <c:v>-7.5965968197773348E-2</c:v>
                </c:pt>
                <c:pt idx="56">
                  <c:v>-7.8509612271532497E-2</c:v>
                </c:pt>
                <c:pt idx="57">
                  <c:v>-7.8630000064296574E-2</c:v>
                </c:pt>
                <c:pt idx="58">
                  <c:v>-7.9528797110551303E-2</c:v>
                </c:pt>
                <c:pt idx="59">
                  <c:v>-8.2461029131697478E-2</c:v>
                </c:pt>
                <c:pt idx="60">
                  <c:v>-8.6393567052440196E-2</c:v>
                </c:pt>
                <c:pt idx="61">
                  <c:v>-8.7195504019095163E-2</c:v>
                </c:pt>
                <c:pt idx="62">
                  <c:v>-8.6364672637760764E-2</c:v>
                </c:pt>
                <c:pt idx="63">
                  <c:v>-8.8459045466227931E-2</c:v>
                </c:pt>
                <c:pt idx="64">
                  <c:v>-8.9790096050251206E-2</c:v>
                </c:pt>
                <c:pt idx="65">
                  <c:v>-9.0682305109036881E-2</c:v>
                </c:pt>
                <c:pt idx="66">
                  <c:v>-8.9827469978947486E-2</c:v>
                </c:pt>
                <c:pt idx="67">
                  <c:v>-9.2037913765149443E-2</c:v>
                </c:pt>
                <c:pt idx="68">
                  <c:v>-9.1167777873948502E-2</c:v>
                </c:pt>
                <c:pt idx="69">
                  <c:v>-9.0753999259840235E-2</c:v>
                </c:pt>
                <c:pt idx="70">
                  <c:v>-9.2967943951777682E-2</c:v>
                </c:pt>
                <c:pt idx="71">
                  <c:v>-9.3715712809482377E-2</c:v>
                </c:pt>
                <c:pt idx="72">
                  <c:v>-9.5139623146737379E-2</c:v>
                </c:pt>
                <c:pt idx="73">
                  <c:v>-9.5572709101419476E-2</c:v>
                </c:pt>
                <c:pt idx="74">
                  <c:v>-9.4331858128550869E-2</c:v>
                </c:pt>
                <c:pt idx="75">
                  <c:v>-9.4731273719663722E-2</c:v>
                </c:pt>
                <c:pt idx="76">
                  <c:v>-9.6067910965735567E-2</c:v>
                </c:pt>
                <c:pt idx="77">
                  <c:v>-9.5670789043766594E-2</c:v>
                </c:pt>
                <c:pt idx="78">
                  <c:v>-9.6545459036940576E-2</c:v>
                </c:pt>
                <c:pt idx="79">
                  <c:v>-9.8685985513372113E-2</c:v>
                </c:pt>
                <c:pt idx="80">
                  <c:v>-9.9167081728099113E-2</c:v>
                </c:pt>
              </c:numCache>
            </c:numRef>
          </c:yVal>
        </c:ser>
        <c:ser>
          <c:idx val="1"/>
          <c:order val="1"/>
          <c:tx>
            <c:strRef>
              <c:f>Calculations!$U$43</c:f>
              <c:strCache>
                <c:ptCount val="1"/>
                <c:pt idx="0">
                  <c:v>mean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Calculations!$S$44:$S$124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Calculations!$U$44:$U$124</c:f>
              <c:numCache>
                <c:formatCode>0.000</c:formatCode>
                <c:ptCount val="81"/>
                <c:pt idx="0">
                  <c:v>0.88585049019607798</c:v>
                </c:pt>
                <c:pt idx="1">
                  <c:v>0.88585049019607798</c:v>
                </c:pt>
                <c:pt idx="2">
                  <c:v>0.88585049019607798</c:v>
                </c:pt>
                <c:pt idx="3">
                  <c:v>0.88585049019607798</c:v>
                </c:pt>
                <c:pt idx="4">
                  <c:v>0.88585049019607798</c:v>
                </c:pt>
                <c:pt idx="5">
                  <c:v>0.88585049019607798</c:v>
                </c:pt>
                <c:pt idx="6">
                  <c:v>0.88585049019607798</c:v>
                </c:pt>
                <c:pt idx="7">
                  <c:v>0.88585049019607798</c:v>
                </c:pt>
                <c:pt idx="8">
                  <c:v>0.88585049019607798</c:v>
                </c:pt>
                <c:pt idx="9">
                  <c:v>0.88585049019607798</c:v>
                </c:pt>
                <c:pt idx="10">
                  <c:v>0.87669546568627432</c:v>
                </c:pt>
                <c:pt idx="11">
                  <c:v>0.82300245098039226</c:v>
                </c:pt>
                <c:pt idx="12">
                  <c:v>0.71393382352941215</c:v>
                </c:pt>
                <c:pt idx="13">
                  <c:v>0.62079656862745147</c:v>
                </c:pt>
                <c:pt idx="14">
                  <c:v>0.54787990196078451</c:v>
                </c:pt>
                <c:pt idx="15">
                  <c:v>0.4874632352941175</c:v>
                </c:pt>
                <c:pt idx="16">
                  <c:v>0.4350122549019606</c:v>
                </c:pt>
                <c:pt idx="17">
                  <c:v>0.38672794117647064</c:v>
                </c:pt>
                <c:pt idx="18">
                  <c:v>0.34653186274509812</c:v>
                </c:pt>
                <c:pt idx="19">
                  <c:v>0.31442401960784333</c:v>
                </c:pt>
                <c:pt idx="20">
                  <c:v>0.28488970588235318</c:v>
                </c:pt>
                <c:pt idx="21">
                  <c:v>0.2609926470588238</c:v>
                </c:pt>
                <c:pt idx="22">
                  <c:v>0.23623774509803924</c:v>
                </c:pt>
                <c:pt idx="23">
                  <c:v>0.21785539215686262</c:v>
                </c:pt>
                <c:pt idx="24">
                  <c:v>0.19800245098039199</c:v>
                </c:pt>
                <c:pt idx="25">
                  <c:v>0.18158088235294106</c:v>
                </c:pt>
                <c:pt idx="26">
                  <c:v>0.16564950980392146</c:v>
                </c:pt>
                <c:pt idx="27">
                  <c:v>0.15560049019607841</c:v>
                </c:pt>
                <c:pt idx="28">
                  <c:v>0.14469362745098041</c:v>
                </c:pt>
                <c:pt idx="29">
                  <c:v>0.13415441176470591</c:v>
                </c:pt>
                <c:pt idx="30">
                  <c:v>0.12398284313725494</c:v>
                </c:pt>
                <c:pt idx="31">
                  <c:v>0.11515931372549021</c:v>
                </c:pt>
                <c:pt idx="32">
                  <c:v>0.10670343137254895</c:v>
                </c:pt>
                <c:pt idx="33">
                  <c:v>9.873774509803912E-2</c:v>
                </c:pt>
                <c:pt idx="34">
                  <c:v>9.2487745098039142E-2</c:v>
                </c:pt>
                <c:pt idx="35">
                  <c:v>8.6115196078431322E-2</c:v>
                </c:pt>
                <c:pt idx="36">
                  <c:v>8.047794117647053E-2</c:v>
                </c:pt>
                <c:pt idx="37">
                  <c:v>7.5453431372548979E-2</c:v>
                </c:pt>
                <c:pt idx="38">
                  <c:v>7.0551470588235271E-2</c:v>
                </c:pt>
                <c:pt idx="39">
                  <c:v>6.6139705882352934E-2</c:v>
                </c:pt>
                <c:pt idx="40">
                  <c:v>6.0747549019607827E-2</c:v>
                </c:pt>
                <c:pt idx="41">
                  <c:v>5.7193627450980389E-2</c:v>
                </c:pt>
                <c:pt idx="42">
                  <c:v>5.3639705882352923E-2</c:v>
                </c:pt>
                <c:pt idx="43">
                  <c:v>4.9718137254901956E-2</c:v>
                </c:pt>
                <c:pt idx="44">
                  <c:v>4.6164215686274518E-2</c:v>
                </c:pt>
                <c:pt idx="45">
                  <c:v>4.2120098039215709E-2</c:v>
                </c:pt>
                <c:pt idx="46">
                  <c:v>3.9546568627451012E-2</c:v>
                </c:pt>
                <c:pt idx="47">
                  <c:v>3.7585784313725529E-2</c:v>
                </c:pt>
                <c:pt idx="48">
                  <c:v>3.5379901960784332E-2</c:v>
                </c:pt>
                <c:pt idx="49">
                  <c:v>3.3419117647058849E-2</c:v>
                </c:pt>
                <c:pt idx="50">
                  <c:v>3.0600490196078384E-2</c:v>
                </c:pt>
                <c:pt idx="51">
                  <c:v>2.9129901960784271E-2</c:v>
                </c:pt>
                <c:pt idx="52">
                  <c:v>2.6311274509803861E-2</c:v>
                </c:pt>
                <c:pt idx="53">
                  <c:v>2.5085784313725462E-2</c:v>
                </c:pt>
                <c:pt idx="54">
                  <c:v>2.2389705882352895E-2</c:v>
                </c:pt>
                <c:pt idx="55">
                  <c:v>2.1409313725490126E-2</c:v>
                </c:pt>
                <c:pt idx="56">
                  <c:v>1.9448529411764642E-2</c:v>
                </c:pt>
                <c:pt idx="57">
                  <c:v>1.8223039215686215E-2</c:v>
                </c:pt>
                <c:pt idx="58">
                  <c:v>1.6874999999999946E-2</c:v>
                </c:pt>
                <c:pt idx="59">
                  <c:v>1.479166666666662E-2</c:v>
                </c:pt>
                <c:pt idx="60">
                  <c:v>1.197303921568621E-2</c:v>
                </c:pt>
                <c:pt idx="61">
                  <c:v>1.123774509803914E-2</c:v>
                </c:pt>
                <c:pt idx="62">
                  <c:v>1.1482843137254839E-2</c:v>
                </c:pt>
                <c:pt idx="63">
                  <c:v>1.1115196078431311E-2</c:v>
                </c:pt>
                <c:pt idx="64">
                  <c:v>9.1544117647058276E-3</c:v>
                </c:pt>
                <c:pt idx="65">
                  <c:v>8.2965686274509148E-3</c:v>
                </c:pt>
                <c:pt idx="66">
                  <c:v>7.9289215686273867E-3</c:v>
                </c:pt>
                <c:pt idx="67">
                  <c:v>6.3357843137254316E-3</c:v>
                </c:pt>
                <c:pt idx="68">
                  <c:v>6.2132352941176028E-3</c:v>
                </c:pt>
                <c:pt idx="69">
                  <c:v>5.7230392156862042E-3</c:v>
                </c:pt>
                <c:pt idx="70">
                  <c:v>3.6397058823528783E-3</c:v>
                </c:pt>
                <c:pt idx="71">
                  <c:v>3.8848039215685637E-3</c:v>
                </c:pt>
                <c:pt idx="72">
                  <c:v>3.0269607843136648E-3</c:v>
                </c:pt>
                <c:pt idx="73">
                  <c:v>2.0465686274509093E-3</c:v>
                </c:pt>
                <c:pt idx="74">
                  <c:v>1.6789215686273812E-3</c:v>
                </c:pt>
                <c:pt idx="75">
                  <c:v>4.5343137254895416E-4</c:v>
                </c:pt>
                <c:pt idx="76">
                  <c:v>-6.4950980392163016E-4</c:v>
                </c:pt>
                <c:pt idx="77">
                  <c:v>-1.139705882353001E-3</c:v>
                </c:pt>
                <c:pt idx="78">
                  <c:v>-1.8750000000000572E-3</c:v>
                </c:pt>
                <c:pt idx="79">
                  <c:v>-2.8553921568627988E-3</c:v>
                </c:pt>
                <c:pt idx="80">
                  <c:v>-4.5710784313725966E-3</c:v>
                </c:pt>
              </c:numCache>
            </c:numRef>
          </c:yVal>
        </c:ser>
        <c:ser>
          <c:idx val="2"/>
          <c:order val="2"/>
          <c:tx>
            <c:strRef>
              <c:f>Calculations!$V$43</c:f>
              <c:strCache>
                <c:ptCount val="1"/>
                <c:pt idx="0">
                  <c:v>+1.5σ</c:v>
                </c:pt>
              </c:strCache>
            </c:strRef>
          </c:tx>
          <c:spPr>
            <a:ln>
              <a:solidFill>
                <a:srgbClr val="00B050"/>
              </a:solidFill>
              <a:prstDash val="sysDot"/>
            </a:ln>
          </c:spPr>
          <c:marker>
            <c:symbol val="none"/>
          </c:marker>
          <c:xVal>
            <c:numRef>
              <c:f>Calculations!$S$44:$S$124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Calculations!$V$44:$V$124</c:f>
              <c:numCache>
                <c:formatCode>0.000</c:formatCode>
                <c:ptCount val="81"/>
                <c:pt idx="0">
                  <c:v>0.88585049019607864</c:v>
                </c:pt>
                <c:pt idx="1">
                  <c:v>0.88585049019607864</c:v>
                </c:pt>
                <c:pt idx="2">
                  <c:v>0.88585049019607864</c:v>
                </c:pt>
                <c:pt idx="3">
                  <c:v>0.88585049019607864</c:v>
                </c:pt>
                <c:pt idx="4">
                  <c:v>0.88585049019607864</c:v>
                </c:pt>
                <c:pt idx="5">
                  <c:v>0.88585049019607864</c:v>
                </c:pt>
                <c:pt idx="6">
                  <c:v>0.88585049019607864</c:v>
                </c:pt>
                <c:pt idx="7">
                  <c:v>0.88585049019607864</c:v>
                </c:pt>
                <c:pt idx="8">
                  <c:v>0.88585049019607864</c:v>
                </c:pt>
                <c:pt idx="9">
                  <c:v>0.88585049019607864</c:v>
                </c:pt>
                <c:pt idx="10">
                  <c:v>0.89930346986290355</c:v>
                </c:pt>
                <c:pt idx="11">
                  <c:v>0.91936137157574016</c:v>
                </c:pt>
                <c:pt idx="12">
                  <c:v>0.8102246656446016</c:v>
                </c:pt>
                <c:pt idx="13">
                  <c:v>0.71588301245843433</c:v>
                </c:pt>
                <c:pt idx="14">
                  <c:v>0.64324564799278605</c:v>
                </c:pt>
                <c:pt idx="15">
                  <c:v>0.58217329419056041</c:v>
                </c:pt>
                <c:pt idx="16">
                  <c:v>0.53090088666806845</c:v>
                </c:pt>
                <c:pt idx="17">
                  <c:v>0.4822228963924633</c:v>
                </c:pt>
                <c:pt idx="18">
                  <c:v>0.44231567230549851</c:v>
                </c:pt>
                <c:pt idx="19">
                  <c:v>0.4111673326199996</c:v>
                </c:pt>
                <c:pt idx="20">
                  <c:v>0.38123432674629021</c:v>
                </c:pt>
                <c:pt idx="21">
                  <c:v>0.35740512753380016</c:v>
                </c:pt>
                <c:pt idx="22">
                  <c:v>0.33314101156351944</c:v>
                </c:pt>
                <c:pt idx="23">
                  <c:v>0.3143604465706229</c:v>
                </c:pt>
                <c:pt idx="24">
                  <c:v>0.2958827578371096</c:v>
                </c:pt>
                <c:pt idx="25">
                  <c:v>0.27669080078651109</c:v>
                </c:pt>
                <c:pt idx="26">
                  <c:v>0.26349274767112951</c:v>
                </c:pt>
                <c:pt idx="27">
                  <c:v>0.25264907081826665</c:v>
                </c:pt>
                <c:pt idx="28">
                  <c:v>0.24260119244219625</c:v>
                </c:pt>
                <c:pt idx="29">
                  <c:v>0.23281083391014512</c:v>
                </c:pt>
                <c:pt idx="30">
                  <c:v>0.22201555560341307</c:v>
                </c:pt>
                <c:pt idx="31">
                  <c:v>0.21231996843128997</c:v>
                </c:pt>
                <c:pt idx="32">
                  <c:v>0.20364790429047086</c:v>
                </c:pt>
                <c:pt idx="33">
                  <c:v>0.19439036536436011</c:v>
                </c:pt>
                <c:pt idx="34">
                  <c:v>0.18916703870917839</c:v>
                </c:pt>
                <c:pt idx="35">
                  <c:v>0.18207019236651723</c:v>
                </c:pt>
                <c:pt idx="36">
                  <c:v>0.17735114646969852</c:v>
                </c:pt>
                <c:pt idx="37">
                  <c:v>0.17251782515210334</c:v>
                </c:pt>
                <c:pt idx="38">
                  <c:v>0.16832338243559886</c:v>
                </c:pt>
                <c:pt idx="39">
                  <c:v>0.16344385647707393</c:v>
                </c:pt>
                <c:pt idx="40">
                  <c:v>0.15911699207338637</c:v>
                </c:pt>
                <c:pt idx="41">
                  <c:v>0.15503205244832219</c:v>
                </c:pt>
                <c:pt idx="42">
                  <c:v>0.15221742917650416</c:v>
                </c:pt>
                <c:pt idx="43">
                  <c:v>0.1474543665727121</c:v>
                </c:pt>
                <c:pt idx="44">
                  <c:v>0.14341691148463864</c:v>
                </c:pt>
                <c:pt idx="45">
                  <c:v>0.13852100052114413</c:v>
                </c:pt>
                <c:pt idx="46">
                  <c:v>0.13752180075300863</c:v>
                </c:pt>
                <c:pt idx="47">
                  <c:v>0.13743428547118397</c:v>
                </c:pt>
                <c:pt idx="48">
                  <c:v>0.13232221602348915</c:v>
                </c:pt>
                <c:pt idx="49">
                  <c:v>0.13176746014870239</c:v>
                </c:pt>
                <c:pt idx="50">
                  <c:v>0.12841235102244639</c:v>
                </c:pt>
                <c:pt idx="51">
                  <c:v>0.12761983287656861</c:v>
                </c:pt>
                <c:pt idx="52">
                  <c:v>0.12379539246607085</c:v>
                </c:pt>
                <c:pt idx="53">
                  <c:v>0.12221502103451273</c:v>
                </c:pt>
                <c:pt idx="54">
                  <c:v>0.120592526362305</c:v>
                </c:pt>
                <c:pt idx="55">
                  <c:v>0.1187845956487536</c:v>
                </c:pt>
                <c:pt idx="56">
                  <c:v>0.11740667109506178</c:v>
                </c:pt>
                <c:pt idx="57">
                  <c:v>0.115076078495669</c:v>
                </c:pt>
                <c:pt idx="58">
                  <c:v>0.11327879711055119</c:v>
                </c:pt>
                <c:pt idx="59">
                  <c:v>0.11204436246503072</c:v>
                </c:pt>
                <c:pt idx="60">
                  <c:v>0.11033964548381262</c:v>
                </c:pt>
                <c:pt idx="61">
                  <c:v>0.10967099421517346</c:v>
                </c:pt>
                <c:pt idx="62">
                  <c:v>0.10933035891227044</c:v>
                </c:pt>
                <c:pt idx="63">
                  <c:v>0.11068943762309055</c:v>
                </c:pt>
                <c:pt idx="64">
                  <c:v>0.10809891957966286</c:v>
                </c:pt>
                <c:pt idx="65">
                  <c:v>0.10727544236393871</c:v>
                </c:pt>
                <c:pt idx="66">
                  <c:v>0.10568531311620227</c:v>
                </c:pt>
                <c:pt idx="67">
                  <c:v>0.10470948239260031</c:v>
                </c:pt>
                <c:pt idx="68">
                  <c:v>0.10359424846218371</c:v>
                </c:pt>
                <c:pt idx="69">
                  <c:v>0.10220007769121264</c:v>
                </c:pt>
                <c:pt idx="70">
                  <c:v>0.10024735571648344</c:v>
                </c:pt>
                <c:pt idx="71">
                  <c:v>0.1014853206526195</c:v>
                </c:pt>
                <c:pt idx="72">
                  <c:v>0.10119354471536471</c:v>
                </c:pt>
                <c:pt idx="73">
                  <c:v>9.9665846356321308E-2</c:v>
                </c:pt>
                <c:pt idx="74">
                  <c:v>9.7689701265805617E-2</c:v>
                </c:pt>
                <c:pt idx="75">
                  <c:v>9.5638136464761631E-2</c:v>
                </c:pt>
                <c:pt idx="76">
                  <c:v>9.4768891357892293E-2</c:v>
                </c:pt>
                <c:pt idx="77">
                  <c:v>9.3391377279060606E-2</c:v>
                </c:pt>
                <c:pt idx="78">
                  <c:v>9.2795459036940475E-2</c:v>
                </c:pt>
                <c:pt idx="79">
                  <c:v>9.2975201199646529E-2</c:v>
                </c:pt>
                <c:pt idx="80">
                  <c:v>9.0024924865353906E-2</c:v>
                </c:pt>
              </c:numCache>
            </c:numRef>
          </c:yVal>
        </c:ser>
        <c:ser>
          <c:idx val="3"/>
          <c:order val="3"/>
          <c:tx>
            <c:strRef>
              <c:f>Calculations!$W$43</c:f>
              <c:strCache>
                <c:ptCount val="1"/>
                <c:pt idx="0">
                  <c:v>Calc.</c:v>
                </c:pt>
              </c:strCache>
            </c:strRef>
          </c:tx>
          <c:spPr>
            <a:ln>
              <a:solidFill>
                <a:srgbClr val="0070C0"/>
              </a:solidFill>
              <a:prstDash val="dash"/>
            </a:ln>
          </c:spPr>
          <c:marker>
            <c:symbol val="none"/>
          </c:marker>
          <c:xVal>
            <c:numRef>
              <c:f>Calculations!$S$44:$S$124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Calculations!$W$44:$W$124</c:f>
              <c:numCache>
                <c:formatCode>0.000</c:formatCode>
                <c:ptCount val="81"/>
                <c:pt idx="0">
                  <c:v>3.3073367535718297</c:v>
                </c:pt>
                <c:pt idx="1">
                  <c:v>1.8053491164360511</c:v>
                </c:pt>
                <c:pt idx="2">
                  <c:v>1.1889328989113435</c:v>
                </c:pt>
                <c:pt idx="3">
                  <c:v>0.85926218313368907</c:v>
                </c:pt>
                <c:pt idx="4">
                  <c:v>0.65616302702677898</c:v>
                </c:pt>
                <c:pt idx="5">
                  <c:v>0.51943408189462759</c:v>
                </c:pt>
                <c:pt idx="6">
                  <c:v>0.42159429470796694</c:v>
                </c:pt>
                <c:pt idx="7">
                  <c:v>0.34838809780809171</c:v>
                </c:pt>
                <c:pt idx="8">
                  <c:v>0.29171500280668855</c:v>
                </c:pt>
                <c:pt idx="9">
                  <c:v>0.24664577245996544</c:v>
                </c:pt>
                <c:pt idx="10">
                  <c:v>0.21001620894799194</c:v>
                </c:pt>
                <c:pt idx="11">
                  <c:v>0.17970602121720369</c:v>
                </c:pt>
                <c:pt idx="12">
                  <c:v>0.15424341403842906</c:v>
                </c:pt>
                <c:pt idx="13">
                  <c:v>0.13257614370346421</c:v>
                </c:pt>
                <c:pt idx="14">
                  <c:v>0.11393282628773058</c:v>
                </c:pt>
                <c:pt idx="15">
                  <c:v>9.773564905122753E-2</c:v>
                </c:pt>
                <c:pt idx="16">
                  <c:v>8.3543607178743651E-2</c:v>
                </c:pt>
                <c:pt idx="17">
                  <c:v>7.1014530166580409E-2</c:v>
                </c:pt>
                <c:pt idx="18">
                  <c:v>5.9879040452785665E-2</c:v>
                </c:pt>
                <c:pt idx="19">
                  <c:v>4.9922299779122159E-2</c:v>
                </c:pt>
                <c:pt idx="20">
                  <c:v>4.0970962898425278E-2</c:v>
                </c:pt>
                <c:pt idx="21">
                  <c:v>3.2883689197187232E-2</c:v>
                </c:pt>
                <c:pt idx="22">
                  <c:v>2.5544132792130497E-2</c:v>
                </c:pt>
                <c:pt idx="23">
                  <c:v>1.8855689584315133E-2</c:v>
                </c:pt>
                <c:pt idx="24">
                  <c:v>1.2737509692147292E-2</c:v>
                </c:pt>
                <c:pt idx="25">
                  <c:v>7.1214344791687978E-3</c:v>
                </c:pt>
                <c:pt idx="26">
                  <c:v>1.9496181573460808E-3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axId val="135414528"/>
        <c:axId val="135416064"/>
      </c:scatterChart>
      <c:valAx>
        <c:axId val="135414528"/>
        <c:scaling>
          <c:orientation val="minMax"/>
          <c:max val="80"/>
        </c:scaling>
        <c:axPos val="b"/>
        <c:numFmt formatCode="0.0" sourceLinked="1"/>
        <c:tickLblPos val="nextTo"/>
        <c:crossAx val="135416064"/>
        <c:crosses val="autoZero"/>
        <c:crossBetween val="midCat"/>
      </c:valAx>
      <c:valAx>
        <c:axId val="135416064"/>
        <c:scaling>
          <c:orientation val="minMax"/>
          <c:max val="1.2"/>
          <c:min val="0"/>
        </c:scaling>
        <c:axPos val="l"/>
        <c:majorGridlines/>
        <c:numFmt formatCode="0%" sourceLinked="0"/>
        <c:tickLblPos val="nextTo"/>
        <c:crossAx val="13541452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data0!$B$2:$B$82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0.97254901960784312</c:v>
                </c:pt>
                <c:pt idx="12">
                  <c:v>0.87058823529411766</c:v>
                </c:pt>
                <c:pt idx="13">
                  <c:v>0.77647058823529413</c:v>
                </c:pt>
                <c:pt idx="14">
                  <c:v>0.70196078431372544</c:v>
                </c:pt>
                <c:pt idx="15">
                  <c:v>0.63921568627450975</c:v>
                </c:pt>
                <c:pt idx="16">
                  <c:v>0.59607843137254901</c:v>
                </c:pt>
                <c:pt idx="17">
                  <c:v>0.5490196078431373</c:v>
                </c:pt>
                <c:pt idx="18">
                  <c:v>0.50196078431372548</c:v>
                </c:pt>
                <c:pt idx="19">
                  <c:v>0.47450980392156861</c:v>
                </c:pt>
                <c:pt idx="20">
                  <c:v>0.4392156862745098</c:v>
                </c:pt>
                <c:pt idx="21">
                  <c:v>0.41568627450980394</c:v>
                </c:pt>
                <c:pt idx="22">
                  <c:v>0.39215686274509803</c:v>
                </c:pt>
                <c:pt idx="23">
                  <c:v>0.36862745098039218</c:v>
                </c:pt>
                <c:pt idx="24">
                  <c:v>0.35686274509803922</c:v>
                </c:pt>
                <c:pt idx="25">
                  <c:v>0.33333333333333331</c:v>
                </c:pt>
                <c:pt idx="26">
                  <c:v>0.31764705882352939</c:v>
                </c:pt>
                <c:pt idx="27">
                  <c:v>0.30980392156862746</c:v>
                </c:pt>
                <c:pt idx="28">
                  <c:v>0.30196078431372547</c:v>
                </c:pt>
                <c:pt idx="29">
                  <c:v>0.28627450980392155</c:v>
                </c:pt>
                <c:pt idx="30">
                  <c:v>0.27843137254901962</c:v>
                </c:pt>
                <c:pt idx="31">
                  <c:v>0.27058823529411763</c:v>
                </c:pt>
                <c:pt idx="32">
                  <c:v>0.26666666666666666</c:v>
                </c:pt>
                <c:pt idx="33">
                  <c:v>0.25490196078431371</c:v>
                </c:pt>
                <c:pt idx="34">
                  <c:v>0.25882352941176473</c:v>
                </c:pt>
                <c:pt idx="35">
                  <c:v>0.24705882352941178</c:v>
                </c:pt>
                <c:pt idx="36">
                  <c:v>0.23137254901960785</c:v>
                </c:pt>
                <c:pt idx="37">
                  <c:v>0.23137254901960785</c:v>
                </c:pt>
                <c:pt idx="38">
                  <c:v>0.22352941176470589</c:v>
                </c:pt>
                <c:pt idx="39">
                  <c:v>0.2196078431372549</c:v>
                </c:pt>
                <c:pt idx="40">
                  <c:v>0.21568627450980393</c:v>
                </c:pt>
                <c:pt idx="41">
                  <c:v>0.21568627450980393</c:v>
                </c:pt>
                <c:pt idx="42">
                  <c:v>0.20784313725490197</c:v>
                </c:pt>
                <c:pt idx="43">
                  <c:v>0.20392156862745098</c:v>
                </c:pt>
                <c:pt idx="44">
                  <c:v>0.2</c:v>
                </c:pt>
                <c:pt idx="45">
                  <c:v>0.19215686274509805</c:v>
                </c:pt>
                <c:pt idx="46">
                  <c:v>0.19215686274509805</c:v>
                </c:pt>
                <c:pt idx="47">
                  <c:v>0.19215686274509805</c:v>
                </c:pt>
                <c:pt idx="48">
                  <c:v>0.18823529411764706</c:v>
                </c:pt>
                <c:pt idx="49">
                  <c:v>0.18431372549019609</c:v>
                </c:pt>
                <c:pt idx="50">
                  <c:v>0.18823529411764706</c:v>
                </c:pt>
                <c:pt idx="51">
                  <c:v>0.18431372549019609</c:v>
                </c:pt>
                <c:pt idx="52">
                  <c:v>0.17647058823529413</c:v>
                </c:pt>
                <c:pt idx="53">
                  <c:v>0.17647058823529413</c:v>
                </c:pt>
                <c:pt idx="54">
                  <c:v>0.17647058823529413</c:v>
                </c:pt>
                <c:pt idx="55">
                  <c:v>0.17254901960784313</c:v>
                </c:pt>
                <c:pt idx="56">
                  <c:v>0.16862745098039217</c:v>
                </c:pt>
                <c:pt idx="57">
                  <c:v>0.16470588235294117</c:v>
                </c:pt>
                <c:pt idx="58">
                  <c:v>0.16078431372549021</c:v>
                </c:pt>
                <c:pt idx="59">
                  <c:v>0.16862745098039217</c:v>
                </c:pt>
                <c:pt idx="60">
                  <c:v>0.16078431372549021</c:v>
                </c:pt>
                <c:pt idx="61">
                  <c:v>0.16078431372549021</c:v>
                </c:pt>
                <c:pt idx="62">
                  <c:v>0.16078431372549021</c:v>
                </c:pt>
                <c:pt idx="63">
                  <c:v>0.16078431372549021</c:v>
                </c:pt>
                <c:pt idx="64">
                  <c:v>0.15294117647058825</c:v>
                </c:pt>
                <c:pt idx="65">
                  <c:v>0.15294117647058825</c:v>
                </c:pt>
                <c:pt idx="66">
                  <c:v>0.15686274509803921</c:v>
                </c:pt>
                <c:pt idx="67">
                  <c:v>0.16470588235294117</c:v>
                </c:pt>
                <c:pt idx="68">
                  <c:v>0.16078431372549021</c:v>
                </c:pt>
                <c:pt idx="69">
                  <c:v>0.16078431372549021</c:v>
                </c:pt>
                <c:pt idx="70">
                  <c:v>0.15686274509803921</c:v>
                </c:pt>
                <c:pt idx="71">
                  <c:v>0.16078431372549021</c:v>
                </c:pt>
                <c:pt idx="72">
                  <c:v>0.16078431372549021</c:v>
                </c:pt>
                <c:pt idx="73">
                  <c:v>0.16078431372549021</c:v>
                </c:pt>
                <c:pt idx="74">
                  <c:v>0.16078431372549021</c:v>
                </c:pt>
                <c:pt idx="75">
                  <c:v>0.15686274509803921</c:v>
                </c:pt>
                <c:pt idx="76">
                  <c:v>0.15294117647058825</c:v>
                </c:pt>
                <c:pt idx="77">
                  <c:v>0.15294117647058825</c:v>
                </c:pt>
                <c:pt idx="78">
                  <c:v>0.14901960784313725</c:v>
                </c:pt>
                <c:pt idx="79">
                  <c:v>0.15294117647058825</c:v>
                </c:pt>
                <c:pt idx="80">
                  <c:v>0.15294117647058825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data0!$C$1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data0!$C$2:$C$82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0.98431372549019602</c:v>
                </c:pt>
                <c:pt idx="12">
                  <c:v>0.87058823529411766</c:v>
                </c:pt>
                <c:pt idx="13">
                  <c:v>0.7803921568627451</c:v>
                </c:pt>
                <c:pt idx="14">
                  <c:v>0.70980392156862748</c:v>
                </c:pt>
                <c:pt idx="15">
                  <c:v>0.6470588235294118</c:v>
                </c:pt>
                <c:pt idx="16">
                  <c:v>0.59607843137254901</c:v>
                </c:pt>
                <c:pt idx="17">
                  <c:v>0.54509803921568623</c:v>
                </c:pt>
                <c:pt idx="18">
                  <c:v>0.50196078431372548</c:v>
                </c:pt>
                <c:pt idx="19">
                  <c:v>0.47058823529411764</c:v>
                </c:pt>
                <c:pt idx="20">
                  <c:v>0.4392156862745098</c:v>
                </c:pt>
                <c:pt idx="21">
                  <c:v>0.41568627450980394</c:v>
                </c:pt>
                <c:pt idx="22">
                  <c:v>0.39215686274509803</c:v>
                </c:pt>
                <c:pt idx="23">
                  <c:v>0.37647058823529411</c:v>
                </c:pt>
                <c:pt idx="24">
                  <c:v>0.35686274509803922</c:v>
                </c:pt>
                <c:pt idx="25">
                  <c:v>0.3411764705882353</c:v>
                </c:pt>
                <c:pt idx="26">
                  <c:v>0.32549019607843138</c:v>
                </c:pt>
                <c:pt idx="27">
                  <c:v>0.30980392156862746</c:v>
                </c:pt>
                <c:pt idx="28">
                  <c:v>0.30196078431372547</c:v>
                </c:pt>
                <c:pt idx="29">
                  <c:v>0.28627450980392155</c:v>
                </c:pt>
                <c:pt idx="30">
                  <c:v>0.27843137254901962</c:v>
                </c:pt>
                <c:pt idx="31">
                  <c:v>0.27058823529411763</c:v>
                </c:pt>
                <c:pt idx="32">
                  <c:v>0.2627450980392157</c:v>
                </c:pt>
                <c:pt idx="33">
                  <c:v>0.25098039215686274</c:v>
                </c:pt>
                <c:pt idx="34">
                  <c:v>0.24705882352941178</c:v>
                </c:pt>
                <c:pt idx="35">
                  <c:v>0.23921568627450981</c:v>
                </c:pt>
                <c:pt idx="36">
                  <c:v>0.23921568627450981</c:v>
                </c:pt>
                <c:pt idx="37">
                  <c:v>0.22745098039215686</c:v>
                </c:pt>
                <c:pt idx="38">
                  <c:v>0.22352941176470589</c:v>
                </c:pt>
                <c:pt idx="39">
                  <c:v>0.22352941176470589</c:v>
                </c:pt>
                <c:pt idx="40">
                  <c:v>0.21568627450980393</c:v>
                </c:pt>
                <c:pt idx="41">
                  <c:v>0.21568627450980393</c:v>
                </c:pt>
                <c:pt idx="42">
                  <c:v>0.21176470588235294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0.19215686274509805</c:v>
                </c:pt>
                <c:pt idx="47">
                  <c:v>0.19215686274509805</c:v>
                </c:pt>
                <c:pt idx="48">
                  <c:v>0.18431372549019609</c:v>
                </c:pt>
                <c:pt idx="49">
                  <c:v>0.18431372549019609</c:v>
                </c:pt>
                <c:pt idx="50">
                  <c:v>0.1803921568627451</c:v>
                </c:pt>
                <c:pt idx="51">
                  <c:v>0.1803921568627451</c:v>
                </c:pt>
                <c:pt idx="52">
                  <c:v>0.17647058823529413</c:v>
                </c:pt>
                <c:pt idx="53">
                  <c:v>0.17647058823529413</c:v>
                </c:pt>
                <c:pt idx="54">
                  <c:v>0.17647058823529413</c:v>
                </c:pt>
                <c:pt idx="55">
                  <c:v>0.17254901960784313</c:v>
                </c:pt>
                <c:pt idx="56">
                  <c:v>0.17254901960784313</c:v>
                </c:pt>
                <c:pt idx="57">
                  <c:v>0.16862745098039217</c:v>
                </c:pt>
                <c:pt idx="58">
                  <c:v>0.16862745098039217</c:v>
                </c:pt>
                <c:pt idx="59">
                  <c:v>0.16862745098039217</c:v>
                </c:pt>
                <c:pt idx="60">
                  <c:v>0.16862745098039217</c:v>
                </c:pt>
                <c:pt idx="61">
                  <c:v>0.16862745098039217</c:v>
                </c:pt>
                <c:pt idx="62">
                  <c:v>0.16862745098039217</c:v>
                </c:pt>
                <c:pt idx="63">
                  <c:v>0.16862745098039217</c:v>
                </c:pt>
                <c:pt idx="64">
                  <c:v>0.16470588235294117</c:v>
                </c:pt>
                <c:pt idx="65">
                  <c:v>0.16078431372549021</c:v>
                </c:pt>
                <c:pt idx="66">
                  <c:v>0.16470588235294117</c:v>
                </c:pt>
                <c:pt idx="67">
                  <c:v>0.16078431372549021</c:v>
                </c:pt>
                <c:pt idx="68">
                  <c:v>0.16078431372549021</c:v>
                </c:pt>
                <c:pt idx="69">
                  <c:v>0.16078431372549021</c:v>
                </c:pt>
                <c:pt idx="70">
                  <c:v>0.15686274509803921</c:v>
                </c:pt>
                <c:pt idx="71">
                  <c:v>0.15686274509803921</c:v>
                </c:pt>
                <c:pt idx="72">
                  <c:v>0.15686274509803921</c:v>
                </c:pt>
                <c:pt idx="73">
                  <c:v>0.15686274509803921</c:v>
                </c:pt>
                <c:pt idx="74">
                  <c:v>0.15294117647058825</c:v>
                </c:pt>
                <c:pt idx="75">
                  <c:v>0.15294117647058825</c:v>
                </c:pt>
                <c:pt idx="76">
                  <c:v>0.15294117647058825</c:v>
                </c:pt>
                <c:pt idx="77">
                  <c:v>0.14509803921568629</c:v>
                </c:pt>
                <c:pt idx="78">
                  <c:v>0.15294117647058825</c:v>
                </c:pt>
                <c:pt idx="79">
                  <c:v>0.14901960784313725</c:v>
                </c:pt>
                <c:pt idx="80">
                  <c:v>0.14509803921568629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data0!$D$1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data0!$D$2:$D$82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0.98039215686274506</c:v>
                </c:pt>
                <c:pt idx="12">
                  <c:v>0.8666666666666667</c:v>
                </c:pt>
                <c:pt idx="13">
                  <c:v>0.77254901960784317</c:v>
                </c:pt>
                <c:pt idx="14">
                  <c:v>0.70196078431372544</c:v>
                </c:pt>
                <c:pt idx="15">
                  <c:v>0.63921568627450975</c:v>
                </c:pt>
                <c:pt idx="16">
                  <c:v>0.59215686274509804</c:v>
                </c:pt>
                <c:pt idx="17">
                  <c:v>0.54509803921568623</c:v>
                </c:pt>
                <c:pt idx="18">
                  <c:v>0.50196078431372548</c:v>
                </c:pt>
                <c:pt idx="19">
                  <c:v>0.47058823529411764</c:v>
                </c:pt>
                <c:pt idx="20">
                  <c:v>0.4392156862745098</c:v>
                </c:pt>
                <c:pt idx="21">
                  <c:v>0.41176470588235292</c:v>
                </c:pt>
                <c:pt idx="22">
                  <c:v>0.39215686274509803</c:v>
                </c:pt>
                <c:pt idx="23">
                  <c:v>0.36862745098039218</c:v>
                </c:pt>
                <c:pt idx="24">
                  <c:v>0.35294117647058826</c:v>
                </c:pt>
                <c:pt idx="25">
                  <c:v>0.33333333333333331</c:v>
                </c:pt>
                <c:pt idx="26">
                  <c:v>0.31764705882352939</c:v>
                </c:pt>
                <c:pt idx="27">
                  <c:v>0.30980392156862746</c:v>
                </c:pt>
                <c:pt idx="28">
                  <c:v>0.30196078431372547</c:v>
                </c:pt>
                <c:pt idx="29">
                  <c:v>0.29019607843137257</c:v>
                </c:pt>
                <c:pt idx="30">
                  <c:v>0.28235294117647058</c:v>
                </c:pt>
                <c:pt idx="31">
                  <c:v>0.27450980392156865</c:v>
                </c:pt>
                <c:pt idx="32">
                  <c:v>0.2627450980392157</c:v>
                </c:pt>
                <c:pt idx="33">
                  <c:v>0.25490196078431371</c:v>
                </c:pt>
                <c:pt idx="34">
                  <c:v>0.24705882352941178</c:v>
                </c:pt>
                <c:pt idx="35">
                  <c:v>0.24313725490196078</c:v>
                </c:pt>
                <c:pt idx="36">
                  <c:v>0.23137254901960785</c:v>
                </c:pt>
                <c:pt idx="37">
                  <c:v>0.22352941176470589</c:v>
                </c:pt>
                <c:pt idx="38">
                  <c:v>0.22352941176470589</c:v>
                </c:pt>
                <c:pt idx="39">
                  <c:v>0.22352941176470589</c:v>
                </c:pt>
                <c:pt idx="40">
                  <c:v>0.21568627450980393</c:v>
                </c:pt>
                <c:pt idx="41">
                  <c:v>0.20784313725490197</c:v>
                </c:pt>
                <c:pt idx="42">
                  <c:v>0.2</c:v>
                </c:pt>
                <c:pt idx="43">
                  <c:v>0.2</c:v>
                </c:pt>
                <c:pt idx="44">
                  <c:v>0.19215686274509805</c:v>
                </c:pt>
                <c:pt idx="45">
                  <c:v>0.19607843137254902</c:v>
                </c:pt>
                <c:pt idx="46">
                  <c:v>0.2</c:v>
                </c:pt>
                <c:pt idx="47">
                  <c:v>0.19215686274509805</c:v>
                </c:pt>
                <c:pt idx="48">
                  <c:v>0.19215686274509805</c:v>
                </c:pt>
                <c:pt idx="49">
                  <c:v>0.18823529411764706</c:v>
                </c:pt>
                <c:pt idx="50">
                  <c:v>0.18823529411764706</c:v>
                </c:pt>
                <c:pt idx="51">
                  <c:v>0.19215686274509805</c:v>
                </c:pt>
                <c:pt idx="52">
                  <c:v>0.18431372549019609</c:v>
                </c:pt>
                <c:pt idx="53">
                  <c:v>0.18431372549019609</c:v>
                </c:pt>
                <c:pt idx="54">
                  <c:v>0.1803921568627451</c:v>
                </c:pt>
                <c:pt idx="55">
                  <c:v>0.1803921568627451</c:v>
                </c:pt>
                <c:pt idx="56">
                  <c:v>0.17647058823529413</c:v>
                </c:pt>
                <c:pt idx="57">
                  <c:v>0.17647058823529413</c:v>
                </c:pt>
                <c:pt idx="58">
                  <c:v>0.17647058823529413</c:v>
                </c:pt>
                <c:pt idx="59">
                  <c:v>0.16862745098039217</c:v>
                </c:pt>
                <c:pt idx="60">
                  <c:v>0.16862745098039217</c:v>
                </c:pt>
                <c:pt idx="61">
                  <c:v>0.16862745098039217</c:v>
                </c:pt>
                <c:pt idx="62">
                  <c:v>0.16078431372549021</c:v>
                </c:pt>
                <c:pt idx="63">
                  <c:v>0.16862745098039217</c:v>
                </c:pt>
                <c:pt idx="64">
                  <c:v>0.16078431372549021</c:v>
                </c:pt>
                <c:pt idx="65">
                  <c:v>0.16470588235294117</c:v>
                </c:pt>
                <c:pt idx="66">
                  <c:v>0.16078431372549021</c:v>
                </c:pt>
                <c:pt idx="67">
                  <c:v>0.16078431372549021</c:v>
                </c:pt>
                <c:pt idx="68">
                  <c:v>0.16078431372549021</c:v>
                </c:pt>
                <c:pt idx="69">
                  <c:v>0.15686274509803921</c:v>
                </c:pt>
                <c:pt idx="70">
                  <c:v>0.15686274509803921</c:v>
                </c:pt>
                <c:pt idx="71">
                  <c:v>0.15294117647058825</c:v>
                </c:pt>
                <c:pt idx="72">
                  <c:v>0.15294117647058825</c:v>
                </c:pt>
                <c:pt idx="73">
                  <c:v>0.15294117647058825</c:v>
                </c:pt>
                <c:pt idx="74">
                  <c:v>0.14901960784313725</c:v>
                </c:pt>
                <c:pt idx="75">
                  <c:v>0.15294117647058825</c:v>
                </c:pt>
                <c:pt idx="76">
                  <c:v>0.14901960784313725</c:v>
                </c:pt>
                <c:pt idx="77">
                  <c:v>0.14509803921568629</c:v>
                </c:pt>
                <c:pt idx="78">
                  <c:v>0.14509803921568629</c:v>
                </c:pt>
                <c:pt idx="79">
                  <c:v>0.14509803921568629</c:v>
                </c:pt>
                <c:pt idx="80">
                  <c:v>0.14509803921568629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data0!$E$1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data0!$E$2:$E$82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0.98039215686274506</c:v>
                </c:pt>
                <c:pt idx="12">
                  <c:v>0.87058823529411766</c:v>
                </c:pt>
                <c:pt idx="13">
                  <c:v>0.77647058823529413</c:v>
                </c:pt>
                <c:pt idx="14">
                  <c:v>0.70196078431372544</c:v>
                </c:pt>
                <c:pt idx="15">
                  <c:v>0.63921568627450975</c:v>
                </c:pt>
                <c:pt idx="16">
                  <c:v>0.58823529411764708</c:v>
                </c:pt>
                <c:pt idx="17">
                  <c:v>0.54117647058823526</c:v>
                </c:pt>
                <c:pt idx="18">
                  <c:v>0.50196078431372548</c:v>
                </c:pt>
                <c:pt idx="19">
                  <c:v>0.46666666666666667</c:v>
                </c:pt>
                <c:pt idx="20">
                  <c:v>0.4392156862745098</c:v>
                </c:pt>
                <c:pt idx="21">
                  <c:v>0.41568627450980394</c:v>
                </c:pt>
                <c:pt idx="22">
                  <c:v>0.39215686274509803</c:v>
                </c:pt>
                <c:pt idx="23">
                  <c:v>0.37647058823529411</c:v>
                </c:pt>
                <c:pt idx="24">
                  <c:v>0.35294117647058826</c:v>
                </c:pt>
                <c:pt idx="25">
                  <c:v>0.33333333333333331</c:v>
                </c:pt>
                <c:pt idx="26">
                  <c:v>0.32156862745098042</c:v>
                </c:pt>
                <c:pt idx="27">
                  <c:v>0.31372549019607843</c:v>
                </c:pt>
                <c:pt idx="28">
                  <c:v>0.30588235294117649</c:v>
                </c:pt>
                <c:pt idx="29">
                  <c:v>0.29019607843137257</c:v>
                </c:pt>
                <c:pt idx="30">
                  <c:v>0.28627450980392155</c:v>
                </c:pt>
                <c:pt idx="31">
                  <c:v>0.27843137254901962</c:v>
                </c:pt>
                <c:pt idx="32">
                  <c:v>0.2627450980392157</c:v>
                </c:pt>
                <c:pt idx="33">
                  <c:v>0.25882352941176473</c:v>
                </c:pt>
                <c:pt idx="34">
                  <c:v>0.24705882352941178</c:v>
                </c:pt>
                <c:pt idx="35">
                  <c:v>0.24313725490196078</c:v>
                </c:pt>
                <c:pt idx="36">
                  <c:v>0.23921568627450981</c:v>
                </c:pt>
                <c:pt idx="37">
                  <c:v>0.23137254901960785</c:v>
                </c:pt>
                <c:pt idx="38">
                  <c:v>0.23137254901960785</c:v>
                </c:pt>
                <c:pt idx="39">
                  <c:v>0.22352941176470589</c:v>
                </c:pt>
                <c:pt idx="40">
                  <c:v>0.2196078431372549</c:v>
                </c:pt>
                <c:pt idx="41">
                  <c:v>0.2196078431372549</c:v>
                </c:pt>
                <c:pt idx="42">
                  <c:v>0.20784313725490197</c:v>
                </c:pt>
                <c:pt idx="43">
                  <c:v>0.2</c:v>
                </c:pt>
                <c:pt idx="44">
                  <c:v>0.2</c:v>
                </c:pt>
                <c:pt idx="45">
                  <c:v>0.19607843137254902</c:v>
                </c:pt>
                <c:pt idx="46">
                  <c:v>0.19607843137254902</c:v>
                </c:pt>
                <c:pt idx="47">
                  <c:v>0.19215686274509805</c:v>
                </c:pt>
                <c:pt idx="48">
                  <c:v>0.19607843137254902</c:v>
                </c:pt>
                <c:pt idx="49">
                  <c:v>0.18823529411764706</c:v>
                </c:pt>
                <c:pt idx="50">
                  <c:v>0.18431372549019609</c:v>
                </c:pt>
                <c:pt idx="51">
                  <c:v>0.18431372549019609</c:v>
                </c:pt>
                <c:pt idx="52">
                  <c:v>0.1803921568627451</c:v>
                </c:pt>
                <c:pt idx="53">
                  <c:v>0.17647058823529413</c:v>
                </c:pt>
                <c:pt idx="54">
                  <c:v>0.16862745098039217</c:v>
                </c:pt>
                <c:pt idx="55">
                  <c:v>0.17647058823529413</c:v>
                </c:pt>
                <c:pt idx="56">
                  <c:v>0.17254901960784313</c:v>
                </c:pt>
                <c:pt idx="57">
                  <c:v>0.16862745098039217</c:v>
                </c:pt>
                <c:pt idx="58">
                  <c:v>0.17647058823529413</c:v>
                </c:pt>
                <c:pt idx="59">
                  <c:v>0.16862745098039217</c:v>
                </c:pt>
                <c:pt idx="60">
                  <c:v>0.16862745098039217</c:v>
                </c:pt>
                <c:pt idx="61">
                  <c:v>0.16862745098039217</c:v>
                </c:pt>
                <c:pt idx="62">
                  <c:v>0.16862745098039217</c:v>
                </c:pt>
                <c:pt idx="63">
                  <c:v>0.16862745098039217</c:v>
                </c:pt>
                <c:pt idx="64">
                  <c:v>0.16862745098039217</c:v>
                </c:pt>
                <c:pt idx="65">
                  <c:v>0.16470588235294117</c:v>
                </c:pt>
                <c:pt idx="66">
                  <c:v>0.16078431372549021</c:v>
                </c:pt>
                <c:pt idx="67">
                  <c:v>0.16078431372549021</c:v>
                </c:pt>
                <c:pt idx="68">
                  <c:v>0.15294117647058825</c:v>
                </c:pt>
                <c:pt idx="69">
                  <c:v>0.15686274509803921</c:v>
                </c:pt>
                <c:pt idx="70">
                  <c:v>0.15686274509803921</c:v>
                </c:pt>
                <c:pt idx="71">
                  <c:v>0.15294117647058825</c:v>
                </c:pt>
                <c:pt idx="72">
                  <c:v>0.15294117647058825</c:v>
                </c:pt>
                <c:pt idx="73">
                  <c:v>0.15294117647058825</c:v>
                </c:pt>
                <c:pt idx="74">
                  <c:v>0.15294117647058825</c:v>
                </c:pt>
                <c:pt idx="75">
                  <c:v>0.15294117647058825</c:v>
                </c:pt>
                <c:pt idx="76">
                  <c:v>0.14901960784313725</c:v>
                </c:pt>
                <c:pt idx="77">
                  <c:v>0.14901960784313725</c:v>
                </c:pt>
                <c:pt idx="78">
                  <c:v>0.15294117647058825</c:v>
                </c:pt>
                <c:pt idx="79">
                  <c:v>0.14901960784313725</c:v>
                </c:pt>
                <c:pt idx="80">
                  <c:v>0.14509803921568629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data0!$F$1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data0!$F$2:$F$82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0.98039215686274506</c:v>
                </c:pt>
                <c:pt idx="12">
                  <c:v>0.87058823529411766</c:v>
                </c:pt>
                <c:pt idx="13">
                  <c:v>0.77647058823529413</c:v>
                </c:pt>
                <c:pt idx="14">
                  <c:v>0.69803921568627447</c:v>
                </c:pt>
                <c:pt idx="15">
                  <c:v>0.63529411764705879</c:v>
                </c:pt>
                <c:pt idx="16">
                  <c:v>0.58823529411764708</c:v>
                </c:pt>
                <c:pt idx="17">
                  <c:v>0.53725490196078429</c:v>
                </c:pt>
                <c:pt idx="18">
                  <c:v>0.50196078431372548</c:v>
                </c:pt>
                <c:pt idx="19">
                  <c:v>0.47058823529411764</c:v>
                </c:pt>
                <c:pt idx="20">
                  <c:v>0.4392156862745098</c:v>
                </c:pt>
                <c:pt idx="21">
                  <c:v>0.41568627450980394</c:v>
                </c:pt>
                <c:pt idx="22">
                  <c:v>0.38823529411764707</c:v>
                </c:pt>
                <c:pt idx="23">
                  <c:v>0.37254901960784315</c:v>
                </c:pt>
                <c:pt idx="24">
                  <c:v>0.34901960784313724</c:v>
                </c:pt>
                <c:pt idx="25">
                  <c:v>0.33333333333333331</c:v>
                </c:pt>
                <c:pt idx="26">
                  <c:v>0.32549019607843138</c:v>
                </c:pt>
                <c:pt idx="27">
                  <c:v>0.31372549019607843</c:v>
                </c:pt>
                <c:pt idx="28">
                  <c:v>0.30196078431372547</c:v>
                </c:pt>
                <c:pt idx="29">
                  <c:v>0.29411764705882354</c:v>
                </c:pt>
                <c:pt idx="30">
                  <c:v>0.28235294117647058</c:v>
                </c:pt>
                <c:pt idx="31">
                  <c:v>0.27058823529411763</c:v>
                </c:pt>
                <c:pt idx="32">
                  <c:v>0.2627450980392157</c:v>
                </c:pt>
                <c:pt idx="33">
                  <c:v>0.2627450980392157</c:v>
                </c:pt>
                <c:pt idx="34">
                  <c:v>0.24705882352941178</c:v>
                </c:pt>
                <c:pt idx="35">
                  <c:v>0.24705882352941178</c:v>
                </c:pt>
                <c:pt idx="36">
                  <c:v>0.23921568627450981</c:v>
                </c:pt>
                <c:pt idx="37">
                  <c:v>0.23921568627450981</c:v>
                </c:pt>
                <c:pt idx="38">
                  <c:v>0.23137254901960785</c:v>
                </c:pt>
                <c:pt idx="39">
                  <c:v>0.22352941176470589</c:v>
                </c:pt>
                <c:pt idx="40">
                  <c:v>0.21568627450980393</c:v>
                </c:pt>
                <c:pt idx="41">
                  <c:v>0.21568627450980393</c:v>
                </c:pt>
                <c:pt idx="42">
                  <c:v>0.20784313725490197</c:v>
                </c:pt>
                <c:pt idx="43">
                  <c:v>0.20784313725490197</c:v>
                </c:pt>
                <c:pt idx="44">
                  <c:v>0.2</c:v>
                </c:pt>
                <c:pt idx="45">
                  <c:v>0.19215686274509805</c:v>
                </c:pt>
                <c:pt idx="46">
                  <c:v>0.19215686274509805</c:v>
                </c:pt>
                <c:pt idx="47">
                  <c:v>0.18823529411764706</c:v>
                </c:pt>
                <c:pt idx="48">
                  <c:v>0.18431372549019609</c:v>
                </c:pt>
                <c:pt idx="49">
                  <c:v>0.18823529411764706</c:v>
                </c:pt>
                <c:pt idx="50">
                  <c:v>0.18431372549019609</c:v>
                </c:pt>
                <c:pt idx="51">
                  <c:v>0.1803921568627451</c:v>
                </c:pt>
                <c:pt idx="52">
                  <c:v>0.17647058823529413</c:v>
                </c:pt>
                <c:pt idx="53">
                  <c:v>0.17647058823529413</c:v>
                </c:pt>
                <c:pt idx="54">
                  <c:v>0.17647058823529413</c:v>
                </c:pt>
                <c:pt idx="55">
                  <c:v>0.1803921568627451</c:v>
                </c:pt>
                <c:pt idx="56">
                  <c:v>0.17647058823529413</c:v>
                </c:pt>
                <c:pt idx="57">
                  <c:v>0.17647058823529413</c:v>
                </c:pt>
                <c:pt idx="58">
                  <c:v>0.16862745098039217</c:v>
                </c:pt>
                <c:pt idx="59">
                  <c:v>0.16862745098039217</c:v>
                </c:pt>
                <c:pt idx="60">
                  <c:v>0.16470588235294117</c:v>
                </c:pt>
                <c:pt idx="61">
                  <c:v>0.16078431372549021</c:v>
                </c:pt>
                <c:pt idx="62">
                  <c:v>0.16078431372549021</c:v>
                </c:pt>
                <c:pt idx="63">
                  <c:v>0.16078431372549021</c:v>
                </c:pt>
                <c:pt idx="64">
                  <c:v>0.16078431372549021</c:v>
                </c:pt>
                <c:pt idx="65">
                  <c:v>0.16078431372549021</c:v>
                </c:pt>
                <c:pt idx="66">
                  <c:v>0.15686274509803921</c:v>
                </c:pt>
                <c:pt idx="67">
                  <c:v>0.15294117647058825</c:v>
                </c:pt>
                <c:pt idx="68">
                  <c:v>0.15294117647058825</c:v>
                </c:pt>
                <c:pt idx="69">
                  <c:v>0.15294117647058825</c:v>
                </c:pt>
                <c:pt idx="70">
                  <c:v>0.15294117647058825</c:v>
                </c:pt>
                <c:pt idx="71">
                  <c:v>0.15294117647058825</c:v>
                </c:pt>
                <c:pt idx="72">
                  <c:v>0.15294117647058825</c:v>
                </c:pt>
                <c:pt idx="73">
                  <c:v>0.15294117647058825</c:v>
                </c:pt>
                <c:pt idx="74">
                  <c:v>0.15294117647058825</c:v>
                </c:pt>
                <c:pt idx="75">
                  <c:v>0.15294117647058825</c:v>
                </c:pt>
                <c:pt idx="76">
                  <c:v>0.15294117647058825</c:v>
                </c:pt>
                <c:pt idx="77">
                  <c:v>0.14901960784313725</c:v>
                </c:pt>
                <c:pt idx="78">
                  <c:v>0.14901960784313725</c:v>
                </c:pt>
                <c:pt idx="79">
                  <c:v>0.14509803921568629</c:v>
                </c:pt>
                <c:pt idx="80">
                  <c:v>0.15294117647058825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data0!$G$1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data0!$G$2:$G$82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0.97647058823529409</c:v>
                </c:pt>
                <c:pt idx="12">
                  <c:v>0.86274509803921573</c:v>
                </c:pt>
                <c:pt idx="13">
                  <c:v>0.77647058823529413</c:v>
                </c:pt>
                <c:pt idx="14">
                  <c:v>0.70196078431372544</c:v>
                </c:pt>
                <c:pt idx="15">
                  <c:v>0.64313725490196083</c:v>
                </c:pt>
                <c:pt idx="16">
                  <c:v>0.58823529411764708</c:v>
                </c:pt>
                <c:pt idx="17">
                  <c:v>0.54117647058823526</c:v>
                </c:pt>
                <c:pt idx="18">
                  <c:v>0.50196078431372548</c:v>
                </c:pt>
                <c:pt idx="19">
                  <c:v>0.47058823529411764</c:v>
                </c:pt>
                <c:pt idx="20">
                  <c:v>0.4392156862745098</c:v>
                </c:pt>
                <c:pt idx="21">
                  <c:v>0.41176470588235292</c:v>
                </c:pt>
                <c:pt idx="22">
                  <c:v>0.3843137254901961</c:v>
                </c:pt>
                <c:pt idx="23">
                  <c:v>0.37254901960784315</c:v>
                </c:pt>
                <c:pt idx="24">
                  <c:v>0.34509803921568627</c:v>
                </c:pt>
                <c:pt idx="25">
                  <c:v>0.33333333333333331</c:v>
                </c:pt>
                <c:pt idx="26">
                  <c:v>0.31764705882352939</c:v>
                </c:pt>
                <c:pt idx="27">
                  <c:v>0.30980392156862746</c:v>
                </c:pt>
                <c:pt idx="28">
                  <c:v>0.29411764705882354</c:v>
                </c:pt>
                <c:pt idx="29">
                  <c:v>0.28627450980392155</c:v>
                </c:pt>
                <c:pt idx="30">
                  <c:v>0.27843137254901962</c:v>
                </c:pt>
                <c:pt idx="31">
                  <c:v>0.27450980392156865</c:v>
                </c:pt>
                <c:pt idx="32">
                  <c:v>0.2627450980392157</c:v>
                </c:pt>
                <c:pt idx="33">
                  <c:v>0.25490196078431371</c:v>
                </c:pt>
                <c:pt idx="34">
                  <c:v>0.24705882352941178</c:v>
                </c:pt>
                <c:pt idx="35">
                  <c:v>0.23921568627450981</c:v>
                </c:pt>
                <c:pt idx="36">
                  <c:v>0.23921568627450981</c:v>
                </c:pt>
                <c:pt idx="37">
                  <c:v>0.23137254901960785</c:v>
                </c:pt>
                <c:pt idx="38">
                  <c:v>0.22745098039215686</c:v>
                </c:pt>
                <c:pt idx="39">
                  <c:v>0.22352941176470589</c:v>
                </c:pt>
                <c:pt idx="40">
                  <c:v>0.22352941176470589</c:v>
                </c:pt>
                <c:pt idx="41">
                  <c:v>0.21568627450980393</c:v>
                </c:pt>
                <c:pt idx="42">
                  <c:v>0.20784313725490197</c:v>
                </c:pt>
                <c:pt idx="43">
                  <c:v>0.20784313725490197</c:v>
                </c:pt>
                <c:pt idx="44">
                  <c:v>0.20392156862745098</c:v>
                </c:pt>
                <c:pt idx="45">
                  <c:v>0.19607843137254902</c:v>
                </c:pt>
                <c:pt idx="46">
                  <c:v>0.19607843137254902</c:v>
                </c:pt>
                <c:pt idx="47">
                  <c:v>0.19215686274509805</c:v>
                </c:pt>
                <c:pt idx="48">
                  <c:v>0.19215686274509805</c:v>
                </c:pt>
                <c:pt idx="49">
                  <c:v>0.19215686274509805</c:v>
                </c:pt>
                <c:pt idx="50">
                  <c:v>0.18431372549019609</c:v>
                </c:pt>
                <c:pt idx="51">
                  <c:v>0.18431372549019609</c:v>
                </c:pt>
                <c:pt idx="52">
                  <c:v>0.18431372549019609</c:v>
                </c:pt>
                <c:pt idx="53">
                  <c:v>0.1803921568627451</c:v>
                </c:pt>
                <c:pt idx="54">
                  <c:v>0.1803921568627451</c:v>
                </c:pt>
                <c:pt idx="55">
                  <c:v>0.17647058823529413</c:v>
                </c:pt>
                <c:pt idx="56">
                  <c:v>0.17647058823529413</c:v>
                </c:pt>
                <c:pt idx="57">
                  <c:v>0.17254901960784313</c:v>
                </c:pt>
                <c:pt idx="58">
                  <c:v>0.16862745098039217</c:v>
                </c:pt>
                <c:pt idx="59">
                  <c:v>0.16862745098039217</c:v>
                </c:pt>
                <c:pt idx="60">
                  <c:v>0.16862745098039217</c:v>
                </c:pt>
                <c:pt idx="61">
                  <c:v>0.16862745098039217</c:v>
                </c:pt>
                <c:pt idx="62">
                  <c:v>0.16862745098039217</c:v>
                </c:pt>
                <c:pt idx="63">
                  <c:v>0.16862745098039217</c:v>
                </c:pt>
                <c:pt idx="64">
                  <c:v>0.16470588235294117</c:v>
                </c:pt>
                <c:pt idx="65">
                  <c:v>0.16078431372549021</c:v>
                </c:pt>
                <c:pt idx="66">
                  <c:v>0.15686274509803921</c:v>
                </c:pt>
                <c:pt idx="67">
                  <c:v>0.15294117647058825</c:v>
                </c:pt>
                <c:pt idx="68">
                  <c:v>0.16078431372549021</c:v>
                </c:pt>
                <c:pt idx="69">
                  <c:v>0.15686274509803921</c:v>
                </c:pt>
                <c:pt idx="70">
                  <c:v>0.14901960784313725</c:v>
                </c:pt>
                <c:pt idx="71">
                  <c:v>0.15294117647058825</c:v>
                </c:pt>
                <c:pt idx="72">
                  <c:v>0.14901960784313725</c:v>
                </c:pt>
                <c:pt idx="73">
                  <c:v>0.14509803921568629</c:v>
                </c:pt>
                <c:pt idx="74">
                  <c:v>0.15294117647058825</c:v>
                </c:pt>
                <c:pt idx="75">
                  <c:v>0.14509803921568629</c:v>
                </c:pt>
                <c:pt idx="76">
                  <c:v>0.14509803921568629</c:v>
                </c:pt>
                <c:pt idx="77">
                  <c:v>0.14509803921568629</c:v>
                </c:pt>
                <c:pt idx="78">
                  <c:v>0.15294117647058825</c:v>
                </c:pt>
                <c:pt idx="79">
                  <c:v>0.14509803921568629</c:v>
                </c:pt>
                <c:pt idx="80">
                  <c:v>0.14509803921568629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data0!$H$1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data0!$H$2:$H$82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0.97254901960784312</c:v>
                </c:pt>
                <c:pt idx="12">
                  <c:v>0.87058823529411766</c:v>
                </c:pt>
                <c:pt idx="13">
                  <c:v>0.7686274509803922</c:v>
                </c:pt>
                <c:pt idx="14">
                  <c:v>0.69411764705882351</c:v>
                </c:pt>
                <c:pt idx="15">
                  <c:v>0.63529411764705879</c:v>
                </c:pt>
                <c:pt idx="16">
                  <c:v>0.58039215686274515</c:v>
                </c:pt>
                <c:pt idx="17">
                  <c:v>0.53333333333333333</c:v>
                </c:pt>
                <c:pt idx="18">
                  <c:v>0.49411764705882355</c:v>
                </c:pt>
                <c:pt idx="19">
                  <c:v>0.46274509803921571</c:v>
                </c:pt>
                <c:pt idx="20">
                  <c:v>0.43529411764705883</c:v>
                </c:pt>
                <c:pt idx="21">
                  <c:v>0.41176470588235292</c:v>
                </c:pt>
                <c:pt idx="22">
                  <c:v>0.3843137254901961</c:v>
                </c:pt>
                <c:pt idx="23">
                  <c:v>0.36862745098039218</c:v>
                </c:pt>
                <c:pt idx="24">
                  <c:v>0.35294117647058826</c:v>
                </c:pt>
                <c:pt idx="25">
                  <c:v>0.33333333333333331</c:v>
                </c:pt>
                <c:pt idx="26">
                  <c:v>0.32156862745098042</c:v>
                </c:pt>
                <c:pt idx="27">
                  <c:v>0.30588235294117649</c:v>
                </c:pt>
                <c:pt idx="28">
                  <c:v>0.29803921568627451</c:v>
                </c:pt>
                <c:pt idx="29">
                  <c:v>0.27843137254901962</c:v>
                </c:pt>
                <c:pt idx="30">
                  <c:v>0.27058823529411763</c:v>
                </c:pt>
                <c:pt idx="31">
                  <c:v>0.2627450980392157</c:v>
                </c:pt>
                <c:pt idx="32">
                  <c:v>0.25490196078431371</c:v>
                </c:pt>
                <c:pt idx="33">
                  <c:v>0.25490196078431371</c:v>
                </c:pt>
                <c:pt idx="34">
                  <c:v>0.23921568627450981</c:v>
                </c:pt>
                <c:pt idx="35">
                  <c:v>0.23921568627450981</c:v>
                </c:pt>
                <c:pt idx="36">
                  <c:v>0.23529411764705882</c:v>
                </c:pt>
                <c:pt idx="37">
                  <c:v>0.23137254901960785</c:v>
                </c:pt>
                <c:pt idx="38">
                  <c:v>0.22352941176470589</c:v>
                </c:pt>
                <c:pt idx="39">
                  <c:v>0.21568627450980393</c:v>
                </c:pt>
                <c:pt idx="40">
                  <c:v>0.21176470588235294</c:v>
                </c:pt>
                <c:pt idx="41">
                  <c:v>0.21176470588235294</c:v>
                </c:pt>
                <c:pt idx="42">
                  <c:v>0.2</c:v>
                </c:pt>
                <c:pt idx="43">
                  <c:v>0.2</c:v>
                </c:pt>
                <c:pt idx="44">
                  <c:v>0.19215686274509805</c:v>
                </c:pt>
                <c:pt idx="45">
                  <c:v>0.18431372549019609</c:v>
                </c:pt>
                <c:pt idx="46">
                  <c:v>0.18431372549019609</c:v>
                </c:pt>
                <c:pt idx="47">
                  <c:v>0.18431372549019609</c:v>
                </c:pt>
                <c:pt idx="48">
                  <c:v>0.18431372549019609</c:v>
                </c:pt>
                <c:pt idx="49">
                  <c:v>0.18431372549019609</c:v>
                </c:pt>
                <c:pt idx="50">
                  <c:v>0.17647058823529413</c:v>
                </c:pt>
                <c:pt idx="51">
                  <c:v>0.17647058823529413</c:v>
                </c:pt>
                <c:pt idx="52">
                  <c:v>0.17647058823529413</c:v>
                </c:pt>
                <c:pt idx="53">
                  <c:v>0.17254901960784313</c:v>
                </c:pt>
                <c:pt idx="54">
                  <c:v>0.16862745098039217</c:v>
                </c:pt>
                <c:pt idx="55">
                  <c:v>0.16862745098039217</c:v>
                </c:pt>
                <c:pt idx="56">
                  <c:v>0.16078431372549021</c:v>
                </c:pt>
                <c:pt idx="57">
                  <c:v>0.16078431372549021</c:v>
                </c:pt>
                <c:pt idx="58">
                  <c:v>0.16078431372549021</c:v>
                </c:pt>
                <c:pt idx="59">
                  <c:v>0.16078431372549021</c:v>
                </c:pt>
                <c:pt idx="60">
                  <c:v>0.15294117647058825</c:v>
                </c:pt>
                <c:pt idx="61">
                  <c:v>0.15294117647058825</c:v>
                </c:pt>
                <c:pt idx="62">
                  <c:v>0.16078431372549021</c:v>
                </c:pt>
                <c:pt idx="63">
                  <c:v>0.16078431372549021</c:v>
                </c:pt>
                <c:pt idx="64">
                  <c:v>0.16078431372549021</c:v>
                </c:pt>
                <c:pt idx="65">
                  <c:v>0.15686274509803921</c:v>
                </c:pt>
                <c:pt idx="66">
                  <c:v>0.15294117647058825</c:v>
                </c:pt>
                <c:pt idx="67">
                  <c:v>0.15294117647058825</c:v>
                </c:pt>
                <c:pt idx="68">
                  <c:v>0.15294117647058825</c:v>
                </c:pt>
                <c:pt idx="69">
                  <c:v>0.15294117647058825</c:v>
                </c:pt>
                <c:pt idx="70">
                  <c:v>0.15294117647058825</c:v>
                </c:pt>
                <c:pt idx="71">
                  <c:v>0.15294117647058825</c:v>
                </c:pt>
                <c:pt idx="72">
                  <c:v>0.14509803921568629</c:v>
                </c:pt>
                <c:pt idx="73">
                  <c:v>0.14509803921568629</c:v>
                </c:pt>
                <c:pt idx="74">
                  <c:v>0.14509803921568629</c:v>
                </c:pt>
                <c:pt idx="75">
                  <c:v>0.14509803921568629</c:v>
                </c:pt>
                <c:pt idx="76">
                  <c:v>0.14509803921568629</c:v>
                </c:pt>
                <c:pt idx="77">
                  <c:v>0.14509803921568629</c:v>
                </c:pt>
                <c:pt idx="78">
                  <c:v>0.14509803921568629</c:v>
                </c:pt>
                <c:pt idx="79">
                  <c:v>0.14509803921568629</c:v>
                </c:pt>
                <c:pt idx="80">
                  <c:v>0.14509803921568629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data0!$I$1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data0!$I$2:$I$82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0.97647058823529409</c:v>
                </c:pt>
                <c:pt idx="12">
                  <c:v>0.87058823529411766</c:v>
                </c:pt>
                <c:pt idx="13">
                  <c:v>0.77647058823529413</c:v>
                </c:pt>
                <c:pt idx="14">
                  <c:v>0.70196078431372544</c:v>
                </c:pt>
                <c:pt idx="15">
                  <c:v>0.63921568627450975</c:v>
                </c:pt>
                <c:pt idx="16">
                  <c:v>0.58823529411764708</c:v>
                </c:pt>
                <c:pt idx="17">
                  <c:v>0.53333333333333333</c:v>
                </c:pt>
                <c:pt idx="18">
                  <c:v>0.50196078431372548</c:v>
                </c:pt>
                <c:pt idx="19">
                  <c:v>0.47058823529411764</c:v>
                </c:pt>
                <c:pt idx="20">
                  <c:v>0.43137254901960786</c:v>
                </c:pt>
                <c:pt idx="21">
                  <c:v>0.41176470588235292</c:v>
                </c:pt>
                <c:pt idx="22">
                  <c:v>0.3843137254901961</c:v>
                </c:pt>
                <c:pt idx="23">
                  <c:v>0.36862745098039218</c:v>
                </c:pt>
                <c:pt idx="24">
                  <c:v>0.34509803921568627</c:v>
                </c:pt>
                <c:pt idx="25">
                  <c:v>0.32941176470588235</c:v>
                </c:pt>
                <c:pt idx="26">
                  <c:v>0.31372549019607843</c:v>
                </c:pt>
                <c:pt idx="27">
                  <c:v>0.30588235294117649</c:v>
                </c:pt>
                <c:pt idx="28">
                  <c:v>0.29411764705882354</c:v>
                </c:pt>
                <c:pt idx="29">
                  <c:v>0.28235294117647058</c:v>
                </c:pt>
                <c:pt idx="30">
                  <c:v>0.27058823529411763</c:v>
                </c:pt>
                <c:pt idx="31">
                  <c:v>0.2627450980392157</c:v>
                </c:pt>
                <c:pt idx="32">
                  <c:v>0.25490196078431371</c:v>
                </c:pt>
                <c:pt idx="33">
                  <c:v>0.23921568627450981</c:v>
                </c:pt>
                <c:pt idx="34">
                  <c:v>0.23921568627450981</c:v>
                </c:pt>
                <c:pt idx="35">
                  <c:v>0.23137254901960785</c:v>
                </c:pt>
                <c:pt idx="36">
                  <c:v>0.22352941176470589</c:v>
                </c:pt>
                <c:pt idx="37">
                  <c:v>0.21568627450980393</c:v>
                </c:pt>
                <c:pt idx="38">
                  <c:v>0.21176470588235294</c:v>
                </c:pt>
                <c:pt idx="39">
                  <c:v>0.20784313725490197</c:v>
                </c:pt>
                <c:pt idx="40">
                  <c:v>0.20784313725490197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0.19215686274509805</c:v>
                </c:pt>
                <c:pt idx="46">
                  <c:v>0.19215686274509805</c:v>
                </c:pt>
                <c:pt idx="47">
                  <c:v>0.19215686274509805</c:v>
                </c:pt>
                <c:pt idx="48">
                  <c:v>0.18431372549019609</c:v>
                </c:pt>
                <c:pt idx="49">
                  <c:v>0.18431372549019609</c:v>
                </c:pt>
                <c:pt idx="50">
                  <c:v>0.18431372549019609</c:v>
                </c:pt>
                <c:pt idx="51">
                  <c:v>0.18431372549019609</c:v>
                </c:pt>
                <c:pt idx="52">
                  <c:v>0.1803921568627451</c:v>
                </c:pt>
                <c:pt idx="53">
                  <c:v>0.1803921568627451</c:v>
                </c:pt>
                <c:pt idx="54">
                  <c:v>0.17647058823529413</c:v>
                </c:pt>
                <c:pt idx="55">
                  <c:v>0.17647058823529413</c:v>
                </c:pt>
                <c:pt idx="56">
                  <c:v>0.16862745098039217</c:v>
                </c:pt>
                <c:pt idx="57">
                  <c:v>0.16862745098039217</c:v>
                </c:pt>
                <c:pt idx="58">
                  <c:v>0.16862745098039217</c:v>
                </c:pt>
                <c:pt idx="59">
                  <c:v>0.16862745098039217</c:v>
                </c:pt>
                <c:pt idx="60">
                  <c:v>0.16078431372549021</c:v>
                </c:pt>
                <c:pt idx="61">
                  <c:v>0.16470588235294117</c:v>
                </c:pt>
                <c:pt idx="62">
                  <c:v>0.16078431372549021</c:v>
                </c:pt>
                <c:pt idx="63">
                  <c:v>0.16078431372549021</c:v>
                </c:pt>
                <c:pt idx="64">
                  <c:v>0.16078431372549021</c:v>
                </c:pt>
                <c:pt idx="65">
                  <c:v>0.16862745098039217</c:v>
                </c:pt>
                <c:pt idx="66">
                  <c:v>0.16078431372549021</c:v>
                </c:pt>
                <c:pt idx="67">
                  <c:v>0.16078431372549021</c:v>
                </c:pt>
                <c:pt idx="68">
                  <c:v>0.16078431372549021</c:v>
                </c:pt>
                <c:pt idx="69">
                  <c:v>0.15686274509803921</c:v>
                </c:pt>
                <c:pt idx="70">
                  <c:v>0.15294117647058825</c:v>
                </c:pt>
                <c:pt idx="71">
                  <c:v>0.15294117647058825</c:v>
                </c:pt>
                <c:pt idx="72">
                  <c:v>0.16078431372549021</c:v>
                </c:pt>
                <c:pt idx="73">
                  <c:v>0.16078431372549021</c:v>
                </c:pt>
                <c:pt idx="74">
                  <c:v>0.15686274509803921</c:v>
                </c:pt>
                <c:pt idx="75">
                  <c:v>0.15294117647058825</c:v>
                </c:pt>
                <c:pt idx="76">
                  <c:v>0.15294117647058825</c:v>
                </c:pt>
                <c:pt idx="77">
                  <c:v>0.15294117647058825</c:v>
                </c:pt>
                <c:pt idx="78">
                  <c:v>0.14509803921568629</c:v>
                </c:pt>
                <c:pt idx="79">
                  <c:v>0.15294117647058825</c:v>
                </c:pt>
                <c:pt idx="80">
                  <c:v>0.14509803921568629</c:v>
                </c:pt>
              </c:numCache>
            </c:numRef>
          </c:yVal>
          <c:smooth val="1"/>
        </c:ser>
        <c:axId val="135464064"/>
        <c:axId val="135465600"/>
      </c:scatterChart>
      <c:valAx>
        <c:axId val="135464064"/>
        <c:scaling>
          <c:orientation val="minMax"/>
        </c:scaling>
        <c:axPos val="b"/>
        <c:numFmt formatCode="0.0" sourceLinked="1"/>
        <c:tickLblPos val="nextTo"/>
        <c:crossAx val="135465600"/>
        <c:crosses val="autoZero"/>
        <c:crossBetween val="midCat"/>
      </c:valAx>
      <c:valAx>
        <c:axId val="135465600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3546406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data0!$J$2:$J$82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0.96862745098039216</c:v>
                </c:pt>
                <c:pt idx="11">
                  <c:v>0.83529411764705885</c:v>
                </c:pt>
                <c:pt idx="12">
                  <c:v>0.72156862745098038</c:v>
                </c:pt>
                <c:pt idx="13">
                  <c:v>0.63137254901960782</c:v>
                </c:pt>
                <c:pt idx="14">
                  <c:v>0.55686274509803924</c:v>
                </c:pt>
                <c:pt idx="15">
                  <c:v>0.49411764705882355</c:v>
                </c:pt>
                <c:pt idx="16">
                  <c:v>0.44313725490196076</c:v>
                </c:pt>
                <c:pt idx="17">
                  <c:v>0.396078431372549</c:v>
                </c:pt>
                <c:pt idx="18">
                  <c:v>0.35294117647058826</c:v>
                </c:pt>
                <c:pt idx="19">
                  <c:v>0.32549019607843138</c:v>
                </c:pt>
                <c:pt idx="20">
                  <c:v>0.29019607843137257</c:v>
                </c:pt>
                <c:pt idx="21">
                  <c:v>0.26666666666666666</c:v>
                </c:pt>
                <c:pt idx="22">
                  <c:v>0.24313725490196078</c:v>
                </c:pt>
                <c:pt idx="23">
                  <c:v>0.22352941176470589</c:v>
                </c:pt>
                <c:pt idx="24">
                  <c:v>0.21176470588235294</c:v>
                </c:pt>
                <c:pt idx="25">
                  <c:v>0.18823529411764706</c:v>
                </c:pt>
                <c:pt idx="26">
                  <c:v>0.17254901960784313</c:v>
                </c:pt>
                <c:pt idx="27">
                  <c:v>0.16078431372549021</c:v>
                </c:pt>
                <c:pt idx="28">
                  <c:v>0.15294117647058825</c:v>
                </c:pt>
                <c:pt idx="29">
                  <c:v>0.13725490196078433</c:v>
                </c:pt>
                <c:pt idx="30">
                  <c:v>0.12941176470588237</c:v>
                </c:pt>
                <c:pt idx="31">
                  <c:v>0.12549019607843137</c:v>
                </c:pt>
                <c:pt idx="32">
                  <c:v>0.11372549019607843</c:v>
                </c:pt>
                <c:pt idx="33">
                  <c:v>0.11372549019607843</c:v>
                </c:pt>
                <c:pt idx="34">
                  <c:v>0.10588235294117647</c:v>
                </c:pt>
                <c:pt idx="35">
                  <c:v>9.8039215686274508E-2</c:v>
                </c:pt>
                <c:pt idx="36">
                  <c:v>9.0196078431372548E-2</c:v>
                </c:pt>
                <c:pt idx="37">
                  <c:v>8.2352941176470587E-2</c:v>
                </c:pt>
                <c:pt idx="38">
                  <c:v>7.4509803921568626E-2</c:v>
                </c:pt>
                <c:pt idx="39">
                  <c:v>7.4509803921568626E-2</c:v>
                </c:pt>
                <c:pt idx="40">
                  <c:v>6.6666666666666666E-2</c:v>
                </c:pt>
                <c:pt idx="41">
                  <c:v>6.6666666666666666E-2</c:v>
                </c:pt>
                <c:pt idx="42">
                  <c:v>5.8823529411764705E-2</c:v>
                </c:pt>
                <c:pt idx="43">
                  <c:v>5.8823529411764705E-2</c:v>
                </c:pt>
                <c:pt idx="44">
                  <c:v>5.0980392156862744E-2</c:v>
                </c:pt>
                <c:pt idx="45">
                  <c:v>5.4901960784313725E-2</c:v>
                </c:pt>
                <c:pt idx="46">
                  <c:v>4.3137254901960784E-2</c:v>
                </c:pt>
                <c:pt idx="47">
                  <c:v>4.3137254901960784E-2</c:v>
                </c:pt>
                <c:pt idx="48">
                  <c:v>4.3137254901960784E-2</c:v>
                </c:pt>
                <c:pt idx="49">
                  <c:v>4.3137254901960784E-2</c:v>
                </c:pt>
                <c:pt idx="50">
                  <c:v>4.3137254901960784E-2</c:v>
                </c:pt>
                <c:pt idx="51">
                  <c:v>4.3137254901960784E-2</c:v>
                </c:pt>
                <c:pt idx="52">
                  <c:v>3.5294117647058823E-2</c:v>
                </c:pt>
                <c:pt idx="53">
                  <c:v>4.3137254901960784E-2</c:v>
                </c:pt>
                <c:pt idx="54">
                  <c:v>3.5294117647058823E-2</c:v>
                </c:pt>
                <c:pt idx="55">
                  <c:v>4.3137254901960784E-2</c:v>
                </c:pt>
                <c:pt idx="56">
                  <c:v>3.5294117647058823E-2</c:v>
                </c:pt>
                <c:pt idx="57">
                  <c:v>3.5294117647058823E-2</c:v>
                </c:pt>
                <c:pt idx="58">
                  <c:v>3.1372549019607843E-2</c:v>
                </c:pt>
                <c:pt idx="59">
                  <c:v>3.1372549019607843E-2</c:v>
                </c:pt>
                <c:pt idx="60">
                  <c:v>2.7450980392156862E-2</c:v>
                </c:pt>
                <c:pt idx="61">
                  <c:v>1.9607843137254902E-2</c:v>
                </c:pt>
                <c:pt idx="62">
                  <c:v>2.3529411764705882E-2</c:v>
                </c:pt>
                <c:pt idx="63">
                  <c:v>1.5686274509803921E-2</c:v>
                </c:pt>
                <c:pt idx="64">
                  <c:v>1.5686274509803921E-2</c:v>
                </c:pt>
                <c:pt idx="65">
                  <c:v>1.9607843137254902E-2</c:v>
                </c:pt>
                <c:pt idx="66">
                  <c:v>1.5686274509803921E-2</c:v>
                </c:pt>
                <c:pt idx="67">
                  <c:v>1.5686274509803921E-2</c:v>
                </c:pt>
                <c:pt idx="68">
                  <c:v>1.9607843137254902E-2</c:v>
                </c:pt>
                <c:pt idx="69">
                  <c:v>1.9607843137254902E-2</c:v>
                </c:pt>
                <c:pt idx="70">
                  <c:v>1.1764705882352941E-2</c:v>
                </c:pt>
                <c:pt idx="71">
                  <c:v>1.1764705882352941E-2</c:v>
                </c:pt>
                <c:pt idx="72">
                  <c:v>3.9215686274509803E-3</c:v>
                </c:pt>
                <c:pt idx="73">
                  <c:v>1.1764705882352941E-2</c:v>
                </c:pt>
                <c:pt idx="74">
                  <c:v>7.8431372549019607E-3</c:v>
                </c:pt>
                <c:pt idx="75">
                  <c:v>3.9215686274509803E-3</c:v>
                </c:pt>
                <c:pt idx="76">
                  <c:v>3.9215686274509803E-3</c:v>
                </c:pt>
                <c:pt idx="77">
                  <c:v>7.8431372549019607E-3</c:v>
                </c:pt>
                <c:pt idx="78">
                  <c:v>3.9215686274509803E-3</c:v>
                </c:pt>
                <c:pt idx="79">
                  <c:v>3.9215686274509803E-3</c:v>
                </c:pt>
                <c:pt idx="80">
                  <c:v>3.9215686274509803E-3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data0!$K$1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data0!$K$2:$K$82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0.97254901960784312</c:v>
                </c:pt>
                <c:pt idx="12">
                  <c:v>0.86274509803921573</c:v>
                </c:pt>
                <c:pt idx="13">
                  <c:v>0.77254901960784317</c:v>
                </c:pt>
                <c:pt idx="14">
                  <c:v>0.69411764705882351</c:v>
                </c:pt>
                <c:pt idx="15">
                  <c:v>0.63529411764705879</c:v>
                </c:pt>
                <c:pt idx="16">
                  <c:v>0.58431372549019611</c:v>
                </c:pt>
                <c:pt idx="17">
                  <c:v>0.53725490196078429</c:v>
                </c:pt>
                <c:pt idx="18">
                  <c:v>0.49411764705882355</c:v>
                </c:pt>
                <c:pt idx="19">
                  <c:v>0.46274509803921571</c:v>
                </c:pt>
                <c:pt idx="20">
                  <c:v>0.43529411764705883</c:v>
                </c:pt>
                <c:pt idx="21">
                  <c:v>0.41176470588235292</c:v>
                </c:pt>
                <c:pt idx="22">
                  <c:v>0.38823529411764707</c:v>
                </c:pt>
                <c:pt idx="23">
                  <c:v>0.36862745098039218</c:v>
                </c:pt>
                <c:pt idx="24">
                  <c:v>0.34901960784313724</c:v>
                </c:pt>
                <c:pt idx="25">
                  <c:v>0.32941176470588235</c:v>
                </c:pt>
                <c:pt idx="26">
                  <c:v>0.30980392156862746</c:v>
                </c:pt>
                <c:pt idx="27">
                  <c:v>0.30196078431372547</c:v>
                </c:pt>
                <c:pt idx="28">
                  <c:v>0.29411764705882354</c:v>
                </c:pt>
                <c:pt idx="29">
                  <c:v>0.28627450980392155</c:v>
                </c:pt>
                <c:pt idx="30">
                  <c:v>0.27450980392156865</c:v>
                </c:pt>
                <c:pt idx="31">
                  <c:v>0.2627450980392157</c:v>
                </c:pt>
                <c:pt idx="32">
                  <c:v>0.25490196078431371</c:v>
                </c:pt>
                <c:pt idx="33">
                  <c:v>0.24705882352941178</c:v>
                </c:pt>
                <c:pt idx="34">
                  <c:v>0.23921568627450981</c:v>
                </c:pt>
                <c:pt idx="35">
                  <c:v>0.23137254901960785</c:v>
                </c:pt>
                <c:pt idx="36">
                  <c:v>0.23137254901960785</c:v>
                </c:pt>
                <c:pt idx="37">
                  <c:v>0.22352941176470589</c:v>
                </c:pt>
                <c:pt idx="38">
                  <c:v>0.2196078431372549</c:v>
                </c:pt>
                <c:pt idx="39">
                  <c:v>0.21568627450980393</c:v>
                </c:pt>
                <c:pt idx="40">
                  <c:v>0.20784313725490197</c:v>
                </c:pt>
                <c:pt idx="41">
                  <c:v>0.20784313725490197</c:v>
                </c:pt>
                <c:pt idx="42">
                  <c:v>0.20784313725490197</c:v>
                </c:pt>
                <c:pt idx="43">
                  <c:v>0.20784313725490197</c:v>
                </c:pt>
                <c:pt idx="44">
                  <c:v>0.2</c:v>
                </c:pt>
                <c:pt idx="45">
                  <c:v>0.19215686274509805</c:v>
                </c:pt>
                <c:pt idx="46">
                  <c:v>0.19215686274509805</c:v>
                </c:pt>
                <c:pt idx="47">
                  <c:v>0.19215686274509805</c:v>
                </c:pt>
                <c:pt idx="48">
                  <c:v>0.18823529411764706</c:v>
                </c:pt>
                <c:pt idx="49">
                  <c:v>0.18823529411764706</c:v>
                </c:pt>
                <c:pt idx="50">
                  <c:v>0.18431372549019609</c:v>
                </c:pt>
                <c:pt idx="51">
                  <c:v>0.18431372549019609</c:v>
                </c:pt>
                <c:pt idx="52">
                  <c:v>0.18431372549019609</c:v>
                </c:pt>
                <c:pt idx="53">
                  <c:v>0.17647058823529413</c:v>
                </c:pt>
                <c:pt idx="54">
                  <c:v>0.17647058823529413</c:v>
                </c:pt>
                <c:pt idx="55">
                  <c:v>0.16862745098039217</c:v>
                </c:pt>
                <c:pt idx="56">
                  <c:v>0.17254901960784313</c:v>
                </c:pt>
                <c:pt idx="57">
                  <c:v>0.16862745098039217</c:v>
                </c:pt>
                <c:pt idx="58">
                  <c:v>0.16862745098039217</c:v>
                </c:pt>
                <c:pt idx="59">
                  <c:v>0.16862745098039217</c:v>
                </c:pt>
                <c:pt idx="60">
                  <c:v>0.16862745098039217</c:v>
                </c:pt>
                <c:pt idx="61">
                  <c:v>0.16078431372549021</c:v>
                </c:pt>
                <c:pt idx="62">
                  <c:v>0.16862745098039217</c:v>
                </c:pt>
                <c:pt idx="63">
                  <c:v>0.16862745098039217</c:v>
                </c:pt>
                <c:pt idx="64">
                  <c:v>0.16862745098039217</c:v>
                </c:pt>
                <c:pt idx="65">
                  <c:v>0.16862745098039217</c:v>
                </c:pt>
                <c:pt idx="66">
                  <c:v>0.16078431372549021</c:v>
                </c:pt>
                <c:pt idx="67">
                  <c:v>0.16078431372549021</c:v>
                </c:pt>
                <c:pt idx="68">
                  <c:v>0.16078431372549021</c:v>
                </c:pt>
                <c:pt idx="69">
                  <c:v>0.15686274509803921</c:v>
                </c:pt>
                <c:pt idx="70">
                  <c:v>0.15294117647058825</c:v>
                </c:pt>
                <c:pt idx="71">
                  <c:v>0.16078431372549021</c:v>
                </c:pt>
                <c:pt idx="72">
                  <c:v>0.15294117647058825</c:v>
                </c:pt>
                <c:pt idx="73">
                  <c:v>0.15294117647058825</c:v>
                </c:pt>
                <c:pt idx="74">
                  <c:v>0.15294117647058825</c:v>
                </c:pt>
                <c:pt idx="75">
                  <c:v>0.15294117647058825</c:v>
                </c:pt>
                <c:pt idx="76">
                  <c:v>0.15294117647058825</c:v>
                </c:pt>
                <c:pt idx="77">
                  <c:v>0.14509803921568629</c:v>
                </c:pt>
                <c:pt idx="78">
                  <c:v>0.14509803921568629</c:v>
                </c:pt>
                <c:pt idx="79">
                  <c:v>0.15294117647058825</c:v>
                </c:pt>
                <c:pt idx="80">
                  <c:v>0.14509803921568629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data0!$L$1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data0!$L$2:$L$82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0.97647058823529409</c:v>
                </c:pt>
                <c:pt idx="12">
                  <c:v>0.87058823529411766</c:v>
                </c:pt>
                <c:pt idx="13">
                  <c:v>0.77254901960784317</c:v>
                </c:pt>
                <c:pt idx="14">
                  <c:v>0.69803921568627447</c:v>
                </c:pt>
                <c:pt idx="15">
                  <c:v>0.63921568627450975</c:v>
                </c:pt>
                <c:pt idx="16">
                  <c:v>0.58823529411764708</c:v>
                </c:pt>
                <c:pt idx="17">
                  <c:v>0.54117647058823526</c:v>
                </c:pt>
                <c:pt idx="18">
                  <c:v>0.50196078431372548</c:v>
                </c:pt>
                <c:pt idx="19">
                  <c:v>0.47058823529411764</c:v>
                </c:pt>
                <c:pt idx="20">
                  <c:v>0.4392156862745098</c:v>
                </c:pt>
                <c:pt idx="21">
                  <c:v>0.41568627450980394</c:v>
                </c:pt>
                <c:pt idx="22">
                  <c:v>0.38823529411764707</c:v>
                </c:pt>
                <c:pt idx="23">
                  <c:v>0.36862745098039218</c:v>
                </c:pt>
                <c:pt idx="24">
                  <c:v>0.34901960784313724</c:v>
                </c:pt>
                <c:pt idx="25">
                  <c:v>0.33333333333333331</c:v>
                </c:pt>
                <c:pt idx="26">
                  <c:v>0.32156862745098042</c:v>
                </c:pt>
                <c:pt idx="27">
                  <c:v>0.30980392156862746</c:v>
                </c:pt>
                <c:pt idx="28">
                  <c:v>0.29411764705882354</c:v>
                </c:pt>
                <c:pt idx="29">
                  <c:v>0.28627450980392155</c:v>
                </c:pt>
                <c:pt idx="30">
                  <c:v>0.27450980392156865</c:v>
                </c:pt>
                <c:pt idx="31">
                  <c:v>0.26666666666666666</c:v>
                </c:pt>
                <c:pt idx="32">
                  <c:v>0.2627450980392157</c:v>
                </c:pt>
                <c:pt idx="33">
                  <c:v>0.25098039215686274</c:v>
                </c:pt>
                <c:pt idx="34">
                  <c:v>0.24705882352941178</c:v>
                </c:pt>
                <c:pt idx="35">
                  <c:v>0.23137254901960785</c:v>
                </c:pt>
                <c:pt idx="36">
                  <c:v>0.23137254901960785</c:v>
                </c:pt>
                <c:pt idx="37">
                  <c:v>0.22745098039215686</c:v>
                </c:pt>
                <c:pt idx="38">
                  <c:v>0.22352941176470589</c:v>
                </c:pt>
                <c:pt idx="39">
                  <c:v>0.21568627450980393</c:v>
                </c:pt>
                <c:pt idx="40">
                  <c:v>0.21568627450980393</c:v>
                </c:pt>
                <c:pt idx="41">
                  <c:v>0.20784313725490197</c:v>
                </c:pt>
                <c:pt idx="42">
                  <c:v>0.20784313725490197</c:v>
                </c:pt>
                <c:pt idx="43">
                  <c:v>0.2</c:v>
                </c:pt>
                <c:pt idx="44">
                  <c:v>0.2</c:v>
                </c:pt>
                <c:pt idx="45">
                  <c:v>0.19215686274509805</c:v>
                </c:pt>
                <c:pt idx="46">
                  <c:v>0.19215686274509805</c:v>
                </c:pt>
                <c:pt idx="47">
                  <c:v>0.18431372549019609</c:v>
                </c:pt>
                <c:pt idx="48">
                  <c:v>0.18431372549019609</c:v>
                </c:pt>
                <c:pt idx="49">
                  <c:v>0.18431372549019609</c:v>
                </c:pt>
                <c:pt idx="50">
                  <c:v>0.18431372549019609</c:v>
                </c:pt>
                <c:pt idx="51">
                  <c:v>0.18431372549019609</c:v>
                </c:pt>
                <c:pt idx="52">
                  <c:v>0.18431372549019609</c:v>
                </c:pt>
                <c:pt idx="53">
                  <c:v>0.17647058823529413</c:v>
                </c:pt>
                <c:pt idx="54">
                  <c:v>0.17647058823529413</c:v>
                </c:pt>
                <c:pt idx="55">
                  <c:v>0.17254901960784313</c:v>
                </c:pt>
                <c:pt idx="56">
                  <c:v>0.17647058823529413</c:v>
                </c:pt>
                <c:pt idx="57">
                  <c:v>0.16862745098039217</c:v>
                </c:pt>
                <c:pt idx="58">
                  <c:v>0.16862745098039217</c:v>
                </c:pt>
                <c:pt idx="59">
                  <c:v>0.16862745098039217</c:v>
                </c:pt>
                <c:pt idx="60">
                  <c:v>0.16078431372549021</c:v>
                </c:pt>
                <c:pt idx="61">
                  <c:v>0.16862745098039217</c:v>
                </c:pt>
                <c:pt idx="62">
                  <c:v>0.16862745098039217</c:v>
                </c:pt>
                <c:pt idx="63">
                  <c:v>0.16862745098039217</c:v>
                </c:pt>
                <c:pt idx="64">
                  <c:v>0.16078431372549021</c:v>
                </c:pt>
                <c:pt idx="65">
                  <c:v>0.16470588235294117</c:v>
                </c:pt>
                <c:pt idx="66">
                  <c:v>0.16078431372549021</c:v>
                </c:pt>
                <c:pt idx="67">
                  <c:v>0.16078431372549021</c:v>
                </c:pt>
                <c:pt idx="68">
                  <c:v>0.16862745098039217</c:v>
                </c:pt>
                <c:pt idx="69">
                  <c:v>0.16078431372549021</c:v>
                </c:pt>
                <c:pt idx="70">
                  <c:v>0.16078431372549021</c:v>
                </c:pt>
                <c:pt idx="71">
                  <c:v>0.15686274509803921</c:v>
                </c:pt>
                <c:pt idx="72">
                  <c:v>0.16078431372549021</c:v>
                </c:pt>
                <c:pt idx="73">
                  <c:v>0.15294117647058825</c:v>
                </c:pt>
                <c:pt idx="74">
                  <c:v>0.15294117647058825</c:v>
                </c:pt>
                <c:pt idx="75">
                  <c:v>0.15294117647058825</c:v>
                </c:pt>
                <c:pt idx="76">
                  <c:v>0.15294117647058825</c:v>
                </c:pt>
                <c:pt idx="77">
                  <c:v>0.14509803921568629</c:v>
                </c:pt>
                <c:pt idx="78">
                  <c:v>0.14509803921568629</c:v>
                </c:pt>
                <c:pt idx="79">
                  <c:v>0.14509803921568629</c:v>
                </c:pt>
                <c:pt idx="80">
                  <c:v>0.14509803921568629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data0!$M$1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data0!$M$2:$M$82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0.96470588235294119</c:v>
                </c:pt>
                <c:pt idx="12">
                  <c:v>0.85490196078431369</c:v>
                </c:pt>
                <c:pt idx="13">
                  <c:v>0.76470588235294112</c:v>
                </c:pt>
                <c:pt idx="14">
                  <c:v>0.69411764705882351</c:v>
                </c:pt>
                <c:pt idx="15">
                  <c:v>0.63137254901960782</c:v>
                </c:pt>
                <c:pt idx="16">
                  <c:v>0.57647058823529407</c:v>
                </c:pt>
                <c:pt idx="17">
                  <c:v>0.53333333333333333</c:v>
                </c:pt>
                <c:pt idx="18">
                  <c:v>0.49411764705882355</c:v>
                </c:pt>
                <c:pt idx="19">
                  <c:v>0.45490196078431372</c:v>
                </c:pt>
                <c:pt idx="20">
                  <c:v>0.43137254901960786</c:v>
                </c:pt>
                <c:pt idx="21">
                  <c:v>0.40784313725490196</c:v>
                </c:pt>
                <c:pt idx="22">
                  <c:v>0.3843137254901961</c:v>
                </c:pt>
                <c:pt idx="23">
                  <c:v>0.37254901960784315</c:v>
                </c:pt>
                <c:pt idx="24">
                  <c:v>0.34509803921568627</c:v>
                </c:pt>
                <c:pt idx="25">
                  <c:v>0.32549019607843138</c:v>
                </c:pt>
                <c:pt idx="26">
                  <c:v>0.30980392156862746</c:v>
                </c:pt>
                <c:pt idx="27">
                  <c:v>0.29803921568627451</c:v>
                </c:pt>
                <c:pt idx="28">
                  <c:v>0.28627450980392155</c:v>
                </c:pt>
                <c:pt idx="29">
                  <c:v>0.28235294117647058</c:v>
                </c:pt>
                <c:pt idx="30">
                  <c:v>0.27058823529411763</c:v>
                </c:pt>
                <c:pt idx="31">
                  <c:v>0.2627450980392157</c:v>
                </c:pt>
                <c:pt idx="32">
                  <c:v>0.25490196078431371</c:v>
                </c:pt>
                <c:pt idx="33">
                  <c:v>0.24313725490196078</c:v>
                </c:pt>
                <c:pt idx="34">
                  <c:v>0.23921568627450981</c:v>
                </c:pt>
                <c:pt idx="35">
                  <c:v>0.23529411764705882</c:v>
                </c:pt>
                <c:pt idx="36">
                  <c:v>0.23137254901960785</c:v>
                </c:pt>
                <c:pt idx="37">
                  <c:v>0.22745098039215686</c:v>
                </c:pt>
                <c:pt idx="38">
                  <c:v>0.22352941176470589</c:v>
                </c:pt>
                <c:pt idx="39">
                  <c:v>0.22352941176470589</c:v>
                </c:pt>
                <c:pt idx="40">
                  <c:v>0.21568627450980393</c:v>
                </c:pt>
                <c:pt idx="41">
                  <c:v>0.20784313725490197</c:v>
                </c:pt>
                <c:pt idx="42">
                  <c:v>0.20784313725490197</c:v>
                </c:pt>
                <c:pt idx="43">
                  <c:v>0.20392156862745098</c:v>
                </c:pt>
                <c:pt idx="44">
                  <c:v>0.2</c:v>
                </c:pt>
                <c:pt idx="45">
                  <c:v>0.2</c:v>
                </c:pt>
                <c:pt idx="46">
                  <c:v>0.19215686274509805</c:v>
                </c:pt>
                <c:pt idx="47">
                  <c:v>0.19215686274509805</c:v>
                </c:pt>
                <c:pt idx="48">
                  <c:v>0.19215686274509805</c:v>
                </c:pt>
                <c:pt idx="49">
                  <c:v>0.19215686274509805</c:v>
                </c:pt>
                <c:pt idx="50">
                  <c:v>0.18431372549019609</c:v>
                </c:pt>
                <c:pt idx="51">
                  <c:v>0.18431372549019609</c:v>
                </c:pt>
                <c:pt idx="52">
                  <c:v>0.17647058823529413</c:v>
                </c:pt>
                <c:pt idx="53">
                  <c:v>0.18431372549019609</c:v>
                </c:pt>
                <c:pt idx="54">
                  <c:v>0.17647058823529413</c:v>
                </c:pt>
                <c:pt idx="55">
                  <c:v>0.17647058823529413</c:v>
                </c:pt>
                <c:pt idx="56">
                  <c:v>0.17647058823529413</c:v>
                </c:pt>
                <c:pt idx="57">
                  <c:v>0.17647058823529413</c:v>
                </c:pt>
                <c:pt idx="58">
                  <c:v>0.16862745098039217</c:v>
                </c:pt>
                <c:pt idx="59">
                  <c:v>0.16862745098039217</c:v>
                </c:pt>
                <c:pt idx="60">
                  <c:v>0.16862745098039217</c:v>
                </c:pt>
                <c:pt idx="61">
                  <c:v>0.16862745098039217</c:v>
                </c:pt>
                <c:pt idx="62">
                  <c:v>0.16862745098039217</c:v>
                </c:pt>
                <c:pt idx="63">
                  <c:v>0.16862745098039217</c:v>
                </c:pt>
                <c:pt idx="64">
                  <c:v>0.16078431372549021</c:v>
                </c:pt>
                <c:pt idx="65">
                  <c:v>0.16470588235294117</c:v>
                </c:pt>
                <c:pt idx="66">
                  <c:v>0.16078431372549021</c:v>
                </c:pt>
                <c:pt idx="67">
                  <c:v>0.16078431372549021</c:v>
                </c:pt>
                <c:pt idx="68">
                  <c:v>0.16078431372549021</c:v>
                </c:pt>
                <c:pt idx="69">
                  <c:v>0.15294117647058825</c:v>
                </c:pt>
                <c:pt idx="70">
                  <c:v>0.15294117647058825</c:v>
                </c:pt>
                <c:pt idx="71">
                  <c:v>0.15294117647058825</c:v>
                </c:pt>
                <c:pt idx="72">
                  <c:v>0.15294117647058825</c:v>
                </c:pt>
                <c:pt idx="73">
                  <c:v>0.14509803921568629</c:v>
                </c:pt>
                <c:pt idx="74">
                  <c:v>0.14509803921568629</c:v>
                </c:pt>
                <c:pt idx="75">
                  <c:v>0.15294117647058825</c:v>
                </c:pt>
                <c:pt idx="76">
                  <c:v>0.15294117647058825</c:v>
                </c:pt>
                <c:pt idx="77">
                  <c:v>0.15294117647058825</c:v>
                </c:pt>
                <c:pt idx="78">
                  <c:v>0.14901960784313725</c:v>
                </c:pt>
                <c:pt idx="79">
                  <c:v>0.14509803921568629</c:v>
                </c:pt>
                <c:pt idx="80">
                  <c:v>0.14509803921568629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data0!$N$1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data0!$N$2:$N$82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0.97254901960784312</c:v>
                </c:pt>
                <c:pt idx="12">
                  <c:v>0.86274509803921573</c:v>
                </c:pt>
                <c:pt idx="13">
                  <c:v>0.7686274509803922</c:v>
                </c:pt>
                <c:pt idx="14">
                  <c:v>0.69411764705882351</c:v>
                </c:pt>
                <c:pt idx="15">
                  <c:v>0.63137254901960782</c:v>
                </c:pt>
                <c:pt idx="16">
                  <c:v>0.58039215686274515</c:v>
                </c:pt>
                <c:pt idx="17">
                  <c:v>0.53333333333333333</c:v>
                </c:pt>
                <c:pt idx="18">
                  <c:v>0.49411764705882355</c:v>
                </c:pt>
                <c:pt idx="19">
                  <c:v>0.45882352941176469</c:v>
                </c:pt>
                <c:pt idx="20">
                  <c:v>0.43529411764705883</c:v>
                </c:pt>
                <c:pt idx="21">
                  <c:v>0.40784313725490196</c:v>
                </c:pt>
                <c:pt idx="22">
                  <c:v>0.38039215686274508</c:v>
                </c:pt>
                <c:pt idx="23">
                  <c:v>0.36470588235294116</c:v>
                </c:pt>
                <c:pt idx="24">
                  <c:v>0.34509803921568627</c:v>
                </c:pt>
                <c:pt idx="25">
                  <c:v>0.32941176470588235</c:v>
                </c:pt>
                <c:pt idx="26">
                  <c:v>0.31764705882352939</c:v>
                </c:pt>
                <c:pt idx="27">
                  <c:v>0.30588235294117649</c:v>
                </c:pt>
                <c:pt idx="28">
                  <c:v>0.29019607843137257</c:v>
                </c:pt>
                <c:pt idx="29">
                  <c:v>0.29019607843137257</c:v>
                </c:pt>
                <c:pt idx="30">
                  <c:v>0.27450980392156865</c:v>
                </c:pt>
                <c:pt idx="31">
                  <c:v>0.2627450980392157</c:v>
                </c:pt>
                <c:pt idx="32">
                  <c:v>0.25490196078431371</c:v>
                </c:pt>
                <c:pt idx="33">
                  <c:v>0.24705882352941178</c:v>
                </c:pt>
                <c:pt idx="34">
                  <c:v>0.23921568627450981</c:v>
                </c:pt>
                <c:pt idx="35">
                  <c:v>0.23137254901960785</c:v>
                </c:pt>
                <c:pt idx="36">
                  <c:v>0.22352941176470589</c:v>
                </c:pt>
                <c:pt idx="37">
                  <c:v>0.22352941176470589</c:v>
                </c:pt>
                <c:pt idx="38">
                  <c:v>0.21568627450980393</c:v>
                </c:pt>
                <c:pt idx="39">
                  <c:v>0.20784313725490197</c:v>
                </c:pt>
                <c:pt idx="40">
                  <c:v>0.20784313725490197</c:v>
                </c:pt>
                <c:pt idx="41">
                  <c:v>0.20392156862745098</c:v>
                </c:pt>
                <c:pt idx="42">
                  <c:v>0.20392156862745098</c:v>
                </c:pt>
                <c:pt idx="43">
                  <c:v>0.19215686274509805</c:v>
                </c:pt>
                <c:pt idx="44">
                  <c:v>0.19215686274509805</c:v>
                </c:pt>
                <c:pt idx="45">
                  <c:v>0.18431372549019609</c:v>
                </c:pt>
                <c:pt idx="46">
                  <c:v>0.18823529411764706</c:v>
                </c:pt>
                <c:pt idx="47">
                  <c:v>0.18431372549019609</c:v>
                </c:pt>
                <c:pt idx="48">
                  <c:v>0.18431372549019609</c:v>
                </c:pt>
                <c:pt idx="49">
                  <c:v>0.17647058823529413</c:v>
                </c:pt>
                <c:pt idx="50">
                  <c:v>0.17254901960784313</c:v>
                </c:pt>
                <c:pt idx="51">
                  <c:v>0.16862745098039217</c:v>
                </c:pt>
                <c:pt idx="52">
                  <c:v>0.16862745098039217</c:v>
                </c:pt>
                <c:pt idx="53">
                  <c:v>0.16862745098039217</c:v>
                </c:pt>
                <c:pt idx="54">
                  <c:v>0.16862745098039217</c:v>
                </c:pt>
                <c:pt idx="55">
                  <c:v>0.17254901960784313</c:v>
                </c:pt>
                <c:pt idx="56">
                  <c:v>0.16862745098039217</c:v>
                </c:pt>
                <c:pt idx="57">
                  <c:v>0.16862745098039217</c:v>
                </c:pt>
                <c:pt idx="58">
                  <c:v>0.16862745098039217</c:v>
                </c:pt>
                <c:pt idx="59">
                  <c:v>0.16078431372549021</c:v>
                </c:pt>
                <c:pt idx="60">
                  <c:v>0.16078431372549021</c:v>
                </c:pt>
                <c:pt idx="61">
                  <c:v>0.15686274509803921</c:v>
                </c:pt>
                <c:pt idx="62">
                  <c:v>0.16078431372549021</c:v>
                </c:pt>
                <c:pt idx="63">
                  <c:v>0.16078431372549021</c:v>
                </c:pt>
                <c:pt idx="64">
                  <c:v>0.16078431372549021</c:v>
                </c:pt>
                <c:pt idx="65">
                  <c:v>0.15294117647058825</c:v>
                </c:pt>
                <c:pt idx="66">
                  <c:v>0.15686274509803921</c:v>
                </c:pt>
                <c:pt idx="67">
                  <c:v>0.15686274509803921</c:v>
                </c:pt>
                <c:pt idx="68">
                  <c:v>0.16078431372549021</c:v>
                </c:pt>
                <c:pt idx="69">
                  <c:v>0.15294117647058825</c:v>
                </c:pt>
                <c:pt idx="70">
                  <c:v>0.15686274509803921</c:v>
                </c:pt>
                <c:pt idx="71">
                  <c:v>0.15294117647058825</c:v>
                </c:pt>
                <c:pt idx="72">
                  <c:v>0.15294117647058825</c:v>
                </c:pt>
                <c:pt idx="73">
                  <c:v>0.15294117647058825</c:v>
                </c:pt>
                <c:pt idx="74">
                  <c:v>0.15294117647058825</c:v>
                </c:pt>
                <c:pt idx="75">
                  <c:v>0.15294117647058825</c:v>
                </c:pt>
                <c:pt idx="76">
                  <c:v>0.14509803921568629</c:v>
                </c:pt>
                <c:pt idx="77">
                  <c:v>0.15294117647058825</c:v>
                </c:pt>
                <c:pt idx="78">
                  <c:v>0.15294117647058825</c:v>
                </c:pt>
                <c:pt idx="79">
                  <c:v>0.14901960784313725</c:v>
                </c:pt>
                <c:pt idx="80">
                  <c:v>0.14509803921568629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data0!$O$1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data0!$O$2:$O$82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0.97647058823529409</c:v>
                </c:pt>
                <c:pt idx="12">
                  <c:v>0.8666666666666667</c:v>
                </c:pt>
                <c:pt idx="13">
                  <c:v>0.77647058823529413</c:v>
                </c:pt>
                <c:pt idx="14">
                  <c:v>0.70196078431372544</c:v>
                </c:pt>
                <c:pt idx="15">
                  <c:v>0.63921568627450975</c:v>
                </c:pt>
                <c:pt idx="16">
                  <c:v>0.58823529411764708</c:v>
                </c:pt>
                <c:pt idx="17">
                  <c:v>0.53333333333333333</c:v>
                </c:pt>
                <c:pt idx="18">
                  <c:v>0.49411764705882355</c:v>
                </c:pt>
                <c:pt idx="19">
                  <c:v>0.46274509803921571</c:v>
                </c:pt>
                <c:pt idx="20">
                  <c:v>0.43137254901960786</c:v>
                </c:pt>
                <c:pt idx="21">
                  <c:v>0.40784313725490196</c:v>
                </c:pt>
                <c:pt idx="22">
                  <c:v>0.39215686274509803</c:v>
                </c:pt>
                <c:pt idx="23">
                  <c:v>0.36862745098039218</c:v>
                </c:pt>
                <c:pt idx="24">
                  <c:v>0.34509803921568627</c:v>
                </c:pt>
                <c:pt idx="25">
                  <c:v>0.32941176470588235</c:v>
                </c:pt>
                <c:pt idx="26">
                  <c:v>0.30980392156862746</c:v>
                </c:pt>
                <c:pt idx="27">
                  <c:v>0.29803921568627451</c:v>
                </c:pt>
                <c:pt idx="28">
                  <c:v>0.29411764705882354</c:v>
                </c:pt>
                <c:pt idx="29">
                  <c:v>0.27843137254901962</c:v>
                </c:pt>
                <c:pt idx="30">
                  <c:v>0.27058823529411763</c:v>
                </c:pt>
                <c:pt idx="31">
                  <c:v>0.25882352941176473</c:v>
                </c:pt>
                <c:pt idx="32">
                  <c:v>0.25490196078431371</c:v>
                </c:pt>
                <c:pt idx="33">
                  <c:v>0.24705882352941178</c:v>
                </c:pt>
                <c:pt idx="34">
                  <c:v>0.24313725490196078</c:v>
                </c:pt>
                <c:pt idx="35">
                  <c:v>0.23921568627450981</c:v>
                </c:pt>
                <c:pt idx="36">
                  <c:v>0.22745098039215686</c:v>
                </c:pt>
                <c:pt idx="37">
                  <c:v>0.22352941176470589</c:v>
                </c:pt>
                <c:pt idx="38">
                  <c:v>0.21176470588235294</c:v>
                </c:pt>
                <c:pt idx="39">
                  <c:v>0.20784313725490197</c:v>
                </c:pt>
                <c:pt idx="40">
                  <c:v>0.20392156862745098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0.19215686274509805</c:v>
                </c:pt>
                <c:pt idx="45">
                  <c:v>0.19215686274509805</c:v>
                </c:pt>
                <c:pt idx="46">
                  <c:v>0.18431372549019609</c:v>
                </c:pt>
                <c:pt idx="47">
                  <c:v>0.18431372549019609</c:v>
                </c:pt>
                <c:pt idx="48">
                  <c:v>0.18431372549019609</c:v>
                </c:pt>
                <c:pt idx="49">
                  <c:v>0.18431372549019609</c:v>
                </c:pt>
                <c:pt idx="50">
                  <c:v>0.17647058823529413</c:v>
                </c:pt>
                <c:pt idx="51">
                  <c:v>0.17647058823529413</c:v>
                </c:pt>
                <c:pt idx="52">
                  <c:v>0.16862745098039217</c:v>
                </c:pt>
                <c:pt idx="53">
                  <c:v>0.17254901960784313</c:v>
                </c:pt>
                <c:pt idx="54">
                  <c:v>0.17647058823529413</c:v>
                </c:pt>
                <c:pt idx="55">
                  <c:v>0.17647058823529413</c:v>
                </c:pt>
                <c:pt idx="56">
                  <c:v>0.17647058823529413</c:v>
                </c:pt>
                <c:pt idx="57">
                  <c:v>0.17647058823529413</c:v>
                </c:pt>
                <c:pt idx="58">
                  <c:v>0.16862745098039217</c:v>
                </c:pt>
                <c:pt idx="59">
                  <c:v>0.17254901960784313</c:v>
                </c:pt>
                <c:pt idx="60">
                  <c:v>0.16078431372549021</c:v>
                </c:pt>
                <c:pt idx="61">
                  <c:v>0.16078431372549021</c:v>
                </c:pt>
                <c:pt idx="62">
                  <c:v>0.16078431372549021</c:v>
                </c:pt>
                <c:pt idx="63">
                  <c:v>0.16078431372549021</c:v>
                </c:pt>
                <c:pt idx="64">
                  <c:v>0.16078431372549021</c:v>
                </c:pt>
                <c:pt idx="65">
                  <c:v>0.16078431372549021</c:v>
                </c:pt>
                <c:pt idx="66">
                  <c:v>0.16862745098039217</c:v>
                </c:pt>
                <c:pt idx="67">
                  <c:v>0.16078431372549021</c:v>
                </c:pt>
                <c:pt idx="68">
                  <c:v>0.16078431372549021</c:v>
                </c:pt>
                <c:pt idx="69">
                  <c:v>0.16470588235294117</c:v>
                </c:pt>
                <c:pt idx="70">
                  <c:v>0.16862745098039217</c:v>
                </c:pt>
                <c:pt idx="71">
                  <c:v>0.16078431372549021</c:v>
                </c:pt>
                <c:pt idx="72">
                  <c:v>0.16470588235294117</c:v>
                </c:pt>
                <c:pt idx="73">
                  <c:v>0.16078431372549021</c:v>
                </c:pt>
                <c:pt idx="74">
                  <c:v>0.15686274509803921</c:v>
                </c:pt>
                <c:pt idx="75">
                  <c:v>0.15294117647058825</c:v>
                </c:pt>
                <c:pt idx="76">
                  <c:v>0.15686274509803921</c:v>
                </c:pt>
                <c:pt idx="77">
                  <c:v>0.15294117647058825</c:v>
                </c:pt>
                <c:pt idx="78">
                  <c:v>0.15294117647058825</c:v>
                </c:pt>
                <c:pt idx="79">
                  <c:v>0.15294117647058825</c:v>
                </c:pt>
                <c:pt idx="80">
                  <c:v>0.14509803921568629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data0!$P$1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data0!$P$2:$P$82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0.97647058823529409</c:v>
                </c:pt>
                <c:pt idx="12">
                  <c:v>0.86274509803921573</c:v>
                </c:pt>
                <c:pt idx="13">
                  <c:v>0.77254901960784317</c:v>
                </c:pt>
                <c:pt idx="14">
                  <c:v>0.70196078431372544</c:v>
                </c:pt>
                <c:pt idx="15">
                  <c:v>0.6470588235294118</c:v>
                </c:pt>
                <c:pt idx="16">
                  <c:v>0.58823529411764708</c:v>
                </c:pt>
                <c:pt idx="17">
                  <c:v>0.54117647058823526</c:v>
                </c:pt>
                <c:pt idx="18">
                  <c:v>0.50196078431372548</c:v>
                </c:pt>
                <c:pt idx="19">
                  <c:v>0.46666666666666667</c:v>
                </c:pt>
                <c:pt idx="20">
                  <c:v>0.4392156862745098</c:v>
                </c:pt>
                <c:pt idx="21">
                  <c:v>0.41568627450980394</c:v>
                </c:pt>
                <c:pt idx="22">
                  <c:v>0.39215686274509803</c:v>
                </c:pt>
                <c:pt idx="23">
                  <c:v>0.37254901960784315</c:v>
                </c:pt>
                <c:pt idx="24">
                  <c:v>0.35686274509803922</c:v>
                </c:pt>
                <c:pt idx="25">
                  <c:v>0.33725490196078434</c:v>
                </c:pt>
                <c:pt idx="26">
                  <c:v>0.32549019607843138</c:v>
                </c:pt>
                <c:pt idx="27">
                  <c:v>0.32156862745098042</c:v>
                </c:pt>
                <c:pt idx="28">
                  <c:v>0.30980392156862746</c:v>
                </c:pt>
                <c:pt idx="29">
                  <c:v>0.29019607843137257</c:v>
                </c:pt>
                <c:pt idx="30">
                  <c:v>0.28235294117647058</c:v>
                </c:pt>
                <c:pt idx="31">
                  <c:v>0.27450980392156865</c:v>
                </c:pt>
                <c:pt idx="32">
                  <c:v>0.26666666666666666</c:v>
                </c:pt>
                <c:pt idx="33">
                  <c:v>0.25490196078431371</c:v>
                </c:pt>
                <c:pt idx="34">
                  <c:v>0.25490196078431371</c:v>
                </c:pt>
                <c:pt idx="35">
                  <c:v>0.24313725490196078</c:v>
                </c:pt>
                <c:pt idx="36">
                  <c:v>0.24313725490196078</c:v>
                </c:pt>
                <c:pt idx="37">
                  <c:v>0.23529411764705882</c:v>
                </c:pt>
                <c:pt idx="38">
                  <c:v>0.23137254901960785</c:v>
                </c:pt>
                <c:pt idx="39">
                  <c:v>0.22352941176470589</c:v>
                </c:pt>
                <c:pt idx="40">
                  <c:v>0.21568627450980393</c:v>
                </c:pt>
                <c:pt idx="41">
                  <c:v>0.21568627450980393</c:v>
                </c:pt>
                <c:pt idx="42">
                  <c:v>0.20784313725490197</c:v>
                </c:pt>
                <c:pt idx="43">
                  <c:v>0.2</c:v>
                </c:pt>
                <c:pt idx="44">
                  <c:v>0.2</c:v>
                </c:pt>
                <c:pt idx="45">
                  <c:v>0.19215686274509805</c:v>
                </c:pt>
                <c:pt idx="46">
                  <c:v>0.19607843137254902</c:v>
                </c:pt>
                <c:pt idx="47">
                  <c:v>0.19215686274509805</c:v>
                </c:pt>
                <c:pt idx="48">
                  <c:v>0.18431372549019609</c:v>
                </c:pt>
                <c:pt idx="49">
                  <c:v>0.18431372549019609</c:v>
                </c:pt>
                <c:pt idx="50">
                  <c:v>0.18431372549019609</c:v>
                </c:pt>
                <c:pt idx="51">
                  <c:v>0.18431372549019609</c:v>
                </c:pt>
                <c:pt idx="52">
                  <c:v>0.17647058823529413</c:v>
                </c:pt>
                <c:pt idx="53">
                  <c:v>0.1803921568627451</c:v>
                </c:pt>
                <c:pt idx="54">
                  <c:v>0.17647058823529413</c:v>
                </c:pt>
                <c:pt idx="55">
                  <c:v>0.16862745098039217</c:v>
                </c:pt>
                <c:pt idx="56">
                  <c:v>0.17254901960784313</c:v>
                </c:pt>
                <c:pt idx="57">
                  <c:v>0.16862745098039217</c:v>
                </c:pt>
                <c:pt idx="58">
                  <c:v>0.16078431372549021</c:v>
                </c:pt>
                <c:pt idx="59">
                  <c:v>0.16078431372549021</c:v>
                </c:pt>
                <c:pt idx="60">
                  <c:v>0.16078431372549021</c:v>
                </c:pt>
                <c:pt idx="61">
                  <c:v>0.16470588235294117</c:v>
                </c:pt>
                <c:pt idx="62">
                  <c:v>0.16078431372549021</c:v>
                </c:pt>
                <c:pt idx="63">
                  <c:v>0.16078431372549021</c:v>
                </c:pt>
                <c:pt idx="64">
                  <c:v>0.16078431372549021</c:v>
                </c:pt>
                <c:pt idx="65">
                  <c:v>0.16078431372549021</c:v>
                </c:pt>
                <c:pt idx="66">
                  <c:v>0.16078431372549021</c:v>
                </c:pt>
                <c:pt idx="67">
                  <c:v>0.16078431372549021</c:v>
                </c:pt>
                <c:pt idx="68">
                  <c:v>0.15294117647058825</c:v>
                </c:pt>
                <c:pt idx="69">
                  <c:v>0.16078431372549021</c:v>
                </c:pt>
                <c:pt idx="70">
                  <c:v>0.15294117647058825</c:v>
                </c:pt>
                <c:pt idx="71">
                  <c:v>0.15294117647058825</c:v>
                </c:pt>
                <c:pt idx="72">
                  <c:v>0.15294117647058825</c:v>
                </c:pt>
                <c:pt idx="73">
                  <c:v>0.15294117647058825</c:v>
                </c:pt>
                <c:pt idx="74">
                  <c:v>0.15686274509803921</c:v>
                </c:pt>
                <c:pt idx="75">
                  <c:v>0.15294117647058825</c:v>
                </c:pt>
                <c:pt idx="76">
                  <c:v>0.15294117647058825</c:v>
                </c:pt>
                <c:pt idx="77">
                  <c:v>0.14509803921568629</c:v>
                </c:pt>
                <c:pt idx="78">
                  <c:v>0.14509803921568629</c:v>
                </c:pt>
                <c:pt idx="79">
                  <c:v>0.14509803921568629</c:v>
                </c:pt>
                <c:pt idx="80">
                  <c:v>0.14509803921568629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data0!$Q$1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data0!$Q$2:$Q$82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0.97254901960784312</c:v>
                </c:pt>
                <c:pt idx="12">
                  <c:v>0.87058823529411766</c:v>
                </c:pt>
                <c:pt idx="13">
                  <c:v>0.77254901960784317</c:v>
                </c:pt>
                <c:pt idx="14">
                  <c:v>0.70196078431372544</c:v>
                </c:pt>
                <c:pt idx="15">
                  <c:v>0.63921568627450975</c:v>
                </c:pt>
                <c:pt idx="16">
                  <c:v>0.58431372549019611</c:v>
                </c:pt>
                <c:pt idx="17">
                  <c:v>0.53725490196078429</c:v>
                </c:pt>
                <c:pt idx="18">
                  <c:v>0.50196078431372548</c:v>
                </c:pt>
                <c:pt idx="19">
                  <c:v>0.47058823529411764</c:v>
                </c:pt>
                <c:pt idx="20">
                  <c:v>0.4392156862745098</c:v>
                </c:pt>
                <c:pt idx="21">
                  <c:v>0.41568627450980394</c:v>
                </c:pt>
                <c:pt idx="22">
                  <c:v>0.38823529411764707</c:v>
                </c:pt>
                <c:pt idx="23">
                  <c:v>0.36862745098039218</c:v>
                </c:pt>
                <c:pt idx="24">
                  <c:v>0.35294117647058826</c:v>
                </c:pt>
                <c:pt idx="25">
                  <c:v>0.33725490196078434</c:v>
                </c:pt>
                <c:pt idx="26">
                  <c:v>0.32549019607843138</c:v>
                </c:pt>
                <c:pt idx="27">
                  <c:v>0.31764705882352939</c:v>
                </c:pt>
                <c:pt idx="28">
                  <c:v>0.30588235294117649</c:v>
                </c:pt>
                <c:pt idx="29">
                  <c:v>0.29803921568627451</c:v>
                </c:pt>
                <c:pt idx="30">
                  <c:v>0.28627450980392155</c:v>
                </c:pt>
                <c:pt idx="31">
                  <c:v>0.27058823529411763</c:v>
                </c:pt>
                <c:pt idx="32">
                  <c:v>0.2627450980392157</c:v>
                </c:pt>
                <c:pt idx="33">
                  <c:v>0.25490196078431371</c:v>
                </c:pt>
                <c:pt idx="34">
                  <c:v>0.25098039215686274</c:v>
                </c:pt>
                <c:pt idx="35">
                  <c:v>0.23921568627450981</c:v>
                </c:pt>
                <c:pt idx="36">
                  <c:v>0.23529411764705882</c:v>
                </c:pt>
                <c:pt idx="37">
                  <c:v>0.23137254901960785</c:v>
                </c:pt>
                <c:pt idx="38">
                  <c:v>0.22352941176470589</c:v>
                </c:pt>
                <c:pt idx="39">
                  <c:v>0.21568627450980393</c:v>
                </c:pt>
                <c:pt idx="40">
                  <c:v>0.20784313725490197</c:v>
                </c:pt>
                <c:pt idx="41">
                  <c:v>0.20784313725490197</c:v>
                </c:pt>
                <c:pt idx="42">
                  <c:v>0.20784313725490197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0.19215686274509805</c:v>
                </c:pt>
                <c:pt idx="47">
                  <c:v>0.19607843137254902</c:v>
                </c:pt>
                <c:pt idx="48">
                  <c:v>0.18823529411764706</c:v>
                </c:pt>
                <c:pt idx="49">
                  <c:v>0.18431372549019609</c:v>
                </c:pt>
                <c:pt idx="50">
                  <c:v>0.18431372549019609</c:v>
                </c:pt>
                <c:pt idx="51">
                  <c:v>0.18431372549019609</c:v>
                </c:pt>
                <c:pt idx="52">
                  <c:v>0.18431372549019609</c:v>
                </c:pt>
                <c:pt idx="53">
                  <c:v>0.17647058823529413</c:v>
                </c:pt>
                <c:pt idx="54">
                  <c:v>0.17647058823529413</c:v>
                </c:pt>
                <c:pt idx="55">
                  <c:v>0.17647058823529413</c:v>
                </c:pt>
                <c:pt idx="56">
                  <c:v>0.16862745098039217</c:v>
                </c:pt>
                <c:pt idx="57">
                  <c:v>0.17647058823529413</c:v>
                </c:pt>
                <c:pt idx="58">
                  <c:v>0.17647058823529413</c:v>
                </c:pt>
                <c:pt idx="59">
                  <c:v>0.16862745098039217</c:v>
                </c:pt>
                <c:pt idx="60">
                  <c:v>0.16862745098039217</c:v>
                </c:pt>
                <c:pt idx="61">
                  <c:v>0.16470588235294117</c:v>
                </c:pt>
                <c:pt idx="62">
                  <c:v>0.16862745098039217</c:v>
                </c:pt>
                <c:pt idx="63">
                  <c:v>0.16078431372549021</c:v>
                </c:pt>
                <c:pt idx="64">
                  <c:v>0.16078431372549021</c:v>
                </c:pt>
                <c:pt idx="65">
                  <c:v>0.16078431372549021</c:v>
                </c:pt>
                <c:pt idx="66">
                  <c:v>0.16078431372549021</c:v>
                </c:pt>
                <c:pt idx="67">
                  <c:v>0.16078431372549021</c:v>
                </c:pt>
                <c:pt idx="68">
                  <c:v>0.16078431372549021</c:v>
                </c:pt>
                <c:pt idx="69">
                  <c:v>0.16078431372549021</c:v>
                </c:pt>
                <c:pt idx="70">
                  <c:v>0.16078431372549021</c:v>
                </c:pt>
                <c:pt idx="71">
                  <c:v>0.16078431372549021</c:v>
                </c:pt>
                <c:pt idx="72">
                  <c:v>0.16078431372549021</c:v>
                </c:pt>
                <c:pt idx="73">
                  <c:v>0.16078431372549021</c:v>
                </c:pt>
                <c:pt idx="74">
                  <c:v>0.15294117647058825</c:v>
                </c:pt>
                <c:pt idx="75">
                  <c:v>0.15294117647058825</c:v>
                </c:pt>
                <c:pt idx="76">
                  <c:v>0.15294117647058825</c:v>
                </c:pt>
                <c:pt idx="77">
                  <c:v>0.15294117647058825</c:v>
                </c:pt>
                <c:pt idx="78">
                  <c:v>0.14901960784313725</c:v>
                </c:pt>
                <c:pt idx="79">
                  <c:v>0.14509803921568629</c:v>
                </c:pt>
                <c:pt idx="80">
                  <c:v>0.14509803921568629</c:v>
                </c:pt>
              </c:numCache>
            </c:numRef>
          </c:yVal>
          <c:smooth val="1"/>
        </c:ser>
        <c:axId val="135530368"/>
        <c:axId val="135531904"/>
      </c:scatterChart>
      <c:valAx>
        <c:axId val="135530368"/>
        <c:scaling>
          <c:orientation val="minMax"/>
        </c:scaling>
        <c:axPos val="b"/>
        <c:numFmt formatCode="0.0" sourceLinked="1"/>
        <c:tickLblPos val="nextTo"/>
        <c:crossAx val="135531904"/>
        <c:crosses val="autoZero"/>
        <c:crossBetween val="midCat"/>
      </c:valAx>
      <c:valAx>
        <c:axId val="135531904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3553036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data0!$R$2:$R$82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0.96078431372549022</c:v>
                </c:pt>
                <c:pt idx="11">
                  <c:v>0.82745098039215681</c:v>
                </c:pt>
                <c:pt idx="12">
                  <c:v>0.72156862745098038</c:v>
                </c:pt>
                <c:pt idx="13">
                  <c:v>0.63137254901960782</c:v>
                </c:pt>
                <c:pt idx="14">
                  <c:v>0.5607843137254902</c:v>
                </c:pt>
                <c:pt idx="15">
                  <c:v>0.49803921568627452</c:v>
                </c:pt>
                <c:pt idx="16">
                  <c:v>0.4392156862745098</c:v>
                </c:pt>
                <c:pt idx="17">
                  <c:v>0.39215686274509803</c:v>
                </c:pt>
                <c:pt idx="18">
                  <c:v>0.35294117647058826</c:v>
                </c:pt>
                <c:pt idx="19">
                  <c:v>0.32156862745098042</c:v>
                </c:pt>
                <c:pt idx="20">
                  <c:v>0.29019607843137257</c:v>
                </c:pt>
                <c:pt idx="21">
                  <c:v>0.27450980392156865</c:v>
                </c:pt>
                <c:pt idx="22">
                  <c:v>0.24705882352941178</c:v>
                </c:pt>
                <c:pt idx="23">
                  <c:v>0.23137254901960785</c:v>
                </c:pt>
                <c:pt idx="24">
                  <c:v>0.20392156862745098</c:v>
                </c:pt>
                <c:pt idx="25">
                  <c:v>0.18823529411764706</c:v>
                </c:pt>
                <c:pt idx="26">
                  <c:v>0.16862745098039217</c:v>
                </c:pt>
                <c:pt idx="27">
                  <c:v>0.16078431372549021</c:v>
                </c:pt>
                <c:pt idx="28">
                  <c:v>0.14901960784313725</c:v>
                </c:pt>
                <c:pt idx="29">
                  <c:v>0.13725490196078433</c:v>
                </c:pt>
                <c:pt idx="30">
                  <c:v>0.12941176470588237</c:v>
                </c:pt>
                <c:pt idx="31">
                  <c:v>0.12156862745098039</c:v>
                </c:pt>
                <c:pt idx="32">
                  <c:v>0.10980392156862745</c:v>
                </c:pt>
                <c:pt idx="33">
                  <c:v>0.10196078431372549</c:v>
                </c:pt>
                <c:pt idx="34">
                  <c:v>0.10196078431372549</c:v>
                </c:pt>
                <c:pt idx="35">
                  <c:v>9.0196078431372548E-2</c:v>
                </c:pt>
                <c:pt idx="36">
                  <c:v>8.2352941176470587E-2</c:v>
                </c:pt>
                <c:pt idx="37">
                  <c:v>8.2352941176470587E-2</c:v>
                </c:pt>
                <c:pt idx="38">
                  <c:v>7.4509803921568626E-2</c:v>
                </c:pt>
                <c:pt idx="39">
                  <c:v>7.0588235294117646E-2</c:v>
                </c:pt>
                <c:pt idx="40">
                  <c:v>6.6666666666666666E-2</c:v>
                </c:pt>
                <c:pt idx="41">
                  <c:v>6.6666666666666666E-2</c:v>
                </c:pt>
                <c:pt idx="42">
                  <c:v>5.8823529411764705E-2</c:v>
                </c:pt>
                <c:pt idx="43">
                  <c:v>5.8823529411764705E-2</c:v>
                </c:pt>
                <c:pt idx="44">
                  <c:v>5.4901960784313725E-2</c:v>
                </c:pt>
                <c:pt idx="45">
                  <c:v>5.0980392156862744E-2</c:v>
                </c:pt>
                <c:pt idx="46">
                  <c:v>5.0980392156862744E-2</c:v>
                </c:pt>
                <c:pt idx="47">
                  <c:v>4.3137254901960784E-2</c:v>
                </c:pt>
                <c:pt idx="48">
                  <c:v>3.9215686274509803E-2</c:v>
                </c:pt>
                <c:pt idx="49">
                  <c:v>4.3137254901960784E-2</c:v>
                </c:pt>
                <c:pt idx="50">
                  <c:v>4.3137254901960784E-2</c:v>
                </c:pt>
                <c:pt idx="51">
                  <c:v>3.9215686274509803E-2</c:v>
                </c:pt>
                <c:pt idx="52">
                  <c:v>3.1372549019607843E-2</c:v>
                </c:pt>
                <c:pt idx="53">
                  <c:v>4.3137254901960784E-2</c:v>
                </c:pt>
                <c:pt idx="54">
                  <c:v>3.5294117647058823E-2</c:v>
                </c:pt>
                <c:pt idx="55">
                  <c:v>2.7450980392156862E-2</c:v>
                </c:pt>
                <c:pt idx="56">
                  <c:v>2.7450980392156862E-2</c:v>
                </c:pt>
                <c:pt idx="57">
                  <c:v>3.1372549019607843E-2</c:v>
                </c:pt>
                <c:pt idx="58">
                  <c:v>2.7450980392156862E-2</c:v>
                </c:pt>
                <c:pt idx="59">
                  <c:v>2.7450980392156862E-2</c:v>
                </c:pt>
                <c:pt idx="60">
                  <c:v>1.9607843137254902E-2</c:v>
                </c:pt>
                <c:pt idx="61">
                  <c:v>1.9607843137254902E-2</c:v>
                </c:pt>
                <c:pt idx="62">
                  <c:v>3.1372549019607843E-2</c:v>
                </c:pt>
                <c:pt idx="63">
                  <c:v>1.9607843137254902E-2</c:v>
                </c:pt>
                <c:pt idx="64">
                  <c:v>1.9607843137254902E-2</c:v>
                </c:pt>
                <c:pt idx="65">
                  <c:v>1.9607843137254902E-2</c:v>
                </c:pt>
                <c:pt idx="66">
                  <c:v>2.7450980392156862E-2</c:v>
                </c:pt>
                <c:pt idx="67">
                  <c:v>2.7450980392156862E-2</c:v>
                </c:pt>
                <c:pt idx="68">
                  <c:v>2.3529411764705882E-2</c:v>
                </c:pt>
                <c:pt idx="69">
                  <c:v>2.7450980392156862E-2</c:v>
                </c:pt>
                <c:pt idx="70">
                  <c:v>1.9607843137254902E-2</c:v>
                </c:pt>
                <c:pt idx="71">
                  <c:v>1.9607843137254902E-2</c:v>
                </c:pt>
                <c:pt idx="72">
                  <c:v>1.5686274509803921E-2</c:v>
                </c:pt>
                <c:pt idx="73">
                  <c:v>1.1764705882352941E-2</c:v>
                </c:pt>
                <c:pt idx="74">
                  <c:v>1.5686274509803921E-2</c:v>
                </c:pt>
                <c:pt idx="75">
                  <c:v>1.5686274509803921E-2</c:v>
                </c:pt>
                <c:pt idx="76">
                  <c:v>1.1764705882352941E-2</c:v>
                </c:pt>
                <c:pt idx="77">
                  <c:v>1.1764705882352941E-2</c:v>
                </c:pt>
                <c:pt idx="78">
                  <c:v>1.1764705882352941E-2</c:v>
                </c:pt>
                <c:pt idx="79">
                  <c:v>3.9215686274509803E-3</c:v>
                </c:pt>
                <c:pt idx="80">
                  <c:v>3.9215686274509803E-3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data0!$S$1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data0!$S$2:$S$82</c:f>
              <c:numCache>
                <c:formatCode>0.000</c:formatCode>
                <c:ptCount val="81"/>
                <c:pt idx="0">
                  <c:v>0.999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data0!$T$1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data0!$T$2:$T$82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0.97254901960784312</c:v>
                </c:pt>
                <c:pt idx="12">
                  <c:v>0.85882352941176465</c:v>
                </c:pt>
                <c:pt idx="13">
                  <c:v>0.76470588235294112</c:v>
                </c:pt>
                <c:pt idx="14">
                  <c:v>0.69411764705882351</c:v>
                </c:pt>
                <c:pt idx="15">
                  <c:v>0.63921568627450975</c:v>
                </c:pt>
                <c:pt idx="16">
                  <c:v>0.58039215686274515</c:v>
                </c:pt>
                <c:pt idx="17">
                  <c:v>0.53333333333333333</c:v>
                </c:pt>
                <c:pt idx="18">
                  <c:v>0.48627450980392156</c:v>
                </c:pt>
                <c:pt idx="19">
                  <c:v>0.46274509803921571</c:v>
                </c:pt>
                <c:pt idx="20">
                  <c:v>0.43137254901960786</c:v>
                </c:pt>
                <c:pt idx="21">
                  <c:v>0.40392156862745099</c:v>
                </c:pt>
                <c:pt idx="22">
                  <c:v>0.3843137254901961</c:v>
                </c:pt>
                <c:pt idx="23">
                  <c:v>0.36078431372549019</c:v>
                </c:pt>
                <c:pt idx="24">
                  <c:v>0.34901960784313724</c:v>
                </c:pt>
                <c:pt idx="25">
                  <c:v>0.32549019607843138</c:v>
                </c:pt>
                <c:pt idx="26">
                  <c:v>0.30980392156862746</c:v>
                </c:pt>
                <c:pt idx="27">
                  <c:v>0.29803921568627451</c:v>
                </c:pt>
                <c:pt idx="28">
                  <c:v>0.28235294117647058</c:v>
                </c:pt>
                <c:pt idx="29">
                  <c:v>0.27450980392156865</c:v>
                </c:pt>
                <c:pt idx="30">
                  <c:v>0.2627450980392157</c:v>
                </c:pt>
                <c:pt idx="31">
                  <c:v>0.25490196078431371</c:v>
                </c:pt>
                <c:pt idx="32">
                  <c:v>0.24705882352941178</c:v>
                </c:pt>
                <c:pt idx="33">
                  <c:v>0.23921568627450981</c:v>
                </c:pt>
                <c:pt idx="34">
                  <c:v>0.23921568627450981</c:v>
                </c:pt>
                <c:pt idx="35">
                  <c:v>0.23529411764705882</c:v>
                </c:pt>
                <c:pt idx="36">
                  <c:v>0.22352941176470589</c:v>
                </c:pt>
                <c:pt idx="37">
                  <c:v>0.2196078431372549</c:v>
                </c:pt>
                <c:pt idx="38">
                  <c:v>0.22352941176470589</c:v>
                </c:pt>
                <c:pt idx="39">
                  <c:v>0.21568627450980393</c:v>
                </c:pt>
                <c:pt idx="40">
                  <c:v>0.20784313725490197</c:v>
                </c:pt>
                <c:pt idx="41">
                  <c:v>0.20784313725490197</c:v>
                </c:pt>
                <c:pt idx="42">
                  <c:v>0.20784313725490197</c:v>
                </c:pt>
                <c:pt idx="43">
                  <c:v>0.2</c:v>
                </c:pt>
                <c:pt idx="44">
                  <c:v>0.19215686274509805</c:v>
                </c:pt>
                <c:pt idx="45">
                  <c:v>0.19215686274509805</c:v>
                </c:pt>
                <c:pt idx="46">
                  <c:v>0.19215686274509805</c:v>
                </c:pt>
                <c:pt idx="47">
                  <c:v>0.19607843137254902</c:v>
                </c:pt>
                <c:pt idx="48">
                  <c:v>0.19215686274509805</c:v>
                </c:pt>
                <c:pt idx="49">
                  <c:v>0.18431372549019609</c:v>
                </c:pt>
                <c:pt idx="50">
                  <c:v>0.1803921568627451</c:v>
                </c:pt>
                <c:pt idx="51">
                  <c:v>0.1803921568627451</c:v>
                </c:pt>
                <c:pt idx="52">
                  <c:v>0.18431372549019609</c:v>
                </c:pt>
                <c:pt idx="53">
                  <c:v>0.18431372549019609</c:v>
                </c:pt>
                <c:pt idx="54">
                  <c:v>0.18431372549019609</c:v>
                </c:pt>
                <c:pt idx="55">
                  <c:v>0.17647058823529413</c:v>
                </c:pt>
                <c:pt idx="56">
                  <c:v>0.17647058823529413</c:v>
                </c:pt>
                <c:pt idx="57">
                  <c:v>0.16862745098039217</c:v>
                </c:pt>
                <c:pt idx="58">
                  <c:v>0.16862745098039217</c:v>
                </c:pt>
                <c:pt idx="59">
                  <c:v>0.16862745098039217</c:v>
                </c:pt>
                <c:pt idx="60">
                  <c:v>0.17254901960784313</c:v>
                </c:pt>
                <c:pt idx="61">
                  <c:v>0.16862745098039217</c:v>
                </c:pt>
                <c:pt idx="62">
                  <c:v>0.16078431372549021</c:v>
                </c:pt>
                <c:pt idx="63">
                  <c:v>0.16078431372549021</c:v>
                </c:pt>
                <c:pt idx="64">
                  <c:v>0.16078431372549021</c:v>
                </c:pt>
                <c:pt idx="65">
                  <c:v>0.16078431372549021</c:v>
                </c:pt>
                <c:pt idx="66">
                  <c:v>0.16470588235294117</c:v>
                </c:pt>
                <c:pt idx="67">
                  <c:v>0.15294117647058825</c:v>
                </c:pt>
                <c:pt idx="68">
                  <c:v>0.15294117647058825</c:v>
                </c:pt>
                <c:pt idx="69">
                  <c:v>0.16078431372549021</c:v>
                </c:pt>
                <c:pt idx="70">
                  <c:v>0.15294117647058825</c:v>
                </c:pt>
                <c:pt idx="71">
                  <c:v>0.16078431372549021</c:v>
                </c:pt>
                <c:pt idx="72">
                  <c:v>0.15294117647058825</c:v>
                </c:pt>
                <c:pt idx="73">
                  <c:v>0.15686274509803921</c:v>
                </c:pt>
                <c:pt idx="74">
                  <c:v>0.16078431372549021</c:v>
                </c:pt>
                <c:pt idx="75">
                  <c:v>0.15294117647058825</c:v>
                </c:pt>
                <c:pt idx="76">
                  <c:v>0.14901960784313725</c:v>
                </c:pt>
                <c:pt idx="77">
                  <c:v>0.15294117647058825</c:v>
                </c:pt>
                <c:pt idx="78">
                  <c:v>0.15294117647058825</c:v>
                </c:pt>
                <c:pt idx="79">
                  <c:v>0.15294117647058825</c:v>
                </c:pt>
                <c:pt idx="80">
                  <c:v>0.14509803921568629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data0!$U$1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data0!$U$2:$U$82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0.97647058823529409</c:v>
                </c:pt>
                <c:pt idx="12">
                  <c:v>0.86274509803921573</c:v>
                </c:pt>
                <c:pt idx="13">
                  <c:v>0.7686274509803922</c:v>
                </c:pt>
                <c:pt idx="14">
                  <c:v>0.70196078431372544</c:v>
                </c:pt>
                <c:pt idx="15">
                  <c:v>0.63921568627450975</c:v>
                </c:pt>
                <c:pt idx="16">
                  <c:v>0.58823529411764708</c:v>
                </c:pt>
                <c:pt idx="17">
                  <c:v>0.53725490196078429</c:v>
                </c:pt>
                <c:pt idx="18">
                  <c:v>0.49803921568627452</c:v>
                </c:pt>
                <c:pt idx="19">
                  <c:v>0.46666666666666667</c:v>
                </c:pt>
                <c:pt idx="20">
                  <c:v>0.4392156862745098</c:v>
                </c:pt>
                <c:pt idx="21">
                  <c:v>0.41568627450980394</c:v>
                </c:pt>
                <c:pt idx="22">
                  <c:v>0.39215686274509803</c:v>
                </c:pt>
                <c:pt idx="23">
                  <c:v>0.36862745098039218</c:v>
                </c:pt>
                <c:pt idx="24">
                  <c:v>0.35294117647058826</c:v>
                </c:pt>
                <c:pt idx="25">
                  <c:v>0.33725490196078434</c:v>
                </c:pt>
                <c:pt idx="26">
                  <c:v>0.32156862745098042</c:v>
                </c:pt>
                <c:pt idx="27">
                  <c:v>0.30980392156862746</c:v>
                </c:pt>
                <c:pt idx="28">
                  <c:v>0.29803921568627451</c:v>
                </c:pt>
                <c:pt idx="29">
                  <c:v>0.28627450980392155</c:v>
                </c:pt>
                <c:pt idx="30">
                  <c:v>0.27450980392156865</c:v>
                </c:pt>
                <c:pt idx="31">
                  <c:v>0.2627450980392157</c:v>
                </c:pt>
                <c:pt idx="32">
                  <c:v>0.25490196078431371</c:v>
                </c:pt>
                <c:pt idx="33">
                  <c:v>0.25098039215686274</c:v>
                </c:pt>
                <c:pt idx="34">
                  <c:v>0.24313725490196078</c:v>
                </c:pt>
                <c:pt idx="35">
                  <c:v>0.23529411764705882</c:v>
                </c:pt>
                <c:pt idx="36">
                  <c:v>0.23137254901960785</c:v>
                </c:pt>
                <c:pt idx="37">
                  <c:v>0.22352941176470589</c:v>
                </c:pt>
                <c:pt idx="38">
                  <c:v>0.22352941176470589</c:v>
                </c:pt>
                <c:pt idx="39">
                  <c:v>0.22352941176470589</c:v>
                </c:pt>
                <c:pt idx="40">
                  <c:v>0.21568627450980393</c:v>
                </c:pt>
                <c:pt idx="41">
                  <c:v>0.20784313725490197</c:v>
                </c:pt>
                <c:pt idx="42">
                  <c:v>0.20784313725490197</c:v>
                </c:pt>
                <c:pt idx="43">
                  <c:v>0.2</c:v>
                </c:pt>
                <c:pt idx="44">
                  <c:v>0.2</c:v>
                </c:pt>
                <c:pt idx="45">
                  <c:v>0.19215686274509805</c:v>
                </c:pt>
                <c:pt idx="46">
                  <c:v>0.19215686274509805</c:v>
                </c:pt>
                <c:pt idx="47">
                  <c:v>0.19607843137254902</c:v>
                </c:pt>
                <c:pt idx="48">
                  <c:v>0.18431372549019609</c:v>
                </c:pt>
                <c:pt idx="49">
                  <c:v>0.18431372549019609</c:v>
                </c:pt>
                <c:pt idx="50">
                  <c:v>0.1803921568627451</c:v>
                </c:pt>
                <c:pt idx="51">
                  <c:v>0.18431372549019609</c:v>
                </c:pt>
                <c:pt idx="52">
                  <c:v>0.17647058823529413</c:v>
                </c:pt>
                <c:pt idx="53">
                  <c:v>0.17647058823529413</c:v>
                </c:pt>
                <c:pt idx="54">
                  <c:v>0.17647058823529413</c:v>
                </c:pt>
                <c:pt idx="55">
                  <c:v>0.18431372549019609</c:v>
                </c:pt>
                <c:pt idx="56">
                  <c:v>0.16862745098039217</c:v>
                </c:pt>
                <c:pt idx="57">
                  <c:v>0.16078431372549021</c:v>
                </c:pt>
                <c:pt idx="58">
                  <c:v>0.16862745098039217</c:v>
                </c:pt>
                <c:pt idx="59">
                  <c:v>0.16862745098039217</c:v>
                </c:pt>
                <c:pt idx="60">
                  <c:v>0.16078431372549021</c:v>
                </c:pt>
                <c:pt idx="61">
                  <c:v>0.16078431372549021</c:v>
                </c:pt>
                <c:pt idx="62">
                  <c:v>0.16078431372549021</c:v>
                </c:pt>
                <c:pt idx="63">
                  <c:v>0.16078431372549021</c:v>
                </c:pt>
                <c:pt idx="64">
                  <c:v>0.15686274509803921</c:v>
                </c:pt>
                <c:pt idx="65">
                  <c:v>0.15294117647058825</c:v>
                </c:pt>
                <c:pt idx="66">
                  <c:v>0.16078431372549021</c:v>
                </c:pt>
                <c:pt idx="67">
                  <c:v>0.15294117647058825</c:v>
                </c:pt>
                <c:pt idx="68">
                  <c:v>0.15294117647058825</c:v>
                </c:pt>
                <c:pt idx="69">
                  <c:v>0.15294117647058825</c:v>
                </c:pt>
                <c:pt idx="70">
                  <c:v>0.14901960784313725</c:v>
                </c:pt>
                <c:pt idx="71">
                  <c:v>0.15294117647058825</c:v>
                </c:pt>
                <c:pt idx="72">
                  <c:v>0.15294117647058825</c:v>
                </c:pt>
                <c:pt idx="73">
                  <c:v>0.15294117647058825</c:v>
                </c:pt>
                <c:pt idx="74">
                  <c:v>0.15294117647058825</c:v>
                </c:pt>
                <c:pt idx="75">
                  <c:v>0.15294117647058825</c:v>
                </c:pt>
                <c:pt idx="76">
                  <c:v>0.15294117647058825</c:v>
                </c:pt>
                <c:pt idx="77">
                  <c:v>0.15294117647058825</c:v>
                </c:pt>
                <c:pt idx="78">
                  <c:v>0.14509803921568629</c:v>
                </c:pt>
                <c:pt idx="79">
                  <c:v>0.15294117647058825</c:v>
                </c:pt>
                <c:pt idx="80">
                  <c:v>0.14509803921568629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data0!$V$1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data0!$V$2:$V$82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0.97254901960784312</c:v>
                </c:pt>
                <c:pt idx="12">
                  <c:v>0.86274509803921573</c:v>
                </c:pt>
                <c:pt idx="13">
                  <c:v>0.76470588235294112</c:v>
                </c:pt>
                <c:pt idx="14">
                  <c:v>0.69411764705882351</c:v>
                </c:pt>
                <c:pt idx="15">
                  <c:v>0.63529411764705879</c:v>
                </c:pt>
                <c:pt idx="16">
                  <c:v>0.58431372549019611</c:v>
                </c:pt>
                <c:pt idx="17">
                  <c:v>0.53725490196078429</c:v>
                </c:pt>
                <c:pt idx="18">
                  <c:v>0.49411764705882355</c:v>
                </c:pt>
                <c:pt idx="19">
                  <c:v>0.46666666666666667</c:v>
                </c:pt>
                <c:pt idx="20">
                  <c:v>0.4392156862745098</c:v>
                </c:pt>
                <c:pt idx="21">
                  <c:v>0.41568627450980394</c:v>
                </c:pt>
                <c:pt idx="22">
                  <c:v>0.396078431372549</c:v>
                </c:pt>
                <c:pt idx="23">
                  <c:v>0.36862745098039218</c:v>
                </c:pt>
                <c:pt idx="24">
                  <c:v>0.34901960784313724</c:v>
                </c:pt>
                <c:pt idx="25">
                  <c:v>0.33333333333333331</c:v>
                </c:pt>
                <c:pt idx="26">
                  <c:v>0.31764705882352939</c:v>
                </c:pt>
                <c:pt idx="27">
                  <c:v>0.30980392156862746</c:v>
                </c:pt>
                <c:pt idx="28">
                  <c:v>0.29803921568627451</c:v>
                </c:pt>
                <c:pt idx="29">
                  <c:v>0.28235294117647058</c:v>
                </c:pt>
                <c:pt idx="30">
                  <c:v>0.27843137254901962</c:v>
                </c:pt>
                <c:pt idx="31">
                  <c:v>0.2627450980392157</c:v>
                </c:pt>
                <c:pt idx="32">
                  <c:v>0.25490196078431371</c:v>
                </c:pt>
                <c:pt idx="33">
                  <c:v>0.24705882352941178</c:v>
                </c:pt>
                <c:pt idx="34">
                  <c:v>0.23921568627450981</c:v>
                </c:pt>
                <c:pt idx="35">
                  <c:v>0.23529411764705882</c:v>
                </c:pt>
                <c:pt idx="36">
                  <c:v>0.23137254901960785</c:v>
                </c:pt>
                <c:pt idx="37">
                  <c:v>0.22352941176470589</c:v>
                </c:pt>
                <c:pt idx="38">
                  <c:v>0.2196078431372549</c:v>
                </c:pt>
                <c:pt idx="39">
                  <c:v>0.21568627450980393</c:v>
                </c:pt>
                <c:pt idx="40">
                  <c:v>0.21176470588235294</c:v>
                </c:pt>
                <c:pt idx="41">
                  <c:v>0.20784313725490197</c:v>
                </c:pt>
                <c:pt idx="42">
                  <c:v>0.20784313725490197</c:v>
                </c:pt>
                <c:pt idx="43">
                  <c:v>0.2</c:v>
                </c:pt>
                <c:pt idx="44">
                  <c:v>0.19607843137254902</c:v>
                </c:pt>
                <c:pt idx="45">
                  <c:v>0.19215686274509805</c:v>
                </c:pt>
                <c:pt idx="46">
                  <c:v>0.19215686274509805</c:v>
                </c:pt>
                <c:pt idx="47">
                  <c:v>0.19607843137254902</c:v>
                </c:pt>
                <c:pt idx="48">
                  <c:v>0.18431372549019609</c:v>
                </c:pt>
                <c:pt idx="49">
                  <c:v>0.18823529411764706</c:v>
                </c:pt>
                <c:pt idx="50">
                  <c:v>0.18431372549019609</c:v>
                </c:pt>
                <c:pt idx="51">
                  <c:v>0.1803921568627451</c:v>
                </c:pt>
                <c:pt idx="52">
                  <c:v>0.17647058823529413</c:v>
                </c:pt>
                <c:pt idx="53">
                  <c:v>0.17647058823529413</c:v>
                </c:pt>
                <c:pt idx="54">
                  <c:v>0.17647058823529413</c:v>
                </c:pt>
                <c:pt idx="55">
                  <c:v>0.16862745098039217</c:v>
                </c:pt>
                <c:pt idx="56">
                  <c:v>0.17647058823529413</c:v>
                </c:pt>
                <c:pt idx="57">
                  <c:v>0.16862745098039217</c:v>
                </c:pt>
                <c:pt idx="58">
                  <c:v>0.17254901960784313</c:v>
                </c:pt>
                <c:pt idx="59">
                  <c:v>0.17254901960784313</c:v>
                </c:pt>
                <c:pt idx="60">
                  <c:v>0.16470588235294117</c:v>
                </c:pt>
                <c:pt idx="61">
                  <c:v>0.16078431372549021</c:v>
                </c:pt>
                <c:pt idx="62">
                  <c:v>0.16470588235294117</c:v>
                </c:pt>
                <c:pt idx="63">
                  <c:v>0.16862745098039217</c:v>
                </c:pt>
                <c:pt idx="64">
                  <c:v>0.16470588235294117</c:v>
                </c:pt>
                <c:pt idx="65">
                  <c:v>0.16078431372549021</c:v>
                </c:pt>
                <c:pt idx="66">
                  <c:v>0.16078431372549021</c:v>
                </c:pt>
                <c:pt idx="67">
                  <c:v>0.16078431372549021</c:v>
                </c:pt>
                <c:pt idx="68">
                  <c:v>0.16470588235294117</c:v>
                </c:pt>
                <c:pt idx="69">
                  <c:v>0.16078431372549021</c:v>
                </c:pt>
                <c:pt idx="70">
                  <c:v>0.15294117647058825</c:v>
                </c:pt>
                <c:pt idx="71">
                  <c:v>0.16078431372549021</c:v>
                </c:pt>
                <c:pt idx="72">
                  <c:v>0.16078431372549021</c:v>
                </c:pt>
                <c:pt idx="73">
                  <c:v>0.15686274509803921</c:v>
                </c:pt>
                <c:pt idx="74">
                  <c:v>0.15294117647058825</c:v>
                </c:pt>
                <c:pt idx="75">
                  <c:v>0.14509803921568629</c:v>
                </c:pt>
                <c:pt idx="76">
                  <c:v>0.14509803921568629</c:v>
                </c:pt>
                <c:pt idx="77">
                  <c:v>0.15686274509803921</c:v>
                </c:pt>
                <c:pt idx="78">
                  <c:v>0.15294117647058825</c:v>
                </c:pt>
                <c:pt idx="79">
                  <c:v>0.15294117647058825</c:v>
                </c:pt>
                <c:pt idx="80">
                  <c:v>0.14901960784313725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data0!$W$1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data0!$W$2:$W$82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0.97647058823529409</c:v>
                </c:pt>
                <c:pt idx="12">
                  <c:v>0.8666666666666667</c:v>
                </c:pt>
                <c:pt idx="13">
                  <c:v>0.77254901960784317</c:v>
                </c:pt>
                <c:pt idx="14">
                  <c:v>0.70196078431372544</c:v>
                </c:pt>
                <c:pt idx="15">
                  <c:v>0.64313725490196083</c:v>
                </c:pt>
                <c:pt idx="16">
                  <c:v>0.58823529411764708</c:v>
                </c:pt>
                <c:pt idx="17">
                  <c:v>0.54117647058823526</c:v>
                </c:pt>
                <c:pt idx="18">
                  <c:v>0.50196078431372548</c:v>
                </c:pt>
                <c:pt idx="19">
                  <c:v>0.47058823529411764</c:v>
                </c:pt>
                <c:pt idx="20">
                  <c:v>0.4392156862745098</c:v>
                </c:pt>
                <c:pt idx="21">
                  <c:v>0.41568627450980394</c:v>
                </c:pt>
                <c:pt idx="22">
                  <c:v>0.38823529411764707</c:v>
                </c:pt>
                <c:pt idx="23">
                  <c:v>0.36470588235294116</c:v>
                </c:pt>
                <c:pt idx="24">
                  <c:v>0.34901960784313724</c:v>
                </c:pt>
                <c:pt idx="25">
                  <c:v>0.33333333333333331</c:v>
                </c:pt>
                <c:pt idx="26">
                  <c:v>0.31764705882352939</c:v>
                </c:pt>
                <c:pt idx="27">
                  <c:v>0.30588235294117649</c:v>
                </c:pt>
                <c:pt idx="28">
                  <c:v>0.30196078431372547</c:v>
                </c:pt>
                <c:pt idx="29">
                  <c:v>0.28627450980392155</c:v>
                </c:pt>
                <c:pt idx="30">
                  <c:v>0.27843137254901962</c:v>
                </c:pt>
                <c:pt idx="31">
                  <c:v>0.26666666666666666</c:v>
                </c:pt>
                <c:pt idx="32">
                  <c:v>0.25882352941176473</c:v>
                </c:pt>
                <c:pt idx="33">
                  <c:v>0.24705882352941178</c:v>
                </c:pt>
                <c:pt idx="34">
                  <c:v>0.23921568627450981</c:v>
                </c:pt>
                <c:pt idx="35">
                  <c:v>0.23921568627450981</c:v>
                </c:pt>
                <c:pt idx="36">
                  <c:v>0.23137254901960785</c:v>
                </c:pt>
                <c:pt idx="37">
                  <c:v>0.23137254901960785</c:v>
                </c:pt>
                <c:pt idx="38">
                  <c:v>0.22352941176470589</c:v>
                </c:pt>
                <c:pt idx="39">
                  <c:v>0.22352941176470589</c:v>
                </c:pt>
                <c:pt idx="40">
                  <c:v>0.22352941176470589</c:v>
                </c:pt>
                <c:pt idx="41">
                  <c:v>0.21568627450980393</c:v>
                </c:pt>
                <c:pt idx="42">
                  <c:v>0.21568627450980393</c:v>
                </c:pt>
                <c:pt idx="43">
                  <c:v>0.21176470588235294</c:v>
                </c:pt>
                <c:pt idx="44">
                  <c:v>0.20784313725490197</c:v>
                </c:pt>
                <c:pt idx="45">
                  <c:v>0.20784313725490197</c:v>
                </c:pt>
                <c:pt idx="46">
                  <c:v>0.2</c:v>
                </c:pt>
                <c:pt idx="47">
                  <c:v>0.2</c:v>
                </c:pt>
                <c:pt idx="48">
                  <c:v>0.19215686274509805</c:v>
                </c:pt>
                <c:pt idx="49">
                  <c:v>0.19215686274509805</c:v>
                </c:pt>
                <c:pt idx="50">
                  <c:v>0.19215686274509805</c:v>
                </c:pt>
                <c:pt idx="51">
                  <c:v>0.18823529411764706</c:v>
                </c:pt>
                <c:pt idx="52">
                  <c:v>0.1803921568627451</c:v>
                </c:pt>
                <c:pt idx="53">
                  <c:v>0.18431372549019609</c:v>
                </c:pt>
                <c:pt idx="54">
                  <c:v>0.17647058823529413</c:v>
                </c:pt>
                <c:pt idx="55">
                  <c:v>0.1803921568627451</c:v>
                </c:pt>
                <c:pt idx="56">
                  <c:v>0.17647058823529413</c:v>
                </c:pt>
                <c:pt idx="57">
                  <c:v>0.17647058823529413</c:v>
                </c:pt>
                <c:pt idx="58">
                  <c:v>0.16862745098039217</c:v>
                </c:pt>
                <c:pt idx="59">
                  <c:v>0.16862745098039217</c:v>
                </c:pt>
                <c:pt idx="60">
                  <c:v>0.16862745098039217</c:v>
                </c:pt>
                <c:pt idx="61">
                  <c:v>0.16862745098039217</c:v>
                </c:pt>
                <c:pt idx="62">
                  <c:v>0.16862745098039217</c:v>
                </c:pt>
                <c:pt idx="63">
                  <c:v>0.16862745098039217</c:v>
                </c:pt>
                <c:pt idx="64">
                  <c:v>0.17254901960784313</c:v>
                </c:pt>
                <c:pt idx="65">
                  <c:v>0.16862745098039217</c:v>
                </c:pt>
                <c:pt idx="66">
                  <c:v>0.16078431372549021</c:v>
                </c:pt>
                <c:pt idx="67">
                  <c:v>0.16862745098039217</c:v>
                </c:pt>
                <c:pt idx="68">
                  <c:v>0.16078431372549021</c:v>
                </c:pt>
                <c:pt idx="69">
                  <c:v>0.16078431372549021</c:v>
                </c:pt>
                <c:pt idx="70">
                  <c:v>0.16078431372549021</c:v>
                </c:pt>
                <c:pt idx="71">
                  <c:v>0.16078431372549021</c:v>
                </c:pt>
                <c:pt idx="72">
                  <c:v>0.15686274509803921</c:v>
                </c:pt>
                <c:pt idx="73">
                  <c:v>0.16078431372549021</c:v>
                </c:pt>
                <c:pt idx="74">
                  <c:v>0.16078431372549021</c:v>
                </c:pt>
                <c:pt idx="75">
                  <c:v>0.15294117647058825</c:v>
                </c:pt>
                <c:pt idx="76">
                  <c:v>0.16078431372549021</c:v>
                </c:pt>
                <c:pt idx="77">
                  <c:v>0.15294117647058825</c:v>
                </c:pt>
                <c:pt idx="78">
                  <c:v>0.15294117647058825</c:v>
                </c:pt>
                <c:pt idx="79">
                  <c:v>0.16078431372549021</c:v>
                </c:pt>
                <c:pt idx="80">
                  <c:v>0.15686274509803921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data0!$X$1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data0!$X$2:$X$82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0.96078431372549022</c:v>
                </c:pt>
                <c:pt idx="11">
                  <c:v>0.83529411764705885</c:v>
                </c:pt>
                <c:pt idx="12">
                  <c:v>0.72156862745098038</c:v>
                </c:pt>
                <c:pt idx="13">
                  <c:v>0.62745098039215685</c:v>
                </c:pt>
                <c:pt idx="14">
                  <c:v>0.55686274509803924</c:v>
                </c:pt>
                <c:pt idx="15">
                  <c:v>0.50588235294117645</c:v>
                </c:pt>
                <c:pt idx="16">
                  <c:v>0.44705882352941179</c:v>
                </c:pt>
                <c:pt idx="17">
                  <c:v>0.396078431372549</c:v>
                </c:pt>
                <c:pt idx="18">
                  <c:v>0.36078431372549019</c:v>
                </c:pt>
                <c:pt idx="19">
                  <c:v>0.32941176470588235</c:v>
                </c:pt>
                <c:pt idx="20">
                  <c:v>0.29803921568627451</c:v>
                </c:pt>
                <c:pt idx="21">
                  <c:v>0.27450980392156865</c:v>
                </c:pt>
                <c:pt idx="22">
                  <c:v>0.25098039215686274</c:v>
                </c:pt>
                <c:pt idx="23">
                  <c:v>0.22745098039215686</c:v>
                </c:pt>
                <c:pt idx="24">
                  <c:v>0.20784313725490197</c:v>
                </c:pt>
                <c:pt idx="25">
                  <c:v>0.19607843137254902</c:v>
                </c:pt>
                <c:pt idx="26">
                  <c:v>0.1803921568627451</c:v>
                </c:pt>
                <c:pt idx="27">
                  <c:v>0.16862745098039217</c:v>
                </c:pt>
                <c:pt idx="28">
                  <c:v>0.16078431372549021</c:v>
                </c:pt>
                <c:pt idx="29">
                  <c:v>0.14901960784313725</c:v>
                </c:pt>
                <c:pt idx="30">
                  <c:v>0.13725490196078433</c:v>
                </c:pt>
                <c:pt idx="31">
                  <c:v>0.12941176470588237</c:v>
                </c:pt>
                <c:pt idx="32">
                  <c:v>0.12549019607843137</c:v>
                </c:pt>
                <c:pt idx="33">
                  <c:v>0.11764705882352941</c:v>
                </c:pt>
                <c:pt idx="34">
                  <c:v>0.10588235294117647</c:v>
                </c:pt>
                <c:pt idx="35">
                  <c:v>0.10196078431372549</c:v>
                </c:pt>
                <c:pt idx="36">
                  <c:v>9.8039215686274508E-2</c:v>
                </c:pt>
                <c:pt idx="37">
                  <c:v>9.0196078431372548E-2</c:v>
                </c:pt>
                <c:pt idx="38">
                  <c:v>8.6274509803921567E-2</c:v>
                </c:pt>
                <c:pt idx="39">
                  <c:v>8.2352941176470587E-2</c:v>
                </c:pt>
                <c:pt idx="40">
                  <c:v>7.8431372549019607E-2</c:v>
                </c:pt>
                <c:pt idx="41">
                  <c:v>6.6666666666666666E-2</c:v>
                </c:pt>
                <c:pt idx="42">
                  <c:v>6.6666666666666666E-2</c:v>
                </c:pt>
                <c:pt idx="43">
                  <c:v>5.8823529411764705E-2</c:v>
                </c:pt>
                <c:pt idx="44">
                  <c:v>5.8823529411764705E-2</c:v>
                </c:pt>
                <c:pt idx="45">
                  <c:v>5.4901960784313725E-2</c:v>
                </c:pt>
                <c:pt idx="46">
                  <c:v>5.0980392156862744E-2</c:v>
                </c:pt>
                <c:pt idx="47">
                  <c:v>4.3137254901960784E-2</c:v>
                </c:pt>
                <c:pt idx="48">
                  <c:v>4.3137254901960784E-2</c:v>
                </c:pt>
                <c:pt idx="49">
                  <c:v>4.3137254901960784E-2</c:v>
                </c:pt>
                <c:pt idx="50">
                  <c:v>3.5294117647058823E-2</c:v>
                </c:pt>
                <c:pt idx="51">
                  <c:v>3.5294117647058823E-2</c:v>
                </c:pt>
                <c:pt idx="52">
                  <c:v>3.9215686274509803E-2</c:v>
                </c:pt>
                <c:pt idx="53">
                  <c:v>3.5294117647058823E-2</c:v>
                </c:pt>
                <c:pt idx="54">
                  <c:v>3.5294117647058823E-2</c:v>
                </c:pt>
                <c:pt idx="55">
                  <c:v>3.5294117647058823E-2</c:v>
                </c:pt>
                <c:pt idx="56">
                  <c:v>2.7450980392156862E-2</c:v>
                </c:pt>
                <c:pt idx="57">
                  <c:v>2.7450980392156862E-2</c:v>
                </c:pt>
                <c:pt idx="58">
                  <c:v>2.7450980392156862E-2</c:v>
                </c:pt>
                <c:pt idx="59">
                  <c:v>1.9607843137254902E-2</c:v>
                </c:pt>
                <c:pt idx="60">
                  <c:v>1.9607843137254902E-2</c:v>
                </c:pt>
                <c:pt idx="61">
                  <c:v>1.9607843137254902E-2</c:v>
                </c:pt>
                <c:pt idx="62">
                  <c:v>1.9607843137254902E-2</c:v>
                </c:pt>
                <c:pt idx="63">
                  <c:v>1.9607843137254902E-2</c:v>
                </c:pt>
                <c:pt idx="64">
                  <c:v>1.9607843137254902E-2</c:v>
                </c:pt>
                <c:pt idx="65">
                  <c:v>1.9607843137254902E-2</c:v>
                </c:pt>
                <c:pt idx="66">
                  <c:v>1.9607843137254902E-2</c:v>
                </c:pt>
                <c:pt idx="67">
                  <c:v>1.9607843137254902E-2</c:v>
                </c:pt>
                <c:pt idx="68">
                  <c:v>1.9607843137254902E-2</c:v>
                </c:pt>
                <c:pt idx="69">
                  <c:v>1.9607843137254902E-2</c:v>
                </c:pt>
                <c:pt idx="70">
                  <c:v>1.9607843137254902E-2</c:v>
                </c:pt>
                <c:pt idx="71">
                  <c:v>1.1764705882352941E-2</c:v>
                </c:pt>
                <c:pt idx="72">
                  <c:v>7.8431372549019607E-3</c:v>
                </c:pt>
                <c:pt idx="73">
                  <c:v>1.1764705882352941E-2</c:v>
                </c:pt>
                <c:pt idx="74">
                  <c:v>1.9607843137254902E-2</c:v>
                </c:pt>
                <c:pt idx="75">
                  <c:v>1.5686274509803921E-2</c:v>
                </c:pt>
                <c:pt idx="76">
                  <c:v>1.9607843137254902E-2</c:v>
                </c:pt>
                <c:pt idx="77">
                  <c:v>1.9607843137254902E-2</c:v>
                </c:pt>
                <c:pt idx="78">
                  <c:v>1.9607843137254902E-2</c:v>
                </c:pt>
                <c:pt idx="79">
                  <c:v>1.9607843137254902E-2</c:v>
                </c:pt>
                <c:pt idx="80">
                  <c:v>1.9607843137254902E-2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data0!$Y$1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data0!$Y$2:$Y$82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0.97254901960784312</c:v>
                </c:pt>
                <c:pt idx="11">
                  <c:v>0.83921568627450982</c:v>
                </c:pt>
                <c:pt idx="12">
                  <c:v>0.72941176470588232</c:v>
                </c:pt>
                <c:pt idx="13">
                  <c:v>0.63921568627450975</c:v>
                </c:pt>
                <c:pt idx="14">
                  <c:v>0.56470588235294117</c:v>
                </c:pt>
                <c:pt idx="15">
                  <c:v>0.50588235294117645</c:v>
                </c:pt>
                <c:pt idx="16">
                  <c:v>0.45098039215686275</c:v>
                </c:pt>
                <c:pt idx="17">
                  <c:v>0.4</c:v>
                </c:pt>
                <c:pt idx="18">
                  <c:v>0.35294117647058826</c:v>
                </c:pt>
                <c:pt idx="19">
                  <c:v>0.32549019607843138</c:v>
                </c:pt>
                <c:pt idx="20">
                  <c:v>0.29803921568627451</c:v>
                </c:pt>
                <c:pt idx="21">
                  <c:v>0.27450980392156865</c:v>
                </c:pt>
                <c:pt idx="22">
                  <c:v>0.24705882352941178</c:v>
                </c:pt>
                <c:pt idx="23">
                  <c:v>0.23137254901960785</c:v>
                </c:pt>
                <c:pt idx="24">
                  <c:v>0.21176470588235294</c:v>
                </c:pt>
                <c:pt idx="25">
                  <c:v>0.2</c:v>
                </c:pt>
                <c:pt idx="26">
                  <c:v>0.1803921568627451</c:v>
                </c:pt>
                <c:pt idx="27">
                  <c:v>0.16862745098039217</c:v>
                </c:pt>
                <c:pt idx="28">
                  <c:v>0.15294117647058825</c:v>
                </c:pt>
                <c:pt idx="29">
                  <c:v>0.14117647058823529</c:v>
                </c:pt>
                <c:pt idx="30">
                  <c:v>0.13333333333333333</c:v>
                </c:pt>
                <c:pt idx="31">
                  <c:v>0.12156862745098039</c:v>
                </c:pt>
                <c:pt idx="32">
                  <c:v>0.11372549019607843</c:v>
                </c:pt>
                <c:pt idx="33">
                  <c:v>0.10588235294117647</c:v>
                </c:pt>
                <c:pt idx="34">
                  <c:v>9.8039215686274508E-2</c:v>
                </c:pt>
                <c:pt idx="35">
                  <c:v>9.0196078431372548E-2</c:v>
                </c:pt>
                <c:pt idx="36">
                  <c:v>8.6274509803921567E-2</c:v>
                </c:pt>
                <c:pt idx="37">
                  <c:v>8.2352941176470587E-2</c:v>
                </c:pt>
                <c:pt idx="38">
                  <c:v>7.8431372549019607E-2</c:v>
                </c:pt>
                <c:pt idx="39">
                  <c:v>7.4509803921568626E-2</c:v>
                </c:pt>
                <c:pt idx="40">
                  <c:v>6.6666666666666666E-2</c:v>
                </c:pt>
                <c:pt idx="41">
                  <c:v>6.6666666666666666E-2</c:v>
                </c:pt>
                <c:pt idx="42">
                  <c:v>5.8823529411764705E-2</c:v>
                </c:pt>
                <c:pt idx="43">
                  <c:v>6.2745098039215685E-2</c:v>
                </c:pt>
                <c:pt idx="44">
                  <c:v>5.8823529411764705E-2</c:v>
                </c:pt>
                <c:pt idx="45">
                  <c:v>5.0980392156862744E-2</c:v>
                </c:pt>
                <c:pt idx="46">
                  <c:v>4.7058823529411764E-2</c:v>
                </c:pt>
                <c:pt idx="47">
                  <c:v>4.7058823529411764E-2</c:v>
                </c:pt>
                <c:pt idx="48">
                  <c:v>4.3137254901960784E-2</c:v>
                </c:pt>
                <c:pt idx="49">
                  <c:v>3.9215686274509803E-2</c:v>
                </c:pt>
                <c:pt idx="50">
                  <c:v>3.5294117647058823E-2</c:v>
                </c:pt>
                <c:pt idx="51">
                  <c:v>3.5294117647058823E-2</c:v>
                </c:pt>
                <c:pt idx="52">
                  <c:v>3.9215686274509803E-2</c:v>
                </c:pt>
                <c:pt idx="53">
                  <c:v>2.7450980392156862E-2</c:v>
                </c:pt>
                <c:pt idx="54">
                  <c:v>3.1372549019607843E-2</c:v>
                </c:pt>
                <c:pt idx="55">
                  <c:v>3.1372549019607843E-2</c:v>
                </c:pt>
                <c:pt idx="56">
                  <c:v>2.3529411764705882E-2</c:v>
                </c:pt>
                <c:pt idx="57">
                  <c:v>2.7450980392156862E-2</c:v>
                </c:pt>
                <c:pt idx="58">
                  <c:v>2.7450980392156862E-2</c:v>
                </c:pt>
                <c:pt idx="59">
                  <c:v>2.7450980392156862E-2</c:v>
                </c:pt>
                <c:pt idx="60">
                  <c:v>1.9607843137254902E-2</c:v>
                </c:pt>
                <c:pt idx="61">
                  <c:v>1.9607843137254902E-2</c:v>
                </c:pt>
                <c:pt idx="62">
                  <c:v>1.9607843137254902E-2</c:v>
                </c:pt>
                <c:pt idx="63">
                  <c:v>1.9607843137254902E-2</c:v>
                </c:pt>
                <c:pt idx="64">
                  <c:v>1.9607843137254902E-2</c:v>
                </c:pt>
                <c:pt idx="65">
                  <c:v>1.9607843137254902E-2</c:v>
                </c:pt>
                <c:pt idx="66">
                  <c:v>1.5686274509803921E-2</c:v>
                </c:pt>
                <c:pt idx="67">
                  <c:v>1.1764705882352941E-2</c:v>
                </c:pt>
                <c:pt idx="68">
                  <c:v>1.1764705882352941E-2</c:v>
                </c:pt>
                <c:pt idx="69">
                  <c:v>1.1764705882352941E-2</c:v>
                </c:pt>
                <c:pt idx="70">
                  <c:v>1.1764705882352941E-2</c:v>
                </c:pt>
                <c:pt idx="71">
                  <c:v>1.5686274509803921E-2</c:v>
                </c:pt>
                <c:pt idx="72">
                  <c:v>1.9607843137254902E-2</c:v>
                </c:pt>
                <c:pt idx="73">
                  <c:v>1.1764705882352941E-2</c:v>
                </c:pt>
                <c:pt idx="74">
                  <c:v>1.9607843137254902E-2</c:v>
                </c:pt>
                <c:pt idx="75">
                  <c:v>1.1764705882352941E-2</c:v>
                </c:pt>
                <c:pt idx="76">
                  <c:v>1.1764705882352941E-2</c:v>
                </c:pt>
                <c:pt idx="77">
                  <c:v>1.1764705882352941E-2</c:v>
                </c:pt>
                <c:pt idx="78">
                  <c:v>1.1764705882352941E-2</c:v>
                </c:pt>
                <c:pt idx="79">
                  <c:v>1.1764705882352941E-2</c:v>
                </c:pt>
                <c:pt idx="80">
                  <c:v>1.1764705882352941E-2</c:v>
                </c:pt>
              </c:numCache>
            </c:numRef>
          </c:yVal>
          <c:smooth val="1"/>
        </c:ser>
        <c:axId val="135683072"/>
        <c:axId val="135688960"/>
      </c:scatterChart>
      <c:valAx>
        <c:axId val="135683072"/>
        <c:scaling>
          <c:orientation val="minMax"/>
        </c:scaling>
        <c:axPos val="b"/>
        <c:numFmt formatCode="0.0" sourceLinked="1"/>
        <c:tickLblPos val="nextTo"/>
        <c:crossAx val="135688960"/>
        <c:crosses val="autoZero"/>
        <c:crossBetween val="midCat"/>
      </c:valAx>
      <c:valAx>
        <c:axId val="135688960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3568307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data0!$Z$2:$Z$82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0.98039215686274506</c:v>
                </c:pt>
                <c:pt idx="12">
                  <c:v>0.87058823529411766</c:v>
                </c:pt>
                <c:pt idx="13">
                  <c:v>0.77647058823529413</c:v>
                </c:pt>
                <c:pt idx="14">
                  <c:v>0.70980392156862748</c:v>
                </c:pt>
                <c:pt idx="15">
                  <c:v>0.6470588235294118</c:v>
                </c:pt>
                <c:pt idx="16">
                  <c:v>0.59607843137254901</c:v>
                </c:pt>
                <c:pt idx="17">
                  <c:v>0.54509803921568623</c:v>
                </c:pt>
                <c:pt idx="18">
                  <c:v>0.50196078431372548</c:v>
                </c:pt>
                <c:pt idx="19">
                  <c:v>0.47450980392156861</c:v>
                </c:pt>
                <c:pt idx="20">
                  <c:v>0.44705882352941179</c:v>
                </c:pt>
                <c:pt idx="21">
                  <c:v>0.42352941176470588</c:v>
                </c:pt>
                <c:pt idx="22">
                  <c:v>0.396078431372549</c:v>
                </c:pt>
                <c:pt idx="23">
                  <c:v>0.38039215686274508</c:v>
                </c:pt>
                <c:pt idx="24">
                  <c:v>0.36078431372549019</c:v>
                </c:pt>
                <c:pt idx="25">
                  <c:v>0.3411764705882353</c:v>
                </c:pt>
                <c:pt idx="26">
                  <c:v>0.32156862745098042</c:v>
                </c:pt>
                <c:pt idx="27">
                  <c:v>0.30980392156862746</c:v>
                </c:pt>
                <c:pt idx="28">
                  <c:v>0.29803921568627451</c:v>
                </c:pt>
                <c:pt idx="29">
                  <c:v>0.29411764705882354</c:v>
                </c:pt>
                <c:pt idx="30">
                  <c:v>0.28627450980392155</c:v>
                </c:pt>
                <c:pt idx="31">
                  <c:v>0.28235294117647058</c:v>
                </c:pt>
                <c:pt idx="32">
                  <c:v>0.27058823529411763</c:v>
                </c:pt>
                <c:pt idx="33">
                  <c:v>0.2627450980392157</c:v>
                </c:pt>
                <c:pt idx="34">
                  <c:v>0.25490196078431371</c:v>
                </c:pt>
                <c:pt idx="35">
                  <c:v>0.23921568627450981</c:v>
                </c:pt>
                <c:pt idx="36">
                  <c:v>0.23529411764705882</c:v>
                </c:pt>
                <c:pt idx="37">
                  <c:v>0.23529411764705882</c:v>
                </c:pt>
                <c:pt idx="38">
                  <c:v>0.22745098039215686</c:v>
                </c:pt>
                <c:pt idx="39">
                  <c:v>0.22352941176470589</c:v>
                </c:pt>
                <c:pt idx="40">
                  <c:v>0.22352941176470589</c:v>
                </c:pt>
                <c:pt idx="41">
                  <c:v>0.21568627450980393</c:v>
                </c:pt>
                <c:pt idx="42">
                  <c:v>0.21568627450980393</c:v>
                </c:pt>
                <c:pt idx="43">
                  <c:v>0.21176470588235294</c:v>
                </c:pt>
                <c:pt idx="44">
                  <c:v>0.20784313725490197</c:v>
                </c:pt>
                <c:pt idx="45">
                  <c:v>0.20784313725490197</c:v>
                </c:pt>
                <c:pt idx="46">
                  <c:v>0.19215686274509805</c:v>
                </c:pt>
                <c:pt idx="47">
                  <c:v>0.19215686274509805</c:v>
                </c:pt>
                <c:pt idx="48">
                  <c:v>0.19215686274509805</c:v>
                </c:pt>
                <c:pt idx="49">
                  <c:v>0.19215686274509805</c:v>
                </c:pt>
                <c:pt idx="50">
                  <c:v>0.19215686274509805</c:v>
                </c:pt>
                <c:pt idx="51">
                  <c:v>0.18431372549019609</c:v>
                </c:pt>
                <c:pt idx="52">
                  <c:v>0.18823529411764706</c:v>
                </c:pt>
                <c:pt idx="53">
                  <c:v>0.18431372549019609</c:v>
                </c:pt>
                <c:pt idx="54">
                  <c:v>0.17647058823529413</c:v>
                </c:pt>
                <c:pt idx="55">
                  <c:v>0.16862745098039217</c:v>
                </c:pt>
                <c:pt idx="56">
                  <c:v>0.16862745098039217</c:v>
                </c:pt>
                <c:pt idx="57">
                  <c:v>0.16862745098039217</c:v>
                </c:pt>
                <c:pt idx="58">
                  <c:v>0.16862745098039217</c:v>
                </c:pt>
                <c:pt idx="59">
                  <c:v>0.16078431372549021</c:v>
                </c:pt>
                <c:pt idx="60">
                  <c:v>0.16078431372549021</c:v>
                </c:pt>
                <c:pt idx="61">
                  <c:v>0.16470588235294117</c:v>
                </c:pt>
                <c:pt idx="62">
                  <c:v>0.16078431372549021</c:v>
                </c:pt>
                <c:pt idx="63">
                  <c:v>0.16078431372549021</c:v>
                </c:pt>
                <c:pt idx="64">
                  <c:v>0.16078431372549021</c:v>
                </c:pt>
                <c:pt idx="65">
                  <c:v>0.16078431372549021</c:v>
                </c:pt>
                <c:pt idx="66">
                  <c:v>0.16078431372549021</c:v>
                </c:pt>
                <c:pt idx="67">
                  <c:v>0.16078431372549021</c:v>
                </c:pt>
                <c:pt idx="68">
                  <c:v>0.16078431372549021</c:v>
                </c:pt>
                <c:pt idx="69">
                  <c:v>0.16078431372549021</c:v>
                </c:pt>
                <c:pt idx="70">
                  <c:v>0.15686274509803921</c:v>
                </c:pt>
                <c:pt idx="71">
                  <c:v>0.16078431372549021</c:v>
                </c:pt>
                <c:pt idx="72">
                  <c:v>0.16078431372549021</c:v>
                </c:pt>
                <c:pt idx="73">
                  <c:v>0.16078431372549021</c:v>
                </c:pt>
                <c:pt idx="74">
                  <c:v>0.15294117647058825</c:v>
                </c:pt>
                <c:pt idx="75">
                  <c:v>0.15294117647058825</c:v>
                </c:pt>
                <c:pt idx="76">
                  <c:v>0.15294117647058825</c:v>
                </c:pt>
                <c:pt idx="77">
                  <c:v>0.15294117647058825</c:v>
                </c:pt>
                <c:pt idx="78">
                  <c:v>0.14901960784313725</c:v>
                </c:pt>
                <c:pt idx="79">
                  <c:v>0.14509803921568629</c:v>
                </c:pt>
                <c:pt idx="80">
                  <c:v>0.15294117647058825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data0!$AA$1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data0!$AA$2:$AA$82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0.96470588235294119</c:v>
                </c:pt>
                <c:pt idx="11">
                  <c:v>0.83137254901960789</c:v>
                </c:pt>
                <c:pt idx="12">
                  <c:v>0.72941176470588232</c:v>
                </c:pt>
                <c:pt idx="13">
                  <c:v>0.63529411764705879</c:v>
                </c:pt>
                <c:pt idx="14">
                  <c:v>0.5607843137254902</c:v>
                </c:pt>
                <c:pt idx="15">
                  <c:v>0.49803921568627452</c:v>
                </c:pt>
                <c:pt idx="16">
                  <c:v>0.45490196078431372</c:v>
                </c:pt>
                <c:pt idx="17">
                  <c:v>0.40392156862745099</c:v>
                </c:pt>
                <c:pt idx="18">
                  <c:v>0.36470588235294116</c:v>
                </c:pt>
                <c:pt idx="19">
                  <c:v>0.32156862745098042</c:v>
                </c:pt>
                <c:pt idx="20">
                  <c:v>0.29803921568627451</c:v>
                </c:pt>
                <c:pt idx="21">
                  <c:v>0.27450980392156865</c:v>
                </c:pt>
                <c:pt idx="22">
                  <c:v>0.25098039215686274</c:v>
                </c:pt>
                <c:pt idx="23">
                  <c:v>0.22745098039215686</c:v>
                </c:pt>
                <c:pt idx="24">
                  <c:v>0.20392156862745098</c:v>
                </c:pt>
                <c:pt idx="25">
                  <c:v>0.19215686274509805</c:v>
                </c:pt>
                <c:pt idx="26">
                  <c:v>0.17254901960784313</c:v>
                </c:pt>
                <c:pt idx="27">
                  <c:v>0.16470588235294117</c:v>
                </c:pt>
                <c:pt idx="28">
                  <c:v>0.15294117647058825</c:v>
                </c:pt>
                <c:pt idx="29">
                  <c:v>0.14509803921568629</c:v>
                </c:pt>
                <c:pt idx="30">
                  <c:v>0.13333333333333333</c:v>
                </c:pt>
                <c:pt idx="31">
                  <c:v>0.12941176470588237</c:v>
                </c:pt>
                <c:pt idx="32">
                  <c:v>0.12549019607843137</c:v>
                </c:pt>
                <c:pt idx="33">
                  <c:v>0.11372549019607843</c:v>
                </c:pt>
                <c:pt idx="34">
                  <c:v>0.10588235294117647</c:v>
                </c:pt>
                <c:pt idx="35">
                  <c:v>9.8039215686274508E-2</c:v>
                </c:pt>
                <c:pt idx="36">
                  <c:v>9.0196078431372548E-2</c:v>
                </c:pt>
                <c:pt idx="37">
                  <c:v>8.6274509803921567E-2</c:v>
                </c:pt>
                <c:pt idx="38">
                  <c:v>8.2352941176470587E-2</c:v>
                </c:pt>
                <c:pt idx="39">
                  <c:v>8.2352941176470587E-2</c:v>
                </c:pt>
                <c:pt idx="40">
                  <c:v>7.4509803921568626E-2</c:v>
                </c:pt>
                <c:pt idx="41">
                  <c:v>7.0588235294117646E-2</c:v>
                </c:pt>
                <c:pt idx="42">
                  <c:v>5.8823529411764705E-2</c:v>
                </c:pt>
                <c:pt idx="43">
                  <c:v>6.2745098039215685E-2</c:v>
                </c:pt>
                <c:pt idx="44">
                  <c:v>5.8823529411764705E-2</c:v>
                </c:pt>
                <c:pt idx="45">
                  <c:v>5.4901960784313725E-2</c:v>
                </c:pt>
                <c:pt idx="46">
                  <c:v>4.7058823529411764E-2</c:v>
                </c:pt>
                <c:pt idx="47">
                  <c:v>4.3137254901960784E-2</c:v>
                </c:pt>
                <c:pt idx="48">
                  <c:v>4.7058823529411764E-2</c:v>
                </c:pt>
                <c:pt idx="49">
                  <c:v>4.3137254901960784E-2</c:v>
                </c:pt>
                <c:pt idx="50">
                  <c:v>4.3137254901960784E-2</c:v>
                </c:pt>
                <c:pt idx="51">
                  <c:v>4.3137254901960784E-2</c:v>
                </c:pt>
                <c:pt idx="52">
                  <c:v>4.3137254901960784E-2</c:v>
                </c:pt>
                <c:pt idx="53">
                  <c:v>3.9215686274509803E-2</c:v>
                </c:pt>
                <c:pt idx="54">
                  <c:v>2.7450980392156862E-2</c:v>
                </c:pt>
                <c:pt idx="55">
                  <c:v>3.5294117647058823E-2</c:v>
                </c:pt>
                <c:pt idx="56">
                  <c:v>3.5294117647058823E-2</c:v>
                </c:pt>
                <c:pt idx="57">
                  <c:v>3.5294117647058823E-2</c:v>
                </c:pt>
                <c:pt idx="58">
                  <c:v>3.5294117647058823E-2</c:v>
                </c:pt>
                <c:pt idx="59">
                  <c:v>3.1372549019607843E-2</c:v>
                </c:pt>
                <c:pt idx="60">
                  <c:v>2.7450980392156862E-2</c:v>
                </c:pt>
                <c:pt idx="61">
                  <c:v>2.7450980392156862E-2</c:v>
                </c:pt>
                <c:pt idx="62">
                  <c:v>3.1372549019607843E-2</c:v>
                </c:pt>
                <c:pt idx="63">
                  <c:v>2.7450980392156862E-2</c:v>
                </c:pt>
                <c:pt idx="64">
                  <c:v>1.9607843137254902E-2</c:v>
                </c:pt>
                <c:pt idx="65">
                  <c:v>1.9607843137254902E-2</c:v>
                </c:pt>
                <c:pt idx="66">
                  <c:v>2.3529411764705882E-2</c:v>
                </c:pt>
                <c:pt idx="67">
                  <c:v>1.1764705882352941E-2</c:v>
                </c:pt>
                <c:pt idx="68">
                  <c:v>1.9607843137254902E-2</c:v>
                </c:pt>
                <c:pt idx="69">
                  <c:v>1.9607843137254902E-2</c:v>
                </c:pt>
                <c:pt idx="70">
                  <c:v>1.9607843137254902E-2</c:v>
                </c:pt>
                <c:pt idx="71">
                  <c:v>1.9607843137254902E-2</c:v>
                </c:pt>
                <c:pt idx="72">
                  <c:v>1.9607843137254902E-2</c:v>
                </c:pt>
                <c:pt idx="73">
                  <c:v>1.9607843137254902E-2</c:v>
                </c:pt>
                <c:pt idx="74">
                  <c:v>1.9607843137254902E-2</c:v>
                </c:pt>
                <c:pt idx="75">
                  <c:v>1.9607843137254902E-2</c:v>
                </c:pt>
                <c:pt idx="76">
                  <c:v>1.9607843137254902E-2</c:v>
                </c:pt>
                <c:pt idx="77">
                  <c:v>1.5686274509803921E-2</c:v>
                </c:pt>
                <c:pt idx="78">
                  <c:v>1.1764705882352941E-2</c:v>
                </c:pt>
                <c:pt idx="79">
                  <c:v>1.1764705882352941E-2</c:v>
                </c:pt>
                <c:pt idx="80">
                  <c:v>1.1764705882352941E-2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data0!$AB$1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data0!$AB$2:$AB$82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0.98039215686274506</c:v>
                </c:pt>
                <c:pt idx="12">
                  <c:v>0.87058823529411766</c:v>
                </c:pt>
                <c:pt idx="13">
                  <c:v>0.77647058823529413</c:v>
                </c:pt>
                <c:pt idx="14">
                  <c:v>0.70196078431372544</c:v>
                </c:pt>
                <c:pt idx="15">
                  <c:v>0.63921568627450975</c:v>
                </c:pt>
                <c:pt idx="16">
                  <c:v>0.58823529411764708</c:v>
                </c:pt>
                <c:pt idx="17">
                  <c:v>0.54117647058823526</c:v>
                </c:pt>
                <c:pt idx="18">
                  <c:v>0.50196078431372548</c:v>
                </c:pt>
                <c:pt idx="19">
                  <c:v>0.47058823529411764</c:v>
                </c:pt>
                <c:pt idx="20">
                  <c:v>0.4392156862745098</c:v>
                </c:pt>
                <c:pt idx="21">
                  <c:v>0.41568627450980394</c:v>
                </c:pt>
                <c:pt idx="22">
                  <c:v>0.38823529411764707</c:v>
                </c:pt>
                <c:pt idx="23">
                  <c:v>0.37647058823529411</c:v>
                </c:pt>
                <c:pt idx="24">
                  <c:v>0.35686274509803922</c:v>
                </c:pt>
                <c:pt idx="25">
                  <c:v>0.33725490196078434</c:v>
                </c:pt>
                <c:pt idx="26">
                  <c:v>0.32156862745098042</c:v>
                </c:pt>
                <c:pt idx="27">
                  <c:v>0.30588235294117649</c:v>
                </c:pt>
                <c:pt idx="28">
                  <c:v>0.30196078431372547</c:v>
                </c:pt>
                <c:pt idx="29">
                  <c:v>0.29803921568627451</c:v>
                </c:pt>
                <c:pt idx="30">
                  <c:v>0.27843137254901962</c:v>
                </c:pt>
                <c:pt idx="31">
                  <c:v>0.27058823529411763</c:v>
                </c:pt>
                <c:pt idx="32">
                  <c:v>0.25882352941176473</c:v>
                </c:pt>
                <c:pt idx="33">
                  <c:v>0.25098039215686274</c:v>
                </c:pt>
                <c:pt idx="34">
                  <c:v>0.24705882352941178</c:v>
                </c:pt>
                <c:pt idx="35">
                  <c:v>0.23921568627450981</c:v>
                </c:pt>
                <c:pt idx="36">
                  <c:v>0.23921568627450981</c:v>
                </c:pt>
                <c:pt idx="37">
                  <c:v>0.23137254901960785</c:v>
                </c:pt>
                <c:pt idx="38">
                  <c:v>0.22745098039215686</c:v>
                </c:pt>
                <c:pt idx="39">
                  <c:v>0.22352941176470589</c:v>
                </c:pt>
                <c:pt idx="40">
                  <c:v>0.21568627450980393</c:v>
                </c:pt>
                <c:pt idx="41">
                  <c:v>0.20784313725490197</c:v>
                </c:pt>
                <c:pt idx="42">
                  <c:v>0.20392156862745098</c:v>
                </c:pt>
                <c:pt idx="43">
                  <c:v>0.20392156862745098</c:v>
                </c:pt>
                <c:pt idx="44">
                  <c:v>0.2</c:v>
                </c:pt>
                <c:pt idx="45">
                  <c:v>0.19215686274509805</c:v>
                </c:pt>
                <c:pt idx="46">
                  <c:v>0.19607843137254902</c:v>
                </c:pt>
                <c:pt idx="47">
                  <c:v>0.19215686274509805</c:v>
                </c:pt>
                <c:pt idx="48">
                  <c:v>0.19215686274509805</c:v>
                </c:pt>
                <c:pt idx="49">
                  <c:v>0.19215686274509805</c:v>
                </c:pt>
                <c:pt idx="50">
                  <c:v>0.18431372549019609</c:v>
                </c:pt>
                <c:pt idx="51">
                  <c:v>0.18431372549019609</c:v>
                </c:pt>
                <c:pt idx="52">
                  <c:v>0.18431372549019609</c:v>
                </c:pt>
                <c:pt idx="53">
                  <c:v>0.1803921568627451</c:v>
                </c:pt>
                <c:pt idx="54">
                  <c:v>0.17647058823529413</c:v>
                </c:pt>
                <c:pt idx="55">
                  <c:v>0.17254901960784313</c:v>
                </c:pt>
                <c:pt idx="56">
                  <c:v>0.17647058823529413</c:v>
                </c:pt>
                <c:pt idx="57">
                  <c:v>0.17647058823529413</c:v>
                </c:pt>
                <c:pt idx="58">
                  <c:v>0.17647058823529413</c:v>
                </c:pt>
                <c:pt idx="59">
                  <c:v>0.16862745098039217</c:v>
                </c:pt>
                <c:pt idx="60">
                  <c:v>0.16862745098039217</c:v>
                </c:pt>
                <c:pt idx="61">
                  <c:v>0.16862745098039217</c:v>
                </c:pt>
                <c:pt idx="62">
                  <c:v>0.16862745098039217</c:v>
                </c:pt>
                <c:pt idx="63">
                  <c:v>0.16862745098039217</c:v>
                </c:pt>
                <c:pt idx="64">
                  <c:v>0.16470588235294117</c:v>
                </c:pt>
                <c:pt idx="65">
                  <c:v>0.16078431372549021</c:v>
                </c:pt>
                <c:pt idx="66">
                  <c:v>0.16078431372549021</c:v>
                </c:pt>
                <c:pt idx="67">
                  <c:v>0.16862745098039217</c:v>
                </c:pt>
                <c:pt idx="68">
                  <c:v>0.16078431372549021</c:v>
                </c:pt>
                <c:pt idx="69">
                  <c:v>0.16078431372549021</c:v>
                </c:pt>
                <c:pt idx="70">
                  <c:v>0.16078431372549021</c:v>
                </c:pt>
                <c:pt idx="71">
                  <c:v>0.16078431372549021</c:v>
                </c:pt>
                <c:pt idx="72">
                  <c:v>0.16078431372549021</c:v>
                </c:pt>
                <c:pt idx="73">
                  <c:v>0.15686274509803921</c:v>
                </c:pt>
                <c:pt idx="74">
                  <c:v>0.15294117647058825</c:v>
                </c:pt>
                <c:pt idx="75">
                  <c:v>0.15686274509803921</c:v>
                </c:pt>
                <c:pt idx="76">
                  <c:v>0.15686274509803921</c:v>
                </c:pt>
                <c:pt idx="77">
                  <c:v>0.15686274509803921</c:v>
                </c:pt>
                <c:pt idx="78">
                  <c:v>0.16078431372549021</c:v>
                </c:pt>
                <c:pt idx="79">
                  <c:v>0.15294117647058825</c:v>
                </c:pt>
                <c:pt idx="80">
                  <c:v>0.15294117647058825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data0!$AC$1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data0!$AC$2:$AC$82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0.96862745098039216</c:v>
                </c:pt>
                <c:pt idx="11">
                  <c:v>0.83529411764705885</c:v>
                </c:pt>
                <c:pt idx="12">
                  <c:v>0.72156862745098038</c:v>
                </c:pt>
                <c:pt idx="13">
                  <c:v>0.63529411764705879</c:v>
                </c:pt>
                <c:pt idx="14">
                  <c:v>0.5607843137254902</c:v>
                </c:pt>
                <c:pt idx="15">
                  <c:v>0.49803921568627452</c:v>
                </c:pt>
                <c:pt idx="16">
                  <c:v>0.45098039215686275</c:v>
                </c:pt>
                <c:pt idx="17">
                  <c:v>0.4</c:v>
                </c:pt>
                <c:pt idx="18">
                  <c:v>0.36078431372549019</c:v>
                </c:pt>
                <c:pt idx="19">
                  <c:v>0.32156862745098042</c:v>
                </c:pt>
                <c:pt idx="20">
                  <c:v>0.29803921568627451</c:v>
                </c:pt>
                <c:pt idx="21">
                  <c:v>0.27450980392156865</c:v>
                </c:pt>
                <c:pt idx="22">
                  <c:v>0.24705882352941178</c:v>
                </c:pt>
                <c:pt idx="23">
                  <c:v>0.22352941176470589</c:v>
                </c:pt>
                <c:pt idx="24">
                  <c:v>0.20392156862745098</c:v>
                </c:pt>
                <c:pt idx="25">
                  <c:v>0.19607843137254902</c:v>
                </c:pt>
                <c:pt idx="26">
                  <c:v>0.17647058823529413</c:v>
                </c:pt>
                <c:pt idx="27">
                  <c:v>0.16470588235294117</c:v>
                </c:pt>
                <c:pt idx="28">
                  <c:v>0.15294117647058825</c:v>
                </c:pt>
                <c:pt idx="29">
                  <c:v>0.14509803921568629</c:v>
                </c:pt>
                <c:pt idx="30">
                  <c:v>0.13725490196078433</c:v>
                </c:pt>
                <c:pt idx="31">
                  <c:v>0.12941176470588237</c:v>
                </c:pt>
                <c:pt idx="32">
                  <c:v>0.12156862745098039</c:v>
                </c:pt>
                <c:pt idx="33">
                  <c:v>0.11764705882352941</c:v>
                </c:pt>
                <c:pt idx="34">
                  <c:v>0.10588235294117647</c:v>
                </c:pt>
                <c:pt idx="35">
                  <c:v>0.10196078431372549</c:v>
                </c:pt>
                <c:pt idx="36">
                  <c:v>9.8039215686274508E-2</c:v>
                </c:pt>
                <c:pt idx="37">
                  <c:v>9.0196078431372548E-2</c:v>
                </c:pt>
                <c:pt idx="38">
                  <c:v>8.2352941176470587E-2</c:v>
                </c:pt>
                <c:pt idx="39">
                  <c:v>8.2352941176470587E-2</c:v>
                </c:pt>
                <c:pt idx="40">
                  <c:v>7.0588235294117646E-2</c:v>
                </c:pt>
                <c:pt idx="41">
                  <c:v>6.6666666666666666E-2</c:v>
                </c:pt>
                <c:pt idx="42">
                  <c:v>7.0588235294117646E-2</c:v>
                </c:pt>
                <c:pt idx="43">
                  <c:v>5.8823529411764705E-2</c:v>
                </c:pt>
                <c:pt idx="44">
                  <c:v>5.8823529411764705E-2</c:v>
                </c:pt>
                <c:pt idx="45">
                  <c:v>5.4901960784313725E-2</c:v>
                </c:pt>
                <c:pt idx="46">
                  <c:v>5.0980392156862744E-2</c:v>
                </c:pt>
                <c:pt idx="47">
                  <c:v>5.0980392156862744E-2</c:v>
                </c:pt>
                <c:pt idx="48">
                  <c:v>5.0980392156862744E-2</c:v>
                </c:pt>
                <c:pt idx="49">
                  <c:v>5.0980392156862744E-2</c:v>
                </c:pt>
                <c:pt idx="50">
                  <c:v>4.3137254901960784E-2</c:v>
                </c:pt>
                <c:pt idx="51">
                  <c:v>3.5294117647058823E-2</c:v>
                </c:pt>
                <c:pt idx="52">
                  <c:v>3.5294117647058823E-2</c:v>
                </c:pt>
                <c:pt idx="53">
                  <c:v>3.5294117647058823E-2</c:v>
                </c:pt>
                <c:pt idx="54">
                  <c:v>3.1372549019607843E-2</c:v>
                </c:pt>
                <c:pt idx="55">
                  <c:v>3.1372549019607843E-2</c:v>
                </c:pt>
                <c:pt idx="56">
                  <c:v>2.7450980392156862E-2</c:v>
                </c:pt>
                <c:pt idx="57">
                  <c:v>2.3529411764705882E-2</c:v>
                </c:pt>
                <c:pt idx="58">
                  <c:v>2.3529411764705882E-2</c:v>
                </c:pt>
                <c:pt idx="59">
                  <c:v>1.9607843137254902E-2</c:v>
                </c:pt>
                <c:pt idx="60">
                  <c:v>1.9607843137254902E-2</c:v>
                </c:pt>
                <c:pt idx="61">
                  <c:v>1.9607843137254902E-2</c:v>
                </c:pt>
                <c:pt idx="62">
                  <c:v>1.5686274509803921E-2</c:v>
                </c:pt>
                <c:pt idx="63">
                  <c:v>1.1764705882352941E-2</c:v>
                </c:pt>
                <c:pt idx="64">
                  <c:v>1.1764705882352941E-2</c:v>
                </c:pt>
                <c:pt idx="65">
                  <c:v>1.1764705882352941E-2</c:v>
                </c:pt>
                <c:pt idx="66">
                  <c:v>1.1764705882352941E-2</c:v>
                </c:pt>
                <c:pt idx="67">
                  <c:v>1.1764705882352941E-2</c:v>
                </c:pt>
                <c:pt idx="68">
                  <c:v>1.1764705882352941E-2</c:v>
                </c:pt>
                <c:pt idx="69">
                  <c:v>1.1764705882352941E-2</c:v>
                </c:pt>
                <c:pt idx="70">
                  <c:v>1.1764705882352941E-2</c:v>
                </c:pt>
                <c:pt idx="71">
                  <c:v>1.1764705882352941E-2</c:v>
                </c:pt>
                <c:pt idx="72">
                  <c:v>1.1764705882352941E-2</c:v>
                </c:pt>
                <c:pt idx="73">
                  <c:v>1.1764705882352941E-2</c:v>
                </c:pt>
                <c:pt idx="74">
                  <c:v>1.1764705882352941E-2</c:v>
                </c:pt>
                <c:pt idx="75">
                  <c:v>1.1764705882352941E-2</c:v>
                </c:pt>
                <c:pt idx="76">
                  <c:v>1.1764705882352941E-2</c:v>
                </c:pt>
                <c:pt idx="77">
                  <c:v>1.1764705882352941E-2</c:v>
                </c:pt>
                <c:pt idx="78">
                  <c:v>1.1764705882352941E-2</c:v>
                </c:pt>
                <c:pt idx="79">
                  <c:v>1.1764705882352941E-2</c:v>
                </c:pt>
                <c:pt idx="80">
                  <c:v>1.1764705882352941E-2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data0!$AD$1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data0!$AD$2:$AD$82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0.96078431372549022</c:v>
                </c:pt>
                <c:pt idx="11">
                  <c:v>0.83529411764705885</c:v>
                </c:pt>
                <c:pt idx="12">
                  <c:v>0.72941176470588232</c:v>
                </c:pt>
                <c:pt idx="13">
                  <c:v>0.63921568627450975</c:v>
                </c:pt>
                <c:pt idx="14">
                  <c:v>0.5607843137254902</c:v>
                </c:pt>
                <c:pt idx="15">
                  <c:v>0.49803921568627452</c:v>
                </c:pt>
                <c:pt idx="16">
                  <c:v>0.44313725490196076</c:v>
                </c:pt>
                <c:pt idx="17">
                  <c:v>0.396078431372549</c:v>
                </c:pt>
                <c:pt idx="18">
                  <c:v>0.36078431372549019</c:v>
                </c:pt>
                <c:pt idx="19">
                  <c:v>0.32941176470588235</c:v>
                </c:pt>
                <c:pt idx="20">
                  <c:v>0.29803921568627451</c:v>
                </c:pt>
                <c:pt idx="21">
                  <c:v>0.27450980392156865</c:v>
                </c:pt>
                <c:pt idx="22">
                  <c:v>0.24705882352941178</c:v>
                </c:pt>
                <c:pt idx="23">
                  <c:v>0.23529411764705882</c:v>
                </c:pt>
                <c:pt idx="24">
                  <c:v>0.20784313725490197</c:v>
                </c:pt>
                <c:pt idx="25">
                  <c:v>0.19607843137254902</c:v>
                </c:pt>
                <c:pt idx="26">
                  <c:v>0.17647058823529413</c:v>
                </c:pt>
                <c:pt idx="27">
                  <c:v>0.17254901960784313</c:v>
                </c:pt>
                <c:pt idx="28">
                  <c:v>0.15686274509803921</c:v>
                </c:pt>
                <c:pt idx="29">
                  <c:v>0.15294117647058825</c:v>
                </c:pt>
                <c:pt idx="30">
                  <c:v>0.13725490196078433</c:v>
                </c:pt>
                <c:pt idx="31">
                  <c:v>0.12941176470588237</c:v>
                </c:pt>
                <c:pt idx="32">
                  <c:v>0.12156862745098039</c:v>
                </c:pt>
                <c:pt idx="33">
                  <c:v>0.11372549019607843</c:v>
                </c:pt>
                <c:pt idx="34">
                  <c:v>0.10980392156862745</c:v>
                </c:pt>
                <c:pt idx="35">
                  <c:v>0.10588235294117647</c:v>
                </c:pt>
                <c:pt idx="36">
                  <c:v>9.8039215686274508E-2</c:v>
                </c:pt>
                <c:pt idx="37">
                  <c:v>9.8039215686274508E-2</c:v>
                </c:pt>
                <c:pt idx="38">
                  <c:v>9.0196078431372548E-2</c:v>
                </c:pt>
                <c:pt idx="39">
                  <c:v>8.2352941176470587E-2</c:v>
                </c:pt>
                <c:pt idx="40">
                  <c:v>7.4509803921568626E-2</c:v>
                </c:pt>
                <c:pt idx="41">
                  <c:v>7.4509803921568626E-2</c:v>
                </c:pt>
                <c:pt idx="42">
                  <c:v>6.6666666666666666E-2</c:v>
                </c:pt>
                <c:pt idx="43">
                  <c:v>6.6666666666666666E-2</c:v>
                </c:pt>
                <c:pt idx="44">
                  <c:v>6.2745098039215685E-2</c:v>
                </c:pt>
                <c:pt idx="45">
                  <c:v>5.8823529411764705E-2</c:v>
                </c:pt>
                <c:pt idx="46">
                  <c:v>5.8823529411764705E-2</c:v>
                </c:pt>
                <c:pt idx="47">
                  <c:v>5.0980392156862744E-2</c:v>
                </c:pt>
                <c:pt idx="48">
                  <c:v>5.4901960784313725E-2</c:v>
                </c:pt>
                <c:pt idx="49">
                  <c:v>4.3137254901960784E-2</c:v>
                </c:pt>
                <c:pt idx="50">
                  <c:v>4.3137254901960784E-2</c:v>
                </c:pt>
                <c:pt idx="51">
                  <c:v>4.3137254901960784E-2</c:v>
                </c:pt>
                <c:pt idx="52">
                  <c:v>3.5294117647058823E-2</c:v>
                </c:pt>
                <c:pt idx="53">
                  <c:v>3.5294117647058823E-2</c:v>
                </c:pt>
                <c:pt idx="54">
                  <c:v>3.5294117647058823E-2</c:v>
                </c:pt>
                <c:pt idx="55">
                  <c:v>3.5294117647058823E-2</c:v>
                </c:pt>
                <c:pt idx="56">
                  <c:v>3.5294117647058823E-2</c:v>
                </c:pt>
                <c:pt idx="57">
                  <c:v>3.5294117647058823E-2</c:v>
                </c:pt>
                <c:pt idx="58">
                  <c:v>3.5294117647058823E-2</c:v>
                </c:pt>
                <c:pt idx="59">
                  <c:v>3.5294117647058823E-2</c:v>
                </c:pt>
                <c:pt idx="60">
                  <c:v>2.7450980392156862E-2</c:v>
                </c:pt>
                <c:pt idx="61">
                  <c:v>2.7450980392156862E-2</c:v>
                </c:pt>
                <c:pt idx="62">
                  <c:v>1.9607843137254902E-2</c:v>
                </c:pt>
                <c:pt idx="63">
                  <c:v>2.7450980392156862E-2</c:v>
                </c:pt>
                <c:pt idx="64">
                  <c:v>2.7450980392156862E-2</c:v>
                </c:pt>
                <c:pt idx="65">
                  <c:v>1.9607843137254902E-2</c:v>
                </c:pt>
                <c:pt idx="66">
                  <c:v>1.9607843137254902E-2</c:v>
                </c:pt>
                <c:pt idx="67">
                  <c:v>1.1764705882352941E-2</c:v>
                </c:pt>
                <c:pt idx="68">
                  <c:v>1.1764705882352941E-2</c:v>
                </c:pt>
                <c:pt idx="69">
                  <c:v>1.1764705882352941E-2</c:v>
                </c:pt>
                <c:pt idx="70">
                  <c:v>1.5686274509803921E-2</c:v>
                </c:pt>
                <c:pt idx="71">
                  <c:v>1.5686274509803921E-2</c:v>
                </c:pt>
                <c:pt idx="72">
                  <c:v>1.9607843137254902E-2</c:v>
                </c:pt>
                <c:pt idx="73">
                  <c:v>1.1764705882352941E-2</c:v>
                </c:pt>
                <c:pt idx="74">
                  <c:v>1.5686274509803921E-2</c:v>
                </c:pt>
                <c:pt idx="75">
                  <c:v>1.9607843137254902E-2</c:v>
                </c:pt>
                <c:pt idx="76">
                  <c:v>1.5686274509803921E-2</c:v>
                </c:pt>
                <c:pt idx="77">
                  <c:v>1.9607843137254902E-2</c:v>
                </c:pt>
                <c:pt idx="78">
                  <c:v>1.9607843137254902E-2</c:v>
                </c:pt>
                <c:pt idx="79">
                  <c:v>1.1764705882352941E-2</c:v>
                </c:pt>
                <c:pt idx="80">
                  <c:v>1.1764705882352941E-2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data0!$AE$1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data0!$AE$2:$AE$82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0.96862745098039216</c:v>
                </c:pt>
                <c:pt idx="11">
                  <c:v>0.83529411764705885</c:v>
                </c:pt>
                <c:pt idx="12">
                  <c:v>0.72549019607843135</c:v>
                </c:pt>
                <c:pt idx="13">
                  <c:v>0.63529411764705879</c:v>
                </c:pt>
                <c:pt idx="14">
                  <c:v>0.5607843137254902</c:v>
                </c:pt>
                <c:pt idx="15">
                  <c:v>0.50588235294117645</c:v>
                </c:pt>
                <c:pt idx="16">
                  <c:v>0.44313725490196076</c:v>
                </c:pt>
                <c:pt idx="17">
                  <c:v>0.40392156862745099</c:v>
                </c:pt>
                <c:pt idx="18">
                  <c:v>0.36078431372549019</c:v>
                </c:pt>
                <c:pt idx="19">
                  <c:v>0.32941176470588235</c:v>
                </c:pt>
                <c:pt idx="20">
                  <c:v>0.29803921568627451</c:v>
                </c:pt>
                <c:pt idx="21">
                  <c:v>0.26666666666666666</c:v>
                </c:pt>
                <c:pt idx="22">
                  <c:v>0.24313725490196078</c:v>
                </c:pt>
                <c:pt idx="23">
                  <c:v>0.22745098039215686</c:v>
                </c:pt>
                <c:pt idx="24">
                  <c:v>0.21176470588235294</c:v>
                </c:pt>
                <c:pt idx="25">
                  <c:v>0.20392156862745098</c:v>
                </c:pt>
                <c:pt idx="26">
                  <c:v>0.17647058823529413</c:v>
                </c:pt>
                <c:pt idx="27">
                  <c:v>0.17254901960784313</c:v>
                </c:pt>
                <c:pt idx="28">
                  <c:v>0.16078431372549021</c:v>
                </c:pt>
                <c:pt idx="29">
                  <c:v>0.14509803921568629</c:v>
                </c:pt>
                <c:pt idx="30">
                  <c:v>0.13333333333333333</c:v>
                </c:pt>
                <c:pt idx="31">
                  <c:v>0.12549019607843137</c:v>
                </c:pt>
                <c:pt idx="32">
                  <c:v>0.11372549019607843</c:v>
                </c:pt>
                <c:pt idx="33">
                  <c:v>0.10980392156862745</c:v>
                </c:pt>
                <c:pt idx="34">
                  <c:v>0.10196078431372549</c:v>
                </c:pt>
                <c:pt idx="35">
                  <c:v>9.8039215686274508E-2</c:v>
                </c:pt>
                <c:pt idx="36">
                  <c:v>9.0196078431372548E-2</c:v>
                </c:pt>
                <c:pt idx="37">
                  <c:v>8.2352941176470587E-2</c:v>
                </c:pt>
                <c:pt idx="38">
                  <c:v>8.2352941176470587E-2</c:v>
                </c:pt>
                <c:pt idx="39">
                  <c:v>7.4509803921568626E-2</c:v>
                </c:pt>
                <c:pt idx="40">
                  <c:v>6.6666666666666666E-2</c:v>
                </c:pt>
                <c:pt idx="41">
                  <c:v>6.6666666666666666E-2</c:v>
                </c:pt>
                <c:pt idx="42">
                  <c:v>6.6666666666666666E-2</c:v>
                </c:pt>
                <c:pt idx="43">
                  <c:v>5.8823529411764705E-2</c:v>
                </c:pt>
                <c:pt idx="44">
                  <c:v>5.4901960784313725E-2</c:v>
                </c:pt>
                <c:pt idx="45">
                  <c:v>5.4901960784313725E-2</c:v>
                </c:pt>
                <c:pt idx="46">
                  <c:v>5.0980392156862744E-2</c:v>
                </c:pt>
                <c:pt idx="47">
                  <c:v>4.3137254901960784E-2</c:v>
                </c:pt>
                <c:pt idx="48">
                  <c:v>5.0980392156862744E-2</c:v>
                </c:pt>
                <c:pt idx="49">
                  <c:v>4.3137254901960784E-2</c:v>
                </c:pt>
                <c:pt idx="50">
                  <c:v>4.3137254901960784E-2</c:v>
                </c:pt>
                <c:pt idx="51">
                  <c:v>3.5294117647058823E-2</c:v>
                </c:pt>
                <c:pt idx="52">
                  <c:v>3.5294117647058823E-2</c:v>
                </c:pt>
                <c:pt idx="53">
                  <c:v>3.1372549019607843E-2</c:v>
                </c:pt>
                <c:pt idx="54">
                  <c:v>2.7450980392156862E-2</c:v>
                </c:pt>
                <c:pt idx="55">
                  <c:v>2.7450980392156862E-2</c:v>
                </c:pt>
                <c:pt idx="56">
                  <c:v>3.1372549019607843E-2</c:v>
                </c:pt>
                <c:pt idx="57">
                  <c:v>2.7450980392156862E-2</c:v>
                </c:pt>
                <c:pt idx="58">
                  <c:v>1.9607843137254902E-2</c:v>
                </c:pt>
                <c:pt idx="59">
                  <c:v>1.9607843137254902E-2</c:v>
                </c:pt>
                <c:pt idx="60">
                  <c:v>1.9607843137254902E-2</c:v>
                </c:pt>
                <c:pt idx="61">
                  <c:v>1.9607843137254902E-2</c:v>
                </c:pt>
                <c:pt idx="62">
                  <c:v>1.9607843137254902E-2</c:v>
                </c:pt>
                <c:pt idx="63">
                  <c:v>1.9607843137254902E-2</c:v>
                </c:pt>
                <c:pt idx="64">
                  <c:v>1.9607843137254902E-2</c:v>
                </c:pt>
                <c:pt idx="65">
                  <c:v>1.1764705882352941E-2</c:v>
                </c:pt>
                <c:pt idx="66">
                  <c:v>1.5686274509803921E-2</c:v>
                </c:pt>
                <c:pt idx="67">
                  <c:v>1.9607843137254902E-2</c:v>
                </c:pt>
                <c:pt idx="68">
                  <c:v>1.9607843137254902E-2</c:v>
                </c:pt>
                <c:pt idx="69">
                  <c:v>1.9607843137254902E-2</c:v>
                </c:pt>
                <c:pt idx="70">
                  <c:v>1.1764705882352941E-2</c:v>
                </c:pt>
                <c:pt idx="71">
                  <c:v>1.1764705882352941E-2</c:v>
                </c:pt>
                <c:pt idx="72">
                  <c:v>1.1764705882352941E-2</c:v>
                </c:pt>
                <c:pt idx="73">
                  <c:v>1.1764705882352941E-2</c:v>
                </c:pt>
                <c:pt idx="74">
                  <c:v>1.5686274509803921E-2</c:v>
                </c:pt>
                <c:pt idx="75">
                  <c:v>1.5686274509803921E-2</c:v>
                </c:pt>
                <c:pt idx="76">
                  <c:v>7.8431372549019607E-3</c:v>
                </c:pt>
                <c:pt idx="77">
                  <c:v>1.1764705882352941E-2</c:v>
                </c:pt>
                <c:pt idx="78">
                  <c:v>1.1764705882352941E-2</c:v>
                </c:pt>
                <c:pt idx="79">
                  <c:v>1.1764705882352941E-2</c:v>
                </c:pt>
                <c:pt idx="80">
                  <c:v>1.1764705882352941E-2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data0!$AF$1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data0!$AF$2:$AF$82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0.97254901960784312</c:v>
                </c:pt>
                <c:pt idx="11">
                  <c:v>0.84313725490196079</c:v>
                </c:pt>
                <c:pt idx="12">
                  <c:v>0.73725490196078436</c:v>
                </c:pt>
                <c:pt idx="13">
                  <c:v>0.63529411764705879</c:v>
                </c:pt>
                <c:pt idx="14">
                  <c:v>0.56862745098039214</c:v>
                </c:pt>
                <c:pt idx="15">
                  <c:v>0.50980392156862742</c:v>
                </c:pt>
                <c:pt idx="16">
                  <c:v>0.45882352941176469</c:v>
                </c:pt>
                <c:pt idx="17">
                  <c:v>0.41176470588235292</c:v>
                </c:pt>
                <c:pt idx="18">
                  <c:v>0.36862745098039218</c:v>
                </c:pt>
                <c:pt idx="19">
                  <c:v>0.33333333333333331</c:v>
                </c:pt>
                <c:pt idx="20">
                  <c:v>0.30588235294117649</c:v>
                </c:pt>
                <c:pt idx="21">
                  <c:v>0.27843137254901962</c:v>
                </c:pt>
                <c:pt idx="22">
                  <c:v>0.25490196078431371</c:v>
                </c:pt>
                <c:pt idx="23">
                  <c:v>0.24313725490196078</c:v>
                </c:pt>
                <c:pt idx="24">
                  <c:v>0.21568627450980393</c:v>
                </c:pt>
                <c:pt idx="25">
                  <c:v>0.19607843137254902</c:v>
                </c:pt>
                <c:pt idx="26">
                  <c:v>0.18431372549019609</c:v>
                </c:pt>
                <c:pt idx="27">
                  <c:v>0.17254901960784313</c:v>
                </c:pt>
                <c:pt idx="28">
                  <c:v>0.16078431372549021</c:v>
                </c:pt>
                <c:pt idx="29">
                  <c:v>0.14509803921568629</c:v>
                </c:pt>
                <c:pt idx="30">
                  <c:v>0.14117647058823529</c:v>
                </c:pt>
                <c:pt idx="31">
                  <c:v>0.12941176470588237</c:v>
                </c:pt>
                <c:pt idx="32">
                  <c:v>0.12156862745098039</c:v>
                </c:pt>
                <c:pt idx="33">
                  <c:v>0.11372549019607843</c:v>
                </c:pt>
                <c:pt idx="34">
                  <c:v>0.10588235294117647</c:v>
                </c:pt>
                <c:pt idx="35">
                  <c:v>0.10588235294117647</c:v>
                </c:pt>
                <c:pt idx="36">
                  <c:v>9.8039215686274508E-2</c:v>
                </c:pt>
                <c:pt idx="37">
                  <c:v>9.0196078431372548E-2</c:v>
                </c:pt>
                <c:pt idx="38">
                  <c:v>8.2352941176470587E-2</c:v>
                </c:pt>
                <c:pt idx="39">
                  <c:v>7.4509803921568626E-2</c:v>
                </c:pt>
                <c:pt idx="40">
                  <c:v>7.4509803921568626E-2</c:v>
                </c:pt>
                <c:pt idx="41">
                  <c:v>6.6666666666666666E-2</c:v>
                </c:pt>
                <c:pt idx="42">
                  <c:v>6.6666666666666666E-2</c:v>
                </c:pt>
                <c:pt idx="43">
                  <c:v>5.8823529411764705E-2</c:v>
                </c:pt>
                <c:pt idx="44">
                  <c:v>5.8823529411764705E-2</c:v>
                </c:pt>
                <c:pt idx="45">
                  <c:v>5.4901960784313725E-2</c:v>
                </c:pt>
                <c:pt idx="46">
                  <c:v>5.0980392156862744E-2</c:v>
                </c:pt>
                <c:pt idx="47">
                  <c:v>5.0980392156862744E-2</c:v>
                </c:pt>
                <c:pt idx="48">
                  <c:v>5.0980392156862744E-2</c:v>
                </c:pt>
                <c:pt idx="49">
                  <c:v>4.3137254901960784E-2</c:v>
                </c:pt>
                <c:pt idx="50">
                  <c:v>4.3137254901960784E-2</c:v>
                </c:pt>
                <c:pt idx="51">
                  <c:v>4.3137254901960784E-2</c:v>
                </c:pt>
                <c:pt idx="52">
                  <c:v>4.3137254901960784E-2</c:v>
                </c:pt>
                <c:pt idx="53">
                  <c:v>3.9215686274509803E-2</c:v>
                </c:pt>
                <c:pt idx="54">
                  <c:v>3.5294117647058823E-2</c:v>
                </c:pt>
                <c:pt idx="55">
                  <c:v>2.7450980392156862E-2</c:v>
                </c:pt>
                <c:pt idx="56">
                  <c:v>2.7450980392156862E-2</c:v>
                </c:pt>
                <c:pt idx="57">
                  <c:v>2.7450980392156862E-2</c:v>
                </c:pt>
                <c:pt idx="58">
                  <c:v>3.5294117647058823E-2</c:v>
                </c:pt>
                <c:pt idx="59">
                  <c:v>2.3529411764705882E-2</c:v>
                </c:pt>
                <c:pt idx="60">
                  <c:v>1.9607843137254902E-2</c:v>
                </c:pt>
                <c:pt idx="61">
                  <c:v>1.9607843137254902E-2</c:v>
                </c:pt>
                <c:pt idx="62">
                  <c:v>1.9607843137254902E-2</c:v>
                </c:pt>
                <c:pt idx="63">
                  <c:v>1.9607843137254902E-2</c:v>
                </c:pt>
                <c:pt idx="64">
                  <c:v>1.5686274509803921E-2</c:v>
                </c:pt>
                <c:pt idx="65">
                  <c:v>1.9607843137254902E-2</c:v>
                </c:pt>
                <c:pt idx="66">
                  <c:v>1.9607843137254902E-2</c:v>
                </c:pt>
                <c:pt idx="67">
                  <c:v>1.9607843137254902E-2</c:v>
                </c:pt>
                <c:pt idx="68">
                  <c:v>1.9607843137254902E-2</c:v>
                </c:pt>
                <c:pt idx="69">
                  <c:v>1.9607843137254902E-2</c:v>
                </c:pt>
                <c:pt idx="70">
                  <c:v>1.9607843137254902E-2</c:v>
                </c:pt>
                <c:pt idx="71">
                  <c:v>1.5686274509803921E-2</c:v>
                </c:pt>
                <c:pt idx="72">
                  <c:v>1.1764705882352941E-2</c:v>
                </c:pt>
                <c:pt idx="73">
                  <c:v>1.5686274509803921E-2</c:v>
                </c:pt>
                <c:pt idx="74">
                  <c:v>3.9215686274509803E-3</c:v>
                </c:pt>
                <c:pt idx="75">
                  <c:v>1.1764705882352941E-2</c:v>
                </c:pt>
                <c:pt idx="76">
                  <c:v>1.1764705882352941E-2</c:v>
                </c:pt>
                <c:pt idx="77">
                  <c:v>7.8431372549019607E-3</c:v>
                </c:pt>
                <c:pt idx="78">
                  <c:v>7.8431372549019607E-3</c:v>
                </c:pt>
                <c:pt idx="79">
                  <c:v>3.9215686274509803E-3</c:v>
                </c:pt>
                <c:pt idx="80">
                  <c:v>0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data0!$AG$1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data0!$AG$2:$AG$82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0.97254901960784312</c:v>
                </c:pt>
                <c:pt idx="12">
                  <c:v>0.87058823529411766</c:v>
                </c:pt>
                <c:pt idx="13">
                  <c:v>0.77647058823529413</c:v>
                </c:pt>
                <c:pt idx="14">
                  <c:v>0.70196078431372544</c:v>
                </c:pt>
                <c:pt idx="15">
                  <c:v>0.64313725490196083</c:v>
                </c:pt>
                <c:pt idx="16">
                  <c:v>0.58823529411764708</c:v>
                </c:pt>
                <c:pt idx="17">
                  <c:v>0.54117647058823526</c:v>
                </c:pt>
                <c:pt idx="18">
                  <c:v>0.50196078431372548</c:v>
                </c:pt>
                <c:pt idx="19">
                  <c:v>0.46666666666666667</c:v>
                </c:pt>
                <c:pt idx="20">
                  <c:v>0.43529411764705883</c:v>
                </c:pt>
                <c:pt idx="21">
                  <c:v>0.41568627450980394</c:v>
                </c:pt>
                <c:pt idx="22">
                  <c:v>0.39215686274509803</c:v>
                </c:pt>
                <c:pt idx="23">
                  <c:v>0.37254901960784315</c:v>
                </c:pt>
                <c:pt idx="24">
                  <c:v>0.35294117647058826</c:v>
                </c:pt>
                <c:pt idx="25">
                  <c:v>0.33725490196078434</c:v>
                </c:pt>
                <c:pt idx="26">
                  <c:v>0.32156862745098042</c:v>
                </c:pt>
                <c:pt idx="27">
                  <c:v>0.31372549019607843</c:v>
                </c:pt>
                <c:pt idx="28">
                  <c:v>0.30196078431372547</c:v>
                </c:pt>
                <c:pt idx="29">
                  <c:v>0.29411764705882354</c:v>
                </c:pt>
                <c:pt idx="30">
                  <c:v>0.27843137254901962</c:v>
                </c:pt>
                <c:pt idx="31">
                  <c:v>0.27058823529411763</c:v>
                </c:pt>
                <c:pt idx="32">
                  <c:v>0.2627450980392157</c:v>
                </c:pt>
                <c:pt idx="33">
                  <c:v>0.25098039215686274</c:v>
                </c:pt>
                <c:pt idx="34">
                  <c:v>0.25098039215686274</c:v>
                </c:pt>
                <c:pt idx="35">
                  <c:v>0.23921568627450981</c:v>
                </c:pt>
                <c:pt idx="36">
                  <c:v>0.23529411764705882</c:v>
                </c:pt>
                <c:pt idx="37">
                  <c:v>0.23137254901960785</c:v>
                </c:pt>
                <c:pt idx="38">
                  <c:v>0.23137254901960785</c:v>
                </c:pt>
                <c:pt idx="39">
                  <c:v>0.22352941176470589</c:v>
                </c:pt>
                <c:pt idx="40">
                  <c:v>0.21568627450980393</c:v>
                </c:pt>
                <c:pt idx="41">
                  <c:v>0.21176470588235294</c:v>
                </c:pt>
                <c:pt idx="42">
                  <c:v>0.21176470588235294</c:v>
                </c:pt>
                <c:pt idx="43">
                  <c:v>0.20784313725490197</c:v>
                </c:pt>
                <c:pt idx="44">
                  <c:v>0.2</c:v>
                </c:pt>
                <c:pt idx="45">
                  <c:v>0.19215686274509805</c:v>
                </c:pt>
                <c:pt idx="46">
                  <c:v>0.19215686274509805</c:v>
                </c:pt>
                <c:pt idx="47">
                  <c:v>0.19215686274509805</c:v>
                </c:pt>
                <c:pt idx="48">
                  <c:v>0.19215686274509805</c:v>
                </c:pt>
                <c:pt idx="49">
                  <c:v>0.19215686274509805</c:v>
                </c:pt>
                <c:pt idx="50">
                  <c:v>0.19215686274509805</c:v>
                </c:pt>
                <c:pt idx="51">
                  <c:v>0.18823529411764706</c:v>
                </c:pt>
                <c:pt idx="52">
                  <c:v>0.1803921568627451</c:v>
                </c:pt>
                <c:pt idx="53">
                  <c:v>0.17647058823529413</c:v>
                </c:pt>
                <c:pt idx="54">
                  <c:v>0.17254901960784313</c:v>
                </c:pt>
                <c:pt idx="55">
                  <c:v>0.17647058823529413</c:v>
                </c:pt>
                <c:pt idx="56">
                  <c:v>0.17647058823529413</c:v>
                </c:pt>
                <c:pt idx="57">
                  <c:v>0.17647058823529413</c:v>
                </c:pt>
                <c:pt idx="58">
                  <c:v>0.17647058823529413</c:v>
                </c:pt>
                <c:pt idx="59">
                  <c:v>0.17254901960784313</c:v>
                </c:pt>
                <c:pt idx="60">
                  <c:v>0.17647058823529413</c:v>
                </c:pt>
                <c:pt idx="61">
                  <c:v>0.16862745098039217</c:v>
                </c:pt>
                <c:pt idx="62">
                  <c:v>0.16862745098039217</c:v>
                </c:pt>
                <c:pt idx="63">
                  <c:v>0.16862745098039217</c:v>
                </c:pt>
                <c:pt idx="64">
                  <c:v>0.16862745098039217</c:v>
                </c:pt>
                <c:pt idx="65">
                  <c:v>0.16862745098039217</c:v>
                </c:pt>
                <c:pt idx="66">
                  <c:v>0.16862745098039217</c:v>
                </c:pt>
                <c:pt idx="67">
                  <c:v>0.16078431372549021</c:v>
                </c:pt>
                <c:pt idx="68">
                  <c:v>0.16078431372549021</c:v>
                </c:pt>
                <c:pt idx="69">
                  <c:v>0.16078431372549021</c:v>
                </c:pt>
                <c:pt idx="70">
                  <c:v>0.16078431372549021</c:v>
                </c:pt>
                <c:pt idx="71">
                  <c:v>0.16078431372549021</c:v>
                </c:pt>
                <c:pt idx="72">
                  <c:v>0.16078431372549021</c:v>
                </c:pt>
                <c:pt idx="73">
                  <c:v>0.16470588235294117</c:v>
                </c:pt>
                <c:pt idx="74">
                  <c:v>0.16078431372549021</c:v>
                </c:pt>
                <c:pt idx="75">
                  <c:v>0.15294117647058825</c:v>
                </c:pt>
                <c:pt idx="76">
                  <c:v>0.14901960784313725</c:v>
                </c:pt>
                <c:pt idx="77">
                  <c:v>0.15686274509803921</c:v>
                </c:pt>
                <c:pt idx="78">
                  <c:v>0.15294117647058825</c:v>
                </c:pt>
                <c:pt idx="79">
                  <c:v>0.14901960784313725</c:v>
                </c:pt>
                <c:pt idx="80">
                  <c:v>0.14901960784313725</c:v>
                </c:pt>
              </c:numCache>
            </c:numRef>
          </c:yVal>
          <c:smooth val="1"/>
        </c:ser>
        <c:axId val="135748992"/>
        <c:axId val="135763072"/>
      </c:scatterChart>
      <c:valAx>
        <c:axId val="135748992"/>
        <c:scaling>
          <c:orientation val="minMax"/>
        </c:scaling>
        <c:axPos val="b"/>
        <c:numFmt formatCode="0.0" sourceLinked="1"/>
        <c:tickLblPos val="nextTo"/>
        <c:crossAx val="135763072"/>
        <c:crosses val="autoZero"/>
        <c:crossBetween val="midCat"/>
      </c:valAx>
      <c:valAx>
        <c:axId val="135763072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3574899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data0!$AP$2</c:f>
          <c:strCache>
            <c:ptCount val="1"/>
            <c:pt idx="0">
              <c:v>Characteristic Proximity Curve (Offset = 10.8% removed)</c:v>
            </c:pt>
          </c:strCache>
        </c:strRef>
      </c:tx>
      <c:txPr>
        <a:bodyPr/>
        <a:lstStyle/>
        <a:p>
          <a:pPr>
            <a:defRPr/>
          </a:pPr>
          <a:endParaRPr lang="en-US"/>
        </a:p>
      </c:txPr>
    </c:title>
    <c:plotArea>
      <c:layout/>
      <c:scatterChart>
        <c:scatterStyle val="smoothMarker"/>
        <c:ser>
          <c:idx val="0"/>
          <c:order val="0"/>
          <c:spPr>
            <a:ln>
              <a:prstDash val="sysDash"/>
            </a:ln>
          </c:spPr>
          <c:marker>
            <c:symbol val="none"/>
          </c:marker>
          <c:xVal>
            <c:numRef>
              <c:f>data0!$AI$5:$AI$82</c:f>
              <c:numCache>
                <c:formatCode>0.0</c:formatCode>
                <c:ptCount val="78"/>
                <c:pt idx="0">
                  <c:v>4.5999999999999996</c:v>
                </c:pt>
                <c:pt idx="1">
                  <c:v>5.6</c:v>
                </c:pt>
                <c:pt idx="2">
                  <c:v>6.6</c:v>
                </c:pt>
                <c:pt idx="3">
                  <c:v>7.6</c:v>
                </c:pt>
                <c:pt idx="4">
                  <c:v>8.6</c:v>
                </c:pt>
                <c:pt idx="5">
                  <c:v>9.6</c:v>
                </c:pt>
                <c:pt idx="6">
                  <c:v>10.6</c:v>
                </c:pt>
                <c:pt idx="7">
                  <c:v>11.6</c:v>
                </c:pt>
                <c:pt idx="8">
                  <c:v>12.6</c:v>
                </c:pt>
                <c:pt idx="9">
                  <c:v>13.6</c:v>
                </c:pt>
                <c:pt idx="10">
                  <c:v>14.6</c:v>
                </c:pt>
                <c:pt idx="11">
                  <c:v>15.6</c:v>
                </c:pt>
                <c:pt idx="12">
                  <c:v>16.600000000000001</c:v>
                </c:pt>
                <c:pt idx="13">
                  <c:v>17.600000000000001</c:v>
                </c:pt>
                <c:pt idx="14">
                  <c:v>18.600000000000001</c:v>
                </c:pt>
                <c:pt idx="15">
                  <c:v>19.600000000000001</c:v>
                </c:pt>
                <c:pt idx="16">
                  <c:v>20.6</c:v>
                </c:pt>
                <c:pt idx="17">
                  <c:v>21.6</c:v>
                </c:pt>
                <c:pt idx="18">
                  <c:v>22.6</c:v>
                </c:pt>
                <c:pt idx="19">
                  <c:v>23.6</c:v>
                </c:pt>
                <c:pt idx="20">
                  <c:v>24.6</c:v>
                </c:pt>
                <c:pt idx="21">
                  <c:v>25.6</c:v>
                </c:pt>
                <c:pt idx="22">
                  <c:v>26.6</c:v>
                </c:pt>
                <c:pt idx="23">
                  <c:v>27.6</c:v>
                </c:pt>
                <c:pt idx="24">
                  <c:v>28.6</c:v>
                </c:pt>
                <c:pt idx="25">
                  <c:v>29.6</c:v>
                </c:pt>
                <c:pt idx="26">
                  <c:v>30.6</c:v>
                </c:pt>
                <c:pt idx="27">
                  <c:v>31.6</c:v>
                </c:pt>
                <c:pt idx="28">
                  <c:v>32.6</c:v>
                </c:pt>
                <c:pt idx="29">
                  <c:v>33.6</c:v>
                </c:pt>
                <c:pt idx="30">
                  <c:v>34.6</c:v>
                </c:pt>
                <c:pt idx="31">
                  <c:v>35.6</c:v>
                </c:pt>
                <c:pt idx="32">
                  <c:v>36.6</c:v>
                </c:pt>
                <c:pt idx="33">
                  <c:v>37.6</c:v>
                </c:pt>
                <c:pt idx="34">
                  <c:v>38.6</c:v>
                </c:pt>
                <c:pt idx="35">
                  <c:v>39.6</c:v>
                </c:pt>
                <c:pt idx="36">
                  <c:v>40.6</c:v>
                </c:pt>
                <c:pt idx="37">
                  <c:v>41.6</c:v>
                </c:pt>
                <c:pt idx="38">
                  <c:v>42.6</c:v>
                </c:pt>
                <c:pt idx="39">
                  <c:v>43.6</c:v>
                </c:pt>
                <c:pt idx="40">
                  <c:v>44.6</c:v>
                </c:pt>
                <c:pt idx="41">
                  <c:v>45.6</c:v>
                </c:pt>
                <c:pt idx="42">
                  <c:v>46.6</c:v>
                </c:pt>
                <c:pt idx="43">
                  <c:v>47.6</c:v>
                </c:pt>
                <c:pt idx="44">
                  <c:v>48.6</c:v>
                </c:pt>
                <c:pt idx="45">
                  <c:v>49.6</c:v>
                </c:pt>
                <c:pt idx="46">
                  <c:v>50.6</c:v>
                </c:pt>
                <c:pt idx="47">
                  <c:v>51.6</c:v>
                </c:pt>
                <c:pt idx="48">
                  <c:v>52.6</c:v>
                </c:pt>
                <c:pt idx="49">
                  <c:v>53.6</c:v>
                </c:pt>
                <c:pt idx="50">
                  <c:v>54.6</c:v>
                </c:pt>
                <c:pt idx="51">
                  <c:v>55.6</c:v>
                </c:pt>
                <c:pt idx="52">
                  <c:v>56.6</c:v>
                </c:pt>
                <c:pt idx="53">
                  <c:v>57.6</c:v>
                </c:pt>
                <c:pt idx="54">
                  <c:v>58.6</c:v>
                </c:pt>
                <c:pt idx="55">
                  <c:v>59.6</c:v>
                </c:pt>
                <c:pt idx="56">
                  <c:v>60.6</c:v>
                </c:pt>
                <c:pt idx="57">
                  <c:v>61.6</c:v>
                </c:pt>
                <c:pt idx="58">
                  <c:v>62.6</c:v>
                </c:pt>
                <c:pt idx="59">
                  <c:v>63.6</c:v>
                </c:pt>
                <c:pt idx="60">
                  <c:v>64.599999999999994</c:v>
                </c:pt>
                <c:pt idx="61">
                  <c:v>65.599999999999994</c:v>
                </c:pt>
                <c:pt idx="62">
                  <c:v>66.599999999999994</c:v>
                </c:pt>
                <c:pt idx="63">
                  <c:v>67.599999999999994</c:v>
                </c:pt>
                <c:pt idx="64">
                  <c:v>68.599999999999994</c:v>
                </c:pt>
                <c:pt idx="65">
                  <c:v>69.599999999999994</c:v>
                </c:pt>
                <c:pt idx="66">
                  <c:v>70.599999999999994</c:v>
                </c:pt>
                <c:pt idx="67">
                  <c:v>71.599999999999994</c:v>
                </c:pt>
                <c:pt idx="68">
                  <c:v>72.599999999999994</c:v>
                </c:pt>
                <c:pt idx="69">
                  <c:v>73.599999999999994</c:v>
                </c:pt>
                <c:pt idx="70">
                  <c:v>74.599999999999994</c:v>
                </c:pt>
                <c:pt idx="71">
                  <c:v>75.599999999999994</c:v>
                </c:pt>
                <c:pt idx="72">
                  <c:v>76.599999999999994</c:v>
                </c:pt>
                <c:pt idx="73">
                  <c:v>77.599999999999994</c:v>
                </c:pt>
                <c:pt idx="74">
                  <c:v>78.599999999999994</c:v>
                </c:pt>
                <c:pt idx="75">
                  <c:v>79.599999999999994</c:v>
                </c:pt>
                <c:pt idx="76">
                  <c:v>80.599999999999994</c:v>
                </c:pt>
                <c:pt idx="77">
                  <c:v>81.599999999999994</c:v>
                </c:pt>
              </c:numCache>
            </c:numRef>
          </c:xVal>
          <c:yVal>
            <c:numRef>
              <c:f>data0!$AK$5:$AK$82</c:f>
              <c:numCache>
                <c:formatCode>0.000</c:formatCode>
                <c:ptCount val="78"/>
                <c:pt idx="0">
                  <c:v>0.89042156862745059</c:v>
                </c:pt>
                <c:pt idx="1">
                  <c:v>0.89042156862745059</c:v>
                </c:pt>
                <c:pt idx="2">
                  <c:v>0.89042156862745059</c:v>
                </c:pt>
                <c:pt idx="3">
                  <c:v>0.89042156862745059</c:v>
                </c:pt>
                <c:pt idx="4">
                  <c:v>0.89042156862745059</c:v>
                </c:pt>
                <c:pt idx="5">
                  <c:v>0.89042156862745059</c:v>
                </c:pt>
                <c:pt idx="6">
                  <c:v>0.89042156862745059</c:v>
                </c:pt>
                <c:pt idx="7">
                  <c:v>0.88126654411764693</c:v>
                </c:pt>
                <c:pt idx="8">
                  <c:v>0.82757352941176487</c:v>
                </c:pt>
                <c:pt idx="9">
                  <c:v>0.71850490196078476</c:v>
                </c:pt>
                <c:pt idx="10">
                  <c:v>0.62536764705882408</c:v>
                </c:pt>
                <c:pt idx="11">
                  <c:v>0.55245098039215712</c:v>
                </c:pt>
                <c:pt idx="12">
                  <c:v>0.49203431372549011</c:v>
                </c:pt>
                <c:pt idx="13">
                  <c:v>0.43958333333333321</c:v>
                </c:pt>
                <c:pt idx="14">
                  <c:v>0.39129901960784325</c:v>
                </c:pt>
                <c:pt idx="15">
                  <c:v>0.35110294117647073</c:v>
                </c:pt>
                <c:pt idx="16">
                  <c:v>0.31899509803921594</c:v>
                </c:pt>
                <c:pt idx="17">
                  <c:v>0.28946078431372579</c:v>
                </c:pt>
                <c:pt idx="18">
                  <c:v>0.26556372549019641</c:v>
                </c:pt>
                <c:pt idx="19">
                  <c:v>0.24080882352941185</c:v>
                </c:pt>
                <c:pt idx="20">
                  <c:v>0.22242647058823523</c:v>
                </c:pt>
                <c:pt idx="21">
                  <c:v>0.2025735294117646</c:v>
                </c:pt>
                <c:pt idx="22">
                  <c:v>0.18615196078431367</c:v>
                </c:pt>
                <c:pt idx="23">
                  <c:v>0.17022058823529407</c:v>
                </c:pt>
                <c:pt idx="24">
                  <c:v>0.16017156862745102</c:v>
                </c:pt>
                <c:pt idx="25">
                  <c:v>0.14926470588235302</c:v>
                </c:pt>
                <c:pt idx="26">
                  <c:v>0.13872549019607849</c:v>
                </c:pt>
                <c:pt idx="27">
                  <c:v>0.12855392156862755</c:v>
                </c:pt>
                <c:pt idx="28">
                  <c:v>0.11973039215686281</c:v>
                </c:pt>
                <c:pt idx="29">
                  <c:v>0.11127450980392155</c:v>
                </c:pt>
                <c:pt idx="30">
                  <c:v>0.10330882352941172</c:v>
                </c:pt>
                <c:pt idx="31">
                  <c:v>9.7058823529411739E-2</c:v>
                </c:pt>
                <c:pt idx="32">
                  <c:v>9.0686274509803919E-2</c:v>
                </c:pt>
                <c:pt idx="33">
                  <c:v>8.5049019607843127E-2</c:v>
                </c:pt>
                <c:pt idx="34">
                  <c:v>8.0024509803921576E-2</c:v>
                </c:pt>
                <c:pt idx="35">
                  <c:v>7.5122549019607868E-2</c:v>
                </c:pt>
                <c:pt idx="36">
                  <c:v>7.071078431372553E-2</c:v>
                </c:pt>
                <c:pt idx="37">
                  <c:v>6.5318627450980424E-2</c:v>
                </c:pt>
                <c:pt idx="38">
                  <c:v>6.1764705882352985E-2</c:v>
                </c:pt>
                <c:pt idx="39">
                  <c:v>5.8210784313725519E-2</c:v>
                </c:pt>
                <c:pt idx="40">
                  <c:v>5.4289215686274553E-2</c:v>
                </c:pt>
                <c:pt idx="41">
                  <c:v>5.0735294117647114E-2</c:v>
                </c:pt>
                <c:pt idx="42">
                  <c:v>4.6691176470588305E-2</c:v>
                </c:pt>
                <c:pt idx="43">
                  <c:v>4.4117647058823609E-2</c:v>
                </c:pt>
                <c:pt idx="44">
                  <c:v>4.2156862745098125E-2</c:v>
                </c:pt>
                <c:pt idx="45">
                  <c:v>3.9950980392156929E-2</c:v>
                </c:pt>
                <c:pt idx="46">
                  <c:v>3.7990196078431446E-2</c:v>
                </c:pt>
                <c:pt idx="47">
                  <c:v>3.517156862745098E-2</c:v>
                </c:pt>
                <c:pt idx="48">
                  <c:v>3.3700980392156868E-2</c:v>
                </c:pt>
                <c:pt idx="49">
                  <c:v>3.0882352941176458E-2</c:v>
                </c:pt>
                <c:pt idx="50">
                  <c:v>2.9656862745098059E-2</c:v>
                </c:pt>
                <c:pt idx="51">
                  <c:v>2.6960784313725492E-2</c:v>
                </c:pt>
                <c:pt idx="52">
                  <c:v>2.5980392156862722E-2</c:v>
                </c:pt>
                <c:pt idx="53">
                  <c:v>2.4019607843137239E-2</c:v>
                </c:pt>
                <c:pt idx="54">
                  <c:v>2.2794117647058812E-2</c:v>
                </c:pt>
                <c:pt idx="55">
                  <c:v>2.1446078431372542E-2</c:v>
                </c:pt>
                <c:pt idx="56">
                  <c:v>1.9362745098039216E-2</c:v>
                </c:pt>
                <c:pt idx="57">
                  <c:v>1.6544117647058806E-2</c:v>
                </c:pt>
                <c:pt idx="58">
                  <c:v>1.5808823529411736E-2</c:v>
                </c:pt>
                <c:pt idx="59">
                  <c:v>1.6053921568627436E-2</c:v>
                </c:pt>
                <c:pt idx="60">
                  <c:v>1.5686274509803907E-2</c:v>
                </c:pt>
                <c:pt idx="61">
                  <c:v>1.3725490196078424E-2</c:v>
                </c:pt>
                <c:pt idx="62">
                  <c:v>1.2867647058823511E-2</c:v>
                </c:pt>
                <c:pt idx="63">
                  <c:v>1.2499999999999983E-2</c:v>
                </c:pt>
                <c:pt idx="64">
                  <c:v>1.0906862745098028E-2</c:v>
                </c:pt>
                <c:pt idx="65">
                  <c:v>1.0784313725490199E-2</c:v>
                </c:pt>
                <c:pt idx="66">
                  <c:v>1.0294117647058801E-2</c:v>
                </c:pt>
                <c:pt idx="67">
                  <c:v>8.2107843137254749E-3</c:v>
                </c:pt>
                <c:pt idx="68">
                  <c:v>8.4558823529411603E-3</c:v>
                </c:pt>
                <c:pt idx="69">
                  <c:v>7.5980392156862614E-3</c:v>
                </c:pt>
                <c:pt idx="70">
                  <c:v>6.6176470588235059E-3</c:v>
                </c:pt>
                <c:pt idx="71">
                  <c:v>6.2499999999999778E-3</c:v>
                </c:pt>
                <c:pt idx="72">
                  <c:v>5.0245098039215508E-3</c:v>
                </c:pt>
                <c:pt idx="73">
                  <c:v>3.9215686274509665E-3</c:v>
                </c:pt>
                <c:pt idx="74">
                  <c:v>3.4313725490195957E-3</c:v>
                </c:pt>
                <c:pt idx="75">
                  <c:v>2.6960784313725394E-3</c:v>
                </c:pt>
                <c:pt idx="76">
                  <c:v>1.7156862745097978E-3</c:v>
                </c:pt>
                <c:pt idx="77">
                  <c:v>0</c:v>
                </c:pt>
              </c:numCache>
            </c:numRef>
          </c:yVal>
          <c:smooth val="1"/>
        </c:ser>
        <c:ser>
          <c:idx val="1"/>
          <c:order val="1"/>
          <c:spPr>
            <a:ln>
              <a:prstDash val="sysDash"/>
            </a:ln>
          </c:spPr>
          <c:marker>
            <c:symbol val="none"/>
          </c:marker>
          <c:xVal>
            <c:numRef>
              <c:f>data0!$AI$3:$AI$20</c:f>
              <c:numCache>
                <c:formatCode>0.0</c:formatCode>
                <c:ptCount val="18"/>
                <c:pt idx="0">
                  <c:v>2.6</c:v>
                </c:pt>
                <c:pt idx="1">
                  <c:v>3.6</c:v>
                </c:pt>
                <c:pt idx="2">
                  <c:v>4.5999999999999996</c:v>
                </c:pt>
                <c:pt idx="3">
                  <c:v>5.6</c:v>
                </c:pt>
                <c:pt idx="4">
                  <c:v>6.6</c:v>
                </c:pt>
                <c:pt idx="5">
                  <c:v>7.6</c:v>
                </c:pt>
                <c:pt idx="6">
                  <c:v>8.6</c:v>
                </c:pt>
                <c:pt idx="7">
                  <c:v>9.6</c:v>
                </c:pt>
                <c:pt idx="8">
                  <c:v>10.6</c:v>
                </c:pt>
                <c:pt idx="9">
                  <c:v>11.6</c:v>
                </c:pt>
                <c:pt idx="10">
                  <c:v>12.6</c:v>
                </c:pt>
                <c:pt idx="11">
                  <c:v>13.6</c:v>
                </c:pt>
                <c:pt idx="12">
                  <c:v>14.6</c:v>
                </c:pt>
                <c:pt idx="13">
                  <c:v>15.6</c:v>
                </c:pt>
                <c:pt idx="14">
                  <c:v>16.600000000000001</c:v>
                </c:pt>
                <c:pt idx="15">
                  <c:v>17.600000000000001</c:v>
                </c:pt>
                <c:pt idx="16">
                  <c:v>18.600000000000001</c:v>
                </c:pt>
                <c:pt idx="17">
                  <c:v>19.600000000000001</c:v>
                </c:pt>
              </c:numCache>
            </c:numRef>
          </c:xVal>
          <c:yVal>
            <c:numRef>
              <c:f>data0!$AN$3:$AN$20</c:f>
              <c:numCache>
                <c:formatCode>0.000</c:formatCode>
                <c:ptCount val="18"/>
                <c:pt idx="0">
                  <c:v>1.069523348649557</c:v>
                </c:pt>
                <c:pt idx="1">
                  <c:v>0.78536022795612637</c:v>
                </c:pt>
                <c:pt idx="2">
                  <c:v>0.62236160912694083</c:v>
                </c:pt>
                <c:pt idx="3">
                  <c:v>0.51638015035579343</c:v>
                </c:pt>
                <c:pt idx="4">
                  <c:v>0.44182753960723342</c:v>
                </c:pt>
                <c:pt idx="5">
                  <c:v>0.38646296204072578</c:v>
                </c:pt>
                <c:pt idx="6">
                  <c:v>0.34368529209786886</c:v>
                </c:pt>
                <c:pt idx="7">
                  <c:v>0.30961684233195874</c:v>
                </c:pt>
                <c:pt idx="8">
                  <c:v>0.28182837149066431</c:v>
                </c:pt>
                <c:pt idx="9">
                  <c:v>0.88126654411764693</c:v>
                </c:pt>
                <c:pt idx="10">
                  <c:v>0.82757352941176487</c:v>
                </c:pt>
                <c:pt idx="11">
                  <c:v>0.71850490196078476</c:v>
                </c:pt>
                <c:pt idx="12">
                  <c:v>0.62536764705882408</c:v>
                </c:pt>
                <c:pt idx="13">
                  <c:v>0.55245098039215712</c:v>
                </c:pt>
                <c:pt idx="14">
                  <c:v>0.49203431372549011</c:v>
                </c:pt>
                <c:pt idx="15">
                  <c:v>0.43958333333333321</c:v>
                </c:pt>
                <c:pt idx="16">
                  <c:v>0.39129901960784325</c:v>
                </c:pt>
                <c:pt idx="17">
                  <c:v>0.35110294117647073</c:v>
                </c:pt>
              </c:numCache>
            </c:numRef>
          </c:yVal>
          <c:smooth val="1"/>
        </c:ser>
        <c:axId val="135866624"/>
        <c:axId val="135881088"/>
      </c:scatterChart>
      <c:valAx>
        <c:axId val="135866624"/>
        <c:scaling>
          <c:orientation val="minMax"/>
          <c:max val="10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Sensor</a:t>
                </a:r>
                <a:r>
                  <a:rPr lang="en-US" baseline="0"/>
                  <a:t> to Target Distance in mm</a:t>
                </a:r>
                <a:endParaRPr lang="en-US"/>
              </a:p>
            </c:rich>
          </c:tx>
        </c:title>
        <c:numFmt formatCode="0" sourceLinked="0"/>
        <c:tickLblPos val="nextTo"/>
        <c:crossAx val="135881088"/>
        <c:crosses val="autoZero"/>
        <c:crossBetween val="midCat"/>
        <c:majorUnit val="10"/>
      </c:valAx>
      <c:valAx>
        <c:axId val="135881088"/>
        <c:scaling>
          <c:orientation val="minMax"/>
          <c:max val="1.2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Detected</a:t>
                </a:r>
                <a:r>
                  <a:rPr lang="en-US" baseline="0"/>
                  <a:t> Power in %FSR</a:t>
                </a:r>
                <a:endParaRPr lang="en-US"/>
              </a:p>
            </c:rich>
          </c:tx>
        </c:title>
        <c:numFmt formatCode="0%" sourceLinked="0"/>
        <c:tickLblPos val="nextTo"/>
        <c:crossAx val="135866624"/>
        <c:crosses val="autoZero"/>
        <c:crossBetween val="midCat"/>
        <c:minorUnit val="0.1"/>
      </c:valAx>
    </c:plotArea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data1!$B$2:$B$82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0.94509803921568625</c:v>
                </c:pt>
                <c:pt idx="15">
                  <c:v>0.85490196078431369</c:v>
                </c:pt>
                <c:pt idx="16">
                  <c:v>0.7686274509803922</c:v>
                </c:pt>
                <c:pt idx="17">
                  <c:v>0.69019607843137254</c:v>
                </c:pt>
                <c:pt idx="18">
                  <c:v>0.62352941176470589</c:v>
                </c:pt>
                <c:pt idx="19">
                  <c:v>0.56862745098039214</c:v>
                </c:pt>
                <c:pt idx="20">
                  <c:v>0.52156862745098043</c:v>
                </c:pt>
                <c:pt idx="21">
                  <c:v>0.4823529411764706</c:v>
                </c:pt>
                <c:pt idx="22">
                  <c:v>0.44313725490196076</c:v>
                </c:pt>
                <c:pt idx="23">
                  <c:v>0.4</c:v>
                </c:pt>
                <c:pt idx="24">
                  <c:v>0.38039215686274508</c:v>
                </c:pt>
                <c:pt idx="25">
                  <c:v>0.34509803921568627</c:v>
                </c:pt>
                <c:pt idx="26">
                  <c:v>0.32156862745098042</c:v>
                </c:pt>
                <c:pt idx="27">
                  <c:v>0.30588235294117649</c:v>
                </c:pt>
                <c:pt idx="28">
                  <c:v>0.28235294117647058</c:v>
                </c:pt>
                <c:pt idx="29">
                  <c:v>0.25882352941176473</c:v>
                </c:pt>
                <c:pt idx="30">
                  <c:v>0.24705882352941178</c:v>
                </c:pt>
                <c:pt idx="31">
                  <c:v>0.23137254901960785</c:v>
                </c:pt>
                <c:pt idx="32">
                  <c:v>0.2196078431372549</c:v>
                </c:pt>
                <c:pt idx="33">
                  <c:v>0.21176470588235294</c:v>
                </c:pt>
                <c:pt idx="34">
                  <c:v>0.2</c:v>
                </c:pt>
                <c:pt idx="35">
                  <c:v>0.18431372549019609</c:v>
                </c:pt>
                <c:pt idx="36">
                  <c:v>0.16862745098039217</c:v>
                </c:pt>
                <c:pt idx="37">
                  <c:v>0.16078431372549021</c:v>
                </c:pt>
                <c:pt idx="38">
                  <c:v>0.15294117647058825</c:v>
                </c:pt>
                <c:pt idx="39">
                  <c:v>0.14509803921568629</c:v>
                </c:pt>
                <c:pt idx="40">
                  <c:v>0.14509803921568629</c:v>
                </c:pt>
                <c:pt idx="41">
                  <c:v>0.13725490196078433</c:v>
                </c:pt>
                <c:pt idx="42">
                  <c:v>0.12941176470588237</c:v>
                </c:pt>
                <c:pt idx="43">
                  <c:v>0.12156862745098039</c:v>
                </c:pt>
                <c:pt idx="44">
                  <c:v>0.11372549019607843</c:v>
                </c:pt>
                <c:pt idx="45">
                  <c:v>0.10588235294117647</c:v>
                </c:pt>
                <c:pt idx="46">
                  <c:v>0.10980392156862745</c:v>
                </c:pt>
                <c:pt idx="47">
                  <c:v>9.8039215686274508E-2</c:v>
                </c:pt>
                <c:pt idx="48">
                  <c:v>9.0196078431372548E-2</c:v>
                </c:pt>
                <c:pt idx="49">
                  <c:v>9.0196078431372548E-2</c:v>
                </c:pt>
                <c:pt idx="50">
                  <c:v>8.2352941176470587E-2</c:v>
                </c:pt>
                <c:pt idx="51">
                  <c:v>7.8431372549019607E-2</c:v>
                </c:pt>
                <c:pt idx="52">
                  <c:v>7.4509803921568626E-2</c:v>
                </c:pt>
                <c:pt idx="53">
                  <c:v>8.2352941176470587E-2</c:v>
                </c:pt>
                <c:pt idx="54">
                  <c:v>7.4509803921568626E-2</c:v>
                </c:pt>
                <c:pt idx="55">
                  <c:v>7.4509803921568626E-2</c:v>
                </c:pt>
                <c:pt idx="56">
                  <c:v>6.2745098039215685E-2</c:v>
                </c:pt>
                <c:pt idx="57">
                  <c:v>5.8823529411764705E-2</c:v>
                </c:pt>
                <c:pt idx="58">
                  <c:v>5.0980392156862744E-2</c:v>
                </c:pt>
                <c:pt idx="59">
                  <c:v>4.7058823529411764E-2</c:v>
                </c:pt>
                <c:pt idx="60">
                  <c:v>5.0980392156862744E-2</c:v>
                </c:pt>
                <c:pt idx="61">
                  <c:v>5.0980392156862744E-2</c:v>
                </c:pt>
                <c:pt idx="62">
                  <c:v>5.0980392156862744E-2</c:v>
                </c:pt>
                <c:pt idx="63">
                  <c:v>5.0980392156862744E-2</c:v>
                </c:pt>
                <c:pt idx="64">
                  <c:v>4.7058823529411764E-2</c:v>
                </c:pt>
                <c:pt idx="65">
                  <c:v>4.3137254901960784E-2</c:v>
                </c:pt>
                <c:pt idx="66">
                  <c:v>4.3137254901960784E-2</c:v>
                </c:pt>
                <c:pt idx="67">
                  <c:v>4.7058823529411764E-2</c:v>
                </c:pt>
                <c:pt idx="68">
                  <c:v>5.0980392156862744E-2</c:v>
                </c:pt>
                <c:pt idx="69">
                  <c:v>4.3137254901960784E-2</c:v>
                </c:pt>
                <c:pt idx="70">
                  <c:v>5.0980392156862744E-2</c:v>
                </c:pt>
                <c:pt idx="71">
                  <c:v>5.0980392156862744E-2</c:v>
                </c:pt>
                <c:pt idx="72">
                  <c:v>5.0980392156862744E-2</c:v>
                </c:pt>
                <c:pt idx="73">
                  <c:v>4.7058823529411764E-2</c:v>
                </c:pt>
                <c:pt idx="74">
                  <c:v>4.7058823529411764E-2</c:v>
                </c:pt>
                <c:pt idx="75">
                  <c:v>5.0980392156862744E-2</c:v>
                </c:pt>
                <c:pt idx="76">
                  <c:v>4.3137254901960784E-2</c:v>
                </c:pt>
                <c:pt idx="77">
                  <c:v>3.5294117647058823E-2</c:v>
                </c:pt>
                <c:pt idx="78">
                  <c:v>3.5294117647058823E-2</c:v>
                </c:pt>
                <c:pt idx="79">
                  <c:v>3.5294117647058823E-2</c:v>
                </c:pt>
                <c:pt idx="80">
                  <c:v>3.5294117647058823E-2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data1!$C$1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data1!$C$2:$C$82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0.96470588235294119</c:v>
                </c:pt>
                <c:pt idx="15">
                  <c:v>0.87450980392156863</c:v>
                </c:pt>
                <c:pt idx="16">
                  <c:v>0.78431372549019607</c:v>
                </c:pt>
                <c:pt idx="17">
                  <c:v>0.69803921568627447</c:v>
                </c:pt>
                <c:pt idx="18">
                  <c:v>0.63137254901960782</c:v>
                </c:pt>
                <c:pt idx="19">
                  <c:v>0.5725490196078431</c:v>
                </c:pt>
                <c:pt idx="20">
                  <c:v>0.52941176470588236</c:v>
                </c:pt>
                <c:pt idx="21">
                  <c:v>0.47843137254901963</c:v>
                </c:pt>
                <c:pt idx="22">
                  <c:v>0.44313725490196076</c:v>
                </c:pt>
                <c:pt idx="23">
                  <c:v>0.40392156862745099</c:v>
                </c:pt>
                <c:pt idx="24">
                  <c:v>0.38823529411764707</c:v>
                </c:pt>
                <c:pt idx="25">
                  <c:v>0.35294117647058826</c:v>
                </c:pt>
                <c:pt idx="26">
                  <c:v>0.32941176470588235</c:v>
                </c:pt>
                <c:pt idx="27">
                  <c:v>0.30588235294117649</c:v>
                </c:pt>
                <c:pt idx="28">
                  <c:v>0.29019607843137257</c:v>
                </c:pt>
                <c:pt idx="29">
                  <c:v>0.26666666666666666</c:v>
                </c:pt>
                <c:pt idx="30">
                  <c:v>0.25098039215686274</c:v>
                </c:pt>
                <c:pt idx="31">
                  <c:v>0.23529411764705882</c:v>
                </c:pt>
                <c:pt idx="32">
                  <c:v>0.2196078431372549</c:v>
                </c:pt>
                <c:pt idx="33">
                  <c:v>0.20392156862745098</c:v>
                </c:pt>
                <c:pt idx="34">
                  <c:v>0.19607843137254902</c:v>
                </c:pt>
                <c:pt idx="35">
                  <c:v>0.18431372549019609</c:v>
                </c:pt>
                <c:pt idx="36">
                  <c:v>0.17647058823529413</c:v>
                </c:pt>
                <c:pt idx="37">
                  <c:v>0.16470588235294117</c:v>
                </c:pt>
                <c:pt idx="38">
                  <c:v>0.16078431372549021</c:v>
                </c:pt>
                <c:pt idx="39">
                  <c:v>0.16078431372549021</c:v>
                </c:pt>
                <c:pt idx="40">
                  <c:v>0.14901960784313725</c:v>
                </c:pt>
                <c:pt idx="41">
                  <c:v>0.14117647058823529</c:v>
                </c:pt>
                <c:pt idx="42">
                  <c:v>0.13333333333333333</c:v>
                </c:pt>
                <c:pt idx="43">
                  <c:v>0.12941176470588237</c:v>
                </c:pt>
                <c:pt idx="44">
                  <c:v>0.11764705882352941</c:v>
                </c:pt>
                <c:pt idx="45">
                  <c:v>0.11372549019607843</c:v>
                </c:pt>
                <c:pt idx="46">
                  <c:v>0.10588235294117647</c:v>
                </c:pt>
                <c:pt idx="47">
                  <c:v>9.8039215686274508E-2</c:v>
                </c:pt>
                <c:pt idx="48">
                  <c:v>9.8039215686274508E-2</c:v>
                </c:pt>
                <c:pt idx="49">
                  <c:v>9.4117647058823528E-2</c:v>
                </c:pt>
                <c:pt idx="50">
                  <c:v>9.0196078431372548E-2</c:v>
                </c:pt>
                <c:pt idx="51">
                  <c:v>9.0196078431372548E-2</c:v>
                </c:pt>
                <c:pt idx="52">
                  <c:v>8.2352941176470587E-2</c:v>
                </c:pt>
                <c:pt idx="53">
                  <c:v>8.2352941176470587E-2</c:v>
                </c:pt>
                <c:pt idx="54">
                  <c:v>7.8431372549019607E-2</c:v>
                </c:pt>
                <c:pt idx="55">
                  <c:v>7.4509803921568626E-2</c:v>
                </c:pt>
                <c:pt idx="56">
                  <c:v>7.0588235294117646E-2</c:v>
                </c:pt>
                <c:pt idx="57">
                  <c:v>5.8823529411764705E-2</c:v>
                </c:pt>
                <c:pt idx="58">
                  <c:v>6.6666666666666666E-2</c:v>
                </c:pt>
                <c:pt idx="59">
                  <c:v>6.2745098039215685E-2</c:v>
                </c:pt>
                <c:pt idx="60">
                  <c:v>6.6666666666666666E-2</c:v>
                </c:pt>
                <c:pt idx="61">
                  <c:v>6.6666666666666666E-2</c:v>
                </c:pt>
                <c:pt idx="62">
                  <c:v>6.2745098039215685E-2</c:v>
                </c:pt>
                <c:pt idx="63">
                  <c:v>6.6666666666666666E-2</c:v>
                </c:pt>
                <c:pt idx="64">
                  <c:v>6.6666666666666666E-2</c:v>
                </c:pt>
                <c:pt idx="65">
                  <c:v>5.4901960784313725E-2</c:v>
                </c:pt>
                <c:pt idx="66">
                  <c:v>5.4901960784313725E-2</c:v>
                </c:pt>
                <c:pt idx="67">
                  <c:v>5.0980392156862744E-2</c:v>
                </c:pt>
                <c:pt idx="68">
                  <c:v>5.0980392156862744E-2</c:v>
                </c:pt>
                <c:pt idx="69">
                  <c:v>5.0980392156862744E-2</c:v>
                </c:pt>
                <c:pt idx="70">
                  <c:v>5.0980392156862744E-2</c:v>
                </c:pt>
                <c:pt idx="71">
                  <c:v>5.0980392156862744E-2</c:v>
                </c:pt>
                <c:pt idx="72">
                  <c:v>4.7058823529411764E-2</c:v>
                </c:pt>
                <c:pt idx="73">
                  <c:v>5.0980392156862744E-2</c:v>
                </c:pt>
                <c:pt idx="74">
                  <c:v>4.3137254901960784E-2</c:v>
                </c:pt>
                <c:pt idx="75">
                  <c:v>4.3137254901960784E-2</c:v>
                </c:pt>
                <c:pt idx="76">
                  <c:v>4.3137254901960784E-2</c:v>
                </c:pt>
                <c:pt idx="77">
                  <c:v>3.5294117647058823E-2</c:v>
                </c:pt>
                <c:pt idx="78">
                  <c:v>3.5294117647058823E-2</c:v>
                </c:pt>
                <c:pt idx="79">
                  <c:v>3.5294117647058823E-2</c:v>
                </c:pt>
                <c:pt idx="80">
                  <c:v>2.7450980392156862E-2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data1!$D$1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data1!$D$2:$D$82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0.95686274509803926</c:v>
                </c:pt>
                <c:pt idx="15">
                  <c:v>0.86274509803921573</c:v>
                </c:pt>
                <c:pt idx="16">
                  <c:v>0.77647058823529413</c:v>
                </c:pt>
                <c:pt idx="17">
                  <c:v>0.69019607843137254</c:v>
                </c:pt>
                <c:pt idx="18">
                  <c:v>0.62745098039215685</c:v>
                </c:pt>
                <c:pt idx="19">
                  <c:v>0.57647058823529407</c:v>
                </c:pt>
                <c:pt idx="20">
                  <c:v>0.52941176470588236</c:v>
                </c:pt>
                <c:pt idx="21">
                  <c:v>0.47450980392156861</c:v>
                </c:pt>
                <c:pt idx="22">
                  <c:v>0.43529411764705883</c:v>
                </c:pt>
                <c:pt idx="23">
                  <c:v>0.40392156862745099</c:v>
                </c:pt>
                <c:pt idx="24">
                  <c:v>0.37647058823529411</c:v>
                </c:pt>
                <c:pt idx="25">
                  <c:v>0.34509803921568627</c:v>
                </c:pt>
                <c:pt idx="26">
                  <c:v>0.31372549019607843</c:v>
                </c:pt>
                <c:pt idx="27">
                  <c:v>0.29411764705882354</c:v>
                </c:pt>
                <c:pt idx="28">
                  <c:v>0.29019607843137257</c:v>
                </c:pt>
                <c:pt idx="29">
                  <c:v>0.27450980392156865</c:v>
                </c:pt>
                <c:pt idx="30">
                  <c:v>0.26666666666666666</c:v>
                </c:pt>
                <c:pt idx="31">
                  <c:v>0.24313725490196078</c:v>
                </c:pt>
                <c:pt idx="32">
                  <c:v>0.22745098039215686</c:v>
                </c:pt>
                <c:pt idx="33">
                  <c:v>0.21568627450980393</c:v>
                </c:pt>
                <c:pt idx="34">
                  <c:v>0.20392156862745098</c:v>
                </c:pt>
                <c:pt idx="35">
                  <c:v>0.18823529411764706</c:v>
                </c:pt>
                <c:pt idx="36">
                  <c:v>0.1803921568627451</c:v>
                </c:pt>
                <c:pt idx="37">
                  <c:v>0.16470588235294117</c:v>
                </c:pt>
                <c:pt idx="38">
                  <c:v>0.15686274509803921</c:v>
                </c:pt>
                <c:pt idx="39">
                  <c:v>0.15294117647058825</c:v>
                </c:pt>
                <c:pt idx="40">
                  <c:v>0.14117647058823529</c:v>
                </c:pt>
                <c:pt idx="41">
                  <c:v>0.13725490196078433</c:v>
                </c:pt>
                <c:pt idx="42">
                  <c:v>0.12549019607843137</c:v>
                </c:pt>
                <c:pt idx="43">
                  <c:v>0.12156862745098039</c:v>
                </c:pt>
                <c:pt idx="44">
                  <c:v>0.11372549019607843</c:v>
                </c:pt>
                <c:pt idx="45">
                  <c:v>0.11372549019607843</c:v>
                </c:pt>
                <c:pt idx="46">
                  <c:v>9.8039215686274508E-2</c:v>
                </c:pt>
                <c:pt idx="47">
                  <c:v>0.10588235294117647</c:v>
                </c:pt>
                <c:pt idx="48">
                  <c:v>9.8039215686274508E-2</c:v>
                </c:pt>
                <c:pt idx="49">
                  <c:v>0.10196078431372549</c:v>
                </c:pt>
                <c:pt idx="50">
                  <c:v>9.8039215686274508E-2</c:v>
                </c:pt>
                <c:pt idx="51">
                  <c:v>0.10588235294117647</c:v>
                </c:pt>
                <c:pt idx="52">
                  <c:v>9.8039215686274508E-2</c:v>
                </c:pt>
                <c:pt idx="53">
                  <c:v>9.0196078431372548E-2</c:v>
                </c:pt>
                <c:pt idx="54">
                  <c:v>8.2352941176470587E-2</c:v>
                </c:pt>
                <c:pt idx="55">
                  <c:v>8.2352941176470587E-2</c:v>
                </c:pt>
                <c:pt idx="56">
                  <c:v>8.2352941176470587E-2</c:v>
                </c:pt>
                <c:pt idx="57">
                  <c:v>6.2745098039215685E-2</c:v>
                </c:pt>
                <c:pt idx="58">
                  <c:v>8.2352941176470587E-2</c:v>
                </c:pt>
                <c:pt idx="59">
                  <c:v>7.4509803921568626E-2</c:v>
                </c:pt>
                <c:pt idx="60">
                  <c:v>7.4509803921568626E-2</c:v>
                </c:pt>
                <c:pt idx="61">
                  <c:v>6.6666666666666666E-2</c:v>
                </c:pt>
                <c:pt idx="62">
                  <c:v>6.2745098039215685E-2</c:v>
                </c:pt>
                <c:pt idx="63">
                  <c:v>6.2745098039215685E-2</c:v>
                </c:pt>
                <c:pt idx="64">
                  <c:v>4.7058823529411764E-2</c:v>
                </c:pt>
                <c:pt idx="65">
                  <c:v>5.8823529411764705E-2</c:v>
                </c:pt>
                <c:pt idx="66">
                  <c:v>5.8823529411764705E-2</c:v>
                </c:pt>
                <c:pt idx="67">
                  <c:v>5.8823529411764705E-2</c:v>
                </c:pt>
                <c:pt idx="68">
                  <c:v>5.0980392156862744E-2</c:v>
                </c:pt>
                <c:pt idx="69">
                  <c:v>5.0980392156862744E-2</c:v>
                </c:pt>
                <c:pt idx="70">
                  <c:v>4.3137254901960784E-2</c:v>
                </c:pt>
                <c:pt idx="71">
                  <c:v>4.3137254901960784E-2</c:v>
                </c:pt>
                <c:pt idx="72">
                  <c:v>4.3137254901960784E-2</c:v>
                </c:pt>
                <c:pt idx="73">
                  <c:v>4.3137254901960784E-2</c:v>
                </c:pt>
                <c:pt idx="74">
                  <c:v>3.5294117647058823E-2</c:v>
                </c:pt>
                <c:pt idx="75">
                  <c:v>3.5294117647058823E-2</c:v>
                </c:pt>
                <c:pt idx="76">
                  <c:v>3.5294117647058823E-2</c:v>
                </c:pt>
                <c:pt idx="77">
                  <c:v>3.1372549019607843E-2</c:v>
                </c:pt>
                <c:pt idx="78">
                  <c:v>3.5294117647058823E-2</c:v>
                </c:pt>
                <c:pt idx="79">
                  <c:v>2.3529411764705882E-2</c:v>
                </c:pt>
                <c:pt idx="80">
                  <c:v>1.5686274509803921E-2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data1!$E$1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data1!$E$2:$E$82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0.96078431372549022</c:v>
                </c:pt>
                <c:pt idx="15">
                  <c:v>0.86274509803921573</c:v>
                </c:pt>
                <c:pt idx="16">
                  <c:v>0.7686274509803922</c:v>
                </c:pt>
                <c:pt idx="17">
                  <c:v>0.69803921568627447</c:v>
                </c:pt>
                <c:pt idx="18">
                  <c:v>0.62745098039215685</c:v>
                </c:pt>
                <c:pt idx="19">
                  <c:v>0.56862745098039214</c:v>
                </c:pt>
                <c:pt idx="20">
                  <c:v>0.52156862745098043</c:v>
                </c:pt>
                <c:pt idx="21">
                  <c:v>0.47450980392156861</c:v>
                </c:pt>
                <c:pt idx="22">
                  <c:v>0.4392156862745098</c:v>
                </c:pt>
                <c:pt idx="23">
                  <c:v>0.40784313725490196</c:v>
                </c:pt>
                <c:pt idx="24">
                  <c:v>0.37254901960784315</c:v>
                </c:pt>
                <c:pt idx="25">
                  <c:v>0.34901960784313724</c:v>
                </c:pt>
                <c:pt idx="26">
                  <c:v>0.32156862745098042</c:v>
                </c:pt>
                <c:pt idx="27">
                  <c:v>0.30196078431372547</c:v>
                </c:pt>
                <c:pt idx="28">
                  <c:v>0.29411764705882354</c:v>
                </c:pt>
                <c:pt idx="29">
                  <c:v>0.27450980392156865</c:v>
                </c:pt>
                <c:pt idx="30">
                  <c:v>0.2627450980392157</c:v>
                </c:pt>
                <c:pt idx="31">
                  <c:v>0.24705882352941178</c:v>
                </c:pt>
                <c:pt idx="32">
                  <c:v>0.23921568627450981</c:v>
                </c:pt>
                <c:pt idx="33">
                  <c:v>0.2196078431372549</c:v>
                </c:pt>
                <c:pt idx="34">
                  <c:v>0.20392156862745098</c:v>
                </c:pt>
                <c:pt idx="35">
                  <c:v>0.19215686274509805</c:v>
                </c:pt>
                <c:pt idx="36">
                  <c:v>0.18431372549019609</c:v>
                </c:pt>
                <c:pt idx="37">
                  <c:v>0.1803921568627451</c:v>
                </c:pt>
                <c:pt idx="38">
                  <c:v>0.16862745098039217</c:v>
                </c:pt>
                <c:pt idx="39">
                  <c:v>0.16470588235294117</c:v>
                </c:pt>
                <c:pt idx="40">
                  <c:v>0.14509803921568629</c:v>
                </c:pt>
                <c:pt idx="41">
                  <c:v>0.13725490196078433</c:v>
                </c:pt>
                <c:pt idx="42">
                  <c:v>0.13333333333333333</c:v>
                </c:pt>
                <c:pt idx="43">
                  <c:v>0.12156862745098039</c:v>
                </c:pt>
                <c:pt idx="44">
                  <c:v>0.12156862745098039</c:v>
                </c:pt>
                <c:pt idx="45">
                  <c:v>0.10980392156862745</c:v>
                </c:pt>
                <c:pt idx="46">
                  <c:v>0.10588235294117647</c:v>
                </c:pt>
                <c:pt idx="47">
                  <c:v>0.10980392156862745</c:v>
                </c:pt>
                <c:pt idx="48">
                  <c:v>9.8039215686274508E-2</c:v>
                </c:pt>
                <c:pt idx="49">
                  <c:v>0.10196078431372549</c:v>
                </c:pt>
                <c:pt idx="50">
                  <c:v>9.8039215686274508E-2</c:v>
                </c:pt>
                <c:pt idx="51">
                  <c:v>7.4509803921568626E-2</c:v>
                </c:pt>
                <c:pt idx="52">
                  <c:v>9.0196078431372548E-2</c:v>
                </c:pt>
                <c:pt idx="53">
                  <c:v>8.2352941176470587E-2</c:v>
                </c:pt>
                <c:pt idx="54">
                  <c:v>7.0588235294117646E-2</c:v>
                </c:pt>
                <c:pt idx="55">
                  <c:v>6.6666666666666666E-2</c:v>
                </c:pt>
                <c:pt idx="56">
                  <c:v>7.4509803921568626E-2</c:v>
                </c:pt>
                <c:pt idx="57">
                  <c:v>7.0588235294117646E-2</c:v>
                </c:pt>
                <c:pt idx="58">
                  <c:v>5.0980392156862744E-2</c:v>
                </c:pt>
                <c:pt idx="59">
                  <c:v>6.2745098039215685E-2</c:v>
                </c:pt>
                <c:pt idx="60">
                  <c:v>6.6666666666666666E-2</c:v>
                </c:pt>
                <c:pt idx="61">
                  <c:v>4.7058823529411764E-2</c:v>
                </c:pt>
                <c:pt idx="62">
                  <c:v>5.0980392156862744E-2</c:v>
                </c:pt>
                <c:pt idx="63">
                  <c:v>6.6666666666666666E-2</c:v>
                </c:pt>
                <c:pt idx="64">
                  <c:v>4.7058823529411764E-2</c:v>
                </c:pt>
                <c:pt idx="65">
                  <c:v>4.7058823529411764E-2</c:v>
                </c:pt>
                <c:pt idx="66">
                  <c:v>5.4901960784313725E-2</c:v>
                </c:pt>
                <c:pt idx="67">
                  <c:v>5.0980392156862744E-2</c:v>
                </c:pt>
                <c:pt idx="68">
                  <c:v>2.7450980392156862E-2</c:v>
                </c:pt>
                <c:pt idx="69">
                  <c:v>2.7450980392156862E-2</c:v>
                </c:pt>
                <c:pt idx="70">
                  <c:v>3.5294117647058823E-2</c:v>
                </c:pt>
                <c:pt idx="71">
                  <c:v>5.0980392156862744E-2</c:v>
                </c:pt>
                <c:pt idx="72">
                  <c:v>3.5294117647058823E-2</c:v>
                </c:pt>
                <c:pt idx="73">
                  <c:v>3.5294117647058823E-2</c:v>
                </c:pt>
                <c:pt idx="74">
                  <c:v>4.3137254901960784E-2</c:v>
                </c:pt>
                <c:pt idx="75">
                  <c:v>3.1372549019607843E-2</c:v>
                </c:pt>
                <c:pt idx="76">
                  <c:v>1.9607843137254902E-2</c:v>
                </c:pt>
                <c:pt idx="77">
                  <c:v>2.3529411764705882E-2</c:v>
                </c:pt>
                <c:pt idx="78">
                  <c:v>1.9607843137254902E-2</c:v>
                </c:pt>
                <c:pt idx="79">
                  <c:v>2.3529411764705882E-2</c:v>
                </c:pt>
                <c:pt idx="80">
                  <c:v>3.1372549019607843E-2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data1!$F$1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data1!$F$2:$F$82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0.94901960784313721</c:v>
                </c:pt>
                <c:pt idx="15">
                  <c:v>0.85882352941176465</c:v>
                </c:pt>
                <c:pt idx="16">
                  <c:v>0.7686274509803922</c:v>
                </c:pt>
                <c:pt idx="17">
                  <c:v>0.68627450980392157</c:v>
                </c:pt>
                <c:pt idx="18">
                  <c:v>0.62352941176470589</c:v>
                </c:pt>
                <c:pt idx="19">
                  <c:v>0.5725490196078431</c:v>
                </c:pt>
                <c:pt idx="20">
                  <c:v>0.52941176470588236</c:v>
                </c:pt>
                <c:pt idx="21">
                  <c:v>0.4823529411764706</c:v>
                </c:pt>
                <c:pt idx="22">
                  <c:v>0.43529411764705883</c:v>
                </c:pt>
                <c:pt idx="23">
                  <c:v>0.41568627450980394</c:v>
                </c:pt>
                <c:pt idx="24">
                  <c:v>0.38039215686274508</c:v>
                </c:pt>
                <c:pt idx="25">
                  <c:v>0.34509803921568627</c:v>
                </c:pt>
                <c:pt idx="26">
                  <c:v>0.32549019607843138</c:v>
                </c:pt>
                <c:pt idx="27">
                  <c:v>0.31372549019607843</c:v>
                </c:pt>
                <c:pt idx="28">
                  <c:v>0.29019607843137257</c:v>
                </c:pt>
                <c:pt idx="29">
                  <c:v>0.27450980392156865</c:v>
                </c:pt>
                <c:pt idx="30">
                  <c:v>0.25882352941176473</c:v>
                </c:pt>
                <c:pt idx="31">
                  <c:v>0.24313725490196078</c:v>
                </c:pt>
                <c:pt idx="32">
                  <c:v>0.23529411764705882</c:v>
                </c:pt>
                <c:pt idx="33">
                  <c:v>0.22352941176470589</c:v>
                </c:pt>
                <c:pt idx="34">
                  <c:v>0.20392156862745098</c:v>
                </c:pt>
                <c:pt idx="35">
                  <c:v>0.19607843137254902</c:v>
                </c:pt>
                <c:pt idx="36">
                  <c:v>0.18431372549019609</c:v>
                </c:pt>
                <c:pt idx="37">
                  <c:v>0.18431372549019609</c:v>
                </c:pt>
                <c:pt idx="38">
                  <c:v>0.16862745098039217</c:v>
                </c:pt>
                <c:pt idx="39">
                  <c:v>0.16078431372549021</c:v>
                </c:pt>
                <c:pt idx="40">
                  <c:v>0.15294117647058825</c:v>
                </c:pt>
                <c:pt idx="41">
                  <c:v>0.14509803921568629</c:v>
                </c:pt>
                <c:pt idx="42">
                  <c:v>0.13725490196078433</c:v>
                </c:pt>
                <c:pt idx="43">
                  <c:v>0.13333333333333333</c:v>
                </c:pt>
                <c:pt idx="44">
                  <c:v>0.12156862745098039</c:v>
                </c:pt>
                <c:pt idx="45">
                  <c:v>0.11372549019607843</c:v>
                </c:pt>
                <c:pt idx="46">
                  <c:v>0.10588235294117647</c:v>
                </c:pt>
                <c:pt idx="47">
                  <c:v>0.10196078431372549</c:v>
                </c:pt>
                <c:pt idx="48">
                  <c:v>9.8039215686274508E-2</c:v>
                </c:pt>
                <c:pt idx="49">
                  <c:v>9.8039215686274508E-2</c:v>
                </c:pt>
                <c:pt idx="50">
                  <c:v>9.0196078431372548E-2</c:v>
                </c:pt>
                <c:pt idx="51">
                  <c:v>9.0196078431372548E-2</c:v>
                </c:pt>
                <c:pt idx="52">
                  <c:v>9.0196078431372548E-2</c:v>
                </c:pt>
                <c:pt idx="53">
                  <c:v>8.2352941176470587E-2</c:v>
                </c:pt>
                <c:pt idx="54">
                  <c:v>8.2352941176470587E-2</c:v>
                </c:pt>
                <c:pt idx="55">
                  <c:v>7.0588235294117646E-2</c:v>
                </c:pt>
                <c:pt idx="56">
                  <c:v>7.8431372549019607E-2</c:v>
                </c:pt>
                <c:pt idx="57">
                  <c:v>8.2352941176470587E-2</c:v>
                </c:pt>
                <c:pt idx="58">
                  <c:v>7.4509803921568626E-2</c:v>
                </c:pt>
                <c:pt idx="59">
                  <c:v>5.0980392156862744E-2</c:v>
                </c:pt>
                <c:pt idx="60">
                  <c:v>6.6666666666666666E-2</c:v>
                </c:pt>
                <c:pt idx="61">
                  <c:v>5.4901960784313725E-2</c:v>
                </c:pt>
                <c:pt idx="62">
                  <c:v>5.8823529411764705E-2</c:v>
                </c:pt>
                <c:pt idx="63">
                  <c:v>5.8823529411764705E-2</c:v>
                </c:pt>
                <c:pt idx="64">
                  <c:v>3.9215686274509803E-2</c:v>
                </c:pt>
                <c:pt idx="65">
                  <c:v>5.0980392156862744E-2</c:v>
                </c:pt>
                <c:pt idx="66">
                  <c:v>4.3137254901960784E-2</c:v>
                </c:pt>
                <c:pt idx="67">
                  <c:v>4.3137254901960784E-2</c:v>
                </c:pt>
                <c:pt idx="68">
                  <c:v>4.3137254901960784E-2</c:v>
                </c:pt>
                <c:pt idx="69">
                  <c:v>3.5294117647058823E-2</c:v>
                </c:pt>
                <c:pt idx="70">
                  <c:v>4.7058823529411764E-2</c:v>
                </c:pt>
                <c:pt idx="71">
                  <c:v>4.3137254901960784E-2</c:v>
                </c:pt>
                <c:pt idx="72">
                  <c:v>4.7058823529411764E-2</c:v>
                </c:pt>
                <c:pt idx="73">
                  <c:v>4.3137254901960784E-2</c:v>
                </c:pt>
                <c:pt idx="74">
                  <c:v>2.3529411764705882E-2</c:v>
                </c:pt>
                <c:pt idx="75">
                  <c:v>4.3137254901960784E-2</c:v>
                </c:pt>
                <c:pt idx="76">
                  <c:v>4.3137254901960784E-2</c:v>
                </c:pt>
                <c:pt idx="77">
                  <c:v>3.5294117647058823E-2</c:v>
                </c:pt>
                <c:pt idx="78">
                  <c:v>3.1372549019607843E-2</c:v>
                </c:pt>
                <c:pt idx="79">
                  <c:v>3.5294117647058823E-2</c:v>
                </c:pt>
                <c:pt idx="80">
                  <c:v>4.3137254901960784E-2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data1!$G$1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data1!$G$2:$G$82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0.95294117647058818</c:v>
                </c:pt>
                <c:pt idx="15">
                  <c:v>0.85882352941176465</c:v>
                </c:pt>
                <c:pt idx="16">
                  <c:v>0.7686274509803922</c:v>
                </c:pt>
                <c:pt idx="17">
                  <c:v>0.68627450980392157</c:v>
                </c:pt>
                <c:pt idx="18">
                  <c:v>0.62352941176470589</c:v>
                </c:pt>
                <c:pt idx="19">
                  <c:v>0.56862745098039214</c:v>
                </c:pt>
                <c:pt idx="20">
                  <c:v>0.51764705882352946</c:v>
                </c:pt>
                <c:pt idx="21">
                  <c:v>0.47450980392156861</c:v>
                </c:pt>
                <c:pt idx="22">
                  <c:v>0.42745098039215684</c:v>
                </c:pt>
                <c:pt idx="23">
                  <c:v>0.40784313725490196</c:v>
                </c:pt>
                <c:pt idx="24">
                  <c:v>0.34901960784313724</c:v>
                </c:pt>
                <c:pt idx="25">
                  <c:v>0.32156862745098042</c:v>
                </c:pt>
                <c:pt idx="26">
                  <c:v>0.31372549019607843</c:v>
                </c:pt>
                <c:pt idx="27">
                  <c:v>0.29803921568627451</c:v>
                </c:pt>
                <c:pt idx="28">
                  <c:v>0.27450980392156865</c:v>
                </c:pt>
                <c:pt idx="29">
                  <c:v>0.25882352941176473</c:v>
                </c:pt>
                <c:pt idx="30">
                  <c:v>0.25098039215686274</c:v>
                </c:pt>
                <c:pt idx="31">
                  <c:v>0.23921568627450981</c:v>
                </c:pt>
                <c:pt idx="32">
                  <c:v>0.22745098039215686</c:v>
                </c:pt>
                <c:pt idx="33">
                  <c:v>0.2</c:v>
                </c:pt>
                <c:pt idx="34">
                  <c:v>0.20392156862745098</c:v>
                </c:pt>
                <c:pt idx="35">
                  <c:v>0.19607843137254902</c:v>
                </c:pt>
                <c:pt idx="36">
                  <c:v>0.18431372549019609</c:v>
                </c:pt>
                <c:pt idx="37">
                  <c:v>0.17647058823529413</c:v>
                </c:pt>
                <c:pt idx="38">
                  <c:v>0.16078431372549021</c:v>
                </c:pt>
                <c:pt idx="39">
                  <c:v>0.16078431372549021</c:v>
                </c:pt>
                <c:pt idx="40">
                  <c:v>0.16078431372549021</c:v>
                </c:pt>
                <c:pt idx="41">
                  <c:v>0.14901960784313725</c:v>
                </c:pt>
                <c:pt idx="42">
                  <c:v>0.14117647058823529</c:v>
                </c:pt>
                <c:pt idx="43">
                  <c:v>0.13725490196078433</c:v>
                </c:pt>
                <c:pt idx="44">
                  <c:v>0.11764705882352941</c:v>
                </c:pt>
                <c:pt idx="45">
                  <c:v>0.11372549019607843</c:v>
                </c:pt>
                <c:pt idx="46">
                  <c:v>9.8039215686274508E-2</c:v>
                </c:pt>
                <c:pt idx="47">
                  <c:v>9.0196078431372548E-2</c:v>
                </c:pt>
                <c:pt idx="48">
                  <c:v>9.4117647058823528E-2</c:v>
                </c:pt>
                <c:pt idx="49">
                  <c:v>0.10588235294117647</c:v>
                </c:pt>
                <c:pt idx="50">
                  <c:v>8.2352941176470587E-2</c:v>
                </c:pt>
                <c:pt idx="51">
                  <c:v>9.8039215686274508E-2</c:v>
                </c:pt>
                <c:pt idx="52">
                  <c:v>9.4117647058823528E-2</c:v>
                </c:pt>
                <c:pt idx="53">
                  <c:v>7.8431372549019607E-2</c:v>
                </c:pt>
                <c:pt idx="54">
                  <c:v>7.0588235294117646E-2</c:v>
                </c:pt>
                <c:pt idx="55">
                  <c:v>9.0196078431372548E-2</c:v>
                </c:pt>
                <c:pt idx="56">
                  <c:v>6.2745098039215685E-2</c:v>
                </c:pt>
                <c:pt idx="57">
                  <c:v>6.6666666666666666E-2</c:v>
                </c:pt>
                <c:pt idx="58">
                  <c:v>7.4509803921568626E-2</c:v>
                </c:pt>
                <c:pt idx="59">
                  <c:v>5.4901960784313725E-2</c:v>
                </c:pt>
                <c:pt idx="60">
                  <c:v>5.4901960784313725E-2</c:v>
                </c:pt>
                <c:pt idx="61">
                  <c:v>4.7058823529411764E-2</c:v>
                </c:pt>
                <c:pt idx="62">
                  <c:v>5.0980392156862744E-2</c:v>
                </c:pt>
                <c:pt idx="63">
                  <c:v>4.3137254901960784E-2</c:v>
                </c:pt>
                <c:pt idx="64">
                  <c:v>3.9215686274509803E-2</c:v>
                </c:pt>
                <c:pt idx="65">
                  <c:v>3.5294117647058823E-2</c:v>
                </c:pt>
                <c:pt idx="66">
                  <c:v>3.9215686274509803E-2</c:v>
                </c:pt>
                <c:pt idx="67">
                  <c:v>2.7450980392156862E-2</c:v>
                </c:pt>
                <c:pt idx="68">
                  <c:v>3.5294117647058823E-2</c:v>
                </c:pt>
                <c:pt idx="69">
                  <c:v>2.7450980392156862E-2</c:v>
                </c:pt>
                <c:pt idx="70">
                  <c:v>2.3529411764705882E-2</c:v>
                </c:pt>
                <c:pt idx="71">
                  <c:v>3.1372549019607843E-2</c:v>
                </c:pt>
                <c:pt idx="72">
                  <c:v>2.3529411764705882E-2</c:v>
                </c:pt>
                <c:pt idx="73">
                  <c:v>2.3529411764705882E-2</c:v>
                </c:pt>
                <c:pt idx="74">
                  <c:v>2.3529411764705882E-2</c:v>
                </c:pt>
                <c:pt idx="75">
                  <c:v>1.5686274509803921E-2</c:v>
                </c:pt>
                <c:pt idx="76">
                  <c:v>2.7450980392156862E-2</c:v>
                </c:pt>
                <c:pt idx="77">
                  <c:v>1.9607843137254902E-2</c:v>
                </c:pt>
                <c:pt idx="78">
                  <c:v>1.9607843137254902E-2</c:v>
                </c:pt>
                <c:pt idx="79">
                  <c:v>1.5686274509803921E-2</c:v>
                </c:pt>
                <c:pt idx="80">
                  <c:v>1.5686274509803921E-2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data1!$H$1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data1!$H$2:$H$82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0.94117647058823528</c:v>
                </c:pt>
                <c:pt idx="15">
                  <c:v>0.83921568627450982</c:v>
                </c:pt>
                <c:pt idx="16">
                  <c:v>0.75294117647058822</c:v>
                </c:pt>
                <c:pt idx="17">
                  <c:v>0.67450980392156867</c:v>
                </c:pt>
                <c:pt idx="18">
                  <c:v>0.59607843137254901</c:v>
                </c:pt>
                <c:pt idx="19">
                  <c:v>0.5607843137254902</c:v>
                </c:pt>
                <c:pt idx="20">
                  <c:v>0.50980392156862742</c:v>
                </c:pt>
                <c:pt idx="21">
                  <c:v>0.45882352941176469</c:v>
                </c:pt>
                <c:pt idx="22">
                  <c:v>0.41960784313725491</c:v>
                </c:pt>
                <c:pt idx="23">
                  <c:v>0.396078431372549</c:v>
                </c:pt>
                <c:pt idx="24">
                  <c:v>0.36862745098039218</c:v>
                </c:pt>
                <c:pt idx="25">
                  <c:v>0.33333333333333331</c:v>
                </c:pt>
                <c:pt idx="26">
                  <c:v>0.30980392156862746</c:v>
                </c:pt>
                <c:pt idx="27">
                  <c:v>0.28235294117647058</c:v>
                </c:pt>
                <c:pt idx="28">
                  <c:v>0.25882352941176473</c:v>
                </c:pt>
                <c:pt idx="29">
                  <c:v>0.24313725490196078</c:v>
                </c:pt>
                <c:pt idx="30">
                  <c:v>0.22745098039215686</c:v>
                </c:pt>
                <c:pt idx="31">
                  <c:v>0.21568627450980393</c:v>
                </c:pt>
                <c:pt idx="32">
                  <c:v>0.20392156862745098</c:v>
                </c:pt>
                <c:pt idx="33">
                  <c:v>0.19215686274509805</c:v>
                </c:pt>
                <c:pt idx="34">
                  <c:v>0.17647058823529413</c:v>
                </c:pt>
                <c:pt idx="35">
                  <c:v>0.17647058823529413</c:v>
                </c:pt>
                <c:pt idx="36">
                  <c:v>0.16470588235294117</c:v>
                </c:pt>
                <c:pt idx="37">
                  <c:v>0.15686274509803921</c:v>
                </c:pt>
                <c:pt idx="38">
                  <c:v>0.14509803921568629</c:v>
                </c:pt>
                <c:pt idx="39">
                  <c:v>0.13725490196078433</c:v>
                </c:pt>
                <c:pt idx="40">
                  <c:v>0.12941176470588237</c:v>
                </c:pt>
                <c:pt idx="41">
                  <c:v>0.11764705882352941</c:v>
                </c:pt>
                <c:pt idx="42">
                  <c:v>0.10980392156862745</c:v>
                </c:pt>
                <c:pt idx="43">
                  <c:v>0.10196078431372549</c:v>
                </c:pt>
                <c:pt idx="44">
                  <c:v>0.10196078431372549</c:v>
                </c:pt>
                <c:pt idx="45">
                  <c:v>9.0196078431372548E-2</c:v>
                </c:pt>
                <c:pt idx="46">
                  <c:v>8.6274509803921567E-2</c:v>
                </c:pt>
                <c:pt idx="47">
                  <c:v>8.2352941176470587E-2</c:v>
                </c:pt>
                <c:pt idx="48">
                  <c:v>8.2352941176470587E-2</c:v>
                </c:pt>
                <c:pt idx="49">
                  <c:v>8.2352941176470587E-2</c:v>
                </c:pt>
                <c:pt idx="50">
                  <c:v>6.6666666666666666E-2</c:v>
                </c:pt>
                <c:pt idx="51">
                  <c:v>6.6666666666666666E-2</c:v>
                </c:pt>
                <c:pt idx="52">
                  <c:v>7.4509803921568626E-2</c:v>
                </c:pt>
                <c:pt idx="53">
                  <c:v>6.6666666666666666E-2</c:v>
                </c:pt>
                <c:pt idx="54">
                  <c:v>5.8823529411764705E-2</c:v>
                </c:pt>
                <c:pt idx="55">
                  <c:v>6.6666666666666666E-2</c:v>
                </c:pt>
                <c:pt idx="56">
                  <c:v>5.4901960784313725E-2</c:v>
                </c:pt>
                <c:pt idx="57">
                  <c:v>4.7058823529411764E-2</c:v>
                </c:pt>
                <c:pt idx="58">
                  <c:v>3.9215686274509803E-2</c:v>
                </c:pt>
                <c:pt idx="59">
                  <c:v>5.8823529411764705E-2</c:v>
                </c:pt>
                <c:pt idx="60">
                  <c:v>3.9215686274509803E-2</c:v>
                </c:pt>
                <c:pt idx="61">
                  <c:v>3.9215686274509803E-2</c:v>
                </c:pt>
                <c:pt idx="62">
                  <c:v>4.3137254901960784E-2</c:v>
                </c:pt>
                <c:pt idx="63">
                  <c:v>4.3137254901960784E-2</c:v>
                </c:pt>
                <c:pt idx="64">
                  <c:v>3.9215686274509803E-2</c:v>
                </c:pt>
                <c:pt idx="65">
                  <c:v>3.5294117647058823E-2</c:v>
                </c:pt>
                <c:pt idx="66">
                  <c:v>3.5294117647058823E-2</c:v>
                </c:pt>
                <c:pt idx="67">
                  <c:v>3.5294117647058823E-2</c:v>
                </c:pt>
                <c:pt idx="68">
                  <c:v>3.5294117647058823E-2</c:v>
                </c:pt>
                <c:pt idx="69">
                  <c:v>3.1372549019607843E-2</c:v>
                </c:pt>
                <c:pt idx="70">
                  <c:v>2.7450980392156862E-2</c:v>
                </c:pt>
                <c:pt idx="71">
                  <c:v>2.7450980392156862E-2</c:v>
                </c:pt>
                <c:pt idx="72">
                  <c:v>2.3529411764705882E-2</c:v>
                </c:pt>
                <c:pt idx="73">
                  <c:v>1.5686274509803921E-2</c:v>
                </c:pt>
                <c:pt idx="74">
                  <c:v>1.5686274509803921E-2</c:v>
                </c:pt>
                <c:pt idx="75">
                  <c:v>1.9607843137254902E-2</c:v>
                </c:pt>
                <c:pt idx="76">
                  <c:v>1.5686274509803921E-2</c:v>
                </c:pt>
                <c:pt idx="77">
                  <c:v>1.5686274509803921E-2</c:v>
                </c:pt>
                <c:pt idx="78">
                  <c:v>1.1764705882352941E-2</c:v>
                </c:pt>
                <c:pt idx="79">
                  <c:v>1.5686274509803921E-2</c:v>
                </c:pt>
                <c:pt idx="80">
                  <c:v>1.9607843137254902E-2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data1!$I$1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data1!$I$2:$I$82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0.94117647058823528</c:v>
                </c:pt>
                <c:pt idx="15">
                  <c:v>0.84705882352941175</c:v>
                </c:pt>
                <c:pt idx="16">
                  <c:v>0.76078431372549016</c:v>
                </c:pt>
                <c:pt idx="17">
                  <c:v>0.68235294117647061</c:v>
                </c:pt>
                <c:pt idx="18">
                  <c:v>0.61176470588235299</c:v>
                </c:pt>
                <c:pt idx="19">
                  <c:v>0.5490196078431373</c:v>
                </c:pt>
                <c:pt idx="20">
                  <c:v>0.49803921568627452</c:v>
                </c:pt>
                <c:pt idx="21">
                  <c:v>0.45882352941176469</c:v>
                </c:pt>
                <c:pt idx="22">
                  <c:v>0.41568627450980394</c:v>
                </c:pt>
                <c:pt idx="23">
                  <c:v>0.3843137254901961</c:v>
                </c:pt>
                <c:pt idx="24">
                  <c:v>0.35294117647058826</c:v>
                </c:pt>
                <c:pt idx="25">
                  <c:v>0.32156862745098042</c:v>
                </c:pt>
                <c:pt idx="26">
                  <c:v>0.29803921568627451</c:v>
                </c:pt>
                <c:pt idx="27">
                  <c:v>0.28235294117647058</c:v>
                </c:pt>
                <c:pt idx="28">
                  <c:v>0.26666666666666666</c:v>
                </c:pt>
                <c:pt idx="29">
                  <c:v>0.24705882352941178</c:v>
                </c:pt>
                <c:pt idx="30">
                  <c:v>0.23137254901960785</c:v>
                </c:pt>
                <c:pt idx="31">
                  <c:v>0.21568627450980393</c:v>
                </c:pt>
                <c:pt idx="32">
                  <c:v>0.2</c:v>
                </c:pt>
                <c:pt idx="33">
                  <c:v>0.1803921568627451</c:v>
                </c:pt>
                <c:pt idx="34">
                  <c:v>0.16862745098039217</c:v>
                </c:pt>
                <c:pt idx="35">
                  <c:v>0.16078431372549021</c:v>
                </c:pt>
                <c:pt idx="36">
                  <c:v>0.14901960784313725</c:v>
                </c:pt>
                <c:pt idx="37">
                  <c:v>0.13725490196078433</c:v>
                </c:pt>
                <c:pt idx="38">
                  <c:v>0.12941176470588237</c:v>
                </c:pt>
                <c:pt idx="39">
                  <c:v>0.12549019607843137</c:v>
                </c:pt>
                <c:pt idx="40">
                  <c:v>0.12156862745098039</c:v>
                </c:pt>
                <c:pt idx="41">
                  <c:v>0.11372549019607843</c:v>
                </c:pt>
                <c:pt idx="42">
                  <c:v>0.10980392156862745</c:v>
                </c:pt>
                <c:pt idx="43">
                  <c:v>0.10588235294117647</c:v>
                </c:pt>
                <c:pt idx="44">
                  <c:v>0.10588235294117647</c:v>
                </c:pt>
                <c:pt idx="45">
                  <c:v>9.8039215686274508E-2</c:v>
                </c:pt>
                <c:pt idx="46">
                  <c:v>9.8039215686274508E-2</c:v>
                </c:pt>
                <c:pt idx="47">
                  <c:v>9.0196078431372548E-2</c:v>
                </c:pt>
                <c:pt idx="48">
                  <c:v>8.6274509803921567E-2</c:v>
                </c:pt>
                <c:pt idx="49">
                  <c:v>8.2352941176470587E-2</c:v>
                </c:pt>
                <c:pt idx="50">
                  <c:v>8.2352941176470587E-2</c:v>
                </c:pt>
                <c:pt idx="51">
                  <c:v>8.2352941176470587E-2</c:v>
                </c:pt>
                <c:pt idx="52">
                  <c:v>8.6274509803921567E-2</c:v>
                </c:pt>
                <c:pt idx="53">
                  <c:v>7.0588235294117646E-2</c:v>
                </c:pt>
                <c:pt idx="54">
                  <c:v>7.4509803921568626E-2</c:v>
                </c:pt>
                <c:pt idx="55">
                  <c:v>6.6666666666666666E-2</c:v>
                </c:pt>
                <c:pt idx="56">
                  <c:v>7.4509803921568626E-2</c:v>
                </c:pt>
                <c:pt idx="57">
                  <c:v>6.2745098039215685E-2</c:v>
                </c:pt>
                <c:pt idx="58">
                  <c:v>5.8823529411764705E-2</c:v>
                </c:pt>
                <c:pt idx="59">
                  <c:v>5.8823529411764705E-2</c:v>
                </c:pt>
                <c:pt idx="60">
                  <c:v>5.8823529411764705E-2</c:v>
                </c:pt>
                <c:pt idx="61">
                  <c:v>5.4901960784313725E-2</c:v>
                </c:pt>
                <c:pt idx="62">
                  <c:v>4.7058823529411764E-2</c:v>
                </c:pt>
                <c:pt idx="63">
                  <c:v>4.3137254901960784E-2</c:v>
                </c:pt>
                <c:pt idx="64">
                  <c:v>4.7058823529411764E-2</c:v>
                </c:pt>
                <c:pt idx="65">
                  <c:v>5.0980392156862744E-2</c:v>
                </c:pt>
                <c:pt idx="66">
                  <c:v>3.9215686274509803E-2</c:v>
                </c:pt>
                <c:pt idx="67">
                  <c:v>3.9215686274509803E-2</c:v>
                </c:pt>
                <c:pt idx="68">
                  <c:v>4.3137254901960784E-2</c:v>
                </c:pt>
                <c:pt idx="69">
                  <c:v>3.5294117647058823E-2</c:v>
                </c:pt>
                <c:pt idx="70">
                  <c:v>3.5294117647058823E-2</c:v>
                </c:pt>
                <c:pt idx="71">
                  <c:v>3.5294117647058823E-2</c:v>
                </c:pt>
                <c:pt idx="72">
                  <c:v>4.3137254901960784E-2</c:v>
                </c:pt>
                <c:pt idx="73">
                  <c:v>4.3137254901960784E-2</c:v>
                </c:pt>
                <c:pt idx="74">
                  <c:v>3.9215686274509803E-2</c:v>
                </c:pt>
                <c:pt idx="75">
                  <c:v>3.1372549019607843E-2</c:v>
                </c:pt>
                <c:pt idx="76">
                  <c:v>2.7450980392156862E-2</c:v>
                </c:pt>
                <c:pt idx="77">
                  <c:v>2.7450980392156862E-2</c:v>
                </c:pt>
                <c:pt idx="78">
                  <c:v>2.3529411764705882E-2</c:v>
                </c:pt>
                <c:pt idx="79">
                  <c:v>2.7450980392156862E-2</c:v>
                </c:pt>
                <c:pt idx="80">
                  <c:v>1.9607843137254902E-2</c:v>
                </c:pt>
              </c:numCache>
            </c:numRef>
          </c:yVal>
          <c:smooth val="1"/>
        </c:ser>
        <c:axId val="135973888"/>
        <c:axId val="135987968"/>
      </c:scatterChart>
      <c:valAx>
        <c:axId val="135973888"/>
        <c:scaling>
          <c:orientation val="minMax"/>
        </c:scaling>
        <c:axPos val="b"/>
        <c:numFmt formatCode="0.0" sourceLinked="1"/>
        <c:tickLblPos val="nextTo"/>
        <c:crossAx val="135987968"/>
        <c:crosses val="autoZero"/>
        <c:crossBetween val="midCat"/>
      </c:valAx>
      <c:valAx>
        <c:axId val="135987968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3597388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data1!$J$2:$J$82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0.94117647058823528</c:v>
                </c:pt>
                <c:pt idx="15">
                  <c:v>0.83921568627450982</c:v>
                </c:pt>
                <c:pt idx="16">
                  <c:v>0.75294117647058822</c:v>
                </c:pt>
                <c:pt idx="17">
                  <c:v>0.67450980392156867</c:v>
                </c:pt>
                <c:pt idx="18">
                  <c:v>0.60392156862745094</c:v>
                </c:pt>
                <c:pt idx="19">
                  <c:v>0.55294117647058827</c:v>
                </c:pt>
                <c:pt idx="20">
                  <c:v>0.49803921568627452</c:v>
                </c:pt>
                <c:pt idx="21">
                  <c:v>0.45882352941176469</c:v>
                </c:pt>
                <c:pt idx="22">
                  <c:v>0.41960784313725491</c:v>
                </c:pt>
                <c:pt idx="23">
                  <c:v>0.38823529411764707</c:v>
                </c:pt>
                <c:pt idx="24">
                  <c:v>0.35686274509803922</c:v>
                </c:pt>
                <c:pt idx="25">
                  <c:v>0.32941176470588235</c:v>
                </c:pt>
                <c:pt idx="26">
                  <c:v>0.30588235294117649</c:v>
                </c:pt>
                <c:pt idx="27">
                  <c:v>0.28235294117647058</c:v>
                </c:pt>
                <c:pt idx="28">
                  <c:v>0.26666666666666666</c:v>
                </c:pt>
                <c:pt idx="29">
                  <c:v>0.24705882352941178</c:v>
                </c:pt>
                <c:pt idx="30">
                  <c:v>0.23137254901960785</c:v>
                </c:pt>
                <c:pt idx="31">
                  <c:v>0.22352941176470589</c:v>
                </c:pt>
                <c:pt idx="32">
                  <c:v>0.20784313725490197</c:v>
                </c:pt>
                <c:pt idx="33">
                  <c:v>0.19215686274509805</c:v>
                </c:pt>
                <c:pt idx="34">
                  <c:v>0.18431372549019609</c:v>
                </c:pt>
                <c:pt idx="35">
                  <c:v>0.17647058823529413</c:v>
                </c:pt>
                <c:pt idx="36">
                  <c:v>0.16078431372549021</c:v>
                </c:pt>
                <c:pt idx="37">
                  <c:v>0.14901960784313725</c:v>
                </c:pt>
                <c:pt idx="38">
                  <c:v>0.13725490196078433</c:v>
                </c:pt>
                <c:pt idx="39">
                  <c:v>0.13725490196078433</c:v>
                </c:pt>
                <c:pt idx="40">
                  <c:v>0.12156862745098039</c:v>
                </c:pt>
                <c:pt idx="41">
                  <c:v>0.12156862745098039</c:v>
                </c:pt>
                <c:pt idx="42">
                  <c:v>0.11372549019607843</c:v>
                </c:pt>
                <c:pt idx="43">
                  <c:v>0.11372549019607843</c:v>
                </c:pt>
                <c:pt idx="44">
                  <c:v>9.8039215686274508E-2</c:v>
                </c:pt>
                <c:pt idx="45">
                  <c:v>9.8039215686274508E-2</c:v>
                </c:pt>
                <c:pt idx="46">
                  <c:v>9.0196078431372548E-2</c:v>
                </c:pt>
                <c:pt idx="47">
                  <c:v>8.6274509803921567E-2</c:v>
                </c:pt>
                <c:pt idx="48">
                  <c:v>9.0196078431372548E-2</c:v>
                </c:pt>
                <c:pt idx="49">
                  <c:v>8.2352941176470587E-2</c:v>
                </c:pt>
                <c:pt idx="50">
                  <c:v>9.4117647058823528E-2</c:v>
                </c:pt>
                <c:pt idx="51">
                  <c:v>9.4117647058823528E-2</c:v>
                </c:pt>
                <c:pt idx="52">
                  <c:v>9.0196078431372548E-2</c:v>
                </c:pt>
                <c:pt idx="53">
                  <c:v>9.8039215686274508E-2</c:v>
                </c:pt>
                <c:pt idx="54">
                  <c:v>6.6666666666666666E-2</c:v>
                </c:pt>
                <c:pt idx="55">
                  <c:v>7.4509803921568626E-2</c:v>
                </c:pt>
                <c:pt idx="56">
                  <c:v>7.8431372549019607E-2</c:v>
                </c:pt>
                <c:pt idx="57">
                  <c:v>8.2352941176470587E-2</c:v>
                </c:pt>
                <c:pt idx="58">
                  <c:v>7.0588235294117646E-2</c:v>
                </c:pt>
                <c:pt idx="59">
                  <c:v>7.4509803921568626E-2</c:v>
                </c:pt>
                <c:pt idx="60">
                  <c:v>7.4509803921568626E-2</c:v>
                </c:pt>
                <c:pt idx="61">
                  <c:v>4.7058823529411764E-2</c:v>
                </c:pt>
                <c:pt idx="62">
                  <c:v>4.7058823529411764E-2</c:v>
                </c:pt>
                <c:pt idx="63">
                  <c:v>3.9215686274509803E-2</c:v>
                </c:pt>
                <c:pt idx="64">
                  <c:v>3.9215686274509803E-2</c:v>
                </c:pt>
                <c:pt idx="65">
                  <c:v>4.7058823529411764E-2</c:v>
                </c:pt>
                <c:pt idx="66">
                  <c:v>5.0980392156862744E-2</c:v>
                </c:pt>
                <c:pt idx="67">
                  <c:v>3.5294117647058823E-2</c:v>
                </c:pt>
                <c:pt idx="68">
                  <c:v>4.3137254901960784E-2</c:v>
                </c:pt>
                <c:pt idx="69">
                  <c:v>5.4901960784313725E-2</c:v>
                </c:pt>
                <c:pt idx="70">
                  <c:v>3.5294117647058823E-2</c:v>
                </c:pt>
                <c:pt idx="71">
                  <c:v>4.3137254901960784E-2</c:v>
                </c:pt>
                <c:pt idx="72">
                  <c:v>1.9607843137254902E-2</c:v>
                </c:pt>
                <c:pt idx="73">
                  <c:v>1.9607843137254902E-2</c:v>
                </c:pt>
                <c:pt idx="74">
                  <c:v>2.3529411764705882E-2</c:v>
                </c:pt>
                <c:pt idx="75">
                  <c:v>1.9607843137254902E-2</c:v>
                </c:pt>
                <c:pt idx="76">
                  <c:v>1.5686274509803921E-2</c:v>
                </c:pt>
                <c:pt idx="77">
                  <c:v>3.5294117647058823E-2</c:v>
                </c:pt>
                <c:pt idx="78">
                  <c:v>1.9607843137254902E-2</c:v>
                </c:pt>
                <c:pt idx="79">
                  <c:v>3.1372549019607843E-2</c:v>
                </c:pt>
                <c:pt idx="80">
                  <c:v>2.7450980392156862E-2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data1!$K$1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data1!$K$2:$K$82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0.93725490196078431</c:v>
                </c:pt>
                <c:pt idx="15">
                  <c:v>0.85098039215686272</c:v>
                </c:pt>
                <c:pt idx="16">
                  <c:v>0.7686274509803922</c:v>
                </c:pt>
                <c:pt idx="17">
                  <c:v>0.69019607843137254</c:v>
                </c:pt>
                <c:pt idx="18">
                  <c:v>0.61568627450980395</c:v>
                </c:pt>
                <c:pt idx="19">
                  <c:v>0.55294117647058827</c:v>
                </c:pt>
                <c:pt idx="20">
                  <c:v>0.51764705882352946</c:v>
                </c:pt>
                <c:pt idx="21">
                  <c:v>0.47058823529411764</c:v>
                </c:pt>
                <c:pt idx="22">
                  <c:v>0.43529411764705883</c:v>
                </c:pt>
                <c:pt idx="23">
                  <c:v>0.38823529411764707</c:v>
                </c:pt>
                <c:pt idx="24">
                  <c:v>0.35294117647058826</c:v>
                </c:pt>
                <c:pt idx="25">
                  <c:v>0.32549019607843138</c:v>
                </c:pt>
                <c:pt idx="26">
                  <c:v>0.29019607843137257</c:v>
                </c:pt>
                <c:pt idx="27">
                  <c:v>0.28235294117647058</c:v>
                </c:pt>
                <c:pt idx="28">
                  <c:v>0.27058823529411763</c:v>
                </c:pt>
                <c:pt idx="29">
                  <c:v>0.2627450980392157</c:v>
                </c:pt>
                <c:pt idx="30">
                  <c:v>0.23921568627450981</c:v>
                </c:pt>
                <c:pt idx="31">
                  <c:v>0.21568627450980393</c:v>
                </c:pt>
                <c:pt idx="32">
                  <c:v>0.21568627450980393</c:v>
                </c:pt>
                <c:pt idx="33">
                  <c:v>0.18431372549019609</c:v>
                </c:pt>
                <c:pt idx="34">
                  <c:v>0.18431372549019609</c:v>
                </c:pt>
                <c:pt idx="35">
                  <c:v>0.16862745098039217</c:v>
                </c:pt>
                <c:pt idx="36">
                  <c:v>0.15294117647058825</c:v>
                </c:pt>
                <c:pt idx="37">
                  <c:v>0.15294117647058825</c:v>
                </c:pt>
                <c:pt idx="38">
                  <c:v>0.14117647058823529</c:v>
                </c:pt>
                <c:pt idx="39">
                  <c:v>0.12941176470588237</c:v>
                </c:pt>
                <c:pt idx="40">
                  <c:v>0.12549019607843137</c:v>
                </c:pt>
                <c:pt idx="41">
                  <c:v>0.11764705882352941</c:v>
                </c:pt>
                <c:pt idx="42">
                  <c:v>0.11372549019607843</c:v>
                </c:pt>
                <c:pt idx="43">
                  <c:v>0.12156862745098039</c:v>
                </c:pt>
                <c:pt idx="44">
                  <c:v>0.10588235294117647</c:v>
                </c:pt>
                <c:pt idx="45">
                  <c:v>9.8039215686274508E-2</c:v>
                </c:pt>
                <c:pt idx="46">
                  <c:v>9.0196078431372548E-2</c:v>
                </c:pt>
                <c:pt idx="47">
                  <c:v>9.0196078431372548E-2</c:v>
                </c:pt>
                <c:pt idx="48">
                  <c:v>9.0196078431372548E-2</c:v>
                </c:pt>
                <c:pt idx="49">
                  <c:v>9.0196078431372548E-2</c:v>
                </c:pt>
                <c:pt idx="50">
                  <c:v>7.8431372549019607E-2</c:v>
                </c:pt>
                <c:pt idx="51">
                  <c:v>8.6274509803921567E-2</c:v>
                </c:pt>
                <c:pt idx="52">
                  <c:v>7.4509803921568626E-2</c:v>
                </c:pt>
                <c:pt idx="53">
                  <c:v>7.4509803921568626E-2</c:v>
                </c:pt>
                <c:pt idx="54">
                  <c:v>7.8431372549019607E-2</c:v>
                </c:pt>
                <c:pt idx="55">
                  <c:v>6.6666666666666666E-2</c:v>
                </c:pt>
                <c:pt idx="56">
                  <c:v>6.6666666666666666E-2</c:v>
                </c:pt>
                <c:pt idx="57">
                  <c:v>5.8823529411764705E-2</c:v>
                </c:pt>
                <c:pt idx="58">
                  <c:v>5.8823529411764705E-2</c:v>
                </c:pt>
                <c:pt idx="59">
                  <c:v>5.8823529411764705E-2</c:v>
                </c:pt>
                <c:pt idx="60">
                  <c:v>6.6666666666666666E-2</c:v>
                </c:pt>
                <c:pt idx="61">
                  <c:v>5.0980392156862744E-2</c:v>
                </c:pt>
                <c:pt idx="62">
                  <c:v>6.2745098039215685E-2</c:v>
                </c:pt>
                <c:pt idx="63">
                  <c:v>6.2745098039215685E-2</c:v>
                </c:pt>
                <c:pt idx="64">
                  <c:v>6.2745098039215685E-2</c:v>
                </c:pt>
                <c:pt idx="65">
                  <c:v>5.8823529411764705E-2</c:v>
                </c:pt>
                <c:pt idx="66">
                  <c:v>5.8823529411764705E-2</c:v>
                </c:pt>
                <c:pt idx="67">
                  <c:v>3.9215686274509803E-2</c:v>
                </c:pt>
                <c:pt idx="68">
                  <c:v>5.0980392156862744E-2</c:v>
                </c:pt>
                <c:pt idx="69">
                  <c:v>4.7058823529411764E-2</c:v>
                </c:pt>
                <c:pt idx="70">
                  <c:v>5.0980392156862744E-2</c:v>
                </c:pt>
                <c:pt idx="71">
                  <c:v>5.0980392156862744E-2</c:v>
                </c:pt>
                <c:pt idx="72">
                  <c:v>3.9215686274509803E-2</c:v>
                </c:pt>
                <c:pt idx="73">
                  <c:v>3.1372549019607843E-2</c:v>
                </c:pt>
                <c:pt idx="74">
                  <c:v>3.9215686274509803E-2</c:v>
                </c:pt>
                <c:pt idx="75">
                  <c:v>1.9607843137254902E-2</c:v>
                </c:pt>
                <c:pt idx="76">
                  <c:v>2.7450980392156862E-2</c:v>
                </c:pt>
                <c:pt idx="77">
                  <c:v>2.3529411764705882E-2</c:v>
                </c:pt>
                <c:pt idx="78">
                  <c:v>2.3529411764705882E-2</c:v>
                </c:pt>
                <c:pt idx="79">
                  <c:v>2.3529411764705882E-2</c:v>
                </c:pt>
                <c:pt idx="80">
                  <c:v>1.9607843137254902E-2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data1!$L$1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data1!$L$2:$L$82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0.94509803921568625</c:v>
                </c:pt>
                <c:pt idx="15">
                  <c:v>0.85490196078431369</c:v>
                </c:pt>
                <c:pt idx="16">
                  <c:v>0.77647058823529413</c:v>
                </c:pt>
                <c:pt idx="17">
                  <c:v>0.69019607843137254</c:v>
                </c:pt>
                <c:pt idx="18">
                  <c:v>0.62352941176470589</c:v>
                </c:pt>
                <c:pt idx="19">
                  <c:v>0.56862745098039214</c:v>
                </c:pt>
                <c:pt idx="20">
                  <c:v>0.52156862745098043</c:v>
                </c:pt>
                <c:pt idx="21">
                  <c:v>0.47843137254901963</c:v>
                </c:pt>
                <c:pt idx="22">
                  <c:v>0.43529411764705883</c:v>
                </c:pt>
                <c:pt idx="23">
                  <c:v>0.396078431372549</c:v>
                </c:pt>
                <c:pt idx="24">
                  <c:v>0.36862745098039218</c:v>
                </c:pt>
                <c:pt idx="25">
                  <c:v>0.35294117647058826</c:v>
                </c:pt>
                <c:pt idx="26">
                  <c:v>0.31764705882352939</c:v>
                </c:pt>
                <c:pt idx="27">
                  <c:v>0.30588235294117649</c:v>
                </c:pt>
                <c:pt idx="28">
                  <c:v>0.27843137254901962</c:v>
                </c:pt>
                <c:pt idx="29">
                  <c:v>0.25098039215686274</c:v>
                </c:pt>
                <c:pt idx="30">
                  <c:v>0.23921568627450981</c:v>
                </c:pt>
                <c:pt idx="31">
                  <c:v>0.22745098039215686</c:v>
                </c:pt>
                <c:pt idx="32">
                  <c:v>0.22352941176470589</c:v>
                </c:pt>
                <c:pt idx="33">
                  <c:v>0.19215686274509805</c:v>
                </c:pt>
                <c:pt idx="34">
                  <c:v>0.19215686274509805</c:v>
                </c:pt>
                <c:pt idx="35">
                  <c:v>0.1803921568627451</c:v>
                </c:pt>
                <c:pt idx="36">
                  <c:v>0.17254901960784313</c:v>
                </c:pt>
                <c:pt idx="37">
                  <c:v>0.16470588235294117</c:v>
                </c:pt>
                <c:pt idx="38">
                  <c:v>0.16470588235294117</c:v>
                </c:pt>
                <c:pt idx="39">
                  <c:v>0.14901960784313725</c:v>
                </c:pt>
                <c:pt idx="40">
                  <c:v>0.14509803921568629</c:v>
                </c:pt>
                <c:pt idx="41">
                  <c:v>0.13725490196078433</c:v>
                </c:pt>
                <c:pt idx="42">
                  <c:v>0.12941176470588237</c:v>
                </c:pt>
                <c:pt idx="43">
                  <c:v>0.12549019607843137</c:v>
                </c:pt>
                <c:pt idx="44">
                  <c:v>0.11372549019607843</c:v>
                </c:pt>
                <c:pt idx="45">
                  <c:v>0.10588235294117647</c:v>
                </c:pt>
                <c:pt idx="46">
                  <c:v>0.10588235294117647</c:v>
                </c:pt>
                <c:pt idx="47">
                  <c:v>9.8039215686274508E-2</c:v>
                </c:pt>
                <c:pt idx="48">
                  <c:v>0.10196078431372549</c:v>
                </c:pt>
                <c:pt idx="49">
                  <c:v>9.0196078431372548E-2</c:v>
                </c:pt>
                <c:pt idx="50">
                  <c:v>9.4117647058823528E-2</c:v>
                </c:pt>
                <c:pt idx="51">
                  <c:v>8.6274509803921567E-2</c:v>
                </c:pt>
                <c:pt idx="52">
                  <c:v>9.0196078431372548E-2</c:v>
                </c:pt>
                <c:pt idx="53">
                  <c:v>9.0196078431372548E-2</c:v>
                </c:pt>
                <c:pt idx="54">
                  <c:v>8.2352941176470587E-2</c:v>
                </c:pt>
                <c:pt idx="55">
                  <c:v>6.6666666666666666E-2</c:v>
                </c:pt>
                <c:pt idx="56">
                  <c:v>6.2745098039215685E-2</c:v>
                </c:pt>
                <c:pt idx="57">
                  <c:v>5.0980392156862744E-2</c:v>
                </c:pt>
                <c:pt idx="58">
                  <c:v>5.0980392156862744E-2</c:v>
                </c:pt>
                <c:pt idx="59">
                  <c:v>4.7058823529411764E-2</c:v>
                </c:pt>
                <c:pt idx="60">
                  <c:v>6.2745098039215685E-2</c:v>
                </c:pt>
                <c:pt idx="61">
                  <c:v>4.3137254901960784E-2</c:v>
                </c:pt>
                <c:pt idx="62">
                  <c:v>6.6666666666666666E-2</c:v>
                </c:pt>
                <c:pt idx="63">
                  <c:v>6.6666666666666666E-2</c:v>
                </c:pt>
                <c:pt idx="64">
                  <c:v>5.8823529411764705E-2</c:v>
                </c:pt>
                <c:pt idx="65">
                  <c:v>6.2745098039215685E-2</c:v>
                </c:pt>
                <c:pt idx="66">
                  <c:v>4.3137254901960784E-2</c:v>
                </c:pt>
                <c:pt idx="67">
                  <c:v>6.6666666666666666E-2</c:v>
                </c:pt>
                <c:pt idx="68">
                  <c:v>5.8823529411764705E-2</c:v>
                </c:pt>
                <c:pt idx="69">
                  <c:v>5.0980392156862744E-2</c:v>
                </c:pt>
                <c:pt idx="70">
                  <c:v>5.4901960784313725E-2</c:v>
                </c:pt>
                <c:pt idx="71">
                  <c:v>5.0980392156862744E-2</c:v>
                </c:pt>
                <c:pt idx="72">
                  <c:v>5.0980392156862744E-2</c:v>
                </c:pt>
                <c:pt idx="73">
                  <c:v>5.0980392156862744E-2</c:v>
                </c:pt>
                <c:pt idx="74">
                  <c:v>4.3137254901960784E-2</c:v>
                </c:pt>
                <c:pt idx="75">
                  <c:v>4.3137254901960784E-2</c:v>
                </c:pt>
                <c:pt idx="76">
                  <c:v>4.3137254901960784E-2</c:v>
                </c:pt>
                <c:pt idx="77">
                  <c:v>1.5686274509803921E-2</c:v>
                </c:pt>
                <c:pt idx="78">
                  <c:v>1.9607843137254902E-2</c:v>
                </c:pt>
                <c:pt idx="79">
                  <c:v>3.5294117647058823E-2</c:v>
                </c:pt>
                <c:pt idx="80">
                  <c:v>1.5686274509803921E-2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data1!$M$1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data1!$M$2:$M$82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0.93333333333333335</c:v>
                </c:pt>
                <c:pt idx="15">
                  <c:v>0.83529411764705885</c:v>
                </c:pt>
                <c:pt idx="16">
                  <c:v>0.75294117647058822</c:v>
                </c:pt>
                <c:pt idx="17">
                  <c:v>0.6705882352941176</c:v>
                </c:pt>
                <c:pt idx="18">
                  <c:v>0.60392156862745094</c:v>
                </c:pt>
                <c:pt idx="19">
                  <c:v>0.54509803921568623</c:v>
                </c:pt>
                <c:pt idx="20">
                  <c:v>0.49803921568627452</c:v>
                </c:pt>
                <c:pt idx="21">
                  <c:v>0.45490196078431372</c:v>
                </c:pt>
                <c:pt idx="22">
                  <c:v>0.41568627450980394</c:v>
                </c:pt>
                <c:pt idx="23">
                  <c:v>0.38823529411764707</c:v>
                </c:pt>
                <c:pt idx="24">
                  <c:v>0.35294117647058826</c:v>
                </c:pt>
                <c:pt idx="25">
                  <c:v>0.31764705882352939</c:v>
                </c:pt>
                <c:pt idx="26">
                  <c:v>0.29019607843137257</c:v>
                </c:pt>
                <c:pt idx="27">
                  <c:v>0.27058823529411763</c:v>
                </c:pt>
                <c:pt idx="28">
                  <c:v>0.25490196078431371</c:v>
                </c:pt>
                <c:pt idx="29">
                  <c:v>0.24313725490196078</c:v>
                </c:pt>
                <c:pt idx="30">
                  <c:v>0.22352941176470589</c:v>
                </c:pt>
                <c:pt idx="31">
                  <c:v>0.21176470588235294</c:v>
                </c:pt>
                <c:pt idx="32">
                  <c:v>0.19607843137254902</c:v>
                </c:pt>
                <c:pt idx="33">
                  <c:v>0.18431372549019609</c:v>
                </c:pt>
                <c:pt idx="34">
                  <c:v>0.16862745098039217</c:v>
                </c:pt>
                <c:pt idx="35">
                  <c:v>0.16862745098039217</c:v>
                </c:pt>
                <c:pt idx="36">
                  <c:v>0.16078431372549021</c:v>
                </c:pt>
                <c:pt idx="37">
                  <c:v>0.15294117647058825</c:v>
                </c:pt>
                <c:pt idx="38">
                  <c:v>0.14509803921568629</c:v>
                </c:pt>
                <c:pt idx="39">
                  <c:v>0.14117647058823529</c:v>
                </c:pt>
                <c:pt idx="40">
                  <c:v>0.13333333333333333</c:v>
                </c:pt>
                <c:pt idx="41">
                  <c:v>0.12156862745098039</c:v>
                </c:pt>
                <c:pt idx="42">
                  <c:v>0.11372549019607843</c:v>
                </c:pt>
                <c:pt idx="43">
                  <c:v>0.11372549019607843</c:v>
                </c:pt>
                <c:pt idx="44">
                  <c:v>0.11372549019607843</c:v>
                </c:pt>
                <c:pt idx="45">
                  <c:v>0.10980392156862745</c:v>
                </c:pt>
                <c:pt idx="46">
                  <c:v>0.10588235294117647</c:v>
                </c:pt>
                <c:pt idx="47">
                  <c:v>9.4117647058823528E-2</c:v>
                </c:pt>
                <c:pt idx="48">
                  <c:v>9.4117647058823528E-2</c:v>
                </c:pt>
                <c:pt idx="49">
                  <c:v>9.0196078431372548E-2</c:v>
                </c:pt>
                <c:pt idx="50">
                  <c:v>8.2352941176470587E-2</c:v>
                </c:pt>
                <c:pt idx="51">
                  <c:v>8.2352941176470587E-2</c:v>
                </c:pt>
                <c:pt idx="52">
                  <c:v>7.4509803921568626E-2</c:v>
                </c:pt>
                <c:pt idx="53">
                  <c:v>8.6274509803921567E-2</c:v>
                </c:pt>
                <c:pt idx="54">
                  <c:v>7.0588235294117646E-2</c:v>
                </c:pt>
                <c:pt idx="55">
                  <c:v>6.6666666666666666E-2</c:v>
                </c:pt>
                <c:pt idx="56">
                  <c:v>7.8431372549019607E-2</c:v>
                </c:pt>
                <c:pt idx="57">
                  <c:v>6.6666666666666666E-2</c:v>
                </c:pt>
                <c:pt idx="58">
                  <c:v>7.4509803921568626E-2</c:v>
                </c:pt>
                <c:pt idx="59">
                  <c:v>5.4901960784313725E-2</c:v>
                </c:pt>
                <c:pt idx="60">
                  <c:v>6.6666666666666666E-2</c:v>
                </c:pt>
                <c:pt idx="61">
                  <c:v>5.8823529411764705E-2</c:v>
                </c:pt>
                <c:pt idx="62">
                  <c:v>5.0980392156862744E-2</c:v>
                </c:pt>
                <c:pt idx="63">
                  <c:v>5.0980392156862744E-2</c:v>
                </c:pt>
                <c:pt idx="64">
                  <c:v>4.7058823529411764E-2</c:v>
                </c:pt>
                <c:pt idx="65">
                  <c:v>5.0980392156862744E-2</c:v>
                </c:pt>
                <c:pt idx="66">
                  <c:v>4.3137254901960784E-2</c:v>
                </c:pt>
                <c:pt idx="67">
                  <c:v>3.9215686274509803E-2</c:v>
                </c:pt>
                <c:pt idx="68">
                  <c:v>4.7058823529411764E-2</c:v>
                </c:pt>
                <c:pt idx="69">
                  <c:v>3.5294117647058823E-2</c:v>
                </c:pt>
                <c:pt idx="70">
                  <c:v>3.1372549019607843E-2</c:v>
                </c:pt>
                <c:pt idx="71">
                  <c:v>4.3137254901960784E-2</c:v>
                </c:pt>
                <c:pt idx="72">
                  <c:v>3.1372549019607843E-2</c:v>
                </c:pt>
                <c:pt idx="73">
                  <c:v>3.1372549019607843E-2</c:v>
                </c:pt>
                <c:pt idx="74">
                  <c:v>2.7450980392156862E-2</c:v>
                </c:pt>
                <c:pt idx="75">
                  <c:v>2.7450980392156862E-2</c:v>
                </c:pt>
                <c:pt idx="76">
                  <c:v>3.1372549019607843E-2</c:v>
                </c:pt>
                <c:pt idx="77">
                  <c:v>2.7450980392156862E-2</c:v>
                </c:pt>
                <c:pt idx="78">
                  <c:v>2.7450980392156862E-2</c:v>
                </c:pt>
                <c:pt idx="79">
                  <c:v>2.3529411764705882E-2</c:v>
                </c:pt>
                <c:pt idx="80">
                  <c:v>1.9607843137254902E-2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data1!$N$1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data1!$N$2:$N$82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0.93333333333333335</c:v>
                </c:pt>
                <c:pt idx="15">
                  <c:v>0.83921568627450982</c:v>
                </c:pt>
                <c:pt idx="16">
                  <c:v>0.74509803921568629</c:v>
                </c:pt>
                <c:pt idx="17">
                  <c:v>0.6705882352941176</c:v>
                </c:pt>
                <c:pt idx="18">
                  <c:v>0.60392156862745094</c:v>
                </c:pt>
                <c:pt idx="19">
                  <c:v>0.54509803921568623</c:v>
                </c:pt>
                <c:pt idx="20">
                  <c:v>0.50196078431372548</c:v>
                </c:pt>
                <c:pt idx="21">
                  <c:v>0.45882352941176469</c:v>
                </c:pt>
                <c:pt idx="22">
                  <c:v>0.41960784313725491</c:v>
                </c:pt>
                <c:pt idx="23">
                  <c:v>0.3843137254901961</c:v>
                </c:pt>
                <c:pt idx="24">
                  <c:v>0.35686274509803922</c:v>
                </c:pt>
                <c:pt idx="25">
                  <c:v>0.32941176470588235</c:v>
                </c:pt>
                <c:pt idx="26">
                  <c:v>0.30588235294117649</c:v>
                </c:pt>
                <c:pt idx="27">
                  <c:v>0.29019607843137257</c:v>
                </c:pt>
                <c:pt idx="28">
                  <c:v>0.2627450980392157</c:v>
                </c:pt>
                <c:pt idx="29">
                  <c:v>0.25098039215686274</c:v>
                </c:pt>
                <c:pt idx="30">
                  <c:v>0.23137254901960785</c:v>
                </c:pt>
                <c:pt idx="31">
                  <c:v>0.21176470588235294</c:v>
                </c:pt>
                <c:pt idx="32">
                  <c:v>0.19607843137254902</c:v>
                </c:pt>
                <c:pt idx="33">
                  <c:v>0.18431372549019609</c:v>
                </c:pt>
                <c:pt idx="34">
                  <c:v>0.16862745098039217</c:v>
                </c:pt>
                <c:pt idx="35">
                  <c:v>0.16078431372549021</c:v>
                </c:pt>
                <c:pt idx="36">
                  <c:v>0.15686274509803921</c:v>
                </c:pt>
                <c:pt idx="37">
                  <c:v>0.14509803921568629</c:v>
                </c:pt>
                <c:pt idx="38">
                  <c:v>0.14509803921568629</c:v>
                </c:pt>
                <c:pt idx="39">
                  <c:v>0.12941176470588237</c:v>
                </c:pt>
                <c:pt idx="40">
                  <c:v>0.12156862745098039</c:v>
                </c:pt>
                <c:pt idx="41">
                  <c:v>0.12156862745098039</c:v>
                </c:pt>
                <c:pt idx="42">
                  <c:v>0.10588235294117647</c:v>
                </c:pt>
                <c:pt idx="43">
                  <c:v>9.8039215686274508E-2</c:v>
                </c:pt>
                <c:pt idx="44">
                  <c:v>9.8039215686274508E-2</c:v>
                </c:pt>
                <c:pt idx="45">
                  <c:v>9.0196078431372548E-2</c:v>
                </c:pt>
                <c:pt idx="46">
                  <c:v>8.6274509803921567E-2</c:v>
                </c:pt>
                <c:pt idx="47">
                  <c:v>8.2352941176470587E-2</c:v>
                </c:pt>
                <c:pt idx="48">
                  <c:v>7.8431372549019607E-2</c:v>
                </c:pt>
                <c:pt idx="49">
                  <c:v>7.0588235294117646E-2</c:v>
                </c:pt>
                <c:pt idx="50">
                  <c:v>6.6666666666666666E-2</c:v>
                </c:pt>
                <c:pt idx="51">
                  <c:v>6.2745098039215685E-2</c:v>
                </c:pt>
                <c:pt idx="52">
                  <c:v>6.2745098039215685E-2</c:v>
                </c:pt>
                <c:pt idx="53">
                  <c:v>6.6666666666666666E-2</c:v>
                </c:pt>
                <c:pt idx="54">
                  <c:v>5.4901960784313725E-2</c:v>
                </c:pt>
                <c:pt idx="55">
                  <c:v>5.4901960784313725E-2</c:v>
                </c:pt>
                <c:pt idx="56">
                  <c:v>6.6666666666666666E-2</c:v>
                </c:pt>
                <c:pt idx="57">
                  <c:v>7.0588235294117646E-2</c:v>
                </c:pt>
                <c:pt idx="58">
                  <c:v>6.6666666666666666E-2</c:v>
                </c:pt>
                <c:pt idx="59">
                  <c:v>5.4901960784313725E-2</c:v>
                </c:pt>
                <c:pt idx="60">
                  <c:v>4.3137254901960784E-2</c:v>
                </c:pt>
                <c:pt idx="61">
                  <c:v>3.9215686274509803E-2</c:v>
                </c:pt>
                <c:pt idx="62">
                  <c:v>5.4901960784313725E-2</c:v>
                </c:pt>
                <c:pt idx="63">
                  <c:v>4.3137254901960784E-2</c:v>
                </c:pt>
                <c:pt idx="64">
                  <c:v>4.7058823529411764E-2</c:v>
                </c:pt>
                <c:pt idx="65">
                  <c:v>3.5294117647058823E-2</c:v>
                </c:pt>
                <c:pt idx="66">
                  <c:v>3.5294117647058823E-2</c:v>
                </c:pt>
                <c:pt idx="67">
                  <c:v>3.5294117647058823E-2</c:v>
                </c:pt>
                <c:pt idx="68">
                  <c:v>4.3137254901960784E-2</c:v>
                </c:pt>
                <c:pt idx="69">
                  <c:v>3.9215686274509803E-2</c:v>
                </c:pt>
                <c:pt idx="70">
                  <c:v>3.9215686274509803E-2</c:v>
                </c:pt>
                <c:pt idx="71">
                  <c:v>3.5294117647058823E-2</c:v>
                </c:pt>
                <c:pt idx="72">
                  <c:v>3.9215686274509803E-2</c:v>
                </c:pt>
                <c:pt idx="73">
                  <c:v>2.7450980392156862E-2</c:v>
                </c:pt>
                <c:pt idx="74">
                  <c:v>3.1372549019607843E-2</c:v>
                </c:pt>
                <c:pt idx="75">
                  <c:v>3.5294117647058823E-2</c:v>
                </c:pt>
                <c:pt idx="76">
                  <c:v>2.3529411764705882E-2</c:v>
                </c:pt>
                <c:pt idx="77">
                  <c:v>2.7450980392156862E-2</c:v>
                </c:pt>
                <c:pt idx="78">
                  <c:v>3.5294117647058823E-2</c:v>
                </c:pt>
                <c:pt idx="79">
                  <c:v>2.7450980392156862E-2</c:v>
                </c:pt>
                <c:pt idx="80">
                  <c:v>1.5686274509803921E-2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data1!$O$1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data1!$O$2:$O$82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0.94509803921568625</c:v>
                </c:pt>
                <c:pt idx="15">
                  <c:v>0.85098039215686272</c:v>
                </c:pt>
                <c:pt idx="16">
                  <c:v>0.75686274509803919</c:v>
                </c:pt>
                <c:pt idx="17">
                  <c:v>0.67450980392156867</c:v>
                </c:pt>
                <c:pt idx="18">
                  <c:v>0.60784313725490191</c:v>
                </c:pt>
                <c:pt idx="19">
                  <c:v>0.54509803921568623</c:v>
                </c:pt>
                <c:pt idx="20">
                  <c:v>0.50196078431372548</c:v>
                </c:pt>
                <c:pt idx="21">
                  <c:v>0.46274509803921571</c:v>
                </c:pt>
                <c:pt idx="22">
                  <c:v>0.41960784313725491</c:v>
                </c:pt>
                <c:pt idx="23">
                  <c:v>0.38823529411764707</c:v>
                </c:pt>
                <c:pt idx="24">
                  <c:v>0.35686274509803922</c:v>
                </c:pt>
                <c:pt idx="25">
                  <c:v>0.32156862745098042</c:v>
                </c:pt>
                <c:pt idx="26">
                  <c:v>0.29411764705882354</c:v>
                </c:pt>
                <c:pt idx="27">
                  <c:v>0.27843137254901962</c:v>
                </c:pt>
                <c:pt idx="28">
                  <c:v>0.26666666666666666</c:v>
                </c:pt>
                <c:pt idx="29">
                  <c:v>0.24705882352941178</c:v>
                </c:pt>
                <c:pt idx="30">
                  <c:v>0.23137254901960785</c:v>
                </c:pt>
                <c:pt idx="31">
                  <c:v>0.21176470588235294</c:v>
                </c:pt>
                <c:pt idx="32">
                  <c:v>0.20392156862745098</c:v>
                </c:pt>
                <c:pt idx="33">
                  <c:v>0.19215686274509805</c:v>
                </c:pt>
                <c:pt idx="34">
                  <c:v>0.1803921568627451</c:v>
                </c:pt>
                <c:pt idx="35">
                  <c:v>0.16862745098039217</c:v>
                </c:pt>
                <c:pt idx="36">
                  <c:v>0.16078431372549021</c:v>
                </c:pt>
                <c:pt idx="37">
                  <c:v>0.14509803921568629</c:v>
                </c:pt>
                <c:pt idx="38">
                  <c:v>0.13725490196078433</c:v>
                </c:pt>
                <c:pt idx="39">
                  <c:v>0.12941176470588237</c:v>
                </c:pt>
                <c:pt idx="40">
                  <c:v>0.11764705882352941</c:v>
                </c:pt>
                <c:pt idx="41">
                  <c:v>0.11372549019607843</c:v>
                </c:pt>
                <c:pt idx="42">
                  <c:v>0.10980392156862745</c:v>
                </c:pt>
                <c:pt idx="43">
                  <c:v>0.10196078431372549</c:v>
                </c:pt>
                <c:pt idx="44">
                  <c:v>9.4117647058823528E-2</c:v>
                </c:pt>
                <c:pt idx="45">
                  <c:v>9.4117647058823528E-2</c:v>
                </c:pt>
                <c:pt idx="46">
                  <c:v>8.6274509803921567E-2</c:v>
                </c:pt>
                <c:pt idx="47">
                  <c:v>7.8431372549019607E-2</c:v>
                </c:pt>
                <c:pt idx="48">
                  <c:v>8.2352941176470587E-2</c:v>
                </c:pt>
                <c:pt idx="49">
                  <c:v>7.8431372549019607E-2</c:v>
                </c:pt>
                <c:pt idx="50">
                  <c:v>7.0588235294117646E-2</c:v>
                </c:pt>
                <c:pt idx="51">
                  <c:v>7.0588235294117646E-2</c:v>
                </c:pt>
                <c:pt idx="52">
                  <c:v>6.6666666666666666E-2</c:v>
                </c:pt>
                <c:pt idx="53">
                  <c:v>7.0588235294117646E-2</c:v>
                </c:pt>
                <c:pt idx="54">
                  <c:v>6.6666666666666666E-2</c:v>
                </c:pt>
                <c:pt idx="55">
                  <c:v>6.2745098039215685E-2</c:v>
                </c:pt>
                <c:pt idx="56">
                  <c:v>7.8431372549019607E-2</c:v>
                </c:pt>
                <c:pt idx="57">
                  <c:v>7.4509803921568626E-2</c:v>
                </c:pt>
                <c:pt idx="58">
                  <c:v>6.6666666666666666E-2</c:v>
                </c:pt>
                <c:pt idx="59">
                  <c:v>5.8823529411764705E-2</c:v>
                </c:pt>
                <c:pt idx="60">
                  <c:v>5.8823529411764705E-2</c:v>
                </c:pt>
                <c:pt idx="61">
                  <c:v>4.3137254901960784E-2</c:v>
                </c:pt>
                <c:pt idx="62">
                  <c:v>5.8823529411764705E-2</c:v>
                </c:pt>
                <c:pt idx="63">
                  <c:v>4.7058823529411764E-2</c:v>
                </c:pt>
                <c:pt idx="64">
                  <c:v>4.3137254901960784E-2</c:v>
                </c:pt>
                <c:pt idx="65">
                  <c:v>3.9215686274509803E-2</c:v>
                </c:pt>
                <c:pt idx="66">
                  <c:v>5.0980392156862744E-2</c:v>
                </c:pt>
                <c:pt idx="67">
                  <c:v>4.3137254901960784E-2</c:v>
                </c:pt>
                <c:pt idx="68">
                  <c:v>5.0980392156862744E-2</c:v>
                </c:pt>
                <c:pt idx="69">
                  <c:v>5.0980392156862744E-2</c:v>
                </c:pt>
                <c:pt idx="70">
                  <c:v>5.0980392156862744E-2</c:v>
                </c:pt>
                <c:pt idx="71">
                  <c:v>3.9215686274509803E-2</c:v>
                </c:pt>
                <c:pt idx="72">
                  <c:v>4.7058823529411764E-2</c:v>
                </c:pt>
                <c:pt idx="73">
                  <c:v>3.1372549019607843E-2</c:v>
                </c:pt>
                <c:pt idx="74">
                  <c:v>2.3529411764705882E-2</c:v>
                </c:pt>
                <c:pt idx="75">
                  <c:v>2.3529411764705882E-2</c:v>
                </c:pt>
                <c:pt idx="76">
                  <c:v>2.3529411764705882E-2</c:v>
                </c:pt>
                <c:pt idx="77">
                  <c:v>2.7450980392156862E-2</c:v>
                </c:pt>
                <c:pt idx="78">
                  <c:v>2.3529411764705882E-2</c:v>
                </c:pt>
                <c:pt idx="79">
                  <c:v>2.7450980392156862E-2</c:v>
                </c:pt>
                <c:pt idx="80">
                  <c:v>1.9607843137254902E-2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data1!$P$1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data1!$P$2:$P$82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0.94509803921568625</c:v>
                </c:pt>
                <c:pt idx="15">
                  <c:v>0.85490196078431369</c:v>
                </c:pt>
                <c:pt idx="16">
                  <c:v>0.76078431372549016</c:v>
                </c:pt>
                <c:pt idx="17">
                  <c:v>0.68627450980392157</c:v>
                </c:pt>
                <c:pt idx="18">
                  <c:v>0.61568627450980395</c:v>
                </c:pt>
                <c:pt idx="19">
                  <c:v>0.55294117647058827</c:v>
                </c:pt>
                <c:pt idx="20">
                  <c:v>0.50980392156862742</c:v>
                </c:pt>
                <c:pt idx="21">
                  <c:v>0.47058823529411764</c:v>
                </c:pt>
                <c:pt idx="22">
                  <c:v>0.43137254901960786</c:v>
                </c:pt>
                <c:pt idx="23">
                  <c:v>0.396078431372549</c:v>
                </c:pt>
                <c:pt idx="24">
                  <c:v>0.36862745098039218</c:v>
                </c:pt>
                <c:pt idx="25">
                  <c:v>0.3411764705882353</c:v>
                </c:pt>
                <c:pt idx="26">
                  <c:v>0.31764705882352939</c:v>
                </c:pt>
                <c:pt idx="27">
                  <c:v>0.30196078431372547</c:v>
                </c:pt>
                <c:pt idx="28">
                  <c:v>0.28235294117647058</c:v>
                </c:pt>
                <c:pt idx="29">
                  <c:v>0.2627450980392157</c:v>
                </c:pt>
                <c:pt idx="30">
                  <c:v>0.24313725490196078</c:v>
                </c:pt>
                <c:pt idx="31">
                  <c:v>0.23137254901960785</c:v>
                </c:pt>
                <c:pt idx="32">
                  <c:v>0.21568627450980393</c:v>
                </c:pt>
                <c:pt idx="33">
                  <c:v>0.2</c:v>
                </c:pt>
                <c:pt idx="34">
                  <c:v>0.19215686274509805</c:v>
                </c:pt>
                <c:pt idx="35">
                  <c:v>0.18431372549019609</c:v>
                </c:pt>
                <c:pt idx="36">
                  <c:v>0.17647058823529413</c:v>
                </c:pt>
                <c:pt idx="37">
                  <c:v>0.16470588235294117</c:v>
                </c:pt>
                <c:pt idx="38">
                  <c:v>0.15294117647058825</c:v>
                </c:pt>
                <c:pt idx="39">
                  <c:v>0.14509803921568629</c:v>
                </c:pt>
                <c:pt idx="40">
                  <c:v>0.13725490196078433</c:v>
                </c:pt>
                <c:pt idx="41">
                  <c:v>0.12941176470588237</c:v>
                </c:pt>
                <c:pt idx="42">
                  <c:v>0.11372549019607843</c:v>
                </c:pt>
                <c:pt idx="43">
                  <c:v>0.10588235294117647</c:v>
                </c:pt>
                <c:pt idx="44">
                  <c:v>0.10588235294117647</c:v>
                </c:pt>
                <c:pt idx="45">
                  <c:v>9.8039215686274508E-2</c:v>
                </c:pt>
                <c:pt idx="46">
                  <c:v>9.4117647058823528E-2</c:v>
                </c:pt>
                <c:pt idx="47">
                  <c:v>9.4117647058823528E-2</c:v>
                </c:pt>
                <c:pt idx="48">
                  <c:v>8.6274509803921567E-2</c:v>
                </c:pt>
                <c:pt idx="49">
                  <c:v>8.2352941176470587E-2</c:v>
                </c:pt>
                <c:pt idx="50">
                  <c:v>8.2352941176470587E-2</c:v>
                </c:pt>
                <c:pt idx="51">
                  <c:v>7.8431372549019607E-2</c:v>
                </c:pt>
                <c:pt idx="52">
                  <c:v>7.4509803921568626E-2</c:v>
                </c:pt>
                <c:pt idx="53">
                  <c:v>7.4509803921568626E-2</c:v>
                </c:pt>
                <c:pt idx="54">
                  <c:v>6.6666666666666666E-2</c:v>
                </c:pt>
                <c:pt idx="55">
                  <c:v>6.6666666666666666E-2</c:v>
                </c:pt>
                <c:pt idx="56">
                  <c:v>6.2745098039215685E-2</c:v>
                </c:pt>
                <c:pt idx="57">
                  <c:v>5.8823529411764705E-2</c:v>
                </c:pt>
                <c:pt idx="58">
                  <c:v>5.4901960784313725E-2</c:v>
                </c:pt>
                <c:pt idx="59">
                  <c:v>5.4901960784313725E-2</c:v>
                </c:pt>
                <c:pt idx="60">
                  <c:v>5.0980392156862744E-2</c:v>
                </c:pt>
                <c:pt idx="61">
                  <c:v>4.7058823529411764E-2</c:v>
                </c:pt>
                <c:pt idx="62">
                  <c:v>5.0980392156862744E-2</c:v>
                </c:pt>
                <c:pt idx="63">
                  <c:v>4.3137254901960784E-2</c:v>
                </c:pt>
                <c:pt idx="64">
                  <c:v>4.3137254901960784E-2</c:v>
                </c:pt>
                <c:pt idx="65">
                  <c:v>4.7058823529411764E-2</c:v>
                </c:pt>
                <c:pt idx="66">
                  <c:v>3.9215686274509803E-2</c:v>
                </c:pt>
                <c:pt idx="67">
                  <c:v>4.7058823529411764E-2</c:v>
                </c:pt>
                <c:pt idx="68">
                  <c:v>3.9215686274509803E-2</c:v>
                </c:pt>
                <c:pt idx="69">
                  <c:v>4.3137254901960784E-2</c:v>
                </c:pt>
                <c:pt idx="70">
                  <c:v>4.3137254901960784E-2</c:v>
                </c:pt>
                <c:pt idx="71">
                  <c:v>3.9215686274509803E-2</c:v>
                </c:pt>
                <c:pt idx="72">
                  <c:v>3.9215686274509803E-2</c:v>
                </c:pt>
                <c:pt idx="73">
                  <c:v>3.1372549019607843E-2</c:v>
                </c:pt>
                <c:pt idx="74">
                  <c:v>3.1372549019607843E-2</c:v>
                </c:pt>
                <c:pt idx="75">
                  <c:v>3.1372549019607843E-2</c:v>
                </c:pt>
                <c:pt idx="76">
                  <c:v>2.3529411764705882E-2</c:v>
                </c:pt>
                <c:pt idx="77">
                  <c:v>1.5686274509803921E-2</c:v>
                </c:pt>
                <c:pt idx="78">
                  <c:v>1.5686274509803921E-2</c:v>
                </c:pt>
                <c:pt idx="79">
                  <c:v>1.9607843137254902E-2</c:v>
                </c:pt>
                <c:pt idx="80">
                  <c:v>1.9607843137254902E-2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data1!$Q$1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data1!$Q$2:$Q$82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0.93725490196078431</c:v>
                </c:pt>
                <c:pt idx="15">
                  <c:v>0.86274509803921573</c:v>
                </c:pt>
                <c:pt idx="16">
                  <c:v>0.75294117647058822</c:v>
                </c:pt>
                <c:pt idx="17">
                  <c:v>0.67843137254901964</c:v>
                </c:pt>
                <c:pt idx="18">
                  <c:v>0.60784313725490191</c:v>
                </c:pt>
                <c:pt idx="19">
                  <c:v>0.55294117647058827</c:v>
                </c:pt>
                <c:pt idx="20">
                  <c:v>0.51372549019607838</c:v>
                </c:pt>
                <c:pt idx="21">
                  <c:v>0.47058823529411764</c:v>
                </c:pt>
                <c:pt idx="22">
                  <c:v>0.4392156862745098</c:v>
                </c:pt>
                <c:pt idx="23">
                  <c:v>0.41176470588235292</c:v>
                </c:pt>
                <c:pt idx="24">
                  <c:v>0.37254901960784315</c:v>
                </c:pt>
                <c:pt idx="25">
                  <c:v>0.33725490196078434</c:v>
                </c:pt>
                <c:pt idx="26">
                  <c:v>0.31372549019607843</c:v>
                </c:pt>
                <c:pt idx="27">
                  <c:v>0.30980392156862746</c:v>
                </c:pt>
                <c:pt idx="28">
                  <c:v>0.29019607843137257</c:v>
                </c:pt>
                <c:pt idx="29">
                  <c:v>0.27058823529411763</c:v>
                </c:pt>
                <c:pt idx="30">
                  <c:v>0.25882352941176473</c:v>
                </c:pt>
                <c:pt idx="31">
                  <c:v>0.22745098039215686</c:v>
                </c:pt>
                <c:pt idx="32">
                  <c:v>0.21176470588235294</c:v>
                </c:pt>
                <c:pt idx="33">
                  <c:v>0.20784313725490197</c:v>
                </c:pt>
                <c:pt idx="34">
                  <c:v>0.18431372549019609</c:v>
                </c:pt>
                <c:pt idx="35">
                  <c:v>0.17647058823529413</c:v>
                </c:pt>
                <c:pt idx="36">
                  <c:v>0.16862745098039217</c:v>
                </c:pt>
                <c:pt idx="37">
                  <c:v>0.16862745098039217</c:v>
                </c:pt>
                <c:pt idx="38">
                  <c:v>0.14509803921568629</c:v>
                </c:pt>
                <c:pt idx="39">
                  <c:v>0.13725490196078433</c:v>
                </c:pt>
                <c:pt idx="40">
                  <c:v>0.12941176470588237</c:v>
                </c:pt>
                <c:pt idx="41">
                  <c:v>0.12941176470588237</c:v>
                </c:pt>
                <c:pt idx="42">
                  <c:v>0.11764705882352941</c:v>
                </c:pt>
                <c:pt idx="43">
                  <c:v>0.10980392156862745</c:v>
                </c:pt>
                <c:pt idx="44">
                  <c:v>0.10588235294117647</c:v>
                </c:pt>
                <c:pt idx="45">
                  <c:v>0.10196078431372549</c:v>
                </c:pt>
                <c:pt idx="46">
                  <c:v>9.8039215686274508E-2</c:v>
                </c:pt>
                <c:pt idx="47">
                  <c:v>9.8039215686274508E-2</c:v>
                </c:pt>
                <c:pt idx="48">
                  <c:v>9.0196078431372548E-2</c:v>
                </c:pt>
                <c:pt idx="49">
                  <c:v>8.6274509803921567E-2</c:v>
                </c:pt>
                <c:pt idx="50">
                  <c:v>8.2352941176470587E-2</c:v>
                </c:pt>
                <c:pt idx="51">
                  <c:v>8.2352941176470587E-2</c:v>
                </c:pt>
                <c:pt idx="52">
                  <c:v>8.2352941176470587E-2</c:v>
                </c:pt>
                <c:pt idx="53">
                  <c:v>7.4509803921568626E-2</c:v>
                </c:pt>
                <c:pt idx="54">
                  <c:v>7.0588235294117646E-2</c:v>
                </c:pt>
                <c:pt idx="55">
                  <c:v>6.6666666666666666E-2</c:v>
                </c:pt>
                <c:pt idx="56">
                  <c:v>6.6666666666666666E-2</c:v>
                </c:pt>
                <c:pt idx="57">
                  <c:v>5.8823529411764705E-2</c:v>
                </c:pt>
                <c:pt idx="58">
                  <c:v>6.2745098039215685E-2</c:v>
                </c:pt>
                <c:pt idx="59">
                  <c:v>5.4901960784313725E-2</c:v>
                </c:pt>
                <c:pt idx="60">
                  <c:v>5.4901960784313725E-2</c:v>
                </c:pt>
                <c:pt idx="61">
                  <c:v>5.8823529411764705E-2</c:v>
                </c:pt>
                <c:pt idx="62">
                  <c:v>5.0980392156862744E-2</c:v>
                </c:pt>
                <c:pt idx="63">
                  <c:v>4.7058823529411764E-2</c:v>
                </c:pt>
                <c:pt idx="64">
                  <c:v>4.3137254901960784E-2</c:v>
                </c:pt>
                <c:pt idx="65">
                  <c:v>3.9215686274509803E-2</c:v>
                </c:pt>
                <c:pt idx="66">
                  <c:v>4.7058823529411764E-2</c:v>
                </c:pt>
                <c:pt idx="67">
                  <c:v>4.3137254901960784E-2</c:v>
                </c:pt>
                <c:pt idx="68">
                  <c:v>3.9215686274509803E-2</c:v>
                </c:pt>
                <c:pt idx="69">
                  <c:v>5.0980392156862744E-2</c:v>
                </c:pt>
                <c:pt idx="70">
                  <c:v>4.7058823529411764E-2</c:v>
                </c:pt>
                <c:pt idx="71">
                  <c:v>4.3137254901960784E-2</c:v>
                </c:pt>
                <c:pt idx="72">
                  <c:v>4.3137254901960784E-2</c:v>
                </c:pt>
                <c:pt idx="73">
                  <c:v>3.5294117647058823E-2</c:v>
                </c:pt>
                <c:pt idx="74">
                  <c:v>2.3529411764705882E-2</c:v>
                </c:pt>
                <c:pt idx="75">
                  <c:v>2.7450980392156862E-2</c:v>
                </c:pt>
                <c:pt idx="76">
                  <c:v>3.5294117647058823E-2</c:v>
                </c:pt>
                <c:pt idx="77">
                  <c:v>2.3529411764705882E-2</c:v>
                </c:pt>
                <c:pt idx="78">
                  <c:v>2.3529411764705882E-2</c:v>
                </c:pt>
                <c:pt idx="79">
                  <c:v>2.3529411764705882E-2</c:v>
                </c:pt>
                <c:pt idx="80">
                  <c:v>2.7450980392156862E-2</c:v>
                </c:pt>
              </c:numCache>
            </c:numRef>
          </c:yVal>
          <c:smooth val="1"/>
        </c:ser>
        <c:axId val="136171520"/>
        <c:axId val="136173056"/>
      </c:scatterChart>
      <c:valAx>
        <c:axId val="136171520"/>
        <c:scaling>
          <c:orientation val="minMax"/>
        </c:scaling>
        <c:axPos val="b"/>
        <c:numFmt formatCode="0.0" sourceLinked="1"/>
        <c:tickLblPos val="nextTo"/>
        <c:crossAx val="136173056"/>
        <c:crosses val="autoZero"/>
        <c:crossBetween val="midCat"/>
      </c:valAx>
      <c:valAx>
        <c:axId val="136173056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3617152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data1!$R$2:$R$82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0.92941176470588238</c:v>
                </c:pt>
                <c:pt idx="15">
                  <c:v>0.83529411764705885</c:v>
                </c:pt>
                <c:pt idx="16">
                  <c:v>0.74117647058823533</c:v>
                </c:pt>
                <c:pt idx="17">
                  <c:v>0.66666666666666663</c:v>
                </c:pt>
                <c:pt idx="18">
                  <c:v>0.6</c:v>
                </c:pt>
                <c:pt idx="19">
                  <c:v>0.54509803921568623</c:v>
                </c:pt>
                <c:pt idx="20">
                  <c:v>0.49803921568627452</c:v>
                </c:pt>
                <c:pt idx="21">
                  <c:v>0.45490196078431372</c:v>
                </c:pt>
                <c:pt idx="22">
                  <c:v>0.42352941176470588</c:v>
                </c:pt>
                <c:pt idx="23">
                  <c:v>0.39215686274509803</c:v>
                </c:pt>
                <c:pt idx="24">
                  <c:v>0.34901960784313724</c:v>
                </c:pt>
                <c:pt idx="25">
                  <c:v>0.32156862745098042</c:v>
                </c:pt>
                <c:pt idx="26">
                  <c:v>0.29411764705882354</c:v>
                </c:pt>
                <c:pt idx="27">
                  <c:v>0.28235294117647058</c:v>
                </c:pt>
                <c:pt idx="28">
                  <c:v>0.25882352941176473</c:v>
                </c:pt>
                <c:pt idx="29">
                  <c:v>0.23921568627450981</c:v>
                </c:pt>
                <c:pt idx="30">
                  <c:v>0.22352941176470589</c:v>
                </c:pt>
                <c:pt idx="31">
                  <c:v>0.20784313725490197</c:v>
                </c:pt>
                <c:pt idx="32">
                  <c:v>0.2</c:v>
                </c:pt>
                <c:pt idx="33">
                  <c:v>0.18431372549019609</c:v>
                </c:pt>
                <c:pt idx="34">
                  <c:v>0.17647058823529413</c:v>
                </c:pt>
                <c:pt idx="35">
                  <c:v>0.16078431372549021</c:v>
                </c:pt>
                <c:pt idx="36">
                  <c:v>0.15294117647058825</c:v>
                </c:pt>
                <c:pt idx="37">
                  <c:v>0.14509803921568629</c:v>
                </c:pt>
                <c:pt idx="38">
                  <c:v>0.13725490196078433</c:v>
                </c:pt>
                <c:pt idx="39">
                  <c:v>0.12941176470588237</c:v>
                </c:pt>
                <c:pt idx="40">
                  <c:v>0.12941176470588237</c:v>
                </c:pt>
                <c:pt idx="41">
                  <c:v>0.11372549019607843</c:v>
                </c:pt>
                <c:pt idx="42">
                  <c:v>0.11372549019607843</c:v>
                </c:pt>
                <c:pt idx="43">
                  <c:v>0.11372549019607843</c:v>
                </c:pt>
                <c:pt idx="44">
                  <c:v>0.10980392156862745</c:v>
                </c:pt>
                <c:pt idx="45">
                  <c:v>9.4117647058823528E-2</c:v>
                </c:pt>
                <c:pt idx="46">
                  <c:v>8.2352941176470587E-2</c:v>
                </c:pt>
                <c:pt idx="47">
                  <c:v>8.2352941176470587E-2</c:v>
                </c:pt>
                <c:pt idx="48">
                  <c:v>7.4509803921568626E-2</c:v>
                </c:pt>
                <c:pt idx="49">
                  <c:v>7.8431372549019607E-2</c:v>
                </c:pt>
                <c:pt idx="50">
                  <c:v>9.0196078431372548E-2</c:v>
                </c:pt>
                <c:pt idx="51">
                  <c:v>7.4509803921568626E-2</c:v>
                </c:pt>
                <c:pt idx="52">
                  <c:v>6.6666666666666666E-2</c:v>
                </c:pt>
                <c:pt idx="53">
                  <c:v>8.2352941176470587E-2</c:v>
                </c:pt>
                <c:pt idx="54">
                  <c:v>7.4509803921568626E-2</c:v>
                </c:pt>
                <c:pt idx="55">
                  <c:v>6.6666666666666666E-2</c:v>
                </c:pt>
                <c:pt idx="56">
                  <c:v>5.8823529411764705E-2</c:v>
                </c:pt>
                <c:pt idx="57">
                  <c:v>6.6666666666666666E-2</c:v>
                </c:pt>
                <c:pt idx="58">
                  <c:v>5.8823529411764705E-2</c:v>
                </c:pt>
                <c:pt idx="59">
                  <c:v>6.6666666666666666E-2</c:v>
                </c:pt>
                <c:pt idx="60">
                  <c:v>5.8823529411764705E-2</c:v>
                </c:pt>
                <c:pt idx="61">
                  <c:v>4.3137254901960784E-2</c:v>
                </c:pt>
                <c:pt idx="62">
                  <c:v>5.8823529411764705E-2</c:v>
                </c:pt>
                <c:pt idx="63">
                  <c:v>4.7058823529411764E-2</c:v>
                </c:pt>
                <c:pt idx="64">
                  <c:v>4.3137254901960784E-2</c:v>
                </c:pt>
                <c:pt idx="65">
                  <c:v>5.0980392156862744E-2</c:v>
                </c:pt>
                <c:pt idx="66">
                  <c:v>5.8823529411764705E-2</c:v>
                </c:pt>
                <c:pt idx="67">
                  <c:v>5.4901960784313725E-2</c:v>
                </c:pt>
                <c:pt idx="68">
                  <c:v>5.0980392156862744E-2</c:v>
                </c:pt>
                <c:pt idx="69">
                  <c:v>5.0980392156862744E-2</c:v>
                </c:pt>
                <c:pt idx="70">
                  <c:v>5.0980392156862744E-2</c:v>
                </c:pt>
                <c:pt idx="71">
                  <c:v>3.9215686274509803E-2</c:v>
                </c:pt>
                <c:pt idx="72">
                  <c:v>3.1372549019607843E-2</c:v>
                </c:pt>
                <c:pt idx="73">
                  <c:v>4.3137254901960784E-2</c:v>
                </c:pt>
                <c:pt idx="74">
                  <c:v>3.9215686274509803E-2</c:v>
                </c:pt>
                <c:pt idx="75">
                  <c:v>2.7450980392156862E-2</c:v>
                </c:pt>
                <c:pt idx="76">
                  <c:v>3.9215686274509803E-2</c:v>
                </c:pt>
                <c:pt idx="77">
                  <c:v>3.1372549019607843E-2</c:v>
                </c:pt>
                <c:pt idx="78">
                  <c:v>3.1372549019607843E-2</c:v>
                </c:pt>
                <c:pt idx="79">
                  <c:v>2.3529411764705882E-2</c:v>
                </c:pt>
                <c:pt idx="80">
                  <c:v>2.3529411764705882E-2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data1!$S$1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data1!$S$2:$S$82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0.93333333333333335</c:v>
                </c:pt>
                <c:pt idx="15">
                  <c:v>0.84313725490196079</c:v>
                </c:pt>
                <c:pt idx="16">
                  <c:v>0.75294117647058822</c:v>
                </c:pt>
                <c:pt idx="17">
                  <c:v>0.6705882352941176</c:v>
                </c:pt>
                <c:pt idx="18">
                  <c:v>0.60784313725490191</c:v>
                </c:pt>
                <c:pt idx="19">
                  <c:v>0.54509803921568623</c:v>
                </c:pt>
                <c:pt idx="20">
                  <c:v>0.50196078431372548</c:v>
                </c:pt>
                <c:pt idx="21">
                  <c:v>0.46274509803921571</c:v>
                </c:pt>
                <c:pt idx="22">
                  <c:v>0.41960784313725491</c:v>
                </c:pt>
                <c:pt idx="23">
                  <c:v>0.38823529411764707</c:v>
                </c:pt>
                <c:pt idx="24">
                  <c:v>0.36470588235294116</c:v>
                </c:pt>
                <c:pt idx="25">
                  <c:v>0.33333333333333331</c:v>
                </c:pt>
                <c:pt idx="26">
                  <c:v>0.30196078431372547</c:v>
                </c:pt>
                <c:pt idx="27">
                  <c:v>0.28235294117647058</c:v>
                </c:pt>
                <c:pt idx="28">
                  <c:v>0.26666666666666666</c:v>
                </c:pt>
                <c:pt idx="29">
                  <c:v>0.25882352941176473</c:v>
                </c:pt>
                <c:pt idx="30">
                  <c:v>0.23921568627450981</c:v>
                </c:pt>
                <c:pt idx="31">
                  <c:v>0.22352941176470589</c:v>
                </c:pt>
                <c:pt idx="32">
                  <c:v>0.20784313725490197</c:v>
                </c:pt>
                <c:pt idx="33">
                  <c:v>0.19215686274509805</c:v>
                </c:pt>
                <c:pt idx="34">
                  <c:v>0.17647058823529413</c:v>
                </c:pt>
                <c:pt idx="35">
                  <c:v>0.16862745098039217</c:v>
                </c:pt>
                <c:pt idx="36">
                  <c:v>0.16078431372549021</c:v>
                </c:pt>
                <c:pt idx="37">
                  <c:v>0.15294117647058825</c:v>
                </c:pt>
                <c:pt idx="38">
                  <c:v>0.15294117647058825</c:v>
                </c:pt>
                <c:pt idx="39">
                  <c:v>0.14117647058823529</c:v>
                </c:pt>
                <c:pt idx="40">
                  <c:v>0.12941176470588237</c:v>
                </c:pt>
                <c:pt idx="41">
                  <c:v>0.12549019607843137</c:v>
                </c:pt>
                <c:pt idx="42">
                  <c:v>0.12156862745098039</c:v>
                </c:pt>
                <c:pt idx="43">
                  <c:v>0.11764705882352941</c:v>
                </c:pt>
                <c:pt idx="44">
                  <c:v>0.10588235294117647</c:v>
                </c:pt>
                <c:pt idx="45">
                  <c:v>0.10588235294117647</c:v>
                </c:pt>
                <c:pt idx="46">
                  <c:v>9.8039215686274508E-2</c:v>
                </c:pt>
                <c:pt idx="47">
                  <c:v>9.4117647058823528E-2</c:v>
                </c:pt>
                <c:pt idx="48">
                  <c:v>8.6274509803921567E-2</c:v>
                </c:pt>
                <c:pt idx="49">
                  <c:v>8.2352941176470587E-2</c:v>
                </c:pt>
                <c:pt idx="50">
                  <c:v>7.4509803921568626E-2</c:v>
                </c:pt>
                <c:pt idx="51">
                  <c:v>7.0588235294117646E-2</c:v>
                </c:pt>
                <c:pt idx="52">
                  <c:v>7.0588235294117646E-2</c:v>
                </c:pt>
                <c:pt idx="53">
                  <c:v>6.6666666666666666E-2</c:v>
                </c:pt>
                <c:pt idx="54">
                  <c:v>8.2352941176470587E-2</c:v>
                </c:pt>
                <c:pt idx="55">
                  <c:v>6.6666666666666666E-2</c:v>
                </c:pt>
                <c:pt idx="56">
                  <c:v>5.4901960784313725E-2</c:v>
                </c:pt>
                <c:pt idx="57">
                  <c:v>7.4509803921568626E-2</c:v>
                </c:pt>
                <c:pt idx="58">
                  <c:v>6.6666666666666666E-2</c:v>
                </c:pt>
                <c:pt idx="59">
                  <c:v>6.6666666666666666E-2</c:v>
                </c:pt>
                <c:pt idx="60">
                  <c:v>6.6666666666666666E-2</c:v>
                </c:pt>
                <c:pt idx="61">
                  <c:v>6.2745098039215685E-2</c:v>
                </c:pt>
                <c:pt idx="62">
                  <c:v>6.6666666666666666E-2</c:v>
                </c:pt>
                <c:pt idx="63">
                  <c:v>6.6666666666666666E-2</c:v>
                </c:pt>
                <c:pt idx="64">
                  <c:v>5.8823529411764705E-2</c:v>
                </c:pt>
                <c:pt idx="65">
                  <c:v>6.6666666666666666E-2</c:v>
                </c:pt>
                <c:pt idx="66">
                  <c:v>5.8823529411764705E-2</c:v>
                </c:pt>
                <c:pt idx="67">
                  <c:v>5.0980392156862744E-2</c:v>
                </c:pt>
                <c:pt idx="68">
                  <c:v>3.9215686274509803E-2</c:v>
                </c:pt>
                <c:pt idx="69">
                  <c:v>4.3137254901960784E-2</c:v>
                </c:pt>
                <c:pt idx="70">
                  <c:v>3.5294117647058823E-2</c:v>
                </c:pt>
                <c:pt idx="71">
                  <c:v>3.5294117647058823E-2</c:v>
                </c:pt>
                <c:pt idx="72">
                  <c:v>5.0980392156862744E-2</c:v>
                </c:pt>
                <c:pt idx="73">
                  <c:v>3.1372549019607843E-2</c:v>
                </c:pt>
                <c:pt idx="74">
                  <c:v>3.5294117647058823E-2</c:v>
                </c:pt>
                <c:pt idx="75">
                  <c:v>4.3137254901960784E-2</c:v>
                </c:pt>
                <c:pt idx="76">
                  <c:v>3.5294117647058823E-2</c:v>
                </c:pt>
                <c:pt idx="77">
                  <c:v>2.7450980392156862E-2</c:v>
                </c:pt>
                <c:pt idx="78">
                  <c:v>2.3529411764705882E-2</c:v>
                </c:pt>
                <c:pt idx="79">
                  <c:v>2.3529411764705882E-2</c:v>
                </c:pt>
                <c:pt idx="80">
                  <c:v>1.5686274509803921E-2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data1!$T$1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data1!$T$2:$T$82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0.93333333333333335</c:v>
                </c:pt>
                <c:pt idx="15">
                  <c:v>0.83529411764705885</c:v>
                </c:pt>
                <c:pt idx="16">
                  <c:v>0.75686274509803919</c:v>
                </c:pt>
                <c:pt idx="17">
                  <c:v>0.66274509803921566</c:v>
                </c:pt>
                <c:pt idx="18">
                  <c:v>0.59215686274509804</c:v>
                </c:pt>
                <c:pt idx="19">
                  <c:v>0.54509803921568623</c:v>
                </c:pt>
                <c:pt idx="20">
                  <c:v>0.49803921568627452</c:v>
                </c:pt>
                <c:pt idx="21">
                  <c:v>0.45490196078431372</c:v>
                </c:pt>
                <c:pt idx="22">
                  <c:v>0.41176470588235292</c:v>
                </c:pt>
                <c:pt idx="23">
                  <c:v>0.4</c:v>
                </c:pt>
                <c:pt idx="24">
                  <c:v>0.35294117647058826</c:v>
                </c:pt>
                <c:pt idx="25">
                  <c:v>0.32156862745098042</c:v>
                </c:pt>
                <c:pt idx="26">
                  <c:v>0.29803921568627451</c:v>
                </c:pt>
                <c:pt idx="27">
                  <c:v>0.27450980392156865</c:v>
                </c:pt>
                <c:pt idx="28">
                  <c:v>0.24705882352941178</c:v>
                </c:pt>
                <c:pt idx="29">
                  <c:v>0.24313725490196078</c:v>
                </c:pt>
                <c:pt idx="30">
                  <c:v>0.21568627450980393</c:v>
                </c:pt>
                <c:pt idx="31">
                  <c:v>0.2</c:v>
                </c:pt>
                <c:pt idx="32">
                  <c:v>0.18431372549019609</c:v>
                </c:pt>
                <c:pt idx="33">
                  <c:v>0.1803921568627451</c:v>
                </c:pt>
                <c:pt idx="34">
                  <c:v>0.1803921568627451</c:v>
                </c:pt>
                <c:pt idx="35">
                  <c:v>0.16470588235294117</c:v>
                </c:pt>
                <c:pt idx="36">
                  <c:v>0.15294117647058825</c:v>
                </c:pt>
                <c:pt idx="37">
                  <c:v>0.14509803921568629</c:v>
                </c:pt>
                <c:pt idx="38">
                  <c:v>0.14117647058823529</c:v>
                </c:pt>
                <c:pt idx="39">
                  <c:v>0.12941176470588237</c:v>
                </c:pt>
                <c:pt idx="40">
                  <c:v>0.12156862745098039</c:v>
                </c:pt>
                <c:pt idx="41">
                  <c:v>0.12156862745098039</c:v>
                </c:pt>
                <c:pt idx="42">
                  <c:v>0.10588235294117647</c:v>
                </c:pt>
                <c:pt idx="43">
                  <c:v>0.10196078431372549</c:v>
                </c:pt>
                <c:pt idx="44">
                  <c:v>0.10588235294117647</c:v>
                </c:pt>
                <c:pt idx="45">
                  <c:v>0.10196078431372549</c:v>
                </c:pt>
                <c:pt idx="46">
                  <c:v>9.4117647058823528E-2</c:v>
                </c:pt>
                <c:pt idx="47">
                  <c:v>9.8039215686274508E-2</c:v>
                </c:pt>
                <c:pt idx="48">
                  <c:v>9.0196078431372548E-2</c:v>
                </c:pt>
                <c:pt idx="49">
                  <c:v>8.2352941176470587E-2</c:v>
                </c:pt>
                <c:pt idx="50">
                  <c:v>7.0588235294117646E-2</c:v>
                </c:pt>
                <c:pt idx="51">
                  <c:v>7.4509803921568626E-2</c:v>
                </c:pt>
                <c:pt idx="52">
                  <c:v>7.8431372549019607E-2</c:v>
                </c:pt>
                <c:pt idx="53">
                  <c:v>8.2352941176470587E-2</c:v>
                </c:pt>
                <c:pt idx="54">
                  <c:v>8.2352941176470587E-2</c:v>
                </c:pt>
                <c:pt idx="55">
                  <c:v>7.8431372549019607E-2</c:v>
                </c:pt>
                <c:pt idx="56">
                  <c:v>7.0588235294117646E-2</c:v>
                </c:pt>
                <c:pt idx="57">
                  <c:v>4.7058823529411764E-2</c:v>
                </c:pt>
                <c:pt idx="58">
                  <c:v>4.7058823529411764E-2</c:v>
                </c:pt>
                <c:pt idx="59">
                  <c:v>6.2745098039215685E-2</c:v>
                </c:pt>
                <c:pt idx="60">
                  <c:v>6.6666666666666666E-2</c:v>
                </c:pt>
                <c:pt idx="61">
                  <c:v>5.8823529411764705E-2</c:v>
                </c:pt>
                <c:pt idx="62">
                  <c:v>5.0980392156862744E-2</c:v>
                </c:pt>
                <c:pt idx="63">
                  <c:v>3.5294117647058823E-2</c:v>
                </c:pt>
                <c:pt idx="64">
                  <c:v>4.3137254901960784E-2</c:v>
                </c:pt>
                <c:pt idx="65">
                  <c:v>3.5294117647058823E-2</c:v>
                </c:pt>
                <c:pt idx="66">
                  <c:v>3.9215686274509803E-2</c:v>
                </c:pt>
                <c:pt idx="67">
                  <c:v>2.7450980392156862E-2</c:v>
                </c:pt>
                <c:pt idx="68">
                  <c:v>3.5294117647058823E-2</c:v>
                </c:pt>
                <c:pt idx="69">
                  <c:v>3.5294117647058823E-2</c:v>
                </c:pt>
                <c:pt idx="70">
                  <c:v>4.3137254901960784E-2</c:v>
                </c:pt>
                <c:pt idx="71">
                  <c:v>2.7450980392156862E-2</c:v>
                </c:pt>
                <c:pt idx="72">
                  <c:v>2.7450980392156862E-2</c:v>
                </c:pt>
                <c:pt idx="73">
                  <c:v>3.5294117647058823E-2</c:v>
                </c:pt>
                <c:pt idx="74">
                  <c:v>4.3137254901960784E-2</c:v>
                </c:pt>
                <c:pt idx="75">
                  <c:v>2.7450980392156862E-2</c:v>
                </c:pt>
                <c:pt idx="76">
                  <c:v>3.5294117647058823E-2</c:v>
                </c:pt>
                <c:pt idx="77">
                  <c:v>2.3529411764705882E-2</c:v>
                </c:pt>
                <c:pt idx="78">
                  <c:v>2.7450980392156862E-2</c:v>
                </c:pt>
                <c:pt idx="79">
                  <c:v>2.3529411764705882E-2</c:v>
                </c:pt>
                <c:pt idx="80">
                  <c:v>1.9607843137254902E-2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data1!$U$1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data1!$U$2:$U$82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0.94117647058823528</c:v>
                </c:pt>
                <c:pt idx="15">
                  <c:v>0.84705882352941175</c:v>
                </c:pt>
                <c:pt idx="16">
                  <c:v>0.75686274509803919</c:v>
                </c:pt>
                <c:pt idx="17">
                  <c:v>0.68235294117647061</c:v>
                </c:pt>
                <c:pt idx="18">
                  <c:v>0.61176470588235299</c:v>
                </c:pt>
                <c:pt idx="19">
                  <c:v>0.55294117647058827</c:v>
                </c:pt>
                <c:pt idx="20">
                  <c:v>0.50980392156862742</c:v>
                </c:pt>
                <c:pt idx="21">
                  <c:v>0.46666666666666667</c:v>
                </c:pt>
                <c:pt idx="22">
                  <c:v>0.42352941176470588</c:v>
                </c:pt>
                <c:pt idx="23">
                  <c:v>0.396078431372549</c:v>
                </c:pt>
                <c:pt idx="24">
                  <c:v>0.36470588235294116</c:v>
                </c:pt>
                <c:pt idx="25">
                  <c:v>0.33725490196078434</c:v>
                </c:pt>
                <c:pt idx="26">
                  <c:v>0.31372549019607843</c:v>
                </c:pt>
                <c:pt idx="27">
                  <c:v>0.29019607843137257</c:v>
                </c:pt>
                <c:pt idx="28">
                  <c:v>0.27450980392156865</c:v>
                </c:pt>
                <c:pt idx="29">
                  <c:v>0.25098039215686274</c:v>
                </c:pt>
                <c:pt idx="30">
                  <c:v>0.23529411764705882</c:v>
                </c:pt>
                <c:pt idx="31">
                  <c:v>0.21568627450980393</c:v>
                </c:pt>
                <c:pt idx="32">
                  <c:v>0.20392156862745098</c:v>
                </c:pt>
                <c:pt idx="33">
                  <c:v>0.19215686274509805</c:v>
                </c:pt>
                <c:pt idx="34">
                  <c:v>0.18431372549019609</c:v>
                </c:pt>
                <c:pt idx="35">
                  <c:v>0.17647058823529413</c:v>
                </c:pt>
                <c:pt idx="36">
                  <c:v>0.16470588235294117</c:v>
                </c:pt>
                <c:pt idx="37">
                  <c:v>0.15294117647058825</c:v>
                </c:pt>
                <c:pt idx="38">
                  <c:v>0.14509803921568629</c:v>
                </c:pt>
                <c:pt idx="39">
                  <c:v>0.14509803921568629</c:v>
                </c:pt>
                <c:pt idx="40">
                  <c:v>0.13333333333333333</c:v>
                </c:pt>
                <c:pt idx="41">
                  <c:v>0.12156862745098039</c:v>
                </c:pt>
                <c:pt idx="42">
                  <c:v>0.12156862745098039</c:v>
                </c:pt>
                <c:pt idx="43">
                  <c:v>0.11372549019607843</c:v>
                </c:pt>
                <c:pt idx="44">
                  <c:v>9.8039215686274508E-2</c:v>
                </c:pt>
                <c:pt idx="45">
                  <c:v>9.8039215686274508E-2</c:v>
                </c:pt>
                <c:pt idx="46">
                  <c:v>9.8039215686274508E-2</c:v>
                </c:pt>
                <c:pt idx="47">
                  <c:v>9.8039215686274508E-2</c:v>
                </c:pt>
                <c:pt idx="48">
                  <c:v>8.6274509803921567E-2</c:v>
                </c:pt>
                <c:pt idx="49">
                  <c:v>7.8431372549019607E-2</c:v>
                </c:pt>
                <c:pt idx="50">
                  <c:v>7.4509803921568626E-2</c:v>
                </c:pt>
                <c:pt idx="51">
                  <c:v>8.2352941176470587E-2</c:v>
                </c:pt>
                <c:pt idx="52">
                  <c:v>7.0588235294117646E-2</c:v>
                </c:pt>
                <c:pt idx="53">
                  <c:v>6.6666666666666666E-2</c:v>
                </c:pt>
                <c:pt idx="54">
                  <c:v>6.6666666666666666E-2</c:v>
                </c:pt>
                <c:pt idx="55">
                  <c:v>6.6666666666666666E-2</c:v>
                </c:pt>
                <c:pt idx="56">
                  <c:v>5.8823529411764705E-2</c:v>
                </c:pt>
                <c:pt idx="57">
                  <c:v>6.2745098039215685E-2</c:v>
                </c:pt>
                <c:pt idx="58">
                  <c:v>4.3137254901960784E-2</c:v>
                </c:pt>
                <c:pt idx="59">
                  <c:v>4.3137254901960784E-2</c:v>
                </c:pt>
                <c:pt idx="60">
                  <c:v>5.0980392156862744E-2</c:v>
                </c:pt>
                <c:pt idx="61">
                  <c:v>3.1372549019607843E-2</c:v>
                </c:pt>
                <c:pt idx="62">
                  <c:v>3.9215686274509803E-2</c:v>
                </c:pt>
                <c:pt idx="63">
                  <c:v>3.9215686274509803E-2</c:v>
                </c:pt>
                <c:pt idx="64">
                  <c:v>3.9215686274509803E-2</c:v>
                </c:pt>
                <c:pt idx="65">
                  <c:v>3.5294117647058823E-2</c:v>
                </c:pt>
                <c:pt idx="66">
                  <c:v>3.9215686274509803E-2</c:v>
                </c:pt>
                <c:pt idx="67">
                  <c:v>3.1372549019607843E-2</c:v>
                </c:pt>
                <c:pt idx="68">
                  <c:v>3.1372549019607843E-2</c:v>
                </c:pt>
                <c:pt idx="69">
                  <c:v>2.7450980392156862E-2</c:v>
                </c:pt>
                <c:pt idx="70">
                  <c:v>1.9607843137254902E-2</c:v>
                </c:pt>
                <c:pt idx="71">
                  <c:v>2.7450980392156862E-2</c:v>
                </c:pt>
                <c:pt idx="72">
                  <c:v>2.3529411764705882E-2</c:v>
                </c:pt>
                <c:pt idx="73">
                  <c:v>2.3529411764705882E-2</c:v>
                </c:pt>
                <c:pt idx="74">
                  <c:v>2.3529411764705882E-2</c:v>
                </c:pt>
                <c:pt idx="75">
                  <c:v>2.3529411764705882E-2</c:v>
                </c:pt>
                <c:pt idx="76">
                  <c:v>3.9215686274509803E-2</c:v>
                </c:pt>
                <c:pt idx="77">
                  <c:v>3.5294117647058823E-2</c:v>
                </c:pt>
                <c:pt idx="78">
                  <c:v>2.3529411764705882E-2</c:v>
                </c:pt>
                <c:pt idx="79">
                  <c:v>2.3529411764705882E-2</c:v>
                </c:pt>
                <c:pt idx="80">
                  <c:v>1.1764705882352941E-2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data1!$V$1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data1!$V$2:$V$82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0.92941176470588238</c:v>
                </c:pt>
                <c:pt idx="15">
                  <c:v>0.83529411764705885</c:v>
                </c:pt>
                <c:pt idx="16">
                  <c:v>0.75294117647058822</c:v>
                </c:pt>
                <c:pt idx="17">
                  <c:v>0.67843137254901964</c:v>
                </c:pt>
                <c:pt idx="18">
                  <c:v>0.60784313725490191</c:v>
                </c:pt>
                <c:pt idx="19">
                  <c:v>0.55686274509803924</c:v>
                </c:pt>
                <c:pt idx="20">
                  <c:v>0.51372549019607838</c:v>
                </c:pt>
                <c:pt idx="21">
                  <c:v>0.46274509803921571</c:v>
                </c:pt>
                <c:pt idx="22">
                  <c:v>0.4392156862745098</c:v>
                </c:pt>
                <c:pt idx="23">
                  <c:v>0.396078431372549</c:v>
                </c:pt>
                <c:pt idx="24">
                  <c:v>0.36470588235294116</c:v>
                </c:pt>
                <c:pt idx="25">
                  <c:v>0.33725490196078434</c:v>
                </c:pt>
                <c:pt idx="26">
                  <c:v>0.30588235294117649</c:v>
                </c:pt>
                <c:pt idx="27">
                  <c:v>0.29411764705882354</c:v>
                </c:pt>
                <c:pt idx="28">
                  <c:v>0.27450980392156865</c:v>
                </c:pt>
                <c:pt idx="29">
                  <c:v>0.25490196078431371</c:v>
                </c:pt>
                <c:pt idx="30">
                  <c:v>0.23529411764705882</c:v>
                </c:pt>
                <c:pt idx="31">
                  <c:v>0.2196078431372549</c:v>
                </c:pt>
                <c:pt idx="32">
                  <c:v>0.2</c:v>
                </c:pt>
                <c:pt idx="33">
                  <c:v>0.18431372549019609</c:v>
                </c:pt>
                <c:pt idx="34">
                  <c:v>0.17647058823529413</c:v>
                </c:pt>
                <c:pt idx="35">
                  <c:v>0.16862745098039217</c:v>
                </c:pt>
                <c:pt idx="36">
                  <c:v>0.16078431372549021</c:v>
                </c:pt>
                <c:pt idx="37">
                  <c:v>0.14509803921568629</c:v>
                </c:pt>
                <c:pt idx="38">
                  <c:v>0.13725490196078433</c:v>
                </c:pt>
                <c:pt idx="39">
                  <c:v>0.13725490196078433</c:v>
                </c:pt>
                <c:pt idx="40">
                  <c:v>0.12941176470588237</c:v>
                </c:pt>
                <c:pt idx="41">
                  <c:v>0.12156862745098039</c:v>
                </c:pt>
                <c:pt idx="42">
                  <c:v>0.11764705882352941</c:v>
                </c:pt>
                <c:pt idx="43">
                  <c:v>0.11764705882352941</c:v>
                </c:pt>
                <c:pt idx="44">
                  <c:v>0.10196078431372549</c:v>
                </c:pt>
                <c:pt idx="45">
                  <c:v>0.10196078431372549</c:v>
                </c:pt>
                <c:pt idx="46">
                  <c:v>9.4117647058823528E-2</c:v>
                </c:pt>
                <c:pt idx="47">
                  <c:v>9.8039215686274508E-2</c:v>
                </c:pt>
                <c:pt idx="48">
                  <c:v>8.6274509803921567E-2</c:v>
                </c:pt>
                <c:pt idx="49">
                  <c:v>9.0196078431372548E-2</c:v>
                </c:pt>
                <c:pt idx="50">
                  <c:v>7.4509803921568626E-2</c:v>
                </c:pt>
                <c:pt idx="51">
                  <c:v>6.6666666666666666E-2</c:v>
                </c:pt>
                <c:pt idx="52">
                  <c:v>7.0588235294117646E-2</c:v>
                </c:pt>
                <c:pt idx="53">
                  <c:v>7.0588235294117646E-2</c:v>
                </c:pt>
                <c:pt idx="54">
                  <c:v>6.2745098039215685E-2</c:v>
                </c:pt>
                <c:pt idx="55">
                  <c:v>6.2745098039215685E-2</c:v>
                </c:pt>
                <c:pt idx="56">
                  <c:v>5.8823529411764705E-2</c:v>
                </c:pt>
                <c:pt idx="57">
                  <c:v>6.2745098039215685E-2</c:v>
                </c:pt>
                <c:pt idx="58">
                  <c:v>6.2745098039215685E-2</c:v>
                </c:pt>
                <c:pt idx="59">
                  <c:v>5.8823529411764705E-2</c:v>
                </c:pt>
                <c:pt idx="60">
                  <c:v>5.0980392156862744E-2</c:v>
                </c:pt>
                <c:pt idx="61">
                  <c:v>5.0980392156862744E-2</c:v>
                </c:pt>
                <c:pt idx="62">
                  <c:v>4.7058823529411764E-2</c:v>
                </c:pt>
                <c:pt idx="63">
                  <c:v>4.7058823529411764E-2</c:v>
                </c:pt>
                <c:pt idx="64">
                  <c:v>4.3137254901960784E-2</c:v>
                </c:pt>
                <c:pt idx="65">
                  <c:v>4.3137254901960784E-2</c:v>
                </c:pt>
                <c:pt idx="66">
                  <c:v>5.0980392156862744E-2</c:v>
                </c:pt>
                <c:pt idx="67">
                  <c:v>3.9215686274509803E-2</c:v>
                </c:pt>
                <c:pt idx="68">
                  <c:v>3.9215686274509803E-2</c:v>
                </c:pt>
                <c:pt idx="69">
                  <c:v>5.0980392156862744E-2</c:v>
                </c:pt>
                <c:pt idx="70">
                  <c:v>3.1372549019607843E-2</c:v>
                </c:pt>
                <c:pt idx="71">
                  <c:v>3.1372549019607843E-2</c:v>
                </c:pt>
                <c:pt idx="72">
                  <c:v>4.3137254901960784E-2</c:v>
                </c:pt>
                <c:pt idx="73">
                  <c:v>3.9215686274509803E-2</c:v>
                </c:pt>
                <c:pt idx="74">
                  <c:v>2.3529411764705882E-2</c:v>
                </c:pt>
                <c:pt idx="75">
                  <c:v>1.9607843137254902E-2</c:v>
                </c:pt>
                <c:pt idx="76">
                  <c:v>1.9607843137254902E-2</c:v>
                </c:pt>
                <c:pt idx="77">
                  <c:v>2.3529411764705882E-2</c:v>
                </c:pt>
                <c:pt idx="78">
                  <c:v>1.9607843137254902E-2</c:v>
                </c:pt>
                <c:pt idx="79">
                  <c:v>2.7450980392156862E-2</c:v>
                </c:pt>
                <c:pt idx="80">
                  <c:v>3.5294117647058823E-2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data1!$W$1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data1!$W$2:$W$82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0.94509803921568625</c:v>
                </c:pt>
                <c:pt idx="15">
                  <c:v>0.85098039215686272</c:v>
                </c:pt>
                <c:pt idx="16">
                  <c:v>0.76470588235294112</c:v>
                </c:pt>
                <c:pt idx="17">
                  <c:v>0.68235294117647061</c:v>
                </c:pt>
                <c:pt idx="18">
                  <c:v>0.61176470588235299</c:v>
                </c:pt>
                <c:pt idx="19">
                  <c:v>0.5607843137254902</c:v>
                </c:pt>
                <c:pt idx="20">
                  <c:v>0.50588235294117645</c:v>
                </c:pt>
                <c:pt idx="21">
                  <c:v>0.46666666666666667</c:v>
                </c:pt>
                <c:pt idx="22">
                  <c:v>0.42745098039215684</c:v>
                </c:pt>
                <c:pt idx="23">
                  <c:v>0.3843137254901961</c:v>
                </c:pt>
                <c:pt idx="24">
                  <c:v>0.35294117647058826</c:v>
                </c:pt>
                <c:pt idx="25">
                  <c:v>0.32941176470588235</c:v>
                </c:pt>
                <c:pt idx="26">
                  <c:v>0.30588235294117649</c:v>
                </c:pt>
                <c:pt idx="27">
                  <c:v>0.29019607843137257</c:v>
                </c:pt>
                <c:pt idx="28">
                  <c:v>0.27450980392156865</c:v>
                </c:pt>
                <c:pt idx="29">
                  <c:v>0.25098039215686274</c:v>
                </c:pt>
                <c:pt idx="30">
                  <c:v>0.22352941176470589</c:v>
                </c:pt>
                <c:pt idx="31">
                  <c:v>0.22745098039215686</c:v>
                </c:pt>
                <c:pt idx="32">
                  <c:v>0.20392156862745098</c:v>
                </c:pt>
                <c:pt idx="33">
                  <c:v>0.18431372549019609</c:v>
                </c:pt>
                <c:pt idx="34">
                  <c:v>0.18823529411764706</c:v>
                </c:pt>
                <c:pt idx="35">
                  <c:v>0.17254901960784313</c:v>
                </c:pt>
                <c:pt idx="36">
                  <c:v>0.16078431372549021</c:v>
                </c:pt>
                <c:pt idx="37">
                  <c:v>0.15294117647058825</c:v>
                </c:pt>
                <c:pt idx="38">
                  <c:v>0.15294117647058825</c:v>
                </c:pt>
                <c:pt idx="39">
                  <c:v>0.14509803921568629</c:v>
                </c:pt>
                <c:pt idx="40">
                  <c:v>0.14509803921568629</c:v>
                </c:pt>
                <c:pt idx="41">
                  <c:v>0.13333333333333333</c:v>
                </c:pt>
                <c:pt idx="42">
                  <c:v>0.13333333333333333</c:v>
                </c:pt>
                <c:pt idx="43">
                  <c:v>0.12941176470588237</c:v>
                </c:pt>
                <c:pt idx="44">
                  <c:v>0.12549019607843137</c:v>
                </c:pt>
                <c:pt idx="45">
                  <c:v>0.12156862745098039</c:v>
                </c:pt>
                <c:pt idx="46">
                  <c:v>0.11372549019607843</c:v>
                </c:pt>
                <c:pt idx="47">
                  <c:v>0.10980392156862745</c:v>
                </c:pt>
                <c:pt idx="48">
                  <c:v>0.10196078431372549</c:v>
                </c:pt>
                <c:pt idx="49">
                  <c:v>9.0196078431372548E-2</c:v>
                </c:pt>
                <c:pt idx="50">
                  <c:v>9.4117647058823528E-2</c:v>
                </c:pt>
                <c:pt idx="51">
                  <c:v>9.0196078431372548E-2</c:v>
                </c:pt>
                <c:pt idx="52">
                  <c:v>8.2352941176470587E-2</c:v>
                </c:pt>
                <c:pt idx="53">
                  <c:v>8.2352941176470587E-2</c:v>
                </c:pt>
                <c:pt idx="54">
                  <c:v>7.4509803921568626E-2</c:v>
                </c:pt>
                <c:pt idx="55">
                  <c:v>6.2745098039215685E-2</c:v>
                </c:pt>
                <c:pt idx="56">
                  <c:v>6.6666666666666666E-2</c:v>
                </c:pt>
                <c:pt idx="57">
                  <c:v>5.4901960784313725E-2</c:v>
                </c:pt>
                <c:pt idx="58">
                  <c:v>5.4901960784313725E-2</c:v>
                </c:pt>
                <c:pt idx="59">
                  <c:v>6.6666666666666666E-2</c:v>
                </c:pt>
                <c:pt idx="60">
                  <c:v>6.2745098039215685E-2</c:v>
                </c:pt>
                <c:pt idx="61">
                  <c:v>4.3137254901960784E-2</c:v>
                </c:pt>
                <c:pt idx="62">
                  <c:v>5.0980392156862744E-2</c:v>
                </c:pt>
                <c:pt idx="63">
                  <c:v>5.8823529411764705E-2</c:v>
                </c:pt>
                <c:pt idx="64">
                  <c:v>5.8823529411764705E-2</c:v>
                </c:pt>
                <c:pt idx="65">
                  <c:v>4.7058823529411764E-2</c:v>
                </c:pt>
                <c:pt idx="66">
                  <c:v>5.0980392156862744E-2</c:v>
                </c:pt>
                <c:pt idx="67">
                  <c:v>5.4901960784313725E-2</c:v>
                </c:pt>
                <c:pt idx="68">
                  <c:v>3.9215686274509803E-2</c:v>
                </c:pt>
                <c:pt idx="69">
                  <c:v>4.3137254901960784E-2</c:v>
                </c:pt>
                <c:pt idx="70">
                  <c:v>3.9215686274509803E-2</c:v>
                </c:pt>
                <c:pt idx="71">
                  <c:v>3.9215686274509803E-2</c:v>
                </c:pt>
                <c:pt idx="72">
                  <c:v>3.9215686274509803E-2</c:v>
                </c:pt>
                <c:pt idx="73">
                  <c:v>3.1372549019607843E-2</c:v>
                </c:pt>
                <c:pt idx="74">
                  <c:v>3.1372549019607843E-2</c:v>
                </c:pt>
                <c:pt idx="75">
                  <c:v>3.1372549019607843E-2</c:v>
                </c:pt>
                <c:pt idx="76">
                  <c:v>2.3529411764705882E-2</c:v>
                </c:pt>
                <c:pt idx="77">
                  <c:v>2.3529411764705882E-2</c:v>
                </c:pt>
                <c:pt idx="78">
                  <c:v>4.3137254901960784E-2</c:v>
                </c:pt>
                <c:pt idx="79">
                  <c:v>3.1372549019607843E-2</c:v>
                </c:pt>
                <c:pt idx="80">
                  <c:v>3.1372549019607843E-2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data1!$X$1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data1!$X$2:$X$82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0.94117647058823528</c:v>
                </c:pt>
                <c:pt idx="15">
                  <c:v>0.84313725490196079</c:v>
                </c:pt>
                <c:pt idx="16">
                  <c:v>0.75686274509803919</c:v>
                </c:pt>
                <c:pt idx="17">
                  <c:v>0.6705882352941176</c:v>
                </c:pt>
                <c:pt idx="18">
                  <c:v>0.6</c:v>
                </c:pt>
                <c:pt idx="19">
                  <c:v>0.5607843137254902</c:v>
                </c:pt>
                <c:pt idx="20">
                  <c:v>0.50588235294117645</c:v>
                </c:pt>
                <c:pt idx="21">
                  <c:v>0.47450980392156861</c:v>
                </c:pt>
                <c:pt idx="22">
                  <c:v>0.42352941176470588</c:v>
                </c:pt>
                <c:pt idx="23">
                  <c:v>0.38823529411764707</c:v>
                </c:pt>
                <c:pt idx="24">
                  <c:v>0.36078431372549019</c:v>
                </c:pt>
                <c:pt idx="25">
                  <c:v>0.33333333333333331</c:v>
                </c:pt>
                <c:pt idx="26">
                  <c:v>0.30196078431372547</c:v>
                </c:pt>
                <c:pt idx="27">
                  <c:v>0.28235294117647058</c:v>
                </c:pt>
                <c:pt idx="28">
                  <c:v>0.28235294117647058</c:v>
                </c:pt>
                <c:pt idx="29">
                  <c:v>0.2627450980392157</c:v>
                </c:pt>
                <c:pt idx="30">
                  <c:v>0.23529411764705882</c:v>
                </c:pt>
                <c:pt idx="31">
                  <c:v>0.22745098039215686</c:v>
                </c:pt>
                <c:pt idx="32">
                  <c:v>0.21568627450980393</c:v>
                </c:pt>
                <c:pt idx="33">
                  <c:v>0.20392156862745098</c:v>
                </c:pt>
                <c:pt idx="34">
                  <c:v>0.18431372549019609</c:v>
                </c:pt>
                <c:pt idx="35">
                  <c:v>0.16862745098039217</c:v>
                </c:pt>
                <c:pt idx="36">
                  <c:v>0.16078431372549021</c:v>
                </c:pt>
                <c:pt idx="37">
                  <c:v>0.15294117647058825</c:v>
                </c:pt>
                <c:pt idx="38">
                  <c:v>0.15686274509803921</c:v>
                </c:pt>
                <c:pt idx="39">
                  <c:v>0.13725490196078433</c:v>
                </c:pt>
                <c:pt idx="40">
                  <c:v>0.14509803921568629</c:v>
                </c:pt>
                <c:pt idx="41">
                  <c:v>0.12941176470588237</c:v>
                </c:pt>
                <c:pt idx="42">
                  <c:v>0.12549019607843137</c:v>
                </c:pt>
                <c:pt idx="43">
                  <c:v>0.11372549019607843</c:v>
                </c:pt>
                <c:pt idx="44">
                  <c:v>0.10196078431372549</c:v>
                </c:pt>
                <c:pt idx="45">
                  <c:v>9.8039215686274508E-2</c:v>
                </c:pt>
                <c:pt idx="46">
                  <c:v>9.4117647058823528E-2</c:v>
                </c:pt>
                <c:pt idx="47">
                  <c:v>8.2352941176470587E-2</c:v>
                </c:pt>
                <c:pt idx="48">
                  <c:v>8.6274509803921567E-2</c:v>
                </c:pt>
                <c:pt idx="49">
                  <c:v>7.8431372549019607E-2</c:v>
                </c:pt>
                <c:pt idx="50">
                  <c:v>7.4509803921568626E-2</c:v>
                </c:pt>
                <c:pt idx="51">
                  <c:v>7.0588235294117646E-2</c:v>
                </c:pt>
                <c:pt idx="52">
                  <c:v>7.8431372549019607E-2</c:v>
                </c:pt>
                <c:pt idx="53">
                  <c:v>7.4509803921568626E-2</c:v>
                </c:pt>
                <c:pt idx="54">
                  <c:v>5.8823529411764705E-2</c:v>
                </c:pt>
                <c:pt idx="55">
                  <c:v>5.4901960784313725E-2</c:v>
                </c:pt>
                <c:pt idx="56">
                  <c:v>5.8823529411764705E-2</c:v>
                </c:pt>
                <c:pt idx="57">
                  <c:v>5.4901960784313725E-2</c:v>
                </c:pt>
                <c:pt idx="58">
                  <c:v>5.4901960784313725E-2</c:v>
                </c:pt>
                <c:pt idx="59">
                  <c:v>5.8823529411764705E-2</c:v>
                </c:pt>
                <c:pt idx="60">
                  <c:v>5.0980392156862744E-2</c:v>
                </c:pt>
                <c:pt idx="61">
                  <c:v>3.9215686274509803E-2</c:v>
                </c:pt>
                <c:pt idx="62">
                  <c:v>5.0980392156862744E-2</c:v>
                </c:pt>
                <c:pt idx="63">
                  <c:v>4.3137254901960784E-2</c:v>
                </c:pt>
                <c:pt idx="64">
                  <c:v>5.0980392156862744E-2</c:v>
                </c:pt>
                <c:pt idx="65">
                  <c:v>4.3137254901960784E-2</c:v>
                </c:pt>
                <c:pt idx="66">
                  <c:v>3.9215686274509803E-2</c:v>
                </c:pt>
                <c:pt idx="67">
                  <c:v>4.3137254901960784E-2</c:v>
                </c:pt>
                <c:pt idx="68">
                  <c:v>4.3137254901960784E-2</c:v>
                </c:pt>
                <c:pt idx="69">
                  <c:v>4.7058823529411764E-2</c:v>
                </c:pt>
                <c:pt idx="70">
                  <c:v>5.0980392156862744E-2</c:v>
                </c:pt>
                <c:pt idx="71">
                  <c:v>4.3137254901960784E-2</c:v>
                </c:pt>
                <c:pt idx="72">
                  <c:v>3.1372549019607843E-2</c:v>
                </c:pt>
                <c:pt idx="73">
                  <c:v>3.5294117647058823E-2</c:v>
                </c:pt>
                <c:pt idx="74">
                  <c:v>4.3137254901960784E-2</c:v>
                </c:pt>
                <c:pt idx="75">
                  <c:v>3.5294117647058823E-2</c:v>
                </c:pt>
                <c:pt idx="76">
                  <c:v>4.3137254901960784E-2</c:v>
                </c:pt>
                <c:pt idx="77">
                  <c:v>4.3137254901960784E-2</c:v>
                </c:pt>
                <c:pt idx="78">
                  <c:v>3.9215686274509803E-2</c:v>
                </c:pt>
                <c:pt idx="79">
                  <c:v>4.3137254901960784E-2</c:v>
                </c:pt>
                <c:pt idx="80">
                  <c:v>4.3137254901960784E-2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data1!$Y$1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data1!$Y$2:$Y$82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0.94117647058823528</c:v>
                </c:pt>
                <c:pt idx="15">
                  <c:v>0.84705882352941175</c:v>
                </c:pt>
                <c:pt idx="16">
                  <c:v>0.75294117647058822</c:v>
                </c:pt>
                <c:pt idx="17">
                  <c:v>0.67843137254901964</c:v>
                </c:pt>
                <c:pt idx="18">
                  <c:v>0.61176470588235299</c:v>
                </c:pt>
                <c:pt idx="19">
                  <c:v>0.55294117647058827</c:v>
                </c:pt>
                <c:pt idx="20">
                  <c:v>0.50196078431372548</c:v>
                </c:pt>
                <c:pt idx="21">
                  <c:v>0.47450980392156861</c:v>
                </c:pt>
                <c:pt idx="22">
                  <c:v>0.42745098039215684</c:v>
                </c:pt>
                <c:pt idx="23">
                  <c:v>0.39215686274509803</c:v>
                </c:pt>
                <c:pt idx="24">
                  <c:v>0.35686274509803922</c:v>
                </c:pt>
                <c:pt idx="25">
                  <c:v>0.32941176470588235</c:v>
                </c:pt>
                <c:pt idx="26">
                  <c:v>0.31372549019607843</c:v>
                </c:pt>
                <c:pt idx="27">
                  <c:v>0.29019607843137257</c:v>
                </c:pt>
                <c:pt idx="28">
                  <c:v>0.26666666666666666</c:v>
                </c:pt>
                <c:pt idx="29">
                  <c:v>0.24313725490196078</c:v>
                </c:pt>
                <c:pt idx="30">
                  <c:v>0.23137254901960785</c:v>
                </c:pt>
                <c:pt idx="31">
                  <c:v>0.21568627450980393</c:v>
                </c:pt>
                <c:pt idx="32">
                  <c:v>0.2</c:v>
                </c:pt>
                <c:pt idx="33">
                  <c:v>0.18823529411764706</c:v>
                </c:pt>
                <c:pt idx="34">
                  <c:v>0.17647058823529413</c:v>
                </c:pt>
                <c:pt idx="35">
                  <c:v>0.16078431372549021</c:v>
                </c:pt>
                <c:pt idx="36">
                  <c:v>0.15294117647058825</c:v>
                </c:pt>
                <c:pt idx="37">
                  <c:v>0.14509803921568629</c:v>
                </c:pt>
                <c:pt idx="38">
                  <c:v>0.14117647058823529</c:v>
                </c:pt>
                <c:pt idx="39">
                  <c:v>0.13333333333333333</c:v>
                </c:pt>
                <c:pt idx="40">
                  <c:v>0.12941176470588237</c:v>
                </c:pt>
                <c:pt idx="41">
                  <c:v>0.12156862745098039</c:v>
                </c:pt>
                <c:pt idx="42">
                  <c:v>0.11372549019607843</c:v>
                </c:pt>
                <c:pt idx="43">
                  <c:v>0.10980392156862745</c:v>
                </c:pt>
                <c:pt idx="44">
                  <c:v>0.10588235294117647</c:v>
                </c:pt>
                <c:pt idx="45">
                  <c:v>9.8039215686274508E-2</c:v>
                </c:pt>
                <c:pt idx="46">
                  <c:v>9.0196078431372548E-2</c:v>
                </c:pt>
                <c:pt idx="47">
                  <c:v>9.0196078431372548E-2</c:v>
                </c:pt>
                <c:pt idx="48">
                  <c:v>9.0196078431372548E-2</c:v>
                </c:pt>
                <c:pt idx="49">
                  <c:v>8.2352941176470587E-2</c:v>
                </c:pt>
                <c:pt idx="50">
                  <c:v>7.4509803921568626E-2</c:v>
                </c:pt>
                <c:pt idx="51">
                  <c:v>7.0588235294117646E-2</c:v>
                </c:pt>
                <c:pt idx="52">
                  <c:v>6.6666666666666666E-2</c:v>
                </c:pt>
                <c:pt idx="53">
                  <c:v>6.6666666666666666E-2</c:v>
                </c:pt>
                <c:pt idx="54">
                  <c:v>5.4901960784313725E-2</c:v>
                </c:pt>
                <c:pt idx="55">
                  <c:v>5.4901960784313725E-2</c:v>
                </c:pt>
                <c:pt idx="56">
                  <c:v>5.4901960784313725E-2</c:v>
                </c:pt>
                <c:pt idx="57">
                  <c:v>5.0980392156862744E-2</c:v>
                </c:pt>
                <c:pt idx="58">
                  <c:v>5.0980392156862744E-2</c:v>
                </c:pt>
                <c:pt idx="59">
                  <c:v>5.4901960784313725E-2</c:v>
                </c:pt>
                <c:pt idx="60">
                  <c:v>4.3137254901960784E-2</c:v>
                </c:pt>
                <c:pt idx="61">
                  <c:v>4.3137254901960784E-2</c:v>
                </c:pt>
                <c:pt idx="62">
                  <c:v>4.3137254901960784E-2</c:v>
                </c:pt>
                <c:pt idx="63">
                  <c:v>4.3137254901960784E-2</c:v>
                </c:pt>
                <c:pt idx="64">
                  <c:v>3.5294117647058823E-2</c:v>
                </c:pt>
                <c:pt idx="65">
                  <c:v>3.9215686274509803E-2</c:v>
                </c:pt>
                <c:pt idx="66">
                  <c:v>3.1372549019607843E-2</c:v>
                </c:pt>
                <c:pt idx="67">
                  <c:v>3.1372549019607843E-2</c:v>
                </c:pt>
                <c:pt idx="68">
                  <c:v>3.1372549019607843E-2</c:v>
                </c:pt>
                <c:pt idx="69">
                  <c:v>2.7450980392156862E-2</c:v>
                </c:pt>
                <c:pt idx="70">
                  <c:v>2.3529411764705882E-2</c:v>
                </c:pt>
                <c:pt idx="71">
                  <c:v>3.9215686274509803E-2</c:v>
                </c:pt>
                <c:pt idx="72">
                  <c:v>3.1372549019607843E-2</c:v>
                </c:pt>
                <c:pt idx="73">
                  <c:v>3.5294117647058823E-2</c:v>
                </c:pt>
                <c:pt idx="74">
                  <c:v>3.9215686274509803E-2</c:v>
                </c:pt>
                <c:pt idx="75">
                  <c:v>3.5294117647058823E-2</c:v>
                </c:pt>
                <c:pt idx="76">
                  <c:v>3.5294117647058823E-2</c:v>
                </c:pt>
                <c:pt idx="77">
                  <c:v>2.3529411764705882E-2</c:v>
                </c:pt>
                <c:pt idx="78">
                  <c:v>3.1372549019607843E-2</c:v>
                </c:pt>
                <c:pt idx="79">
                  <c:v>2.3529411764705882E-2</c:v>
                </c:pt>
                <c:pt idx="80">
                  <c:v>3.1372549019607843E-2</c:v>
                </c:pt>
              </c:numCache>
            </c:numRef>
          </c:yVal>
          <c:smooth val="1"/>
        </c:ser>
        <c:axId val="135849088"/>
        <c:axId val="135850624"/>
      </c:scatterChart>
      <c:valAx>
        <c:axId val="135849088"/>
        <c:scaling>
          <c:orientation val="minMax"/>
        </c:scaling>
        <c:axPos val="b"/>
        <c:numFmt formatCode="0.0" sourceLinked="1"/>
        <c:tickLblPos val="nextTo"/>
        <c:crossAx val="135850624"/>
        <c:crosses val="autoZero"/>
        <c:crossBetween val="midCat"/>
      </c:valAx>
      <c:valAx>
        <c:axId val="135850624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3584908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data1!$R$2:$R$82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0.92941176470588238</c:v>
                </c:pt>
                <c:pt idx="15">
                  <c:v>0.83529411764705885</c:v>
                </c:pt>
                <c:pt idx="16">
                  <c:v>0.74117647058823533</c:v>
                </c:pt>
                <c:pt idx="17">
                  <c:v>0.66666666666666663</c:v>
                </c:pt>
                <c:pt idx="18">
                  <c:v>0.6</c:v>
                </c:pt>
                <c:pt idx="19">
                  <c:v>0.54509803921568623</c:v>
                </c:pt>
                <c:pt idx="20">
                  <c:v>0.49803921568627452</c:v>
                </c:pt>
                <c:pt idx="21">
                  <c:v>0.45490196078431372</c:v>
                </c:pt>
                <c:pt idx="22">
                  <c:v>0.42352941176470588</c:v>
                </c:pt>
                <c:pt idx="23">
                  <c:v>0.39215686274509803</c:v>
                </c:pt>
                <c:pt idx="24">
                  <c:v>0.34901960784313724</c:v>
                </c:pt>
                <c:pt idx="25">
                  <c:v>0.32156862745098042</c:v>
                </c:pt>
                <c:pt idx="26">
                  <c:v>0.29411764705882354</c:v>
                </c:pt>
                <c:pt idx="27">
                  <c:v>0.28235294117647058</c:v>
                </c:pt>
                <c:pt idx="28">
                  <c:v>0.25882352941176473</c:v>
                </c:pt>
                <c:pt idx="29">
                  <c:v>0.23921568627450981</c:v>
                </c:pt>
                <c:pt idx="30">
                  <c:v>0.22352941176470589</c:v>
                </c:pt>
                <c:pt idx="31">
                  <c:v>0.20784313725490197</c:v>
                </c:pt>
                <c:pt idx="32">
                  <c:v>0.2</c:v>
                </c:pt>
                <c:pt idx="33">
                  <c:v>0.18431372549019609</c:v>
                </c:pt>
                <c:pt idx="34">
                  <c:v>0.17647058823529413</c:v>
                </c:pt>
                <c:pt idx="35">
                  <c:v>0.16078431372549021</c:v>
                </c:pt>
                <c:pt idx="36">
                  <c:v>0.15294117647058825</c:v>
                </c:pt>
                <c:pt idx="37">
                  <c:v>0.14509803921568629</c:v>
                </c:pt>
                <c:pt idx="38">
                  <c:v>0.13725490196078433</c:v>
                </c:pt>
                <c:pt idx="39">
                  <c:v>0.12941176470588237</c:v>
                </c:pt>
                <c:pt idx="40">
                  <c:v>0.12941176470588237</c:v>
                </c:pt>
                <c:pt idx="41">
                  <c:v>0.11372549019607843</c:v>
                </c:pt>
                <c:pt idx="42">
                  <c:v>0.11372549019607843</c:v>
                </c:pt>
                <c:pt idx="43">
                  <c:v>0.11372549019607843</c:v>
                </c:pt>
                <c:pt idx="44">
                  <c:v>0.10980392156862745</c:v>
                </c:pt>
                <c:pt idx="45">
                  <c:v>9.4117647058823528E-2</c:v>
                </c:pt>
                <c:pt idx="46">
                  <c:v>8.2352941176470587E-2</c:v>
                </c:pt>
                <c:pt idx="47">
                  <c:v>8.2352941176470587E-2</c:v>
                </c:pt>
                <c:pt idx="48">
                  <c:v>7.4509803921568626E-2</c:v>
                </c:pt>
                <c:pt idx="49">
                  <c:v>7.8431372549019607E-2</c:v>
                </c:pt>
                <c:pt idx="50">
                  <c:v>9.0196078431372548E-2</c:v>
                </c:pt>
                <c:pt idx="51">
                  <c:v>7.4509803921568626E-2</c:v>
                </c:pt>
                <c:pt idx="52">
                  <c:v>6.6666666666666666E-2</c:v>
                </c:pt>
                <c:pt idx="53">
                  <c:v>8.2352941176470587E-2</c:v>
                </c:pt>
                <c:pt idx="54">
                  <c:v>7.4509803921568626E-2</c:v>
                </c:pt>
                <c:pt idx="55">
                  <c:v>6.6666666666666666E-2</c:v>
                </c:pt>
                <c:pt idx="56">
                  <c:v>5.8823529411764705E-2</c:v>
                </c:pt>
                <c:pt idx="57">
                  <c:v>6.6666666666666666E-2</c:v>
                </c:pt>
                <c:pt idx="58">
                  <c:v>5.8823529411764705E-2</c:v>
                </c:pt>
                <c:pt idx="59">
                  <c:v>6.6666666666666666E-2</c:v>
                </c:pt>
                <c:pt idx="60">
                  <c:v>5.8823529411764705E-2</c:v>
                </c:pt>
                <c:pt idx="61">
                  <c:v>4.3137254901960784E-2</c:v>
                </c:pt>
                <c:pt idx="62">
                  <c:v>5.8823529411764705E-2</c:v>
                </c:pt>
                <c:pt idx="63">
                  <c:v>4.7058823529411764E-2</c:v>
                </c:pt>
                <c:pt idx="64">
                  <c:v>4.3137254901960784E-2</c:v>
                </c:pt>
                <c:pt idx="65">
                  <c:v>5.0980392156862744E-2</c:v>
                </c:pt>
                <c:pt idx="66">
                  <c:v>5.8823529411764705E-2</c:v>
                </c:pt>
                <c:pt idx="67">
                  <c:v>5.4901960784313725E-2</c:v>
                </c:pt>
                <c:pt idx="68">
                  <c:v>5.0980392156862744E-2</c:v>
                </c:pt>
                <c:pt idx="69">
                  <c:v>5.0980392156862744E-2</c:v>
                </c:pt>
                <c:pt idx="70">
                  <c:v>5.0980392156862744E-2</c:v>
                </c:pt>
                <c:pt idx="71">
                  <c:v>3.9215686274509803E-2</c:v>
                </c:pt>
                <c:pt idx="72">
                  <c:v>3.1372549019607843E-2</c:v>
                </c:pt>
                <c:pt idx="73">
                  <c:v>4.3137254901960784E-2</c:v>
                </c:pt>
                <c:pt idx="74">
                  <c:v>3.9215686274509803E-2</c:v>
                </c:pt>
                <c:pt idx="75">
                  <c:v>2.7450980392156862E-2</c:v>
                </c:pt>
                <c:pt idx="76">
                  <c:v>3.9215686274509803E-2</c:v>
                </c:pt>
                <c:pt idx="77">
                  <c:v>3.1372549019607843E-2</c:v>
                </c:pt>
                <c:pt idx="78">
                  <c:v>3.1372549019607843E-2</c:v>
                </c:pt>
                <c:pt idx="79">
                  <c:v>2.3529411764705882E-2</c:v>
                </c:pt>
                <c:pt idx="80">
                  <c:v>2.3529411764705882E-2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data1!$S$1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data1!$S$2:$S$82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0.93333333333333335</c:v>
                </c:pt>
                <c:pt idx="15">
                  <c:v>0.84313725490196079</c:v>
                </c:pt>
                <c:pt idx="16">
                  <c:v>0.75294117647058822</c:v>
                </c:pt>
                <c:pt idx="17">
                  <c:v>0.6705882352941176</c:v>
                </c:pt>
                <c:pt idx="18">
                  <c:v>0.60784313725490191</c:v>
                </c:pt>
                <c:pt idx="19">
                  <c:v>0.54509803921568623</c:v>
                </c:pt>
                <c:pt idx="20">
                  <c:v>0.50196078431372548</c:v>
                </c:pt>
                <c:pt idx="21">
                  <c:v>0.46274509803921571</c:v>
                </c:pt>
                <c:pt idx="22">
                  <c:v>0.41960784313725491</c:v>
                </c:pt>
                <c:pt idx="23">
                  <c:v>0.38823529411764707</c:v>
                </c:pt>
                <c:pt idx="24">
                  <c:v>0.36470588235294116</c:v>
                </c:pt>
                <c:pt idx="25">
                  <c:v>0.33333333333333331</c:v>
                </c:pt>
                <c:pt idx="26">
                  <c:v>0.30196078431372547</c:v>
                </c:pt>
                <c:pt idx="27">
                  <c:v>0.28235294117647058</c:v>
                </c:pt>
                <c:pt idx="28">
                  <c:v>0.26666666666666666</c:v>
                </c:pt>
                <c:pt idx="29">
                  <c:v>0.25882352941176473</c:v>
                </c:pt>
                <c:pt idx="30">
                  <c:v>0.23921568627450981</c:v>
                </c:pt>
                <c:pt idx="31">
                  <c:v>0.22352941176470589</c:v>
                </c:pt>
                <c:pt idx="32">
                  <c:v>0.20784313725490197</c:v>
                </c:pt>
                <c:pt idx="33">
                  <c:v>0.19215686274509805</c:v>
                </c:pt>
                <c:pt idx="34">
                  <c:v>0.17647058823529413</c:v>
                </c:pt>
                <c:pt idx="35">
                  <c:v>0.16862745098039217</c:v>
                </c:pt>
                <c:pt idx="36">
                  <c:v>0.16078431372549021</c:v>
                </c:pt>
                <c:pt idx="37">
                  <c:v>0.15294117647058825</c:v>
                </c:pt>
                <c:pt idx="38">
                  <c:v>0.15294117647058825</c:v>
                </c:pt>
                <c:pt idx="39">
                  <c:v>0.14117647058823529</c:v>
                </c:pt>
                <c:pt idx="40">
                  <c:v>0.12941176470588237</c:v>
                </c:pt>
                <c:pt idx="41">
                  <c:v>0.12549019607843137</c:v>
                </c:pt>
                <c:pt idx="42">
                  <c:v>0.12156862745098039</c:v>
                </c:pt>
                <c:pt idx="43">
                  <c:v>0.11764705882352941</c:v>
                </c:pt>
                <c:pt idx="44">
                  <c:v>0.10588235294117647</c:v>
                </c:pt>
                <c:pt idx="45">
                  <c:v>0.10588235294117647</c:v>
                </c:pt>
                <c:pt idx="46">
                  <c:v>9.8039215686274508E-2</c:v>
                </c:pt>
                <c:pt idx="47">
                  <c:v>9.4117647058823528E-2</c:v>
                </c:pt>
                <c:pt idx="48">
                  <c:v>8.6274509803921567E-2</c:v>
                </c:pt>
                <c:pt idx="49">
                  <c:v>8.2352941176470587E-2</c:v>
                </c:pt>
                <c:pt idx="50">
                  <c:v>7.4509803921568626E-2</c:v>
                </c:pt>
                <c:pt idx="51">
                  <c:v>7.0588235294117646E-2</c:v>
                </c:pt>
                <c:pt idx="52">
                  <c:v>7.0588235294117646E-2</c:v>
                </c:pt>
                <c:pt idx="53">
                  <c:v>6.6666666666666666E-2</c:v>
                </c:pt>
                <c:pt idx="54">
                  <c:v>8.2352941176470587E-2</c:v>
                </c:pt>
                <c:pt idx="55">
                  <c:v>6.6666666666666666E-2</c:v>
                </c:pt>
                <c:pt idx="56">
                  <c:v>5.4901960784313725E-2</c:v>
                </c:pt>
                <c:pt idx="57">
                  <c:v>7.4509803921568626E-2</c:v>
                </c:pt>
                <c:pt idx="58">
                  <c:v>6.6666666666666666E-2</c:v>
                </c:pt>
                <c:pt idx="59">
                  <c:v>6.6666666666666666E-2</c:v>
                </c:pt>
                <c:pt idx="60">
                  <c:v>6.6666666666666666E-2</c:v>
                </c:pt>
                <c:pt idx="61">
                  <c:v>6.2745098039215685E-2</c:v>
                </c:pt>
                <c:pt idx="62">
                  <c:v>6.6666666666666666E-2</c:v>
                </c:pt>
                <c:pt idx="63">
                  <c:v>6.6666666666666666E-2</c:v>
                </c:pt>
                <c:pt idx="64">
                  <c:v>5.8823529411764705E-2</c:v>
                </c:pt>
                <c:pt idx="65">
                  <c:v>6.6666666666666666E-2</c:v>
                </c:pt>
                <c:pt idx="66">
                  <c:v>5.8823529411764705E-2</c:v>
                </c:pt>
                <c:pt idx="67">
                  <c:v>5.0980392156862744E-2</c:v>
                </c:pt>
                <c:pt idx="68">
                  <c:v>3.9215686274509803E-2</c:v>
                </c:pt>
                <c:pt idx="69">
                  <c:v>4.3137254901960784E-2</c:v>
                </c:pt>
                <c:pt idx="70">
                  <c:v>3.5294117647058823E-2</c:v>
                </c:pt>
                <c:pt idx="71">
                  <c:v>3.5294117647058823E-2</c:v>
                </c:pt>
                <c:pt idx="72">
                  <c:v>5.0980392156862744E-2</c:v>
                </c:pt>
                <c:pt idx="73">
                  <c:v>3.1372549019607843E-2</c:v>
                </c:pt>
                <c:pt idx="74">
                  <c:v>3.5294117647058823E-2</c:v>
                </c:pt>
                <c:pt idx="75">
                  <c:v>4.3137254901960784E-2</c:v>
                </c:pt>
                <c:pt idx="76">
                  <c:v>3.5294117647058823E-2</c:v>
                </c:pt>
                <c:pt idx="77">
                  <c:v>2.7450980392156862E-2</c:v>
                </c:pt>
                <c:pt idx="78">
                  <c:v>2.3529411764705882E-2</c:v>
                </c:pt>
                <c:pt idx="79">
                  <c:v>2.3529411764705882E-2</c:v>
                </c:pt>
                <c:pt idx="80">
                  <c:v>1.5686274509803921E-2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data1!$T$1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data1!$T$2:$T$82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0.93333333333333335</c:v>
                </c:pt>
                <c:pt idx="15">
                  <c:v>0.83529411764705885</c:v>
                </c:pt>
                <c:pt idx="16">
                  <c:v>0.75686274509803919</c:v>
                </c:pt>
                <c:pt idx="17">
                  <c:v>0.66274509803921566</c:v>
                </c:pt>
                <c:pt idx="18">
                  <c:v>0.59215686274509804</c:v>
                </c:pt>
                <c:pt idx="19">
                  <c:v>0.54509803921568623</c:v>
                </c:pt>
                <c:pt idx="20">
                  <c:v>0.49803921568627452</c:v>
                </c:pt>
                <c:pt idx="21">
                  <c:v>0.45490196078431372</c:v>
                </c:pt>
                <c:pt idx="22">
                  <c:v>0.41176470588235292</c:v>
                </c:pt>
                <c:pt idx="23">
                  <c:v>0.4</c:v>
                </c:pt>
                <c:pt idx="24">
                  <c:v>0.35294117647058826</c:v>
                </c:pt>
                <c:pt idx="25">
                  <c:v>0.32156862745098042</c:v>
                </c:pt>
                <c:pt idx="26">
                  <c:v>0.29803921568627451</c:v>
                </c:pt>
                <c:pt idx="27">
                  <c:v>0.27450980392156865</c:v>
                </c:pt>
                <c:pt idx="28">
                  <c:v>0.24705882352941178</c:v>
                </c:pt>
                <c:pt idx="29">
                  <c:v>0.24313725490196078</c:v>
                </c:pt>
                <c:pt idx="30">
                  <c:v>0.21568627450980393</c:v>
                </c:pt>
                <c:pt idx="31">
                  <c:v>0.2</c:v>
                </c:pt>
                <c:pt idx="32">
                  <c:v>0.18431372549019609</c:v>
                </c:pt>
                <c:pt idx="33">
                  <c:v>0.1803921568627451</c:v>
                </c:pt>
                <c:pt idx="34">
                  <c:v>0.1803921568627451</c:v>
                </c:pt>
                <c:pt idx="35">
                  <c:v>0.16470588235294117</c:v>
                </c:pt>
                <c:pt idx="36">
                  <c:v>0.15294117647058825</c:v>
                </c:pt>
                <c:pt idx="37">
                  <c:v>0.14509803921568629</c:v>
                </c:pt>
                <c:pt idx="38">
                  <c:v>0.14117647058823529</c:v>
                </c:pt>
                <c:pt idx="39">
                  <c:v>0.12941176470588237</c:v>
                </c:pt>
                <c:pt idx="40">
                  <c:v>0.12156862745098039</c:v>
                </c:pt>
                <c:pt idx="41">
                  <c:v>0.12156862745098039</c:v>
                </c:pt>
                <c:pt idx="42">
                  <c:v>0.10588235294117647</c:v>
                </c:pt>
                <c:pt idx="43">
                  <c:v>0.10196078431372549</c:v>
                </c:pt>
                <c:pt idx="44">
                  <c:v>0.10588235294117647</c:v>
                </c:pt>
                <c:pt idx="45">
                  <c:v>0.10196078431372549</c:v>
                </c:pt>
                <c:pt idx="46">
                  <c:v>9.4117647058823528E-2</c:v>
                </c:pt>
                <c:pt idx="47">
                  <c:v>9.8039215686274508E-2</c:v>
                </c:pt>
                <c:pt idx="48">
                  <c:v>9.0196078431372548E-2</c:v>
                </c:pt>
                <c:pt idx="49">
                  <c:v>8.2352941176470587E-2</c:v>
                </c:pt>
                <c:pt idx="50">
                  <c:v>7.0588235294117646E-2</c:v>
                </c:pt>
                <c:pt idx="51">
                  <c:v>7.4509803921568626E-2</c:v>
                </c:pt>
                <c:pt idx="52">
                  <c:v>7.8431372549019607E-2</c:v>
                </c:pt>
                <c:pt idx="53">
                  <c:v>8.2352941176470587E-2</c:v>
                </c:pt>
                <c:pt idx="54">
                  <c:v>8.2352941176470587E-2</c:v>
                </c:pt>
                <c:pt idx="55">
                  <c:v>7.8431372549019607E-2</c:v>
                </c:pt>
                <c:pt idx="56">
                  <c:v>7.0588235294117646E-2</c:v>
                </c:pt>
                <c:pt idx="57">
                  <c:v>4.7058823529411764E-2</c:v>
                </c:pt>
                <c:pt idx="58">
                  <c:v>4.7058823529411764E-2</c:v>
                </c:pt>
                <c:pt idx="59">
                  <c:v>6.2745098039215685E-2</c:v>
                </c:pt>
                <c:pt idx="60">
                  <c:v>6.6666666666666666E-2</c:v>
                </c:pt>
                <c:pt idx="61">
                  <c:v>5.8823529411764705E-2</c:v>
                </c:pt>
                <c:pt idx="62">
                  <c:v>5.0980392156862744E-2</c:v>
                </c:pt>
                <c:pt idx="63">
                  <c:v>3.5294117647058823E-2</c:v>
                </c:pt>
                <c:pt idx="64">
                  <c:v>4.3137254901960784E-2</c:v>
                </c:pt>
                <c:pt idx="65">
                  <c:v>3.5294117647058823E-2</c:v>
                </c:pt>
                <c:pt idx="66">
                  <c:v>3.9215686274509803E-2</c:v>
                </c:pt>
                <c:pt idx="67">
                  <c:v>2.7450980392156862E-2</c:v>
                </c:pt>
                <c:pt idx="68">
                  <c:v>3.5294117647058823E-2</c:v>
                </c:pt>
                <c:pt idx="69">
                  <c:v>3.5294117647058823E-2</c:v>
                </c:pt>
                <c:pt idx="70">
                  <c:v>4.3137254901960784E-2</c:v>
                </c:pt>
                <c:pt idx="71">
                  <c:v>2.7450980392156862E-2</c:v>
                </c:pt>
                <c:pt idx="72">
                  <c:v>2.7450980392156862E-2</c:v>
                </c:pt>
                <c:pt idx="73">
                  <c:v>3.5294117647058823E-2</c:v>
                </c:pt>
                <c:pt idx="74">
                  <c:v>4.3137254901960784E-2</c:v>
                </c:pt>
                <c:pt idx="75">
                  <c:v>2.7450980392156862E-2</c:v>
                </c:pt>
                <c:pt idx="76">
                  <c:v>3.5294117647058823E-2</c:v>
                </c:pt>
                <c:pt idx="77">
                  <c:v>2.3529411764705882E-2</c:v>
                </c:pt>
                <c:pt idx="78">
                  <c:v>2.7450980392156862E-2</c:v>
                </c:pt>
                <c:pt idx="79">
                  <c:v>2.3529411764705882E-2</c:v>
                </c:pt>
                <c:pt idx="80">
                  <c:v>1.9607843137254902E-2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data1!$U$1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data1!$U$2:$U$82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0.94117647058823528</c:v>
                </c:pt>
                <c:pt idx="15">
                  <c:v>0.84705882352941175</c:v>
                </c:pt>
                <c:pt idx="16">
                  <c:v>0.75686274509803919</c:v>
                </c:pt>
                <c:pt idx="17">
                  <c:v>0.68235294117647061</c:v>
                </c:pt>
                <c:pt idx="18">
                  <c:v>0.61176470588235299</c:v>
                </c:pt>
                <c:pt idx="19">
                  <c:v>0.55294117647058827</c:v>
                </c:pt>
                <c:pt idx="20">
                  <c:v>0.50980392156862742</c:v>
                </c:pt>
                <c:pt idx="21">
                  <c:v>0.46666666666666667</c:v>
                </c:pt>
                <c:pt idx="22">
                  <c:v>0.42352941176470588</c:v>
                </c:pt>
                <c:pt idx="23">
                  <c:v>0.396078431372549</c:v>
                </c:pt>
                <c:pt idx="24">
                  <c:v>0.36470588235294116</c:v>
                </c:pt>
                <c:pt idx="25">
                  <c:v>0.33725490196078434</c:v>
                </c:pt>
                <c:pt idx="26">
                  <c:v>0.31372549019607843</c:v>
                </c:pt>
                <c:pt idx="27">
                  <c:v>0.29019607843137257</c:v>
                </c:pt>
                <c:pt idx="28">
                  <c:v>0.27450980392156865</c:v>
                </c:pt>
                <c:pt idx="29">
                  <c:v>0.25098039215686274</c:v>
                </c:pt>
                <c:pt idx="30">
                  <c:v>0.23529411764705882</c:v>
                </c:pt>
                <c:pt idx="31">
                  <c:v>0.21568627450980393</c:v>
                </c:pt>
                <c:pt idx="32">
                  <c:v>0.20392156862745098</c:v>
                </c:pt>
                <c:pt idx="33">
                  <c:v>0.19215686274509805</c:v>
                </c:pt>
                <c:pt idx="34">
                  <c:v>0.18431372549019609</c:v>
                </c:pt>
                <c:pt idx="35">
                  <c:v>0.17647058823529413</c:v>
                </c:pt>
                <c:pt idx="36">
                  <c:v>0.16470588235294117</c:v>
                </c:pt>
                <c:pt idx="37">
                  <c:v>0.15294117647058825</c:v>
                </c:pt>
                <c:pt idx="38">
                  <c:v>0.14509803921568629</c:v>
                </c:pt>
                <c:pt idx="39">
                  <c:v>0.14509803921568629</c:v>
                </c:pt>
                <c:pt idx="40">
                  <c:v>0.13333333333333333</c:v>
                </c:pt>
                <c:pt idx="41">
                  <c:v>0.12156862745098039</c:v>
                </c:pt>
                <c:pt idx="42">
                  <c:v>0.12156862745098039</c:v>
                </c:pt>
                <c:pt idx="43">
                  <c:v>0.11372549019607843</c:v>
                </c:pt>
                <c:pt idx="44">
                  <c:v>9.8039215686274508E-2</c:v>
                </c:pt>
                <c:pt idx="45">
                  <c:v>9.8039215686274508E-2</c:v>
                </c:pt>
                <c:pt idx="46">
                  <c:v>9.8039215686274508E-2</c:v>
                </c:pt>
                <c:pt idx="47">
                  <c:v>9.8039215686274508E-2</c:v>
                </c:pt>
                <c:pt idx="48">
                  <c:v>8.6274509803921567E-2</c:v>
                </c:pt>
                <c:pt idx="49">
                  <c:v>7.8431372549019607E-2</c:v>
                </c:pt>
                <c:pt idx="50">
                  <c:v>7.4509803921568626E-2</c:v>
                </c:pt>
                <c:pt idx="51">
                  <c:v>8.2352941176470587E-2</c:v>
                </c:pt>
                <c:pt idx="52">
                  <c:v>7.0588235294117646E-2</c:v>
                </c:pt>
                <c:pt idx="53">
                  <c:v>6.6666666666666666E-2</c:v>
                </c:pt>
                <c:pt idx="54">
                  <c:v>6.6666666666666666E-2</c:v>
                </c:pt>
                <c:pt idx="55">
                  <c:v>6.6666666666666666E-2</c:v>
                </c:pt>
                <c:pt idx="56">
                  <c:v>5.8823529411764705E-2</c:v>
                </c:pt>
                <c:pt idx="57">
                  <c:v>6.2745098039215685E-2</c:v>
                </c:pt>
                <c:pt idx="58">
                  <c:v>4.3137254901960784E-2</c:v>
                </c:pt>
                <c:pt idx="59">
                  <c:v>4.3137254901960784E-2</c:v>
                </c:pt>
                <c:pt idx="60">
                  <c:v>5.0980392156862744E-2</c:v>
                </c:pt>
                <c:pt idx="61">
                  <c:v>3.1372549019607843E-2</c:v>
                </c:pt>
                <c:pt idx="62">
                  <c:v>3.9215686274509803E-2</c:v>
                </c:pt>
                <c:pt idx="63">
                  <c:v>3.9215686274509803E-2</c:v>
                </c:pt>
                <c:pt idx="64">
                  <c:v>3.9215686274509803E-2</c:v>
                </c:pt>
                <c:pt idx="65">
                  <c:v>3.5294117647058823E-2</c:v>
                </c:pt>
                <c:pt idx="66">
                  <c:v>3.9215686274509803E-2</c:v>
                </c:pt>
                <c:pt idx="67">
                  <c:v>3.1372549019607843E-2</c:v>
                </c:pt>
                <c:pt idx="68">
                  <c:v>3.1372549019607843E-2</c:v>
                </c:pt>
                <c:pt idx="69">
                  <c:v>2.7450980392156862E-2</c:v>
                </c:pt>
                <c:pt idx="70">
                  <c:v>1.9607843137254902E-2</c:v>
                </c:pt>
                <c:pt idx="71">
                  <c:v>2.7450980392156862E-2</c:v>
                </c:pt>
                <c:pt idx="72">
                  <c:v>2.3529411764705882E-2</c:v>
                </c:pt>
                <c:pt idx="73">
                  <c:v>2.3529411764705882E-2</c:v>
                </c:pt>
                <c:pt idx="74">
                  <c:v>2.3529411764705882E-2</c:v>
                </c:pt>
                <c:pt idx="75">
                  <c:v>2.3529411764705882E-2</c:v>
                </c:pt>
                <c:pt idx="76">
                  <c:v>3.9215686274509803E-2</c:v>
                </c:pt>
                <c:pt idx="77">
                  <c:v>3.5294117647058823E-2</c:v>
                </c:pt>
                <c:pt idx="78">
                  <c:v>2.3529411764705882E-2</c:v>
                </c:pt>
                <c:pt idx="79">
                  <c:v>2.3529411764705882E-2</c:v>
                </c:pt>
                <c:pt idx="80">
                  <c:v>1.1764705882352941E-2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data1!$V$1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data1!$V$2:$V$82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0.92941176470588238</c:v>
                </c:pt>
                <c:pt idx="15">
                  <c:v>0.83529411764705885</c:v>
                </c:pt>
                <c:pt idx="16">
                  <c:v>0.75294117647058822</c:v>
                </c:pt>
                <c:pt idx="17">
                  <c:v>0.67843137254901964</c:v>
                </c:pt>
                <c:pt idx="18">
                  <c:v>0.60784313725490191</c:v>
                </c:pt>
                <c:pt idx="19">
                  <c:v>0.55686274509803924</c:v>
                </c:pt>
                <c:pt idx="20">
                  <c:v>0.51372549019607838</c:v>
                </c:pt>
                <c:pt idx="21">
                  <c:v>0.46274509803921571</c:v>
                </c:pt>
                <c:pt idx="22">
                  <c:v>0.4392156862745098</c:v>
                </c:pt>
                <c:pt idx="23">
                  <c:v>0.396078431372549</c:v>
                </c:pt>
                <c:pt idx="24">
                  <c:v>0.36470588235294116</c:v>
                </c:pt>
                <c:pt idx="25">
                  <c:v>0.33725490196078434</c:v>
                </c:pt>
                <c:pt idx="26">
                  <c:v>0.30588235294117649</c:v>
                </c:pt>
                <c:pt idx="27">
                  <c:v>0.29411764705882354</c:v>
                </c:pt>
                <c:pt idx="28">
                  <c:v>0.27450980392156865</c:v>
                </c:pt>
                <c:pt idx="29">
                  <c:v>0.25490196078431371</c:v>
                </c:pt>
                <c:pt idx="30">
                  <c:v>0.23529411764705882</c:v>
                </c:pt>
                <c:pt idx="31">
                  <c:v>0.2196078431372549</c:v>
                </c:pt>
                <c:pt idx="32">
                  <c:v>0.2</c:v>
                </c:pt>
                <c:pt idx="33">
                  <c:v>0.18431372549019609</c:v>
                </c:pt>
                <c:pt idx="34">
                  <c:v>0.17647058823529413</c:v>
                </c:pt>
                <c:pt idx="35">
                  <c:v>0.16862745098039217</c:v>
                </c:pt>
                <c:pt idx="36">
                  <c:v>0.16078431372549021</c:v>
                </c:pt>
                <c:pt idx="37">
                  <c:v>0.14509803921568629</c:v>
                </c:pt>
                <c:pt idx="38">
                  <c:v>0.13725490196078433</c:v>
                </c:pt>
                <c:pt idx="39">
                  <c:v>0.13725490196078433</c:v>
                </c:pt>
                <c:pt idx="40">
                  <c:v>0.12941176470588237</c:v>
                </c:pt>
                <c:pt idx="41">
                  <c:v>0.12156862745098039</c:v>
                </c:pt>
                <c:pt idx="42">
                  <c:v>0.11764705882352941</c:v>
                </c:pt>
                <c:pt idx="43">
                  <c:v>0.11764705882352941</c:v>
                </c:pt>
                <c:pt idx="44">
                  <c:v>0.10196078431372549</c:v>
                </c:pt>
                <c:pt idx="45">
                  <c:v>0.10196078431372549</c:v>
                </c:pt>
                <c:pt idx="46">
                  <c:v>9.4117647058823528E-2</c:v>
                </c:pt>
                <c:pt idx="47">
                  <c:v>9.8039215686274508E-2</c:v>
                </c:pt>
                <c:pt idx="48">
                  <c:v>8.6274509803921567E-2</c:v>
                </c:pt>
                <c:pt idx="49">
                  <c:v>9.0196078431372548E-2</c:v>
                </c:pt>
                <c:pt idx="50">
                  <c:v>7.4509803921568626E-2</c:v>
                </c:pt>
                <c:pt idx="51">
                  <c:v>6.6666666666666666E-2</c:v>
                </c:pt>
                <c:pt idx="52">
                  <c:v>7.0588235294117646E-2</c:v>
                </c:pt>
                <c:pt idx="53">
                  <c:v>7.0588235294117646E-2</c:v>
                </c:pt>
                <c:pt idx="54">
                  <c:v>6.2745098039215685E-2</c:v>
                </c:pt>
                <c:pt idx="55">
                  <c:v>6.2745098039215685E-2</c:v>
                </c:pt>
                <c:pt idx="56">
                  <c:v>5.8823529411764705E-2</c:v>
                </c:pt>
                <c:pt idx="57">
                  <c:v>6.2745098039215685E-2</c:v>
                </c:pt>
                <c:pt idx="58">
                  <c:v>6.2745098039215685E-2</c:v>
                </c:pt>
                <c:pt idx="59">
                  <c:v>5.8823529411764705E-2</c:v>
                </c:pt>
                <c:pt idx="60">
                  <c:v>5.0980392156862744E-2</c:v>
                </c:pt>
                <c:pt idx="61">
                  <c:v>5.0980392156862744E-2</c:v>
                </c:pt>
                <c:pt idx="62">
                  <c:v>4.7058823529411764E-2</c:v>
                </c:pt>
                <c:pt idx="63">
                  <c:v>4.7058823529411764E-2</c:v>
                </c:pt>
                <c:pt idx="64">
                  <c:v>4.3137254901960784E-2</c:v>
                </c:pt>
                <c:pt idx="65">
                  <c:v>4.3137254901960784E-2</c:v>
                </c:pt>
                <c:pt idx="66">
                  <c:v>5.0980392156862744E-2</c:v>
                </c:pt>
                <c:pt idx="67">
                  <c:v>3.9215686274509803E-2</c:v>
                </c:pt>
                <c:pt idx="68">
                  <c:v>3.9215686274509803E-2</c:v>
                </c:pt>
                <c:pt idx="69">
                  <c:v>5.0980392156862744E-2</c:v>
                </c:pt>
                <c:pt idx="70">
                  <c:v>3.1372549019607843E-2</c:v>
                </c:pt>
                <c:pt idx="71">
                  <c:v>3.1372549019607843E-2</c:v>
                </c:pt>
                <c:pt idx="72">
                  <c:v>4.3137254901960784E-2</c:v>
                </c:pt>
                <c:pt idx="73">
                  <c:v>3.9215686274509803E-2</c:v>
                </c:pt>
                <c:pt idx="74">
                  <c:v>2.3529411764705882E-2</c:v>
                </c:pt>
                <c:pt idx="75">
                  <c:v>1.9607843137254902E-2</c:v>
                </c:pt>
                <c:pt idx="76">
                  <c:v>1.9607843137254902E-2</c:v>
                </c:pt>
                <c:pt idx="77">
                  <c:v>2.3529411764705882E-2</c:v>
                </c:pt>
                <c:pt idx="78">
                  <c:v>1.9607843137254902E-2</c:v>
                </c:pt>
                <c:pt idx="79">
                  <c:v>2.7450980392156862E-2</c:v>
                </c:pt>
                <c:pt idx="80">
                  <c:v>3.5294117647058823E-2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data1!$W$1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data1!$W$2:$W$82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0.94509803921568625</c:v>
                </c:pt>
                <c:pt idx="15">
                  <c:v>0.85098039215686272</c:v>
                </c:pt>
                <c:pt idx="16">
                  <c:v>0.76470588235294112</c:v>
                </c:pt>
                <c:pt idx="17">
                  <c:v>0.68235294117647061</c:v>
                </c:pt>
                <c:pt idx="18">
                  <c:v>0.61176470588235299</c:v>
                </c:pt>
                <c:pt idx="19">
                  <c:v>0.5607843137254902</c:v>
                </c:pt>
                <c:pt idx="20">
                  <c:v>0.50588235294117645</c:v>
                </c:pt>
                <c:pt idx="21">
                  <c:v>0.46666666666666667</c:v>
                </c:pt>
                <c:pt idx="22">
                  <c:v>0.42745098039215684</c:v>
                </c:pt>
                <c:pt idx="23">
                  <c:v>0.3843137254901961</c:v>
                </c:pt>
                <c:pt idx="24">
                  <c:v>0.35294117647058826</c:v>
                </c:pt>
                <c:pt idx="25">
                  <c:v>0.32941176470588235</c:v>
                </c:pt>
                <c:pt idx="26">
                  <c:v>0.30588235294117649</c:v>
                </c:pt>
                <c:pt idx="27">
                  <c:v>0.29019607843137257</c:v>
                </c:pt>
                <c:pt idx="28">
                  <c:v>0.27450980392156865</c:v>
                </c:pt>
                <c:pt idx="29">
                  <c:v>0.25098039215686274</c:v>
                </c:pt>
                <c:pt idx="30">
                  <c:v>0.22352941176470589</c:v>
                </c:pt>
                <c:pt idx="31">
                  <c:v>0.22745098039215686</c:v>
                </c:pt>
                <c:pt idx="32">
                  <c:v>0.20392156862745098</c:v>
                </c:pt>
                <c:pt idx="33">
                  <c:v>0.18431372549019609</c:v>
                </c:pt>
                <c:pt idx="34">
                  <c:v>0.18823529411764706</c:v>
                </c:pt>
                <c:pt idx="35">
                  <c:v>0.17254901960784313</c:v>
                </c:pt>
                <c:pt idx="36">
                  <c:v>0.16078431372549021</c:v>
                </c:pt>
                <c:pt idx="37">
                  <c:v>0.15294117647058825</c:v>
                </c:pt>
                <c:pt idx="38">
                  <c:v>0.15294117647058825</c:v>
                </c:pt>
                <c:pt idx="39">
                  <c:v>0.14509803921568629</c:v>
                </c:pt>
                <c:pt idx="40">
                  <c:v>0.14509803921568629</c:v>
                </c:pt>
                <c:pt idx="41">
                  <c:v>0.13333333333333333</c:v>
                </c:pt>
                <c:pt idx="42">
                  <c:v>0.13333333333333333</c:v>
                </c:pt>
                <c:pt idx="43">
                  <c:v>0.12941176470588237</c:v>
                </c:pt>
                <c:pt idx="44">
                  <c:v>0.12549019607843137</c:v>
                </c:pt>
                <c:pt idx="45">
                  <c:v>0.12156862745098039</c:v>
                </c:pt>
                <c:pt idx="46">
                  <c:v>0.11372549019607843</c:v>
                </c:pt>
                <c:pt idx="47">
                  <c:v>0.10980392156862745</c:v>
                </c:pt>
                <c:pt idx="48">
                  <c:v>0.10196078431372549</c:v>
                </c:pt>
                <c:pt idx="49">
                  <c:v>9.0196078431372548E-2</c:v>
                </c:pt>
                <c:pt idx="50">
                  <c:v>9.4117647058823528E-2</c:v>
                </c:pt>
                <c:pt idx="51">
                  <c:v>9.0196078431372548E-2</c:v>
                </c:pt>
                <c:pt idx="52">
                  <c:v>8.2352941176470587E-2</c:v>
                </c:pt>
                <c:pt idx="53">
                  <c:v>8.2352941176470587E-2</c:v>
                </c:pt>
                <c:pt idx="54">
                  <c:v>7.4509803921568626E-2</c:v>
                </c:pt>
                <c:pt idx="55">
                  <c:v>6.2745098039215685E-2</c:v>
                </c:pt>
                <c:pt idx="56">
                  <c:v>6.6666666666666666E-2</c:v>
                </c:pt>
                <c:pt idx="57">
                  <c:v>5.4901960784313725E-2</c:v>
                </c:pt>
                <c:pt idx="58">
                  <c:v>5.4901960784313725E-2</c:v>
                </c:pt>
                <c:pt idx="59">
                  <c:v>6.6666666666666666E-2</c:v>
                </c:pt>
                <c:pt idx="60">
                  <c:v>6.2745098039215685E-2</c:v>
                </c:pt>
                <c:pt idx="61">
                  <c:v>4.3137254901960784E-2</c:v>
                </c:pt>
                <c:pt idx="62">
                  <c:v>5.0980392156862744E-2</c:v>
                </c:pt>
                <c:pt idx="63">
                  <c:v>5.8823529411764705E-2</c:v>
                </c:pt>
                <c:pt idx="64">
                  <c:v>5.8823529411764705E-2</c:v>
                </c:pt>
                <c:pt idx="65">
                  <c:v>4.7058823529411764E-2</c:v>
                </c:pt>
                <c:pt idx="66">
                  <c:v>5.0980392156862744E-2</c:v>
                </c:pt>
                <c:pt idx="67">
                  <c:v>5.4901960784313725E-2</c:v>
                </c:pt>
                <c:pt idx="68">
                  <c:v>3.9215686274509803E-2</c:v>
                </c:pt>
                <c:pt idx="69">
                  <c:v>4.3137254901960784E-2</c:v>
                </c:pt>
                <c:pt idx="70">
                  <c:v>3.9215686274509803E-2</c:v>
                </c:pt>
                <c:pt idx="71">
                  <c:v>3.9215686274509803E-2</c:v>
                </c:pt>
                <c:pt idx="72">
                  <c:v>3.9215686274509803E-2</c:v>
                </c:pt>
                <c:pt idx="73">
                  <c:v>3.1372549019607843E-2</c:v>
                </c:pt>
                <c:pt idx="74">
                  <c:v>3.1372549019607843E-2</c:v>
                </c:pt>
                <c:pt idx="75">
                  <c:v>3.1372549019607843E-2</c:v>
                </c:pt>
                <c:pt idx="76">
                  <c:v>2.3529411764705882E-2</c:v>
                </c:pt>
                <c:pt idx="77">
                  <c:v>2.3529411764705882E-2</c:v>
                </c:pt>
                <c:pt idx="78">
                  <c:v>4.3137254901960784E-2</c:v>
                </c:pt>
                <c:pt idx="79">
                  <c:v>3.1372549019607843E-2</c:v>
                </c:pt>
                <c:pt idx="80">
                  <c:v>3.1372549019607843E-2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data1!$X$1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data1!$X$2:$X$82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0.94117647058823528</c:v>
                </c:pt>
                <c:pt idx="15">
                  <c:v>0.84313725490196079</c:v>
                </c:pt>
                <c:pt idx="16">
                  <c:v>0.75686274509803919</c:v>
                </c:pt>
                <c:pt idx="17">
                  <c:v>0.6705882352941176</c:v>
                </c:pt>
                <c:pt idx="18">
                  <c:v>0.6</c:v>
                </c:pt>
                <c:pt idx="19">
                  <c:v>0.5607843137254902</c:v>
                </c:pt>
                <c:pt idx="20">
                  <c:v>0.50588235294117645</c:v>
                </c:pt>
                <c:pt idx="21">
                  <c:v>0.47450980392156861</c:v>
                </c:pt>
                <c:pt idx="22">
                  <c:v>0.42352941176470588</c:v>
                </c:pt>
                <c:pt idx="23">
                  <c:v>0.38823529411764707</c:v>
                </c:pt>
                <c:pt idx="24">
                  <c:v>0.36078431372549019</c:v>
                </c:pt>
                <c:pt idx="25">
                  <c:v>0.33333333333333331</c:v>
                </c:pt>
                <c:pt idx="26">
                  <c:v>0.30196078431372547</c:v>
                </c:pt>
                <c:pt idx="27">
                  <c:v>0.28235294117647058</c:v>
                </c:pt>
                <c:pt idx="28">
                  <c:v>0.28235294117647058</c:v>
                </c:pt>
                <c:pt idx="29">
                  <c:v>0.2627450980392157</c:v>
                </c:pt>
                <c:pt idx="30">
                  <c:v>0.23529411764705882</c:v>
                </c:pt>
                <c:pt idx="31">
                  <c:v>0.22745098039215686</c:v>
                </c:pt>
                <c:pt idx="32">
                  <c:v>0.21568627450980393</c:v>
                </c:pt>
                <c:pt idx="33">
                  <c:v>0.20392156862745098</c:v>
                </c:pt>
                <c:pt idx="34">
                  <c:v>0.18431372549019609</c:v>
                </c:pt>
                <c:pt idx="35">
                  <c:v>0.16862745098039217</c:v>
                </c:pt>
                <c:pt idx="36">
                  <c:v>0.16078431372549021</c:v>
                </c:pt>
                <c:pt idx="37">
                  <c:v>0.15294117647058825</c:v>
                </c:pt>
                <c:pt idx="38">
                  <c:v>0.15686274509803921</c:v>
                </c:pt>
                <c:pt idx="39">
                  <c:v>0.13725490196078433</c:v>
                </c:pt>
                <c:pt idx="40">
                  <c:v>0.14509803921568629</c:v>
                </c:pt>
                <c:pt idx="41">
                  <c:v>0.12941176470588237</c:v>
                </c:pt>
                <c:pt idx="42">
                  <c:v>0.12549019607843137</c:v>
                </c:pt>
                <c:pt idx="43">
                  <c:v>0.11372549019607843</c:v>
                </c:pt>
                <c:pt idx="44">
                  <c:v>0.10196078431372549</c:v>
                </c:pt>
                <c:pt idx="45">
                  <c:v>9.8039215686274508E-2</c:v>
                </c:pt>
                <c:pt idx="46">
                  <c:v>9.4117647058823528E-2</c:v>
                </c:pt>
                <c:pt idx="47">
                  <c:v>8.2352941176470587E-2</c:v>
                </c:pt>
                <c:pt idx="48">
                  <c:v>8.6274509803921567E-2</c:v>
                </c:pt>
                <c:pt idx="49">
                  <c:v>7.8431372549019607E-2</c:v>
                </c:pt>
                <c:pt idx="50">
                  <c:v>7.4509803921568626E-2</c:v>
                </c:pt>
                <c:pt idx="51">
                  <c:v>7.0588235294117646E-2</c:v>
                </c:pt>
                <c:pt idx="52">
                  <c:v>7.8431372549019607E-2</c:v>
                </c:pt>
                <c:pt idx="53">
                  <c:v>7.4509803921568626E-2</c:v>
                </c:pt>
                <c:pt idx="54">
                  <c:v>5.8823529411764705E-2</c:v>
                </c:pt>
                <c:pt idx="55">
                  <c:v>5.4901960784313725E-2</c:v>
                </c:pt>
                <c:pt idx="56">
                  <c:v>5.8823529411764705E-2</c:v>
                </c:pt>
                <c:pt idx="57">
                  <c:v>5.4901960784313725E-2</c:v>
                </c:pt>
                <c:pt idx="58">
                  <c:v>5.4901960784313725E-2</c:v>
                </c:pt>
                <c:pt idx="59">
                  <c:v>5.8823529411764705E-2</c:v>
                </c:pt>
                <c:pt idx="60">
                  <c:v>5.0980392156862744E-2</c:v>
                </c:pt>
                <c:pt idx="61">
                  <c:v>3.9215686274509803E-2</c:v>
                </c:pt>
                <c:pt idx="62">
                  <c:v>5.0980392156862744E-2</c:v>
                </c:pt>
                <c:pt idx="63">
                  <c:v>4.3137254901960784E-2</c:v>
                </c:pt>
                <c:pt idx="64">
                  <c:v>5.0980392156862744E-2</c:v>
                </c:pt>
                <c:pt idx="65">
                  <c:v>4.3137254901960784E-2</c:v>
                </c:pt>
                <c:pt idx="66">
                  <c:v>3.9215686274509803E-2</c:v>
                </c:pt>
                <c:pt idx="67">
                  <c:v>4.3137254901960784E-2</c:v>
                </c:pt>
                <c:pt idx="68">
                  <c:v>4.3137254901960784E-2</c:v>
                </c:pt>
                <c:pt idx="69">
                  <c:v>4.7058823529411764E-2</c:v>
                </c:pt>
                <c:pt idx="70">
                  <c:v>5.0980392156862744E-2</c:v>
                </c:pt>
                <c:pt idx="71">
                  <c:v>4.3137254901960784E-2</c:v>
                </c:pt>
                <c:pt idx="72">
                  <c:v>3.1372549019607843E-2</c:v>
                </c:pt>
                <c:pt idx="73">
                  <c:v>3.5294117647058823E-2</c:v>
                </c:pt>
                <c:pt idx="74">
                  <c:v>4.3137254901960784E-2</c:v>
                </c:pt>
                <c:pt idx="75">
                  <c:v>3.5294117647058823E-2</c:v>
                </c:pt>
                <c:pt idx="76">
                  <c:v>4.3137254901960784E-2</c:v>
                </c:pt>
                <c:pt idx="77">
                  <c:v>4.3137254901960784E-2</c:v>
                </c:pt>
                <c:pt idx="78">
                  <c:v>3.9215686274509803E-2</c:v>
                </c:pt>
                <c:pt idx="79">
                  <c:v>4.3137254901960784E-2</c:v>
                </c:pt>
                <c:pt idx="80">
                  <c:v>4.3137254901960784E-2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data1!$Y$1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data1!$Y$2:$Y$82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0.94117647058823528</c:v>
                </c:pt>
                <c:pt idx="15">
                  <c:v>0.84705882352941175</c:v>
                </c:pt>
                <c:pt idx="16">
                  <c:v>0.75294117647058822</c:v>
                </c:pt>
                <c:pt idx="17">
                  <c:v>0.67843137254901964</c:v>
                </c:pt>
                <c:pt idx="18">
                  <c:v>0.61176470588235299</c:v>
                </c:pt>
                <c:pt idx="19">
                  <c:v>0.55294117647058827</c:v>
                </c:pt>
                <c:pt idx="20">
                  <c:v>0.50196078431372548</c:v>
                </c:pt>
                <c:pt idx="21">
                  <c:v>0.47450980392156861</c:v>
                </c:pt>
                <c:pt idx="22">
                  <c:v>0.42745098039215684</c:v>
                </c:pt>
                <c:pt idx="23">
                  <c:v>0.39215686274509803</c:v>
                </c:pt>
                <c:pt idx="24">
                  <c:v>0.35686274509803922</c:v>
                </c:pt>
                <c:pt idx="25">
                  <c:v>0.32941176470588235</c:v>
                </c:pt>
                <c:pt idx="26">
                  <c:v>0.31372549019607843</c:v>
                </c:pt>
                <c:pt idx="27">
                  <c:v>0.29019607843137257</c:v>
                </c:pt>
                <c:pt idx="28">
                  <c:v>0.26666666666666666</c:v>
                </c:pt>
                <c:pt idx="29">
                  <c:v>0.24313725490196078</c:v>
                </c:pt>
                <c:pt idx="30">
                  <c:v>0.23137254901960785</c:v>
                </c:pt>
                <c:pt idx="31">
                  <c:v>0.21568627450980393</c:v>
                </c:pt>
                <c:pt idx="32">
                  <c:v>0.2</c:v>
                </c:pt>
                <c:pt idx="33">
                  <c:v>0.18823529411764706</c:v>
                </c:pt>
                <c:pt idx="34">
                  <c:v>0.17647058823529413</c:v>
                </c:pt>
                <c:pt idx="35">
                  <c:v>0.16078431372549021</c:v>
                </c:pt>
                <c:pt idx="36">
                  <c:v>0.15294117647058825</c:v>
                </c:pt>
                <c:pt idx="37">
                  <c:v>0.14509803921568629</c:v>
                </c:pt>
                <c:pt idx="38">
                  <c:v>0.14117647058823529</c:v>
                </c:pt>
                <c:pt idx="39">
                  <c:v>0.13333333333333333</c:v>
                </c:pt>
                <c:pt idx="40">
                  <c:v>0.12941176470588237</c:v>
                </c:pt>
                <c:pt idx="41">
                  <c:v>0.12156862745098039</c:v>
                </c:pt>
                <c:pt idx="42">
                  <c:v>0.11372549019607843</c:v>
                </c:pt>
                <c:pt idx="43">
                  <c:v>0.10980392156862745</c:v>
                </c:pt>
                <c:pt idx="44">
                  <c:v>0.10588235294117647</c:v>
                </c:pt>
                <c:pt idx="45">
                  <c:v>9.8039215686274508E-2</c:v>
                </c:pt>
                <c:pt idx="46">
                  <c:v>9.0196078431372548E-2</c:v>
                </c:pt>
                <c:pt idx="47">
                  <c:v>9.0196078431372548E-2</c:v>
                </c:pt>
                <c:pt idx="48">
                  <c:v>9.0196078431372548E-2</c:v>
                </c:pt>
                <c:pt idx="49">
                  <c:v>8.2352941176470587E-2</c:v>
                </c:pt>
                <c:pt idx="50">
                  <c:v>7.4509803921568626E-2</c:v>
                </c:pt>
                <c:pt idx="51">
                  <c:v>7.0588235294117646E-2</c:v>
                </c:pt>
                <c:pt idx="52">
                  <c:v>6.6666666666666666E-2</c:v>
                </c:pt>
                <c:pt idx="53">
                  <c:v>6.6666666666666666E-2</c:v>
                </c:pt>
                <c:pt idx="54">
                  <c:v>5.4901960784313725E-2</c:v>
                </c:pt>
                <c:pt idx="55">
                  <c:v>5.4901960784313725E-2</c:v>
                </c:pt>
                <c:pt idx="56">
                  <c:v>5.4901960784313725E-2</c:v>
                </c:pt>
                <c:pt idx="57">
                  <c:v>5.0980392156862744E-2</c:v>
                </c:pt>
                <c:pt idx="58">
                  <c:v>5.0980392156862744E-2</c:v>
                </c:pt>
                <c:pt idx="59">
                  <c:v>5.4901960784313725E-2</c:v>
                </c:pt>
                <c:pt idx="60">
                  <c:v>4.3137254901960784E-2</c:v>
                </c:pt>
                <c:pt idx="61">
                  <c:v>4.3137254901960784E-2</c:v>
                </c:pt>
                <c:pt idx="62">
                  <c:v>4.3137254901960784E-2</c:v>
                </c:pt>
                <c:pt idx="63">
                  <c:v>4.3137254901960784E-2</c:v>
                </c:pt>
                <c:pt idx="64">
                  <c:v>3.5294117647058823E-2</c:v>
                </c:pt>
                <c:pt idx="65">
                  <c:v>3.9215686274509803E-2</c:v>
                </c:pt>
                <c:pt idx="66">
                  <c:v>3.1372549019607843E-2</c:v>
                </c:pt>
                <c:pt idx="67">
                  <c:v>3.1372549019607843E-2</c:v>
                </c:pt>
                <c:pt idx="68">
                  <c:v>3.1372549019607843E-2</c:v>
                </c:pt>
                <c:pt idx="69">
                  <c:v>2.7450980392156862E-2</c:v>
                </c:pt>
                <c:pt idx="70">
                  <c:v>2.3529411764705882E-2</c:v>
                </c:pt>
                <c:pt idx="71">
                  <c:v>3.9215686274509803E-2</c:v>
                </c:pt>
                <c:pt idx="72">
                  <c:v>3.1372549019607843E-2</c:v>
                </c:pt>
                <c:pt idx="73">
                  <c:v>3.5294117647058823E-2</c:v>
                </c:pt>
                <c:pt idx="74">
                  <c:v>3.9215686274509803E-2</c:v>
                </c:pt>
                <c:pt idx="75">
                  <c:v>3.5294117647058823E-2</c:v>
                </c:pt>
                <c:pt idx="76">
                  <c:v>3.5294117647058823E-2</c:v>
                </c:pt>
                <c:pt idx="77">
                  <c:v>2.3529411764705882E-2</c:v>
                </c:pt>
                <c:pt idx="78">
                  <c:v>3.1372549019607843E-2</c:v>
                </c:pt>
                <c:pt idx="79">
                  <c:v>2.3529411764705882E-2</c:v>
                </c:pt>
                <c:pt idx="80">
                  <c:v>3.1372549019607843E-2</c:v>
                </c:pt>
              </c:numCache>
            </c:numRef>
          </c:yVal>
          <c:smooth val="1"/>
        </c:ser>
        <c:axId val="136238592"/>
        <c:axId val="136240128"/>
      </c:scatterChart>
      <c:valAx>
        <c:axId val="136238592"/>
        <c:scaling>
          <c:orientation val="minMax"/>
        </c:scaling>
        <c:axPos val="b"/>
        <c:numFmt formatCode="0.0" sourceLinked="1"/>
        <c:tickLblPos val="nextTo"/>
        <c:crossAx val="136240128"/>
        <c:crosses val="autoZero"/>
        <c:crossBetween val="midCat"/>
      </c:valAx>
      <c:valAx>
        <c:axId val="136240128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3623859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data2!$B$2:$B$82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0.92549019607843142</c:v>
                </c:pt>
                <c:pt idx="13">
                  <c:v>0.81960784313725488</c:v>
                </c:pt>
                <c:pt idx="14">
                  <c:v>0.72941176470588232</c:v>
                </c:pt>
                <c:pt idx="15">
                  <c:v>0.66666666666666663</c:v>
                </c:pt>
                <c:pt idx="16">
                  <c:v>0.60392156862745094</c:v>
                </c:pt>
                <c:pt idx="17">
                  <c:v>0.55294117647058827</c:v>
                </c:pt>
                <c:pt idx="18">
                  <c:v>0.50588235294117645</c:v>
                </c:pt>
                <c:pt idx="19">
                  <c:v>0.46666666666666667</c:v>
                </c:pt>
                <c:pt idx="20">
                  <c:v>0.43529411764705883</c:v>
                </c:pt>
                <c:pt idx="21">
                  <c:v>0.40392156862745099</c:v>
                </c:pt>
                <c:pt idx="22">
                  <c:v>0.37647058823529411</c:v>
                </c:pt>
                <c:pt idx="23">
                  <c:v>0.34901960784313724</c:v>
                </c:pt>
                <c:pt idx="24">
                  <c:v>0.32941176470588235</c:v>
                </c:pt>
                <c:pt idx="25">
                  <c:v>0.30980392156862746</c:v>
                </c:pt>
                <c:pt idx="26">
                  <c:v>0.29019607843137257</c:v>
                </c:pt>
                <c:pt idx="27">
                  <c:v>0.28235294117647058</c:v>
                </c:pt>
                <c:pt idx="28">
                  <c:v>0.26666666666666666</c:v>
                </c:pt>
                <c:pt idx="29">
                  <c:v>0.25882352941176473</c:v>
                </c:pt>
                <c:pt idx="30">
                  <c:v>0.24313725490196078</c:v>
                </c:pt>
                <c:pt idx="31">
                  <c:v>0.23529411764705882</c:v>
                </c:pt>
                <c:pt idx="32">
                  <c:v>0.22745098039215686</c:v>
                </c:pt>
                <c:pt idx="33">
                  <c:v>0.2196078431372549</c:v>
                </c:pt>
                <c:pt idx="34">
                  <c:v>0.21176470588235294</c:v>
                </c:pt>
                <c:pt idx="35">
                  <c:v>0.20392156862745098</c:v>
                </c:pt>
                <c:pt idx="36">
                  <c:v>0.18823529411764706</c:v>
                </c:pt>
                <c:pt idx="37">
                  <c:v>0.18823529411764706</c:v>
                </c:pt>
                <c:pt idx="38">
                  <c:v>0.1803921568627451</c:v>
                </c:pt>
                <c:pt idx="39">
                  <c:v>0.17254901960784313</c:v>
                </c:pt>
                <c:pt idx="40">
                  <c:v>0.17254901960784313</c:v>
                </c:pt>
                <c:pt idx="41">
                  <c:v>0.16470588235294117</c:v>
                </c:pt>
                <c:pt idx="42">
                  <c:v>0.16470588235294117</c:v>
                </c:pt>
                <c:pt idx="43">
                  <c:v>0.15686274509803921</c:v>
                </c:pt>
                <c:pt idx="44">
                  <c:v>0.15294117647058825</c:v>
                </c:pt>
                <c:pt idx="45">
                  <c:v>0.14509803921568629</c:v>
                </c:pt>
                <c:pt idx="46">
                  <c:v>0.14509803921568629</c:v>
                </c:pt>
                <c:pt idx="47">
                  <c:v>0.14117647058823529</c:v>
                </c:pt>
                <c:pt idx="48">
                  <c:v>0.14117647058823529</c:v>
                </c:pt>
                <c:pt idx="49">
                  <c:v>0.13333333333333333</c:v>
                </c:pt>
                <c:pt idx="50">
                  <c:v>0.12941176470588237</c:v>
                </c:pt>
                <c:pt idx="51">
                  <c:v>0.13333333333333333</c:v>
                </c:pt>
                <c:pt idx="52">
                  <c:v>0.12549019607843137</c:v>
                </c:pt>
                <c:pt idx="53">
                  <c:v>0.12549019607843137</c:v>
                </c:pt>
                <c:pt idx="54">
                  <c:v>0.12549019607843137</c:v>
                </c:pt>
                <c:pt idx="55">
                  <c:v>0.12156862745098039</c:v>
                </c:pt>
                <c:pt idx="56">
                  <c:v>0.11764705882352941</c:v>
                </c:pt>
                <c:pt idx="57">
                  <c:v>0.11372549019607843</c:v>
                </c:pt>
                <c:pt idx="58">
                  <c:v>0.10980392156862745</c:v>
                </c:pt>
                <c:pt idx="59">
                  <c:v>0.11372549019607843</c:v>
                </c:pt>
                <c:pt idx="60">
                  <c:v>0.10980392156862745</c:v>
                </c:pt>
                <c:pt idx="61">
                  <c:v>0.10980392156862745</c:v>
                </c:pt>
                <c:pt idx="62">
                  <c:v>0.10588235294117647</c:v>
                </c:pt>
                <c:pt idx="63">
                  <c:v>0.10196078431372549</c:v>
                </c:pt>
                <c:pt idx="64">
                  <c:v>0.10196078431372549</c:v>
                </c:pt>
                <c:pt idx="65">
                  <c:v>0.10196078431372549</c:v>
                </c:pt>
                <c:pt idx="66">
                  <c:v>0.10196078431372549</c:v>
                </c:pt>
                <c:pt idx="67">
                  <c:v>0.10196078431372549</c:v>
                </c:pt>
                <c:pt idx="68">
                  <c:v>0.10588235294117647</c:v>
                </c:pt>
                <c:pt idx="69">
                  <c:v>0.10588235294117647</c:v>
                </c:pt>
                <c:pt idx="70">
                  <c:v>0.10196078431372549</c:v>
                </c:pt>
                <c:pt idx="71">
                  <c:v>0.10980392156862745</c:v>
                </c:pt>
                <c:pt idx="72">
                  <c:v>0.10588235294117647</c:v>
                </c:pt>
                <c:pt idx="73">
                  <c:v>0.10196078431372549</c:v>
                </c:pt>
                <c:pt idx="74">
                  <c:v>0.10588235294117647</c:v>
                </c:pt>
                <c:pt idx="75">
                  <c:v>0.10588235294117647</c:v>
                </c:pt>
                <c:pt idx="76">
                  <c:v>0.10196078431372549</c:v>
                </c:pt>
                <c:pt idx="77">
                  <c:v>9.4117647058823528E-2</c:v>
                </c:pt>
                <c:pt idx="78">
                  <c:v>9.4117647058823528E-2</c:v>
                </c:pt>
                <c:pt idx="79">
                  <c:v>9.4117647058823528E-2</c:v>
                </c:pt>
                <c:pt idx="80">
                  <c:v>9.4117647058823528E-2</c:v>
                </c:pt>
              </c:numCache>
            </c:numRef>
          </c:yVal>
        </c:ser>
        <c:ser>
          <c:idx val="1"/>
          <c:order val="1"/>
          <c:tx>
            <c:strRef>
              <c:f>data2!$C$1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data2!$C$2:$C$82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0.93725490196078431</c:v>
                </c:pt>
                <c:pt idx="13">
                  <c:v>0.82745098039215681</c:v>
                </c:pt>
                <c:pt idx="14">
                  <c:v>0.74117647058823533</c:v>
                </c:pt>
                <c:pt idx="15">
                  <c:v>0.67450980392156867</c:v>
                </c:pt>
                <c:pt idx="16">
                  <c:v>0.61176470588235299</c:v>
                </c:pt>
                <c:pt idx="17">
                  <c:v>0.55294117647058827</c:v>
                </c:pt>
                <c:pt idx="18">
                  <c:v>0.50588235294117645</c:v>
                </c:pt>
                <c:pt idx="19">
                  <c:v>0.46666666666666667</c:v>
                </c:pt>
                <c:pt idx="20">
                  <c:v>0.43529411764705883</c:v>
                </c:pt>
                <c:pt idx="21">
                  <c:v>0.40392156862745099</c:v>
                </c:pt>
                <c:pt idx="22">
                  <c:v>0.37254901960784315</c:v>
                </c:pt>
                <c:pt idx="23">
                  <c:v>0.35294117647058826</c:v>
                </c:pt>
                <c:pt idx="24">
                  <c:v>0.33725490196078434</c:v>
                </c:pt>
                <c:pt idx="25">
                  <c:v>0.31764705882352939</c:v>
                </c:pt>
                <c:pt idx="26">
                  <c:v>0.29803921568627451</c:v>
                </c:pt>
                <c:pt idx="27">
                  <c:v>0.28235294117647058</c:v>
                </c:pt>
                <c:pt idx="28">
                  <c:v>0.27450980392156865</c:v>
                </c:pt>
                <c:pt idx="29">
                  <c:v>0.25882352941176473</c:v>
                </c:pt>
                <c:pt idx="30">
                  <c:v>0.24313725490196078</c:v>
                </c:pt>
                <c:pt idx="31">
                  <c:v>0.23137254901960785</c:v>
                </c:pt>
                <c:pt idx="32">
                  <c:v>0.2196078431372549</c:v>
                </c:pt>
                <c:pt idx="33">
                  <c:v>0.21176470588235294</c:v>
                </c:pt>
                <c:pt idx="34">
                  <c:v>0.20392156862745098</c:v>
                </c:pt>
                <c:pt idx="35">
                  <c:v>0.19607843137254902</c:v>
                </c:pt>
                <c:pt idx="36">
                  <c:v>0.19607843137254902</c:v>
                </c:pt>
                <c:pt idx="37">
                  <c:v>0.18823529411764706</c:v>
                </c:pt>
                <c:pt idx="38">
                  <c:v>0.1803921568627451</c:v>
                </c:pt>
                <c:pt idx="39">
                  <c:v>0.1803921568627451</c:v>
                </c:pt>
                <c:pt idx="40">
                  <c:v>0.17254901960784313</c:v>
                </c:pt>
                <c:pt idx="41">
                  <c:v>0.17254901960784313</c:v>
                </c:pt>
                <c:pt idx="42">
                  <c:v>0.16470588235294117</c:v>
                </c:pt>
                <c:pt idx="43">
                  <c:v>0.15686274509803921</c:v>
                </c:pt>
                <c:pt idx="44">
                  <c:v>0.15294117647058825</c:v>
                </c:pt>
                <c:pt idx="45">
                  <c:v>0.14901960784313725</c:v>
                </c:pt>
                <c:pt idx="46">
                  <c:v>0.14509803921568629</c:v>
                </c:pt>
                <c:pt idx="47">
                  <c:v>0.13725490196078433</c:v>
                </c:pt>
                <c:pt idx="48">
                  <c:v>0.14117647058823529</c:v>
                </c:pt>
                <c:pt idx="49">
                  <c:v>0.14117647058823529</c:v>
                </c:pt>
                <c:pt idx="50">
                  <c:v>0.13333333333333333</c:v>
                </c:pt>
                <c:pt idx="51">
                  <c:v>0.12941176470588237</c:v>
                </c:pt>
                <c:pt idx="52">
                  <c:v>0.12941176470588237</c:v>
                </c:pt>
                <c:pt idx="53">
                  <c:v>0.12549019607843137</c:v>
                </c:pt>
                <c:pt idx="54">
                  <c:v>0.12156862745098039</c:v>
                </c:pt>
                <c:pt idx="55">
                  <c:v>0.12156862745098039</c:v>
                </c:pt>
                <c:pt idx="56">
                  <c:v>0.11764705882352941</c:v>
                </c:pt>
                <c:pt idx="57">
                  <c:v>0.11764705882352941</c:v>
                </c:pt>
                <c:pt idx="58">
                  <c:v>0.11764705882352941</c:v>
                </c:pt>
                <c:pt idx="59">
                  <c:v>0.11764705882352941</c:v>
                </c:pt>
                <c:pt idx="60">
                  <c:v>0.11764705882352941</c:v>
                </c:pt>
                <c:pt idx="61">
                  <c:v>0.11764705882352941</c:v>
                </c:pt>
                <c:pt idx="62">
                  <c:v>0.11372549019607843</c:v>
                </c:pt>
                <c:pt idx="63">
                  <c:v>0.11764705882352941</c:v>
                </c:pt>
                <c:pt idx="64">
                  <c:v>0.11764705882352941</c:v>
                </c:pt>
                <c:pt idx="65">
                  <c:v>0.10980392156862745</c:v>
                </c:pt>
                <c:pt idx="66">
                  <c:v>0.10980392156862745</c:v>
                </c:pt>
                <c:pt idx="67">
                  <c:v>0.10980392156862745</c:v>
                </c:pt>
                <c:pt idx="68">
                  <c:v>0.10588235294117647</c:v>
                </c:pt>
                <c:pt idx="69">
                  <c:v>0.10588235294117647</c:v>
                </c:pt>
                <c:pt idx="70">
                  <c:v>0.10196078431372549</c:v>
                </c:pt>
                <c:pt idx="71">
                  <c:v>0.10196078431372549</c:v>
                </c:pt>
                <c:pt idx="72">
                  <c:v>0.10196078431372549</c:v>
                </c:pt>
                <c:pt idx="73">
                  <c:v>0.10588235294117647</c:v>
                </c:pt>
                <c:pt idx="74">
                  <c:v>0.10196078431372549</c:v>
                </c:pt>
                <c:pt idx="75">
                  <c:v>0.10196078431372549</c:v>
                </c:pt>
                <c:pt idx="76">
                  <c:v>9.8039215686274508E-2</c:v>
                </c:pt>
                <c:pt idx="77">
                  <c:v>9.4117647058823528E-2</c:v>
                </c:pt>
                <c:pt idx="78">
                  <c:v>9.4117647058823528E-2</c:v>
                </c:pt>
                <c:pt idx="79">
                  <c:v>9.4117647058823528E-2</c:v>
                </c:pt>
                <c:pt idx="80">
                  <c:v>9.4117647058823528E-2</c:v>
                </c:pt>
              </c:numCache>
            </c:numRef>
          </c:yVal>
        </c:ser>
        <c:ser>
          <c:idx val="2"/>
          <c:order val="2"/>
          <c:tx>
            <c:strRef>
              <c:f>data2!$D$1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data2!$D$2:$D$82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0.92941176470588238</c:v>
                </c:pt>
                <c:pt idx="13">
                  <c:v>0.81960784313725488</c:v>
                </c:pt>
                <c:pt idx="14">
                  <c:v>0.73725490196078436</c:v>
                </c:pt>
                <c:pt idx="15">
                  <c:v>0.66666666666666663</c:v>
                </c:pt>
                <c:pt idx="16">
                  <c:v>0.60784313725490191</c:v>
                </c:pt>
                <c:pt idx="17">
                  <c:v>0.55294117647058827</c:v>
                </c:pt>
                <c:pt idx="18">
                  <c:v>0.50588235294117645</c:v>
                </c:pt>
                <c:pt idx="19">
                  <c:v>0.46666666666666667</c:v>
                </c:pt>
                <c:pt idx="20">
                  <c:v>0.43529411764705883</c:v>
                </c:pt>
                <c:pt idx="21">
                  <c:v>0.40392156862745099</c:v>
                </c:pt>
                <c:pt idx="22">
                  <c:v>0.37647058823529411</c:v>
                </c:pt>
                <c:pt idx="23">
                  <c:v>0.34901960784313724</c:v>
                </c:pt>
                <c:pt idx="24">
                  <c:v>0.32941176470588235</c:v>
                </c:pt>
                <c:pt idx="25">
                  <c:v>0.30980392156862746</c:v>
                </c:pt>
                <c:pt idx="26">
                  <c:v>0.29411764705882354</c:v>
                </c:pt>
                <c:pt idx="27">
                  <c:v>0.27843137254901962</c:v>
                </c:pt>
                <c:pt idx="28">
                  <c:v>0.26666666666666666</c:v>
                </c:pt>
                <c:pt idx="29">
                  <c:v>0.25882352941176473</c:v>
                </c:pt>
                <c:pt idx="30">
                  <c:v>0.25098039215686274</c:v>
                </c:pt>
                <c:pt idx="31">
                  <c:v>0.24313725490196078</c:v>
                </c:pt>
                <c:pt idx="32">
                  <c:v>0.22745098039215686</c:v>
                </c:pt>
                <c:pt idx="33">
                  <c:v>0.2196078431372549</c:v>
                </c:pt>
                <c:pt idx="34">
                  <c:v>0.21176470588235294</c:v>
                </c:pt>
                <c:pt idx="35">
                  <c:v>0.20392156862745098</c:v>
                </c:pt>
                <c:pt idx="36">
                  <c:v>0.19607843137254902</c:v>
                </c:pt>
                <c:pt idx="37">
                  <c:v>0.19215686274509805</c:v>
                </c:pt>
                <c:pt idx="38">
                  <c:v>0.1803921568627451</c:v>
                </c:pt>
                <c:pt idx="39">
                  <c:v>0.17647058823529413</c:v>
                </c:pt>
                <c:pt idx="40">
                  <c:v>0.17254901960784313</c:v>
                </c:pt>
                <c:pt idx="41">
                  <c:v>0.16470588235294117</c:v>
                </c:pt>
                <c:pt idx="42">
                  <c:v>0.15686274509803921</c:v>
                </c:pt>
                <c:pt idx="43">
                  <c:v>0.15294117647058825</c:v>
                </c:pt>
                <c:pt idx="44">
                  <c:v>0.14901960784313725</c:v>
                </c:pt>
                <c:pt idx="45">
                  <c:v>0.14901960784313725</c:v>
                </c:pt>
                <c:pt idx="46">
                  <c:v>0.15294117647058825</c:v>
                </c:pt>
                <c:pt idx="47">
                  <c:v>0.14117647058823529</c:v>
                </c:pt>
                <c:pt idx="48">
                  <c:v>0.14509803921568629</c:v>
                </c:pt>
                <c:pt idx="49">
                  <c:v>0.14117647058823529</c:v>
                </c:pt>
                <c:pt idx="50">
                  <c:v>0.13725490196078433</c:v>
                </c:pt>
                <c:pt idx="51">
                  <c:v>0.14117647058823529</c:v>
                </c:pt>
                <c:pt idx="52">
                  <c:v>0.13725490196078433</c:v>
                </c:pt>
                <c:pt idx="53">
                  <c:v>0.13725490196078433</c:v>
                </c:pt>
                <c:pt idx="54">
                  <c:v>0.13333333333333333</c:v>
                </c:pt>
                <c:pt idx="55">
                  <c:v>0.12549019607843137</c:v>
                </c:pt>
                <c:pt idx="56">
                  <c:v>0.12549019607843137</c:v>
                </c:pt>
                <c:pt idx="57">
                  <c:v>0.12549019607843137</c:v>
                </c:pt>
                <c:pt idx="58">
                  <c:v>0.12549019607843137</c:v>
                </c:pt>
                <c:pt idx="59">
                  <c:v>0.12156862745098039</c:v>
                </c:pt>
                <c:pt idx="60">
                  <c:v>0.12156862745098039</c:v>
                </c:pt>
                <c:pt idx="61">
                  <c:v>0.11764705882352941</c:v>
                </c:pt>
                <c:pt idx="62">
                  <c:v>0.11764705882352941</c:v>
                </c:pt>
                <c:pt idx="63">
                  <c:v>0.11372549019607843</c:v>
                </c:pt>
                <c:pt idx="64">
                  <c:v>0.10980392156862745</c:v>
                </c:pt>
                <c:pt idx="65">
                  <c:v>0.10980392156862745</c:v>
                </c:pt>
                <c:pt idx="66">
                  <c:v>0.10980392156862745</c:v>
                </c:pt>
                <c:pt idx="67">
                  <c:v>0.10980392156862745</c:v>
                </c:pt>
                <c:pt idx="68">
                  <c:v>0.10588235294117647</c:v>
                </c:pt>
                <c:pt idx="69">
                  <c:v>0.10196078431372549</c:v>
                </c:pt>
                <c:pt idx="70">
                  <c:v>0.10196078431372549</c:v>
                </c:pt>
                <c:pt idx="71">
                  <c:v>0.10196078431372549</c:v>
                </c:pt>
                <c:pt idx="72">
                  <c:v>9.8039215686274508E-2</c:v>
                </c:pt>
                <c:pt idx="73">
                  <c:v>9.8039215686274508E-2</c:v>
                </c:pt>
                <c:pt idx="74">
                  <c:v>9.4117647058823528E-2</c:v>
                </c:pt>
                <c:pt idx="75">
                  <c:v>9.8039215686274508E-2</c:v>
                </c:pt>
                <c:pt idx="76">
                  <c:v>9.4117647058823528E-2</c:v>
                </c:pt>
                <c:pt idx="77">
                  <c:v>9.4117647058823528E-2</c:v>
                </c:pt>
                <c:pt idx="78">
                  <c:v>9.4117647058823528E-2</c:v>
                </c:pt>
                <c:pt idx="79">
                  <c:v>9.4117647058823528E-2</c:v>
                </c:pt>
                <c:pt idx="80">
                  <c:v>9.4117647058823528E-2</c:v>
                </c:pt>
              </c:numCache>
            </c:numRef>
          </c:yVal>
        </c:ser>
        <c:ser>
          <c:idx val="3"/>
          <c:order val="3"/>
          <c:tx>
            <c:strRef>
              <c:f>data2!$E$1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data2!$E$2:$E$82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0.93333333333333335</c:v>
                </c:pt>
                <c:pt idx="13">
                  <c:v>0.82745098039215681</c:v>
                </c:pt>
                <c:pt idx="14">
                  <c:v>0.73725490196078436</c:v>
                </c:pt>
                <c:pt idx="15">
                  <c:v>0.66666666666666663</c:v>
                </c:pt>
                <c:pt idx="16">
                  <c:v>0.60392156862745094</c:v>
                </c:pt>
                <c:pt idx="17">
                  <c:v>0.55294117647058827</c:v>
                </c:pt>
                <c:pt idx="18">
                  <c:v>0.50588235294117645</c:v>
                </c:pt>
                <c:pt idx="19">
                  <c:v>0.46666666666666667</c:v>
                </c:pt>
                <c:pt idx="20">
                  <c:v>0.43137254901960786</c:v>
                </c:pt>
                <c:pt idx="21">
                  <c:v>0.40392156862745099</c:v>
                </c:pt>
                <c:pt idx="22">
                  <c:v>0.37647058823529411</c:v>
                </c:pt>
                <c:pt idx="23">
                  <c:v>0.35294117647058826</c:v>
                </c:pt>
                <c:pt idx="24">
                  <c:v>0.32941176470588235</c:v>
                </c:pt>
                <c:pt idx="25">
                  <c:v>0.31372549019607843</c:v>
                </c:pt>
                <c:pt idx="26">
                  <c:v>0.29411764705882354</c:v>
                </c:pt>
                <c:pt idx="27">
                  <c:v>0.28235294117647058</c:v>
                </c:pt>
                <c:pt idx="28">
                  <c:v>0.27450980392156865</c:v>
                </c:pt>
                <c:pt idx="29">
                  <c:v>0.25882352941176473</c:v>
                </c:pt>
                <c:pt idx="30">
                  <c:v>0.25098039215686274</c:v>
                </c:pt>
                <c:pt idx="31">
                  <c:v>0.24705882352941178</c:v>
                </c:pt>
                <c:pt idx="32">
                  <c:v>0.23529411764705882</c:v>
                </c:pt>
                <c:pt idx="33">
                  <c:v>0.2196078431372549</c:v>
                </c:pt>
                <c:pt idx="34">
                  <c:v>0.21176470588235294</c:v>
                </c:pt>
                <c:pt idx="35">
                  <c:v>0.20392156862745098</c:v>
                </c:pt>
                <c:pt idx="36">
                  <c:v>0.2</c:v>
                </c:pt>
                <c:pt idx="37">
                  <c:v>0.19607843137254902</c:v>
                </c:pt>
                <c:pt idx="38">
                  <c:v>0.19215686274509805</c:v>
                </c:pt>
                <c:pt idx="39">
                  <c:v>0.18823529411764706</c:v>
                </c:pt>
                <c:pt idx="40">
                  <c:v>0.1803921568627451</c:v>
                </c:pt>
                <c:pt idx="41">
                  <c:v>0.17254901960784313</c:v>
                </c:pt>
                <c:pt idx="42">
                  <c:v>0.16470588235294117</c:v>
                </c:pt>
                <c:pt idx="43">
                  <c:v>0.15686274509803921</c:v>
                </c:pt>
                <c:pt idx="44">
                  <c:v>0.15686274509803921</c:v>
                </c:pt>
                <c:pt idx="45">
                  <c:v>0.14901960784313725</c:v>
                </c:pt>
                <c:pt idx="46">
                  <c:v>0.14901960784313725</c:v>
                </c:pt>
                <c:pt idx="47">
                  <c:v>0.14509803921568629</c:v>
                </c:pt>
                <c:pt idx="48">
                  <c:v>0.14117647058823529</c:v>
                </c:pt>
                <c:pt idx="49">
                  <c:v>0.14117647058823529</c:v>
                </c:pt>
                <c:pt idx="50">
                  <c:v>0.14117647058823529</c:v>
                </c:pt>
                <c:pt idx="51">
                  <c:v>0.13333333333333333</c:v>
                </c:pt>
                <c:pt idx="52">
                  <c:v>0.12549019607843137</c:v>
                </c:pt>
                <c:pt idx="53">
                  <c:v>0.12549019607843137</c:v>
                </c:pt>
                <c:pt idx="54">
                  <c:v>0.11764705882352941</c:v>
                </c:pt>
                <c:pt idx="55">
                  <c:v>0.12549019607843137</c:v>
                </c:pt>
                <c:pt idx="56">
                  <c:v>0.11764705882352941</c:v>
                </c:pt>
                <c:pt idx="57">
                  <c:v>0.12156862745098039</c:v>
                </c:pt>
                <c:pt idx="58">
                  <c:v>0.12156862745098039</c:v>
                </c:pt>
                <c:pt idx="59">
                  <c:v>0.12156862745098039</c:v>
                </c:pt>
                <c:pt idx="60">
                  <c:v>0.11764705882352941</c:v>
                </c:pt>
                <c:pt idx="61">
                  <c:v>0.10980392156862745</c:v>
                </c:pt>
                <c:pt idx="62">
                  <c:v>0.11764705882352941</c:v>
                </c:pt>
                <c:pt idx="63">
                  <c:v>0.10980392156862745</c:v>
                </c:pt>
                <c:pt idx="64">
                  <c:v>0.11764705882352941</c:v>
                </c:pt>
                <c:pt idx="65">
                  <c:v>0.11372549019607843</c:v>
                </c:pt>
                <c:pt idx="66">
                  <c:v>0.10980392156862745</c:v>
                </c:pt>
                <c:pt idx="67">
                  <c:v>0.10980392156862745</c:v>
                </c:pt>
                <c:pt idx="68">
                  <c:v>0.10588235294117647</c:v>
                </c:pt>
                <c:pt idx="69">
                  <c:v>0.10980392156862745</c:v>
                </c:pt>
                <c:pt idx="70">
                  <c:v>0.10588235294117647</c:v>
                </c:pt>
                <c:pt idx="71">
                  <c:v>0.10196078431372549</c:v>
                </c:pt>
                <c:pt idx="72">
                  <c:v>0.10588235294117647</c:v>
                </c:pt>
                <c:pt idx="73">
                  <c:v>9.8039215686274508E-2</c:v>
                </c:pt>
                <c:pt idx="74">
                  <c:v>9.8039215686274508E-2</c:v>
                </c:pt>
                <c:pt idx="75">
                  <c:v>0.10196078431372549</c:v>
                </c:pt>
                <c:pt idx="76">
                  <c:v>9.4117647058823528E-2</c:v>
                </c:pt>
                <c:pt idx="77">
                  <c:v>9.8039215686274508E-2</c:v>
                </c:pt>
                <c:pt idx="78">
                  <c:v>9.4117647058823528E-2</c:v>
                </c:pt>
                <c:pt idx="79">
                  <c:v>9.4117647058823528E-2</c:v>
                </c:pt>
                <c:pt idx="80">
                  <c:v>9.4117647058823528E-2</c:v>
                </c:pt>
              </c:numCache>
            </c:numRef>
          </c:yVal>
        </c:ser>
        <c:ser>
          <c:idx val="4"/>
          <c:order val="4"/>
          <c:tx>
            <c:strRef>
              <c:f>data2!$F$1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data2!$F$2:$F$82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0.92941176470588238</c:v>
                </c:pt>
                <c:pt idx="13">
                  <c:v>0.81960784313725488</c:v>
                </c:pt>
                <c:pt idx="14">
                  <c:v>0.73333333333333328</c:v>
                </c:pt>
                <c:pt idx="15">
                  <c:v>0.66666666666666663</c:v>
                </c:pt>
                <c:pt idx="16">
                  <c:v>0.60392156862745094</c:v>
                </c:pt>
                <c:pt idx="17">
                  <c:v>0.54509803921568623</c:v>
                </c:pt>
                <c:pt idx="18">
                  <c:v>0.50196078431372548</c:v>
                </c:pt>
                <c:pt idx="19">
                  <c:v>0.46666666666666667</c:v>
                </c:pt>
                <c:pt idx="20">
                  <c:v>0.43529411764705883</c:v>
                </c:pt>
                <c:pt idx="21">
                  <c:v>0.40392156862745099</c:v>
                </c:pt>
                <c:pt idx="22">
                  <c:v>0.37647058823529411</c:v>
                </c:pt>
                <c:pt idx="23">
                  <c:v>0.35294117647058826</c:v>
                </c:pt>
                <c:pt idx="24">
                  <c:v>0.32941176470588235</c:v>
                </c:pt>
                <c:pt idx="25">
                  <c:v>0.31372549019607843</c:v>
                </c:pt>
                <c:pt idx="26">
                  <c:v>0.29803921568627451</c:v>
                </c:pt>
                <c:pt idx="27">
                  <c:v>0.28627450980392155</c:v>
                </c:pt>
                <c:pt idx="28">
                  <c:v>0.27450980392156865</c:v>
                </c:pt>
                <c:pt idx="29">
                  <c:v>0.25882352941176473</c:v>
                </c:pt>
                <c:pt idx="30">
                  <c:v>0.25098039215686274</c:v>
                </c:pt>
                <c:pt idx="31">
                  <c:v>0.23529411764705882</c:v>
                </c:pt>
                <c:pt idx="32">
                  <c:v>0.23529411764705882</c:v>
                </c:pt>
                <c:pt idx="33">
                  <c:v>0.23137254901960785</c:v>
                </c:pt>
                <c:pt idx="34">
                  <c:v>0.21568627450980393</c:v>
                </c:pt>
                <c:pt idx="35">
                  <c:v>0.20392156862745098</c:v>
                </c:pt>
                <c:pt idx="36">
                  <c:v>0.19607843137254902</c:v>
                </c:pt>
                <c:pt idx="37">
                  <c:v>0.19607843137254902</c:v>
                </c:pt>
                <c:pt idx="38">
                  <c:v>0.18823529411764706</c:v>
                </c:pt>
                <c:pt idx="39">
                  <c:v>0.1803921568627451</c:v>
                </c:pt>
                <c:pt idx="40">
                  <c:v>0.17647058823529413</c:v>
                </c:pt>
                <c:pt idx="41">
                  <c:v>0.17254901960784313</c:v>
                </c:pt>
                <c:pt idx="42">
                  <c:v>0.16470588235294117</c:v>
                </c:pt>
                <c:pt idx="43">
                  <c:v>0.16470588235294117</c:v>
                </c:pt>
                <c:pt idx="44">
                  <c:v>0.15686274509803921</c:v>
                </c:pt>
                <c:pt idx="45">
                  <c:v>0.14901960784313725</c:v>
                </c:pt>
                <c:pt idx="46">
                  <c:v>0.14509803921568629</c:v>
                </c:pt>
                <c:pt idx="47">
                  <c:v>0.14509803921568629</c:v>
                </c:pt>
                <c:pt idx="48">
                  <c:v>0.13725490196078433</c:v>
                </c:pt>
                <c:pt idx="49">
                  <c:v>0.13725490196078433</c:v>
                </c:pt>
                <c:pt idx="50">
                  <c:v>0.13333333333333333</c:v>
                </c:pt>
                <c:pt idx="51">
                  <c:v>0.13333333333333333</c:v>
                </c:pt>
                <c:pt idx="52">
                  <c:v>0.13333333333333333</c:v>
                </c:pt>
                <c:pt idx="53">
                  <c:v>0.12549019607843137</c:v>
                </c:pt>
                <c:pt idx="54">
                  <c:v>0.12549019607843137</c:v>
                </c:pt>
                <c:pt idx="55">
                  <c:v>0.12549019607843137</c:v>
                </c:pt>
                <c:pt idx="56">
                  <c:v>0.12156862745098039</c:v>
                </c:pt>
                <c:pt idx="57">
                  <c:v>0.12549019607843137</c:v>
                </c:pt>
                <c:pt idx="58">
                  <c:v>0.11764705882352941</c:v>
                </c:pt>
                <c:pt idx="59">
                  <c:v>0.11764705882352941</c:v>
                </c:pt>
                <c:pt idx="60">
                  <c:v>0.11372549019607843</c:v>
                </c:pt>
                <c:pt idx="61">
                  <c:v>0.10980392156862745</c:v>
                </c:pt>
                <c:pt idx="62">
                  <c:v>0.10980392156862745</c:v>
                </c:pt>
                <c:pt idx="63">
                  <c:v>0.10980392156862745</c:v>
                </c:pt>
                <c:pt idx="64">
                  <c:v>0.10588235294117647</c:v>
                </c:pt>
                <c:pt idx="65">
                  <c:v>0.10588235294117647</c:v>
                </c:pt>
                <c:pt idx="66">
                  <c:v>0.10588235294117647</c:v>
                </c:pt>
                <c:pt idx="67">
                  <c:v>0.10196078431372549</c:v>
                </c:pt>
                <c:pt idx="68">
                  <c:v>0.10196078431372549</c:v>
                </c:pt>
                <c:pt idx="69">
                  <c:v>9.8039215686274508E-2</c:v>
                </c:pt>
                <c:pt idx="70">
                  <c:v>0.10196078431372549</c:v>
                </c:pt>
                <c:pt idx="71">
                  <c:v>9.4117647058823528E-2</c:v>
                </c:pt>
                <c:pt idx="72">
                  <c:v>0.10196078431372549</c:v>
                </c:pt>
                <c:pt idx="73">
                  <c:v>0.10196078431372549</c:v>
                </c:pt>
                <c:pt idx="74">
                  <c:v>9.8039215686274508E-2</c:v>
                </c:pt>
                <c:pt idx="75">
                  <c:v>9.8039215686274508E-2</c:v>
                </c:pt>
                <c:pt idx="76">
                  <c:v>9.4117647058823528E-2</c:v>
                </c:pt>
                <c:pt idx="77">
                  <c:v>9.4117647058823528E-2</c:v>
                </c:pt>
                <c:pt idx="78">
                  <c:v>9.4117647058823528E-2</c:v>
                </c:pt>
                <c:pt idx="79">
                  <c:v>9.4117647058823528E-2</c:v>
                </c:pt>
                <c:pt idx="80">
                  <c:v>9.8039215686274508E-2</c:v>
                </c:pt>
              </c:numCache>
            </c:numRef>
          </c:yVal>
        </c:ser>
        <c:ser>
          <c:idx val="5"/>
          <c:order val="5"/>
          <c:tx>
            <c:strRef>
              <c:f>data2!$G$1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data2!$G$2:$G$82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0.92941176470588238</c:v>
                </c:pt>
                <c:pt idx="13">
                  <c:v>0.81960784313725488</c:v>
                </c:pt>
                <c:pt idx="14">
                  <c:v>0.73725490196078436</c:v>
                </c:pt>
                <c:pt idx="15">
                  <c:v>0.66666666666666663</c:v>
                </c:pt>
                <c:pt idx="16">
                  <c:v>0.60392156862745094</c:v>
                </c:pt>
                <c:pt idx="17">
                  <c:v>0.54509803921568623</c:v>
                </c:pt>
                <c:pt idx="18">
                  <c:v>0.50196078431372548</c:v>
                </c:pt>
                <c:pt idx="19">
                  <c:v>0.46666666666666667</c:v>
                </c:pt>
                <c:pt idx="20">
                  <c:v>0.43137254901960786</c:v>
                </c:pt>
                <c:pt idx="21">
                  <c:v>0.4</c:v>
                </c:pt>
                <c:pt idx="22">
                  <c:v>0.37254901960784315</c:v>
                </c:pt>
                <c:pt idx="23">
                  <c:v>0.34901960784313724</c:v>
                </c:pt>
                <c:pt idx="24">
                  <c:v>0.32549019607843138</c:v>
                </c:pt>
                <c:pt idx="25">
                  <c:v>0.30196078431372547</c:v>
                </c:pt>
                <c:pt idx="26">
                  <c:v>0.28627450980392155</c:v>
                </c:pt>
                <c:pt idx="27">
                  <c:v>0.27450980392156865</c:v>
                </c:pt>
                <c:pt idx="28">
                  <c:v>0.2627450980392157</c:v>
                </c:pt>
                <c:pt idx="29">
                  <c:v>0.25098039215686274</c:v>
                </c:pt>
                <c:pt idx="30">
                  <c:v>0.24705882352941178</c:v>
                </c:pt>
                <c:pt idx="31">
                  <c:v>0.24313725490196078</c:v>
                </c:pt>
                <c:pt idx="32">
                  <c:v>0.22745098039215686</c:v>
                </c:pt>
                <c:pt idx="33">
                  <c:v>0.2196078431372549</c:v>
                </c:pt>
                <c:pt idx="34">
                  <c:v>0.21176470588235294</c:v>
                </c:pt>
                <c:pt idx="35">
                  <c:v>0.20392156862745098</c:v>
                </c:pt>
                <c:pt idx="36">
                  <c:v>0.19607843137254902</c:v>
                </c:pt>
                <c:pt idx="37">
                  <c:v>0.19607843137254902</c:v>
                </c:pt>
                <c:pt idx="38">
                  <c:v>0.18823529411764706</c:v>
                </c:pt>
                <c:pt idx="39">
                  <c:v>0.1803921568627451</c:v>
                </c:pt>
                <c:pt idx="40">
                  <c:v>0.1803921568627451</c:v>
                </c:pt>
                <c:pt idx="41">
                  <c:v>0.17254901960784313</c:v>
                </c:pt>
                <c:pt idx="42">
                  <c:v>0.16470588235294117</c:v>
                </c:pt>
                <c:pt idx="43">
                  <c:v>0.16470588235294117</c:v>
                </c:pt>
                <c:pt idx="44">
                  <c:v>0.15686274509803921</c:v>
                </c:pt>
                <c:pt idx="45">
                  <c:v>0.14901960784313725</c:v>
                </c:pt>
                <c:pt idx="46">
                  <c:v>0.14901960784313725</c:v>
                </c:pt>
                <c:pt idx="47">
                  <c:v>0.14117647058823529</c:v>
                </c:pt>
                <c:pt idx="48">
                  <c:v>0.14117647058823529</c:v>
                </c:pt>
                <c:pt idx="49">
                  <c:v>0.14901960784313725</c:v>
                </c:pt>
                <c:pt idx="50">
                  <c:v>0.14117647058823529</c:v>
                </c:pt>
                <c:pt idx="51">
                  <c:v>0.14117647058823529</c:v>
                </c:pt>
                <c:pt idx="52">
                  <c:v>0.14117647058823529</c:v>
                </c:pt>
                <c:pt idx="53">
                  <c:v>0.12941176470588237</c:v>
                </c:pt>
                <c:pt idx="54">
                  <c:v>0.13333333333333333</c:v>
                </c:pt>
                <c:pt idx="55">
                  <c:v>0.13333333333333333</c:v>
                </c:pt>
                <c:pt idx="56">
                  <c:v>0.12549019607843137</c:v>
                </c:pt>
                <c:pt idx="57">
                  <c:v>0.12156862745098039</c:v>
                </c:pt>
                <c:pt idx="58">
                  <c:v>0.12156862745098039</c:v>
                </c:pt>
                <c:pt idx="59">
                  <c:v>0.12156862745098039</c:v>
                </c:pt>
                <c:pt idx="60">
                  <c:v>0.11764705882352941</c:v>
                </c:pt>
                <c:pt idx="61">
                  <c:v>0.11764705882352941</c:v>
                </c:pt>
                <c:pt idx="62">
                  <c:v>0.12156862745098039</c:v>
                </c:pt>
                <c:pt idx="63">
                  <c:v>0.10980392156862745</c:v>
                </c:pt>
                <c:pt idx="64">
                  <c:v>0.10980392156862745</c:v>
                </c:pt>
                <c:pt idx="65">
                  <c:v>0.10980392156862745</c:v>
                </c:pt>
                <c:pt idx="66">
                  <c:v>0.10980392156862745</c:v>
                </c:pt>
                <c:pt idx="67">
                  <c:v>0.10196078431372549</c:v>
                </c:pt>
                <c:pt idx="68">
                  <c:v>0.10588235294117647</c:v>
                </c:pt>
                <c:pt idx="69">
                  <c:v>0.10588235294117647</c:v>
                </c:pt>
                <c:pt idx="70">
                  <c:v>0.10196078431372549</c:v>
                </c:pt>
                <c:pt idx="71">
                  <c:v>9.8039215686274508E-2</c:v>
                </c:pt>
                <c:pt idx="72">
                  <c:v>9.4117647058823528E-2</c:v>
                </c:pt>
                <c:pt idx="73">
                  <c:v>9.8039215686274508E-2</c:v>
                </c:pt>
                <c:pt idx="74">
                  <c:v>9.4117647058823528E-2</c:v>
                </c:pt>
                <c:pt idx="75">
                  <c:v>9.0196078431372548E-2</c:v>
                </c:pt>
                <c:pt idx="76">
                  <c:v>9.4117647058823528E-2</c:v>
                </c:pt>
                <c:pt idx="77">
                  <c:v>8.6274509803921567E-2</c:v>
                </c:pt>
                <c:pt idx="78">
                  <c:v>9.4117647058823528E-2</c:v>
                </c:pt>
                <c:pt idx="79">
                  <c:v>9.4117647058823528E-2</c:v>
                </c:pt>
                <c:pt idx="80">
                  <c:v>9.4117647058823528E-2</c:v>
                </c:pt>
              </c:numCache>
            </c:numRef>
          </c:yVal>
        </c:ser>
        <c:ser>
          <c:idx val="6"/>
          <c:order val="6"/>
          <c:tx>
            <c:strRef>
              <c:f>data2!$H$1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data2!$H$2:$H$82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0.92941176470588238</c:v>
                </c:pt>
                <c:pt idx="13">
                  <c:v>0.81960784313725488</c:v>
                </c:pt>
                <c:pt idx="14">
                  <c:v>0.72941176470588232</c:v>
                </c:pt>
                <c:pt idx="15">
                  <c:v>0.6588235294117647</c:v>
                </c:pt>
                <c:pt idx="16">
                  <c:v>0.60392156862745094</c:v>
                </c:pt>
                <c:pt idx="17">
                  <c:v>0.54117647058823526</c:v>
                </c:pt>
                <c:pt idx="18">
                  <c:v>0.49803921568627452</c:v>
                </c:pt>
                <c:pt idx="19">
                  <c:v>0.46274509803921571</c:v>
                </c:pt>
                <c:pt idx="20">
                  <c:v>0.43137254901960786</c:v>
                </c:pt>
                <c:pt idx="21">
                  <c:v>0.40392156862745099</c:v>
                </c:pt>
                <c:pt idx="22">
                  <c:v>0.37254901960784315</c:v>
                </c:pt>
                <c:pt idx="23">
                  <c:v>0.34901960784313724</c:v>
                </c:pt>
                <c:pt idx="24">
                  <c:v>0.33333333333333331</c:v>
                </c:pt>
                <c:pt idx="25">
                  <c:v>0.31372549019607843</c:v>
                </c:pt>
                <c:pt idx="26">
                  <c:v>0.29803921568627451</c:v>
                </c:pt>
                <c:pt idx="27">
                  <c:v>0.28235294117647058</c:v>
                </c:pt>
                <c:pt idx="28">
                  <c:v>0.26666666666666666</c:v>
                </c:pt>
                <c:pt idx="29">
                  <c:v>0.25098039215686274</c:v>
                </c:pt>
                <c:pt idx="30">
                  <c:v>0.24313725490196078</c:v>
                </c:pt>
                <c:pt idx="31">
                  <c:v>0.22745098039215686</c:v>
                </c:pt>
                <c:pt idx="32">
                  <c:v>0.2196078431372549</c:v>
                </c:pt>
                <c:pt idx="33">
                  <c:v>0.21568627450980393</c:v>
                </c:pt>
                <c:pt idx="34">
                  <c:v>0.20784313725490197</c:v>
                </c:pt>
                <c:pt idx="35">
                  <c:v>0.20392156862745098</c:v>
                </c:pt>
                <c:pt idx="36">
                  <c:v>0.19607843137254902</c:v>
                </c:pt>
                <c:pt idx="37">
                  <c:v>0.18823529411764706</c:v>
                </c:pt>
                <c:pt idx="38">
                  <c:v>0.18431372549019609</c:v>
                </c:pt>
                <c:pt idx="39">
                  <c:v>0.17647058823529413</c:v>
                </c:pt>
                <c:pt idx="40">
                  <c:v>0.16862745098039217</c:v>
                </c:pt>
                <c:pt idx="41">
                  <c:v>0.16470588235294117</c:v>
                </c:pt>
                <c:pt idx="42">
                  <c:v>0.16078431372549021</c:v>
                </c:pt>
                <c:pt idx="43">
                  <c:v>0.15686274509803921</c:v>
                </c:pt>
                <c:pt idx="44">
                  <c:v>0.14901960784313725</c:v>
                </c:pt>
                <c:pt idx="45">
                  <c:v>0.14901960784313725</c:v>
                </c:pt>
                <c:pt idx="46">
                  <c:v>0.14117647058823529</c:v>
                </c:pt>
                <c:pt idx="47">
                  <c:v>0.13333333333333333</c:v>
                </c:pt>
                <c:pt idx="48">
                  <c:v>0.14117647058823529</c:v>
                </c:pt>
                <c:pt idx="49">
                  <c:v>0.13333333333333333</c:v>
                </c:pt>
                <c:pt idx="50">
                  <c:v>0.13333333333333333</c:v>
                </c:pt>
                <c:pt idx="51">
                  <c:v>0.13333333333333333</c:v>
                </c:pt>
                <c:pt idx="52">
                  <c:v>0.13333333333333333</c:v>
                </c:pt>
                <c:pt idx="53">
                  <c:v>0.12549019607843137</c:v>
                </c:pt>
                <c:pt idx="54">
                  <c:v>0.12156862745098039</c:v>
                </c:pt>
                <c:pt idx="55">
                  <c:v>0.11764705882352941</c:v>
                </c:pt>
                <c:pt idx="56">
                  <c:v>0.11764705882352941</c:v>
                </c:pt>
                <c:pt idx="57">
                  <c:v>0.10980392156862745</c:v>
                </c:pt>
                <c:pt idx="58">
                  <c:v>0.11372549019607843</c:v>
                </c:pt>
                <c:pt idx="59">
                  <c:v>0.10980392156862745</c:v>
                </c:pt>
                <c:pt idx="60">
                  <c:v>0.10980392156862745</c:v>
                </c:pt>
                <c:pt idx="61">
                  <c:v>0.10588235294117647</c:v>
                </c:pt>
                <c:pt idx="62">
                  <c:v>0.10980392156862745</c:v>
                </c:pt>
                <c:pt idx="63">
                  <c:v>0.10980392156862745</c:v>
                </c:pt>
                <c:pt idx="64">
                  <c:v>0.10980392156862745</c:v>
                </c:pt>
                <c:pt idx="65">
                  <c:v>0.10980392156862745</c:v>
                </c:pt>
                <c:pt idx="66">
                  <c:v>0.10196078431372549</c:v>
                </c:pt>
                <c:pt idx="67">
                  <c:v>0.10196078431372549</c:v>
                </c:pt>
                <c:pt idx="68">
                  <c:v>0.10588235294117647</c:v>
                </c:pt>
                <c:pt idx="69">
                  <c:v>0.10196078431372549</c:v>
                </c:pt>
                <c:pt idx="70">
                  <c:v>0.10196078431372549</c:v>
                </c:pt>
                <c:pt idx="71">
                  <c:v>0.10196078431372549</c:v>
                </c:pt>
                <c:pt idx="72">
                  <c:v>9.4117647058823528E-2</c:v>
                </c:pt>
                <c:pt idx="73">
                  <c:v>9.4117647058823528E-2</c:v>
                </c:pt>
                <c:pt idx="74">
                  <c:v>9.4117647058823528E-2</c:v>
                </c:pt>
                <c:pt idx="75">
                  <c:v>9.4117647058823528E-2</c:v>
                </c:pt>
                <c:pt idx="76">
                  <c:v>9.4117647058823528E-2</c:v>
                </c:pt>
                <c:pt idx="77">
                  <c:v>9.0196078431372548E-2</c:v>
                </c:pt>
                <c:pt idx="78">
                  <c:v>9.4117647058823528E-2</c:v>
                </c:pt>
                <c:pt idx="79">
                  <c:v>8.6274509803921567E-2</c:v>
                </c:pt>
                <c:pt idx="80">
                  <c:v>9.4117647058823528E-2</c:v>
                </c:pt>
              </c:numCache>
            </c:numRef>
          </c:yVal>
        </c:ser>
        <c:ser>
          <c:idx val="7"/>
          <c:order val="7"/>
          <c:tx>
            <c:strRef>
              <c:f>data2!$I$1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data2!$I$2:$I$82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0.92941176470588238</c:v>
                </c:pt>
                <c:pt idx="13">
                  <c:v>0.82352941176470584</c:v>
                </c:pt>
                <c:pt idx="14">
                  <c:v>0.73725490196078436</c:v>
                </c:pt>
                <c:pt idx="15">
                  <c:v>0.66274509803921566</c:v>
                </c:pt>
                <c:pt idx="16">
                  <c:v>0.60392156862745094</c:v>
                </c:pt>
                <c:pt idx="17">
                  <c:v>0.55294117647058827</c:v>
                </c:pt>
                <c:pt idx="18">
                  <c:v>0.50588235294117645</c:v>
                </c:pt>
                <c:pt idx="19">
                  <c:v>0.46666666666666667</c:v>
                </c:pt>
                <c:pt idx="20">
                  <c:v>0.42745098039215684</c:v>
                </c:pt>
                <c:pt idx="21">
                  <c:v>0.396078431372549</c:v>
                </c:pt>
                <c:pt idx="22">
                  <c:v>0.36862745098039218</c:v>
                </c:pt>
                <c:pt idx="23">
                  <c:v>0.35686274509803922</c:v>
                </c:pt>
                <c:pt idx="24">
                  <c:v>0.32156862745098042</c:v>
                </c:pt>
                <c:pt idx="25">
                  <c:v>0.30980392156862746</c:v>
                </c:pt>
                <c:pt idx="26">
                  <c:v>0.29019607843137257</c:v>
                </c:pt>
                <c:pt idx="27">
                  <c:v>0.28235294117647058</c:v>
                </c:pt>
                <c:pt idx="28">
                  <c:v>0.26666666666666666</c:v>
                </c:pt>
                <c:pt idx="29">
                  <c:v>0.25098039215686274</c:v>
                </c:pt>
                <c:pt idx="30">
                  <c:v>0.24313725490196078</c:v>
                </c:pt>
                <c:pt idx="31">
                  <c:v>0.22745098039215686</c:v>
                </c:pt>
                <c:pt idx="32">
                  <c:v>0.22352941176470589</c:v>
                </c:pt>
                <c:pt idx="33">
                  <c:v>0.20392156862745098</c:v>
                </c:pt>
                <c:pt idx="34">
                  <c:v>0.2</c:v>
                </c:pt>
                <c:pt idx="35">
                  <c:v>0.19215686274509805</c:v>
                </c:pt>
                <c:pt idx="36">
                  <c:v>0.18823529411764706</c:v>
                </c:pt>
                <c:pt idx="37">
                  <c:v>0.18431372549019609</c:v>
                </c:pt>
                <c:pt idx="38">
                  <c:v>0.17647058823529413</c:v>
                </c:pt>
                <c:pt idx="39">
                  <c:v>0.16470588235294117</c:v>
                </c:pt>
                <c:pt idx="40">
                  <c:v>0.16862745098039217</c:v>
                </c:pt>
                <c:pt idx="41">
                  <c:v>0.16078431372549021</c:v>
                </c:pt>
                <c:pt idx="42">
                  <c:v>0.15686274509803921</c:v>
                </c:pt>
                <c:pt idx="43">
                  <c:v>0.15686274509803921</c:v>
                </c:pt>
                <c:pt idx="44">
                  <c:v>0.15686274509803921</c:v>
                </c:pt>
                <c:pt idx="45">
                  <c:v>0.14901960784313725</c:v>
                </c:pt>
                <c:pt idx="46">
                  <c:v>0.15294117647058825</c:v>
                </c:pt>
                <c:pt idx="47">
                  <c:v>0.14117647058823529</c:v>
                </c:pt>
                <c:pt idx="48">
                  <c:v>0.14117647058823529</c:v>
                </c:pt>
                <c:pt idx="49">
                  <c:v>0.14117647058823529</c:v>
                </c:pt>
                <c:pt idx="50">
                  <c:v>0.14117647058823529</c:v>
                </c:pt>
                <c:pt idx="51">
                  <c:v>0.13333333333333333</c:v>
                </c:pt>
                <c:pt idx="52">
                  <c:v>0.13333333333333333</c:v>
                </c:pt>
                <c:pt idx="53">
                  <c:v>0.13333333333333333</c:v>
                </c:pt>
                <c:pt idx="54">
                  <c:v>0.13333333333333333</c:v>
                </c:pt>
                <c:pt idx="55">
                  <c:v>0.12549019607843137</c:v>
                </c:pt>
                <c:pt idx="56">
                  <c:v>0.12549019607843137</c:v>
                </c:pt>
                <c:pt idx="57">
                  <c:v>0.12549019607843137</c:v>
                </c:pt>
                <c:pt idx="58">
                  <c:v>0.12156862745098039</c:v>
                </c:pt>
                <c:pt idx="59">
                  <c:v>0.11764705882352941</c:v>
                </c:pt>
                <c:pt idx="60">
                  <c:v>0.11764705882352941</c:v>
                </c:pt>
                <c:pt idx="61">
                  <c:v>0.11764705882352941</c:v>
                </c:pt>
                <c:pt idx="62">
                  <c:v>0.10980392156862745</c:v>
                </c:pt>
                <c:pt idx="63">
                  <c:v>0.10980392156862745</c:v>
                </c:pt>
                <c:pt idx="64">
                  <c:v>0.10980392156862745</c:v>
                </c:pt>
                <c:pt idx="65">
                  <c:v>0.11764705882352941</c:v>
                </c:pt>
                <c:pt idx="66">
                  <c:v>0.10980392156862745</c:v>
                </c:pt>
                <c:pt idx="67">
                  <c:v>0.10980392156862745</c:v>
                </c:pt>
                <c:pt idx="68">
                  <c:v>0.10980392156862745</c:v>
                </c:pt>
                <c:pt idx="69">
                  <c:v>0.10980392156862745</c:v>
                </c:pt>
                <c:pt idx="70">
                  <c:v>0.10980392156862745</c:v>
                </c:pt>
                <c:pt idx="71">
                  <c:v>0.10196078431372549</c:v>
                </c:pt>
                <c:pt idx="72">
                  <c:v>0.10980392156862745</c:v>
                </c:pt>
                <c:pt idx="73">
                  <c:v>0.10980392156862745</c:v>
                </c:pt>
                <c:pt idx="74">
                  <c:v>0.10588235294117647</c:v>
                </c:pt>
                <c:pt idx="75">
                  <c:v>0.10196078431372549</c:v>
                </c:pt>
                <c:pt idx="76">
                  <c:v>0.10196078431372549</c:v>
                </c:pt>
                <c:pt idx="77">
                  <c:v>0.10196078431372549</c:v>
                </c:pt>
                <c:pt idx="78">
                  <c:v>9.8039215686274508E-2</c:v>
                </c:pt>
                <c:pt idx="79">
                  <c:v>9.8039215686274508E-2</c:v>
                </c:pt>
                <c:pt idx="80">
                  <c:v>9.8039215686274508E-2</c:v>
                </c:pt>
              </c:numCache>
            </c:numRef>
          </c:yVal>
        </c:ser>
        <c:axId val="136567424"/>
        <c:axId val="136384896"/>
      </c:scatterChart>
      <c:valAx>
        <c:axId val="136567424"/>
        <c:scaling>
          <c:orientation val="minMax"/>
          <c:min val="0"/>
        </c:scaling>
        <c:axPos val="b"/>
        <c:numFmt formatCode="0.0" sourceLinked="1"/>
        <c:tickLblPos val="nextTo"/>
        <c:crossAx val="136384896"/>
        <c:crosses val="autoZero"/>
        <c:crossBetween val="midCat"/>
      </c:valAx>
      <c:valAx>
        <c:axId val="136384896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3656742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data2!$J$2:$J$82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0.92549019607843142</c:v>
                </c:pt>
                <c:pt idx="13">
                  <c:v>0.81960784313725488</c:v>
                </c:pt>
                <c:pt idx="14">
                  <c:v>0.73333333333333328</c:v>
                </c:pt>
                <c:pt idx="15">
                  <c:v>0.6588235294117647</c:v>
                </c:pt>
                <c:pt idx="16">
                  <c:v>0.60392156862745094</c:v>
                </c:pt>
                <c:pt idx="17">
                  <c:v>0.54509803921568623</c:v>
                </c:pt>
                <c:pt idx="18">
                  <c:v>0.49803921568627452</c:v>
                </c:pt>
                <c:pt idx="19">
                  <c:v>0.45882352941176469</c:v>
                </c:pt>
                <c:pt idx="20">
                  <c:v>0.42745098039215684</c:v>
                </c:pt>
                <c:pt idx="21">
                  <c:v>0.40392156862745099</c:v>
                </c:pt>
                <c:pt idx="22">
                  <c:v>0.36862745098039218</c:v>
                </c:pt>
                <c:pt idx="23">
                  <c:v>0.35294117647058826</c:v>
                </c:pt>
                <c:pt idx="24">
                  <c:v>0.32549019607843138</c:v>
                </c:pt>
                <c:pt idx="25">
                  <c:v>0.30980392156862746</c:v>
                </c:pt>
                <c:pt idx="26">
                  <c:v>0.29019607843137257</c:v>
                </c:pt>
                <c:pt idx="27">
                  <c:v>0.27450980392156865</c:v>
                </c:pt>
                <c:pt idx="28">
                  <c:v>0.26666666666666666</c:v>
                </c:pt>
                <c:pt idx="29">
                  <c:v>0.25098039215686274</c:v>
                </c:pt>
                <c:pt idx="30">
                  <c:v>0.24313725490196078</c:v>
                </c:pt>
                <c:pt idx="31">
                  <c:v>0.23529411764705882</c:v>
                </c:pt>
                <c:pt idx="32">
                  <c:v>0.22745098039215686</c:v>
                </c:pt>
                <c:pt idx="33">
                  <c:v>0.21568627450980393</c:v>
                </c:pt>
                <c:pt idx="34">
                  <c:v>0.21176470588235294</c:v>
                </c:pt>
                <c:pt idx="35">
                  <c:v>0.19607843137254902</c:v>
                </c:pt>
                <c:pt idx="36">
                  <c:v>0.19607843137254902</c:v>
                </c:pt>
                <c:pt idx="37">
                  <c:v>0.18431372549019609</c:v>
                </c:pt>
                <c:pt idx="38">
                  <c:v>0.1803921568627451</c:v>
                </c:pt>
                <c:pt idx="39">
                  <c:v>0.1803921568627451</c:v>
                </c:pt>
                <c:pt idx="40">
                  <c:v>0.17254901960784313</c:v>
                </c:pt>
                <c:pt idx="41">
                  <c:v>0.16470588235294117</c:v>
                </c:pt>
                <c:pt idx="42">
                  <c:v>0.15686274509803921</c:v>
                </c:pt>
                <c:pt idx="43">
                  <c:v>0.15686274509803921</c:v>
                </c:pt>
                <c:pt idx="44">
                  <c:v>0.14901960784313725</c:v>
                </c:pt>
                <c:pt idx="45">
                  <c:v>0.14901960784313725</c:v>
                </c:pt>
                <c:pt idx="46">
                  <c:v>0.14117647058823529</c:v>
                </c:pt>
                <c:pt idx="47">
                  <c:v>0.14117647058823529</c:v>
                </c:pt>
                <c:pt idx="48">
                  <c:v>0.14117647058823529</c:v>
                </c:pt>
                <c:pt idx="49">
                  <c:v>0.14117647058823529</c:v>
                </c:pt>
                <c:pt idx="50">
                  <c:v>0.13333333333333333</c:v>
                </c:pt>
                <c:pt idx="51">
                  <c:v>0.13725490196078433</c:v>
                </c:pt>
                <c:pt idx="52">
                  <c:v>0.13333333333333333</c:v>
                </c:pt>
                <c:pt idx="53">
                  <c:v>0.13333333333333333</c:v>
                </c:pt>
                <c:pt idx="54">
                  <c:v>0.13333333333333333</c:v>
                </c:pt>
                <c:pt idx="55">
                  <c:v>0.13333333333333333</c:v>
                </c:pt>
                <c:pt idx="56">
                  <c:v>0.12549019607843137</c:v>
                </c:pt>
                <c:pt idx="57">
                  <c:v>0.12549019607843137</c:v>
                </c:pt>
                <c:pt idx="58">
                  <c:v>0.12156862745098039</c:v>
                </c:pt>
                <c:pt idx="59">
                  <c:v>0.12549019607843137</c:v>
                </c:pt>
                <c:pt idx="60">
                  <c:v>0.12156862745098039</c:v>
                </c:pt>
                <c:pt idx="61">
                  <c:v>0.11764705882352941</c:v>
                </c:pt>
                <c:pt idx="62">
                  <c:v>0.11764705882352941</c:v>
                </c:pt>
                <c:pt idx="63">
                  <c:v>0.11372549019607843</c:v>
                </c:pt>
                <c:pt idx="64">
                  <c:v>0.10980392156862745</c:v>
                </c:pt>
                <c:pt idx="65">
                  <c:v>0.11372549019607843</c:v>
                </c:pt>
                <c:pt idx="66">
                  <c:v>0.10980392156862745</c:v>
                </c:pt>
                <c:pt idx="67">
                  <c:v>0.10980392156862745</c:v>
                </c:pt>
                <c:pt idx="68">
                  <c:v>0.10980392156862745</c:v>
                </c:pt>
                <c:pt idx="69">
                  <c:v>0.10980392156862745</c:v>
                </c:pt>
                <c:pt idx="70">
                  <c:v>0.10196078431372549</c:v>
                </c:pt>
                <c:pt idx="71">
                  <c:v>0.10196078431372549</c:v>
                </c:pt>
                <c:pt idx="72">
                  <c:v>9.4117647058823528E-2</c:v>
                </c:pt>
                <c:pt idx="73">
                  <c:v>9.4117647058823528E-2</c:v>
                </c:pt>
                <c:pt idx="74">
                  <c:v>9.4117647058823528E-2</c:v>
                </c:pt>
                <c:pt idx="75">
                  <c:v>9.8039215686274508E-2</c:v>
                </c:pt>
                <c:pt idx="76">
                  <c:v>9.4117647058823528E-2</c:v>
                </c:pt>
                <c:pt idx="77">
                  <c:v>9.4117647058823528E-2</c:v>
                </c:pt>
                <c:pt idx="78">
                  <c:v>9.4117647058823528E-2</c:v>
                </c:pt>
                <c:pt idx="79">
                  <c:v>9.4117647058823528E-2</c:v>
                </c:pt>
                <c:pt idx="80">
                  <c:v>9.4117647058823528E-2</c:v>
                </c:pt>
              </c:numCache>
            </c:numRef>
          </c:yVal>
        </c:ser>
        <c:ser>
          <c:idx val="1"/>
          <c:order val="1"/>
          <c:tx>
            <c:strRef>
              <c:f>data2!$K$1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data2!$K$2:$K$82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0.92549019607843142</c:v>
                </c:pt>
                <c:pt idx="13">
                  <c:v>0.81568627450980391</c:v>
                </c:pt>
                <c:pt idx="14">
                  <c:v>0.73333333333333328</c:v>
                </c:pt>
                <c:pt idx="15">
                  <c:v>0.6588235294117647</c:v>
                </c:pt>
                <c:pt idx="16">
                  <c:v>0.6</c:v>
                </c:pt>
                <c:pt idx="17">
                  <c:v>0.54509803921568623</c:v>
                </c:pt>
                <c:pt idx="18">
                  <c:v>0.49803921568627452</c:v>
                </c:pt>
                <c:pt idx="19">
                  <c:v>0.45882352941176469</c:v>
                </c:pt>
                <c:pt idx="20">
                  <c:v>0.42745098039215684</c:v>
                </c:pt>
                <c:pt idx="21">
                  <c:v>0.396078431372549</c:v>
                </c:pt>
                <c:pt idx="22">
                  <c:v>0.37647058823529411</c:v>
                </c:pt>
                <c:pt idx="23">
                  <c:v>0.34901960784313724</c:v>
                </c:pt>
                <c:pt idx="24">
                  <c:v>0.33333333333333331</c:v>
                </c:pt>
                <c:pt idx="25">
                  <c:v>0.30196078431372547</c:v>
                </c:pt>
                <c:pt idx="26">
                  <c:v>0.28235294117647058</c:v>
                </c:pt>
                <c:pt idx="27">
                  <c:v>0.27450980392156865</c:v>
                </c:pt>
                <c:pt idx="28">
                  <c:v>0.26666666666666666</c:v>
                </c:pt>
                <c:pt idx="29">
                  <c:v>0.25098039215686274</c:v>
                </c:pt>
                <c:pt idx="30">
                  <c:v>0.24313725490196078</c:v>
                </c:pt>
                <c:pt idx="31">
                  <c:v>0.22745098039215686</c:v>
                </c:pt>
                <c:pt idx="32">
                  <c:v>0.2196078431372549</c:v>
                </c:pt>
                <c:pt idx="33">
                  <c:v>0.21176470588235294</c:v>
                </c:pt>
                <c:pt idx="34">
                  <c:v>0.20392156862745098</c:v>
                </c:pt>
                <c:pt idx="35">
                  <c:v>0.19607843137254902</c:v>
                </c:pt>
                <c:pt idx="36">
                  <c:v>0.18823529411764706</c:v>
                </c:pt>
                <c:pt idx="37">
                  <c:v>0.18823529411764706</c:v>
                </c:pt>
                <c:pt idx="38">
                  <c:v>0.1803921568627451</c:v>
                </c:pt>
                <c:pt idx="39">
                  <c:v>0.17254901960784313</c:v>
                </c:pt>
                <c:pt idx="40">
                  <c:v>0.16862745098039217</c:v>
                </c:pt>
                <c:pt idx="41">
                  <c:v>0.16470588235294117</c:v>
                </c:pt>
                <c:pt idx="42">
                  <c:v>0.16470588235294117</c:v>
                </c:pt>
                <c:pt idx="43">
                  <c:v>0.16470588235294117</c:v>
                </c:pt>
                <c:pt idx="44">
                  <c:v>0.15686274509803921</c:v>
                </c:pt>
                <c:pt idx="45">
                  <c:v>0.14901960784313725</c:v>
                </c:pt>
                <c:pt idx="46">
                  <c:v>0.14901960784313725</c:v>
                </c:pt>
                <c:pt idx="47">
                  <c:v>0.14901960784313725</c:v>
                </c:pt>
                <c:pt idx="48">
                  <c:v>0.14117647058823529</c:v>
                </c:pt>
                <c:pt idx="49">
                  <c:v>0.14901960784313725</c:v>
                </c:pt>
                <c:pt idx="50">
                  <c:v>0.13725490196078433</c:v>
                </c:pt>
                <c:pt idx="51">
                  <c:v>0.13333333333333333</c:v>
                </c:pt>
                <c:pt idx="52">
                  <c:v>0.13333333333333333</c:v>
                </c:pt>
                <c:pt idx="53">
                  <c:v>0.13333333333333333</c:v>
                </c:pt>
                <c:pt idx="54">
                  <c:v>0.12941176470588237</c:v>
                </c:pt>
                <c:pt idx="55">
                  <c:v>0.13333333333333333</c:v>
                </c:pt>
                <c:pt idx="56">
                  <c:v>0.12941176470588237</c:v>
                </c:pt>
                <c:pt idx="57">
                  <c:v>0.12549019607843137</c:v>
                </c:pt>
                <c:pt idx="58">
                  <c:v>0.12549019607843137</c:v>
                </c:pt>
                <c:pt idx="59">
                  <c:v>0.12156862745098039</c:v>
                </c:pt>
                <c:pt idx="60">
                  <c:v>0.11764705882352941</c:v>
                </c:pt>
                <c:pt idx="61">
                  <c:v>0.11764705882352941</c:v>
                </c:pt>
                <c:pt idx="62">
                  <c:v>0.11764705882352941</c:v>
                </c:pt>
                <c:pt idx="63">
                  <c:v>0.11764705882352941</c:v>
                </c:pt>
                <c:pt idx="64">
                  <c:v>0.11764705882352941</c:v>
                </c:pt>
                <c:pt idx="65">
                  <c:v>0.11764705882352941</c:v>
                </c:pt>
                <c:pt idx="66">
                  <c:v>0.11372549019607843</c:v>
                </c:pt>
                <c:pt idx="67">
                  <c:v>0.10980392156862745</c:v>
                </c:pt>
                <c:pt idx="68">
                  <c:v>0.10588235294117647</c:v>
                </c:pt>
                <c:pt idx="69">
                  <c:v>0.10196078431372549</c:v>
                </c:pt>
                <c:pt idx="70">
                  <c:v>0.10196078431372549</c:v>
                </c:pt>
                <c:pt idx="71">
                  <c:v>0.10588235294117647</c:v>
                </c:pt>
                <c:pt idx="72">
                  <c:v>0.10196078431372549</c:v>
                </c:pt>
                <c:pt idx="73">
                  <c:v>9.4117647058823528E-2</c:v>
                </c:pt>
                <c:pt idx="74">
                  <c:v>0.10196078431372549</c:v>
                </c:pt>
                <c:pt idx="75">
                  <c:v>9.4117647058823528E-2</c:v>
                </c:pt>
                <c:pt idx="76">
                  <c:v>9.4117647058823528E-2</c:v>
                </c:pt>
                <c:pt idx="77">
                  <c:v>9.8039215686274508E-2</c:v>
                </c:pt>
                <c:pt idx="78">
                  <c:v>9.4117647058823528E-2</c:v>
                </c:pt>
                <c:pt idx="79">
                  <c:v>9.4117647058823528E-2</c:v>
                </c:pt>
                <c:pt idx="80">
                  <c:v>9.4117647058823528E-2</c:v>
                </c:pt>
              </c:numCache>
            </c:numRef>
          </c:yVal>
        </c:ser>
        <c:ser>
          <c:idx val="2"/>
          <c:order val="2"/>
          <c:tx>
            <c:strRef>
              <c:f>data2!$L$1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data2!$L$2:$L$82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0.92941176470588238</c:v>
                </c:pt>
                <c:pt idx="13">
                  <c:v>0.81960784313725488</c:v>
                </c:pt>
                <c:pt idx="14">
                  <c:v>0.73333333333333328</c:v>
                </c:pt>
                <c:pt idx="15">
                  <c:v>0.6588235294117647</c:v>
                </c:pt>
                <c:pt idx="16">
                  <c:v>0.60392156862745094</c:v>
                </c:pt>
                <c:pt idx="17">
                  <c:v>0.5490196078431373</c:v>
                </c:pt>
                <c:pt idx="18">
                  <c:v>0.50588235294117645</c:v>
                </c:pt>
                <c:pt idx="19">
                  <c:v>0.46666666666666667</c:v>
                </c:pt>
                <c:pt idx="20">
                  <c:v>0.42352941176470588</c:v>
                </c:pt>
                <c:pt idx="21">
                  <c:v>0.40392156862745099</c:v>
                </c:pt>
                <c:pt idx="22">
                  <c:v>0.37647058823529411</c:v>
                </c:pt>
                <c:pt idx="23">
                  <c:v>0.34901960784313724</c:v>
                </c:pt>
                <c:pt idx="24">
                  <c:v>0.33333333333333331</c:v>
                </c:pt>
                <c:pt idx="25">
                  <c:v>0.31372549019607843</c:v>
                </c:pt>
                <c:pt idx="26">
                  <c:v>0.29411764705882354</c:v>
                </c:pt>
                <c:pt idx="27">
                  <c:v>0.27843137254901962</c:v>
                </c:pt>
                <c:pt idx="28">
                  <c:v>0.26666666666666666</c:v>
                </c:pt>
                <c:pt idx="29">
                  <c:v>0.25098039215686274</c:v>
                </c:pt>
                <c:pt idx="30">
                  <c:v>0.24313725490196078</c:v>
                </c:pt>
                <c:pt idx="31">
                  <c:v>0.23137254901960785</c:v>
                </c:pt>
                <c:pt idx="32">
                  <c:v>0.2196078431372549</c:v>
                </c:pt>
                <c:pt idx="33">
                  <c:v>0.21176470588235294</c:v>
                </c:pt>
                <c:pt idx="34">
                  <c:v>0.20392156862745098</c:v>
                </c:pt>
                <c:pt idx="35">
                  <c:v>0.19607843137254902</c:v>
                </c:pt>
                <c:pt idx="36">
                  <c:v>0.18823529411764706</c:v>
                </c:pt>
                <c:pt idx="37">
                  <c:v>0.18431372549019609</c:v>
                </c:pt>
                <c:pt idx="38">
                  <c:v>0.1803921568627451</c:v>
                </c:pt>
                <c:pt idx="39">
                  <c:v>0.17254901960784313</c:v>
                </c:pt>
                <c:pt idx="40">
                  <c:v>0.16862745098039217</c:v>
                </c:pt>
                <c:pt idx="41">
                  <c:v>0.16470588235294117</c:v>
                </c:pt>
                <c:pt idx="42">
                  <c:v>0.15686274509803921</c:v>
                </c:pt>
                <c:pt idx="43">
                  <c:v>0.16078431372549021</c:v>
                </c:pt>
                <c:pt idx="44">
                  <c:v>0.14901960784313725</c:v>
                </c:pt>
                <c:pt idx="45">
                  <c:v>0.14901960784313725</c:v>
                </c:pt>
                <c:pt idx="46">
                  <c:v>0.14117647058823529</c:v>
                </c:pt>
                <c:pt idx="47">
                  <c:v>0.13725490196078433</c:v>
                </c:pt>
                <c:pt idx="48">
                  <c:v>0.13725490196078433</c:v>
                </c:pt>
                <c:pt idx="49">
                  <c:v>0.13725490196078433</c:v>
                </c:pt>
                <c:pt idx="50">
                  <c:v>0.13333333333333333</c:v>
                </c:pt>
                <c:pt idx="51">
                  <c:v>0.13333333333333333</c:v>
                </c:pt>
                <c:pt idx="52">
                  <c:v>0.13725490196078433</c:v>
                </c:pt>
                <c:pt idx="53">
                  <c:v>0.12941176470588237</c:v>
                </c:pt>
                <c:pt idx="54">
                  <c:v>0.12549019607843137</c:v>
                </c:pt>
                <c:pt idx="55">
                  <c:v>0.12549019607843137</c:v>
                </c:pt>
                <c:pt idx="56">
                  <c:v>0.12549019607843137</c:v>
                </c:pt>
                <c:pt idx="57">
                  <c:v>0.11764705882352941</c:v>
                </c:pt>
                <c:pt idx="58">
                  <c:v>0.11764705882352941</c:v>
                </c:pt>
                <c:pt idx="59">
                  <c:v>0.11764705882352941</c:v>
                </c:pt>
                <c:pt idx="60">
                  <c:v>0.11764705882352941</c:v>
                </c:pt>
                <c:pt idx="61">
                  <c:v>0.11372549019607843</c:v>
                </c:pt>
                <c:pt idx="62">
                  <c:v>0.11764705882352941</c:v>
                </c:pt>
                <c:pt idx="63">
                  <c:v>0.11764705882352941</c:v>
                </c:pt>
                <c:pt idx="64">
                  <c:v>0.11372549019607843</c:v>
                </c:pt>
                <c:pt idx="65">
                  <c:v>0.10980392156862745</c:v>
                </c:pt>
                <c:pt idx="66">
                  <c:v>0.10980392156862745</c:v>
                </c:pt>
                <c:pt idx="67">
                  <c:v>0.10980392156862745</c:v>
                </c:pt>
                <c:pt idx="68">
                  <c:v>0.10980392156862745</c:v>
                </c:pt>
                <c:pt idx="69">
                  <c:v>0.10980392156862745</c:v>
                </c:pt>
                <c:pt idx="70">
                  <c:v>0.10980392156862745</c:v>
                </c:pt>
                <c:pt idx="71">
                  <c:v>0.10588235294117647</c:v>
                </c:pt>
                <c:pt idx="72">
                  <c:v>0.10588235294117647</c:v>
                </c:pt>
                <c:pt idx="73">
                  <c:v>0.10196078431372549</c:v>
                </c:pt>
                <c:pt idx="74">
                  <c:v>0.10196078431372549</c:v>
                </c:pt>
                <c:pt idx="75">
                  <c:v>0.10196078431372549</c:v>
                </c:pt>
                <c:pt idx="76">
                  <c:v>9.8039215686274508E-2</c:v>
                </c:pt>
                <c:pt idx="77">
                  <c:v>9.4117647058823528E-2</c:v>
                </c:pt>
                <c:pt idx="78">
                  <c:v>9.4117647058823528E-2</c:v>
                </c:pt>
                <c:pt idx="79">
                  <c:v>9.4117647058823528E-2</c:v>
                </c:pt>
                <c:pt idx="80">
                  <c:v>9.4117647058823528E-2</c:v>
                </c:pt>
              </c:numCache>
            </c:numRef>
          </c:yVal>
        </c:ser>
        <c:ser>
          <c:idx val="3"/>
          <c:order val="3"/>
          <c:tx>
            <c:strRef>
              <c:f>data2!$M$1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data2!$M$2:$M$82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0.91764705882352937</c:v>
                </c:pt>
                <c:pt idx="13">
                  <c:v>0.80784313725490198</c:v>
                </c:pt>
                <c:pt idx="14">
                  <c:v>0.73333333333333328</c:v>
                </c:pt>
                <c:pt idx="15">
                  <c:v>0.6588235294117647</c:v>
                </c:pt>
                <c:pt idx="16">
                  <c:v>0.6</c:v>
                </c:pt>
                <c:pt idx="17">
                  <c:v>0.54117647058823526</c:v>
                </c:pt>
                <c:pt idx="18">
                  <c:v>0.49803921568627452</c:v>
                </c:pt>
                <c:pt idx="19">
                  <c:v>0.45882352941176469</c:v>
                </c:pt>
                <c:pt idx="20">
                  <c:v>0.42352941176470588</c:v>
                </c:pt>
                <c:pt idx="21">
                  <c:v>0.396078431372549</c:v>
                </c:pt>
                <c:pt idx="22">
                  <c:v>0.36862745098039218</c:v>
                </c:pt>
                <c:pt idx="23">
                  <c:v>0.35294117647058826</c:v>
                </c:pt>
                <c:pt idx="24">
                  <c:v>0.32941176470588235</c:v>
                </c:pt>
                <c:pt idx="25">
                  <c:v>0.30588235294117649</c:v>
                </c:pt>
                <c:pt idx="26">
                  <c:v>0.28627450980392155</c:v>
                </c:pt>
                <c:pt idx="27">
                  <c:v>0.27058823529411763</c:v>
                </c:pt>
                <c:pt idx="28">
                  <c:v>0.25882352941176473</c:v>
                </c:pt>
                <c:pt idx="29">
                  <c:v>0.25098039215686274</c:v>
                </c:pt>
                <c:pt idx="30">
                  <c:v>0.23921568627450981</c:v>
                </c:pt>
                <c:pt idx="31">
                  <c:v>0.22745098039215686</c:v>
                </c:pt>
                <c:pt idx="32">
                  <c:v>0.2196078431372549</c:v>
                </c:pt>
                <c:pt idx="33">
                  <c:v>0.21568627450980393</c:v>
                </c:pt>
                <c:pt idx="34">
                  <c:v>0.19607843137254902</c:v>
                </c:pt>
                <c:pt idx="35">
                  <c:v>0.19607843137254902</c:v>
                </c:pt>
                <c:pt idx="36">
                  <c:v>0.2</c:v>
                </c:pt>
                <c:pt idx="37">
                  <c:v>0.19215686274509805</c:v>
                </c:pt>
                <c:pt idx="38">
                  <c:v>0.1803921568627451</c:v>
                </c:pt>
                <c:pt idx="39">
                  <c:v>0.1803921568627451</c:v>
                </c:pt>
                <c:pt idx="40">
                  <c:v>0.1803921568627451</c:v>
                </c:pt>
                <c:pt idx="41">
                  <c:v>0.16862745098039217</c:v>
                </c:pt>
                <c:pt idx="42">
                  <c:v>0.16470588235294117</c:v>
                </c:pt>
                <c:pt idx="43">
                  <c:v>0.16470588235294117</c:v>
                </c:pt>
                <c:pt idx="44">
                  <c:v>0.15686274509803921</c:v>
                </c:pt>
                <c:pt idx="45">
                  <c:v>0.15686274509803921</c:v>
                </c:pt>
                <c:pt idx="46">
                  <c:v>0.14901960784313725</c:v>
                </c:pt>
                <c:pt idx="47">
                  <c:v>0.14901960784313725</c:v>
                </c:pt>
                <c:pt idx="48">
                  <c:v>0.14901960784313725</c:v>
                </c:pt>
                <c:pt idx="49">
                  <c:v>0.14509803921568629</c:v>
                </c:pt>
                <c:pt idx="50">
                  <c:v>0.13333333333333333</c:v>
                </c:pt>
                <c:pt idx="51">
                  <c:v>0.14117647058823529</c:v>
                </c:pt>
                <c:pt idx="52">
                  <c:v>0.13333333333333333</c:v>
                </c:pt>
                <c:pt idx="53">
                  <c:v>0.13333333333333333</c:v>
                </c:pt>
                <c:pt idx="54">
                  <c:v>0.13333333333333333</c:v>
                </c:pt>
                <c:pt idx="55">
                  <c:v>0.13333333333333333</c:v>
                </c:pt>
                <c:pt idx="56">
                  <c:v>0.12549019607843137</c:v>
                </c:pt>
                <c:pt idx="57">
                  <c:v>0.13333333333333333</c:v>
                </c:pt>
                <c:pt idx="58">
                  <c:v>0.11764705882352941</c:v>
                </c:pt>
                <c:pt idx="59">
                  <c:v>0.12156862745098039</c:v>
                </c:pt>
                <c:pt idx="60">
                  <c:v>0.12549019607843137</c:v>
                </c:pt>
                <c:pt idx="61">
                  <c:v>0.12549019607843137</c:v>
                </c:pt>
                <c:pt idx="62">
                  <c:v>0.12549019607843137</c:v>
                </c:pt>
                <c:pt idx="63">
                  <c:v>0.11764705882352941</c:v>
                </c:pt>
                <c:pt idx="64">
                  <c:v>0.11372549019607843</c:v>
                </c:pt>
                <c:pt idx="65">
                  <c:v>0.10980392156862745</c:v>
                </c:pt>
                <c:pt idx="66">
                  <c:v>0.10980392156862745</c:v>
                </c:pt>
                <c:pt idx="67">
                  <c:v>0.10980392156862745</c:v>
                </c:pt>
                <c:pt idx="68">
                  <c:v>0.11764705882352941</c:v>
                </c:pt>
                <c:pt idx="69">
                  <c:v>0.10588235294117647</c:v>
                </c:pt>
                <c:pt idx="70">
                  <c:v>0.10196078431372549</c:v>
                </c:pt>
                <c:pt idx="71">
                  <c:v>0.10196078431372549</c:v>
                </c:pt>
                <c:pt idx="72">
                  <c:v>0.10196078431372549</c:v>
                </c:pt>
                <c:pt idx="73">
                  <c:v>9.8039215686274508E-2</c:v>
                </c:pt>
                <c:pt idx="74">
                  <c:v>9.4117647058823528E-2</c:v>
                </c:pt>
                <c:pt idx="75">
                  <c:v>0.10196078431372549</c:v>
                </c:pt>
                <c:pt idx="76">
                  <c:v>0.10196078431372549</c:v>
                </c:pt>
                <c:pt idx="77">
                  <c:v>9.4117647058823528E-2</c:v>
                </c:pt>
                <c:pt idx="78">
                  <c:v>9.4117647058823528E-2</c:v>
                </c:pt>
                <c:pt idx="79">
                  <c:v>9.4117647058823528E-2</c:v>
                </c:pt>
                <c:pt idx="80">
                  <c:v>9.4117647058823528E-2</c:v>
                </c:pt>
              </c:numCache>
            </c:numRef>
          </c:yVal>
        </c:ser>
        <c:ser>
          <c:idx val="4"/>
          <c:order val="4"/>
          <c:tx>
            <c:strRef>
              <c:f>data2!$N$1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data2!$N$2:$N$82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 formatCode="General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0.92549019607843142</c:v>
                </c:pt>
                <c:pt idx="13">
                  <c:v>0.81176470588235294</c:v>
                </c:pt>
                <c:pt idx="14">
                  <c:v>0.72941176470588232</c:v>
                </c:pt>
                <c:pt idx="15">
                  <c:v>0.6588235294117647</c:v>
                </c:pt>
                <c:pt idx="16">
                  <c:v>0.59607843137254901</c:v>
                </c:pt>
                <c:pt idx="17">
                  <c:v>0.54117647058823526</c:v>
                </c:pt>
                <c:pt idx="18">
                  <c:v>0.49803921568627452</c:v>
                </c:pt>
                <c:pt idx="19">
                  <c:v>0.45882352941176469</c:v>
                </c:pt>
                <c:pt idx="20">
                  <c:v>0.42745098039215684</c:v>
                </c:pt>
                <c:pt idx="21">
                  <c:v>0.396078431372549</c:v>
                </c:pt>
                <c:pt idx="22">
                  <c:v>0.37254901960784315</c:v>
                </c:pt>
                <c:pt idx="23">
                  <c:v>0.35294117647058826</c:v>
                </c:pt>
                <c:pt idx="24">
                  <c:v>0.32549019607843138</c:v>
                </c:pt>
                <c:pt idx="25">
                  <c:v>0.30588235294117649</c:v>
                </c:pt>
                <c:pt idx="26">
                  <c:v>0.29019607843137257</c:v>
                </c:pt>
                <c:pt idx="27">
                  <c:v>0.27843137254901962</c:v>
                </c:pt>
                <c:pt idx="28">
                  <c:v>0.2627450980392157</c:v>
                </c:pt>
                <c:pt idx="29">
                  <c:v>0.25098039215686274</c:v>
                </c:pt>
                <c:pt idx="30">
                  <c:v>0.24313725490196078</c:v>
                </c:pt>
                <c:pt idx="31">
                  <c:v>0.22745098039215686</c:v>
                </c:pt>
                <c:pt idx="32">
                  <c:v>0.2196078431372549</c:v>
                </c:pt>
                <c:pt idx="33">
                  <c:v>0.20784313725490197</c:v>
                </c:pt>
                <c:pt idx="34">
                  <c:v>0.19607843137254902</c:v>
                </c:pt>
                <c:pt idx="35">
                  <c:v>0.19215686274509805</c:v>
                </c:pt>
                <c:pt idx="36">
                  <c:v>0.18823529411764706</c:v>
                </c:pt>
                <c:pt idx="37">
                  <c:v>0.1803921568627451</c:v>
                </c:pt>
                <c:pt idx="38">
                  <c:v>0.17647058823529413</c:v>
                </c:pt>
                <c:pt idx="39">
                  <c:v>0.17254901960784313</c:v>
                </c:pt>
                <c:pt idx="40">
                  <c:v>0.16470588235294117</c:v>
                </c:pt>
                <c:pt idx="41">
                  <c:v>0.16078431372549021</c:v>
                </c:pt>
                <c:pt idx="42">
                  <c:v>0.15686274509803921</c:v>
                </c:pt>
                <c:pt idx="43">
                  <c:v>0.15294117647058825</c:v>
                </c:pt>
                <c:pt idx="44">
                  <c:v>0.14901960784313725</c:v>
                </c:pt>
                <c:pt idx="45">
                  <c:v>0.14901960784313725</c:v>
                </c:pt>
                <c:pt idx="46">
                  <c:v>0.14117647058823529</c:v>
                </c:pt>
                <c:pt idx="47">
                  <c:v>0.14117647058823529</c:v>
                </c:pt>
                <c:pt idx="48">
                  <c:v>0.14117647058823529</c:v>
                </c:pt>
                <c:pt idx="49">
                  <c:v>0.13333333333333333</c:v>
                </c:pt>
                <c:pt idx="50">
                  <c:v>0.13333333333333333</c:v>
                </c:pt>
                <c:pt idx="51">
                  <c:v>0.12941176470588237</c:v>
                </c:pt>
                <c:pt idx="52">
                  <c:v>0.12549019607843137</c:v>
                </c:pt>
                <c:pt idx="53">
                  <c:v>0.12549019607843137</c:v>
                </c:pt>
                <c:pt idx="54">
                  <c:v>0.12549019607843137</c:v>
                </c:pt>
                <c:pt idx="55">
                  <c:v>0.12549019607843137</c:v>
                </c:pt>
                <c:pt idx="56">
                  <c:v>0.12549019607843137</c:v>
                </c:pt>
                <c:pt idx="57">
                  <c:v>0.11764705882352941</c:v>
                </c:pt>
                <c:pt idx="58">
                  <c:v>0.11764705882352941</c:v>
                </c:pt>
                <c:pt idx="59">
                  <c:v>0.11764705882352941</c:v>
                </c:pt>
                <c:pt idx="60">
                  <c:v>0.11372549019607843</c:v>
                </c:pt>
                <c:pt idx="61">
                  <c:v>0.11372549019607843</c:v>
                </c:pt>
                <c:pt idx="62">
                  <c:v>0.10980392156862745</c:v>
                </c:pt>
                <c:pt idx="63">
                  <c:v>0.10980392156862745</c:v>
                </c:pt>
                <c:pt idx="64">
                  <c:v>0.10980392156862745</c:v>
                </c:pt>
                <c:pt idx="65">
                  <c:v>0.10196078431372549</c:v>
                </c:pt>
                <c:pt idx="66">
                  <c:v>0.10980392156862745</c:v>
                </c:pt>
                <c:pt idx="67">
                  <c:v>0.10980392156862745</c:v>
                </c:pt>
                <c:pt idx="68">
                  <c:v>0.10980392156862745</c:v>
                </c:pt>
                <c:pt idx="69">
                  <c:v>0.10980392156862745</c:v>
                </c:pt>
                <c:pt idx="70">
                  <c:v>0.10196078431372549</c:v>
                </c:pt>
                <c:pt idx="71">
                  <c:v>0.10196078431372549</c:v>
                </c:pt>
                <c:pt idx="72">
                  <c:v>0.10980392156862745</c:v>
                </c:pt>
                <c:pt idx="73">
                  <c:v>0.10196078431372549</c:v>
                </c:pt>
                <c:pt idx="74">
                  <c:v>0.10196078431372549</c:v>
                </c:pt>
                <c:pt idx="75">
                  <c:v>0.10196078431372549</c:v>
                </c:pt>
                <c:pt idx="76">
                  <c:v>9.8039215686274508E-2</c:v>
                </c:pt>
                <c:pt idx="77">
                  <c:v>0.10196078431372549</c:v>
                </c:pt>
                <c:pt idx="78">
                  <c:v>0.10196078431372549</c:v>
                </c:pt>
                <c:pt idx="79">
                  <c:v>0.10196078431372549</c:v>
                </c:pt>
                <c:pt idx="80">
                  <c:v>9.4117647058823528E-2</c:v>
                </c:pt>
              </c:numCache>
            </c:numRef>
          </c:yVal>
        </c:ser>
        <c:ser>
          <c:idx val="5"/>
          <c:order val="5"/>
          <c:tx>
            <c:strRef>
              <c:f>data2!$O$1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data2!$O$2:$O$82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0.93333333333333335</c:v>
                </c:pt>
                <c:pt idx="13">
                  <c:v>0.82745098039215681</c:v>
                </c:pt>
                <c:pt idx="14">
                  <c:v>0.74117647058823533</c:v>
                </c:pt>
                <c:pt idx="15">
                  <c:v>0.66666666666666663</c:v>
                </c:pt>
                <c:pt idx="16">
                  <c:v>0.60392156862745094</c:v>
                </c:pt>
                <c:pt idx="17">
                  <c:v>0.5490196078431373</c:v>
                </c:pt>
                <c:pt idx="18">
                  <c:v>0.50196078431372548</c:v>
                </c:pt>
                <c:pt idx="19">
                  <c:v>0.45882352941176469</c:v>
                </c:pt>
                <c:pt idx="20">
                  <c:v>0.42745098039215684</c:v>
                </c:pt>
                <c:pt idx="21">
                  <c:v>0.4</c:v>
                </c:pt>
                <c:pt idx="22">
                  <c:v>0.37647058823529411</c:v>
                </c:pt>
                <c:pt idx="23">
                  <c:v>0.35294117647058826</c:v>
                </c:pt>
                <c:pt idx="24">
                  <c:v>0.32941176470588235</c:v>
                </c:pt>
                <c:pt idx="25">
                  <c:v>0.30196078431372547</c:v>
                </c:pt>
                <c:pt idx="26">
                  <c:v>0.28627450980392155</c:v>
                </c:pt>
                <c:pt idx="27">
                  <c:v>0.27450980392156865</c:v>
                </c:pt>
                <c:pt idx="28">
                  <c:v>0.2627450980392157</c:v>
                </c:pt>
                <c:pt idx="29">
                  <c:v>0.25490196078431371</c:v>
                </c:pt>
                <c:pt idx="30">
                  <c:v>0.24313725490196078</c:v>
                </c:pt>
                <c:pt idx="31">
                  <c:v>0.22352941176470589</c:v>
                </c:pt>
                <c:pt idx="32">
                  <c:v>0.2196078431372549</c:v>
                </c:pt>
                <c:pt idx="33">
                  <c:v>0.21568627450980393</c:v>
                </c:pt>
                <c:pt idx="34">
                  <c:v>0.20784313725490197</c:v>
                </c:pt>
                <c:pt idx="35">
                  <c:v>0.20392156862745098</c:v>
                </c:pt>
                <c:pt idx="36">
                  <c:v>0.19215686274509805</c:v>
                </c:pt>
                <c:pt idx="37">
                  <c:v>0.18431372549019609</c:v>
                </c:pt>
                <c:pt idx="38">
                  <c:v>0.17254901960784313</c:v>
                </c:pt>
                <c:pt idx="39">
                  <c:v>0.17254901960784313</c:v>
                </c:pt>
                <c:pt idx="40">
                  <c:v>0.16470588235294117</c:v>
                </c:pt>
                <c:pt idx="41">
                  <c:v>0.16470588235294117</c:v>
                </c:pt>
                <c:pt idx="42">
                  <c:v>0.17254901960784313</c:v>
                </c:pt>
                <c:pt idx="43">
                  <c:v>0.15294117647058825</c:v>
                </c:pt>
                <c:pt idx="44">
                  <c:v>0.14901960784313725</c:v>
                </c:pt>
                <c:pt idx="45">
                  <c:v>0.14509803921568629</c:v>
                </c:pt>
                <c:pt idx="46">
                  <c:v>0.14117647058823529</c:v>
                </c:pt>
                <c:pt idx="47">
                  <c:v>0.14117647058823529</c:v>
                </c:pt>
                <c:pt idx="48">
                  <c:v>0.13725490196078433</c:v>
                </c:pt>
                <c:pt idx="49">
                  <c:v>0.13333333333333333</c:v>
                </c:pt>
                <c:pt idx="50">
                  <c:v>0.12549019607843137</c:v>
                </c:pt>
                <c:pt idx="51">
                  <c:v>0.12941176470588237</c:v>
                </c:pt>
                <c:pt idx="52">
                  <c:v>0.12549019607843137</c:v>
                </c:pt>
                <c:pt idx="53">
                  <c:v>0.12941176470588237</c:v>
                </c:pt>
                <c:pt idx="54">
                  <c:v>0.13333333333333333</c:v>
                </c:pt>
                <c:pt idx="55">
                  <c:v>0.12549019607843137</c:v>
                </c:pt>
                <c:pt idx="56">
                  <c:v>0.12941176470588237</c:v>
                </c:pt>
                <c:pt idx="57">
                  <c:v>0.12156862745098039</c:v>
                </c:pt>
                <c:pt idx="58">
                  <c:v>0.11764705882352941</c:v>
                </c:pt>
                <c:pt idx="59">
                  <c:v>0.12941176470588237</c:v>
                </c:pt>
                <c:pt idx="60">
                  <c:v>0.11372549019607843</c:v>
                </c:pt>
                <c:pt idx="61">
                  <c:v>0.11372549019607843</c:v>
                </c:pt>
                <c:pt idx="62">
                  <c:v>0.11764705882352941</c:v>
                </c:pt>
                <c:pt idx="63">
                  <c:v>0.10980392156862745</c:v>
                </c:pt>
                <c:pt idx="64">
                  <c:v>0.11372549019607843</c:v>
                </c:pt>
                <c:pt idx="65">
                  <c:v>0.10980392156862745</c:v>
                </c:pt>
                <c:pt idx="66">
                  <c:v>0.10980392156862745</c:v>
                </c:pt>
                <c:pt idx="67">
                  <c:v>0.10980392156862745</c:v>
                </c:pt>
                <c:pt idx="68">
                  <c:v>0.10980392156862745</c:v>
                </c:pt>
                <c:pt idx="69">
                  <c:v>0.11372549019607843</c:v>
                </c:pt>
                <c:pt idx="70">
                  <c:v>0.11764705882352941</c:v>
                </c:pt>
                <c:pt idx="71">
                  <c:v>0.10980392156862745</c:v>
                </c:pt>
                <c:pt idx="72">
                  <c:v>0.10980392156862745</c:v>
                </c:pt>
                <c:pt idx="73">
                  <c:v>0.10980392156862745</c:v>
                </c:pt>
                <c:pt idx="74">
                  <c:v>0.10196078431372549</c:v>
                </c:pt>
                <c:pt idx="75">
                  <c:v>0.10196078431372549</c:v>
                </c:pt>
                <c:pt idx="76">
                  <c:v>0.10196078431372549</c:v>
                </c:pt>
                <c:pt idx="77">
                  <c:v>0.10196078431372549</c:v>
                </c:pt>
                <c:pt idx="78">
                  <c:v>0.10588235294117647</c:v>
                </c:pt>
                <c:pt idx="79">
                  <c:v>0.10196078431372549</c:v>
                </c:pt>
                <c:pt idx="80">
                  <c:v>9.4117647058823528E-2</c:v>
                </c:pt>
              </c:numCache>
            </c:numRef>
          </c:yVal>
        </c:ser>
        <c:ser>
          <c:idx val="6"/>
          <c:order val="6"/>
          <c:tx>
            <c:strRef>
              <c:f>data2!$P$1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data2!$P$2:$P$82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0.93333333333333335</c:v>
                </c:pt>
                <c:pt idx="13">
                  <c:v>0.81960784313725488</c:v>
                </c:pt>
                <c:pt idx="14">
                  <c:v>0.74117647058823533</c:v>
                </c:pt>
                <c:pt idx="15">
                  <c:v>0.67450980392156867</c:v>
                </c:pt>
                <c:pt idx="16">
                  <c:v>0.61176470588235299</c:v>
                </c:pt>
                <c:pt idx="17">
                  <c:v>0.55686274509803924</c:v>
                </c:pt>
                <c:pt idx="18">
                  <c:v>0.50980392156862742</c:v>
                </c:pt>
                <c:pt idx="19">
                  <c:v>0.47058823529411764</c:v>
                </c:pt>
                <c:pt idx="20">
                  <c:v>0.43137254901960786</c:v>
                </c:pt>
                <c:pt idx="21">
                  <c:v>0.40784313725490196</c:v>
                </c:pt>
                <c:pt idx="22">
                  <c:v>0.38823529411764707</c:v>
                </c:pt>
                <c:pt idx="23">
                  <c:v>0.36078431372549019</c:v>
                </c:pt>
                <c:pt idx="24">
                  <c:v>0.3411764705882353</c:v>
                </c:pt>
                <c:pt idx="25">
                  <c:v>0.31764705882352939</c:v>
                </c:pt>
                <c:pt idx="26">
                  <c:v>0.30588235294117649</c:v>
                </c:pt>
                <c:pt idx="27">
                  <c:v>0.29411764705882354</c:v>
                </c:pt>
                <c:pt idx="28">
                  <c:v>0.28235294117647058</c:v>
                </c:pt>
                <c:pt idx="29">
                  <c:v>0.26666666666666666</c:v>
                </c:pt>
                <c:pt idx="30">
                  <c:v>0.25098039215686274</c:v>
                </c:pt>
                <c:pt idx="31">
                  <c:v>0.24313725490196078</c:v>
                </c:pt>
                <c:pt idx="32">
                  <c:v>0.23137254901960785</c:v>
                </c:pt>
                <c:pt idx="33">
                  <c:v>0.2196078431372549</c:v>
                </c:pt>
                <c:pt idx="34">
                  <c:v>0.21176470588235294</c:v>
                </c:pt>
                <c:pt idx="35">
                  <c:v>0.20784313725490197</c:v>
                </c:pt>
                <c:pt idx="36">
                  <c:v>0.20784313725490197</c:v>
                </c:pt>
                <c:pt idx="37">
                  <c:v>0.2</c:v>
                </c:pt>
                <c:pt idx="38">
                  <c:v>0.19607843137254902</c:v>
                </c:pt>
                <c:pt idx="39">
                  <c:v>0.18823529411764706</c:v>
                </c:pt>
                <c:pt idx="40">
                  <c:v>0.1803921568627451</c:v>
                </c:pt>
                <c:pt idx="41">
                  <c:v>0.16862745098039217</c:v>
                </c:pt>
                <c:pt idx="42">
                  <c:v>0.16470588235294117</c:v>
                </c:pt>
                <c:pt idx="43">
                  <c:v>0.15686274509803921</c:v>
                </c:pt>
                <c:pt idx="44">
                  <c:v>0.15686274509803921</c:v>
                </c:pt>
                <c:pt idx="45">
                  <c:v>0.14901960784313725</c:v>
                </c:pt>
                <c:pt idx="46">
                  <c:v>0.14901960784313725</c:v>
                </c:pt>
                <c:pt idx="47">
                  <c:v>0.14901960784313725</c:v>
                </c:pt>
                <c:pt idx="48">
                  <c:v>0.14117647058823529</c:v>
                </c:pt>
                <c:pt idx="49">
                  <c:v>0.14117647058823529</c:v>
                </c:pt>
                <c:pt idx="50">
                  <c:v>0.14117647058823529</c:v>
                </c:pt>
                <c:pt idx="51">
                  <c:v>0.13725490196078433</c:v>
                </c:pt>
                <c:pt idx="52">
                  <c:v>0.13333333333333333</c:v>
                </c:pt>
                <c:pt idx="53">
                  <c:v>0.13333333333333333</c:v>
                </c:pt>
                <c:pt idx="54">
                  <c:v>0.12941176470588237</c:v>
                </c:pt>
                <c:pt idx="55">
                  <c:v>0.13333333333333333</c:v>
                </c:pt>
                <c:pt idx="56">
                  <c:v>0.12549019607843137</c:v>
                </c:pt>
                <c:pt idx="57">
                  <c:v>0.12549019607843137</c:v>
                </c:pt>
                <c:pt idx="58">
                  <c:v>0.12156862745098039</c:v>
                </c:pt>
                <c:pt idx="59">
                  <c:v>0.11764705882352941</c:v>
                </c:pt>
                <c:pt idx="60">
                  <c:v>0.12156862745098039</c:v>
                </c:pt>
                <c:pt idx="61">
                  <c:v>0.11764705882352941</c:v>
                </c:pt>
                <c:pt idx="62">
                  <c:v>0.11372549019607843</c:v>
                </c:pt>
                <c:pt idx="63">
                  <c:v>0.10980392156862745</c:v>
                </c:pt>
                <c:pt idx="64">
                  <c:v>0.10980392156862745</c:v>
                </c:pt>
                <c:pt idx="65">
                  <c:v>0.11372549019607843</c:v>
                </c:pt>
                <c:pt idx="66">
                  <c:v>0.10980392156862745</c:v>
                </c:pt>
                <c:pt idx="67">
                  <c:v>0.10980392156862745</c:v>
                </c:pt>
                <c:pt idx="68">
                  <c:v>0.10588235294117647</c:v>
                </c:pt>
                <c:pt idx="69">
                  <c:v>0.10980392156862745</c:v>
                </c:pt>
                <c:pt idx="70">
                  <c:v>0.10980392156862745</c:v>
                </c:pt>
                <c:pt idx="71">
                  <c:v>0.10980392156862745</c:v>
                </c:pt>
                <c:pt idx="72">
                  <c:v>0.10196078431372549</c:v>
                </c:pt>
                <c:pt idx="73">
                  <c:v>0.10196078431372549</c:v>
                </c:pt>
                <c:pt idx="74">
                  <c:v>0.10196078431372549</c:v>
                </c:pt>
                <c:pt idx="75">
                  <c:v>0.10196078431372549</c:v>
                </c:pt>
                <c:pt idx="76">
                  <c:v>9.4117647058823528E-2</c:v>
                </c:pt>
                <c:pt idx="77">
                  <c:v>9.4117647058823528E-2</c:v>
                </c:pt>
                <c:pt idx="78">
                  <c:v>9.4117647058823528E-2</c:v>
                </c:pt>
                <c:pt idx="79">
                  <c:v>9.4117647058823528E-2</c:v>
                </c:pt>
                <c:pt idx="80">
                  <c:v>9.4117647058823528E-2</c:v>
                </c:pt>
              </c:numCache>
            </c:numRef>
          </c:yVal>
        </c:ser>
        <c:ser>
          <c:idx val="7"/>
          <c:order val="7"/>
          <c:tx>
            <c:strRef>
              <c:f>data2!$Q$1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data2!$Q$2:$Q$82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0.92941176470588238</c:v>
                </c:pt>
                <c:pt idx="13">
                  <c:v>0.81960784313725488</c:v>
                </c:pt>
                <c:pt idx="14">
                  <c:v>0.73333333333333328</c:v>
                </c:pt>
                <c:pt idx="15">
                  <c:v>0.66666666666666663</c:v>
                </c:pt>
                <c:pt idx="16">
                  <c:v>0.60392156862745094</c:v>
                </c:pt>
                <c:pt idx="17">
                  <c:v>0.5490196078431373</c:v>
                </c:pt>
                <c:pt idx="18">
                  <c:v>0.50196078431372548</c:v>
                </c:pt>
                <c:pt idx="19">
                  <c:v>0.46666666666666667</c:v>
                </c:pt>
                <c:pt idx="20">
                  <c:v>0.43137254901960786</c:v>
                </c:pt>
                <c:pt idx="21">
                  <c:v>0.40392156862745099</c:v>
                </c:pt>
                <c:pt idx="22">
                  <c:v>0.37647058823529411</c:v>
                </c:pt>
                <c:pt idx="23">
                  <c:v>0.35686274509803922</c:v>
                </c:pt>
                <c:pt idx="24">
                  <c:v>0.33725490196078434</c:v>
                </c:pt>
                <c:pt idx="25">
                  <c:v>0.31764705882352939</c:v>
                </c:pt>
                <c:pt idx="26">
                  <c:v>0.30588235294117649</c:v>
                </c:pt>
                <c:pt idx="27">
                  <c:v>0.28627450980392155</c:v>
                </c:pt>
                <c:pt idx="28">
                  <c:v>0.28235294117647058</c:v>
                </c:pt>
                <c:pt idx="29">
                  <c:v>0.26666666666666666</c:v>
                </c:pt>
                <c:pt idx="30">
                  <c:v>0.25098039215686274</c:v>
                </c:pt>
                <c:pt idx="31">
                  <c:v>0.24313725490196078</c:v>
                </c:pt>
                <c:pt idx="32">
                  <c:v>0.22745098039215686</c:v>
                </c:pt>
                <c:pt idx="33">
                  <c:v>0.2196078431372549</c:v>
                </c:pt>
                <c:pt idx="34">
                  <c:v>0.21176470588235294</c:v>
                </c:pt>
                <c:pt idx="35">
                  <c:v>0.20392156862745098</c:v>
                </c:pt>
                <c:pt idx="36">
                  <c:v>0.19607843137254902</c:v>
                </c:pt>
                <c:pt idx="37">
                  <c:v>0.19607843137254902</c:v>
                </c:pt>
                <c:pt idx="38">
                  <c:v>0.1803921568627451</c:v>
                </c:pt>
                <c:pt idx="39">
                  <c:v>0.1803921568627451</c:v>
                </c:pt>
                <c:pt idx="40">
                  <c:v>0.17254901960784313</c:v>
                </c:pt>
                <c:pt idx="41">
                  <c:v>0.17254901960784313</c:v>
                </c:pt>
                <c:pt idx="42">
                  <c:v>0.16470588235294117</c:v>
                </c:pt>
                <c:pt idx="43">
                  <c:v>0.15686274509803921</c:v>
                </c:pt>
                <c:pt idx="44">
                  <c:v>0.15686274509803921</c:v>
                </c:pt>
                <c:pt idx="45">
                  <c:v>0.15686274509803921</c:v>
                </c:pt>
                <c:pt idx="46">
                  <c:v>0.14901960784313725</c:v>
                </c:pt>
                <c:pt idx="47">
                  <c:v>0.14901960784313725</c:v>
                </c:pt>
                <c:pt idx="48">
                  <c:v>0.14509803921568629</c:v>
                </c:pt>
                <c:pt idx="49">
                  <c:v>0.14117647058823529</c:v>
                </c:pt>
                <c:pt idx="50">
                  <c:v>0.14901960784313725</c:v>
                </c:pt>
                <c:pt idx="51">
                  <c:v>0.14117647058823529</c:v>
                </c:pt>
                <c:pt idx="52">
                  <c:v>0.13333333333333333</c:v>
                </c:pt>
                <c:pt idx="53">
                  <c:v>0.13333333333333333</c:v>
                </c:pt>
                <c:pt idx="54">
                  <c:v>0.13725490196078433</c:v>
                </c:pt>
                <c:pt idx="55">
                  <c:v>0.13333333333333333</c:v>
                </c:pt>
                <c:pt idx="56">
                  <c:v>0.12549019607843137</c:v>
                </c:pt>
                <c:pt idx="57">
                  <c:v>0.12941176470588237</c:v>
                </c:pt>
                <c:pt idx="58">
                  <c:v>0.13333333333333333</c:v>
                </c:pt>
                <c:pt idx="59">
                  <c:v>0.12549019607843137</c:v>
                </c:pt>
                <c:pt idx="60">
                  <c:v>0.11764705882352941</c:v>
                </c:pt>
                <c:pt idx="61">
                  <c:v>0.11764705882352941</c:v>
                </c:pt>
                <c:pt idx="62">
                  <c:v>0.12156862745098039</c:v>
                </c:pt>
                <c:pt idx="63">
                  <c:v>0.10980392156862745</c:v>
                </c:pt>
                <c:pt idx="64">
                  <c:v>0.10980392156862745</c:v>
                </c:pt>
                <c:pt idx="65">
                  <c:v>0.10980392156862745</c:v>
                </c:pt>
                <c:pt idx="66">
                  <c:v>0.10980392156862745</c:v>
                </c:pt>
                <c:pt idx="67">
                  <c:v>0.10980392156862745</c:v>
                </c:pt>
                <c:pt idx="68">
                  <c:v>0.10980392156862745</c:v>
                </c:pt>
                <c:pt idx="69">
                  <c:v>0.10980392156862745</c:v>
                </c:pt>
                <c:pt idx="70">
                  <c:v>0.10980392156862745</c:v>
                </c:pt>
                <c:pt idx="71">
                  <c:v>0.10980392156862745</c:v>
                </c:pt>
                <c:pt idx="72">
                  <c:v>0.11372549019607843</c:v>
                </c:pt>
                <c:pt idx="73">
                  <c:v>0.10980392156862745</c:v>
                </c:pt>
                <c:pt idx="74">
                  <c:v>0.10196078431372549</c:v>
                </c:pt>
                <c:pt idx="75">
                  <c:v>0.10196078431372549</c:v>
                </c:pt>
                <c:pt idx="76">
                  <c:v>9.8039215686274508E-2</c:v>
                </c:pt>
                <c:pt idx="77">
                  <c:v>0.10196078431372549</c:v>
                </c:pt>
                <c:pt idx="78">
                  <c:v>0.10196078431372549</c:v>
                </c:pt>
                <c:pt idx="79">
                  <c:v>9.4117647058823528E-2</c:v>
                </c:pt>
                <c:pt idx="80">
                  <c:v>9.4117647058823528E-2</c:v>
                </c:pt>
              </c:numCache>
            </c:numRef>
          </c:yVal>
        </c:ser>
        <c:axId val="136457600"/>
        <c:axId val="136463488"/>
      </c:scatterChart>
      <c:valAx>
        <c:axId val="136457600"/>
        <c:scaling>
          <c:orientation val="minMax"/>
          <c:min val="0"/>
        </c:scaling>
        <c:axPos val="b"/>
        <c:numFmt formatCode="0.0" sourceLinked="1"/>
        <c:tickLblPos val="nextTo"/>
        <c:crossAx val="136463488"/>
        <c:crosses val="autoZero"/>
        <c:crossBetween val="midCat"/>
      </c:valAx>
      <c:valAx>
        <c:axId val="136463488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3645760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data2!$R$2:$R$82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0.92156862745098034</c:v>
                </c:pt>
                <c:pt idx="13">
                  <c:v>0.81568627450980391</c:v>
                </c:pt>
                <c:pt idx="14">
                  <c:v>0.73333333333333328</c:v>
                </c:pt>
                <c:pt idx="15">
                  <c:v>0.66274509803921566</c:v>
                </c:pt>
                <c:pt idx="16">
                  <c:v>0.59607843137254901</c:v>
                </c:pt>
                <c:pt idx="17">
                  <c:v>0.54117647058823526</c:v>
                </c:pt>
                <c:pt idx="18">
                  <c:v>0.49803921568627452</c:v>
                </c:pt>
                <c:pt idx="19">
                  <c:v>0.46666666666666667</c:v>
                </c:pt>
                <c:pt idx="20">
                  <c:v>0.42352941176470588</c:v>
                </c:pt>
                <c:pt idx="21">
                  <c:v>0.40392156862745099</c:v>
                </c:pt>
                <c:pt idx="22">
                  <c:v>0.37254901960784315</c:v>
                </c:pt>
                <c:pt idx="23">
                  <c:v>0.35686274509803922</c:v>
                </c:pt>
                <c:pt idx="24">
                  <c:v>0.32941176470588235</c:v>
                </c:pt>
                <c:pt idx="25">
                  <c:v>0.30588235294117649</c:v>
                </c:pt>
                <c:pt idx="26">
                  <c:v>0.29019607843137257</c:v>
                </c:pt>
                <c:pt idx="27">
                  <c:v>0.27843137254901962</c:v>
                </c:pt>
                <c:pt idx="28">
                  <c:v>0.2627450980392157</c:v>
                </c:pt>
                <c:pt idx="29">
                  <c:v>0.24705882352941178</c:v>
                </c:pt>
                <c:pt idx="30">
                  <c:v>0.24705882352941178</c:v>
                </c:pt>
                <c:pt idx="31">
                  <c:v>0.23529411764705882</c:v>
                </c:pt>
                <c:pt idx="32">
                  <c:v>0.2196078431372549</c:v>
                </c:pt>
                <c:pt idx="33">
                  <c:v>0.20784313725490197</c:v>
                </c:pt>
                <c:pt idx="34">
                  <c:v>0.20392156862745098</c:v>
                </c:pt>
                <c:pt idx="35">
                  <c:v>0.19607843137254902</c:v>
                </c:pt>
                <c:pt idx="36">
                  <c:v>0.18823529411764706</c:v>
                </c:pt>
                <c:pt idx="37">
                  <c:v>0.18823529411764706</c:v>
                </c:pt>
                <c:pt idx="38">
                  <c:v>0.1803921568627451</c:v>
                </c:pt>
                <c:pt idx="39">
                  <c:v>0.17647058823529413</c:v>
                </c:pt>
                <c:pt idx="40">
                  <c:v>0.17254901960784313</c:v>
                </c:pt>
                <c:pt idx="41">
                  <c:v>0.16470588235294117</c:v>
                </c:pt>
                <c:pt idx="42">
                  <c:v>0.16470588235294117</c:v>
                </c:pt>
                <c:pt idx="43">
                  <c:v>0.15686274509803921</c:v>
                </c:pt>
                <c:pt idx="44">
                  <c:v>0.14901960784313725</c:v>
                </c:pt>
                <c:pt idx="45">
                  <c:v>0.14901960784313725</c:v>
                </c:pt>
                <c:pt idx="46">
                  <c:v>0.14509803921568629</c:v>
                </c:pt>
                <c:pt idx="47">
                  <c:v>0.14117647058823529</c:v>
                </c:pt>
                <c:pt idx="48">
                  <c:v>0.14117647058823529</c:v>
                </c:pt>
                <c:pt idx="49">
                  <c:v>0.13333333333333333</c:v>
                </c:pt>
                <c:pt idx="50">
                  <c:v>0.13725490196078433</c:v>
                </c:pt>
                <c:pt idx="51">
                  <c:v>0.13725490196078433</c:v>
                </c:pt>
                <c:pt idx="52">
                  <c:v>0.13333333333333333</c:v>
                </c:pt>
                <c:pt idx="53">
                  <c:v>0.13333333333333333</c:v>
                </c:pt>
                <c:pt idx="54">
                  <c:v>0.12941176470588237</c:v>
                </c:pt>
                <c:pt idx="55">
                  <c:v>0.12549019607843137</c:v>
                </c:pt>
                <c:pt idx="56">
                  <c:v>0.12156862745098039</c:v>
                </c:pt>
                <c:pt idx="57">
                  <c:v>0.12549019607843137</c:v>
                </c:pt>
                <c:pt idx="58">
                  <c:v>0.12549019607843137</c:v>
                </c:pt>
                <c:pt idx="59">
                  <c:v>0.12549019607843137</c:v>
                </c:pt>
                <c:pt idx="60">
                  <c:v>0.10980392156862745</c:v>
                </c:pt>
                <c:pt idx="61">
                  <c:v>0.11764705882352941</c:v>
                </c:pt>
                <c:pt idx="62">
                  <c:v>0.11372549019607843</c:v>
                </c:pt>
                <c:pt idx="63">
                  <c:v>0.11764705882352941</c:v>
                </c:pt>
                <c:pt idx="64">
                  <c:v>0.10980392156862745</c:v>
                </c:pt>
                <c:pt idx="65">
                  <c:v>0.10980392156862745</c:v>
                </c:pt>
                <c:pt idx="66">
                  <c:v>0.11764705882352941</c:v>
                </c:pt>
                <c:pt idx="67">
                  <c:v>0.11764705882352941</c:v>
                </c:pt>
                <c:pt idx="68">
                  <c:v>0.11372549019607843</c:v>
                </c:pt>
                <c:pt idx="69">
                  <c:v>0.10980392156862745</c:v>
                </c:pt>
                <c:pt idx="70">
                  <c:v>0.10980392156862745</c:v>
                </c:pt>
                <c:pt idx="71">
                  <c:v>0.10980392156862745</c:v>
                </c:pt>
                <c:pt idx="72">
                  <c:v>0.10980392156862745</c:v>
                </c:pt>
                <c:pt idx="73">
                  <c:v>0.10588235294117647</c:v>
                </c:pt>
                <c:pt idx="74">
                  <c:v>0.10196078431372549</c:v>
                </c:pt>
                <c:pt idx="75">
                  <c:v>0.10196078431372549</c:v>
                </c:pt>
                <c:pt idx="76">
                  <c:v>0.10196078431372549</c:v>
                </c:pt>
                <c:pt idx="77">
                  <c:v>0.10196078431372549</c:v>
                </c:pt>
                <c:pt idx="78">
                  <c:v>0.10196078431372549</c:v>
                </c:pt>
                <c:pt idx="79">
                  <c:v>0.10196078431372549</c:v>
                </c:pt>
                <c:pt idx="80">
                  <c:v>0.10196078431372549</c:v>
                </c:pt>
              </c:numCache>
            </c:numRef>
          </c:yVal>
        </c:ser>
        <c:ser>
          <c:idx val="1"/>
          <c:order val="1"/>
          <c:tx>
            <c:strRef>
              <c:f>data2!$S$1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data2!$S$2:$S$82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0.92549019607843142</c:v>
                </c:pt>
                <c:pt idx="13">
                  <c:v>0.81960784313725488</c:v>
                </c:pt>
                <c:pt idx="14">
                  <c:v>0.73333333333333328</c:v>
                </c:pt>
                <c:pt idx="15">
                  <c:v>0.66666666666666663</c:v>
                </c:pt>
                <c:pt idx="16">
                  <c:v>0.60392156862745094</c:v>
                </c:pt>
                <c:pt idx="17">
                  <c:v>0.5490196078431373</c:v>
                </c:pt>
                <c:pt idx="18">
                  <c:v>0.49803921568627452</c:v>
                </c:pt>
                <c:pt idx="19">
                  <c:v>0.45882352941176469</c:v>
                </c:pt>
                <c:pt idx="20">
                  <c:v>0.43529411764705883</c:v>
                </c:pt>
                <c:pt idx="21">
                  <c:v>0.40784313725490196</c:v>
                </c:pt>
                <c:pt idx="22">
                  <c:v>0.36862745098039218</c:v>
                </c:pt>
                <c:pt idx="23">
                  <c:v>0.35686274509803922</c:v>
                </c:pt>
                <c:pt idx="24">
                  <c:v>0.33725490196078434</c:v>
                </c:pt>
                <c:pt idx="25">
                  <c:v>0.31372549019607843</c:v>
                </c:pt>
                <c:pt idx="26">
                  <c:v>0.29411764705882354</c:v>
                </c:pt>
                <c:pt idx="27">
                  <c:v>0.27843137254901962</c:v>
                </c:pt>
                <c:pt idx="28">
                  <c:v>0.26666666666666666</c:v>
                </c:pt>
                <c:pt idx="29">
                  <c:v>0.25882352941176473</c:v>
                </c:pt>
                <c:pt idx="30">
                  <c:v>0.24705882352941178</c:v>
                </c:pt>
                <c:pt idx="31">
                  <c:v>0.23921568627450981</c:v>
                </c:pt>
                <c:pt idx="32">
                  <c:v>0.22745098039215686</c:v>
                </c:pt>
                <c:pt idx="33">
                  <c:v>0.22352941176470589</c:v>
                </c:pt>
                <c:pt idx="34">
                  <c:v>0.20392156862745098</c:v>
                </c:pt>
                <c:pt idx="35">
                  <c:v>0.2</c:v>
                </c:pt>
                <c:pt idx="36">
                  <c:v>0.2</c:v>
                </c:pt>
                <c:pt idx="37">
                  <c:v>0.19607843137254902</c:v>
                </c:pt>
                <c:pt idx="38">
                  <c:v>0.19607843137254902</c:v>
                </c:pt>
                <c:pt idx="39">
                  <c:v>0.1803921568627451</c:v>
                </c:pt>
                <c:pt idx="40">
                  <c:v>0.17254901960784313</c:v>
                </c:pt>
                <c:pt idx="41">
                  <c:v>0.17254901960784313</c:v>
                </c:pt>
                <c:pt idx="42">
                  <c:v>0.17254901960784313</c:v>
                </c:pt>
                <c:pt idx="43">
                  <c:v>0.16470588235294117</c:v>
                </c:pt>
                <c:pt idx="44">
                  <c:v>0.15686274509803921</c:v>
                </c:pt>
                <c:pt idx="45">
                  <c:v>0.15686274509803921</c:v>
                </c:pt>
                <c:pt idx="46">
                  <c:v>0.15686274509803921</c:v>
                </c:pt>
                <c:pt idx="47">
                  <c:v>0.14901960784313725</c:v>
                </c:pt>
                <c:pt idx="48">
                  <c:v>0.14117647058823529</c:v>
                </c:pt>
                <c:pt idx="49">
                  <c:v>0.13333333333333333</c:v>
                </c:pt>
                <c:pt idx="50">
                  <c:v>0.13725490196078433</c:v>
                </c:pt>
                <c:pt idx="51">
                  <c:v>0.12941176470588237</c:v>
                </c:pt>
                <c:pt idx="52">
                  <c:v>0.13333333333333333</c:v>
                </c:pt>
                <c:pt idx="53">
                  <c:v>0.12549019607843137</c:v>
                </c:pt>
                <c:pt idx="54">
                  <c:v>0.12941176470588237</c:v>
                </c:pt>
                <c:pt idx="55">
                  <c:v>0.12549019607843137</c:v>
                </c:pt>
                <c:pt idx="56">
                  <c:v>0.11764705882352941</c:v>
                </c:pt>
                <c:pt idx="57">
                  <c:v>0.12156862745098039</c:v>
                </c:pt>
                <c:pt idx="58">
                  <c:v>0.11764705882352941</c:v>
                </c:pt>
                <c:pt idx="59">
                  <c:v>0.11764705882352941</c:v>
                </c:pt>
                <c:pt idx="60">
                  <c:v>0.11764705882352941</c:v>
                </c:pt>
                <c:pt idx="61">
                  <c:v>0.11764705882352941</c:v>
                </c:pt>
                <c:pt idx="62">
                  <c:v>0.11764705882352941</c:v>
                </c:pt>
                <c:pt idx="63">
                  <c:v>0.11764705882352941</c:v>
                </c:pt>
                <c:pt idx="64">
                  <c:v>0.11764705882352941</c:v>
                </c:pt>
                <c:pt idx="65">
                  <c:v>0.12156862745098039</c:v>
                </c:pt>
                <c:pt idx="66">
                  <c:v>0.10980392156862745</c:v>
                </c:pt>
                <c:pt idx="67">
                  <c:v>0.10980392156862745</c:v>
                </c:pt>
                <c:pt idx="68">
                  <c:v>0.11372549019607843</c:v>
                </c:pt>
                <c:pt idx="69">
                  <c:v>0.10980392156862745</c:v>
                </c:pt>
                <c:pt idx="70">
                  <c:v>0.10980392156862745</c:v>
                </c:pt>
                <c:pt idx="71">
                  <c:v>0.10980392156862745</c:v>
                </c:pt>
                <c:pt idx="72">
                  <c:v>0.11372549019607843</c:v>
                </c:pt>
                <c:pt idx="73">
                  <c:v>0.10980392156862745</c:v>
                </c:pt>
                <c:pt idx="74">
                  <c:v>0.10980392156862745</c:v>
                </c:pt>
                <c:pt idx="75">
                  <c:v>0.10980392156862745</c:v>
                </c:pt>
                <c:pt idx="76">
                  <c:v>0.10980392156862745</c:v>
                </c:pt>
                <c:pt idx="77">
                  <c:v>0.10196078431372549</c:v>
                </c:pt>
                <c:pt idx="78">
                  <c:v>0.10196078431372549</c:v>
                </c:pt>
                <c:pt idx="79">
                  <c:v>9.4117647058823528E-2</c:v>
                </c:pt>
                <c:pt idx="80">
                  <c:v>9.4117647058823528E-2</c:v>
                </c:pt>
              </c:numCache>
            </c:numRef>
          </c:yVal>
        </c:ser>
        <c:ser>
          <c:idx val="2"/>
          <c:order val="2"/>
          <c:tx>
            <c:strRef>
              <c:f>data2!$T$1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data2!$T$2:$T$82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0.92941176470588238</c:v>
                </c:pt>
                <c:pt idx="13">
                  <c:v>0.81176470588235294</c:v>
                </c:pt>
                <c:pt idx="14">
                  <c:v>0.73333333333333328</c:v>
                </c:pt>
                <c:pt idx="15">
                  <c:v>0.6588235294117647</c:v>
                </c:pt>
                <c:pt idx="16">
                  <c:v>0.60392156862745094</c:v>
                </c:pt>
                <c:pt idx="17">
                  <c:v>0.53725490196078429</c:v>
                </c:pt>
                <c:pt idx="18">
                  <c:v>0.49019607843137253</c:v>
                </c:pt>
                <c:pt idx="19">
                  <c:v>0.45882352941176469</c:v>
                </c:pt>
                <c:pt idx="20">
                  <c:v>0.42352941176470588</c:v>
                </c:pt>
                <c:pt idx="21">
                  <c:v>0.396078431372549</c:v>
                </c:pt>
                <c:pt idx="22">
                  <c:v>0.37254901960784315</c:v>
                </c:pt>
                <c:pt idx="23">
                  <c:v>0.34901960784313724</c:v>
                </c:pt>
                <c:pt idx="24">
                  <c:v>0.32156862745098042</c:v>
                </c:pt>
                <c:pt idx="25">
                  <c:v>0.29803921568627451</c:v>
                </c:pt>
                <c:pt idx="26">
                  <c:v>0.28235294117647058</c:v>
                </c:pt>
                <c:pt idx="27">
                  <c:v>0.27450980392156865</c:v>
                </c:pt>
                <c:pt idx="28">
                  <c:v>0.25098039215686274</c:v>
                </c:pt>
                <c:pt idx="29">
                  <c:v>0.24313725490196078</c:v>
                </c:pt>
                <c:pt idx="30">
                  <c:v>0.22745098039215686</c:v>
                </c:pt>
                <c:pt idx="31">
                  <c:v>0.22745098039215686</c:v>
                </c:pt>
                <c:pt idx="32">
                  <c:v>0.21176470588235294</c:v>
                </c:pt>
                <c:pt idx="33">
                  <c:v>0.20392156862745098</c:v>
                </c:pt>
                <c:pt idx="34">
                  <c:v>0.20392156862745098</c:v>
                </c:pt>
                <c:pt idx="35">
                  <c:v>0.19607843137254902</c:v>
                </c:pt>
                <c:pt idx="36">
                  <c:v>0.18823529411764706</c:v>
                </c:pt>
                <c:pt idx="37">
                  <c:v>0.1803921568627451</c:v>
                </c:pt>
                <c:pt idx="38">
                  <c:v>0.1803921568627451</c:v>
                </c:pt>
                <c:pt idx="39">
                  <c:v>0.16862745098039217</c:v>
                </c:pt>
                <c:pt idx="40">
                  <c:v>0.16470588235294117</c:v>
                </c:pt>
                <c:pt idx="41">
                  <c:v>0.16078431372549021</c:v>
                </c:pt>
                <c:pt idx="42">
                  <c:v>0.16078431372549021</c:v>
                </c:pt>
                <c:pt idx="43">
                  <c:v>0.15294117647058825</c:v>
                </c:pt>
                <c:pt idx="44">
                  <c:v>0.15294117647058825</c:v>
                </c:pt>
                <c:pt idx="45">
                  <c:v>0.14117647058823529</c:v>
                </c:pt>
                <c:pt idx="46">
                  <c:v>0.14509803921568629</c:v>
                </c:pt>
                <c:pt idx="47">
                  <c:v>0.14901960784313725</c:v>
                </c:pt>
                <c:pt idx="48">
                  <c:v>0.14117647058823529</c:v>
                </c:pt>
                <c:pt idx="49">
                  <c:v>0.14117647058823529</c:v>
                </c:pt>
                <c:pt idx="50">
                  <c:v>0.13333333333333333</c:v>
                </c:pt>
                <c:pt idx="51">
                  <c:v>0.13333333333333333</c:v>
                </c:pt>
                <c:pt idx="52">
                  <c:v>0.14117647058823529</c:v>
                </c:pt>
                <c:pt idx="53">
                  <c:v>0.13333333333333333</c:v>
                </c:pt>
                <c:pt idx="54">
                  <c:v>0.12941176470588237</c:v>
                </c:pt>
                <c:pt idx="55">
                  <c:v>0.12549019607843137</c:v>
                </c:pt>
                <c:pt idx="56">
                  <c:v>0.11764705882352941</c:v>
                </c:pt>
                <c:pt idx="57">
                  <c:v>0.11764705882352941</c:v>
                </c:pt>
                <c:pt idx="58">
                  <c:v>0.11764705882352941</c:v>
                </c:pt>
                <c:pt idx="59">
                  <c:v>0.11372549019607843</c:v>
                </c:pt>
                <c:pt idx="60">
                  <c:v>0.11764705882352941</c:v>
                </c:pt>
                <c:pt idx="61">
                  <c:v>0.12156862745098039</c:v>
                </c:pt>
                <c:pt idx="62">
                  <c:v>0.11372549019607843</c:v>
                </c:pt>
                <c:pt idx="63">
                  <c:v>0.10980392156862745</c:v>
                </c:pt>
                <c:pt idx="64">
                  <c:v>0.10588235294117647</c:v>
                </c:pt>
                <c:pt idx="65">
                  <c:v>0.10196078431372549</c:v>
                </c:pt>
                <c:pt idx="66">
                  <c:v>0.10588235294117647</c:v>
                </c:pt>
                <c:pt idx="67">
                  <c:v>0.10196078431372549</c:v>
                </c:pt>
                <c:pt idx="68">
                  <c:v>0.10980392156862745</c:v>
                </c:pt>
                <c:pt idx="69">
                  <c:v>0.10196078431372549</c:v>
                </c:pt>
                <c:pt idx="70">
                  <c:v>0.10196078431372549</c:v>
                </c:pt>
                <c:pt idx="71">
                  <c:v>0.10980392156862745</c:v>
                </c:pt>
                <c:pt idx="72">
                  <c:v>0.10196078431372549</c:v>
                </c:pt>
                <c:pt idx="73">
                  <c:v>0.10980392156862745</c:v>
                </c:pt>
                <c:pt idx="74">
                  <c:v>0.10588235294117647</c:v>
                </c:pt>
                <c:pt idx="75">
                  <c:v>0.10196078431372549</c:v>
                </c:pt>
                <c:pt idx="76">
                  <c:v>0.10196078431372549</c:v>
                </c:pt>
                <c:pt idx="77">
                  <c:v>0.10196078431372549</c:v>
                </c:pt>
                <c:pt idx="78">
                  <c:v>0.10588235294117647</c:v>
                </c:pt>
                <c:pt idx="79">
                  <c:v>0.10196078431372549</c:v>
                </c:pt>
                <c:pt idx="80">
                  <c:v>9.4117647058823528E-2</c:v>
                </c:pt>
              </c:numCache>
            </c:numRef>
          </c:yVal>
        </c:ser>
        <c:ser>
          <c:idx val="3"/>
          <c:order val="3"/>
          <c:tx>
            <c:strRef>
              <c:f>data2!$U$1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data2!$U$2:$U$82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0.92549019607843142</c:v>
                </c:pt>
                <c:pt idx="13">
                  <c:v>0.81960784313725488</c:v>
                </c:pt>
                <c:pt idx="14">
                  <c:v>0.73725490196078436</c:v>
                </c:pt>
                <c:pt idx="15">
                  <c:v>0.66666666666666663</c:v>
                </c:pt>
                <c:pt idx="16">
                  <c:v>0.60784313725490191</c:v>
                </c:pt>
                <c:pt idx="17">
                  <c:v>0.5490196078431373</c:v>
                </c:pt>
                <c:pt idx="18">
                  <c:v>0.50588235294117645</c:v>
                </c:pt>
                <c:pt idx="19">
                  <c:v>0.46666666666666667</c:v>
                </c:pt>
                <c:pt idx="20">
                  <c:v>0.43529411764705883</c:v>
                </c:pt>
                <c:pt idx="21">
                  <c:v>0.40392156862745099</c:v>
                </c:pt>
                <c:pt idx="22">
                  <c:v>0.38039215686274508</c:v>
                </c:pt>
                <c:pt idx="23">
                  <c:v>0.35686274509803922</c:v>
                </c:pt>
                <c:pt idx="24">
                  <c:v>0.33333333333333331</c:v>
                </c:pt>
                <c:pt idx="25">
                  <c:v>0.31764705882352939</c:v>
                </c:pt>
                <c:pt idx="26">
                  <c:v>0.29803921568627451</c:v>
                </c:pt>
                <c:pt idx="27">
                  <c:v>0.28235294117647058</c:v>
                </c:pt>
                <c:pt idx="28">
                  <c:v>0.27058823529411763</c:v>
                </c:pt>
                <c:pt idx="29">
                  <c:v>0.25490196078431371</c:v>
                </c:pt>
                <c:pt idx="30">
                  <c:v>0.24705882352941178</c:v>
                </c:pt>
                <c:pt idx="31">
                  <c:v>0.23137254901960785</c:v>
                </c:pt>
                <c:pt idx="32">
                  <c:v>0.2196078431372549</c:v>
                </c:pt>
                <c:pt idx="33">
                  <c:v>0.2196078431372549</c:v>
                </c:pt>
                <c:pt idx="34">
                  <c:v>0.20784313725490197</c:v>
                </c:pt>
                <c:pt idx="35">
                  <c:v>0.2</c:v>
                </c:pt>
                <c:pt idx="36">
                  <c:v>0.19607843137254902</c:v>
                </c:pt>
                <c:pt idx="37">
                  <c:v>0.18431372549019609</c:v>
                </c:pt>
                <c:pt idx="38">
                  <c:v>0.1803921568627451</c:v>
                </c:pt>
                <c:pt idx="39">
                  <c:v>0.18823529411764706</c:v>
                </c:pt>
                <c:pt idx="40">
                  <c:v>0.1803921568627451</c:v>
                </c:pt>
                <c:pt idx="41">
                  <c:v>0.17254901960784313</c:v>
                </c:pt>
                <c:pt idx="42">
                  <c:v>0.17254901960784313</c:v>
                </c:pt>
                <c:pt idx="43">
                  <c:v>0.16470588235294117</c:v>
                </c:pt>
                <c:pt idx="44">
                  <c:v>0.14901960784313725</c:v>
                </c:pt>
                <c:pt idx="45">
                  <c:v>0.14901960784313725</c:v>
                </c:pt>
                <c:pt idx="46">
                  <c:v>0.14901960784313725</c:v>
                </c:pt>
                <c:pt idx="47">
                  <c:v>0.14901960784313725</c:v>
                </c:pt>
                <c:pt idx="48">
                  <c:v>0.14117647058823529</c:v>
                </c:pt>
                <c:pt idx="49">
                  <c:v>0.13333333333333333</c:v>
                </c:pt>
                <c:pt idx="50">
                  <c:v>0.14117647058823529</c:v>
                </c:pt>
                <c:pt idx="51">
                  <c:v>0.13333333333333333</c:v>
                </c:pt>
                <c:pt idx="52">
                  <c:v>0.13333333333333333</c:v>
                </c:pt>
                <c:pt idx="53">
                  <c:v>0.12941176470588237</c:v>
                </c:pt>
                <c:pt idx="54">
                  <c:v>0.12549019607843137</c:v>
                </c:pt>
                <c:pt idx="55">
                  <c:v>0.13333333333333333</c:v>
                </c:pt>
                <c:pt idx="56">
                  <c:v>0.12549019607843137</c:v>
                </c:pt>
                <c:pt idx="57">
                  <c:v>0.12156862745098039</c:v>
                </c:pt>
                <c:pt idx="58">
                  <c:v>0.11764705882352941</c:v>
                </c:pt>
                <c:pt idx="59">
                  <c:v>0.11372549019607843</c:v>
                </c:pt>
                <c:pt idx="60">
                  <c:v>0.10980392156862745</c:v>
                </c:pt>
                <c:pt idx="61">
                  <c:v>0.10980392156862745</c:v>
                </c:pt>
                <c:pt idx="62">
                  <c:v>0.10980392156862745</c:v>
                </c:pt>
                <c:pt idx="63">
                  <c:v>0.10980392156862745</c:v>
                </c:pt>
                <c:pt idx="64">
                  <c:v>0.10980392156862745</c:v>
                </c:pt>
                <c:pt idx="65">
                  <c:v>0.10980392156862745</c:v>
                </c:pt>
                <c:pt idx="66">
                  <c:v>0.10980392156862745</c:v>
                </c:pt>
                <c:pt idx="67">
                  <c:v>0.10196078431372549</c:v>
                </c:pt>
                <c:pt idx="68">
                  <c:v>0.10196078431372549</c:v>
                </c:pt>
                <c:pt idx="69">
                  <c:v>0.10196078431372549</c:v>
                </c:pt>
                <c:pt idx="70">
                  <c:v>9.8039215686274508E-2</c:v>
                </c:pt>
                <c:pt idx="71">
                  <c:v>0.10196078431372549</c:v>
                </c:pt>
                <c:pt idx="72">
                  <c:v>0.10196078431372549</c:v>
                </c:pt>
                <c:pt idx="73">
                  <c:v>0.10196078431372549</c:v>
                </c:pt>
                <c:pt idx="74">
                  <c:v>9.4117647058823528E-2</c:v>
                </c:pt>
                <c:pt idx="75">
                  <c:v>9.4117647058823528E-2</c:v>
                </c:pt>
                <c:pt idx="76">
                  <c:v>0.10588235294117647</c:v>
                </c:pt>
                <c:pt idx="77">
                  <c:v>0.10196078431372549</c:v>
                </c:pt>
                <c:pt idx="78">
                  <c:v>0.10196078431372549</c:v>
                </c:pt>
                <c:pt idx="79">
                  <c:v>9.4117647058823528E-2</c:v>
                </c:pt>
                <c:pt idx="80">
                  <c:v>9.4117647058823528E-2</c:v>
                </c:pt>
              </c:numCache>
            </c:numRef>
          </c:yVal>
        </c:ser>
        <c:ser>
          <c:idx val="4"/>
          <c:order val="4"/>
          <c:tx>
            <c:strRef>
              <c:f>data2!$V$1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data2!$V$2:$V$82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0.92549019607843142</c:v>
                </c:pt>
                <c:pt idx="13">
                  <c:v>0.81568627450980391</c:v>
                </c:pt>
                <c:pt idx="14">
                  <c:v>0.72941176470588232</c:v>
                </c:pt>
                <c:pt idx="15">
                  <c:v>0.6588235294117647</c:v>
                </c:pt>
                <c:pt idx="16">
                  <c:v>0.60392156862745094</c:v>
                </c:pt>
                <c:pt idx="17">
                  <c:v>0.5490196078431373</c:v>
                </c:pt>
                <c:pt idx="18">
                  <c:v>0.50588235294117645</c:v>
                </c:pt>
                <c:pt idx="19">
                  <c:v>0.46666666666666667</c:v>
                </c:pt>
                <c:pt idx="20">
                  <c:v>0.43529411764705883</c:v>
                </c:pt>
                <c:pt idx="21">
                  <c:v>0.40392156862745099</c:v>
                </c:pt>
                <c:pt idx="22">
                  <c:v>0.3843137254901961</c:v>
                </c:pt>
                <c:pt idx="23">
                  <c:v>0.36078431372549019</c:v>
                </c:pt>
                <c:pt idx="24">
                  <c:v>0.33725490196078434</c:v>
                </c:pt>
                <c:pt idx="25">
                  <c:v>0.31372549019607843</c:v>
                </c:pt>
                <c:pt idx="26">
                  <c:v>0.29803921568627451</c:v>
                </c:pt>
                <c:pt idx="27">
                  <c:v>0.28627450980392155</c:v>
                </c:pt>
                <c:pt idx="28">
                  <c:v>0.27058823529411763</c:v>
                </c:pt>
                <c:pt idx="29">
                  <c:v>0.25490196078431371</c:v>
                </c:pt>
                <c:pt idx="30">
                  <c:v>0.24313725490196078</c:v>
                </c:pt>
                <c:pt idx="31">
                  <c:v>0.23137254901960785</c:v>
                </c:pt>
                <c:pt idx="32">
                  <c:v>0.2196078431372549</c:v>
                </c:pt>
                <c:pt idx="33">
                  <c:v>0.21176470588235294</c:v>
                </c:pt>
                <c:pt idx="34">
                  <c:v>0.20392156862745098</c:v>
                </c:pt>
                <c:pt idx="35">
                  <c:v>0.19607843137254902</c:v>
                </c:pt>
                <c:pt idx="36">
                  <c:v>0.19607843137254902</c:v>
                </c:pt>
                <c:pt idx="37">
                  <c:v>0.1803921568627451</c:v>
                </c:pt>
                <c:pt idx="38">
                  <c:v>0.1803921568627451</c:v>
                </c:pt>
                <c:pt idx="39">
                  <c:v>0.17647058823529413</c:v>
                </c:pt>
                <c:pt idx="40">
                  <c:v>0.17254901960784313</c:v>
                </c:pt>
                <c:pt idx="41">
                  <c:v>0.16862745098039217</c:v>
                </c:pt>
                <c:pt idx="42">
                  <c:v>0.16470588235294117</c:v>
                </c:pt>
                <c:pt idx="43">
                  <c:v>0.16470588235294117</c:v>
                </c:pt>
                <c:pt idx="44">
                  <c:v>0.15294117647058825</c:v>
                </c:pt>
                <c:pt idx="45">
                  <c:v>0.14901960784313725</c:v>
                </c:pt>
                <c:pt idx="46">
                  <c:v>0.14901960784313725</c:v>
                </c:pt>
                <c:pt idx="47">
                  <c:v>0.14117647058823529</c:v>
                </c:pt>
                <c:pt idx="48">
                  <c:v>0.14117647058823529</c:v>
                </c:pt>
                <c:pt idx="49">
                  <c:v>0.14509803921568629</c:v>
                </c:pt>
                <c:pt idx="50">
                  <c:v>0.13333333333333333</c:v>
                </c:pt>
                <c:pt idx="51">
                  <c:v>0.13333333333333333</c:v>
                </c:pt>
                <c:pt idx="52">
                  <c:v>0.13333333333333333</c:v>
                </c:pt>
                <c:pt idx="53">
                  <c:v>0.13333333333333333</c:v>
                </c:pt>
                <c:pt idx="54">
                  <c:v>0.12941176470588237</c:v>
                </c:pt>
                <c:pt idx="55">
                  <c:v>0.12549019607843137</c:v>
                </c:pt>
                <c:pt idx="56">
                  <c:v>0.12549019607843137</c:v>
                </c:pt>
                <c:pt idx="57">
                  <c:v>0.12941176470588237</c:v>
                </c:pt>
                <c:pt idx="58">
                  <c:v>0.12549019607843137</c:v>
                </c:pt>
                <c:pt idx="59">
                  <c:v>0.12156862745098039</c:v>
                </c:pt>
                <c:pt idx="60">
                  <c:v>0.11764705882352941</c:v>
                </c:pt>
                <c:pt idx="61">
                  <c:v>0.12156862745098039</c:v>
                </c:pt>
                <c:pt idx="62">
                  <c:v>0.11764705882352941</c:v>
                </c:pt>
                <c:pt idx="63">
                  <c:v>0.11372549019607843</c:v>
                </c:pt>
                <c:pt idx="64">
                  <c:v>0.10980392156862745</c:v>
                </c:pt>
                <c:pt idx="65">
                  <c:v>0.10980392156862745</c:v>
                </c:pt>
                <c:pt idx="66">
                  <c:v>0.10980392156862745</c:v>
                </c:pt>
                <c:pt idx="67">
                  <c:v>0.10980392156862745</c:v>
                </c:pt>
                <c:pt idx="68">
                  <c:v>0.10980392156862745</c:v>
                </c:pt>
                <c:pt idx="69">
                  <c:v>0.10980392156862745</c:v>
                </c:pt>
                <c:pt idx="70">
                  <c:v>0.10196078431372549</c:v>
                </c:pt>
                <c:pt idx="71">
                  <c:v>0.10980392156862745</c:v>
                </c:pt>
                <c:pt idx="72">
                  <c:v>0.10588235294117647</c:v>
                </c:pt>
                <c:pt idx="73">
                  <c:v>0.10196078431372549</c:v>
                </c:pt>
                <c:pt idx="74">
                  <c:v>0.10196078431372549</c:v>
                </c:pt>
                <c:pt idx="75">
                  <c:v>9.8039215686274508E-2</c:v>
                </c:pt>
                <c:pt idx="76">
                  <c:v>0.10196078431372549</c:v>
                </c:pt>
                <c:pt idx="77">
                  <c:v>0.10196078431372549</c:v>
                </c:pt>
                <c:pt idx="78">
                  <c:v>9.8039215686274508E-2</c:v>
                </c:pt>
                <c:pt idx="79">
                  <c:v>9.8039215686274508E-2</c:v>
                </c:pt>
                <c:pt idx="80">
                  <c:v>9.8039215686274508E-2</c:v>
                </c:pt>
              </c:numCache>
            </c:numRef>
          </c:yVal>
        </c:ser>
        <c:ser>
          <c:idx val="5"/>
          <c:order val="5"/>
          <c:tx>
            <c:strRef>
              <c:f>data2!$W$1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data2!$W$2:$W$82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0.92156862745098034</c:v>
                </c:pt>
                <c:pt idx="13">
                  <c:v>0.81960784313725488</c:v>
                </c:pt>
                <c:pt idx="14">
                  <c:v>0.72941176470588232</c:v>
                </c:pt>
                <c:pt idx="15">
                  <c:v>0.6588235294117647</c:v>
                </c:pt>
                <c:pt idx="16">
                  <c:v>0.61176470588235299</c:v>
                </c:pt>
                <c:pt idx="17">
                  <c:v>0.5490196078431373</c:v>
                </c:pt>
                <c:pt idx="18">
                  <c:v>0.49803921568627452</c:v>
                </c:pt>
                <c:pt idx="19">
                  <c:v>0.46666666666666667</c:v>
                </c:pt>
                <c:pt idx="20">
                  <c:v>0.42745098039215684</c:v>
                </c:pt>
                <c:pt idx="21">
                  <c:v>0.40392156862745099</c:v>
                </c:pt>
                <c:pt idx="22">
                  <c:v>0.36470588235294116</c:v>
                </c:pt>
                <c:pt idx="23">
                  <c:v>0.35294117647058826</c:v>
                </c:pt>
                <c:pt idx="24">
                  <c:v>0.33333333333333331</c:v>
                </c:pt>
                <c:pt idx="25">
                  <c:v>0.30980392156862746</c:v>
                </c:pt>
                <c:pt idx="26">
                  <c:v>0.29411764705882354</c:v>
                </c:pt>
                <c:pt idx="27">
                  <c:v>0.27450980392156865</c:v>
                </c:pt>
                <c:pt idx="28">
                  <c:v>0.26666666666666666</c:v>
                </c:pt>
                <c:pt idx="29">
                  <c:v>0.25098039215686274</c:v>
                </c:pt>
                <c:pt idx="30">
                  <c:v>0.24313725490196078</c:v>
                </c:pt>
                <c:pt idx="31">
                  <c:v>0.23529411764705882</c:v>
                </c:pt>
                <c:pt idx="32">
                  <c:v>0.2196078431372549</c:v>
                </c:pt>
                <c:pt idx="33">
                  <c:v>0.21176470588235294</c:v>
                </c:pt>
                <c:pt idx="34">
                  <c:v>0.20392156862745098</c:v>
                </c:pt>
                <c:pt idx="35">
                  <c:v>0.19607843137254902</c:v>
                </c:pt>
                <c:pt idx="36">
                  <c:v>0.19607843137254902</c:v>
                </c:pt>
                <c:pt idx="37">
                  <c:v>0.18431372549019609</c:v>
                </c:pt>
                <c:pt idx="38">
                  <c:v>0.18431372549019609</c:v>
                </c:pt>
                <c:pt idx="39">
                  <c:v>0.1803921568627451</c:v>
                </c:pt>
                <c:pt idx="40">
                  <c:v>0.17254901960784313</c:v>
                </c:pt>
                <c:pt idx="41">
                  <c:v>0.17254901960784313</c:v>
                </c:pt>
                <c:pt idx="42">
                  <c:v>0.16470588235294117</c:v>
                </c:pt>
                <c:pt idx="43">
                  <c:v>0.16862745098039217</c:v>
                </c:pt>
                <c:pt idx="44">
                  <c:v>0.15686274509803921</c:v>
                </c:pt>
                <c:pt idx="45">
                  <c:v>0.16078431372549021</c:v>
                </c:pt>
                <c:pt idx="46">
                  <c:v>0.15294117647058825</c:v>
                </c:pt>
                <c:pt idx="47">
                  <c:v>0.14901960784313725</c:v>
                </c:pt>
                <c:pt idx="48">
                  <c:v>0.14509803921568629</c:v>
                </c:pt>
                <c:pt idx="49">
                  <c:v>0.14117647058823529</c:v>
                </c:pt>
                <c:pt idx="50">
                  <c:v>0.14117647058823529</c:v>
                </c:pt>
                <c:pt idx="51">
                  <c:v>0.14117647058823529</c:v>
                </c:pt>
                <c:pt idx="52">
                  <c:v>0.13333333333333333</c:v>
                </c:pt>
                <c:pt idx="53">
                  <c:v>0.13333333333333333</c:v>
                </c:pt>
                <c:pt idx="54">
                  <c:v>0.12549019607843137</c:v>
                </c:pt>
                <c:pt idx="55">
                  <c:v>0.13333333333333333</c:v>
                </c:pt>
                <c:pt idx="56">
                  <c:v>0.12549019607843137</c:v>
                </c:pt>
                <c:pt idx="57">
                  <c:v>0.12549019607843137</c:v>
                </c:pt>
                <c:pt idx="58">
                  <c:v>0.12156862745098039</c:v>
                </c:pt>
                <c:pt idx="59">
                  <c:v>0.11764705882352941</c:v>
                </c:pt>
                <c:pt idx="60">
                  <c:v>0.11764705882352941</c:v>
                </c:pt>
                <c:pt idx="61">
                  <c:v>0.11764705882352941</c:v>
                </c:pt>
                <c:pt idx="62">
                  <c:v>0.11764705882352941</c:v>
                </c:pt>
                <c:pt idx="63">
                  <c:v>0.11764705882352941</c:v>
                </c:pt>
                <c:pt idx="64">
                  <c:v>0.11764705882352941</c:v>
                </c:pt>
                <c:pt idx="65">
                  <c:v>0.11764705882352941</c:v>
                </c:pt>
                <c:pt idx="66">
                  <c:v>0.10980392156862745</c:v>
                </c:pt>
                <c:pt idx="67">
                  <c:v>0.11372549019607843</c:v>
                </c:pt>
                <c:pt idx="68">
                  <c:v>0.11372549019607843</c:v>
                </c:pt>
                <c:pt idx="69">
                  <c:v>0.10980392156862745</c:v>
                </c:pt>
                <c:pt idx="70">
                  <c:v>0.10588235294117647</c:v>
                </c:pt>
                <c:pt idx="71">
                  <c:v>0.11372549019607843</c:v>
                </c:pt>
                <c:pt idx="72">
                  <c:v>0.10980392156862745</c:v>
                </c:pt>
                <c:pt idx="73">
                  <c:v>0.10588235294117647</c:v>
                </c:pt>
                <c:pt idx="74">
                  <c:v>0.10980392156862745</c:v>
                </c:pt>
                <c:pt idx="75">
                  <c:v>0.10588235294117647</c:v>
                </c:pt>
                <c:pt idx="76">
                  <c:v>0.10196078431372549</c:v>
                </c:pt>
                <c:pt idx="77">
                  <c:v>9.8039215686274508E-2</c:v>
                </c:pt>
                <c:pt idx="78">
                  <c:v>0.10196078431372549</c:v>
                </c:pt>
                <c:pt idx="79">
                  <c:v>0.10588235294117647</c:v>
                </c:pt>
                <c:pt idx="80">
                  <c:v>0.10196078431372549</c:v>
                </c:pt>
              </c:numCache>
            </c:numRef>
          </c:yVal>
        </c:ser>
        <c:ser>
          <c:idx val="6"/>
          <c:order val="6"/>
          <c:tx>
            <c:strRef>
              <c:f>data2!$X$1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data2!$X$2:$X$82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0.92549019607843142</c:v>
                </c:pt>
                <c:pt idx="13">
                  <c:v>0.81960784313725488</c:v>
                </c:pt>
                <c:pt idx="14">
                  <c:v>0.73725490196078436</c:v>
                </c:pt>
                <c:pt idx="15">
                  <c:v>0.66666666666666663</c:v>
                </c:pt>
                <c:pt idx="16">
                  <c:v>0.60392156862745094</c:v>
                </c:pt>
                <c:pt idx="17">
                  <c:v>0.5490196078431373</c:v>
                </c:pt>
                <c:pt idx="18">
                  <c:v>0.50196078431372548</c:v>
                </c:pt>
                <c:pt idx="19">
                  <c:v>0.46666666666666667</c:v>
                </c:pt>
                <c:pt idx="20">
                  <c:v>0.43137254901960786</c:v>
                </c:pt>
                <c:pt idx="21">
                  <c:v>0.40784313725490196</c:v>
                </c:pt>
                <c:pt idx="22">
                  <c:v>0.37647058823529411</c:v>
                </c:pt>
                <c:pt idx="23">
                  <c:v>0.35294117647058826</c:v>
                </c:pt>
                <c:pt idx="24">
                  <c:v>0.33725490196078434</c:v>
                </c:pt>
                <c:pt idx="25">
                  <c:v>0.30980392156862746</c:v>
                </c:pt>
                <c:pt idx="26">
                  <c:v>0.28627450980392155</c:v>
                </c:pt>
                <c:pt idx="27">
                  <c:v>0.27843137254901962</c:v>
                </c:pt>
                <c:pt idx="28">
                  <c:v>0.27058823529411763</c:v>
                </c:pt>
                <c:pt idx="29">
                  <c:v>0.25882352941176473</c:v>
                </c:pt>
                <c:pt idx="30">
                  <c:v>0.24313725490196078</c:v>
                </c:pt>
                <c:pt idx="31">
                  <c:v>0.23921568627450981</c:v>
                </c:pt>
                <c:pt idx="32">
                  <c:v>0.22745098039215686</c:v>
                </c:pt>
                <c:pt idx="33">
                  <c:v>0.2196078431372549</c:v>
                </c:pt>
                <c:pt idx="34">
                  <c:v>0.21176470588235294</c:v>
                </c:pt>
                <c:pt idx="35">
                  <c:v>0.20392156862745098</c:v>
                </c:pt>
                <c:pt idx="36">
                  <c:v>0.2</c:v>
                </c:pt>
                <c:pt idx="37">
                  <c:v>0.2</c:v>
                </c:pt>
                <c:pt idx="38">
                  <c:v>0.18823529411764706</c:v>
                </c:pt>
                <c:pt idx="39">
                  <c:v>0.17647058823529413</c:v>
                </c:pt>
                <c:pt idx="40">
                  <c:v>0.17647058823529413</c:v>
                </c:pt>
                <c:pt idx="41">
                  <c:v>0.16862745098039217</c:v>
                </c:pt>
                <c:pt idx="42">
                  <c:v>0.16470588235294117</c:v>
                </c:pt>
                <c:pt idx="43">
                  <c:v>0.16078431372549021</c:v>
                </c:pt>
                <c:pt idx="44">
                  <c:v>0.15686274509803921</c:v>
                </c:pt>
                <c:pt idx="45">
                  <c:v>0.15294117647058825</c:v>
                </c:pt>
                <c:pt idx="46">
                  <c:v>0.14509803921568629</c:v>
                </c:pt>
                <c:pt idx="47">
                  <c:v>0.14117647058823529</c:v>
                </c:pt>
                <c:pt idx="48">
                  <c:v>0.13725490196078433</c:v>
                </c:pt>
                <c:pt idx="49">
                  <c:v>0.14117647058823529</c:v>
                </c:pt>
                <c:pt idx="50">
                  <c:v>0.13333333333333333</c:v>
                </c:pt>
                <c:pt idx="51">
                  <c:v>0.12941176470588237</c:v>
                </c:pt>
                <c:pt idx="52">
                  <c:v>0.12941176470588237</c:v>
                </c:pt>
                <c:pt idx="53">
                  <c:v>0.12156862745098039</c:v>
                </c:pt>
                <c:pt idx="54">
                  <c:v>0.12549019607843137</c:v>
                </c:pt>
                <c:pt idx="55">
                  <c:v>0.12549019607843137</c:v>
                </c:pt>
                <c:pt idx="56">
                  <c:v>0.11764705882352941</c:v>
                </c:pt>
                <c:pt idx="57">
                  <c:v>0.11372549019607843</c:v>
                </c:pt>
                <c:pt idx="58">
                  <c:v>0.12549019607843137</c:v>
                </c:pt>
                <c:pt idx="59">
                  <c:v>0.10980392156862745</c:v>
                </c:pt>
                <c:pt idx="60">
                  <c:v>0.10980392156862745</c:v>
                </c:pt>
                <c:pt idx="61">
                  <c:v>0.10980392156862745</c:v>
                </c:pt>
                <c:pt idx="62">
                  <c:v>0.11372549019607843</c:v>
                </c:pt>
                <c:pt idx="63">
                  <c:v>0.11372549019607843</c:v>
                </c:pt>
                <c:pt idx="64">
                  <c:v>0.10588235294117647</c:v>
                </c:pt>
                <c:pt idx="65">
                  <c:v>0.10980392156862745</c:v>
                </c:pt>
                <c:pt idx="66">
                  <c:v>0.10980392156862745</c:v>
                </c:pt>
                <c:pt idx="67">
                  <c:v>0.10588235294117647</c:v>
                </c:pt>
                <c:pt idx="68">
                  <c:v>0.10980392156862745</c:v>
                </c:pt>
                <c:pt idx="69">
                  <c:v>0.10980392156862745</c:v>
                </c:pt>
                <c:pt idx="70">
                  <c:v>0.10980392156862745</c:v>
                </c:pt>
                <c:pt idx="71">
                  <c:v>0.10196078431372549</c:v>
                </c:pt>
                <c:pt idx="72">
                  <c:v>9.4117647058823528E-2</c:v>
                </c:pt>
                <c:pt idx="73">
                  <c:v>9.8039215686274508E-2</c:v>
                </c:pt>
                <c:pt idx="74">
                  <c:v>0.10588235294117647</c:v>
                </c:pt>
                <c:pt idx="75">
                  <c:v>0.10588235294117647</c:v>
                </c:pt>
                <c:pt idx="76">
                  <c:v>0.10980392156862745</c:v>
                </c:pt>
                <c:pt idx="77">
                  <c:v>0.10196078431372549</c:v>
                </c:pt>
                <c:pt idx="78">
                  <c:v>0.10588235294117647</c:v>
                </c:pt>
                <c:pt idx="79">
                  <c:v>0.10196078431372549</c:v>
                </c:pt>
                <c:pt idx="80">
                  <c:v>0.10980392156862745</c:v>
                </c:pt>
              </c:numCache>
            </c:numRef>
          </c:yVal>
        </c:ser>
        <c:ser>
          <c:idx val="7"/>
          <c:order val="7"/>
          <c:tx>
            <c:strRef>
              <c:f>data2!$Y$1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data2!$Y$2:$Y$82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0.93333333333333335</c:v>
                </c:pt>
                <c:pt idx="13">
                  <c:v>0.82745098039215681</c:v>
                </c:pt>
                <c:pt idx="14">
                  <c:v>0.73725490196078436</c:v>
                </c:pt>
                <c:pt idx="15">
                  <c:v>0.66666666666666663</c:v>
                </c:pt>
                <c:pt idx="16">
                  <c:v>0.61176470588235299</c:v>
                </c:pt>
                <c:pt idx="17">
                  <c:v>0.55294117647058827</c:v>
                </c:pt>
                <c:pt idx="18">
                  <c:v>0.50588235294117645</c:v>
                </c:pt>
                <c:pt idx="19">
                  <c:v>0.46274509803921571</c:v>
                </c:pt>
                <c:pt idx="20">
                  <c:v>0.43529411764705883</c:v>
                </c:pt>
                <c:pt idx="21">
                  <c:v>0.40784313725490196</c:v>
                </c:pt>
                <c:pt idx="22">
                  <c:v>0.38039215686274508</c:v>
                </c:pt>
                <c:pt idx="23">
                  <c:v>0.36078431372549019</c:v>
                </c:pt>
                <c:pt idx="24">
                  <c:v>0.33725490196078434</c:v>
                </c:pt>
                <c:pt idx="25">
                  <c:v>0.30980392156862746</c:v>
                </c:pt>
                <c:pt idx="26">
                  <c:v>0.29019607843137257</c:v>
                </c:pt>
                <c:pt idx="27">
                  <c:v>0.27843137254901962</c:v>
                </c:pt>
                <c:pt idx="28">
                  <c:v>0.26666666666666666</c:v>
                </c:pt>
                <c:pt idx="29">
                  <c:v>0.25098039215686274</c:v>
                </c:pt>
                <c:pt idx="30">
                  <c:v>0.24313725490196078</c:v>
                </c:pt>
                <c:pt idx="31">
                  <c:v>0.22745098039215686</c:v>
                </c:pt>
                <c:pt idx="32">
                  <c:v>0.2196078431372549</c:v>
                </c:pt>
                <c:pt idx="33">
                  <c:v>0.21176470588235294</c:v>
                </c:pt>
                <c:pt idx="34">
                  <c:v>0.20392156862745098</c:v>
                </c:pt>
                <c:pt idx="35">
                  <c:v>0.19607843137254902</c:v>
                </c:pt>
                <c:pt idx="36">
                  <c:v>0.19607843137254902</c:v>
                </c:pt>
                <c:pt idx="37">
                  <c:v>0.1803921568627451</c:v>
                </c:pt>
                <c:pt idx="38">
                  <c:v>0.1803921568627451</c:v>
                </c:pt>
                <c:pt idx="39">
                  <c:v>0.17254901960784313</c:v>
                </c:pt>
                <c:pt idx="40">
                  <c:v>0.1803921568627451</c:v>
                </c:pt>
                <c:pt idx="41">
                  <c:v>0.16470588235294117</c:v>
                </c:pt>
                <c:pt idx="42">
                  <c:v>0.16078431372549021</c:v>
                </c:pt>
                <c:pt idx="43">
                  <c:v>0.16078431372549021</c:v>
                </c:pt>
                <c:pt idx="44">
                  <c:v>0.16078431372549021</c:v>
                </c:pt>
                <c:pt idx="45">
                  <c:v>0.15686274509803921</c:v>
                </c:pt>
                <c:pt idx="46">
                  <c:v>0.14901960784313725</c:v>
                </c:pt>
                <c:pt idx="47">
                  <c:v>0.14117647058823529</c:v>
                </c:pt>
                <c:pt idx="48">
                  <c:v>0.14117647058823529</c:v>
                </c:pt>
                <c:pt idx="49">
                  <c:v>0.13333333333333333</c:v>
                </c:pt>
                <c:pt idx="50">
                  <c:v>0.13725490196078433</c:v>
                </c:pt>
                <c:pt idx="51">
                  <c:v>0.13333333333333333</c:v>
                </c:pt>
                <c:pt idx="52">
                  <c:v>0.13333333333333333</c:v>
                </c:pt>
                <c:pt idx="53">
                  <c:v>0.12549019607843137</c:v>
                </c:pt>
                <c:pt idx="54">
                  <c:v>0.12549019607843137</c:v>
                </c:pt>
                <c:pt idx="55">
                  <c:v>0.12156862745098039</c:v>
                </c:pt>
                <c:pt idx="56">
                  <c:v>0.11764705882352941</c:v>
                </c:pt>
                <c:pt idx="57">
                  <c:v>0.10980392156862745</c:v>
                </c:pt>
                <c:pt idx="58">
                  <c:v>0.11764705882352941</c:v>
                </c:pt>
                <c:pt idx="59">
                  <c:v>0.12156862745098039</c:v>
                </c:pt>
                <c:pt idx="60">
                  <c:v>0.10980392156862745</c:v>
                </c:pt>
                <c:pt idx="61">
                  <c:v>0.10980392156862745</c:v>
                </c:pt>
                <c:pt idx="62">
                  <c:v>0.11764705882352941</c:v>
                </c:pt>
                <c:pt idx="63">
                  <c:v>0.11764705882352941</c:v>
                </c:pt>
                <c:pt idx="64">
                  <c:v>0.10980392156862745</c:v>
                </c:pt>
                <c:pt idx="65">
                  <c:v>0.10980392156862745</c:v>
                </c:pt>
                <c:pt idx="66">
                  <c:v>0.10980392156862745</c:v>
                </c:pt>
                <c:pt idx="67">
                  <c:v>0.10980392156862745</c:v>
                </c:pt>
                <c:pt idx="68">
                  <c:v>0.10980392156862745</c:v>
                </c:pt>
                <c:pt idx="69">
                  <c:v>0.10196078431372549</c:v>
                </c:pt>
                <c:pt idx="70">
                  <c:v>0.10196078431372549</c:v>
                </c:pt>
                <c:pt idx="71">
                  <c:v>0.10196078431372549</c:v>
                </c:pt>
                <c:pt idx="72">
                  <c:v>0.10196078431372549</c:v>
                </c:pt>
                <c:pt idx="73">
                  <c:v>0.10980392156862745</c:v>
                </c:pt>
                <c:pt idx="74">
                  <c:v>0.10980392156862745</c:v>
                </c:pt>
                <c:pt idx="75">
                  <c:v>0.10196078431372549</c:v>
                </c:pt>
                <c:pt idx="76">
                  <c:v>0.10196078431372549</c:v>
                </c:pt>
                <c:pt idx="77">
                  <c:v>0.10196078431372549</c:v>
                </c:pt>
                <c:pt idx="78">
                  <c:v>0.10196078431372549</c:v>
                </c:pt>
                <c:pt idx="79">
                  <c:v>0.10196078431372549</c:v>
                </c:pt>
                <c:pt idx="80">
                  <c:v>0.10196078431372549</c:v>
                </c:pt>
              </c:numCache>
            </c:numRef>
          </c:yVal>
        </c:ser>
        <c:axId val="136590080"/>
        <c:axId val="136591616"/>
      </c:scatterChart>
      <c:valAx>
        <c:axId val="136590080"/>
        <c:scaling>
          <c:orientation val="minMax"/>
          <c:min val="0"/>
        </c:scaling>
        <c:axPos val="b"/>
        <c:numFmt formatCode="0.0" sourceLinked="1"/>
        <c:tickLblPos val="nextTo"/>
        <c:crossAx val="136591616"/>
        <c:crosses val="autoZero"/>
        <c:crossBetween val="midCat"/>
      </c:valAx>
      <c:valAx>
        <c:axId val="136591616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3659008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data2!$Z$2:$Z$82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0.92941176470588238</c:v>
                </c:pt>
                <c:pt idx="13">
                  <c:v>0.82745098039215681</c:v>
                </c:pt>
                <c:pt idx="14">
                  <c:v>0.73725490196078436</c:v>
                </c:pt>
                <c:pt idx="15">
                  <c:v>0.67450980392156867</c:v>
                </c:pt>
                <c:pt idx="16">
                  <c:v>0.60784313725490191</c:v>
                </c:pt>
                <c:pt idx="17">
                  <c:v>0.5490196078431373</c:v>
                </c:pt>
                <c:pt idx="18">
                  <c:v>0.50196078431372548</c:v>
                </c:pt>
                <c:pt idx="19">
                  <c:v>0.47058823529411764</c:v>
                </c:pt>
                <c:pt idx="20">
                  <c:v>0.4392156862745098</c:v>
                </c:pt>
                <c:pt idx="21">
                  <c:v>0.41176470588235292</c:v>
                </c:pt>
                <c:pt idx="22">
                  <c:v>0.37647058823529411</c:v>
                </c:pt>
                <c:pt idx="23">
                  <c:v>0.35686274509803922</c:v>
                </c:pt>
                <c:pt idx="24">
                  <c:v>0.33725490196078434</c:v>
                </c:pt>
                <c:pt idx="25">
                  <c:v>0.32156862745098042</c:v>
                </c:pt>
                <c:pt idx="26">
                  <c:v>0.29803921568627451</c:v>
                </c:pt>
                <c:pt idx="27">
                  <c:v>0.29019607843137257</c:v>
                </c:pt>
                <c:pt idx="28">
                  <c:v>0.27450980392156865</c:v>
                </c:pt>
                <c:pt idx="29">
                  <c:v>0.25882352941176473</c:v>
                </c:pt>
                <c:pt idx="30">
                  <c:v>0.25490196078431371</c:v>
                </c:pt>
                <c:pt idx="31">
                  <c:v>0.25098039215686274</c:v>
                </c:pt>
                <c:pt idx="32">
                  <c:v>0.23921568627450981</c:v>
                </c:pt>
                <c:pt idx="33">
                  <c:v>0.22745098039215686</c:v>
                </c:pt>
                <c:pt idx="34">
                  <c:v>0.21568627450980393</c:v>
                </c:pt>
                <c:pt idx="35">
                  <c:v>0.20392156862745098</c:v>
                </c:pt>
                <c:pt idx="36">
                  <c:v>0.18823529411764706</c:v>
                </c:pt>
                <c:pt idx="37">
                  <c:v>0.18823529411764706</c:v>
                </c:pt>
                <c:pt idx="38">
                  <c:v>0.18431372549019609</c:v>
                </c:pt>
                <c:pt idx="39">
                  <c:v>0.1803921568627451</c:v>
                </c:pt>
                <c:pt idx="40">
                  <c:v>0.1803921568627451</c:v>
                </c:pt>
                <c:pt idx="41">
                  <c:v>0.17254901960784313</c:v>
                </c:pt>
                <c:pt idx="42">
                  <c:v>0.17254901960784313</c:v>
                </c:pt>
                <c:pt idx="43">
                  <c:v>0.16470588235294117</c:v>
                </c:pt>
                <c:pt idx="44">
                  <c:v>0.15686274509803921</c:v>
                </c:pt>
                <c:pt idx="45">
                  <c:v>0.15294117647058825</c:v>
                </c:pt>
                <c:pt idx="46">
                  <c:v>0.14901960784313725</c:v>
                </c:pt>
                <c:pt idx="47">
                  <c:v>0.14509803921568629</c:v>
                </c:pt>
                <c:pt idx="48">
                  <c:v>0.14901960784313725</c:v>
                </c:pt>
                <c:pt idx="49">
                  <c:v>0.14117647058823529</c:v>
                </c:pt>
                <c:pt idx="50">
                  <c:v>0.13333333333333333</c:v>
                </c:pt>
                <c:pt idx="51">
                  <c:v>0.13725490196078433</c:v>
                </c:pt>
                <c:pt idx="52">
                  <c:v>0.12549019607843137</c:v>
                </c:pt>
                <c:pt idx="53">
                  <c:v>0.12549019607843137</c:v>
                </c:pt>
                <c:pt idx="54">
                  <c:v>0.11764705882352941</c:v>
                </c:pt>
                <c:pt idx="55">
                  <c:v>0.12549019607843137</c:v>
                </c:pt>
                <c:pt idx="56">
                  <c:v>0.11372549019607843</c:v>
                </c:pt>
                <c:pt idx="57">
                  <c:v>0.10980392156862745</c:v>
                </c:pt>
                <c:pt idx="58">
                  <c:v>0.10980392156862745</c:v>
                </c:pt>
                <c:pt idx="59">
                  <c:v>0.10980392156862745</c:v>
                </c:pt>
                <c:pt idx="60">
                  <c:v>0.10588235294117647</c:v>
                </c:pt>
                <c:pt idx="61">
                  <c:v>0.10980392156862745</c:v>
                </c:pt>
                <c:pt idx="62">
                  <c:v>0.10980392156862745</c:v>
                </c:pt>
                <c:pt idx="63">
                  <c:v>0.11764705882352941</c:v>
                </c:pt>
                <c:pt idx="64">
                  <c:v>0.10980392156862745</c:v>
                </c:pt>
                <c:pt idx="65">
                  <c:v>0.10588235294117647</c:v>
                </c:pt>
                <c:pt idx="66">
                  <c:v>0.10588235294117647</c:v>
                </c:pt>
                <c:pt idx="67">
                  <c:v>0.10980392156862745</c:v>
                </c:pt>
                <c:pt idx="68">
                  <c:v>0.10588235294117647</c:v>
                </c:pt>
                <c:pt idx="69">
                  <c:v>0.10196078431372549</c:v>
                </c:pt>
                <c:pt idx="70">
                  <c:v>0.10196078431372549</c:v>
                </c:pt>
                <c:pt idx="71">
                  <c:v>0.10196078431372549</c:v>
                </c:pt>
                <c:pt idx="72">
                  <c:v>0.10196078431372549</c:v>
                </c:pt>
                <c:pt idx="73">
                  <c:v>0.10980392156862745</c:v>
                </c:pt>
                <c:pt idx="74">
                  <c:v>0.10196078431372549</c:v>
                </c:pt>
                <c:pt idx="75">
                  <c:v>0.10196078431372549</c:v>
                </c:pt>
                <c:pt idx="76">
                  <c:v>0.10196078431372549</c:v>
                </c:pt>
                <c:pt idx="77">
                  <c:v>0.10196078431372549</c:v>
                </c:pt>
                <c:pt idx="78">
                  <c:v>9.4117647058823528E-2</c:v>
                </c:pt>
                <c:pt idx="79">
                  <c:v>9.4117647058823528E-2</c:v>
                </c:pt>
                <c:pt idx="80">
                  <c:v>9.4117647058823528E-2</c:v>
                </c:pt>
              </c:numCache>
            </c:numRef>
          </c:yVal>
        </c:ser>
        <c:ser>
          <c:idx val="1"/>
          <c:order val="1"/>
          <c:tx>
            <c:strRef>
              <c:f>data2!$AA$1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data2!$AA$2:$AA$82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0.93725490196078431</c:v>
                </c:pt>
                <c:pt idx="13">
                  <c:v>0.81960784313725488</c:v>
                </c:pt>
                <c:pt idx="14">
                  <c:v>0.73333333333333328</c:v>
                </c:pt>
                <c:pt idx="15">
                  <c:v>0.66666666666666663</c:v>
                </c:pt>
                <c:pt idx="16">
                  <c:v>0.60784313725490191</c:v>
                </c:pt>
                <c:pt idx="17">
                  <c:v>0.55294117647058827</c:v>
                </c:pt>
                <c:pt idx="18">
                  <c:v>0.50196078431372548</c:v>
                </c:pt>
                <c:pt idx="19">
                  <c:v>0.46666666666666667</c:v>
                </c:pt>
                <c:pt idx="20">
                  <c:v>0.43137254901960786</c:v>
                </c:pt>
                <c:pt idx="21">
                  <c:v>0.40392156862745099</c:v>
                </c:pt>
                <c:pt idx="22">
                  <c:v>0.38039215686274508</c:v>
                </c:pt>
                <c:pt idx="23">
                  <c:v>0.35686274509803922</c:v>
                </c:pt>
                <c:pt idx="24">
                  <c:v>0.32549019607843138</c:v>
                </c:pt>
                <c:pt idx="25">
                  <c:v>0.31372549019607843</c:v>
                </c:pt>
                <c:pt idx="26">
                  <c:v>0.29019607843137257</c:v>
                </c:pt>
                <c:pt idx="27">
                  <c:v>0.28235294117647058</c:v>
                </c:pt>
                <c:pt idx="28">
                  <c:v>0.26666666666666666</c:v>
                </c:pt>
                <c:pt idx="29">
                  <c:v>0.25882352941176473</c:v>
                </c:pt>
                <c:pt idx="30">
                  <c:v>0.24705882352941178</c:v>
                </c:pt>
                <c:pt idx="31">
                  <c:v>0.23921568627450981</c:v>
                </c:pt>
                <c:pt idx="32">
                  <c:v>0.22745098039215686</c:v>
                </c:pt>
                <c:pt idx="33">
                  <c:v>0.2196078431372549</c:v>
                </c:pt>
                <c:pt idx="34">
                  <c:v>0.21568627450980393</c:v>
                </c:pt>
                <c:pt idx="35">
                  <c:v>0.20392156862745098</c:v>
                </c:pt>
                <c:pt idx="36">
                  <c:v>0.2</c:v>
                </c:pt>
                <c:pt idx="37">
                  <c:v>0.18823529411764706</c:v>
                </c:pt>
                <c:pt idx="38">
                  <c:v>0.18823529411764706</c:v>
                </c:pt>
                <c:pt idx="39">
                  <c:v>0.1803921568627451</c:v>
                </c:pt>
                <c:pt idx="40">
                  <c:v>0.17254901960784313</c:v>
                </c:pt>
                <c:pt idx="41">
                  <c:v>0.16862745098039217</c:v>
                </c:pt>
                <c:pt idx="42">
                  <c:v>0.16078431372549021</c:v>
                </c:pt>
                <c:pt idx="43">
                  <c:v>0.16078431372549021</c:v>
                </c:pt>
                <c:pt idx="44">
                  <c:v>0.15294117647058825</c:v>
                </c:pt>
                <c:pt idx="45">
                  <c:v>0.14901960784313725</c:v>
                </c:pt>
                <c:pt idx="46">
                  <c:v>0.14509803921568629</c:v>
                </c:pt>
                <c:pt idx="47">
                  <c:v>0.14509803921568629</c:v>
                </c:pt>
                <c:pt idx="48">
                  <c:v>0.14117647058823529</c:v>
                </c:pt>
                <c:pt idx="49">
                  <c:v>0.13725490196078433</c:v>
                </c:pt>
                <c:pt idx="50">
                  <c:v>0.14117647058823529</c:v>
                </c:pt>
                <c:pt idx="51">
                  <c:v>0.13333333333333333</c:v>
                </c:pt>
                <c:pt idx="52">
                  <c:v>0.13333333333333333</c:v>
                </c:pt>
                <c:pt idx="53">
                  <c:v>0.12549019607843137</c:v>
                </c:pt>
                <c:pt idx="54">
                  <c:v>0.12549019607843137</c:v>
                </c:pt>
                <c:pt idx="55">
                  <c:v>0.12549019607843137</c:v>
                </c:pt>
                <c:pt idx="56">
                  <c:v>0.12156862745098039</c:v>
                </c:pt>
                <c:pt idx="57">
                  <c:v>0.12156862745098039</c:v>
                </c:pt>
                <c:pt idx="58">
                  <c:v>0.11764705882352941</c:v>
                </c:pt>
                <c:pt idx="59">
                  <c:v>0.11764705882352941</c:v>
                </c:pt>
                <c:pt idx="60">
                  <c:v>0.11372549019607843</c:v>
                </c:pt>
                <c:pt idx="61">
                  <c:v>0.11764705882352941</c:v>
                </c:pt>
                <c:pt idx="62">
                  <c:v>0.12156862745098039</c:v>
                </c:pt>
                <c:pt idx="63">
                  <c:v>0.11764705882352941</c:v>
                </c:pt>
                <c:pt idx="64">
                  <c:v>0.11372549019607843</c:v>
                </c:pt>
                <c:pt idx="65">
                  <c:v>0.11764705882352941</c:v>
                </c:pt>
                <c:pt idx="66">
                  <c:v>0.11764705882352941</c:v>
                </c:pt>
                <c:pt idx="67">
                  <c:v>0.11372549019607843</c:v>
                </c:pt>
                <c:pt idx="68">
                  <c:v>0.10980392156862745</c:v>
                </c:pt>
                <c:pt idx="69">
                  <c:v>0.10980392156862745</c:v>
                </c:pt>
                <c:pt idx="70">
                  <c:v>0.10980392156862745</c:v>
                </c:pt>
                <c:pt idx="71">
                  <c:v>0.10980392156862745</c:v>
                </c:pt>
                <c:pt idx="72">
                  <c:v>0.10588235294117647</c:v>
                </c:pt>
                <c:pt idx="73">
                  <c:v>0.10980392156862745</c:v>
                </c:pt>
                <c:pt idx="74">
                  <c:v>0.10980392156862745</c:v>
                </c:pt>
                <c:pt idx="75">
                  <c:v>0.10588235294117647</c:v>
                </c:pt>
                <c:pt idx="76">
                  <c:v>0.10588235294117647</c:v>
                </c:pt>
                <c:pt idx="77">
                  <c:v>0.10980392156862745</c:v>
                </c:pt>
                <c:pt idx="78">
                  <c:v>0.10588235294117647</c:v>
                </c:pt>
                <c:pt idx="79">
                  <c:v>0.10196078431372549</c:v>
                </c:pt>
                <c:pt idx="80">
                  <c:v>0.10196078431372549</c:v>
                </c:pt>
              </c:numCache>
            </c:numRef>
          </c:yVal>
        </c:ser>
        <c:ser>
          <c:idx val="2"/>
          <c:order val="2"/>
          <c:tx>
            <c:strRef>
              <c:f>data2!$AB$1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data2!$AB$2:$AB$82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0.92941176470588238</c:v>
                </c:pt>
                <c:pt idx="13">
                  <c:v>0.81960784313725488</c:v>
                </c:pt>
                <c:pt idx="14">
                  <c:v>0.72941176470588232</c:v>
                </c:pt>
                <c:pt idx="15">
                  <c:v>0.6588235294117647</c:v>
                </c:pt>
                <c:pt idx="16">
                  <c:v>0.60392156862745094</c:v>
                </c:pt>
                <c:pt idx="17">
                  <c:v>0.5490196078431373</c:v>
                </c:pt>
                <c:pt idx="18">
                  <c:v>0.50588235294117645</c:v>
                </c:pt>
                <c:pt idx="19">
                  <c:v>0.46666666666666667</c:v>
                </c:pt>
                <c:pt idx="20">
                  <c:v>0.43529411764705883</c:v>
                </c:pt>
                <c:pt idx="21">
                  <c:v>0.40392156862745099</c:v>
                </c:pt>
                <c:pt idx="22">
                  <c:v>0.37254901960784315</c:v>
                </c:pt>
                <c:pt idx="23">
                  <c:v>0.35294117647058826</c:v>
                </c:pt>
                <c:pt idx="24">
                  <c:v>0.33333333333333331</c:v>
                </c:pt>
                <c:pt idx="25">
                  <c:v>0.30980392156862746</c:v>
                </c:pt>
                <c:pt idx="26">
                  <c:v>0.29019607843137257</c:v>
                </c:pt>
                <c:pt idx="27">
                  <c:v>0.27450980392156865</c:v>
                </c:pt>
                <c:pt idx="28">
                  <c:v>0.26666666666666666</c:v>
                </c:pt>
                <c:pt idx="29">
                  <c:v>0.25882352941176473</c:v>
                </c:pt>
                <c:pt idx="30">
                  <c:v>0.24313725490196078</c:v>
                </c:pt>
                <c:pt idx="31">
                  <c:v>0.23529411764705882</c:v>
                </c:pt>
                <c:pt idx="32">
                  <c:v>0.22745098039215686</c:v>
                </c:pt>
                <c:pt idx="33">
                  <c:v>0.21568627450980393</c:v>
                </c:pt>
                <c:pt idx="34">
                  <c:v>0.21176470588235294</c:v>
                </c:pt>
                <c:pt idx="35">
                  <c:v>0.20392156862745098</c:v>
                </c:pt>
                <c:pt idx="36">
                  <c:v>0.19607843137254902</c:v>
                </c:pt>
                <c:pt idx="37">
                  <c:v>0.19215686274509805</c:v>
                </c:pt>
                <c:pt idx="38">
                  <c:v>0.18823529411764706</c:v>
                </c:pt>
                <c:pt idx="39">
                  <c:v>0.17647058823529413</c:v>
                </c:pt>
                <c:pt idx="40">
                  <c:v>0.17647058823529413</c:v>
                </c:pt>
                <c:pt idx="41">
                  <c:v>0.16862745098039217</c:v>
                </c:pt>
                <c:pt idx="42">
                  <c:v>0.16470588235294117</c:v>
                </c:pt>
                <c:pt idx="43">
                  <c:v>0.15686274509803921</c:v>
                </c:pt>
                <c:pt idx="44">
                  <c:v>0.15294117647058825</c:v>
                </c:pt>
                <c:pt idx="45">
                  <c:v>0.14901960784313725</c:v>
                </c:pt>
                <c:pt idx="46">
                  <c:v>0.14117647058823529</c:v>
                </c:pt>
                <c:pt idx="47">
                  <c:v>0.14117647058823529</c:v>
                </c:pt>
                <c:pt idx="48">
                  <c:v>0.14117647058823529</c:v>
                </c:pt>
                <c:pt idx="49">
                  <c:v>0.14117647058823529</c:v>
                </c:pt>
                <c:pt idx="50">
                  <c:v>0.13333333333333333</c:v>
                </c:pt>
                <c:pt idx="51">
                  <c:v>0.13333333333333333</c:v>
                </c:pt>
                <c:pt idx="52">
                  <c:v>0.13333333333333333</c:v>
                </c:pt>
                <c:pt idx="53">
                  <c:v>0.12549019607843137</c:v>
                </c:pt>
                <c:pt idx="54">
                  <c:v>0.12156862745098039</c:v>
                </c:pt>
                <c:pt idx="55">
                  <c:v>0.11764705882352941</c:v>
                </c:pt>
                <c:pt idx="56">
                  <c:v>0.12549019607843137</c:v>
                </c:pt>
                <c:pt idx="57">
                  <c:v>0.11764705882352941</c:v>
                </c:pt>
                <c:pt idx="58">
                  <c:v>0.11764705882352941</c:v>
                </c:pt>
                <c:pt idx="59">
                  <c:v>0.12549019607843137</c:v>
                </c:pt>
                <c:pt idx="60">
                  <c:v>0.11764705882352941</c:v>
                </c:pt>
                <c:pt idx="61">
                  <c:v>0.11372549019607843</c:v>
                </c:pt>
                <c:pt idx="62">
                  <c:v>0.11372549019607843</c:v>
                </c:pt>
                <c:pt idx="63">
                  <c:v>0.10980392156862745</c:v>
                </c:pt>
                <c:pt idx="64">
                  <c:v>0.10980392156862745</c:v>
                </c:pt>
                <c:pt idx="65">
                  <c:v>0.10980392156862745</c:v>
                </c:pt>
                <c:pt idx="66">
                  <c:v>0.10588235294117647</c:v>
                </c:pt>
                <c:pt idx="67">
                  <c:v>0.10980392156862745</c:v>
                </c:pt>
                <c:pt idx="68">
                  <c:v>0.10980392156862745</c:v>
                </c:pt>
                <c:pt idx="69">
                  <c:v>0.10588235294117647</c:v>
                </c:pt>
                <c:pt idx="70">
                  <c:v>0.10196078431372549</c:v>
                </c:pt>
                <c:pt idx="71">
                  <c:v>0.10588235294117647</c:v>
                </c:pt>
                <c:pt idx="72">
                  <c:v>0.10196078431372549</c:v>
                </c:pt>
                <c:pt idx="73">
                  <c:v>0.10196078431372549</c:v>
                </c:pt>
                <c:pt idx="74">
                  <c:v>0.10196078431372549</c:v>
                </c:pt>
                <c:pt idx="75">
                  <c:v>0.10196078431372549</c:v>
                </c:pt>
                <c:pt idx="76">
                  <c:v>0.10196078431372549</c:v>
                </c:pt>
                <c:pt idx="77">
                  <c:v>0.10196078431372549</c:v>
                </c:pt>
                <c:pt idx="78">
                  <c:v>0.10588235294117647</c:v>
                </c:pt>
                <c:pt idx="79">
                  <c:v>0.10196078431372549</c:v>
                </c:pt>
                <c:pt idx="80">
                  <c:v>0.10196078431372549</c:v>
                </c:pt>
              </c:numCache>
            </c:numRef>
          </c:yVal>
        </c:ser>
        <c:ser>
          <c:idx val="3"/>
          <c:order val="3"/>
          <c:tx>
            <c:strRef>
              <c:f>data2!$AC$1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data2!$AC$2:$AC$82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0.92549019607843142</c:v>
                </c:pt>
                <c:pt idx="13">
                  <c:v>0.81960784313725488</c:v>
                </c:pt>
                <c:pt idx="14">
                  <c:v>0.73333333333333328</c:v>
                </c:pt>
                <c:pt idx="15">
                  <c:v>0.66666666666666663</c:v>
                </c:pt>
                <c:pt idx="16">
                  <c:v>0.61176470588235299</c:v>
                </c:pt>
                <c:pt idx="17">
                  <c:v>0.55686274509803924</c:v>
                </c:pt>
                <c:pt idx="18">
                  <c:v>0.50196078431372548</c:v>
                </c:pt>
                <c:pt idx="19">
                  <c:v>0.46274509803921571</c:v>
                </c:pt>
                <c:pt idx="20">
                  <c:v>0.43137254901960786</c:v>
                </c:pt>
                <c:pt idx="21">
                  <c:v>0.40784313725490196</c:v>
                </c:pt>
                <c:pt idx="22">
                  <c:v>0.37647058823529411</c:v>
                </c:pt>
                <c:pt idx="23">
                  <c:v>0.34901960784313724</c:v>
                </c:pt>
                <c:pt idx="24">
                  <c:v>0.32941176470588235</c:v>
                </c:pt>
                <c:pt idx="25">
                  <c:v>0.30980392156862746</c:v>
                </c:pt>
                <c:pt idx="26">
                  <c:v>0.29019607843137257</c:v>
                </c:pt>
                <c:pt idx="27">
                  <c:v>0.28235294117647058</c:v>
                </c:pt>
                <c:pt idx="28">
                  <c:v>0.27058823529411763</c:v>
                </c:pt>
                <c:pt idx="29">
                  <c:v>0.25882352941176473</c:v>
                </c:pt>
                <c:pt idx="30">
                  <c:v>0.24705882352941178</c:v>
                </c:pt>
                <c:pt idx="31">
                  <c:v>0.22745098039215686</c:v>
                </c:pt>
                <c:pt idx="32">
                  <c:v>0.2196078431372549</c:v>
                </c:pt>
                <c:pt idx="33">
                  <c:v>0.2196078431372549</c:v>
                </c:pt>
                <c:pt idx="34">
                  <c:v>0.2196078431372549</c:v>
                </c:pt>
                <c:pt idx="35">
                  <c:v>0.20392156862745098</c:v>
                </c:pt>
                <c:pt idx="36">
                  <c:v>0.19607843137254902</c:v>
                </c:pt>
                <c:pt idx="37">
                  <c:v>0.19215686274509805</c:v>
                </c:pt>
                <c:pt idx="38">
                  <c:v>0.1803921568627451</c:v>
                </c:pt>
                <c:pt idx="39">
                  <c:v>0.1803921568627451</c:v>
                </c:pt>
                <c:pt idx="40">
                  <c:v>0.16862745098039217</c:v>
                </c:pt>
                <c:pt idx="41">
                  <c:v>0.15686274509803921</c:v>
                </c:pt>
                <c:pt idx="42">
                  <c:v>0.16470588235294117</c:v>
                </c:pt>
                <c:pt idx="43">
                  <c:v>0.14901960784313725</c:v>
                </c:pt>
                <c:pt idx="44">
                  <c:v>0.14901960784313725</c:v>
                </c:pt>
                <c:pt idx="45">
                  <c:v>0.14901960784313725</c:v>
                </c:pt>
                <c:pt idx="46">
                  <c:v>0.14509803921568629</c:v>
                </c:pt>
                <c:pt idx="47">
                  <c:v>0.13725490196078433</c:v>
                </c:pt>
                <c:pt idx="48">
                  <c:v>0.14117647058823529</c:v>
                </c:pt>
                <c:pt idx="49">
                  <c:v>0.13725490196078433</c:v>
                </c:pt>
                <c:pt idx="50">
                  <c:v>0.13725490196078433</c:v>
                </c:pt>
                <c:pt idx="51">
                  <c:v>0.13725490196078433</c:v>
                </c:pt>
                <c:pt idx="52">
                  <c:v>0.13333333333333333</c:v>
                </c:pt>
                <c:pt idx="53">
                  <c:v>0.13333333333333333</c:v>
                </c:pt>
                <c:pt idx="54">
                  <c:v>0.12549019607843137</c:v>
                </c:pt>
                <c:pt idx="55">
                  <c:v>0.12549019607843137</c:v>
                </c:pt>
                <c:pt idx="56">
                  <c:v>0.12549019607843137</c:v>
                </c:pt>
                <c:pt idx="57">
                  <c:v>0.11764705882352941</c:v>
                </c:pt>
                <c:pt idx="58">
                  <c:v>0.11764705882352941</c:v>
                </c:pt>
                <c:pt idx="59">
                  <c:v>0.10980392156862745</c:v>
                </c:pt>
                <c:pt idx="60">
                  <c:v>0.10980392156862745</c:v>
                </c:pt>
                <c:pt idx="61">
                  <c:v>0.10980392156862745</c:v>
                </c:pt>
                <c:pt idx="62">
                  <c:v>0.10196078431372549</c:v>
                </c:pt>
                <c:pt idx="63">
                  <c:v>0.10980392156862745</c:v>
                </c:pt>
                <c:pt idx="64">
                  <c:v>0.10196078431372549</c:v>
                </c:pt>
                <c:pt idx="65">
                  <c:v>0.10196078431372549</c:v>
                </c:pt>
                <c:pt idx="66">
                  <c:v>0.10588235294117647</c:v>
                </c:pt>
                <c:pt idx="67">
                  <c:v>0.10980392156862745</c:v>
                </c:pt>
                <c:pt idx="68">
                  <c:v>0.10196078431372549</c:v>
                </c:pt>
                <c:pt idx="69">
                  <c:v>0.10196078431372549</c:v>
                </c:pt>
                <c:pt idx="70">
                  <c:v>0.10588235294117647</c:v>
                </c:pt>
                <c:pt idx="71">
                  <c:v>0.10196078431372549</c:v>
                </c:pt>
                <c:pt idx="72">
                  <c:v>0.10196078431372549</c:v>
                </c:pt>
                <c:pt idx="73">
                  <c:v>0.10980392156862745</c:v>
                </c:pt>
                <c:pt idx="74">
                  <c:v>0.10196078431372549</c:v>
                </c:pt>
                <c:pt idx="75">
                  <c:v>0.10196078431372549</c:v>
                </c:pt>
                <c:pt idx="76">
                  <c:v>0.10196078431372549</c:v>
                </c:pt>
                <c:pt idx="77">
                  <c:v>0.10196078431372549</c:v>
                </c:pt>
                <c:pt idx="78">
                  <c:v>0.10196078431372549</c:v>
                </c:pt>
                <c:pt idx="79">
                  <c:v>0.10196078431372549</c:v>
                </c:pt>
                <c:pt idx="80">
                  <c:v>0.10196078431372549</c:v>
                </c:pt>
              </c:numCache>
            </c:numRef>
          </c:yVal>
        </c:ser>
        <c:ser>
          <c:idx val="4"/>
          <c:order val="4"/>
          <c:tx>
            <c:strRef>
              <c:f>data2!$AD$1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data2!$AD$2:$AD$82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0.92941176470588238</c:v>
                </c:pt>
                <c:pt idx="13">
                  <c:v>0.81960784313725488</c:v>
                </c:pt>
                <c:pt idx="14">
                  <c:v>0.74117647058823533</c:v>
                </c:pt>
                <c:pt idx="15">
                  <c:v>0.67450980392156867</c:v>
                </c:pt>
                <c:pt idx="16">
                  <c:v>0.60784313725490191</c:v>
                </c:pt>
                <c:pt idx="17">
                  <c:v>0.5490196078431373</c:v>
                </c:pt>
                <c:pt idx="18">
                  <c:v>0.50196078431372548</c:v>
                </c:pt>
                <c:pt idx="19">
                  <c:v>0.47058823529411764</c:v>
                </c:pt>
                <c:pt idx="20">
                  <c:v>0.43529411764705883</c:v>
                </c:pt>
                <c:pt idx="21">
                  <c:v>0.40392156862745099</c:v>
                </c:pt>
                <c:pt idx="22">
                  <c:v>0.37254901960784315</c:v>
                </c:pt>
                <c:pt idx="23">
                  <c:v>0.35294117647058826</c:v>
                </c:pt>
                <c:pt idx="24">
                  <c:v>0.33333333333333331</c:v>
                </c:pt>
                <c:pt idx="25">
                  <c:v>0.31764705882352939</c:v>
                </c:pt>
                <c:pt idx="26">
                  <c:v>0.29411764705882354</c:v>
                </c:pt>
                <c:pt idx="27">
                  <c:v>0.28235294117647058</c:v>
                </c:pt>
                <c:pt idx="28">
                  <c:v>0.26666666666666666</c:v>
                </c:pt>
                <c:pt idx="29">
                  <c:v>0.25882352941176473</c:v>
                </c:pt>
                <c:pt idx="30">
                  <c:v>0.24705882352941178</c:v>
                </c:pt>
                <c:pt idx="31">
                  <c:v>0.23921568627450981</c:v>
                </c:pt>
                <c:pt idx="32">
                  <c:v>0.22745098039215686</c:v>
                </c:pt>
                <c:pt idx="33">
                  <c:v>0.22745098039215686</c:v>
                </c:pt>
                <c:pt idx="34">
                  <c:v>0.21568627450980393</c:v>
                </c:pt>
                <c:pt idx="35">
                  <c:v>0.21176470588235294</c:v>
                </c:pt>
                <c:pt idx="36">
                  <c:v>0.2</c:v>
                </c:pt>
                <c:pt idx="37">
                  <c:v>0.19607843137254902</c:v>
                </c:pt>
                <c:pt idx="38">
                  <c:v>0.18823529411764706</c:v>
                </c:pt>
                <c:pt idx="39">
                  <c:v>0.17647058823529413</c:v>
                </c:pt>
                <c:pt idx="40">
                  <c:v>0.17254901960784313</c:v>
                </c:pt>
                <c:pt idx="41">
                  <c:v>0.17254901960784313</c:v>
                </c:pt>
                <c:pt idx="42">
                  <c:v>0.16470588235294117</c:v>
                </c:pt>
                <c:pt idx="43">
                  <c:v>0.16078431372549021</c:v>
                </c:pt>
                <c:pt idx="44">
                  <c:v>0.15686274509803921</c:v>
                </c:pt>
                <c:pt idx="45">
                  <c:v>0.15686274509803921</c:v>
                </c:pt>
                <c:pt idx="46">
                  <c:v>0.15686274509803921</c:v>
                </c:pt>
                <c:pt idx="47">
                  <c:v>0.15686274509803921</c:v>
                </c:pt>
                <c:pt idx="48">
                  <c:v>0.14901960784313725</c:v>
                </c:pt>
                <c:pt idx="49">
                  <c:v>0.14117647058823529</c:v>
                </c:pt>
                <c:pt idx="50">
                  <c:v>0.14509803921568629</c:v>
                </c:pt>
                <c:pt idx="51">
                  <c:v>0.13333333333333333</c:v>
                </c:pt>
                <c:pt idx="52">
                  <c:v>0.13333333333333333</c:v>
                </c:pt>
                <c:pt idx="53">
                  <c:v>0.12941176470588237</c:v>
                </c:pt>
                <c:pt idx="54">
                  <c:v>0.13333333333333333</c:v>
                </c:pt>
                <c:pt idx="55">
                  <c:v>0.13333333333333333</c:v>
                </c:pt>
                <c:pt idx="56">
                  <c:v>0.12549019607843137</c:v>
                </c:pt>
                <c:pt idx="57">
                  <c:v>0.12941176470588237</c:v>
                </c:pt>
                <c:pt idx="58">
                  <c:v>0.12549019607843137</c:v>
                </c:pt>
                <c:pt idx="59">
                  <c:v>0.12549019607843137</c:v>
                </c:pt>
                <c:pt idx="60">
                  <c:v>0.12549019607843137</c:v>
                </c:pt>
                <c:pt idx="61">
                  <c:v>0.11764705882352941</c:v>
                </c:pt>
                <c:pt idx="62">
                  <c:v>0.11764705882352941</c:v>
                </c:pt>
                <c:pt idx="63">
                  <c:v>0.11764705882352941</c:v>
                </c:pt>
                <c:pt idx="64">
                  <c:v>0.11764705882352941</c:v>
                </c:pt>
                <c:pt idx="65">
                  <c:v>0.10980392156862745</c:v>
                </c:pt>
                <c:pt idx="66">
                  <c:v>0.11372549019607843</c:v>
                </c:pt>
                <c:pt idx="67">
                  <c:v>0.10588235294117647</c:v>
                </c:pt>
                <c:pt idx="68">
                  <c:v>0.10588235294117647</c:v>
                </c:pt>
                <c:pt idx="69">
                  <c:v>0.10196078431372549</c:v>
                </c:pt>
                <c:pt idx="70">
                  <c:v>0.10196078431372549</c:v>
                </c:pt>
                <c:pt idx="71">
                  <c:v>0.10588235294117647</c:v>
                </c:pt>
                <c:pt idx="72">
                  <c:v>0.10196078431372549</c:v>
                </c:pt>
                <c:pt idx="73">
                  <c:v>0.10196078431372549</c:v>
                </c:pt>
                <c:pt idx="74">
                  <c:v>0.10196078431372549</c:v>
                </c:pt>
                <c:pt idx="75">
                  <c:v>0.10588235294117647</c:v>
                </c:pt>
                <c:pt idx="76">
                  <c:v>0.10196078431372549</c:v>
                </c:pt>
                <c:pt idx="77">
                  <c:v>0.10980392156862745</c:v>
                </c:pt>
                <c:pt idx="78">
                  <c:v>0.10588235294117647</c:v>
                </c:pt>
                <c:pt idx="79">
                  <c:v>9.8039215686274508E-2</c:v>
                </c:pt>
                <c:pt idx="80">
                  <c:v>0.10196078431372549</c:v>
                </c:pt>
              </c:numCache>
            </c:numRef>
          </c:yVal>
        </c:ser>
        <c:ser>
          <c:idx val="5"/>
          <c:order val="5"/>
          <c:tx>
            <c:strRef>
              <c:f>data2!$AE$1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data2!$AE$2:$AE$82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0.92941176470588238</c:v>
                </c:pt>
                <c:pt idx="13">
                  <c:v>0.81960784313725488</c:v>
                </c:pt>
                <c:pt idx="14">
                  <c:v>0.74117647058823533</c:v>
                </c:pt>
                <c:pt idx="15">
                  <c:v>0.6705882352941176</c:v>
                </c:pt>
                <c:pt idx="16">
                  <c:v>0.60784313725490191</c:v>
                </c:pt>
                <c:pt idx="17">
                  <c:v>0.5490196078431373</c:v>
                </c:pt>
                <c:pt idx="18">
                  <c:v>0.50588235294117645</c:v>
                </c:pt>
                <c:pt idx="19">
                  <c:v>0.46666666666666667</c:v>
                </c:pt>
                <c:pt idx="20">
                  <c:v>0.42745098039215684</c:v>
                </c:pt>
                <c:pt idx="21">
                  <c:v>0.40392156862745099</c:v>
                </c:pt>
                <c:pt idx="22">
                  <c:v>0.36862745098039218</c:v>
                </c:pt>
                <c:pt idx="23">
                  <c:v>0.35294117647058826</c:v>
                </c:pt>
                <c:pt idx="24">
                  <c:v>0.32941176470588235</c:v>
                </c:pt>
                <c:pt idx="25">
                  <c:v>0.30980392156862746</c:v>
                </c:pt>
                <c:pt idx="26">
                  <c:v>0.29411764705882354</c:v>
                </c:pt>
                <c:pt idx="27">
                  <c:v>0.28627450980392155</c:v>
                </c:pt>
                <c:pt idx="28">
                  <c:v>0.26666666666666666</c:v>
                </c:pt>
                <c:pt idx="29">
                  <c:v>0.25490196078431371</c:v>
                </c:pt>
                <c:pt idx="30">
                  <c:v>0.24313725490196078</c:v>
                </c:pt>
                <c:pt idx="31">
                  <c:v>0.23529411764705882</c:v>
                </c:pt>
                <c:pt idx="32">
                  <c:v>0.22745098039215686</c:v>
                </c:pt>
                <c:pt idx="33">
                  <c:v>0.21176470588235294</c:v>
                </c:pt>
                <c:pt idx="34">
                  <c:v>0.20392156862745098</c:v>
                </c:pt>
                <c:pt idx="35">
                  <c:v>0.20392156862745098</c:v>
                </c:pt>
                <c:pt idx="36">
                  <c:v>0.18823529411764706</c:v>
                </c:pt>
                <c:pt idx="37">
                  <c:v>0.18431372549019609</c:v>
                </c:pt>
                <c:pt idx="38">
                  <c:v>0.1803921568627451</c:v>
                </c:pt>
                <c:pt idx="39">
                  <c:v>0.17647058823529413</c:v>
                </c:pt>
                <c:pt idx="40">
                  <c:v>0.17254901960784313</c:v>
                </c:pt>
                <c:pt idx="41">
                  <c:v>0.16862745098039217</c:v>
                </c:pt>
                <c:pt idx="42">
                  <c:v>0.16470588235294117</c:v>
                </c:pt>
                <c:pt idx="43">
                  <c:v>0.16470588235294117</c:v>
                </c:pt>
                <c:pt idx="44">
                  <c:v>0.15686274509803921</c:v>
                </c:pt>
                <c:pt idx="45">
                  <c:v>0.14901960784313725</c:v>
                </c:pt>
                <c:pt idx="46">
                  <c:v>0.14901960784313725</c:v>
                </c:pt>
                <c:pt idx="47">
                  <c:v>0.14901960784313725</c:v>
                </c:pt>
                <c:pt idx="48">
                  <c:v>0.14117647058823529</c:v>
                </c:pt>
                <c:pt idx="49">
                  <c:v>0.14117647058823529</c:v>
                </c:pt>
                <c:pt idx="50">
                  <c:v>0.14117647058823529</c:v>
                </c:pt>
                <c:pt idx="51">
                  <c:v>0.13333333333333333</c:v>
                </c:pt>
                <c:pt idx="52">
                  <c:v>0.12941176470588237</c:v>
                </c:pt>
                <c:pt idx="53">
                  <c:v>0.12549019607843137</c:v>
                </c:pt>
                <c:pt idx="54">
                  <c:v>0.12549019607843137</c:v>
                </c:pt>
                <c:pt idx="55">
                  <c:v>0.12156862745098039</c:v>
                </c:pt>
                <c:pt idx="56">
                  <c:v>0.12549019607843137</c:v>
                </c:pt>
                <c:pt idx="57">
                  <c:v>0.11764705882352941</c:v>
                </c:pt>
                <c:pt idx="58">
                  <c:v>0.11764705882352941</c:v>
                </c:pt>
                <c:pt idx="59">
                  <c:v>0.11372549019607843</c:v>
                </c:pt>
                <c:pt idx="60">
                  <c:v>0.11372549019607843</c:v>
                </c:pt>
                <c:pt idx="61">
                  <c:v>0.10980392156862745</c:v>
                </c:pt>
                <c:pt idx="62">
                  <c:v>0.10980392156862745</c:v>
                </c:pt>
                <c:pt idx="63">
                  <c:v>0.11372549019607843</c:v>
                </c:pt>
                <c:pt idx="64">
                  <c:v>0.10980392156862745</c:v>
                </c:pt>
                <c:pt idx="65">
                  <c:v>0.10980392156862745</c:v>
                </c:pt>
                <c:pt idx="66">
                  <c:v>0.10196078431372549</c:v>
                </c:pt>
                <c:pt idx="67">
                  <c:v>0.10980392156862745</c:v>
                </c:pt>
                <c:pt idx="68">
                  <c:v>0.10980392156862745</c:v>
                </c:pt>
                <c:pt idx="69">
                  <c:v>0.10196078431372549</c:v>
                </c:pt>
                <c:pt idx="70">
                  <c:v>0.10196078431372549</c:v>
                </c:pt>
                <c:pt idx="71">
                  <c:v>0.10196078431372549</c:v>
                </c:pt>
                <c:pt idx="72">
                  <c:v>0.10196078431372549</c:v>
                </c:pt>
                <c:pt idx="73">
                  <c:v>0.10980392156862745</c:v>
                </c:pt>
                <c:pt idx="74">
                  <c:v>9.8039215686274508E-2</c:v>
                </c:pt>
                <c:pt idx="75">
                  <c:v>9.4117647058823528E-2</c:v>
                </c:pt>
                <c:pt idx="76">
                  <c:v>0.10196078431372549</c:v>
                </c:pt>
                <c:pt idx="77">
                  <c:v>9.8039215686274508E-2</c:v>
                </c:pt>
                <c:pt idx="78">
                  <c:v>0.10196078431372549</c:v>
                </c:pt>
                <c:pt idx="79">
                  <c:v>9.4117647058823528E-2</c:v>
                </c:pt>
                <c:pt idx="80">
                  <c:v>9.4117647058823528E-2</c:v>
                </c:pt>
              </c:numCache>
            </c:numRef>
          </c:yVal>
        </c:ser>
        <c:ser>
          <c:idx val="6"/>
          <c:order val="6"/>
          <c:tx>
            <c:strRef>
              <c:f>data2!$AF$1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data2!$AF$2:$AF$82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0.94117647058823528</c:v>
                </c:pt>
                <c:pt idx="13">
                  <c:v>0.83529411764705885</c:v>
                </c:pt>
                <c:pt idx="14">
                  <c:v>0.74509803921568629</c:v>
                </c:pt>
                <c:pt idx="15">
                  <c:v>0.67450980392156867</c:v>
                </c:pt>
                <c:pt idx="16">
                  <c:v>0.62352941176470589</c:v>
                </c:pt>
                <c:pt idx="17">
                  <c:v>0.5607843137254902</c:v>
                </c:pt>
                <c:pt idx="18">
                  <c:v>0.51372549019607838</c:v>
                </c:pt>
                <c:pt idx="19">
                  <c:v>0.47450980392156861</c:v>
                </c:pt>
                <c:pt idx="20">
                  <c:v>0.43529411764705883</c:v>
                </c:pt>
                <c:pt idx="21">
                  <c:v>0.41176470588235292</c:v>
                </c:pt>
                <c:pt idx="22">
                  <c:v>0.38039215686274508</c:v>
                </c:pt>
                <c:pt idx="23">
                  <c:v>0.36862745098039218</c:v>
                </c:pt>
                <c:pt idx="24">
                  <c:v>0.33725490196078434</c:v>
                </c:pt>
                <c:pt idx="25">
                  <c:v>0.31372549019607843</c:v>
                </c:pt>
                <c:pt idx="26">
                  <c:v>0.29803921568627451</c:v>
                </c:pt>
                <c:pt idx="27">
                  <c:v>0.28235294117647058</c:v>
                </c:pt>
                <c:pt idx="28">
                  <c:v>0.27450980392156865</c:v>
                </c:pt>
                <c:pt idx="29">
                  <c:v>0.25882352941176473</c:v>
                </c:pt>
                <c:pt idx="30">
                  <c:v>0.24705882352941178</c:v>
                </c:pt>
                <c:pt idx="31">
                  <c:v>0.23529411764705882</c:v>
                </c:pt>
                <c:pt idx="32">
                  <c:v>0.22745098039215686</c:v>
                </c:pt>
                <c:pt idx="33">
                  <c:v>0.21176470588235294</c:v>
                </c:pt>
                <c:pt idx="34">
                  <c:v>0.21176470588235294</c:v>
                </c:pt>
                <c:pt idx="35">
                  <c:v>0.20392156862745098</c:v>
                </c:pt>
                <c:pt idx="36">
                  <c:v>0.2</c:v>
                </c:pt>
                <c:pt idx="37">
                  <c:v>0.18823529411764706</c:v>
                </c:pt>
                <c:pt idx="38">
                  <c:v>0.1803921568627451</c:v>
                </c:pt>
                <c:pt idx="39">
                  <c:v>0.17254901960784313</c:v>
                </c:pt>
                <c:pt idx="40">
                  <c:v>0.16470588235294117</c:v>
                </c:pt>
                <c:pt idx="41">
                  <c:v>0.16470588235294117</c:v>
                </c:pt>
                <c:pt idx="42">
                  <c:v>0.15686274509803921</c:v>
                </c:pt>
                <c:pt idx="43">
                  <c:v>0.15686274509803921</c:v>
                </c:pt>
                <c:pt idx="44">
                  <c:v>0.14901960784313725</c:v>
                </c:pt>
                <c:pt idx="45">
                  <c:v>0.14901960784313725</c:v>
                </c:pt>
                <c:pt idx="46">
                  <c:v>0.14901960784313725</c:v>
                </c:pt>
                <c:pt idx="47">
                  <c:v>0.14117647058823529</c:v>
                </c:pt>
                <c:pt idx="48">
                  <c:v>0.14117647058823529</c:v>
                </c:pt>
                <c:pt idx="49">
                  <c:v>0.13333333333333333</c:v>
                </c:pt>
                <c:pt idx="50">
                  <c:v>0.13725490196078433</c:v>
                </c:pt>
                <c:pt idx="51">
                  <c:v>0.12941176470588237</c:v>
                </c:pt>
                <c:pt idx="52">
                  <c:v>0.12941176470588237</c:v>
                </c:pt>
                <c:pt idx="53">
                  <c:v>0.12549019607843137</c:v>
                </c:pt>
                <c:pt idx="54">
                  <c:v>0.12549019607843137</c:v>
                </c:pt>
                <c:pt idx="55">
                  <c:v>0.11764705882352941</c:v>
                </c:pt>
                <c:pt idx="56">
                  <c:v>0.11764705882352941</c:v>
                </c:pt>
                <c:pt idx="57">
                  <c:v>0.11372549019607843</c:v>
                </c:pt>
                <c:pt idx="58">
                  <c:v>0.11372549019607843</c:v>
                </c:pt>
                <c:pt idx="59">
                  <c:v>0.10980392156862745</c:v>
                </c:pt>
                <c:pt idx="60">
                  <c:v>0.10196078431372549</c:v>
                </c:pt>
                <c:pt idx="61">
                  <c:v>0.10196078431372549</c:v>
                </c:pt>
                <c:pt idx="62">
                  <c:v>0.10980392156862745</c:v>
                </c:pt>
                <c:pt idx="63">
                  <c:v>0.10980392156862745</c:v>
                </c:pt>
                <c:pt idx="64">
                  <c:v>0.10196078431372549</c:v>
                </c:pt>
                <c:pt idx="65">
                  <c:v>0.10980392156862745</c:v>
                </c:pt>
                <c:pt idx="66">
                  <c:v>0.10980392156862745</c:v>
                </c:pt>
                <c:pt idx="67">
                  <c:v>0.10588235294117647</c:v>
                </c:pt>
                <c:pt idx="68">
                  <c:v>0.10980392156862745</c:v>
                </c:pt>
                <c:pt idx="69">
                  <c:v>0.10588235294117647</c:v>
                </c:pt>
                <c:pt idx="70">
                  <c:v>0.10588235294117647</c:v>
                </c:pt>
                <c:pt idx="71">
                  <c:v>0.10196078431372549</c:v>
                </c:pt>
                <c:pt idx="72">
                  <c:v>0.10196078431372549</c:v>
                </c:pt>
                <c:pt idx="73">
                  <c:v>0.10588235294117647</c:v>
                </c:pt>
                <c:pt idx="74">
                  <c:v>0.10196078431372549</c:v>
                </c:pt>
                <c:pt idx="75">
                  <c:v>9.0196078431372548E-2</c:v>
                </c:pt>
                <c:pt idx="76">
                  <c:v>9.0196078431372548E-2</c:v>
                </c:pt>
                <c:pt idx="77">
                  <c:v>9.4117647058823528E-2</c:v>
                </c:pt>
                <c:pt idx="78">
                  <c:v>8.6274509803921567E-2</c:v>
                </c:pt>
                <c:pt idx="79">
                  <c:v>8.6274509803921567E-2</c:v>
                </c:pt>
                <c:pt idx="80">
                  <c:v>8.2352941176470587E-2</c:v>
                </c:pt>
              </c:numCache>
            </c:numRef>
          </c:yVal>
        </c:ser>
        <c:ser>
          <c:idx val="7"/>
          <c:order val="7"/>
          <c:tx>
            <c:strRef>
              <c:f>data2!$AG$1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data2!$AG$2:$AG$82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0.92941176470588238</c:v>
                </c:pt>
                <c:pt idx="13">
                  <c:v>0.81960784313725488</c:v>
                </c:pt>
                <c:pt idx="14">
                  <c:v>0.72941176470588232</c:v>
                </c:pt>
                <c:pt idx="15">
                  <c:v>0.6588235294117647</c:v>
                </c:pt>
                <c:pt idx="16">
                  <c:v>0.6</c:v>
                </c:pt>
                <c:pt idx="17">
                  <c:v>0.5490196078431373</c:v>
                </c:pt>
                <c:pt idx="18">
                  <c:v>0.49803921568627452</c:v>
                </c:pt>
                <c:pt idx="19">
                  <c:v>0.46666666666666667</c:v>
                </c:pt>
                <c:pt idx="20">
                  <c:v>0.42745098039215684</c:v>
                </c:pt>
                <c:pt idx="21">
                  <c:v>0.39215686274509803</c:v>
                </c:pt>
                <c:pt idx="22">
                  <c:v>0.37254901960784315</c:v>
                </c:pt>
                <c:pt idx="23">
                  <c:v>0.3411764705882353</c:v>
                </c:pt>
                <c:pt idx="24">
                  <c:v>0.32549019607843138</c:v>
                </c:pt>
                <c:pt idx="25">
                  <c:v>0.31372549019607843</c:v>
                </c:pt>
                <c:pt idx="26">
                  <c:v>0.29019607843137257</c:v>
                </c:pt>
                <c:pt idx="27">
                  <c:v>0.28235294117647058</c:v>
                </c:pt>
                <c:pt idx="28">
                  <c:v>0.26666666666666666</c:v>
                </c:pt>
                <c:pt idx="29">
                  <c:v>0.25882352941176473</c:v>
                </c:pt>
                <c:pt idx="30">
                  <c:v>0.25098039215686274</c:v>
                </c:pt>
                <c:pt idx="31">
                  <c:v>0.23529411764705882</c:v>
                </c:pt>
                <c:pt idx="32">
                  <c:v>0.22745098039215686</c:v>
                </c:pt>
                <c:pt idx="33">
                  <c:v>0.21176470588235294</c:v>
                </c:pt>
                <c:pt idx="34">
                  <c:v>0.20784313725490197</c:v>
                </c:pt>
                <c:pt idx="35">
                  <c:v>0.19607843137254902</c:v>
                </c:pt>
                <c:pt idx="36">
                  <c:v>0.19607843137254902</c:v>
                </c:pt>
                <c:pt idx="37">
                  <c:v>0.18823529411764706</c:v>
                </c:pt>
                <c:pt idx="38">
                  <c:v>0.18823529411764706</c:v>
                </c:pt>
                <c:pt idx="39">
                  <c:v>0.1803921568627451</c:v>
                </c:pt>
                <c:pt idx="40">
                  <c:v>0.17254901960784313</c:v>
                </c:pt>
                <c:pt idx="41">
                  <c:v>0.16470588235294117</c:v>
                </c:pt>
                <c:pt idx="42">
                  <c:v>0.16078431372549021</c:v>
                </c:pt>
                <c:pt idx="43">
                  <c:v>0.16078431372549021</c:v>
                </c:pt>
                <c:pt idx="44">
                  <c:v>0.15686274509803921</c:v>
                </c:pt>
                <c:pt idx="45">
                  <c:v>0.14901960784313725</c:v>
                </c:pt>
                <c:pt idx="46">
                  <c:v>0.14117647058823529</c:v>
                </c:pt>
                <c:pt idx="47">
                  <c:v>0.14117647058823529</c:v>
                </c:pt>
                <c:pt idx="48">
                  <c:v>0.14117647058823529</c:v>
                </c:pt>
                <c:pt idx="49">
                  <c:v>0.14117647058823529</c:v>
                </c:pt>
                <c:pt idx="50">
                  <c:v>0.13725490196078433</c:v>
                </c:pt>
                <c:pt idx="51">
                  <c:v>0.14117647058823529</c:v>
                </c:pt>
                <c:pt idx="52">
                  <c:v>0.12549019607843137</c:v>
                </c:pt>
                <c:pt idx="53">
                  <c:v>0.12941176470588237</c:v>
                </c:pt>
                <c:pt idx="54">
                  <c:v>0.12549019607843137</c:v>
                </c:pt>
                <c:pt idx="55">
                  <c:v>0.12549019607843137</c:v>
                </c:pt>
                <c:pt idx="56">
                  <c:v>0.12549019607843137</c:v>
                </c:pt>
                <c:pt idx="57">
                  <c:v>0.12156862745098039</c:v>
                </c:pt>
                <c:pt idx="58">
                  <c:v>0.11764705882352941</c:v>
                </c:pt>
                <c:pt idx="59">
                  <c:v>0.11764705882352941</c:v>
                </c:pt>
                <c:pt idx="60">
                  <c:v>0.11764705882352941</c:v>
                </c:pt>
                <c:pt idx="61">
                  <c:v>0.11764705882352941</c:v>
                </c:pt>
                <c:pt idx="62">
                  <c:v>0.11372549019607843</c:v>
                </c:pt>
                <c:pt idx="63">
                  <c:v>0.11764705882352941</c:v>
                </c:pt>
                <c:pt idx="64">
                  <c:v>0.11764705882352941</c:v>
                </c:pt>
                <c:pt idx="65">
                  <c:v>0.10980392156862745</c:v>
                </c:pt>
                <c:pt idx="66">
                  <c:v>0.11372549019607843</c:v>
                </c:pt>
                <c:pt idx="67">
                  <c:v>0.10588235294117647</c:v>
                </c:pt>
                <c:pt idx="68">
                  <c:v>0.10980392156862745</c:v>
                </c:pt>
                <c:pt idx="69">
                  <c:v>0.10196078431372549</c:v>
                </c:pt>
                <c:pt idx="70">
                  <c:v>0.10196078431372549</c:v>
                </c:pt>
                <c:pt idx="71">
                  <c:v>0.10196078431372549</c:v>
                </c:pt>
                <c:pt idx="72">
                  <c:v>0.10588235294117647</c:v>
                </c:pt>
                <c:pt idx="73">
                  <c:v>0.10980392156862745</c:v>
                </c:pt>
                <c:pt idx="74">
                  <c:v>0.10196078431372549</c:v>
                </c:pt>
                <c:pt idx="75">
                  <c:v>9.8039215686274508E-2</c:v>
                </c:pt>
                <c:pt idx="76">
                  <c:v>9.4117647058823528E-2</c:v>
                </c:pt>
                <c:pt idx="77">
                  <c:v>9.8039215686274508E-2</c:v>
                </c:pt>
                <c:pt idx="78">
                  <c:v>9.4117647058823528E-2</c:v>
                </c:pt>
                <c:pt idx="79">
                  <c:v>9.4117647058823528E-2</c:v>
                </c:pt>
                <c:pt idx="80">
                  <c:v>9.4117647058823528E-2</c:v>
                </c:pt>
              </c:numCache>
            </c:numRef>
          </c:yVal>
        </c:ser>
        <c:axId val="136676480"/>
        <c:axId val="136678016"/>
      </c:scatterChart>
      <c:valAx>
        <c:axId val="136676480"/>
        <c:scaling>
          <c:orientation val="minMax"/>
          <c:min val="0"/>
        </c:scaling>
        <c:axPos val="b"/>
        <c:numFmt formatCode="0.0" sourceLinked="1"/>
        <c:tickLblPos val="nextTo"/>
        <c:crossAx val="136678016"/>
        <c:crosses val="autoZero"/>
        <c:crossBetween val="midCat"/>
      </c:valAx>
      <c:valAx>
        <c:axId val="136678016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3667648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data3!$B$2:$B$82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0.97254901960784312</c:v>
                </c:pt>
                <c:pt idx="12">
                  <c:v>0.87058823529411766</c:v>
                </c:pt>
                <c:pt idx="13">
                  <c:v>0.77254901960784317</c:v>
                </c:pt>
                <c:pt idx="14">
                  <c:v>0.69411764705882351</c:v>
                </c:pt>
                <c:pt idx="15">
                  <c:v>0.63921568627450975</c:v>
                </c:pt>
                <c:pt idx="16">
                  <c:v>0.59215686274509804</c:v>
                </c:pt>
                <c:pt idx="17">
                  <c:v>0.5490196078431373</c:v>
                </c:pt>
                <c:pt idx="18">
                  <c:v>0.50196078431372548</c:v>
                </c:pt>
                <c:pt idx="19">
                  <c:v>0.47058823529411764</c:v>
                </c:pt>
                <c:pt idx="20">
                  <c:v>0.4392156862745098</c:v>
                </c:pt>
                <c:pt idx="21">
                  <c:v>0.41568627450980394</c:v>
                </c:pt>
                <c:pt idx="22">
                  <c:v>0.396078431372549</c:v>
                </c:pt>
                <c:pt idx="23">
                  <c:v>0.37254901960784315</c:v>
                </c:pt>
                <c:pt idx="24">
                  <c:v>0.34901960784313724</c:v>
                </c:pt>
                <c:pt idx="25">
                  <c:v>0.33333333333333331</c:v>
                </c:pt>
                <c:pt idx="26">
                  <c:v>0.32156862745098042</c:v>
                </c:pt>
                <c:pt idx="27">
                  <c:v>0.30980392156862746</c:v>
                </c:pt>
                <c:pt idx="28">
                  <c:v>0.30196078431372547</c:v>
                </c:pt>
                <c:pt idx="29">
                  <c:v>0.29019607843137257</c:v>
                </c:pt>
                <c:pt idx="30">
                  <c:v>0.28235294117647058</c:v>
                </c:pt>
                <c:pt idx="31">
                  <c:v>0.27058823529411763</c:v>
                </c:pt>
                <c:pt idx="32">
                  <c:v>0.2627450980392157</c:v>
                </c:pt>
                <c:pt idx="33">
                  <c:v>0.25882352941176473</c:v>
                </c:pt>
                <c:pt idx="34">
                  <c:v>0.24705882352941178</c:v>
                </c:pt>
                <c:pt idx="35">
                  <c:v>0.23921568627450981</c:v>
                </c:pt>
                <c:pt idx="36">
                  <c:v>0.23137254901960785</c:v>
                </c:pt>
                <c:pt idx="37">
                  <c:v>0.22352941176470589</c:v>
                </c:pt>
                <c:pt idx="38">
                  <c:v>0.22352941176470589</c:v>
                </c:pt>
                <c:pt idx="39">
                  <c:v>0.22352941176470589</c:v>
                </c:pt>
                <c:pt idx="40">
                  <c:v>0.21568627450980393</c:v>
                </c:pt>
                <c:pt idx="41">
                  <c:v>0.21568627450980393</c:v>
                </c:pt>
                <c:pt idx="42">
                  <c:v>0.20784313725490197</c:v>
                </c:pt>
                <c:pt idx="43">
                  <c:v>0.20392156862745098</c:v>
                </c:pt>
                <c:pt idx="44">
                  <c:v>0.20392156862745098</c:v>
                </c:pt>
                <c:pt idx="45">
                  <c:v>0.19215686274509805</c:v>
                </c:pt>
                <c:pt idx="46">
                  <c:v>0.19215686274509805</c:v>
                </c:pt>
                <c:pt idx="47">
                  <c:v>0.19215686274509805</c:v>
                </c:pt>
                <c:pt idx="48">
                  <c:v>0.19215686274509805</c:v>
                </c:pt>
                <c:pt idx="49">
                  <c:v>0.18431372549019609</c:v>
                </c:pt>
                <c:pt idx="50">
                  <c:v>0.18431372549019609</c:v>
                </c:pt>
                <c:pt idx="51">
                  <c:v>0.17647058823529413</c:v>
                </c:pt>
                <c:pt idx="52">
                  <c:v>0.17647058823529413</c:v>
                </c:pt>
                <c:pt idx="53">
                  <c:v>0.1803921568627451</c:v>
                </c:pt>
                <c:pt idx="54">
                  <c:v>0.17254901960784313</c:v>
                </c:pt>
                <c:pt idx="55">
                  <c:v>0.16862745098039217</c:v>
                </c:pt>
                <c:pt idx="56">
                  <c:v>0.16862745098039217</c:v>
                </c:pt>
                <c:pt idx="57">
                  <c:v>0.16470588235294117</c:v>
                </c:pt>
                <c:pt idx="58">
                  <c:v>0.16470588235294117</c:v>
                </c:pt>
                <c:pt idx="59">
                  <c:v>0.16470588235294117</c:v>
                </c:pt>
                <c:pt idx="60">
                  <c:v>0.16078431372549021</c:v>
                </c:pt>
                <c:pt idx="61">
                  <c:v>0.15686274509803921</c:v>
                </c:pt>
                <c:pt idx="62">
                  <c:v>0.16078431372549021</c:v>
                </c:pt>
                <c:pt idx="63">
                  <c:v>0.15686274509803921</c:v>
                </c:pt>
                <c:pt idx="64">
                  <c:v>0.15294117647058825</c:v>
                </c:pt>
                <c:pt idx="65">
                  <c:v>0.15294117647058825</c:v>
                </c:pt>
                <c:pt idx="66">
                  <c:v>0.15686274509803921</c:v>
                </c:pt>
                <c:pt idx="67">
                  <c:v>0.16078431372549021</c:v>
                </c:pt>
                <c:pt idx="68">
                  <c:v>0.16078431372549021</c:v>
                </c:pt>
                <c:pt idx="69">
                  <c:v>0.15294117647058825</c:v>
                </c:pt>
                <c:pt idx="70">
                  <c:v>0.16078431372549021</c:v>
                </c:pt>
                <c:pt idx="71">
                  <c:v>0.16078431372549021</c:v>
                </c:pt>
                <c:pt idx="72">
                  <c:v>0.15294117647058825</c:v>
                </c:pt>
                <c:pt idx="73">
                  <c:v>0.15294117647058825</c:v>
                </c:pt>
                <c:pt idx="74">
                  <c:v>0.16078431372549021</c:v>
                </c:pt>
                <c:pt idx="75">
                  <c:v>0.15686274509803921</c:v>
                </c:pt>
                <c:pt idx="76">
                  <c:v>0.15294117647058825</c:v>
                </c:pt>
                <c:pt idx="77">
                  <c:v>0.14901960784313725</c:v>
                </c:pt>
                <c:pt idx="78">
                  <c:v>0.14509803921568629</c:v>
                </c:pt>
                <c:pt idx="79">
                  <c:v>0.14901960784313725</c:v>
                </c:pt>
                <c:pt idx="80">
                  <c:v>0.14901960784313725</c:v>
                </c:pt>
              </c:numCache>
            </c:numRef>
          </c:yVal>
        </c:ser>
        <c:ser>
          <c:idx val="1"/>
          <c:order val="1"/>
          <c:tx>
            <c:strRef>
              <c:f>data3!$C$1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data3!$C$2:$C$82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0.98039215686274506</c:v>
                </c:pt>
                <c:pt idx="12">
                  <c:v>0.87058823529411766</c:v>
                </c:pt>
                <c:pt idx="13">
                  <c:v>0.7803921568627451</c:v>
                </c:pt>
                <c:pt idx="14">
                  <c:v>0.70588235294117652</c:v>
                </c:pt>
                <c:pt idx="15">
                  <c:v>0.65098039215686276</c:v>
                </c:pt>
                <c:pt idx="16">
                  <c:v>0.59607843137254901</c:v>
                </c:pt>
                <c:pt idx="17">
                  <c:v>0.54509803921568623</c:v>
                </c:pt>
                <c:pt idx="18">
                  <c:v>0.50980392156862742</c:v>
                </c:pt>
                <c:pt idx="19">
                  <c:v>0.47058823529411764</c:v>
                </c:pt>
                <c:pt idx="20">
                  <c:v>0.4392156862745098</c:v>
                </c:pt>
                <c:pt idx="21">
                  <c:v>0.41568627450980394</c:v>
                </c:pt>
                <c:pt idx="22">
                  <c:v>0.38823529411764707</c:v>
                </c:pt>
                <c:pt idx="23">
                  <c:v>0.37254901960784315</c:v>
                </c:pt>
                <c:pt idx="24">
                  <c:v>0.35686274509803922</c:v>
                </c:pt>
                <c:pt idx="25">
                  <c:v>0.3411764705882353</c:v>
                </c:pt>
                <c:pt idx="26">
                  <c:v>0.32549019607843138</c:v>
                </c:pt>
                <c:pt idx="27">
                  <c:v>0.30980392156862746</c:v>
                </c:pt>
                <c:pt idx="28">
                  <c:v>0.30196078431372547</c:v>
                </c:pt>
                <c:pt idx="29">
                  <c:v>0.28627450980392155</c:v>
                </c:pt>
                <c:pt idx="30">
                  <c:v>0.27843137254901962</c:v>
                </c:pt>
                <c:pt idx="31">
                  <c:v>0.27058823529411763</c:v>
                </c:pt>
                <c:pt idx="32">
                  <c:v>0.2627450980392157</c:v>
                </c:pt>
                <c:pt idx="33">
                  <c:v>0.24705882352941178</c:v>
                </c:pt>
                <c:pt idx="34">
                  <c:v>0.24705882352941178</c:v>
                </c:pt>
                <c:pt idx="35">
                  <c:v>0.23921568627450981</c:v>
                </c:pt>
                <c:pt idx="36">
                  <c:v>0.23137254901960785</c:v>
                </c:pt>
                <c:pt idx="37">
                  <c:v>0.22352941176470589</c:v>
                </c:pt>
                <c:pt idx="38">
                  <c:v>0.22352941176470589</c:v>
                </c:pt>
                <c:pt idx="39">
                  <c:v>0.22352941176470589</c:v>
                </c:pt>
                <c:pt idx="40">
                  <c:v>0.21568627450980393</c:v>
                </c:pt>
                <c:pt idx="41">
                  <c:v>0.21568627450980393</c:v>
                </c:pt>
                <c:pt idx="42">
                  <c:v>0.20784313725490197</c:v>
                </c:pt>
                <c:pt idx="43">
                  <c:v>0.20784313725490197</c:v>
                </c:pt>
                <c:pt idx="44">
                  <c:v>0.2</c:v>
                </c:pt>
                <c:pt idx="45">
                  <c:v>0.19607843137254902</c:v>
                </c:pt>
                <c:pt idx="46">
                  <c:v>0.19215686274509805</c:v>
                </c:pt>
                <c:pt idx="47">
                  <c:v>0.18823529411764706</c:v>
                </c:pt>
                <c:pt idx="48">
                  <c:v>0.18431372549019609</c:v>
                </c:pt>
                <c:pt idx="49">
                  <c:v>0.18431372549019609</c:v>
                </c:pt>
                <c:pt idx="50">
                  <c:v>0.18431372549019609</c:v>
                </c:pt>
                <c:pt idx="51">
                  <c:v>0.1803921568627451</c:v>
                </c:pt>
                <c:pt idx="52">
                  <c:v>0.1803921568627451</c:v>
                </c:pt>
                <c:pt idx="53">
                  <c:v>0.17254901960784313</c:v>
                </c:pt>
                <c:pt idx="54">
                  <c:v>0.17254901960784313</c:v>
                </c:pt>
                <c:pt idx="55">
                  <c:v>0.16862745098039217</c:v>
                </c:pt>
                <c:pt idx="56">
                  <c:v>0.17254901960784313</c:v>
                </c:pt>
                <c:pt idx="57">
                  <c:v>0.16862745098039217</c:v>
                </c:pt>
                <c:pt idx="58">
                  <c:v>0.16470588235294117</c:v>
                </c:pt>
                <c:pt idx="59">
                  <c:v>0.16078431372549021</c:v>
                </c:pt>
                <c:pt idx="60">
                  <c:v>0.16862745098039217</c:v>
                </c:pt>
                <c:pt idx="61">
                  <c:v>0.16862745098039217</c:v>
                </c:pt>
                <c:pt idx="62">
                  <c:v>0.16862745098039217</c:v>
                </c:pt>
                <c:pt idx="63">
                  <c:v>0.16862745098039217</c:v>
                </c:pt>
                <c:pt idx="64">
                  <c:v>0.16078431372549021</c:v>
                </c:pt>
                <c:pt idx="65">
                  <c:v>0.16078431372549021</c:v>
                </c:pt>
                <c:pt idx="66">
                  <c:v>0.16078431372549021</c:v>
                </c:pt>
                <c:pt idx="67">
                  <c:v>0.16078431372549021</c:v>
                </c:pt>
                <c:pt idx="68">
                  <c:v>0.15686274509803921</c:v>
                </c:pt>
                <c:pt idx="69">
                  <c:v>0.15686274509803921</c:v>
                </c:pt>
                <c:pt idx="70">
                  <c:v>0.15686274509803921</c:v>
                </c:pt>
                <c:pt idx="71">
                  <c:v>0.15294117647058825</c:v>
                </c:pt>
                <c:pt idx="72">
                  <c:v>0.15294117647058825</c:v>
                </c:pt>
                <c:pt idx="73">
                  <c:v>0.16078431372549021</c:v>
                </c:pt>
                <c:pt idx="74">
                  <c:v>0.15294117647058825</c:v>
                </c:pt>
                <c:pt idx="75">
                  <c:v>0.15294117647058825</c:v>
                </c:pt>
                <c:pt idx="76">
                  <c:v>0.15294117647058825</c:v>
                </c:pt>
                <c:pt idx="77">
                  <c:v>0.14509803921568629</c:v>
                </c:pt>
                <c:pt idx="78">
                  <c:v>0.14901960784313725</c:v>
                </c:pt>
                <c:pt idx="79">
                  <c:v>0.14509803921568629</c:v>
                </c:pt>
                <c:pt idx="80">
                  <c:v>0.14509803921568629</c:v>
                </c:pt>
              </c:numCache>
            </c:numRef>
          </c:yVal>
        </c:ser>
        <c:ser>
          <c:idx val="2"/>
          <c:order val="2"/>
          <c:tx>
            <c:strRef>
              <c:f>data3!$D$1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data3!$D$2:$D$82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0.97647058823529409</c:v>
                </c:pt>
                <c:pt idx="12">
                  <c:v>0.87058823529411766</c:v>
                </c:pt>
                <c:pt idx="13">
                  <c:v>0.77254901960784317</c:v>
                </c:pt>
                <c:pt idx="14">
                  <c:v>0.69803921568627447</c:v>
                </c:pt>
                <c:pt idx="15">
                  <c:v>0.63921568627450975</c:v>
                </c:pt>
                <c:pt idx="16">
                  <c:v>0.59215686274509804</c:v>
                </c:pt>
                <c:pt idx="17">
                  <c:v>0.54117647058823526</c:v>
                </c:pt>
                <c:pt idx="18">
                  <c:v>0.50196078431372548</c:v>
                </c:pt>
                <c:pt idx="19">
                  <c:v>0.46666666666666667</c:v>
                </c:pt>
                <c:pt idx="20">
                  <c:v>0.4392156862745098</c:v>
                </c:pt>
                <c:pt idx="21">
                  <c:v>0.41176470588235292</c:v>
                </c:pt>
                <c:pt idx="22">
                  <c:v>0.39215686274509803</c:v>
                </c:pt>
                <c:pt idx="23">
                  <c:v>0.36470588235294116</c:v>
                </c:pt>
                <c:pt idx="24">
                  <c:v>0.35294117647058826</c:v>
                </c:pt>
                <c:pt idx="25">
                  <c:v>0.33333333333333331</c:v>
                </c:pt>
                <c:pt idx="26">
                  <c:v>0.32156862745098042</c:v>
                </c:pt>
                <c:pt idx="27">
                  <c:v>0.30196078431372547</c:v>
                </c:pt>
                <c:pt idx="28">
                  <c:v>0.29803921568627451</c:v>
                </c:pt>
                <c:pt idx="29">
                  <c:v>0.28627450980392155</c:v>
                </c:pt>
                <c:pt idx="30">
                  <c:v>0.29019607843137257</c:v>
                </c:pt>
                <c:pt idx="31">
                  <c:v>0.27058823529411763</c:v>
                </c:pt>
                <c:pt idx="32">
                  <c:v>0.26666666666666666</c:v>
                </c:pt>
                <c:pt idx="33">
                  <c:v>0.25490196078431371</c:v>
                </c:pt>
                <c:pt idx="34">
                  <c:v>0.24705882352941178</c:v>
                </c:pt>
                <c:pt idx="35">
                  <c:v>0.23921568627450981</c:v>
                </c:pt>
                <c:pt idx="36">
                  <c:v>0.23529411764705882</c:v>
                </c:pt>
                <c:pt idx="37">
                  <c:v>0.22352941176470589</c:v>
                </c:pt>
                <c:pt idx="38">
                  <c:v>0.22352941176470589</c:v>
                </c:pt>
                <c:pt idx="39">
                  <c:v>0.2196078431372549</c:v>
                </c:pt>
                <c:pt idx="40">
                  <c:v>0.21568627450980393</c:v>
                </c:pt>
                <c:pt idx="41">
                  <c:v>0.20784313725490197</c:v>
                </c:pt>
                <c:pt idx="42">
                  <c:v>0.2</c:v>
                </c:pt>
                <c:pt idx="43">
                  <c:v>0.2</c:v>
                </c:pt>
                <c:pt idx="44">
                  <c:v>0.19607843137254902</c:v>
                </c:pt>
                <c:pt idx="45">
                  <c:v>0.19607843137254902</c:v>
                </c:pt>
                <c:pt idx="46">
                  <c:v>0.19215686274509805</c:v>
                </c:pt>
                <c:pt idx="47">
                  <c:v>0.19215686274509805</c:v>
                </c:pt>
                <c:pt idx="48">
                  <c:v>0.19215686274509805</c:v>
                </c:pt>
                <c:pt idx="49">
                  <c:v>0.19215686274509805</c:v>
                </c:pt>
                <c:pt idx="50">
                  <c:v>0.18431372549019609</c:v>
                </c:pt>
                <c:pt idx="51">
                  <c:v>0.18431372549019609</c:v>
                </c:pt>
                <c:pt idx="52">
                  <c:v>0.18431372549019609</c:v>
                </c:pt>
                <c:pt idx="53">
                  <c:v>0.18431372549019609</c:v>
                </c:pt>
                <c:pt idx="54">
                  <c:v>0.17647058823529413</c:v>
                </c:pt>
                <c:pt idx="55">
                  <c:v>0.17647058823529413</c:v>
                </c:pt>
                <c:pt idx="56">
                  <c:v>0.17647058823529413</c:v>
                </c:pt>
                <c:pt idx="57">
                  <c:v>0.17647058823529413</c:v>
                </c:pt>
                <c:pt idx="58">
                  <c:v>0.17647058823529413</c:v>
                </c:pt>
                <c:pt idx="59">
                  <c:v>0.16862745098039217</c:v>
                </c:pt>
                <c:pt idx="60">
                  <c:v>0.17254901960784313</c:v>
                </c:pt>
                <c:pt idx="61">
                  <c:v>0.16862745098039217</c:v>
                </c:pt>
                <c:pt idx="62">
                  <c:v>0.16862745098039217</c:v>
                </c:pt>
                <c:pt idx="63">
                  <c:v>0.16078431372549021</c:v>
                </c:pt>
                <c:pt idx="64">
                  <c:v>0.16078431372549021</c:v>
                </c:pt>
                <c:pt idx="65">
                  <c:v>0.16078431372549021</c:v>
                </c:pt>
                <c:pt idx="66">
                  <c:v>0.16078431372549021</c:v>
                </c:pt>
                <c:pt idx="67">
                  <c:v>0.16078431372549021</c:v>
                </c:pt>
                <c:pt idx="68">
                  <c:v>0.16078431372549021</c:v>
                </c:pt>
                <c:pt idx="69">
                  <c:v>0.16078431372549021</c:v>
                </c:pt>
                <c:pt idx="70">
                  <c:v>0.15686274509803921</c:v>
                </c:pt>
                <c:pt idx="71">
                  <c:v>0.15686274509803921</c:v>
                </c:pt>
                <c:pt idx="72">
                  <c:v>0.15294117647058825</c:v>
                </c:pt>
                <c:pt idx="73">
                  <c:v>0.15294117647058825</c:v>
                </c:pt>
                <c:pt idx="74">
                  <c:v>0.14901960784313725</c:v>
                </c:pt>
                <c:pt idx="75">
                  <c:v>0.15294117647058825</c:v>
                </c:pt>
                <c:pt idx="76">
                  <c:v>0.14901960784313725</c:v>
                </c:pt>
                <c:pt idx="77">
                  <c:v>0.14509803921568629</c:v>
                </c:pt>
                <c:pt idx="78">
                  <c:v>0.14509803921568629</c:v>
                </c:pt>
                <c:pt idx="79">
                  <c:v>0.14901960784313725</c:v>
                </c:pt>
                <c:pt idx="80">
                  <c:v>0.14509803921568629</c:v>
                </c:pt>
              </c:numCache>
            </c:numRef>
          </c:yVal>
        </c:ser>
        <c:ser>
          <c:idx val="3"/>
          <c:order val="3"/>
          <c:tx>
            <c:strRef>
              <c:f>data3!$E$1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data3!$E$2:$E$82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0.98039215686274506</c:v>
                </c:pt>
                <c:pt idx="12">
                  <c:v>0.87058823529411766</c:v>
                </c:pt>
                <c:pt idx="13">
                  <c:v>0.77647058823529413</c:v>
                </c:pt>
                <c:pt idx="14">
                  <c:v>0.70196078431372544</c:v>
                </c:pt>
                <c:pt idx="15">
                  <c:v>0.63921568627450975</c:v>
                </c:pt>
                <c:pt idx="16">
                  <c:v>0.58823529411764708</c:v>
                </c:pt>
                <c:pt idx="17">
                  <c:v>0.54117647058823526</c:v>
                </c:pt>
                <c:pt idx="18">
                  <c:v>0.50196078431372548</c:v>
                </c:pt>
                <c:pt idx="19">
                  <c:v>0.46274509803921571</c:v>
                </c:pt>
                <c:pt idx="20">
                  <c:v>0.4392156862745098</c:v>
                </c:pt>
                <c:pt idx="21">
                  <c:v>0.41176470588235292</c:v>
                </c:pt>
                <c:pt idx="22">
                  <c:v>0.39215686274509803</c:v>
                </c:pt>
                <c:pt idx="23">
                  <c:v>0.37254901960784315</c:v>
                </c:pt>
                <c:pt idx="24">
                  <c:v>0.34901960784313724</c:v>
                </c:pt>
                <c:pt idx="25">
                  <c:v>0.33333333333333331</c:v>
                </c:pt>
                <c:pt idx="26">
                  <c:v>0.31764705882352939</c:v>
                </c:pt>
                <c:pt idx="27">
                  <c:v>0.30980392156862746</c:v>
                </c:pt>
                <c:pt idx="28">
                  <c:v>0.29803921568627451</c:v>
                </c:pt>
                <c:pt idx="29">
                  <c:v>0.28627450980392155</c:v>
                </c:pt>
                <c:pt idx="30">
                  <c:v>0.28627450980392155</c:v>
                </c:pt>
                <c:pt idx="31">
                  <c:v>0.27058823529411763</c:v>
                </c:pt>
                <c:pt idx="32">
                  <c:v>0.2627450980392157</c:v>
                </c:pt>
                <c:pt idx="33">
                  <c:v>0.25490196078431371</c:v>
                </c:pt>
                <c:pt idx="34">
                  <c:v>0.24705882352941178</c:v>
                </c:pt>
                <c:pt idx="35">
                  <c:v>0.24705882352941178</c:v>
                </c:pt>
                <c:pt idx="36">
                  <c:v>0.23921568627450981</c:v>
                </c:pt>
                <c:pt idx="37">
                  <c:v>0.23137254901960785</c:v>
                </c:pt>
                <c:pt idx="38">
                  <c:v>0.23137254901960785</c:v>
                </c:pt>
                <c:pt idx="39">
                  <c:v>0.23137254901960785</c:v>
                </c:pt>
                <c:pt idx="40">
                  <c:v>0.22352941176470589</c:v>
                </c:pt>
                <c:pt idx="41">
                  <c:v>0.21176470588235294</c:v>
                </c:pt>
                <c:pt idx="42">
                  <c:v>0.20392156862745098</c:v>
                </c:pt>
                <c:pt idx="43">
                  <c:v>0.20392156862745098</c:v>
                </c:pt>
                <c:pt idx="44">
                  <c:v>0.20392156862745098</c:v>
                </c:pt>
                <c:pt idx="45">
                  <c:v>0.19607843137254902</c:v>
                </c:pt>
                <c:pt idx="46">
                  <c:v>0.19215686274509805</c:v>
                </c:pt>
                <c:pt idx="47">
                  <c:v>0.19215686274509805</c:v>
                </c:pt>
                <c:pt idx="48">
                  <c:v>0.18823529411764706</c:v>
                </c:pt>
                <c:pt idx="49">
                  <c:v>0.19215686274509805</c:v>
                </c:pt>
                <c:pt idx="50">
                  <c:v>0.18823529411764706</c:v>
                </c:pt>
                <c:pt idx="51">
                  <c:v>0.18823529411764706</c:v>
                </c:pt>
                <c:pt idx="52">
                  <c:v>0.17647058823529413</c:v>
                </c:pt>
                <c:pt idx="53">
                  <c:v>0.17647058823529413</c:v>
                </c:pt>
                <c:pt idx="54">
                  <c:v>0.16862745098039217</c:v>
                </c:pt>
                <c:pt idx="55">
                  <c:v>0.17254901960784313</c:v>
                </c:pt>
                <c:pt idx="56">
                  <c:v>0.16862745098039217</c:v>
                </c:pt>
                <c:pt idx="57">
                  <c:v>0.16862745098039217</c:v>
                </c:pt>
                <c:pt idx="58">
                  <c:v>0.16862745098039217</c:v>
                </c:pt>
                <c:pt idx="59">
                  <c:v>0.17254901960784313</c:v>
                </c:pt>
                <c:pt idx="60">
                  <c:v>0.16862745098039217</c:v>
                </c:pt>
                <c:pt idx="61">
                  <c:v>0.16862745098039217</c:v>
                </c:pt>
                <c:pt idx="62">
                  <c:v>0.16862745098039217</c:v>
                </c:pt>
                <c:pt idx="63">
                  <c:v>0.16862745098039217</c:v>
                </c:pt>
                <c:pt idx="64">
                  <c:v>0.16862745098039217</c:v>
                </c:pt>
                <c:pt idx="65">
                  <c:v>0.16862745098039217</c:v>
                </c:pt>
                <c:pt idx="66">
                  <c:v>0.16078431372549021</c:v>
                </c:pt>
                <c:pt idx="67">
                  <c:v>0.16078431372549021</c:v>
                </c:pt>
                <c:pt idx="68">
                  <c:v>0.16078431372549021</c:v>
                </c:pt>
                <c:pt idx="69">
                  <c:v>0.16078431372549021</c:v>
                </c:pt>
                <c:pt idx="70">
                  <c:v>0.15686274509803921</c:v>
                </c:pt>
                <c:pt idx="71">
                  <c:v>0.15686274509803921</c:v>
                </c:pt>
                <c:pt idx="72">
                  <c:v>0.15294117647058825</c:v>
                </c:pt>
                <c:pt idx="73">
                  <c:v>0.15294117647058825</c:v>
                </c:pt>
                <c:pt idx="74">
                  <c:v>0.15294117647058825</c:v>
                </c:pt>
                <c:pt idx="75">
                  <c:v>0.15686274509803921</c:v>
                </c:pt>
                <c:pt idx="76">
                  <c:v>0.14509803921568629</c:v>
                </c:pt>
                <c:pt idx="77">
                  <c:v>0.14901960784313725</c:v>
                </c:pt>
                <c:pt idx="78">
                  <c:v>0.15294117647058825</c:v>
                </c:pt>
                <c:pt idx="79">
                  <c:v>0.14901960784313725</c:v>
                </c:pt>
                <c:pt idx="80">
                  <c:v>0.14509803921568629</c:v>
                </c:pt>
              </c:numCache>
            </c:numRef>
          </c:yVal>
        </c:ser>
        <c:ser>
          <c:idx val="4"/>
          <c:order val="4"/>
          <c:tx>
            <c:strRef>
              <c:f>data3!$F$1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data3!$F$2:$F$82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0.98039215686274506</c:v>
                </c:pt>
                <c:pt idx="12">
                  <c:v>0.87058823529411766</c:v>
                </c:pt>
                <c:pt idx="13">
                  <c:v>0.77254901960784317</c:v>
                </c:pt>
                <c:pt idx="14">
                  <c:v>0.69803921568627447</c:v>
                </c:pt>
                <c:pt idx="15">
                  <c:v>0.63921568627450975</c:v>
                </c:pt>
                <c:pt idx="16">
                  <c:v>0.58823529411764708</c:v>
                </c:pt>
                <c:pt idx="17">
                  <c:v>0.53725490196078429</c:v>
                </c:pt>
                <c:pt idx="18">
                  <c:v>0.50196078431372548</c:v>
                </c:pt>
                <c:pt idx="19">
                  <c:v>0.47058823529411764</c:v>
                </c:pt>
                <c:pt idx="20">
                  <c:v>0.4392156862745098</c:v>
                </c:pt>
                <c:pt idx="21">
                  <c:v>0.41568627450980394</c:v>
                </c:pt>
                <c:pt idx="22">
                  <c:v>0.396078431372549</c:v>
                </c:pt>
                <c:pt idx="23">
                  <c:v>0.37254901960784315</c:v>
                </c:pt>
                <c:pt idx="24">
                  <c:v>0.34901960784313724</c:v>
                </c:pt>
                <c:pt idx="25">
                  <c:v>0.33333333333333331</c:v>
                </c:pt>
                <c:pt idx="26">
                  <c:v>0.32156862745098042</c:v>
                </c:pt>
                <c:pt idx="27">
                  <c:v>0.31764705882352939</c:v>
                </c:pt>
                <c:pt idx="28">
                  <c:v>0.30196078431372547</c:v>
                </c:pt>
                <c:pt idx="29">
                  <c:v>0.29411764705882354</c:v>
                </c:pt>
                <c:pt idx="30">
                  <c:v>0.27843137254901962</c:v>
                </c:pt>
                <c:pt idx="31">
                  <c:v>0.27058823529411763</c:v>
                </c:pt>
                <c:pt idx="32">
                  <c:v>0.2627450980392157</c:v>
                </c:pt>
                <c:pt idx="33">
                  <c:v>0.25882352941176473</c:v>
                </c:pt>
                <c:pt idx="34">
                  <c:v>0.25098039215686274</c:v>
                </c:pt>
                <c:pt idx="35">
                  <c:v>0.24313725490196078</c:v>
                </c:pt>
                <c:pt idx="36">
                  <c:v>0.23921568627450981</c:v>
                </c:pt>
                <c:pt idx="37">
                  <c:v>0.23921568627450981</c:v>
                </c:pt>
                <c:pt idx="38">
                  <c:v>0.23137254901960785</c:v>
                </c:pt>
                <c:pt idx="39">
                  <c:v>0.22352941176470589</c:v>
                </c:pt>
                <c:pt idx="40">
                  <c:v>0.2196078431372549</c:v>
                </c:pt>
                <c:pt idx="41">
                  <c:v>0.21568627450980393</c:v>
                </c:pt>
                <c:pt idx="42">
                  <c:v>0.20784313725490197</c:v>
                </c:pt>
                <c:pt idx="43">
                  <c:v>0.20784313725490197</c:v>
                </c:pt>
                <c:pt idx="44">
                  <c:v>0.20392156862745098</c:v>
                </c:pt>
                <c:pt idx="45">
                  <c:v>0.19607843137254902</c:v>
                </c:pt>
                <c:pt idx="46">
                  <c:v>0.19215686274509805</c:v>
                </c:pt>
                <c:pt idx="47">
                  <c:v>0.19215686274509805</c:v>
                </c:pt>
                <c:pt idx="48">
                  <c:v>0.18431372549019609</c:v>
                </c:pt>
                <c:pt idx="49">
                  <c:v>0.18431372549019609</c:v>
                </c:pt>
                <c:pt idx="50">
                  <c:v>0.18431372549019609</c:v>
                </c:pt>
                <c:pt idx="51">
                  <c:v>0.18431372549019609</c:v>
                </c:pt>
                <c:pt idx="52">
                  <c:v>0.17647058823529413</c:v>
                </c:pt>
                <c:pt idx="53">
                  <c:v>0.17647058823529413</c:v>
                </c:pt>
                <c:pt idx="54">
                  <c:v>0.17647058823529413</c:v>
                </c:pt>
                <c:pt idx="55">
                  <c:v>0.17647058823529413</c:v>
                </c:pt>
                <c:pt idx="56">
                  <c:v>0.16862745098039217</c:v>
                </c:pt>
                <c:pt idx="57">
                  <c:v>0.17647058823529413</c:v>
                </c:pt>
                <c:pt idx="58">
                  <c:v>0.16862745098039217</c:v>
                </c:pt>
                <c:pt idx="59">
                  <c:v>0.16862745098039217</c:v>
                </c:pt>
                <c:pt idx="60">
                  <c:v>0.16470588235294117</c:v>
                </c:pt>
                <c:pt idx="61">
                  <c:v>0.16078431372549021</c:v>
                </c:pt>
                <c:pt idx="62">
                  <c:v>0.16078431372549021</c:v>
                </c:pt>
                <c:pt idx="63">
                  <c:v>0.16078431372549021</c:v>
                </c:pt>
                <c:pt idx="64">
                  <c:v>0.15686274509803921</c:v>
                </c:pt>
                <c:pt idx="65">
                  <c:v>0.15686274509803921</c:v>
                </c:pt>
                <c:pt idx="66">
                  <c:v>0.15294117647058825</c:v>
                </c:pt>
                <c:pt idx="67">
                  <c:v>0.15294117647058825</c:v>
                </c:pt>
                <c:pt idx="68">
                  <c:v>0.15294117647058825</c:v>
                </c:pt>
                <c:pt idx="69">
                  <c:v>0.15294117647058825</c:v>
                </c:pt>
                <c:pt idx="70">
                  <c:v>0.15294117647058825</c:v>
                </c:pt>
                <c:pt idx="71">
                  <c:v>0.15294117647058825</c:v>
                </c:pt>
                <c:pt idx="72">
                  <c:v>0.15294117647058825</c:v>
                </c:pt>
                <c:pt idx="73">
                  <c:v>0.15686274509803921</c:v>
                </c:pt>
                <c:pt idx="74">
                  <c:v>0.15294117647058825</c:v>
                </c:pt>
                <c:pt idx="75">
                  <c:v>0.15294117647058825</c:v>
                </c:pt>
                <c:pt idx="76">
                  <c:v>0.14901960784313725</c:v>
                </c:pt>
                <c:pt idx="77">
                  <c:v>0.14509803921568629</c:v>
                </c:pt>
                <c:pt idx="78">
                  <c:v>0.14509803921568629</c:v>
                </c:pt>
                <c:pt idx="79">
                  <c:v>0.14509803921568629</c:v>
                </c:pt>
                <c:pt idx="80">
                  <c:v>0.14901960784313725</c:v>
                </c:pt>
              </c:numCache>
            </c:numRef>
          </c:yVal>
        </c:ser>
        <c:ser>
          <c:idx val="5"/>
          <c:order val="5"/>
          <c:tx>
            <c:strRef>
              <c:f>data3!$G$1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data3!$G$2:$G$82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0.97254901960784312</c:v>
                </c:pt>
                <c:pt idx="12">
                  <c:v>0.87058823529411766</c:v>
                </c:pt>
                <c:pt idx="13">
                  <c:v>0.77254901960784317</c:v>
                </c:pt>
                <c:pt idx="14">
                  <c:v>0.69803921568627447</c:v>
                </c:pt>
                <c:pt idx="15">
                  <c:v>0.63921568627450975</c:v>
                </c:pt>
                <c:pt idx="16">
                  <c:v>0.58823529411764708</c:v>
                </c:pt>
                <c:pt idx="17">
                  <c:v>0.53725490196078429</c:v>
                </c:pt>
                <c:pt idx="18">
                  <c:v>0.50196078431372548</c:v>
                </c:pt>
                <c:pt idx="19">
                  <c:v>0.47058823529411764</c:v>
                </c:pt>
                <c:pt idx="20">
                  <c:v>0.4392156862745098</c:v>
                </c:pt>
                <c:pt idx="21">
                  <c:v>0.41176470588235292</c:v>
                </c:pt>
                <c:pt idx="22">
                  <c:v>0.38823529411764707</c:v>
                </c:pt>
                <c:pt idx="23">
                  <c:v>0.36862745098039218</c:v>
                </c:pt>
                <c:pt idx="24">
                  <c:v>0.34509803921568627</c:v>
                </c:pt>
                <c:pt idx="25">
                  <c:v>0.32156862745098042</c:v>
                </c:pt>
                <c:pt idx="26">
                  <c:v>0.30980392156862746</c:v>
                </c:pt>
                <c:pt idx="27">
                  <c:v>0.30196078431372547</c:v>
                </c:pt>
                <c:pt idx="28">
                  <c:v>0.29411764705882354</c:v>
                </c:pt>
                <c:pt idx="29">
                  <c:v>0.28235294117647058</c:v>
                </c:pt>
                <c:pt idx="30">
                  <c:v>0.27843137254901962</c:v>
                </c:pt>
                <c:pt idx="31">
                  <c:v>0.27058823529411763</c:v>
                </c:pt>
                <c:pt idx="32">
                  <c:v>0.2627450980392157</c:v>
                </c:pt>
                <c:pt idx="33">
                  <c:v>0.25490196078431371</c:v>
                </c:pt>
                <c:pt idx="34">
                  <c:v>0.25098039215686274</c:v>
                </c:pt>
                <c:pt idx="35">
                  <c:v>0.24313725490196078</c:v>
                </c:pt>
                <c:pt idx="36">
                  <c:v>0.23921568627450981</c:v>
                </c:pt>
                <c:pt idx="37">
                  <c:v>0.23529411764705882</c:v>
                </c:pt>
                <c:pt idx="38">
                  <c:v>0.22745098039215686</c:v>
                </c:pt>
                <c:pt idx="39">
                  <c:v>0.22352941176470589</c:v>
                </c:pt>
                <c:pt idx="40">
                  <c:v>0.22352941176470589</c:v>
                </c:pt>
                <c:pt idx="41">
                  <c:v>0.21568627450980393</c:v>
                </c:pt>
                <c:pt idx="42">
                  <c:v>0.20784313725490197</c:v>
                </c:pt>
                <c:pt idx="43">
                  <c:v>0.20784313725490197</c:v>
                </c:pt>
                <c:pt idx="44">
                  <c:v>0.2</c:v>
                </c:pt>
                <c:pt idx="45">
                  <c:v>0.2</c:v>
                </c:pt>
                <c:pt idx="46">
                  <c:v>0.19215686274509805</c:v>
                </c:pt>
                <c:pt idx="47">
                  <c:v>0.18823529411764706</c:v>
                </c:pt>
                <c:pt idx="48">
                  <c:v>0.18431372549019609</c:v>
                </c:pt>
                <c:pt idx="49">
                  <c:v>0.18431372549019609</c:v>
                </c:pt>
                <c:pt idx="50">
                  <c:v>0.18823529411764706</c:v>
                </c:pt>
                <c:pt idx="51">
                  <c:v>0.18431372549019609</c:v>
                </c:pt>
                <c:pt idx="52">
                  <c:v>0.18431372549019609</c:v>
                </c:pt>
                <c:pt idx="53">
                  <c:v>0.17647058823529413</c:v>
                </c:pt>
                <c:pt idx="54">
                  <c:v>0.17647058823529413</c:v>
                </c:pt>
                <c:pt idx="55">
                  <c:v>0.17647058823529413</c:v>
                </c:pt>
                <c:pt idx="56">
                  <c:v>0.17647058823529413</c:v>
                </c:pt>
                <c:pt idx="57">
                  <c:v>0.17254901960784313</c:v>
                </c:pt>
                <c:pt idx="58">
                  <c:v>0.16862745098039217</c:v>
                </c:pt>
                <c:pt idx="59">
                  <c:v>0.16862745098039217</c:v>
                </c:pt>
                <c:pt idx="60">
                  <c:v>0.16862745098039217</c:v>
                </c:pt>
                <c:pt idx="61">
                  <c:v>0.16862745098039217</c:v>
                </c:pt>
                <c:pt idx="62">
                  <c:v>0.16862745098039217</c:v>
                </c:pt>
                <c:pt idx="63">
                  <c:v>0.16078431372549021</c:v>
                </c:pt>
                <c:pt idx="64">
                  <c:v>0.16078431372549021</c:v>
                </c:pt>
                <c:pt idx="65">
                  <c:v>0.15294117647058825</c:v>
                </c:pt>
                <c:pt idx="66">
                  <c:v>0.15294117647058825</c:v>
                </c:pt>
                <c:pt idx="67">
                  <c:v>0.15294117647058825</c:v>
                </c:pt>
                <c:pt idx="68">
                  <c:v>0.15686274509803921</c:v>
                </c:pt>
                <c:pt idx="69">
                  <c:v>0.15294117647058825</c:v>
                </c:pt>
                <c:pt idx="70">
                  <c:v>0.15294117647058825</c:v>
                </c:pt>
                <c:pt idx="71">
                  <c:v>0.14901960784313725</c:v>
                </c:pt>
                <c:pt idx="72">
                  <c:v>0.14509803921568629</c:v>
                </c:pt>
                <c:pt idx="73">
                  <c:v>0.14901960784313725</c:v>
                </c:pt>
                <c:pt idx="74">
                  <c:v>0.15294117647058825</c:v>
                </c:pt>
                <c:pt idx="75">
                  <c:v>0.14509803921568629</c:v>
                </c:pt>
                <c:pt idx="76">
                  <c:v>0.14509803921568629</c:v>
                </c:pt>
                <c:pt idx="77">
                  <c:v>0.14509803921568629</c:v>
                </c:pt>
                <c:pt idx="78">
                  <c:v>0.14509803921568629</c:v>
                </c:pt>
                <c:pt idx="79">
                  <c:v>0.14509803921568629</c:v>
                </c:pt>
                <c:pt idx="80">
                  <c:v>0.14509803921568629</c:v>
                </c:pt>
              </c:numCache>
            </c:numRef>
          </c:yVal>
        </c:ser>
        <c:ser>
          <c:idx val="6"/>
          <c:order val="6"/>
          <c:tx>
            <c:strRef>
              <c:f>data3!$H$1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data3!$H$2:$H$82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0.97254901960784312</c:v>
                </c:pt>
                <c:pt idx="12">
                  <c:v>0.86274509803921573</c:v>
                </c:pt>
                <c:pt idx="13">
                  <c:v>0.77254901960784317</c:v>
                </c:pt>
                <c:pt idx="14">
                  <c:v>0.69411764705882351</c:v>
                </c:pt>
                <c:pt idx="15">
                  <c:v>0.63529411764705879</c:v>
                </c:pt>
                <c:pt idx="16">
                  <c:v>0.58431372549019611</c:v>
                </c:pt>
                <c:pt idx="17">
                  <c:v>0.53333333333333333</c:v>
                </c:pt>
                <c:pt idx="18">
                  <c:v>0.49411764705882355</c:v>
                </c:pt>
                <c:pt idx="19">
                  <c:v>0.46274509803921571</c:v>
                </c:pt>
                <c:pt idx="20">
                  <c:v>0.4392156862745098</c:v>
                </c:pt>
                <c:pt idx="21">
                  <c:v>0.40784313725490196</c:v>
                </c:pt>
                <c:pt idx="22">
                  <c:v>0.38823529411764707</c:v>
                </c:pt>
                <c:pt idx="23">
                  <c:v>0.36862745098039218</c:v>
                </c:pt>
                <c:pt idx="24">
                  <c:v>0.34901960784313724</c:v>
                </c:pt>
                <c:pt idx="25">
                  <c:v>0.33333333333333331</c:v>
                </c:pt>
                <c:pt idx="26">
                  <c:v>0.31764705882352939</c:v>
                </c:pt>
                <c:pt idx="27">
                  <c:v>0.30588235294117649</c:v>
                </c:pt>
                <c:pt idx="28">
                  <c:v>0.29411764705882354</c:v>
                </c:pt>
                <c:pt idx="29">
                  <c:v>0.27843137254901962</c:v>
                </c:pt>
                <c:pt idx="30">
                  <c:v>0.27058823529411763</c:v>
                </c:pt>
                <c:pt idx="31">
                  <c:v>0.2627450980392157</c:v>
                </c:pt>
                <c:pt idx="32">
                  <c:v>0.25490196078431371</c:v>
                </c:pt>
                <c:pt idx="33">
                  <c:v>0.25098039215686274</c:v>
                </c:pt>
                <c:pt idx="34">
                  <c:v>0.23921568627450981</c:v>
                </c:pt>
                <c:pt idx="35">
                  <c:v>0.23921568627450981</c:v>
                </c:pt>
                <c:pt idx="36">
                  <c:v>0.23529411764705882</c:v>
                </c:pt>
                <c:pt idx="37">
                  <c:v>0.22745098039215686</c:v>
                </c:pt>
                <c:pt idx="38">
                  <c:v>0.22745098039215686</c:v>
                </c:pt>
                <c:pt idx="39">
                  <c:v>0.21568627450980393</c:v>
                </c:pt>
                <c:pt idx="40">
                  <c:v>0.21568627450980393</c:v>
                </c:pt>
                <c:pt idx="41">
                  <c:v>0.20784313725490197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0.19215686274509805</c:v>
                </c:pt>
                <c:pt idx="46">
                  <c:v>0.18431372549019609</c:v>
                </c:pt>
                <c:pt idx="47">
                  <c:v>0.18431372549019609</c:v>
                </c:pt>
                <c:pt idx="48">
                  <c:v>0.18431372549019609</c:v>
                </c:pt>
                <c:pt idx="49">
                  <c:v>0.18431372549019609</c:v>
                </c:pt>
                <c:pt idx="50">
                  <c:v>0.17647058823529413</c:v>
                </c:pt>
                <c:pt idx="51">
                  <c:v>0.17647058823529413</c:v>
                </c:pt>
                <c:pt idx="52">
                  <c:v>0.18431372549019609</c:v>
                </c:pt>
                <c:pt idx="53">
                  <c:v>0.17647058823529413</c:v>
                </c:pt>
                <c:pt idx="54">
                  <c:v>0.16862745098039217</c:v>
                </c:pt>
                <c:pt idx="55">
                  <c:v>0.17254901960784313</c:v>
                </c:pt>
                <c:pt idx="56">
                  <c:v>0.16862745098039217</c:v>
                </c:pt>
                <c:pt idx="57">
                  <c:v>0.16078431372549021</c:v>
                </c:pt>
                <c:pt idx="58">
                  <c:v>0.16078431372549021</c:v>
                </c:pt>
                <c:pt idx="59">
                  <c:v>0.16078431372549021</c:v>
                </c:pt>
                <c:pt idx="60">
                  <c:v>0.16078431372549021</c:v>
                </c:pt>
                <c:pt idx="61">
                  <c:v>0.16078431372549021</c:v>
                </c:pt>
                <c:pt idx="62">
                  <c:v>0.16078431372549021</c:v>
                </c:pt>
                <c:pt idx="63">
                  <c:v>0.16470588235294117</c:v>
                </c:pt>
                <c:pt idx="64">
                  <c:v>0.16470588235294117</c:v>
                </c:pt>
                <c:pt idx="65">
                  <c:v>0.16078431372549021</c:v>
                </c:pt>
                <c:pt idx="66">
                  <c:v>0.15294117647058825</c:v>
                </c:pt>
                <c:pt idx="67">
                  <c:v>0.15294117647058825</c:v>
                </c:pt>
                <c:pt idx="68">
                  <c:v>0.15294117647058825</c:v>
                </c:pt>
                <c:pt idx="69">
                  <c:v>0.15294117647058825</c:v>
                </c:pt>
                <c:pt idx="70">
                  <c:v>0.15294117647058825</c:v>
                </c:pt>
                <c:pt idx="71">
                  <c:v>0.15294117647058825</c:v>
                </c:pt>
                <c:pt idx="72">
                  <c:v>0.14509803921568629</c:v>
                </c:pt>
                <c:pt idx="73">
                  <c:v>0.14509803921568629</c:v>
                </c:pt>
                <c:pt idx="74">
                  <c:v>0.14509803921568629</c:v>
                </c:pt>
                <c:pt idx="75">
                  <c:v>0.14509803921568629</c:v>
                </c:pt>
                <c:pt idx="76">
                  <c:v>0.14509803921568629</c:v>
                </c:pt>
                <c:pt idx="77">
                  <c:v>0.14509803921568629</c:v>
                </c:pt>
                <c:pt idx="78">
                  <c:v>0.14509803921568629</c:v>
                </c:pt>
                <c:pt idx="79">
                  <c:v>0.14117647058823529</c:v>
                </c:pt>
                <c:pt idx="80">
                  <c:v>0.14509803921568629</c:v>
                </c:pt>
              </c:numCache>
            </c:numRef>
          </c:yVal>
        </c:ser>
        <c:ser>
          <c:idx val="7"/>
          <c:order val="7"/>
          <c:tx>
            <c:strRef>
              <c:f>data3!$I$1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data3!$I$2:$I$82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0.97647058823529409</c:v>
                </c:pt>
                <c:pt idx="12">
                  <c:v>0.87058823529411766</c:v>
                </c:pt>
                <c:pt idx="13">
                  <c:v>0.77254901960784317</c:v>
                </c:pt>
                <c:pt idx="14">
                  <c:v>0.70196078431372544</c:v>
                </c:pt>
                <c:pt idx="15">
                  <c:v>0.63921568627450975</c:v>
                </c:pt>
                <c:pt idx="16">
                  <c:v>0.58823529411764708</c:v>
                </c:pt>
                <c:pt idx="17">
                  <c:v>0.53725490196078429</c:v>
                </c:pt>
                <c:pt idx="18">
                  <c:v>0.50196078431372548</c:v>
                </c:pt>
                <c:pt idx="19">
                  <c:v>0.46274509803921571</c:v>
                </c:pt>
                <c:pt idx="20">
                  <c:v>0.43137254901960786</c:v>
                </c:pt>
                <c:pt idx="21">
                  <c:v>0.40784313725490196</c:v>
                </c:pt>
                <c:pt idx="22">
                  <c:v>0.38823529411764707</c:v>
                </c:pt>
                <c:pt idx="23">
                  <c:v>0.36862745098039218</c:v>
                </c:pt>
                <c:pt idx="24">
                  <c:v>0.34509803921568627</c:v>
                </c:pt>
                <c:pt idx="25">
                  <c:v>0.32941176470588235</c:v>
                </c:pt>
                <c:pt idx="26">
                  <c:v>0.31372549019607843</c:v>
                </c:pt>
                <c:pt idx="27">
                  <c:v>0.30588235294117649</c:v>
                </c:pt>
                <c:pt idx="28">
                  <c:v>0.29411764705882354</c:v>
                </c:pt>
                <c:pt idx="29">
                  <c:v>0.28235294117647058</c:v>
                </c:pt>
                <c:pt idx="30">
                  <c:v>0.27450980392156865</c:v>
                </c:pt>
                <c:pt idx="31">
                  <c:v>0.2627450980392157</c:v>
                </c:pt>
                <c:pt idx="32">
                  <c:v>0.25490196078431371</c:v>
                </c:pt>
                <c:pt idx="33">
                  <c:v>0.23921568627450981</c:v>
                </c:pt>
                <c:pt idx="34">
                  <c:v>0.23921568627450981</c:v>
                </c:pt>
                <c:pt idx="35">
                  <c:v>0.23137254901960785</c:v>
                </c:pt>
                <c:pt idx="36">
                  <c:v>0.22352941176470589</c:v>
                </c:pt>
                <c:pt idx="37">
                  <c:v>0.21568627450980393</c:v>
                </c:pt>
                <c:pt idx="38">
                  <c:v>0.21568627450980393</c:v>
                </c:pt>
                <c:pt idx="39">
                  <c:v>0.21176470588235294</c:v>
                </c:pt>
                <c:pt idx="40">
                  <c:v>0.20784313725490197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0.19215686274509805</c:v>
                </c:pt>
                <c:pt idx="46">
                  <c:v>0.19607843137254902</c:v>
                </c:pt>
                <c:pt idx="47">
                  <c:v>0.19607843137254902</c:v>
                </c:pt>
                <c:pt idx="48">
                  <c:v>0.18431372549019609</c:v>
                </c:pt>
                <c:pt idx="49">
                  <c:v>0.18823529411764706</c:v>
                </c:pt>
                <c:pt idx="50">
                  <c:v>0.19215686274509805</c:v>
                </c:pt>
                <c:pt idx="51">
                  <c:v>0.17647058823529413</c:v>
                </c:pt>
                <c:pt idx="52">
                  <c:v>0.18431372549019609</c:v>
                </c:pt>
                <c:pt idx="53">
                  <c:v>0.17647058823529413</c:v>
                </c:pt>
                <c:pt idx="54">
                  <c:v>0.16862745098039217</c:v>
                </c:pt>
                <c:pt idx="55">
                  <c:v>0.17647058823529413</c:v>
                </c:pt>
                <c:pt idx="56">
                  <c:v>0.16862745098039217</c:v>
                </c:pt>
                <c:pt idx="57">
                  <c:v>0.16862745098039217</c:v>
                </c:pt>
                <c:pt idx="58">
                  <c:v>0.16862745098039217</c:v>
                </c:pt>
                <c:pt idx="59">
                  <c:v>0.16862745098039217</c:v>
                </c:pt>
                <c:pt idx="60">
                  <c:v>0.16862745098039217</c:v>
                </c:pt>
                <c:pt idx="61">
                  <c:v>0.16470588235294117</c:v>
                </c:pt>
                <c:pt idx="62">
                  <c:v>0.16078431372549021</c:v>
                </c:pt>
                <c:pt idx="63">
                  <c:v>0.16078431372549021</c:v>
                </c:pt>
                <c:pt idx="64">
                  <c:v>0.16078431372549021</c:v>
                </c:pt>
                <c:pt idx="65">
                  <c:v>0.16470588235294117</c:v>
                </c:pt>
                <c:pt idx="66">
                  <c:v>0.16470588235294117</c:v>
                </c:pt>
                <c:pt idx="67">
                  <c:v>0.16078431372549021</c:v>
                </c:pt>
                <c:pt idx="68">
                  <c:v>0.16078431372549021</c:v>
                </c:pt>
                <c:pt idx="69">
                  <c:v>0.15686274509803921</c:v>
                </c:pt>
                <c:pt idx="70">
                  <c:v>0.16078431372549021</c:v>
                </c:pt>
                <c:pt idx="71">
                  <c:v>0.15294117647058825</c:v>
                </c:pt>
                <c:pt idx="72">
                  <c:v>0.15686274509803921</c:v>
                </c:pt>
                <c:pt idx="73">
                  <c:v>0.16078431372549021</c:v>
                </c:pt>
                <c:pt idx="74">
                  <c:v>0.15686274509803921</c:v>
                </c:pt>
                <c:pt idx="75">
                  <c:v>0.15294117647058825</c:v>
                </c:pt>
                <c:pt idx="76">
                  <c:v>0.15294117647058825</c:v>
                </c:pt>
                <c:pt idx="77">
                  <c:v>0.15294117647058825</c:v>
                </c:pt>
                <c:pt idx="78">
                  <c:v>0.14509803921568629</c:v>
                </c:pt>
                <c:pt idx="79">
                  <c:v>0.14901960784313725</c:v>
                </c:pt>
                <c:pt idx="80">
                  <c:v>0.14901960784313725</c:v>
                </c:pt>
              </c:numCache>
            </c:numRef>
          </c:yVal>
        </c:ser>
        <c:axId val="136710400"/>
        <c:axId val="136720384"/>
      </c:scatterChart>
      <c:valAx>
        <c:axId val="136710400"/>
        <c:scaling>
          <c:orientation val="minMax"/>
        </c:scaling>
        <c:axPos val="b"/>
        <c:numFmt formatCode="0.0" sourceLinked="1"/>
        <c:tickLblPos val="nextTo"/>
        <c:crossAx val="136720384"/>
        <c:crosses val="autoZero"/>
        <c:crossBetween val="midCat"/>
      </c:valAx>
      <c:valAx>
        <c:axId val="136720384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3671040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data3!$J$2:$J$82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0.96862745098039216</c:v>
                </c:pt>
                <c:pt idx="11">
                  <c:v>0.83529411764705885</c:v>
                </c:pt>
                <c:pt idx="12">
                  <c:v>0.72549019607843135</c:v>
                </c:pt>
                <c:pt idx="13">
                  <c:v>0.63529411764705879</c:v>
                </c:pt>
                <c:pt idx="14">
                  <c:v>0.5607843137254902</c:v>
                </c:pt>
                <c:pt idx="15">
                  <c:v>0.49803921568627452</c:v>
                </c:pt>
                <c:pt idx="16">
                  <c:v>0.44313725490196076</c:v>
                </c:pt>
                <c:pt idx="17">
                  <c:v>0.39215686274509803</c:v>
                </c:pt>
                <c:pt idx="18">
                  <c:v>0.35294117647058826</c:v>
                </c:pt>
                <c:pt idx="19">
                  <c:v>0.32156862745098042</c:v>
                </c:pt>
                <c:pt idx="20">
                  <c:v>0.29019607843137257</c:v>
                </c:pt>
                <c:pt idx="21">
                  <c:v>0.26666666666666666</c:v>
                </c:pt>
                <c:pt idx="22">
                  <c:v>0.24313725490196078</c:v>
                </c:pt>
                <c:pt idx="23">
                  <c:v>0.22745098039215686</c:v>
                </c:pt>
                <c:pt idx="24">
                  <c:v>0.20784313725490197</c:v>
                </c:pt>
                <c:pt idx="25">
                  <c:v>0.18823529411764706</c:v>
                </c:pt>
                <c:pt idx="26">
                  <c:v>0.17647058823529413</c:v>
                </c:pt>
                <c:pt idx="27">
                  <c:v>0.16078431372549021</c:v>
                </c:pt>
                <c:pt idx="28">
                  <c:v>0.15294117647058825</c:v>
                </c:pt>
                <c:pt idx="29">
                  <c:v>0.13725490196078433</c:v>
                </c:pt>
                <c:pt idx="30">
                  <c:v>0.12941176470588237</c:v>
                </c:pt>
                <c:pt idx="31">
                  <c:v>0.12549019607843137</c:v>
                </c:pt>
                <c:pt idx="32">
                  <c:v>0.11372549019607843</c:v>
                </c:pt>
                <c:pt idx="33">
                  <c:v>0.10980392156862745</c:v>
                </c:pt>
                <c:pt idx="34">
                  <c:v>9.8039215686274508E-2</c:v>
                </c:pt>
                <c:pt idx="35">
                  <c:v>9.4117647058823528E-2</c:v>
                </c:pt>
                <c:pt idx="36">
                  <c:v>8.6274509803921567E-2</c:v>
                </c:pt>
                <c:pt idx="37">
                  <c:v>8.6274509803921567E-2</c:v>
                </c:pt>
                <c:pt idx="38">
                  <c:v>8.2352941176470587E-2</c:v>
                </c:pt>
                <c:pt idx="39">
                  <c:v>7.8431372549019607E-2</c:v>
                </c:pt>
                <c:pt idx="40">
                  <c:v>6.6666666666666666E-2</c:v>
                </c:pt>
                <c:pt idx="41">
                  <c:v>6.6666666666666666E-2</c:v>
                </c:pt>
                <c:pt idx="42">
                  <c:v>5.8823529411764705E-2</c:v>
                </c:pt>
                <c:pt idx="43">
                  <c:v>5.8823529411764705E-2</c:v>
                </c:pt>
                <c:pt idx="44">
                  <c:v>5.0980392156862744E-2</c:v>
                </c:pt>
                <c:pt idx="45">
                  <c:v>5.0980392156862744E-2</c:v>
                </c:pt>
                <c:pt idx="46">
                  <c:v>5.0980392156862744E-2</c:v>
                </c:pt>
                <c:pt idx="47">
                  <c:v>4.3137254901960784E-2</c:v>
                </c:pt>
                <c:pt idx="48">
                  <c:v>4.3137254901960784E-2</c:v>
                </c:pt>
                <c:pt idx="49">
                  <c:v>4.3137254901960784E-2</c:v>
                </c:pt>
                <c:pt idx="50">
                  <c:v>3.9215686274509803E-2</c:v>
                </c:pt>
                <c:pt idx="51">
                  <c:v>3.9215686274509803E-2</c:v>
                </c:pt>
                <c:pt idx="52">
                  <c:v>3.9215686274509803E-2</c:v>
                </c:pt>
                <c:pt idx="53">
                  <c:v>4.3137254901960784E-2</c:v>
                </c:pt>
                <c:pt idx="54">
                  <c:v>3.5294117647058823E-2</c:v>
                </c:pt>
                <c:pt idx="55">
                  <c:v>3.5294117647058823E-2</c:v>
                </c:pt>
                <c:pt idx="56">
                  <c:v>3.5294117647058823E-2</c:v>
                </c:pt>
                <c:pt idx="57">
                  <c:v>3.5294117647058823E-2</c:v>
                </c:pt>
                <c:pt idx="58">
                  <c:v>2.7450980392156862E-2</c:v>
                </c:pt>
                <c:pt idx="59">
                  <c:v>2.7450980392156862E-2</c:v>
                </c:pt>
                <c:pt idx="60">
                  <c:v>2.7450980392156862E-2</c:v>
                </c:pt>
                <c:pt idx="61">
                  <c:v>1.9607843137254902E-2</c:v>
                </c:pt>
                <c:pt idx="62">
                  <c:v>2.3529411764705882E-2</c:v>
                </c:pt>
                <c:pt idx="63">
                  <c:v>2.3529411764705882E-2</c:v>
                </c:pt>
                <c:pt idx="64">
                  <c:v>1.9607843137254902E-2</c:v>
                </c:pt>
                <c:pt idx="65">
                  <c:v>1.9607843137254902E-2</c:v>
                </c:pt>
                <c:pt idx="66">
                  <c:v>1.9607843137254902E-2</c:v>
                </c:pt>
                <c:pt idx="67">
                  <c:v>1.1764705882352941E-2</c:v>
                </c:pt>
                <c:pt idx="68">
                  <c:v>1.9607843137254902E-2</c:v>
                </c:pt>
                <c:pt idx="69">
                  <c:v>1.9607843137254902E-2</c:v>
                </c:pt>
                <c:pt idx="70">
                  <c:v>1.1764705882352941E-2</c:v>
                </c:pt>
                <c:pt idx="71">
                  <c:v>1.1764705882352941E-2</c:v>
                </c:pt>
                <c:pt idx="72">
                  <c:v>7.8431372549019607E-3</c:v>
                </c:pt>
                <c:pt idx="73">
                  <c:v>3.9215686274509803E-3</c:v>
                </c:pt>
                <c:pt idx="74">
                  <c:v>7.8431372549019607E-3</c:v>
                </c:pt>
                <c:pt idx="75">
                  <c:v>7.8431372549019607E-3</c:v>
                </c:pt>
                <c:pt idx="76">
                  <c:v>3.9215686274509803E-3</c:v>
                </c:pt>
                <c:pt idx="77">
                  <c:v>3.9215686274509803E-3</c:v>
                </c:pt>
                <c:pt idx="78">
                  <c:v>3.9215686274509803E-3</c:v>
                </c:pt>
                <c:pt idx="79">
                  <c:v>3.9215686274509803E-3</c:v>
                </c:pt>
                <c:pt idx="80">
                  <c:v>3.9215686274509803E-3</c:v>
                </c:pt>
              </c:numCache>
            </c:numRef>
          </c:yVal>
        </c:ser>
        <c:ser>
          <c:idx val="1"/>
          <c:order val="1"/>
          <c:tx>
            <c:strRef>
              <c:f>data3!$K$1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data3!$K$2:$K$82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0.96862745098039216</c:v>
                </c:pt>
                <c:pt idx="12">
                  <c:v>0.86274509803921573</c:v>
                </c:pt>
                <c:pt idx="13">
                  <c:v>0.77254901960784317</c:v>
                </c:pt>
                <c:pt idx="14">
                  <c:v>0.69411764705882351</c:v>
                </c:pt>
                <c:pt idx="15">
                  <c:v>0.63137254901960782</c:v>
                </c:pt>
                <c:pt idx="16">
                  <c:v>0.58431372549019611</c:v>
                </c:pt>
                <c:pt idx="17">
                  <c:v>0.54117647058823526</c:v>
                </c:pt>
                <c:pt idx="18">
                  <c:v>0.49411764705882355</c:v>
                </c:pt>
                <c:pt idx="19">
                  <c:v>0.46274509803921571</c:v>
                </c:pt>
                <c:pt idx="20">
                  <c:v>0.43137254901960786</c:v>
                </c:pt>
                <c:pt idx="21">
                  <c:v>0.41176470588235292</c:v>
                </c:pt>
                <c:pt idx="22">
                  <c:v>0.38823529411764707</c:v>
                </c:pt>
                <c:pt idx="23">
                  <c:v>0.36862745098039218</c:v>
                </c:pt>
                <c:pt idx="24">
                  <c:v>0.35294117647058826</c:v>
                </c:pt>
                <c:pt idx="25">
                  <c:v>0.32549019607843138</c:v>
                </c:pt>
                <c:pt idx="26">
                  <c:v>0.31372549019607843</c:v>
                </c:pt>
                <c:pt idx="27">
                  <c:v>0.30196078431372547</c:v>
                </c:pt>
                <c:pt idx="28">
                  <c:v>0.29411764705882354</c:v>
                </c:pt>
                <c:pt idx="29">
                  <c:v>0.28235294117647058</c:v>
                </c:pt>
                <c:pt idx="30">
                  <c:v>0.27843137254901962</c:v>
                </c:pt>
                <c:pt idx="31">
                  <c:v>0.2627450980392157</c:v>
                </c:pt>
                <c:pt idx="32">
                  <c:v>0.25490196078431371</c:v>
                </c:pt>
                <c:pt idx="33">
                  <c:v>0.24705882352941178</c:v>
                </c:pt>
                <c:pt idx="34">
                  <c:v>0.23921568627450981</c:v>
                </c:pt>
                <c:pt idx="35">
                  <c:v>0.23921568627450981</c:v>
                </c:pt>
                <c:pt idx="36">
                  <c:v>0.22745098039215686</c:v>
                </c:pt>
                <c:pt idx="37">
                  <c:v>0.22352941176470589</c:v>
                </c:pt>
                <c:pt idx="38">
                  <c:v>0.21568627450980393</c:v>
                </c:pt>
                <c:pt idx="39">
                  <c:v>0.21176470588235294</c:v>
                </c:pt>
                <c:pt idx="40">
                  <c:v>0.21568627450980393</c:v>
                </c:pt>
                <c:pt idx="41">
                  <c:v>0.20784313725490197</c:v>
                </c:pt>
                <c:pt idx="42">
                  <c:v>0.2</c:v>
                </c:pt>
                <c:pt idx="43">
                  <c:v>0.20784313725490197</c:v>
                </c:pt>
                <c:pt idx="44">
                  <c:v>0.2</c:v>
                </c:pt>
                <c:pt idx="45">
                  <c:v>0.19607843137254902</c:v>
                </c:pt>
                <c:pt idx="46">
                  <c:v>0.19215686274509805</c:v>
                </c:pt>
                <c:pt idx="47">
                  <c:v>0.18823529411764706</c:v>
                </c:pt>
                <c:pt idx="48">
                  <c:v>0.18431372549019609</c:v>
                </c:pt>
                <c:pt idx="49">
                  <c:v>0.19215686274509805</c:v>
                </c:pt>
                <c:pt idx="50">
                  <c:v>0.18431372549019609</c:v>
                </c:pt>
                <c:pt idx="51">
                  <c:v>0.1803921568627451</c:v>
                </c:pt>
                <c:pt idx="52">
                  <c:v>0.17647058823529413</c:v>
                </c:pt>
                <c:pt idx="53">
                  <c:v>0.18431372549019609</c:v>
                </c:pt>
                <c:pt idx="54">
                  <c:v>0.17647058823529413</c:v>
                </c:pt>
                <c:pt idx="55">
                  <c:v>0.17647058823529413</c:v>
                </c:pt>
                <c:pt idx="56">
                  <c:v>0.17647058823529413</c:v>
                </c:pt>
                <c:pt idx="57">
                  <c:v>0.16862745098039217</c:v>
                </c:pt>
                <c:pt idx="58">
                  <c:v>0.16862745098039217</c:v>
                </c:pt>
                <c:pt idx="59">
                  <c:v>0.16862745098039217</c:v>
                </c:pt>
                <c:pt idx="60">
                  <c:v>0.16862745098039217</c:v>
                </c:pt>
                <c:pt idx="61">
                  <c:v>0.16862745098039217</c:v>
                </c:pt>
                <c:pt idx="62">
                  <c:v>0.16078431372549021</c:v>
                </c:pt>
                <c:pt idx="63">
                  <c:v>0.16862745098039217</c:v>
                </c:pt>
                <c:pt idx="64">
                  <c:v>0.16470588235294117</c:v>
                </c:pt>
                <c:pt idx="65">
                  <c:v>0.16862745098039217</c:v>
                </c:pt>
                <c:pt idx="66">
                  <c:v>0.16078431372549021</c:v>
                </c:pt>
                <c:pt idx="67">
                  <c:v>0.16078431372549021</c:v>
                </c:pt>
                <c:pt idx="68">
                  <c:v>0.15294117647058825</c:v>
                </c:pt>
                <c:pt idx="69">
                  <c:v>0.15686274509803921</c:v>
                </c:pt>
                <c:pt idx="70">
                  <c:v>0.15686274509803921</c:v>
                </c:pt>
                <c:pt idx="71">
                  <c:v>0.15686274509803921</c:v>
                </c:pt>
                <c:pt idx="72">
                  <c:v>0.15294117647058825</c:v>
                </c:pt>
                <c:pt idx="73">
                  <c:v>0.14901960784313725</c:v>
                </c:pt>
                <c:pt idx="74">
                  <c:v>0.15294117647058825</c:v>
                </c:pt>
                <c:pt idx="75">
                  <c:v>0.14509803921568629</c:v>
                </c:pt>
                <c:pt idx="76">
                  <c:v>0.14509803921568629</c:v>
                </c:pt>
                <c:pt idx="77">
                  <c:v>0.15294117647058825</c:v>
                </c:pt>
                <c:pt idx="78">
                  <c:v>0.14509803921568629</c:v>
                </c:pt>
                <c:pt idx="79">
                  <c:v>0.15294117647058825</c:v>
                </c:pt>
                <c:pt idx="80">
                  <c:v>0.14509803921568629</c:v>
                </c:pt>
              </c:numCache>
            </c:numRef>
          </c:yVal>
        </c:ser>
        <c:ser>
          <c:idx val="2"/>
          <c:order val="2"/>
          <c:tx>
            <c:strRef>
              <c:f>data3!$L$1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data3!$L$2:$L$82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0.97647058823529409</c:v>
                </c:pt>
                <c:pt idx="12">
                  <c:v>0.87058823529411766</c:v>
                </c:pt>
                <c:pt idx="13">
                  <c:v>0.77647058823529413</c:v>
                </c:pt>
                <c:pt idx="14">
                  <c:v>0.70196078431372544</c:v>
                </c:pt>
                <c:pt idx="15">
                  <c:v>0.63529411764705879</c:v>
                </c:pt>
                <c:pt idx="16">
                  <c:v>0.58823529411764708</c:v>
                </c:pt>
                <c:pt idx="17">
                  <c:v>0.54117647058823526</c:v>
                </c:pt>
                <c:pt idx="18">
                  <c:v>0.50196078431372548</c:v>
                </c:pt>
                <c:pt idx="19">
                  <c:v>0.47058823529411764</c:v>
                </c:pt>
                <c:pt idx="20">
                  <c:v>0.43529411764705883</c:v>
                </c:pt>
                <c:pt idx="21">
                  <c:v>0.41176470588235292</c:v>
                </c:pt>
                <c:pt idx="22">
                  <c:v>0.3843137254901961</c:v>
                </c:pt>
                <c:pt idx="23">
                  <c:v>0.36862745098039218</c:v>
                </c:pt>
                <c:pt idx="24">
                  <c:v>0.35294117647058826</c:v>
                </c:pt>
                <c:pt idx="25">
                  <c:v>0.33333333333333331</c:v>
                </c:pt>
                <c:pt idx="26">
                  <c:v>0.32156862745098042</c:v>
                </c:pt>
                <c:pt idx="27">
                  <c:v>0.30588235294117649</c:v>
                </c:pt>
                <c:pt idx="28">
                  <c:v>0.29411764705882354</c:v>
                </c:pt>
                <c:pt idx="29">
                  <c:v>0.28627450980392155</c:v>
                </c:pt>
                <c:pt idx="30">
                  <c:v>0.27058823529411763</c:v>
                </c:pt>
                <c:pt idx="31">
                  <c:v>0.2627450980392157</c:v>
                </c:pt>
                <c:pt idx="32">
                  <c:v>0.25882352941176473</c:v>
                </c:pt>
                <c:pt idx="33">
                  <c:v>0.24705882352941178</c:v>
                </c:pt>
                <c:pt idx="34">
                  <c:v>0.24705882352941178</c:v>
                </c:pt>
                <c:pt idx="35">
                  <c:v>0.23137254901960785</c:v>
                </c:pt>
                <c:pt idx="36">
                  <c:v>0.23137254901960785</c:v>
                </c:pt>
                <c:pt idx="37">
                  <c:v>0.22352941176470589</c:v>
                </c:pt>
                <c:pt idx="38">
                  <c:v>0.22352941176470589</c:v>
                </c:pt>
                <c:pt idx="39">
                  <c:v>0.21568627450980393</c:v>
                </c:pt>
                <c:pt idx="40">
                  <c:v>0.21568627450980393</c:v>
                </c:pt>
                <c:pt idx="41">
                  <c:v>0.20784313725490197</c:v>
                </c:pt>
                <c:pt idx="42">
                  <c:v>0.20784313725490197</c:v>
                </c:pt>
                <c:pt idx="43">
                  <c:v>0.2</c:v>
                </c:pt>
                <c:pt idx="44">
                  <c:v>0.19215686274509805</c:v>
                </c:pt>
                <c:pt idx="45">
                  <c:v>0.19215686274509805</c:v>
                </c:pt>
                <c:pt idx="46">
                  <c:v>0.19215686274509805</c:v>
                </c:pt>
                <c:pt idx="47">
                  <c:v>0.18431372549019609</c:v>
                </c:pt>
                <c:pt idx="48">
                  <c:v>0.18823529411764706</c:v>
                </c:pt>
                <c:pt idx="49">
                  <c:v>0.18431372549019609</c:v>
                </c:pt>
                <c:pt idx="50">
                  <c:v>0.18431372549019609</c:v>
                </c:pt>
                <c:pt idx="51">
                  <c:v>0.1803921568627451</c:v>
                </c:pt>
                <c:pt idx="52">
                  <c:v>0.17647058823529413</c:v>
                </c:pt>
                <c:pt idx="53">
                  <c:v>0.17647058823529413</c:v>
                </c:pt>
                <c:pt idx="54">
                  <c:v>0.17647058823529413</c:v>
                </c:pt>
                <c:pt idx="55">
                  <c:v>0.17254901960784313</c:v>
                </c:pt>
                <c:pt idx="56">
                  <c:v>0.17647058823529413</c:v>
                </c:pt>
                <c:pt idx="57">
                  <c:v>0.16862745098039217</c:v>
                </c:pt>
                <c:pt idx="58">
                  <c:v>0.16862745098039217</c:v>
                </c:pt>
                <c:pt idx="59">
                  <c:v>0.16078431372549021</c:v>
                </c:pt>
                <c:pt idx="60">
                  <c:v>0.16470588235294117</c:v>
                </c:pt>
                <c:pt idx="61">
                  <c:v>0.16078431372549021</c:v>
                </c:pt>
                <c:pt idx="62">
                  <c:v>0.16862745098039217</c:v>
                </c:pt>
                <c:pt idx="63">
                  <c:v>0.16862745098039217</c:v>
                </c:pt>
                <c:pt idx="64">
                  <c:v>0.16078431372549021</c:v>
                </c:pt>
                <c:pt idx="65">
                  <c:v>0.16078431372549021</c:v>
                </c:pt>
                <c:pt idx="66">
                  <c:v>0.16078431372549021</c:v>
                </c:pt>
                <c:pt idx="67">
                  <c:v>0.16470588235294117</c:v>
                </c:pt>
                <c:pt idx="68">
                  <c:v>0.16078431372549021</c:v>
                </c:pt>
                <c:pt idx="69">
                  <c:v>0.16078431372549021</c:v>
                </c:pt>
                <c:pt idx="70">
                  <c:v>0.16078431372549021</c:v>
                </c:pt>
                <c:pt idx="71">
                  <c:v>0.16078431372549021</c:v>
                </c:pt>
                <c:pt idx="72">
                  <c:v>0.15686274509803921</c:v>
                </c:pt>
                <c:pt idx="73">
                  <c:v>0.15294117647058825</c:v>
                </c:pt>
                <c:pt idx="74">
                  <c:v>0.15294117647058825</c:v>
                </c:pt>
                <c:pt idx="75">
                  <c:v>0.15686274509803921</c:v>
                </c:pt>
                <c:pt idx="76">
                  <c:v>0.15294117647058825</c:v>
                </c:pt>
                <c:pt idx="77">
                  <c:v>0.14509803921568629</c:v>
                </c:pt>
                <c:pt idx="78">
                  <c:v>0.14509803921568629</c:v>
                </c:pt>
                <c:pt idx="79">
                  <c:v>0.14901960784313725</c:v>
                </c:pt>
                <c:pt idx="80">
                  <c:v>0.14509803921568629</c:v>
                </c:pt>
              </c:numCache>
            </c:numRef>
          </c:yVal>
        </c:ser>
        <c:ser>
          <c:idx val="3"/>
          <c:order val="3"/>
          <c:tx>
            <c:strRef>
              <c:f>data3!$M$1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data3!$M$2:$M$82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0.96470588235294119</c:v>
                </c:pt>
                <c:pt idx="12">
                  <c:v>0.85490196078431369</c:v>
                </c:pt>
                <c:pt idx="13">
                  <c:v>0.76470588235294112</c:v>
                </c:pt>
                <c:pt idx="14">
                  <c:v>0.69411764705882351</c:v>
                </c:pt>
                <c:pt idx="15">
                  <c:v>0.63137254901960782</c:v>
                </c:pt>
                <c:pt idx="16">
                  <c:v>0.58431372549019611</c:v>
                </c:pt>
                <c:pt idx="17">
                  <c:v>0.53333333333333333</c:v>
                </c:pt>
                <c:pt idx="18">
                  <c:v>0.49411764705882355</c:v>
                </c:pt>
                <c:pt idx="19">
                  <c:v>0.46274509803921571</c:v>
                </c:pt>
                <c:pt idx="20">
                  <c:v>0.43137254901960786</c:v>
                </c:pt>
                <c:pt idx="21">
                  <c:v>0.40392156862745099</c:v>
                </c:pt>
                <c:pt idx="22">
                  <c:v>0.3843137254901961</c:v>
                </c:pt>
                <c:pt idx="23">
                  <c:v>0.36470588235294116</c:v>
                </c:pt>
                <c:pt idx="24">
                  <c:v>0.34901960784313724</c:v>
                </c:pt>
                <c:pt idx="25">
                  <c:v>0.32549019607843138</c:v>
                </c:pt>
                <c:pt idx="26">
                  <c:v>0.30980392156862746</c:v>
                </c:pt>
                <c:pt idx="27">
                  <c:v>0.30196078431372547</c:v>
                </c:pt>
                <c:pt idx="28">
                  <c:v>0.28627450980392155</c:v>
                </c:pt>
                <c:pt idx="29">
                  <c:v>0.27843137254901962</c:v>
                </c:pt>
                <c:pt idx="30">
                  <c:v>0.27058823529411763</c:v>
                </c:pt>
                <c:pt idx="31">
                  <c:v>0.2627450980392157</c:v>
                </c:pt>
                <c:pt idx="32">
                  <c:v>0.25490196078431371</c:v>
                </c:pt>
                <c:pt idx="33">
                  <c:v>0.24705882352941178</c:v>
                </c:pt>
                <c:pt idx="34">
                  <c:v>0.23921568627450981</c:v>
                </c:pt>
                <c:pt idx="35">
                  <c:v>0.23921568627450981</c:v>
                </c:pt>
                <c:pt idx="36">
                  <c:v>0.23137254901960785</c:v>
                </c:pt>
                <c:pt idx="37">
                  <c:v>0.22352941176470589</c:v>
                </c:pt>
                <c:pt idx="38">
                  <c:v>0.22352941176470589</c:v>
                </c:pt>
                <c:pt idx="39">
                  <c:v>0.22352941176470589</c:v>
                </c:pt>
                <c:pt idx="40">
                  <c:v>0.21568627450980393</c:v>
                </c:pt>
                <c:pt idx="41">
                  <c:v>0.20784313725490197</c:v>
                </c:pt>
                <c:pt idx="42">
                  <c:v>0.20392156862745098</c:v>
                </c:pt>
                <c:pt idx="43">
                  <c:v>0.20784313725490197</c:v>
                </c:pt>
                <c:pt idx="44">
                  <c:v>0.2</c:v>
                </c:pt>
                <c:pt idx="45">
                  <c:v>0.2</c:v>
                </c:pt>
                <c:pt idx="46">
                  <c:v>0.19215686274509805</c:v>
                </c:pt>
                <c:pt idx="47">
                  <c:v>0.19215686274509805</c:v>
                </c:pt>
                <c:pt idx="48">
                  <c:v>0.19215686274509805</c:v>
                </c:pt>
                <c:pt idx="49">
                  <c:v>0.19215686274509805</c:v>
                </c:pt>
                <c:pt idx="50">
                  <c:v>0.18431372549019609</c:v>
                </c:pt>
                <c:pt idx="51">
                  <c:v>0.18431372549019609</c:v>
                </c:pt>
                <c:pt idx="52">
                  <c:v>0.1803921568627451</c:v>
                </c:pt>
                <c:pt idx="53">
                  <c:v>0.18431372549019609</c:v>
                </c:pt>
                <c:pt idx="54">
                  <c:v>0.17647058823529413</c:v>
                </c:pt>
                <c:pt idx="55">
                  <c:v>0.17647058823529413</c:v>
                </c:pt>
                <c:pt idx="56">
                  <c:v>0.17647058823529413</c:v>
                </c:pt>
                <c:pt idx="57">
                  <c:v>0.17647058823529413</c:v>
                </c:pt>
                <c:pt idx="58">
                  <c:v>0.16862745098039217</c:v>
                </c:pt>
                <c:pt idx="59">
                  <c:v>0.16862745098039217</c:v>
                </c:pt>
                <c:pt idx="60">
                  <c:v>0.16862745098039217</c:v>
                </c:pt>
                <c:pt idx="61">
                  <c:v>0.16862745098039217</c:v>
                </c:pt>
                <c:pt idx="62">
                  <c:v>0.16862745098039217</c:v>
                </c:pt>
                <c:pt idx="63">
                  <c:v>0.16470588235294117</c:v>
                </c:pt>
                <c:pt idx="64">
                  <c:v>0.16078431372549021</c:v>
                </c:pt>
                <c:pt idx="65">
                  <c:v>0.16078431372549021</c:v>
                </c:pt>
                <c:pt idx="66">
                  <c:v>0.16078431372549021</c:v>
                </c:pt>
                <c:pt idx="67">
                  <c:v>0.16078431372549021</c:v>
                </c:pt>
                <c:pt idx="68">
                  <c:v>0.16078431372549021</c:v>
                </c:pt>
                <c:pt idx="69">
                  <c:v>0.16078431372549021</c:v>
                </c:pt>
                <c:pt idx="70">
                  <c:v>0.15294117647058825</c:v>
                </c:pt>
                <c:pt idx="71">
                  <c:v>0.15294117647058825</c:v>
                </c:pt>
                <c:pt idx="72">
                  <c:v>0.15294117647058825</c:v>
                </c:pt>
                <c:pt idx="73">
                  <c:v>0.15294117647058825</c:v>
                </c:pt>
                <c:pt idx="74">
                  <c:v>0.15294117647058825</c:v>
                </c:pt>
                <c:pt idx="75">
                  <c:v>0.15294117647058825</c:v>
                </c:pt>
                <c:pt idx="76">
                  <c:v>0.15294117647058825</c:v>
                </c:pt>
                <c:pt idx="77">
                  <c:v>0.14509803921568629</c:v>
                </c:pt>
                <c:pt idx="78">
                  <c:v>0.14509803921568629</c:v>
                </c:pt>
                <c:pt idx="79">
                  <c:v>0.14509803921568629</c:v>
                </c:pt>
                <c:pt idx="80">
                  <c:v>0.14901960784313725</c:v>
                </c:pt>
              </c:numCache>
            </c:numRef>
          </c:yVal>
        </c:ser>
        <c:ser>
          <c:idx val="4"/>
          <c:order val="4"/>
          <c:tx>
            <c:strRef>
              <c:f>data3!$N$1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data3!$N$2:$N$82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0.97254901960784312</c:v>
                </c:pt>
                <c:pt idx="12">
                  <c:v>0.86274509803921573</c:v>
                </c:pt>
                <c:pt idx="13">
                  <c:v>0.7686274509803922</c:v>
                </c:pt>
                <c:pt idx="14">
                  <c:v>0.69411764705882351</c:v>
                </c:pt>
                <c:pt idx="15">
                  <c:v>0.63137254901960782</c:v>
                </c:pt>
                <c:pt idx="16">
                  <c:v>0.58039215686274515</c:v>
                </c:pt>
                <c:pt idx="17">
                  <c:v>0.53333333333333333</c:v>
                </c:pt>
                <c:pt idx="18">
                  <c:v>0.49411764705882355</c:v>
                </c:pt>
                <c:pt idx="19">
                  <c:v>0.46274509803921571</c:v>
                </c:pt>
                <c:pt idx="20">
                  <c:v>0.43137254901960786</c:v>
                </c:pt>
                <c:pt idx="21">
                  <c:v>0.40784313725490196</c:v>
                </c:pt>
                <c:pt idx="22">
                  <c:v>0.3843137254901961</c:v>
                </c:pt>
                <c:pt idx="23">
                  <c:v>0.36470588235294116</c:v>
                </c:pt>
                <c:pt idx="24">
                  <c:v>0.34509803921568627</c:v>
                </c:pt>
                <c:pt idx="25">
                  <c:v>0.32549019607843138</c:v>
                </c:pt>
                <c:pt idx="26">
                  <c:v>0.31372549019607843</c:v>
                </c:pt>
                <c:pt idx="27">
                  <c:v>0.30588235294117649</c:v>
                </c:pt>
                <c:pt idx="28">
                  <c:v>0.29411764705882354</c:v>
                </c:pt>
                <c:pt idx="29">
                  <c:v>0.28235294117647058</c:v>
                </c:pt>
                <c:pt idx="30">
                  <c:v>0.27058823529411763</c:v>
                </c:pt>
                <c:pt idx="31">
                  <c:v>0.2627450980392157</c:v>
                </c:pt>
                <c:pt idx="32">
                  <c:v>0.25098039215686274</c:v>
                </c:pt>
                <c:pt idx="33">
                  <c:v>0.24705882352941178</c:v>
                </c:pt>
                <c:pt idx="34">
                  <c:v>0.23529411764705882</c:v>
                </c:pt>
                <c:pt idx="35">
                  <c:v>0.23137254901960785</c:v>
                </c:pt>
                <c:pt idx="36">
                  <c:v>0.22352941176470589</c:v>
                </c:pt>
                <c:pt idx="37">
                  <c:v>0.22745098039215686</c:v>
                </c:pt>
                <c:pt idx="38">
                  <c:v>0.22352941176470589</c:v>
                </c:pt>
                <c:pt idx="39">
                  <c:v>0.20784313725490197</c:v>
                </c:pt>
                <c:pt idx="40">
                  <c:v>0.20784313725490197</c:v>
                </c:pt>
                <c:pt idx="41">
                  <c:v>0.20392156862745098</c:v>
                </c:pt>
                <c:pt idx="42">
                  <c:v>0.2</c:v>
                </c:pt>
                <c:pt idx="43">
                  <c:v>0.20392156862745098</c:v>
                </c:pt>
                <c:pt idx="44">
                  <c:v>0.19215686274509805</c:v>
                </c:pt>
                <c:pt idx="45">
                  <c:v>0.19215686274509805</c:v>
                </c:pt>
                <c:pt idx="46">
                  <c:v>0.18431372549019609</c:v>
                </c:pt>
                <c:pt idx="47">
                  <c:v>0.18823529411764706</c:v>
                </c:pt>
                <c:pt idx="48">
                  <c:v>0.18431372549019609</c:v>
                </c:pt>
                <c:pt idx="49">
                  <c:v>0.1803921568627451</c:v>
                </c:pt>
                <c:pt idx="50">
                  <c:v>0.1803921568627451</c:v>
                </c:pt>
                <c:pt idx="51">
                  <c:v>0.17647058823529413</c:v>
                </c:pt>
                <c:pt idx="52">
                  <c:v>0.17254901960784313</c:v>
                </c:pt>
                <c:pt idx="53">
                  <c:v>0.16862745098039217</c:v>
                </c:pt>
                <c:pt idx="54">
                  <c:v>0.16862745098039217</c:v>
                </c:pt>
                <c:pt idx="55">
                  <c:v>0.16862745098039217</c:v>
                </c:pt>
                <c:pt idx="56">
                  <c:v>0.16862745098039217</c:v>
                </c:pt>
                <c:pt idx="57">
                  <c:v>0.16862745098039217</c:v>
                </c:pt>
                <c:pt idx="58">
                  <c:v>0.16862745098039217</c:v>
                </c:pt>
                <c:pt idx="59">
                  <c:v>0.16470588235294117</c:v>
                </c:pt>
                <c:pt idx="60">
                  <c:v>0.16078431372549021</c:v>
                </c:pt>
                <c:pt idx="61">
                  <c:v>0.15294117647058825</c:v>
                </c:pt>
                <c:pt idx="62">
                  <c:v>0.16078431372549021</c:v>
                </c:pt>
                <c:pt idx="63">
                  <c:v>0.16078431372549021</c:v>
                </c:pt>
                <c:pt idx="64">
                  <c:v>0.16078431372549021</c:v>
                </c:pt>
                <c:pt idx="65">
                  <c:v>0.16078431372549021</c:v>
                </c:pt>
                <c:pt idx="66">
                  <c:v>0.15686274509803921</c:v>
                </c:pt>
                <c:pt idx="67">
                  <c:v>0.15686274509803921</c:v>
                </c:pt>
                <c:pt idx="68">
                  <c:v>0.16078431372549021</c:v>
                </c:pt>
                <c:pt idx="69">
                  <c:v>0.15294117647058825</c:v>
                </c:pt>
                <c:pt idx="70">
                  <c:v>0.15294117647058825</c:v>
                </c:pt>
                <c:pt idx="71">
                  <c:v>0.15294117647058825</c:v>
                </c:pt>
                <c:pt idx="72">
                  <c:v>0.16078431372549021</c:v>
                </c:pt>
                <c:pt idx="73">
                  <c:v>0.15294117647058825</c:v>
                </c:pt>
                <c:pt idx="74">
                  <c:v>0.14901960784313725</c:v>
                </c:pt>
                <c:pt idx="75">
                  <c:v>0.15294117647058825</c:v>
                </c:pt>
                <c:pt idx="76">
                  <c:v>0.15294117647058825</c:v>
                </c:pt>
                <c:pt idx="77">
                  <c:v>0.14901960784313725</c:v>
                </c:pt>
                <c:pt idx="78">
                  <c:v>0.14509803921568629</c:v>
                </c:pt>
                <c:pt idx="79">
                  <c:v>0.15294117647058825</c:v>
                </c:pt>
                <c:pt idx="80">
                  <c:v>0.14509803921568629</c:v>
                </c:pt>
              </c:numCache>
            </c:numRef>
          </c:yVal>
        </c:ser>
        <c:ser>
          <c:idx val="5"/>
          <c:order val="5"/>
          <c:tx>
            <c:strRef>
              <c:f>data3!$O$1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data3!$O$2:$O$82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0.97647058823529409</c:v>
                </c:pt>
                <c:pt idx="12">
                  <c:v>0.87058823529411766</c:v>
                </c:pt>
                <c:pt idx="13">
                  <c:v>0.77254901960784317</c:v>
                </c:pt>
                <c:pt idx="14">
                  <c:v>0.70196078431372544</c:v>
                </c:pt>
                <c:pt idx="15">
                  <c:v>0.63921568627450975</c:v>
                </c:pt>
                <c:pt idx="16">
                  <c:v>0.58431372549019611</c:v>
                </c:pt>
                <c:pt idx="17">
                  <c:v>0.53725490196078429</c:v>
                </c:pt>
                <c:pt idx="18">
                  <c:v>0.49411764705882355</c:v>
                </c:pt>
                <c:pt idx="19">
                  <c:v>0.46274509803921571</c:v>
                </c:pt>
                <c:pt idx="20">
                  <c:v>0.43137254901960786</c:v>
                </c:pt>
                <c:pt idx="21">
                  <c:v>0.40784313725490196</c:v>
                </c:pt>
                <c:pt idx="22">
                  <c:v>0.38039215686274508</c:v>
                </c:pt>
                <c:pt idx="23">
                  <c:v>0.36470588235294116</c:v>
                </c:pt>
                <c:pt idx="24">
                  <c:v>0.35294117647058826</c:v>
                </c:pt>
                <c:pt idx="25">
                  <c:v>0.32941176470588235</c:v>
                </c:pt>
                <c:pt idx="26">
                  <c:v>0.30980392156862746</c:v>
                </c:pt>
                <c:pt idx="27">
                  <c:v>0.30196078431372547</c:v>
                </c:pt>
                <c:pt idx="28">
                  <c:v>0.29411764705882354</c:v>
                </c:pt>
                <c:pt idx="29">
                  <c:v>0.27843137254901962</c:v>
                </c:pt>
                <c:pt idx="30">
                  <c:v>0.27450980392156865</c:v>
                </c:pt>
                <c:pt idx="31">
                  <c:v>0.2627450980392157</c:v>
                </c:pt>
                <c:pt idx="32">
                  <c:v>0.25490196078431371</c:v>
                </c:pt>
                <c:pt idx="33">
                  <c:v>0.25098039215686274</c:v>
                </c:pt>
                <c:pt idx="34">
                  <c:v>0.23921568627450981</c:v>
                </c:pt>
                <c:pt idx="35">
                  <c:v>0.23921568627450981</c:v>
                </c:pt>
                <c:pt idx="36">
                  <c:v>0.23529411764705882</c:v>
                </c:pt>
                <c:pt idx="37">
                  <c:v>0.22352941176470589</c:v>
                </c:pt>
                <c:pt idx="38">
                  <c:v>0.21176470588235294</c:v>
                </c:pt>
                <c:pt idx="39">
                  <c:v>0.21568627450980393</c:v>
                </c:pt>
                <c:pt idx="40">
                  <c:v>0.20784313725490197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0.19215686274509805</c:v>
                </c:pt>
                <c:pt idx="45">
                  <c:v>0.19607843137254902</c:v>
                </c:pt>
                <c:pt idx="46">
                  <c:v>0.19215686274509805</c:v>
                </c:pt>
                <c:pt idx="47">
                  <c:v>0.18431372549019609</c:v>
                </c:pt>
                <c:pt idx="48">
                  <c:v>0.18431372549019609</c:v>
                </c:pt>
                <c:pt idx="49">
                  <c:v>0.18431372549019609</c:v>
                </c:pt>
                <c:pt idx="50">
                  <c:v>0.17647058823529413</c:v>
                </c:pt>
                <c:pt idx="51">
                  <c:v>0.17647058823529413</c:v>
                </c:pt>
                <c:pt idx="52">
                  <c:v>0.16862745098039217</c:v>
                </c:pt>
                <c:pt idx="53">
                  <c:v>0.17647058823529413</c:v>
                </c:pt>
                <c:pt idx="54">
                  <c:v>0.17647058823529413</c:v>
                </c:pt>
                <c:pt idx="55">
                  <c:v>0.1803921568627451</c:v>
                </c:pt>
                <c:pt idx="56">
                  <c:v>0.16862745098039217</c:v>
                </c:pt>
                <c:pt idx="57">
                  <c:v>0.16862745098039217</c:v>
                </c:pt>
                <c:pt idx="58">
                  <c:v>0.16862745098039217</c:v>
                </c:pt>
                <c:pt idx="59">
                  <c:v>0.16862745098039217</c:v>
                </c:pt>
                <c:pt idx="60">
                  <c:v>0.16862745098039217</c:v>
                </c:pt>
                <c:pt idx="61">
                  <c:v>0.16078431372549021</c:v>
                </c:pt>
                <c:pt idx="62">
                  <c:v>0.16078431372549021</c:v>
                </c:pt>
                <c:pt idx="63">
                  <c:v>0.16862745098039217</c:v>
                </c:pt>
                <c:pt idx="64">
                  <c:v>0.16078431372549021</c:v>
                </c:pt>
                <c:pt idx="65">
                  <c:v>0.16078431372549021</c:v>
                </c:pt>
                <c:pt idx="66">
                  <c:v>0.16078431372549021</c:v>
                </c:pt>
                <c:pt idx="67">
                  <c:v>0.16078431372549021</c:v>
                </c:pt>
                <c:pt idx="68">
                  <c:v>0.16078431372549021</c:v>
                </c:pt>
                <c:pt idx="69">
                  <c:v>0.16078431372549021</c:v>
                </c:pt>
                <c:pt idx="70">
                  <c:v>0.16078431372549021</c:v>
                </c:pt>
                <c:pt idx="71">
                  <c:v>0.16078431372549021</c:v>
                </c:pt>
                <c:pt idx="72">
                  <c:v>0.16078431372549021</c:v>
                </c:pt>
                <c:pt idx="73">
                  <c:v>0.15294117647058825</c:v>
                </c:pt>
                <c:pt idx="74">
                  <c:v>0.15294117647058825</c:v>
                </c:pt>
                <c:pt idx="75">
                  <c:v>0.15294117647058825</c:v>
                </c:pt>
                <c:pt idx="76">
                  <c:v>0.15294117647058825</c:v>
                </c:pt>
                <c:pt idx="77">
                  <c:v>0.15294117647058825</c:v>
                </c:pt>
                <c:pt idx="78">
                  <c:v>0.16078431372549021</c:v>
                </c:pt>
                <c:pt idx="79">
                  <c:v>0.15686274509803921</c:v>
                </c:pt>
                <c:pt idx="80">
                  <c:v>0.15294117647058825</c:v>
                </c:pt>
              </c:numCache>
            </c:numRef>
          </c:yVal>
        </c:ser>
        <c:ser>
          <c:idx val="6"/>
          <c:order val="6"/>
          <c:tx>
            <c:strRef>
              <c:f>data3!$P$1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data3!$P$2:$P$82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 formatCode="General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0.98431372549019602</c:v>
                </c:pt>
                <c:pt idx="12">
                  <c:v>0.8666666666666667</c:v>
                </c:pt>
                <c:pt idx="13">
                  <c:v>0.77254901960784317</c:v>
                </c:pt>
                <c:pt idx="14">
                  <c:v>0.70588235294117652</c:v>
                </c:pt>
                <c:pt idx="15">
                  <c:v>0.6470588235294118</c:v>
                </c:pt>
                <c:pt idx="16">
                  <c:v>0.58823529411764708</c:v>
                </c:pt>
                <c:pt idx="17">
                  <c:v>0.54117647058823526</c:v>
                </c:pt>
                <c:pt idx="18">
                  <c:v>0.50588235294117645</c:v>
                </c:pt>
                <c:pt idx="19">
                  <c:v>0.46274509803921571</c:v>
                </c:pt>
                <c:pt idx="20">
                  <c:v>0.4392156862745098</c:v>
                </c:pt>
                <c:pt idx="21">
                  <c:v>0.41568627450980394</c:v>
                </c:pt>
                <c:pt idx="22">
                  <c:v>0.38823529411764707</c:v>
                </c:pt>
                <c:pt idx="23">
                  <c:v>0.37647058823529411</c:v>
                </c:pt>
                <c:pt idx="24">
                  <c:v>0.35686274509803922</c:v>
                </c:pt>
                <c:pt idx="25">
                  <c:v>0.34509803921568627</c:v>
                </c:pt>
                <c:pt idx="26">
                  <c:v>0.32941176470588235</c:v>
                </c:pt>
                <c:pt idx="27">
                  <c:v>0.31372549019607843</c:v>
                </c:pt>
                <c:pt idx="28">
                  <c:v>0.30980392156862746</c:v>
                </c:pt>
                <c:pt idx="29">
                  <c:v>0.29411764705882354</c:v>
                </c:pt>
                <c:pt idx="30">
                  <c:v>0.28235294117647058</c:v>
                </c:pt>
                <c:pt idx="31">
                  <c:v>0.27058823529411763</c:v>
                </c:pt>
                <c:pt idx="32">
                  <c:v>0.26666666666666666</c:v>
                </c:pt>
                <c:pt idx="33">
                  <c:v>0.25490196078431371</c:v>
                </c:pt>
                <c:pt idx="34">
                  <c:v>0.25098039215686274</c:v>
                </c:pt>
                <c:pt idx="35">
                  <c:v>0.24313725490196078</c:v>
                </c:pt>
                <c:pt idx="36">
                  <c:v>0.23921568627450981</c:v>
                </c:pt>
                <c:pt idx="37">
                  <c:v>0.23529411764705882</c:v>
                </c:pt>
                <c:pt idx="38">
                  <c:v>0.23137254901960785</c:v>
                </c:pt>
                <c:pt idx="39">
                  <c:v>0.23137254901960785</c:v>
                </c:pt>
                <c:pt idx="40">
                  <c:v>0.21568627450980393</c:v>
                </c:pt>
                <c:pt idx="41">
                  <c:v>0.20784313725490197</c:v>
                </c:pt>
                <c:pt idx="42">
                  <c:v>0.20784313725490197</c:v>
                </c:pt>
                <c:pt idx="43">
                  <c:v>0.20392156862745098</c:v>
                </c:pt>
                <c:pt idx="44">
                  <c:v>0.2</c:v>
                </c:pt>
                <c:pt idx="45">
                  <c:v>0.19215686274509805</c:v>
                </c:pt>
                <c:pt idx="46">
                  <c:v>0.19215686274509805</c:v>
                </c:pt>
                <c:pt idx="47">
                  <c:v>0.19215686274509805</c:v>
                </c:pt>
                <c:pt idx="48">
                  <c:v>0.18431372549019609</c:v>
                </c:pt>
                <c:pt idx="49">
                  <c:v>0.19215686274509805</c:v>
                </c:pt>
                <c:pt idx="50">
                  <c:v>0.18431372549019609</c:v>
                </c:pt>
                <c:pt idx="51">
                  <c:v>0.17647058823529413</c:v>
                </c:pt>
                <c:pt idx="52">
                  <c:v>0.1803921568627451</c:v>
                </c:pt>
                <c:pt idx="53">
                  <c:v>0.1803921568627451</c:v>
                </c:pt>
                <c:pt idx="54">
                  <c:v>0.18431372549019609</c:v>
                </c:pt>
                <c:pt idx="55">
                  <c:v>0.17647058823529413</c:v>
                </c:pt>
                <c:pt idx="56">
                  <c:v>0.17647058823529413</c:v>
                </c:pt>
                <c:pt idx="57">
                  <c:v>0.16862745098039217</c:v>
                </c:pt>
                <c:pt idx="58">
                  <c:v>0.17254901960784313</c:v>
                </c:pt>
                <c:pt idx="59">
                  <c:v>0.16470588235294117</c:v>
                </c:pt>
                <c:pt idx="60">
                  <c:v>0.16862745098039217</c:v>
                </c:pt>
                <c:pt idx="61">
                  <c:v>0.16078431372549021</c:v>
                </c:pt>
                <c:pt idx="62">
                  <c:v>0.16078431372549021</c:v>
                </c:pt>
                <c:pt idx="63">
                  <c:v>0.16470588235294117</c:v>
                </c:pt>
                <c:pt idx="64">
                  <c:v>0.16078431372549021</c:v>
                </c:pt>
                <c:pt idx="65">
                  <c:v>0.16078431372549021</c:v>
                </c:pt>
                <c:pt idx="66">
                  <c:v>0.16078431372549021</c:v>
                </c:pt>
                <c:pt idx="67">
                  <c:v>0.15686274509803921</c:v>
                </c:pt>
                <c:pt idx="68">
                  <c:v>0.15294117647058825</c:v>
                </c:pt>
                <c:pt idx="69">
                  <c:v>0.16078431372549021</c:v>
                </c:pt>
                <c:pt idx="70">
                  <c:v>0.16078431372549021</c:v>
                </c:pt>
                <c:pt idx="71">
                  <c:v>0.16078431372549021</c:v>
                </c:pt>
                <c:pt idx="72">
                  <c:v>0.15294117647058825</c:v>
                </c:pt>
                <c:pt idx="73">
                  <c:v>0.15294117647058825</c:v>
                </c:pt>
                <c:pt idx="74">
                  <c:v>0.15294117647058825</c:v>
                </c:pt>
                <c:pt idx="75">
                  <c:v>0.15294117647058825</c:v>
                </c:pt>
                <c:pt idx="76">
                  <c:v>0.14509803921568629</c:v>
                </c:pt>
                <c:pt idx="77">
                  <c:v>0.14509803921568629</c:v>
                </c:pt>
                <c:pt idx="78">
                  <c:v>0.14509803921568629</c:v>
                </c:pt>
                <c:pt idx="79">
                  <c:v>0.14509803921568629</c:v>
                </c:pt>
                <c:pt idx="80">
                  <c:v>0.14509803921568629</c:v>
                </c:pt>
              </c:numCache>
            </c:numRef>
          </c:yVal>
        </c:ser>
        <c:ser>
          <c:idx val="7"/>
          <c:order val="7"/>
          <c:tx>
            <c:strRef>
              <c:f>data3!$Q$1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data3!$Q$2:$Q$82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0.97254901960784312</c:v>
                </c:pt>
                <c:pt idx="12">
                  <c:v>0.87058823529411766</c:v>
                </c:pt>
                <c:pt idx="13">
                  <c:v>0.77254901960784317</c:v>
                </c:pt>
                <c:pt idx="14">
                  <c:v>0.69803921568627447</c:v>
                </c:pt>
                <c:pt idx="15">
                  <c:v>0.63921568627450975</c:v>
                </c:pt>
                <c:pt idx="16">
                  <c:v>0.58039215686274515</c:v>
                </c:pt>
                <c:pt idx="17">
                  <c:v>0.54117647058823526</c:v>
                </c:pt>
                <c:pt idx="18">
                  <c:v>0.50196078431372548</c:v>
                </c:pt>
                <c:pt idx="19">
                  <c:v>0.47058823529411764</c:v>
                </c:pt>
                <c:pt idx="20">
                  <c:v>0.43137254901960786</c:v>
                </c:pt>
                <c:pt idx="21">
                  <c:v>0.41568627450980394</c:v>
                </c:pt>
                <c:pt idx="22">
                  <c:v>0.39215686274509803</c:v>
                </c:pt>
                <c:pt idx="23">
                  <c:v>0.37254901960784315</c:v>
                </c:pt>
                <c:pt idx="24">
                  <c:v>0.34901960784313724</c:v>
                </c:pt>
                <c:pt idx="25">
                  <c:v>0.33333333333333331</c:v>
                </c:pt>
                <c:pt idx="26">
                  <c:v>0.32156862745098042</c:v>
                </c:pt>
                <c:pt idx="27">
                  <c:v>0.31372549019607843</c:v>
                </c:pt>
                <c:pt idx="28">
                  <c:v>0.30196078431372547</c:v>
                </c:pt>
                <c:pt idx="29">
                  <c:v>0.29411764705882354</c:v>
                </c:pt>
                <c:pt idx="30">
                  <c:v>0.28627450980392155</c:v>
                </c:pt>
                <c:pt idx="31">
                  <c:v>0.27450980392156865</c:v>
                </c:pt>
                <c:pt idx="32">
                  <c:v>0.2627450980392157</c:v>
                </c:pt>
                <c:pt idx="33">
                  <c:v>0.25098039215686274</c:v>
                </c:pt>
                <c:pt idx="34">
                  <c:v>0.24705882352941178</c:v>
                </c:pt>
                <c:pt idx="35">
                  <c:v>0.23921568627450981</c:v>
                </c:pt>
                <c:pt idx="36">
                  <c:v>0.23137254901960785</c:v>
                </c:pt>
                <c:pt idx="37">
                  <c:v>0.22745098039215686</c:v>
                </c:pt>
                <c:pt idx="38">
                  <c:v>0.22352941176470589</c:v>
                </c:pt>
                <c:pt idx="39">
                  <c:v>0.22352941176470589</c:v>
                </c:pt>
                <c:pt idx="40">
                  <c:v>0.20784313725490197</c:v>
                </c:pt>
                <c:pt idx="41">
                  <c:v>0.21568627450980393</c:v>
                </c:pt>
                <c:pt idx="42">
                  <c:v>0.20784313725490197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0.19215686274509805</c:v>
                </c:pt>
                <c:pt idx="48">
                  <c:v>0.19215686274509805</c:v>
                </c:pt>
                <c:pt idx="49">
                  <c:v>0.18431372549019609</c:v>
                </c:pt>
                <c:pt idx="50">
                  <c:v>0.19215686274509805</c:v>
                </c:pt>
                <c:pt idx="51">
                  <c:v>0.19215686274509805</c:v>
                </c:pt>
                <c:pt idx="52">
                  <c:v>0.18431372549019609</c:v>
                </c:pt>
                <c:pt idx="53">
                  <c:v>0.18431372549019609</c:v>
                </c:pt>
                <c:pt idx="54">
                  <c:v>0.17647058823529413</c:v>
                </c:pt>
                <c:pt idx="55">
                  <c:v>0.1803921568627451</c:v>
                </c:pt>
                <c:pt idx="56">
                  <c:v>0.1803921568627451</c:v>
                </c:pt>
                <c:pt idx="57">
                  <c:v>0.17254901960784313</c:v>
                </c:pt>
                <c:pt idx="58">
                  <c:v>0.16862745098039217</c:v>
                </c:pt>
                <c:pt idx="59">
                  <c:v>0.17647058823529413</c:v>
                </c:pt>
                <c:pt idx="60">
                  <c:v>0.16862745098039217</c:v>
                </c:pt>
                <c:pt idx="61">
                  <c:v>0.17254901960784313</c:v>
                </c:pt>
                <c:pt idx="62">
                  <c:v>0.16470588235294117</c:v>
                </c:pt>
                <c:pt idx="63">
                  <c:v>0.16470588235294117</c:v>
                </c:pt>
                <c:pt idx="64">
                  <c:v>0.16862745098039217</c:v>
                </c:pt>
                <c:pt idx="65">
                  <c:v>0.16078431372549021</c:v>
                </c:pt>
                <c:pt idx="66">
                  <c:v>0.16078431372549021</c:v>
                </c:pt>
                <c:pt idx="67">
                  <c:v>0.16078431372549021</c:v>
                </c:pt>
                <c:pt idx="68">
                  <c:v>0.16078431372549021</c:v>
                </c:pt>
                <c:pt idx="69">
                  <c:v>0.16078431372549021</c:v>
                </c:pt>
                <c:pt idx="70">
                  <c:v>0.16470588235294117</c:v>
                </c:pt>
                <c:pt idx="71">
                  <c:v>0.16862745098039217</c:v>
                </c:pt>
                <c:pt idx="72">
                  <c:v>0.15294117647058825</c:v>
                </c:pt>
                <c:pt idx="73">
                  <c:v>0.16078431372549021</c:v>
                </c:pt>
                <c:pt idx="74">
                  <c:v>0.15294117647058825</c:v>
                </c:pt>
                <c:pt idx="75">
                  <c:v>0.15294117647058825</c:v>
                </c:pt>
                <c:pt idx="76">
                  <c:v>0.15294117647058825</c:v>
                </c:pt>
                <c:pt idx="77">
                  <c:v>0.15294117647058825</c:v>
                </c:pt>
                <c:pt idx="78">
                  <c:v>0.15294117647058825</c:v>
                </c:pt>
                <c:pt idx="79">
                  <c:v>0.15294117647058825</c:v>
                </c:pt>
                <c:pt idx="80">
                  <c:v>0.15294117647058825</c:v>
                </c:pt>
              </c:numCache>
            </c:numRef>
          </c:yVal>
        </c:ser>
        <c:axId val="136784896"/>
        <c:axId val="136794880"/>
      </c:scatterChart>
      <c:valAx>
        <c:axId val="136784896"/>
        <c:scaling>
          <c:orientation val="minMax"/>
        </c:scaling>
        <c:axPos val="b"/>
        <c:numFmt formatCode="0.0" sourceLinked="1"/>
        <c:tickLblPos val="nextTo"/>
        <c:crossAx val="136794880"/>
        <c:crosses val="autoZero"/>
        <c:crossBetween val="midCat"/>
      </c:valAx>
      <c:valAx>
        <c:axId val="136794880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3678489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data3!$R$2:$R$82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0.96078431372549022</c:v>
                </c:pt>
                <c:pt idx="11">
                  <c:v>0.82745098039215681</c:v>
                </c:pt>
                <c:pt idx="12">
                  <c:v>0.71372549019607845</c:v>
                </c:pt>
                <c:pt idx="13">
                  <c:v>0.62745098039215685</c:v>
                </c:pt>
                <c:pt idx="14">
                  <c:v>0.55294117647058827</c:v>
                </c:pt>
                <c:pt idx="15">
                  <c:v>0.49803921568627452</c:v>
                </c:pt>
                <c:pt idx="16">
                  <c:v>0.4392156862745098</c:v>
                </c:pt>
                <c:pt idx="17">
                  <c:v>0.396078431372549</c:v>
                </c:pt>
                <c:pt idx="18">
                  <c:v>0.35294117647058826</c:v>
                </c:pt>
                <c:pt idx="19">
                  <c:v>0.32156862745098042</c:v>
                </c:pt>
                <c:pt idx="20">
                  <c:v>0.29019607843137257</c:v>
                </c:pt>
                <c:pt idx="21">
                  <c:v>0.27058823529411763</c:v>
                </c:pt>
                <c:pt idx="22">
                  <c:v>0.24705882352941178</c:v>
                </c:pt>
                <c:pt idx="23">
                  <c:v>0.23137254901960785</c:v>
                </c:pt>
                <c:pt idx="24">
                  <c:v>0.20392156862745098</c:v>
                </c:pt>
                <c:pt idx="25">
                  <c:v>0.18823529411764706</c:v>
                </c:pt>
                <c:pt idx="26">
                  <c:v>0.16862745098039217</c:v>
                </c:pt>
                <c:pt idx="27">
                  <c:v>0.16470588235294117</c:v>
                </c:pt>
                <c:pt idx="28">
                  <c:v>0.14901960784313725</c:v>
                </c:pt>
                <c:pt idx="29">
                  <c:v>0.13725490196078433</c:v>
                </c:pt>
                <c:pt idx="30">
                  <c:v>0.12941176470588237</c:v>
                </c:pt>
                <c:pt idx="31">
                  <c:v>0.11764705882352941</c:v>
                </c:pt>
                <c:pt idx="32">
                  <c:v>0.11372549019607843</c:v>
                </c:pt>
                <c:pt idx="33">
                  <c:v>0.10196078431372549</c:v>
                </c:pt>
                <c:pt idx="34">
                  <c:v>9.8039215686274508E-2</c:v>
                </c:pt>
                <c:pt idx="35">
                  <c:v>9.0196078431372548E-2</c:v>
                </c:pt>
                <c:pt idx="36">
                  <c:v>8.6274509803921567E-2</c:v>
                </c:pt>
                <c:pt idx="37">
                  <c:v>8.2352941176470587E-2</c:v>
                </c:pt>
                <c:pt idx="38">
                  <c:v>8.2352941176470587E-2</c:v>
                </c:pt>
                <c:pt idx="39">
                  <c:v>7.4509803921568626E-2</c:v>
                </c:pt>
                <c:pt idx="40">
                  <c:v>7.4509803921568626E-2</c:v>
                </c:pt>
                <c:pt idx="41">
                  <c:v>6.6666666666666666E-2</c:v>
                </c:pt>
                <c:pt idx="42">
                  <c:v>5.8823529411764705E-2</c:v>
                </c:pt>
                <c:pt idx="43">
                  <c:v>5.8823529411764705E-2</c:v>
                </c:pt>
                <c:pt idx="44">
                  <c:v>5.0980392156862744E-2</c:v>
                </c:pt>
                <c:pt idx="45">
                  <c:v>5.0980392156862744E-2</c:v>
                </c:pt>
                <c:pt idx="46">
                  <c:v>5.0980392156862744E-2</c:v>
                </c:pt>
                <c:pt idx="47">
                  <c:v>4.7058823529411764E-2</c:v>
                </c:pt>
                <c:pt idx="48">
                  <c:v>4.3137254901960784E-2</c:v>
                </c:pt>
                <c:pt idx="49">
                  <c:v>4.3137254901960784E-2</c:v>
                </c:pt>
                <c:pt idx="50">
                  <c:v>4.3137254901960784E-2</c:v>
                </c:pt>
                <c:pt idx="51">
                  <c:v>4.3137254901960784E-2</c:v>
                </c:pt>
                <c:pt idx="52">
                  <c:v>3.9215686274509803E-2</c:v>
                </c:pt>
                <c:pt idx="53">
                  <c:v>3.9215686274509803E-2</c:v>
                </c:pt>
                <c:pt idx="54">
                  <c:v>3.5294117647058823E-2</c:v>
                </c:pt>
                <c:pt idx="55">
                  <c:v>3.5294117647058823E-2</c:v>
                </c:pt>
                <c:pt idx="56">
                  <c:v>3.1372549019607843E-2</c:v>
                </c:pt>
                <c:pt idx="57">
                  <c:v>2.7450980392156862E-2</c:v>
                </c:pt>
                <c:pt idx="58">
                  <c:v>3.5294117647058823E-2</c:v>
                </c:pt>
                <c:pt idx="59">
                  <c:v>1.9607843137254902E-2</c:v>
                </c:pt>
                <c:pt idx="60">
                  <c:v>2.7450980392156862E-2</c:v>
                </c:pt>
                <c:pt idx="61">
                  <c:v>1.9607843137254902E-2</c:v>
                </c:pt>
                <c:pt idx="62">
                  <c:v>2.7450980392156862E-2</c:v>
                </c:pt>
                <c:pt idx="63">
                  <c:v>2.7450980392156862E-2</c:v>
                </c:pt>
                <c:pt idx="64">
                  <c:v>2.7450980392156862E-2</c:v>
                </c:pt>
                <c:pt idx="65">
                  <c:v>2.3529411764705882E-2</c:v>
                </c:pt>
                <c:pt idx="66">
                  <c:v>1.9607843137254902E-2</c:v>
                </c:pt>
                <c:pt idx="67">
                  <c:v>2.3529411764705882E-2</c:v>
                </c:pt>
                <c:pt idx="68">
                  <c:v>1.9607843137254902E-2</c:v>
                </c:pt>
                <c:pt idx="69">
                  <c:v>1.9607843137254902E-2</c:v>
                </c:pt>
                <c:pt idx="70">
                  <c:v>1.9607843137254902E-2</c:v>
                </c:pt>
                <c:pt idx="71">
                  <c:v>1.9607843137254902E-2</c:v>
                </c:pt>
                <c:pt idx="72">
                  <c:v>1.5686274509803921E-2</c:v>
                </c:pt>
                <c:pt idx="73">
                  <c:v>1.9607843137254902E-2</c:v>
                </c:pt>
                <c:pt idx="74">
                  <c:v>1.1764705882352941E-2</c:v>
                </c:pt>
                <c:pt idx="75">
                  <c:v>1.1764705882352941E-2</c:v>
                </c:pt>
                <c:pt idx="76">
                  <c:v>1.5686274509803921E-2</c:v>
                </c:pt>
                <c:pt idx="77">
                  <c:v>3.9215686274509803E-3</c:v>
                </c:pt>
                <c:pt idx="78">
                  <c:v>1.1764705882352941E-2</c:v>
                </c:pt>
                <c:pt idx="79">
                  <c:v>3.9215686274509803E-3</c:v>
                </c:pt>
                <c:pt idx="80">
                  <c:v>1.1764705882352941E-2</c:v>
                </c:pt>
              </c:numCache>
            </c:numRef>
          </c:yVal>
        </c:ser>
        <c:ser>
          <c:idx val="1"/>
          <c:order val="1"/>
          <c:tx>
            <c:strRef>
              <c:f>data3!$S$1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data3!$S$2:$S$82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0.98039215686274506</c:v>
                </c:pt>
                <c:pt idx="12">
                  <c:v>0.86274509803921573</c:v>
                </c:pt>
                <c:pt idx="13">
                  <c:v>0.77254901960784317</c:v>
                </c:pt>
                <c:pt idx="14">
                  <c:v>0.70196078431372544</c:v>
                </c:pt>
                <c:pt idx="15">
                  <c:v>0.63921568627450975</c:v>
                </c:pt>
                <c:pt idx="16">
                  <c:v>0.58431372549019611</c:v>
                </c:pt>
                <c:pt idx="17">
                  <c:v>0.54117647058823526</c:v>
                </c:pt>
                <c:pt idx="18">
                  <c:v>0.49803921568627452</c:v>
                </c:pt>
                <c:pt idx="19">
                  <c:v>0.46274509803921571</c:v>
                </c:pt>
                <c:pt idx="20">
                  <c:v>0.4392156862745098</c:v>
                </c:pt>
                <c:pt idx="21">
                  <c:v>0.41176470588235292</c:v>
                </c:pt>
                <c:pt idx="22">
                  <c:v>0.38823529411764707</c:v>
                </c:pt>
                <c:pt idx="23">
                  <c:v>0.36862745098039218</c:v>
                </c:pt>
                <c:pt idx="24">
                  <c:v>0.35686274509803922</c:v>
                </c:pt>
                <c:pt idx="25">
                  <c:v>0.33725490196078434</c:v>
                </c:pt>
                <c:pt idx="26">
                  <c:v>0.31764705882352939</c:v>
                </c:pt>
                <c:pt idx="27">
                  <c:v>0.30588235294117649</c:v>
                </c:pt>
                <c:pt idx="28">
                  <c:v>0.29411764705882354</c:v>
                </c:pt>
                <c:pt idx="29">
                  <c:v>0.28235294117647058</c:v>
                </c:pt>
                <c:pt idx="30">
                  <c:v>0.28235294117647058</c:v>
                </c:pt>
                <c:pt idx="31">
                  <c:v>0.26666666666666666</c:v>
                </c:pt>
                <c:pt idx="32">
                  <c:v>0.2627450980392157</c:v>
                </c:pt>
                <c:pt idx="33">
                  <c:v>0.25490196078431371</c:v>
                </c:pt>
                <c:pt idx="34">
                  <c:v>0.24705882352941178</c:v>
                </c:pt>
                <c:pt idx="35">
                  <c:v>0.23529411764705882</c:v>
                </c:pt>
                <c:pt idx="36">
                  <c:v>0.23921568627450981</c:v>
                </c:pt>
                <c:pt idx="37">
                  <c:v>0.23137254901960785</c:v>
                </c:pt>
                <c:pt idx="38">
                  <c:v>0.22745098039215686</c:v>
                </c:pt>
                <c:pt idx="39">
                  <c:v>0.21568627450980393</c:v>
                </c:pt>
                <c:pt idx="40">
                  <c:v>0.20784313725490197</c:v>
                </c:pt>
                <c:pt idx="41">
                  <c:v>0.21568627450980393</c:v>
                </c:pt>
                <c:pt idx="42">
                  <c:v>0.20784313725490197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0.19215686274509805</c:v>
                </c:pt>
                <c:pt idx="47">
                  <c:v>0.19215686274509805</c:v>
                </c:pt>
                <c:pt idx="48">
                  <c:v>0.18431372549019609</c:v>
                </c:pt>
                <c:pt idx="49">
                  <c:v>0.18431372549019609</c:v>
                </c:pt>
                <c:pt idx="50">
                  <c:v>0.18431372549019609</c:v>
                </c:pt>
                <c:pt idx="51">
                  <c:v>0.18431372549019609</c:v>
                </c:pt>
                <c:pt idx="52">
                  <c:v>0.1803921568627451</c:v>
                </c:pt>
                <c:pt idx="53">
                  <c:v>0.17647058823529413</c:v>
                </c:pt>
                <c:pt idx="54">
                  <c:v>0.17647058823529413</c:v>
                </c:pt>
                <c:pt idx="55">
                  <c:v>0.17647058823529413</c:v>
                </c:pt>
                <c:pt idx="56">
                  <c:v>0.16862745098039217</c:v>
                </c:pt>
                <c:pt idx="57">
                  <c:v>0.16862745098039217</c:v>
                </c:pt>
                <c:pt idx="58">
                  <c:v>0.16862745098039217</c:v>
                </c:pt>
                <c:pt idx="59">
                  <c:v>0.16862745098039217</c:v>
                </c:pt>
                <c:pt idx="60">
                  <c:v>0.16078431372549021</c:v>
                </c:pt>
                <c:pt idx="61">
                  <c:v>0.16470588235294117</c:v>
                </c:pt>
                <c:pt idx="62">
                  <c:v>0.16862745098039217</c:v>
                </c:pt>
                <c:pt idx="63">
                  <c:v>0.16862745098039217</c:v>
                </c:pt>
                <c:pt idx="64">
                  <c:v>0.16862745098039217</c:v>
                </c:pt>
                <c:pt idx="65">
                  <c:v>0.16862745098039217</c:v>
                </c:pt>
                <c:pt idx="66">
                  <c:v>0.16470588235294117</c:v>
                </c:pt>
                <c:pt idx="67">
                  <c:v>0.16078431372549021</c:v>
                </c:pt>
                <c:pt idx="68">
                  <c:v>0.16078431372549021</c:v>
                </c:pt>
                <c:pt idx="69">
                  <c:v>0.16078431372549021</c:v>
                </c:pt>
                <c:pt idx="70">
                  <c:v>0.16078431372549021</c:v>
                </c:pt>
                <c:pt idx="71">
                  <c:v>0.16078431372549021</c:v>
                </c:pt>
                <c:pt idx="72">
                  <c:v>0.15294117647058825</c:v>
                </c:pt>
                <c:pt idx="73">
                  <c:v>0.16078431372549021</c:v>
                </c:pt>
                <c:pt idx="74">
                  <c:v>0.15294117647058825</c:v>
                </c:pt>
                <c:pt idx="75">
                  <c:v>0.16078431372549021</c:v>
                </c:pt>
                <c:pt idx="76">
                  <c:v>0.15686274509803921</c:v>
                </c:pt>
                <c:pt idx="77">
                  <c:v>0.16078431372549021</c:v>
                </c:pt>
                <c:pt idx="78">
                  <c:v>0.15294117647058825</c:v>
                </c:pt>
                <c:pt idx="79">
                  <c:v>0.14509803921568629</c:v>
                </c:pt>
                <c:pt idx="80">
                  <c:v>0.14901960784313725</c:v>
                </c:pt>
              </c:numCache>
            </c:numRef>
          </c:yVal>
        </c:ser>
        <c:ser>
          <c:idx val="2"/>
          <c:order val="2"/>
          <c:tx>
            <c:strRef>
              <c:f>data3!$T$1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data3!$T$2:$T$82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0.96862745098039216</c:v>
                </c:pt>
                <c:pt idx="12">
                  <c:v>0.86274509803921573</c:v>
                </c:pt>
                <c:pt idx="13">
                  <c:v>0.7686274509803922</c:v>
                </c:pt>
                <c:pt idx="14">
                  <c:v>0.69411764705882351</c:v>
                </c:pt>
                <c:pt idx="15">
                  <c:v>0.63137254901960782</c:v>
                </c:pt>
                <c:pt idx="16">
                  <c:v>0.57647058823529407</c:v>
                </c:pt>
                <c:pt idx="17">
                  <c:v>0.52549019607843139</c:v>
                </c:pt>
                <c:pt idx="18">
                  <c:v>0.48627450980392156</c:v>
                </c:pt>
                <c:pt idx="19">
                  <c:v>0.45882352941176469</c:v>
                </c:pt>
                <c:pt idx="20">
                  <c:v>0.43529411764705883</c:v>
                </c:pt>
                <c:pt idx="21">
                  <c:v>0.40784313725490196</c:v>
                </c:pt>
                <c:pt idx="22">
                  <c:v>0.39215686274509803</c:v>
                </c:pt>
                <c:pt idx="23">
                  <c:v>0.37254901960784315</c:v>
                </c:pt>
                <c:pt idx="24">
                  <c:v>0.34509803921568627</c:v>
                </c:pt>
                <c:pt idx="25">
                  <c:v>0.32156862745098042</c:v>
                </c:pt>
                <c:pt idx="26">
                  <c:v>0.30980392156862746</c:v>
                </c:pt>
                <c:pt idx="27">
                  <c:v>0.30196078431372547</c:v>
                </c:pt>
                <c:pt idx="28">
                  <c:v>0.28235294117647058</c:v>
                </c:pt>
                <c:pt idx="29">
                  <c:v>0.27843137254901962</c:v>
                </c:pt>
                <c:pt idx="30">
                  <c:v>0.2627450980392157</c:v>
                </c:pt>
                <c:pt idx="31">
                  <c:v>0.25098039215686274</c:v>
                </c:pt>
                <c:pt idx="32">
                  <c:v>0.25098039215686274</c:v>
                </c:pt>
                <c:pt idx="33">
                  <c:v>0.23921568627450981</c:v>
                </c:pt>
                <c:pt idx="34">
                  <c:v>0.23921568627450981</c:v>
                </c:pt>
                <c:pt idx="35">
                  <c:v>0.23137254901960785</c:v>
                </c:pt>
                <c:pt idx="36">
                  <c:v>0.22745098039215686</c:v>
                </c:pt>
                <c:pt idx="37">
                  <c:v>0.22352941176470589</c:v>
                </c:pt>
                <c:pt idx="38">
                  <c:v>0.2196078431372549</c:v>
                </c:pt>
                <c:pt idx="39">
                  <c:v>0.21568627450980393</c:v>
                </c:pt>
                <c:pt idx="40">
                  <c:v>0.21176470588235294</c:v>
                </c:pt>
                <c:pt idx="41">
                  <c:v>0.21176470588235294</c:v>
                </c:pt>
                <c:pt idx="42">
                  <c:v>0.2</c:v>
                </c:pt>
                <c:pt idx="43">
                  <c:v>0.2</c:v>
                </c:pt>
                <c:pt idx="44">
                  <c:v>0.18823529411764706</c:v>
                </c:pt>
                <c:pt idx="45">
                  <c:v>0.19215686274509805</c:v>
                </c:pt>
                <c:pt idx="46">
                  <c:v>0.19215686274509805</c:v>
                </c:pt>
                <c:pt idx="47">
                  <c:v>0.18431372549019609</c:v>
                </c:pt>
                <c:pt idx="48">
                  <c:v>0.19215686274509805</c:v>
                </c:pt>
                <c:pt idx="49">
                  <c:v>0.18431372549019609</c:v>
                </c:pt>
                <c:pt idx="50">
                  <c:v>0.17647058823529413</c:v>
                </c:pt>
                <c:pt idx="51">
                  <c:v>0.17647058823529413</c:v>
                </c:pt>
                <c:pt idx="52">
                  <c:v>0.1803921568627451</c:v>
                </c:pt>
                <c:pt idx="53">
                  <c:v>0.1803921568627451</c:v>
                </c:pt>
                <c:pt idx="54">
                  <c:v>0.1803921568627451</c:v>
                </c:pt>
                <c:pt idx="55">
                  <c:v>0.17647058823529413</c:v>
                </c:pt>
                <c:pt idx="56">
                  <c:v>0.17254901960784313</c:v>
                </c:pt>
                <c:pt idx="57">
                  <c:v>0.16470588235294117</c:v>
                </c:pt>
                <c:pt idx="58">
                  <c:v>0.16470588235294117</c:v>
                </c:pt>
                <c:pt idx="59">
                  <c:v>0.16862745098039217</c:v>
                </c:pt>
                <c:pt idx="60">
                  <c:v>0.16078431372549021</c:v>
                </c:pt>
                <c:pt idx="61">
                  <c:v>0.16862745098039217</c:v>
                </c:pt>
                <c:pt idx="62">
                  <c:v>0.16078431372549021</c:v>
                </c:pt>
                <c:pt idx="63">
                  <c:v>0.16470588235294117</c:v>
                </c:pt>
                <c:pt idx="64">
                  <c:v>0.15294117647058825</c:v>
                </c:pt>
                <c:pt idx="65">
                  <c:v>0.15294117647058825</c:v>
                </c:pt>
                <c:pt idx="66">
                  <c:v>0.15294117647058825</c:v>
                </c:pt>
                <c:pt idx="67">
                  <c:v>0.15686274509803921</c:v>
                </c:pt>
                <c:pt idx="68">
                  <c:v>0.15686274509803921</c:v>
                </c:pt>
                <c:pt idx="69">
                  <c:v>0.15686274509803921</c:v>
                </c:pt>
                <c:pt idx="70">
                  <c:v>0.15294117647058825</c:v>
                </c:pt>
                <c:pt idx="71">
                  <c:v>0.15294117647058825</c:v>
                </c:pt>
                <c:pt idx="72">
                  <c:v>0.14901960784313725</c:v>
                </c:pt>
                <c:pt idx="73">
                  <c:v>0.15294117647058825</c:v>
                </c:pt>
                <c:pt idx="74">
                  <c:v>0.15294117647058825</c:v>
                </c:pt>
                <c:pt idx="75">
                  <c:v>0.15294117647058825</c:v>
                </c:pt>
                <c:pt idx="76">
                  <c:v>0.16078431372549021</c:v>
                </c:pt>
                <c:pt idx="77">
                  <c:v>0.15294117647058825</c:v>
                </c:pt>
                <c:pt idx="78">
                  <c:v>0.15294117647058825</c:v>
                </c:pt>
                <c:pt idx="79">
                  <c:v>0.15294117647058825</c:v>
                </c:pt>
                <c:pt idx="80">
                  <c:v>0.15294117647058825</c:v>
                </c:pt>
              </c:numCache>
            </c:numRef>
          </c:yVal>
        </c:ser>
        <c:ser>
          <c:idx val="3"/>
          <c:order val="3"/>
          <c:tx>
            <c:strRef>
              <c:f>data3!$U$1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data3!$U$2:$U$82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0.98039215686274506</c:v>
                </c:pt>
                <c:pt idx="12">
                  <c:v>0.86274509803921573</c:v>
                </c:pt>
                <c:pt idx="13">
                  <c:v>0.7686274509803922</c:v>
                </c:pt>
                <c:pt idx="14">
                  <c:v>0.70196078431372544</c:v>
                </c:pt>
                <c:pt idx="15">
                  <c:v>0.63921568627450975</c:v>
                </c:pt>
                <c:pt idx="16">
                  <c:v>0.58823529411764708</c:v>
                </c:pt>
                <c:pt idx="17">
                  <c:v>0.54117647058823526</c:v>
                </c:pt>
                <c:pt idx="18">
                  <c:v>0.50196078431372548</c:v>
                </c:pt>
                <c:pt idx="19">
                  <c:v>0.46274509803921571</c:v>
                </c:pt>
                <c:pt idx="20">
                  <c:v>0.4392156862745098</c:v>
                </c:pt>
                <c:pt idx="21">
                  <c:v>0.41960784313725491</c:v>
                </c:pt>
                <c:pt idx="22">
                  <c:v>0.38823529411764707</c:v>
                </c:pt>
                <c:pt idx="23">
                  <c:v>0.36862745098039218</c:v>
                </c:pt>
                <c:pt idx="24">
                  <c:v>0.35294117647058826</c:v>
                </c:pt>
                <c:pt idx="25">
                  <c:v>0.33725490196078434</c:v>
                </c:pt>
                <c:pt idx="26">
                  <c:v>0.32549019607843138</c:v>
                </c:pt>
                <c:pt idx="27">
                  <c:v>0.30588235294117649</c:v>
                </c:pt>
                <c:pt idx="28">
                  <c:v>0.29803921568627451</c:v>
                </c:pt>
                <c:pt idx="29">
                  <c:v>0.29019607843137257</c:v>
                </c:pt>
                <c:pt idx="30">
                  <c:v>0.27450980392156865</c:v>
                </c:pt>
                <c:pt idx="31">
                  <c:v>0.26666666666666666</c:v>
                </c:pt>
                <c:pt idx="32">
                  <c:v>0.2627450980392157</c:v>
                </c:pt>
                <c:pt idx="33">
                  <c:v>0.25098039215686274</c:v>
                </c:pt>
                <c:pt idx="34">
                  <c:v>0.25098039215686274</c:v>
                </c:pt>
                <c:pt idx="35">
                  <c:v>0.23921568627450981</c:v>
                </c:pt>
                <c:pt idx="36">
                  <c:v>0.24313725490196078</c:v>
                </c:pt>
                <c:pt idx="37">
                  <c:v>0.22352941176470589</c:v>
                </c:pt>
                <c:pt idx="38">
                  <c:v>0.22352941176470589</c:v>
                </c:pt>
                <c:pt idx="39">
                  <c:v>0.23137254901960785</c:v>
                </c:pt>
                <c:pt idx="40">
                  <c:v>0.2196078431372549</c:v>
                </c:pt>
                <c:pt idx="41">
                  <c:v>0.20784313725490197</c:v>
                </c:pt>
                <c:pt idx="42">
                  <c:v>0.21176470588235294</c:v>
                </c:pt>
                <c:pt idx="43">
                  <c:v>0.2</c:v>
                </c:pt>
                <c:pt idx="44">
                  <c:v>0.2</c:v>
                </c:pt>
                <c:pt idx="45">
                  <c:v>0.19215686274509805</c:v>
                </c:pt>
                <c:pt idx="46">
                  <c:v>0.19215686274509805</c:v>
                </c:pt>
                <c:pt idx="47">
                  <c:v>0.19215686274509805</c:v>
                </c:pt>
                <c:pt idx="48">
                  <c:v>0.18431372549019609</c:v>
                </c:pt>
                <c:pt idx="49">
                  <c:v>0.18823529411764706</c:v>
                </c:pt>
                <c:pt idx="50">
                  <c:v>0.18823529411764706</c:v>
                </c:pt>
                <c:pt idx="51">
                  <c:v>0.18431372549019609</c:v>
                </c:pt>
                <c:pt idx="52">
                  <c:v>0.17647058823529413</c:v>
                </c:pt>
                <c:pt idx="53">
                  <c:v>0.18431372549019609</c:v>
                </c:pt>
                <c:pt idx="54">
                  <c:v>0.17647058823529413</c:v>
                </c:pt>
                <c:pt idx="55">
                  <c:v>0.1803921568627451</c:v>
                </c:pt>
                <c:pt idx="56">
                  <c:v>0.16862745098039217</c:v>
                </c:pt>
                <c:pt idx="57">
                  <c:v>0.16470588235294117</c:v>
                </c:pt>
                <c:pt idx="58">
                  <c:v>0.16078431372549021</c:v>
                </c:pt>
                <c:pt idx="59">
                  <c:v>0.16078431372549021</c:v>
                </c:pt>
                <c:pt idx="60">
                  <c:v>0.16078431372549021</c:v>
                </c:pt>
                <c:pt idx="61">
                  <c:v>0.16078431372549021</c:v>
                </c:pt>
                <c:pt idx="62">
                  <c:v>0.16470588235294117</c:v>
                </c:pt>
                <c:pt idx="63">
                  <c:v>0.16470588235294117</c:v>
                </c:pt>
                <c:pt idx="64">
                  <c:v>0.16470588235294117</c:v>
                </c:pt>
                <c:pt idx="65">
                  <c:v>0.16078431372549021</c:v>
                </c:pt>
                <c:pt idx="66">
                  <c:v>0.16078431372549021</c:v>
                </c:pt>
                <c:pt idx="67">
                  <c:v>0.15294117647058825</c:v>
                </c:pt>
                <c:pt idx="68">
                  <c:v>0.15294117647058825</c:v>
                </c:pt>
                <c:pt idx="69">
                  <c:v>0.15294117647058825</c:v>
                </c:pt>
                <c:pt idx="70">
                  <c:v>0.14901960784313725</c:v>
                </c:pt>
                <c:pt idx="71">
                  <c:v>0.14509803921568629</c:v>
                </c:pt>
                <c:pt idx="72">
                  <c:v>0.15294117647058825</c:v>
                </c:pt>
                <c:pt idx="73">
                  <c:v>0.15294117647058825</c:v>
                </c:pt>
                <c:pt idx="74">
                  <c:v>0.15294117647058825</c:v>
                </c:pt>
                <c:pt idx="75">
                  <c:v>0.15294117647058825</c:v>
                </c:pt>
                <c:pt idx="76">
                  <c:v>0.16078431372549021</c:v>
                </c:pt>
                <c:pt idx="77">
                  <c:v>0.15294117647058825</c:v>
                </c:pt>
                <c:pt idx="78">
                  <c:v>0.15294117647058825</c:v>
                </c:pt>
                <c:pt idx="79">
                  <c:v>0.14509803921568629</c:v>
                </c:pt>
                <c:pt idx="80">
                  <c:v>0.14509803921568629</c:v>
                </c:pt>
              </c:numCache>
            </c:numRef>
          </c:yVal>
        </c:ser>
        <c:ser>
          <c:idx val="4"/>
          <c:order val="4"/>
          <c:tx>
            <c:strRef>
              <c:f>data3!$V$1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data3!$V$2:$V$82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0.96862745098039216</c:v>
                </c:pt>
                <c:pt idx="12">
                  <c:v>0.86274509803921573</c:v>
                </c:pt>
                <c:pt idx="13">
                  <c:v>0.76470588235294112</c:v>
                </c:pt>
                <c:pt idx="14">
                  <c:v>0.69411764705882351</c:v>
                </c:pt>
                <c:pt idx="15">
                  <c:v>0.63137254901960782</c:v>
                </c:pt>
                <c:pt idx="16">
                  <c:v>0.58431372549019611</c:v>
                </c:pt>
                <c:pt idx="17">
                  <c:v>0.53725490196078429</c:v>
                </c:pt>
                <c:pt idx="18">
                  <c:v>0.50196078431372548</c:v>
                </c:pt>
                <c:pt idx="19">
                  <c:v>0.47058823529411764</c:v>
                </c:pt>
                <c:pt idx="20">
                  <c:v>0.4392156862745098</c:v>
                </c:pt>
                <c:pt idx="21">
                  <c:v>0.41568627450980394</c:v>
                </c:pt>
                <c:pt idx="22">
                  <c:v>0.39215686274509803</c:v>
                </c:pt>
                <c:pt idx="23">
                  <c:v>0.38039215686274508</c:v>
                </c:pt>
                <c:pt idx="24">
                  <c:v>0.35686274509803922</c:v>
                </c:pt>
                <c:pt idx="25">
                  <c:v>0.33725490196078434</c:v>
                </c:pt>
                <c:pt idx="26">
                  <c:v>0.31764705882352939</c:v>
                </c:pt>
                <c:pt idx="27">
                  <c:v>0.31372549019607843</c:v>
                </c:pt>
                <c:pt idx="28">
                  <c:v>0.29411764705882354</c:v>
                </c:pt>
                <c:pt idx="29">
                  <c:v>0.27843137254901962</c:v>
                </c:pt>
                <c:pt idx="30">
                  <c:v>0.27843137254901962</c:v>
                </c:pt>
                <c:pt idx="31">
                  <c:v>0.27450980392156865</c:v>
                </c:pt>
                <c:pt idx="32">
                  <c:v>0.25490196078431371</c:v>
                </c:pt>
                <c:pt idx="33">
                  <c:v>0.24705882352941178</c:v>
                </c:pt>
                <c:pt idx="34">
                  <c:v>0.24313725490196078</c:v>
                </c:pt>
                <c:pt idx="35">
                  <c:v>0.23921568627450981</c:v>
                </c:pt>
                <c:pt idx="36">
                  <c:v>0.23529411764705882</c:v>
                </c:pt>
                <c:pt idx="37">
                  <c:v>0.22352941176470589</c:v>
                </c:pt>
                <c:pt idx="38">
                  <c:v>0.22352941176470589</c:v>
                </c:pt>
                <c:pt idx="39">
                  <c:v>0.22352941176470589</c:v>
                </c:pt>
                <c:pt idx="40">
                  <c:v>0.21176470588235294</c:v>
                </c:pt>
                <c:pt idx="41">
                  <c:v>0.20784313725490197</c:v>
                </c:pt>
                <c:pt idx="42">
                  <c:v>0.20392156862745098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0.19607843137254902</c:v>
                </c:pt>
                <c:pt idx="47">
                  <c:v>0.18823529411764706</c:v>
                </c:pt>
                <c:pt idx="48">
                  <c:v>0.19215686274509805</c:v>
                </c:pt>
                <c:pt idx="49">
                  <c:v>0.18431372549019609</c:v>
                </c:pt>
                <c:pt idx="50">
                  <c:v>0.18431372549019609</c:v>
                </c:pt>
                <c:pt idx="51">
                  <c:v>0.17647058823529413</c:v>
                </c:pt>
                <c:pt idx="52">
                  <c:v>0.18431372549019609</c:v>
                </c:pt>
                <c:pt idx="53">
                  <c:v>0.17254901960784313</c:v>
                </c:pt>
                <c:pt idx="54">
                  <c:v>0.17647058823529413</c:v>
                </c:pt>
                <c:pt idx="55">
                  <c:v>0.16862745098039217</c:v>
                </c:pt>
                <c:pt idx="56">
                  <c:v>0.16862745098039217</c:v>
                </c:pt>
                <c:pt idx="57">
                  <c:v>0.17647058823529413</c:v>
                </c:pt>
                <c:pt idx="58">
                  <c:v>0.16862745098039217</c:v>
                </c:pt>
                <c:pt idx="59">
                  <c:v>0.16862745098039217</c:v>
                </c:pt>
                <c:pt idx="60">
                  <c:v>0.16862745098039217</c:v>
                </c:pt>
                <c:pt idx="61">
                  <c:v>0.16470588235294117</c:v>
                </c:pt>
                <c:pt idx="62">
                  <c:v>0.16470588235294117</c:v>
                </c:pt>
                <c:pt idx="63">
                  <c:v>0.16862745098039217</c:v>
                </c:pt>
                <c:pt idx="64">
                  <c:v>0.16470588235294117</c:v>
                </c:pt>
                <c:pt idx="65">
                  <c:v>0.15294117647058825</c:v>
                </c:pt>
                <c:pt idx="66">
                  <c:v>0.16078431372549021</c:v>
                </c:pt>
                <c:pt idx="67">
                  <c:v>0.16078431372549021</c:v>
                </c:pt>
                <c:pt idx="68">
                  <c:v>0.16078431372549021</c:v>
                </c:pt>
                <c:pt idx="69">
                  <c:v>0.15686274509803921</c:v>
                </c:pt>
                <c:pt idx="70">
                  <c:v>0.15294117647058825</c:v>
                </c:pt>
                <c:pt idx="71">
                  <c:v>0.15294117647058825</c:v>
                </c:pt>
                <c:pt idx="72">
                  <c:v>0.15294117647058825</c:v>
                </c:pt>
                <c:pt idx="73">
                  <c:v>0.15294117647058825</c:v>
                </c:pt>
                <c:pt idx="74">
                  <c:v>0.14509803921568629</c:v>
                </c:pt>
                <c:pt idx="75">
                  <c:v>0.15686274509803921</c:v>
                </c:pt>
                <c:pt idx="76">
                  <c:v>0.15294117647058825</c:v>
                </c:pt>
                <c:pt idx="77">
                  <c:v>0.15294117647058825</c:v>
                </c:pt>
                <c:pt idx="78">
                  <c:v>0.14901960784313725</c:v>
                </c:pt>
                <c:pt idx="79">
                  <c:v>0.14509803921568629</c:v>
                </c:pt>
                <c:pt idx="80">
                  <c:v>0.15294117647058825</c:v>
                </c:pt>
              </c:numCache>
            </c:numRef>
          </c:yVal>
        </c:ser>
        <c:ser>
          <c:idx val="5"/>
          <c:order val="5"/>
          <c:tx>
            <c:strRef>
              <c:f>data3!$W$1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data3!$W$2:$W$82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0.97254901960784312</c:v>
                </c:pt>
                <c:pt idx="12">
                  <c:v>0.86274509803921573</c:v>
                </c:pt>
                <c:pt idx="13">
                  <c:v>0.7686274509803922</c:v>
                </c:pt>
                <c:pt idx="14">
                  <c:v>0.70196078431372544</c:v>
                </c:pt>
                <c:pt idx="15">
                  <c:v>0.63921568627450975</c:v>
                </c:pt>
                <c:pt idx="16">
                  <c:v>0.59215686274509804</c:v>
                </c:pt>
                <c:pt idx="17">
                  <c:v>0.53725490196078429</c:v>
                </c:pt>
                <c:pt idx="18">
                  <c:v>0.50196078431372548</c:v>
                </c:pt>
                <c:pt idx="19">
                  <c:v>0.46274509803921571</c:v>
                </c:pt>
                <c:pt idx="20">
                  <c:v>0.43529411764705883</c:v>
                </c:pt>
                <c:pt idx="21">
                  <c:v>0.40784313725490196</c:v>
                </c:pt>
                <c:pt idx="22">
                  <c:v>0.38039215686274508</c:v>
                </c:pt>
                <c:pt idx="23">
                  <c:v>0.36078431372549019</c:v>
                </c:pt>
                <c:pt idx="24">
                  <c:v>0.34901960784313724</c:v>
                </c:pt>
                <c:pt idx="25">
                  <c:v>0.32941176470588235</c:v>
                </c:pt>
                <c:pt idx="26">
                  <c:v>0.31764705882352939</c:v>
                </c:pt>
                <c:pt idx="27">
                  <c:v>0.30196078431372547</c:v>
                </c:pt>
                <c:pt idx="28">
                  <c:v>0.29411764705882354</c:v>
                </c:pt>
                <c:pt idx="29">
                  <c:v>0.28627450980392155</c:v>
                </c:pt>
                <c:pt idx="30">
                  <c:v>0.27058823529411763</c:v>
                </c:pt>
                <c:pt idx="31">
                  <c:v>0.27058823529411763</c:v>
                </c:pt>
                <c:pt idx="32">
                  <c:v>0.2627450980392157</c:v>
                </c:pt>
                <c:pt idx="33">
                  <c:v>0.24313725490196078</c:v>
                </c:pt>
                <c:pt idx="34">
                  <c:v>0.24313725490196078</c:v>
                </c:pt>
                <c:pt idx="35">
                  <c:v>0.23921568627450981</c:v>
                </c:pt>
                <c:pt idx="36">
                  <c:v>0.23137254901960785</c:v>
                </c:pt>
                <c:pt idx="37">
                  <c:v>0.2196078431372549</c:v>
                </c:pt>
                <c:pt idx="38">
                  <c:v>0.22745098039215686</c:v>
                </c:pt>
                <c:pt idx="39">
                  <c:v>0.22352941176470589</c:v>
                </c:pt>
                <c:pt idx="40">
                  <c:v>0.21568627450980393</c:v>
                </c:pt>
                <c:pt idx="41">
                  <c:v>0.20784313725490197</c:v>
                </c:pt>
                <c:pt idx="42">
                  <c:v>0.21568627450980393</c:v>
                </c:pt>
                <c:pt idx="43">
                  <c:v>0.20784313725490197</c:v>
                </c:pt>
                <c:pt idx="44">
                  <c:v>0.2</c:v>
                </c:pt>
                <c:pt idx="45">
                  <c:v>0.20392156862745098</c:v>
                </c:pt>
                <c:pt idx="46">
                  <c:v>0.2</c:v>
                </c:pt>
                <c:pt idx="47">
                  <c:v>0.19607843137254902</c:v>
                </c:pt>
                <c:pt idx="48">
                  <c:v>0.19215686274509805</c:v>
                </c:pt>
                <c:pt idx="49">
                  <c:v>0.18823529411764706</c:v>
                </c:pt>
                <c:pt idx="50">
                  <c:v>0.18431372549019609</c:v>
                </c:pt>
                <c:pt idx="51">
                  <c:v>0.19215686274509805</c:v>
                </c:pt>
                <c:pt idx="52">
                  <c:v>0.1803921568627451</c:v>
                </c:pt>
                <c:pt idx="53">
                  <c:v>0.17254901960784313</c:v>
                </c:pt>
                <c:pt idx="54">
                  <c:v>0.16862745098039217</c:v>
                </c:pt>
                <c:pt idx="55">
                  <c:v>0.17647058823529413</c:v>
                </c:pt>
                <c:pt idx="56">
                  <c:v>0.17647058823529413</c:v>
                </c:pt>
                <c:pt idx="57">
                  <c:v>0.17254901960784313</c:v>
                </c:pt>
                <c:pt idx="58">
                  <c:v>0.16862745098039217</c:v>
                </c:pt>
                <c:pt idx="59">
                  <c:v>0.16862745098039217</c:v>
                </c:pt>
                <c:pt idx="60">
                  <c:v>0.16862745098039217</c:v>
                </c:pt>
                <c:pt idx="61">
                  <c:v>0.16078431372549021</c:v>
                </c:pt>
                <c:pt idx="62">
                  <c:v>0.16078431372549021</c:v>
                </c:pt>
                <c:pt idx="63">
                  <c:v>0.17254901960784313</c:v>
                </c:pt>
                <c:pt idx="64">
                  <c:v>0.16862745098039217</c:v>
                </c:pt>
                <c:pt idx="65">
                  <c:v>0.16470588235294117</c:v>
                </c:pt>
                <c:pt idx="66">
                  <c:v>0.16078431372549021</c:v>
                </c:pt>
                <c:pt idx="67">
                  <c:v>0.16078431372549021</c:v>
                </c:pt>
                <c:pt idx="68">
                  <c:v>0.16862745098039217</c:v>
                </c:pt>
                <c:pt idx="69">
                  <c:v>0.15294117647058825</c:v>
                </c:pt>
                <c:pt idx="70">
                  <c:v>0.15686274509803921</c:v>
                </c:pt>
                <c:pt idx="71">
                  <c:v>0.16862745098039217</c:v>
                </c:pt>
                <c:pt idx="72">
                  <c:v>0.16470588235294117</c:v>
                </c:pt>
                <c:pt idx="73">
                  <c:v>0.16078431372549021</c:v>
                </c:pt>
                <c:pt idx="74">
                  <c:v>0.15294117647058825</c:v>
                </c:pt>
                <c:pt idx="75">
                  <c:v>0.16078431372549021</c:v>
                </c:pt>
                <c:pt idx="76">
                  <c:v>0.14901960784313725</c:v>
                </c:pt>
                <c:pt idx="77">
                  <c:v>0.15294117647058825</c:v>
                </c:pt>
                <c:pt idx="78">
                  <c:v>0.16078431372549021</c:v>
                </c:pt>
                <c:pt idx="79">
                  <c:v>0.16078431372549021</c:v>
                </c:pt>
                <c:pt idx="80">
                  <c:v>0.15294117647058825</c:v>
                </c:pt>
              </c:numCache>
            </c:numRef>
          </c:yVal>
        </c:ser>
        <c:ser>
          <c:idx val="6"/>
          <c:order val="6"/>
          <c:tx>
            <c:strRef>
              <c:f>data3!$X$1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data3!$X$2:$X$82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0.96078431372549022</c:v>
                </c:pt>
                <c:pt idx="11">
                  <c:v>0.83529411764705885</c:v>
                </c:pt>
                <c:pt idx="12">
                  <c:v>0.72156862745098038</c:v>
                </c:pt>
                <c:pt idx="13">
                  <c:v>0.63137254901960782</c:v>
                </c:pt>
                <c:pt idx="14">
                  <c:v>0.5607843137254902</c:v>
                </c:pt>
                <c:pt idx="15">
                  <c:v>0.49803921568627452</c:v>
                </c:pt>
                <c:pt idx="16">
                  <c:v>0.45490196078431372</c:v>
                </c:pt>
                <c:pt idx="17">
                  <c:v>0.40392156862745099</c:v>
                </c:pt>
                <c:pt idx="18">
                  <c:v>0.35686274509803922</c:v>
                </c:pt>
                <c:pt idx="19">
                  <c:v>0.32156862745098042</c:v>
                </c:pt>
                <c:pt idx="20">
                  <c:v>0.29803921568627451</c:v>
                </c:pt>
                <c:pt idx="21">
                  <c:v>0.27058823529411763</c:v>
                </c:pt>
                <c:pt idx="22">
                  <c:v>0.24705882352941178</c:v>
                </c:pt>
                <c:pt idx="23">
                  <c:v>0.23137254901960785</c:v>
                </c:pt>
                <c:pt idx="24">
                  <c:v>0.20392156862745098</c:v>
                </c:pt>
                <c:pt idx="25">
                  <c:v>0.18823529411764706</c:v>
                </c:pt>
                <c:pt idx="26">
                  <c:v>0.17254901960784313</c:v>
                </c:pt>
                <c:pt idx="27">
                  <c:v>0.16862745098039217</c:v>
                </c:pt>
                <c:pt idx="28">
                  <c:v>0.16078431372549021</c:v>
                </c:pt>
                <c:pt idx="29">
                  <c:v>0.14509803921568629</c:v>
                </c:pt>
                <c:pt idx="30">
                  <c:v>0.13333333333333333</c:v>
                </c:pt>
                <c:pt idx="31">
                  <c:v>0.12549019607843137</c:v>
                </c:pt>
                <c:pt idx="32">
                  <c:v>0.11372549019607843</c:v>
                </c:pt>
                <c:pt idx="33">
                  <c:v>0.12156862745098039</c:v>
                </c:pt>
                <c:pt idx="34">
                  <c:v>0.10588235294117647</c:v>
                </c:pt>
                <c:pt idx="35">
                  <c:v>9.8039215686274508E-2</c:v>
                </c:pt>
                <c:pt idx="36">
                  <c:v>9.8039215686274508E-2</c:v>
                </c:pt>
                <c:pt idx="37">
                  <c:v>9.0196078431372548E-2</c:v>
                </c:pt>
                <c:pt idx="38">
                  <c:v>7.8431372549019607E-2</c:v>
                </c:pt>
                <c:pt idx="39">
                  <c:v>7.4509803921568626E-2</c:v>
                </c:pt>
                <c:pt idx="40">
                  <c:v>8.2352941176470587E-2</c:v>
                </c:pt>
                <c:pt idx="41">
                  <c:v>6.6666666666666666E-2</c:v>
                </c:pt>
                <c:pt idx="42">
                  <c:v>6.6666666666666666E-2</c:v>
                </c:pt>
                <c:pt idx="43">
                  <c:v>6.6666666666666666E-2</c:v>
                </c:pt>
                <c:pt idx="44">
                  <c:v>5.8823529411764705E-2</c:v>
                </c:pt>
                <c:pt idx="45">
                  <c:v>5.8823529411764705E-2</c:v>
                </c:pt>
                <c:pt idx="46">
                  <c:v>5.0980392156862744E-2</c:v>
                </c:pt>
                <c:pt idx="47">
                  <c:v>4.3137254901960784E-2</c:v>
                </c:pt>
                <c:pt idx="48">
                  <c:v>4.3137254901960784E-2</c:v>
                </c:pt>
                <c:pt idx="49">
                  <c:v>4.3137254901960784E-2</c:v>
                </c:pt>
                <c:pt idx="50">
                  <c:v>3.5294117647058823E-2</c:v>
                </c:pt>
                <c:pt idx="51">
                  <c:v>3.5294117647058823E-2</c:v>
                </c:pt>
                <c:pt idx="52">
                  <c:v>3.5294117647058823E-2</c:v>
                </c:pt>
                <c:pt idx="53">
                  <c:v>3.1372549019607843E-2</c:v>
                </c:pt>
                <c:pt idx="54">
                  <c:v>2.7450980392156862E-2</c:v>
                </c:pt>
                <c:pt idx="55">
                  <c:v>2.7450980392156862E-2</c:v>
                </c:pt>
                <c:pt idx="56">
                  <c:v>1.9607843137254902E-2</c:v>
                </c:pt>
                <c:pt idx="57">
                  <c:v>1.9607843137254902E-2</c:v>
                </c:pt>
                <c:pt idx="58">
                  <c:v>3.1372549019607843E-2</c:v>
                </c:pt>
                <c:pt idx="59">
                  <c:v>2.7450980392156862E-2</c:v>
                </c:pt>
                <c:pt idx="60">
                  <c:v>1.9607843137254902E-2</c:v>
                </c:pt>
                <c:pt idx="61">
                  <c:v>1.5686274509803921E-2</c:v>
                </c:pt>
                <c:pt idx="62">
                  <c:v>2.7450980392156862E-2</c:v>
                </c:pt>
                <c:pt idx="63">
                  <c:v>1.9607843137254902E-2</c:v>
                </c:pt>
                <c:pt idx="64">
                  <c:v>1.1764705882352941E-2</c:v>
                </c:pt>
                <c:pt idx="65">
                  <c:v>1.9607843137254902E-2</c:v>
                </c:pt>
                <c:pt idx="66">
                  <c:v>1.1764705882352941E-2</c:v>
                </c:pt>
                <c:pt idx="67">
                  <c:v>1.9607843137254902E-2</c:v>
                </c:pt>
                <c:pt idx="68">
                  <c:v>1.5686274509803921E-2</c:v>
                </c:pt>
                <c:pt idx="69">
                  <c:v>1.1764705882352941E-2</c:v>
                </c:pt>
                <c:pt idx="70">
                  <c:v>1.1764705882352941E-2</c:v>
                </c:pt>
                <c:pt idx="71">
                  <c:v>1.1764705882352941E-2</c:v>
                </c:pt>
                <c:pt idx="72">
                  <c:v>1.1764705882352941E-2</c:v>
                </c:pt>
                <c:pt idx="73">
                  <c:v>1.1764705882352941E-2</c:v>
                </c:pt>
                <c:pt idx="74">
                  <c:v>1.9607843137254902E-2</c:v>
                </c:pt>
                <c:pt idx="75">
                  <c:v>1.1764705882352941E-2</c:v>
                </c:pt>
                <c:pt idx="76">
                  <c:v>1.5686274509803921E-2</c:v>
                </c:pt>
                <c:pt idx="77">
                  <c:v>1.1764705882352941E-2</c:v>
                </c:pt>
                <c:pt idx="78">
                  <c:v>1.9607843137254902E-2</c:v>
                </c:pt>
                <c:pt idx="79">
                  <c:v>1.9607843137254902E-2</c:v>
                </c:pt>
                <c:pt idx="80">
                  <c:v>1.5686274509803921E-2</c:v>
                </c:pt>
              </c:numCache>
            </c:numRef>
          </c:yVal>
        </c:ser>
        <c:ser>
          <c:idx val="7"/>
          <c:order val="7"/>
          <c:tx>
            <c:strRef>
              <c:f>data3!$Y$1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data3!$Y$2:$Y$82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0.96862745098039216</c:v>
                </c:pt>
                <c:pt idx="11">
                  <c:v>0.83921568627450982</c:v>
                </c:pt>
                <c:pt idx="12">
                  <c:v>0.72941176470588232</c:v>
                </c:pt>
                <c:pt idx="13">
                  <c:v>0.63529411764705879</c:v>
                </c:pt>
                <c:pt idx="14">
                  <c:v>0.5607843137254902</c:v>
                </c:pt>
                <c:pt idx="15">
                  <c:v>0.50588235294117645</c:v>
                </c:pt>
                <c:pt idx="16">
                  <c:v>0.45490196078431372</c:v>
                </c:pt>
                <c:pt idx="17">
                  <c:v>0.396078431372549</c:v>
                </c:pt>
                <c:pt idx="18">
                  <c:v>0.36470588235294116</c:v>
                </c:pt>
                <c:pt idx="19">
                  <c:v>0.32156862745098042</c:v>
                </c:pt>
                <c:pt idx="20">
                  <c:v>0.29019607843137257</c:v>
                </c:pt>
                <c:pt idx="21">
                  <c:v>0.27843137254901962</c:v>
                </c:pt>
                <c:pt idx="22">
                  <c:v>0.25490196078431371</c:v>
                </c:pt>
                <c:pt idx="23">
                  <c:v>0.23529411764705882</c:v>
                </c:pt>
                <c:pt idx="24">
                  <c:v>0.20784313725490197</c:v>
                </c:pt>
                <c:pt idx="25">
                  <c:v>0.2</c:v>
                </c:pt>
                <c:pt idx="26">
                  <c:v>0.17254901960784313</c:v>
                </c:pt>
                <c:pt idx="27">
                  <c:v>0.16078431372549021</c:v>
                </c:pt>
                <c:pt idx="28">
                  <c:v>0.15686274509803921</c:v>
                </c:pt>
                <c:pt idx="29">
                  <c:v>0.13725490196078433</c:v>
                </c:pt>
                <c:pt idx="30">
                  <c:v>0.13333333333333333</c:v>
                </c:pt>
                <c:pt idx="31">
                  <c:v>0.12156862745098039</c:v>
                </c:pt>
                <c:pt idx="32">
                  <c:v>0.10588235294117647</c:v>
                </c:pt>
                <c:pt idx="33">
                  <c:v>0.10588235294117647</c:v>
                </c:pt>
                <c:pt idx="34">
                  <c:v>9.8039215686274508E-2</c:v>
                </c:pt>
                <c:pt idx="35">
                  <c:v>9.8039215686274508E-2</c:v>
                </c:pt>
                <c:pt idx="36">
                  <c:v>9.0196078431372548E-2</c:v>
                </c:pt>
                <c:pt idx="37">
                  <c:v>8.2352941176470587E-2</c:v>
                </c:pt>
                <c:pt idx="38">
                  <c:v>8.2352941176470587E-2</c:v>
                </c:pt>
                <c:pt idx="39">
                  <c:v>7.4509803921568626E-2</c:v>
                </c:pt>
                <c:pt idx="40">
                  <c:v>7.4509803921568626E-2</c:v>
                </c:pt>
                <c:pt idx="41">
                  <c:v>6.6666666666666666E-2</c:v>
                </c:pt>
                <c:pt idx="42">
                  <c:v>7.0588235294117646E-2</c:v>
                </c:pt>
                <c:pt idx="43">
                  <c:v>6.6666666666666666E-2</c:v>
                </c:pt>
                <c:pt idx="44">
                  <c:v>5.8823529411764705E-2</c:v>
                </c:pt>
                <c:pt idx="45">
                  <c:v>5.0980392156862744E-2</c:v>
                </c:pt>
                <c:pt idx="46">
                  <c:v>5.0980392156862744E-2</c:v>
                </c:pt>
                <c:pt idx="47">
                  <c:v>4.3137254901960784E-2</c:v>
                </c:pt>
                <c:pt idx="48">
                  <c:v>4.3137254901960784E-2</c:v>
                </c:pt>
                <c:pt idx="49">
                  <c:v>4.3137254901960784E-2</c:v>
                </c:pt>
                <c:pt idx="50">
                  <c:v>3.9215686274509803E-2</c:v>
                </c:pt>
                <c:pt idx="51">
                  <c:v>4.3137254901960784E-2</c:v>
                </c:pt>
                <c:pt idx="52">
                  <c:v>3.5294117647058823E-2</c:v>
                </c:pt>
                <c:pt idx="53">
                  <c:v>2.7450980392156862E-2</c:v>
                </c:pt>
                <c:pt idx="54">
                  <c:v>2.7450980392156862E-2</c:v>
                </c:pt>
                <c:pt idx="55">
                  <c:v>3.1372549019607843E-2</c:v>
                </c:pt>
                <c:pt idx="56">
                  <c:v>3.1372549019607843E-2</c:v>
                </c:pt>
                <c:pt idx="57">
                  <c:v>1.9607843137254902E-2</c:v>
                </c:pt>
                <c:pt idx="58">
                  <c:v>2.3529411764705882E-2</c:v>
                </c:pt>
                <c:pt idx="59">
                  <c:v>2.7450980392156862E-2</c:v>
                </c:pt>
                <c:pt idx="60">
                  <c:v>2.7450980392156862E-2</c:v>
                </c:pt>
                <c:pt idx="61">
                  <c:v>1.9607843137254902E-2</c:v>
                </c:pt>
                <c:pt idx="62">
                  <c:v>2.7450980392156862E-2</c:v>
                </c:pt>
                <c:pt idx="63">
                  <c:v>1.5686274509803921E-2</c:v>
                </c:pt>
                <c:pt idx="64">
                  <c:v>2.3529411764705882E-2</c:v>
                </c:pt>
                <c:pt idx="65">
                  <c:v>1.9607843137254902E-2</c:v>
                </c:pt>
                <c:pt idx="66">
                  <c:v>1.9607843137254902E-2</c:v>
                </c:pt>
                <c:pt idx="67">
                  <c:v>1.9607843137254902E-2</c:v>
                </c:pt>
                <c:pt idx="68">
                  <c:v>1.1764705882352941E-2</c:v>
                </c:pt>
                <c:pt idx="69">
                  <c:v>1.1764705882352941E-2</c:v>
                </c:pt>
                <c:pt idx="70">
                  <c:v>7.8431372549019607E-3</c:v>
                </c:pt>
                <c:pt idx="71">
                  <c:v>1.1764705882352941E-2</c:v>
                </c:pt>
                <c:pt idx="72">
                  <c:v>1.1764705882352941E-2</c:v>
                </c:pt>
                <c:pt idx="73">
                  <c:v>1.5686274509803921E-2</c:v>
                </c:pt>
                <c:pt idx="74">
                  <c:v>1.9607843137254902E-2</c:v>
                </c:pt>
                <c:pt idx="75">
                  <c:v>1.9607843137254902E-2</c:v>
                </c:pt>
                <c:pt idx="76">
                  <c:v>1.1764705882352941E-2</c:v>
                </c:pt>
                <c:pt idx="77">
                  <c:v>1.5686274509803921E-2</c:v>
                </c:pt>
                <c:pt idx="78">
                  <c:v>1.9607843137254902E-2</c:v>
                </c:pt>
                <c:pt idx="79">
                  <c:v>1.1764705882352941E-2</c:v>
                </c:pt>
                <c:pt idx="80">
                  <c:v>1.9607843137254902E-2</c:v>
                </c:pt>
              </c:numCache>
            </c:numRef>
          </c:yVal>
        </c:ser>
        <c:axId val="136941952"/>
        <c:axId val="136943488"/>
      </c:scatterChart>
      <c:valAx>
        <c:axId val="136941952"/>
        <c:scaling>
          <c:orientation val="minMax"/>
        </c:scaling>
        <c:axPos val="b"/>
        <c:numFmt formatCode="0.0" sourceLinked="1"/>
        <c:tickLblPos val="nextTo"/>
        <c:crossAx val="136943488"/>
        <c:crosses val="autoZero"/>
        <c:crossBetween val="midCat"/>
      </c:valAx>
      <c:valAx>
        <c:axId val="136943488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3694195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data3!$Z$2:$Z$82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0.97647058823529409</c:v>
                </c:pt>
                <c:pt idx="12">
                  <c:v>0.87058823529411766</c:v>
                </c:pt>
                <c:pt idx="13">
                  <c:v>0.77647058823529413</c:v>
                </c:pt>
                <c:pt idx="14">
                  <c:v>0.70196078431372544</c:v>
                </c:pt>
                <c:pt idx="15">
                  <c:v>0.6470588235294118</c:v>
                </c:pt>
                <c:pt idx="16">
                  <c:v>0.59607843137254901</c:v>
                </c:pt>
                <c:pt idx="17">
                  <c:v>0.54117647058823526</c:v>
                </c:pt>
                <c:pt idx="18">
                  <c:v>0.49803921568627452</c:v>
                </c:pt>
                <c:pt idx="19">
                  <c:v>0.47058823529411764</c:v>
                </c:pt>
                <c:pt idx="20">
                  <c:v>0.4392156862745098</c:v>
                </c:pt>
                <c:pt idx="21">
                  <c:v>0.42352941176470588</c:v>
                </c:pt>
                <c:pt idx="22">
                  <c:v>0.396078431372549</c:v>
                </c:pt>
                <c:pt idx="23">
                  <c:v>0.37647058823529411</c:v>
                </c:pt>
                <c:pt idx="24">
                  <c:v>0.35686274509803922</c:v>
                </c:pt>
                <c:pt idx="25">
                  <c:v>0.33725490196078434</c:v>
                </c:pt>
                <c:pt idx="26">
                  <c:v>0.32549019607843138</c:v>
                </c:pt>
                <c:pt idx="27">
                  <c:v>0.31372549019607843</c:v>
                </c:pt>
                <c:pt idx="28">
                  <c:v>0.30196078431372547</c:v>
                </c:pt>
                <c:pt idx="29">
                  <c:v>0.29411764705882354</c:v>
                </c:pt>
                <c:pt idx="30">
                  <c:v>0.28627450980392155</c:v>
                </c:pt>
                <c:pt idx="31">
                  <c:v>0.28627450980392155</c:v>
                </c:pt>
                <c:pt idx="32">
                  <c:v>0.26666666666666666</c:v>
                </c:pt>
                <c:pt idx="33">
                  <c:v>0.2627450980392157</c:v>
                </c:pt>
                <c:pt idx="34">
                  <c:v>0.24705882352941178</c:v>
                </c:pt>
                <c:pt idx="35">
                  <c:v>0.23921568627450981</c:v>
                </c:pt>
                <c:pt idx="36">
                  <c:v>0.22745098039215686</c:v>
                </c:pt>
                <c:pt idx="37">
                  <c:v>0.22745098039215686</c:v>
                </c:pt>
                <c:pt idx="38">
                  <c:v>0.23137254901960785</c:v>
                </c:pt>
                <c:pt idx="39">
                  <c:v>0.22352941176470589</c:v>
                </c:pt>
                <c:pt idx="40">
                  <c:v>0.22352941176470589</c:v>
                </c:pt>
                <c:pt idx="41">
                  <c:v>0.21568627450980393</c:v>
                </c:pt>
                <c:pt idx="42">
                  <c:v>0.21176470588235294</c:v>
                </c:pt>
                <c:pt idx="43">
                  <c:v>0.20784313725490197</c:v>
                </c:pt>
                <c:pt idx="44">
                  <c:v>0.20392156862745098</c:v>
                </c:pt>
                <c:pt idx="45">
                  <c:v>0.2</c:v>
                </c:pt>
                <c:pt idx="46">
                  <c:v>0.19215686274509805</c:v>
                </c:pt>
                <c:pt idx="47">
                  <c:v>0.18823529411764706</c:v>
                </c:pt>
                <c:pt idx="48">
                  <c:v>0.19215686274509805</c:v>
                </c:pt>
                <c:pt idx="49">
                  <c:v>0.18823529411764706</c:v>
                </c:pt>
                <c:pt idx="50">
                  <c:v>0.18431372549019609</c:v>
                </c:pt>
                <c:pt idx="51">
                  <c:v>0.17647058823529413</c:v>
                </c:pt>
                <c:pt idx="52">
                  <c:v>0.17647058823529413</c:v>
                </c:pt>
                <c:pt idx="53">
                  <c:v>0.17647058823529413</c:v>
                </c:pt>
                <c:pt idx="54">
                  <c:v>0.16862745098039217</c:v>
                </c:pt>
                <c:pt idx="55">
                  <c:v>0.16862745098039217</c:v>
                </c:pt>
                <c:pt idx="56">
                  <c:v>0.16078431372549021</c:v>
                </c:pt>
                <c:pt idx="57">
                  <c:v>0.16862745098039217</c:v>
                </c:pt>
                <c:pt idx="58">
                  <c:v>0.16470588235294117</c:v>
                </c:pt>
                <c:pt idx="59">
                  <c:v>0.16078431372549021</c:v>
                </c:pt>
                <c:pt idx="60">
                  <c:v>0.15294117647058825</c:v>
                </c:pt>
                <c:pt idx="61">
                  <c:v>0.16078431372549021</c:v>
                </c:pt>
                <c:pt idx="62">
                  <c:v>0.15686274509803921</c:v>
                </c:pt>
                <c:pt idx="63">
                  <c:v>0.16078431372549021</c:v>
                </c:pt>
                <c:pt idx="64">
                  <c:v>0.16078431372549021</c:v>
                </c:pt>
                <c:pt idx="65">
                  <c:v>0.15686274509803921</c:v>
                </c:pt>
                <c:pt idx="66">
                  <c:v>0.15294117647058825</c:v>
                </c:pt>
                <c:pt idx="67">
                  <c:v>0.15294117647058825</c:v>
                </c:pt>
                <c:pt idx="68">
                  <c:v>0.15294117647058825</c:v>
                </c:pt>
                <c:pt idx="69">
                  <c:v>0.16078431372549021</c:v>
                </c:pt>
                <c:pt idx="70">
                  <c:v>0.15686274509803921</c:v>
                </c:pt>
                <c:pt idx="71">
                  <c:v>0.14901960784313725</c:v>
                </c:pt>
                <c:pt idx="72">
                  <c:v>0.15294117647058825</c:v>
                </c:pt>
                <c:pt idx="73">
                  <c:v>0.15294117647058825</c:v>
                </c:pt>
                <c:pt idx="74">
                  <c:v>0.15294117647058825</c:v>
                </c:pt>
                <c:pt idx="75">
                  <c:v>0.15294117647058825</c:v>
                </c:pt>
                <c:pt idx="76">
                  <c:v>0.16078431372549021</c:v>
                </c:pt>
                <c:pt idx="77">
                  <c:v>0.15294117647058825</c:v>
                </c:pt>
                <c:pt idx="78">
                  <c:v>0.14509803921568629</c:v>
                </c:pt>
                <c:pt idx="79">
                  <c:v>0.15294117647058825</c:v>
                </c:pt>
                <c:pt idx="80">
                  <c:v>0.15294117647058825</c:v>
                </c:pt>
              </c:numCache>
            </c:numRef>
          </c:yVal>
        </c:ser>
        <c:ser>
          <c:idx val="1"/>
          <c:order val="1"/>
          <c:tx>
            <c:strRef>
              <c:f>data3!$AA$1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data3!$AA$2:$AA$82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0.96078431372549022</c:v>
                </c:pt>
                <c:pt idx="11">
                  <c:v>0.83137254901960789</c:v>
                </c:pt>
                <c:pt idx="12">
                  <c:v>0.72156862745098038</c:v>
                </c:pt>
                <c:pt idx="13">
                  <c:v>0.63137254901960782</c:v>
                </c:pt>
                <c:pt idx="14">
                  <c:v>0.5607843137254902</c:v>
                </c:pt>
                <c:pt idx="15">
                  <c:v>0.49019607843137253</c:v>
                </c:pt>
                <c:pt idx="16">
                  <c:v>0.45098039215686275</c:v>
                </c:pt>
                <c:pt idx="17">
                  <c:v>0.40784313725490196</c:v>
                </c:pt>
                <c:pt idx="18">
                  <c:v>0.36078431372549019</c:v>
                </c:pt>
                <c:pt idx="19">
                  <c:v>0.32156862745098042</c:v>
                </c:pt>
                <c:pt idx="20">
                  <c:v>0.29411764705882354</c:v>
                </c:pt>
                <c:pt idx="21">
                  <c:v>0.27058823529411763</c:v>
                </c:pt>
                <c:pt idx="22">
                  <c:v>0.24705882352941178</c:v>
                </c:pt>
                <c:pt idx="23">
                  <c:v>0.23137254901960785</c:v>
                </c:pt>
                <c:pt idx="24">
                  <c:v>0.21176470588235294</c:v>
                </c:pt>
                <c:pt idx="25">
                  <c:v>0.18823529411764706</c:v>
                </c:pt>
                <c:pt idx="26">
                  <c:v>0.17254901960784313</c:v>
                </c:pt>
                <c:pt idx="27">
                  <c:v>0.16078431372549021</c:v>
                </c:pt>
                <c:pt idx="28">
                  <c:v>0.15294117647058825</c:v>
                </c:pt>
                <c:pt idx="29">
                  <c:v>0.14509803921568629</c:v>
                </c:pt>
                <c:pt idx="30">
                  <c:v>0.13725490196078433</c:v>
                </c:pt>
                <c:pt idx="31">
                  <c:v>0.13333333333333333</c:v>
                </c:pt>
                <c:pt idx="32">
                  <c:v>0.12549019607843137</c:v>
                </c:pt>
                <c:pt idx="33">
                  <c:v>0.11372549019607843</c:v>
                </c:pt>
                <c:pt idx="34">
                  <c:v>0.10588235294117647</c:v>
                </c:pt>
                <c:pt idx="35">
                  <c:v>0.10196078431372549</c:v>
                </c:pt>
                <c:pt idx="36">
                  <c:v>9.4117647058823528E-2</c:v>
                </c:pt>
                <c:pt idx="37">
                  <c:v>9.0196078431372548E-2</c:v>
                </c:pt>
                <c:pt idx="38">
                  <c:v>8.2352941176470587E-2</c:v>
                </c:pt>
                <c:pt idx="39">
                  <c:v>7.4509803921568626E-2</c:v>
                </c:pt>
                <c:pt idx="40">
                  <c:v>7.0588235294117646E-2</c:v>
                </c:pt>
                <c:pt idx="41">
                  <c:v>7.4509803921568626E-2</c:v>
                </c:pt>
                <c:pt idx="42">
                  <c:v>6.6666666666666666E-2</c:v>
                </c:pt>
                <c:pt idx="43">
                  <c:v>6.2745098039215685E-2</c:v>
                </c:pt>
                <c:pt idx="44">
                  <c:v>5.0980392156862744E-2</c:v>
                </c:pt>
                <c:pt idx="45">
                  <c:v>5.0980392156862744E-2</c:v>
                </c:pt>
                <c:pt idx="46">
                  <c:v>4.3137254901960784E-2</c:v>
                </c:pt>
                <c:pt idx="47">
                  <c:v>5.0980392156862744E-2</c:v>
                </c:pt>
                <c:pt idx="48">
                  <c:v>4.3137254901960784E-2</c:v>
                </c:pt>
                <c:pt idx="49">
                  <c:v>3.5294117647058823E-2</c:v>
                </c:pt>
                <c:pt idx="50">
                  <c:v>3.5294117647058823E-2</c:v>
                </c:pt>
                <c:pt idx="51">
                  <c:v>4.3137254901960784E-2</c:v>
                </c:pt>
                <c:pt idx="52">
                  <c:v>3.9215686274509803E-2</c:v>
                </c:pt>
                <c:pt idx="53">
                  <c:v>3.5294117647058823E-2</c:v>
                </c:pt>
                <c:pt idx="54">
                  <c:v>3.1372549019607843E-2</c:v>
                </c:pt>
                <c:pt idx="55">
                  <c:v>2.7450980392156862E-2</c:v>
                </c:pt>
                <c:pt idx="56">
                  <c:v>2.7450980392156862E-2</c:v>
                </c:pt>
                <c:pt idx="57">
                  <c:v>3.1372549019607843E-2</c:v>
                </c:pt>
                <c:pt idx="58">
                  <c:v>2.7450980392156862E-2</c:v>
                </c:pt>
                <c:pt idx="59">
                  <c:v>2.7450980392156862E-2</c:v>
                </c:pt>
                <c:pt idx="60">
                  <c:v>2.7450980392156862E-2</c:v>
                </c:pt>
                <c:pt idx="61">
                  <c:v>2.3529411764705882E-2</c:v>
                </c:pt>
                <c:pt idx="62">
                  <c:v>2.7450980392156862E-2</c:v>
                </c:pt>
                <c:pt idx="63">
                  <c:v>2.7450980392156862E-2</c:v>
                </c:pt>
                <c:pt idx="64">
                  <c:v>2.3529411764705882E-2</c:v>
                </c:pt>
                <c:pt idx="65">
                  <c:v>2.3529411764705882E-2</c:v>
                </c:pt>
                <c:pt idx="66">
                  <c:v>2.3529411764705882E-2</c:v>
                </c:pt>
                <c:pt idx="67">
                  <c:v>1.9607843137254902E-2</c:v>
                </c:pt>
                <c:pt idx="68">
                  <c:v>1.9607843137254902E-2</c:v>
                </c:pt>
                <c:pt idx="69">
                  <c:v>1.1764705882352941E-2</c:v>
                </c:pt>
                <c:pt idx="70">
                  <c:v>1.1764705882352941E-2</c:v>
                </c:pt>
                <c:pt idx="71">
                  <c:v>1.9607843137254902E-2</c:v>
                </c:pt>
                <c:pt idx="72">
                  <c:v>1.5686274509803921E-2</c:v>
                </c:pt>
                <c:pt idx="73">
                  <c:v>1.1764705882352941E-2</c:v>
                </c:pt>
                <c:pt idx="74">
                  <c:v>1.9607843137254902E-2</c:v>
                </c:pt>
                <c:pt idx="75">
                  <c:v>1.1764705882352941E-2</c:v>
                </c:pt>
                <c:pt idx="76">
                  <c:v>1.5686274509803921E-2</c:v>
                </c:pt>
                <c:pt idx="77">
                  <c:v>7.8431372549019607E-3</c:v>
                </c:pt>
                <c:pt idx="78">
                  <c:v>1.5686274509803921E-2</c:v>
                </c:pt>
                <c:pt idx="79">
                  <c:v>1.5686274509803921E-2</c:v>
                </c:pt>
                <c:pt idx="80">
                  <c:v>1.1764705882352941E-2</c:v>
                </c:pt>
              </c:numCache>
            </c:numRef>
          </c:yVal>
        </c:ser>
        <c:ser>
          <c:idx val="2"/>
          <c:order val="2"/>
          <c:tx>
            <c:strRef>
              <c:f>data3!$AB$1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data3!$AB$2:$AB$82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0.97647058823529409</c:v>
                </c:pt>
                <c:pt idx="12">
                  <c:v>0.87058823529411766</c:v>
                </c:pt>
                <c:pt idx="13">
                  <c:v>0.77647058823529413</c:v>
                </c:pt>
                <c:pt idx="14">
                  <c:v>0.69803921568627447</c:v>
                </c:pt>
                <c:pt idx="15">
                  <c:v>0.63921568627450975</c:v>
                </c:pt>
                <c:pt idx="16">
                  <c:v>0.58823529411764708</c:v>
                </c:pt>
                <c:pt idx="17">
                  <c:v>0.54117647058823526</c:v>
                </c:pt>
                <c:pt idx="18">
                  <c:v>0.50196078431372548</c:v>
                </c:pt>
                <c:pt idx="19">
                  <c:v>0.47058823529411764</c:v>
                </c:pt>
                <c:pt idx="20">
                  <c:v>0.44313725490196076</c:v>
                </c:pt>
                <c:pt idx="21">
                  <c:v>0.41176470588235292</c:v>
                </c:pt>
                <c:pt idx="22">
                  <c:v>0.38823529411764707</c:v>
                </c:pt>
                <c:pt idx="23">
                  <c:v>0.37254901960784315</c:v>
                </c:pt>
                <c:pt idx="24">
                  <c:v>0.35686274509803922</c:v>
                </c:pt>
                <c:pt idx="25">
                  <c:v>0.33725490196078434</c:v>
                </c:pt>
                <c:pt idx="26">
                  <c:v>0.31764705882352939</c:v>
                </c:pt>
                <c:pt idx="27">
                  <c:v>0.30196078431372547</c:v>
                </c:pt>
                <c:pt idx="28">
                  <c:v>0.29803921568627451</c:v>
                </c:pt>
                <c:pt idx="29">
                  <c:v>0.29019607843137257</c:v>
                </c:pt>
                <c:pt idx="30">
                  <c:v>0.27843137254901962</c:v>
                </c:pt>
                <c:pt idx="31">
                  <c:v>0.27450980392156865</c:v>
                </c:pt>
                <c:pt idx="32">
                  <c:v>0.2627450980392157</c:v>
                </c:pt>
                <c:pt idx="33">
                  <c:v>0.25490196078431371</c:v>
                </c:pt>
                <c:pt idx="34">
                  <c:v>0.24313725490196078</c:v>
                </c:pt>
                <c:pt idx="35">
                  <c:v>0.24705882352941178</c:v>
                </c:pt>
                <c:pt idx="36">
                  <c:v>0.23921568627450981</c:v>
                </c:pt>
                <c:pt idx="37">
                  <c:v>0.23137254901960785</c:v>
                </c:pt>
                <c:pt idx="38">
                  <c:v>0.23137254901960785</c:v>
                </c:pt>
                <c:pt idx="39">
                  <c:v>0.21568627450980393</c:v>
                </c:pt>
                <c:pt idx="40">
                  <c:v>0.21568627450980393</c:v>
                </c:pt>
                <c:pt idx="41">
                  <c:v>0.20784313725490197</c:v>
                </c:pt>
                <c:pt idx="42">
                  <c:v>0.2</c:v>
                </c:pt>
                <c:pt idx="43">
                  <c:v>0.20784313725490197</c:v>
                </c:pt>
                <c:pt idx="44">
                  <c:v>0.2</c:v>
                </c:pt>
                <c:pt idx="45">
                  <c:v>0.19215686274509805</c:v>
                </c:pt>
                <c:pt idx="46">
                  <c:v>0.19215686274509805</c:v>
                </c:pt>
                <c:pt idx="47">
                  <c:v>0.19215686274509805</c:v>
                </c:pt>
                <c:pt idx="48">
                  <c:v>0.18431372549019609</c:v>
                </c:pt>
                <c:pt idx="49">
                  <c:v>0.19215686274509805</c:v>
                </c:pt>
                <c:pt idx="50">
                  <c:v>0.17647058823529413</c:v>
                </c:pt>
                <c:pt idx="51">
                  <c:v>0.18431372549019609</c:v>
                </c:pt>
                <c:pt idx="52">
                  <c:v>0.17647058823529413</c:v>
                </c:pt>
                <c:pt idx="53">
                  <c:v>0.17254901960784313</c:v>
                </c:pt>
                <c:pt idx="54">
                  <c:v>0.17254901960784313</c:v>
                </c:pt>
                <c:pt idx="55">
                  <c:v>0.16862745098039217</c:v>
                </c:pt>
                <c:pt idx="56">
                  <c:v>0.16862745098039217</c:v>
                </c:pt>
                <c:pt idx="57">
                  <c:v>0.17254901960784313</c:v>
                </c:pt>
                <c:pt idx="58">
                  <c:v>0.16862745098039217</c:v>
                </c:pt>
                <c:pt idx="59">
                  <c:v>0.16862745098039217</c:v>
                </c:pt>
                <c:pt idx="60">
                  <c:v>0.16078431372549021</c:v>
                </c:pt>
                <c:pt idx="61">
                  <c:v>0.16862745098039217</c:v>
                </c:pt>
                <c:pt idx="62">
                  <c:v>0.16862745098039217</c:v>
                </c:pt>
                <c:pt idx="63">
                  <c:v>0.16078431372549021</c:v>
                </c:pt>
                <c:pt idx="64">
                  <c:v>0.16078431372549021</c:v>
                </c:pt>
                <c:pt idx="65">
                  <c:v>0.16078431372549021</c:v>
                </c:pt>
                <c:pt idx="66">
                  <c:v>0.15686274509803921</c:v>
                </c:pt>
                <c:pt idx="67">
                  <c:v>0.16078431372549021</c:v>
                </c:pt>
                <c:pt idx="68">
                  <c:v>0.16078431372549021</c:v>
                </c:pt>
                <c:pt idx="69">
                  <c:v>0.16078431372549021</c:v>
                </c:pt>
                <c:pt idx="70">
                  <c:v>0.16078431372549021</c:v>
                </c:pt>
                <c:pt idx="71">
                  <c:v>0.15294117647058825</c:v>
                </c:pt>
                <c:pt idx="72">
                  <c:v>0.15686274509803921</c:v>
                </c:pt>
                <c:pt idx="73">
                  <c:v>0.15294117647058825</c:v>
                </c:pt>
                <c:pt idx="74">
                  <c:v>0.15294117647058825</c:v>
                </c:pt>
                <c:pt idx="75">
                  <c:v>0.15294117647058825</c:v>
                </c:pt>
                <c:pt idx="76">
                  <c:v>0.15294117647058825</c:v>
                </c:pt>
                <c:pt idx="77">
                  <c:v>0.16078431372549021</c:v>
                </c:pt>
                <c:pt idx="78">
                  <c:v>0.15294117647058825</c:v>
                </c:pt>
                <c:pt idx="79">
                  <c:v>0.16078431372549021</c:v>
                </c:pt>
                <c:pt idx="80">
                  <c:v>0.15294117647058825</c:v>
                </c:pt>
              </c:numCache>
            </c:numRef>
          </c:yVal>
        </c:ser>
        <c:ser>
          <c:idx val="3"/>
          <c:order val="3"/>
          <c:tx>
            <c:strRef>
              <c:f>data3!$AC$1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data3!$AC$2:$AC$82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0.96862745098039216</c:v>
                </c:pt>
                <c:pt idx="11">
                  <c:v>0.83529411764705885</c:v>
                </c:pt>
                <c:pt idx="12">
                  <c:v>0.72156862745098038</c:v>
                </c:pt>
                <c:pt idx="13">
                  <c:v>0.62745098039215685</c:v>
                </c:pt>
                <c:pt idx="14">
                  <c:v>0.55686274509803924</c:v>
                </c:pt>
                <c:pt idx="15">
                  <c:v>0.49803921568627452</c:v>
                </c:pt>
                <c:pt idx="16">
                  <c:v>0.44705882352941179</c:v>
                </c:pt>
                <c:pt idx="17">
                  <c:v>0.40784313725490196</c:v>
                </c:pt>
                <c:pt idx="18">
                  <c:v>0.36078431372549019</c:v>
                </c:pt>
                <c:pt idx="19">
                  <c:v>0.33333333333333331</c:v>
                </c:pt>
                <c:pt idx="20">
                  <c:v>0.29019607843137257</c:v>
                </c:pt>
                <c:pt idx="21">
                  <c:v>0.26666666666666666</c:v>
                </c:pt>
                <c:pt idx="22">
                  <c:v>0.25098039215686274</c:v>
                </c:pt>
                <c:pt idx="23">
                  <c:v>0.23137254901960785</c:v>
                </c:pt>
                <c:pt idx="24">
                  <c:v>0.21176470588235294</c:v>
                </c:pt>
                <c:pt idx="25">
                  <c:v>0.18823529411764706</c:v>
                </c:pt>
                <c:pt idx="26">
                  <c:v>0.17254901960784313</c:v>
                </c:pt>
                <c:pt idx="27">
                  <c:v>0.15686274509803921</c:v>
                </c:pt>
                <c:pt idx="28">
                  <c:v>0.16078431372549021</c:v>
                </c:pt>
                <c:pt idx="29">
                  <c:v>0.13725490196078433</c:v>
                </c:pt>
                <c:pt idx="30">
                  <c:v>0.13333333333333333</c:v>
                </c:pt>
                <c:pt idx="31">
                  <c:v>0.12156862745098039</c:v>
                </c:pt>
                <c:pt idx="32">
                  <c:v>0.11764705882352941</c:v>
                </c:pt>
                <c:pt idx="33">
                  <c:v>0.11372549019607843</c:v>
                </c:pt>
                <c:pt idx="34">
                  <c:v>0.10980392156862745</c:v>
                </c:pt>
                <c:pt idx="35">
                  <c:v>9.8039215686274508E-2</c:v>
                </c:pt>
                <c:pt idx="36">
                  <c:v>9.0196078431372548E-2</c:v>
                </c:pt>
                <c:pt idx="37">
                  <c:v>8.6274509803921567E-2</c:v>
                </c:pt>
                <c:pt idx="38">
                  <c:v>7.4509803921568626E-2</c:v>
                </c:pt>
                <c:pt idx="39">
                  <c:v>7.4509803921568626E-2</c:v>
                </c:pt>
                <c:pt idx="40">
                  <c:v>6.6666666666666666E-2</c:v>
                </c:pt>
                <c:pt idx="41">
                  <c:v>5.8823529411764705E-2</c:v>
                </c:pt>
                <c:pt idx="42">
                  <c:v>6.6666666666666666E-2</c:v>
                </c:pt>
                <c:pt idx="43">
                  <c:v>5.8823529411764705E-2</c:v>
                </c:pt>
                <c:pt idx="44">
                  <c:v>5.4901960784313725E-2</c:v>
                </c:pt>
                <c:pt idx="45">
                  <c:v>5.0980392156862744E-2</c:v>
                </c:pt>
                <c:pt idx="46">
                  <c:v>4.3137254901960784E-2</c:v>
                </c:pt>
                <c:pt idx="47">
                  <c:v>4.3137254901960784E-2</c:v>
                </c:pt>
                <c:pt idx="48">
                  <c:v>4.3137254901960784E-2</c:v>
                </c:pt>
                <c:pt idx="49">
                  <c:v>4.7058823529411764E-2</c:v>
                </c:pt>
                <c:pt idx="50">
                  <c:v>4.3137254901960784E-2</c:v>
                </c:pt>
                <c:pt idx="51">
                  <c:v>4.3137254901960784E-2</c:v>
                </c:pt>
                <c:pt idx="52">
                  <c:v>4.3137254901960784E-2</c:v>
                </c:pt>
                <c:pt idx="53">
                  <c:v>3.5294117647058823E-2</c:v>
                </c:pt>
                <c:pt idx="54">
                  <c:v>3.1372549019607843E-2</c:v>
                </c:pt>
                <c:pt idx="55">
                  <c:v>2.7450980392156862E-2</c:v>
                </c:pt>
                <c:pt idx="56">
                  <c:v>3.1372549019607843E-2</c:v>
                </c:pt>
                <c:pt idx="57">
                  <c:v>2.7450980392156862E-2</c:v>
                </c:pt>
                <c:pt idx="58">
                  <c:v>2.3529411764705882E-2</c:v>
                </c:pt>
                <c:pt idx="59">
                  <c:v>1.9607843137254902E-2</c:v>
                </c:pt>
                <c:pt idx="60">
                  <c:v>1.9607843137254902E-2</c:v>
                </c:pt>
                <c:pt idx="61">
                  <c:v>1.9607843137254902E-2</c:v>
                </c:pt>
                <c:pt idx="62">
                  <c:v>1.9607843137254902E-2</c:v>
                </c:pt>
                <c:pt idx="63">
                  <c:v>1.5686274509803921E-2</c:v>
                </c:pt>
                <c:pt idx="64">
                  <c:v>1.1764705882352941E-2</c:v>
                </c:pt>
                <c:pt idx="65">
                  <c:v>1.1764705882352941E-2</c:v>
                </c:pt>
                <c:pt idx="66">
                  <c:v>1.1764705882352941E-2</c:v>
                </c:pt>
                <c:pt idx="67">
                  <c:v>1.1764705882352941E-2</c:v>
                </c:pt>
                <c:pt idx="68">
                  <c:v>1.1764705882352941E-2</c:v>
                </c:pt>
                <c:pt idx="69">
                  <c:v>1.1764705882352941E-2</c:v>
                </c:pt>
                <c:pt idx="70">
                  <c:v>1.5686274509803921E-2</c:v>
                </c:pt>
                <c:pt idx="71">
                  <c:v>7.8431372549019607E-3</c:v>
                </c:pt>
                <c:pt idx="72">
                  <c:v>1.1764705882352941E-2</c:v>
                </c:pt>
                <c:pt idx="73">
                  <c:v>1.9607843137254902E-2</c:v>
                </c:pt>
                <c:pt idx="74">
                  <c:v>1.9607843137254902E-2</c:v>
                </c:pt>
                <c:pt idx="75">
                  <c:v>1.9607843137254902E-2</c:v>
                </c:pt>
                <c:pt idx="76">
                  <c:v>7.8431372549019607E-3</c:v>
                </c:pt>
                <c:pt idx="77">
                  <c:v>7.8431372549019607E-3</c:v>
                </c:pt>
                <c:pt idx="78">
                  <c:v>1.1764705882352941E-2</c:v>
                </c:pt>
                <c:pt idx="79">
                  <c:v>1.5686274509803921E-2</c:v>
                </c:pt>
                <c:pt idx="80">
                  <c:v>1.5686274509803921E-2</c:v>
                </c:pt>
              </c:numCache>
            </c:numRef>
          </c:yVal>
        </c:ser>
        <c:ser>
          <c:idx val="4"/>
          <c:order val="4"/>
          <c:tx>
            <c:strRef>
              <c:f>data3!$AD$1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data3!$AD$2:$AD$82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0.96862745098039216</c:v>
                </c:pt>
                <c:pt idx="11">
                  <c:v>0.82745098039215681</c:v>
                </c:pt>
                <c:pt idx="12">
                  <c:v>0.72941176470588232</c:v>
                </c:pt>
                <c:pt idx="13">
                  <c:v>0.62745098039215685</c:v>
                </c:pt>
                <c:pt idx="14">
                  <c:v>0.5607843137254902</c:v>
                </c:pt>
                <c:pt idx="15">
                  <c:v>0.50588235294117645</c:v>
                </c:pt>
                <c:pt idx="16">
                  <c:v>0.45098039215686275</c:v>
                </c:pt>
                <c:pt idx="17">
                  <c:v>0.40392156862745099</c:v>
                </c:pt>
                <c:pt idx="18">
                  <c:v>0.36078431372549019</c:v>
                </c:pt>
                <c:pt idx="19">
                  <c:v>0.32941176470588235</c:v>
                </c:pt>
                <c:pt idx="20">
                  <c:v>0.29803921568627451</c:v>
                </c:pt>
                <c:pt idx="21">
                  <c:v>0.27450980392156865</c:v>
                </c:pt>
                <c:pt idx="22">
                  <c:v>0.25098039215686274</c:v>
                </c:pt>
                <c:pt idx="23">
                  <c:v>0.23137254901960785</c:v>
                </c:pt>
                <c:pt idx="24">
                  <c:v>0.21176470588235294</c:v>
                </c:pt>
                <c:pt idx="25">
                  <c:v>0.19215686274509805</c:v>
                </c:pt>
                <c:pt idx="26">
                  <c:v>0.18431372549019609</c:v>
                </c:pt>
                <c:pt idx="27">
                  <c:v>0.16862745098039217</c:v>
                </c:pt>
                <c:pt idx="28">
                  <c:v>0.15294117647058825</c:v>
                </c:pt>
                <c:pt idx="29">
                  <c:v>0.14509803921568629</c:v>
                </c:pt>
                <c:pt idx="30">
                  <c:v>0.13725490196078433</c:v>
                </c:pt>
                <c:pt idx="31">
                  <c:v>0.12941176470588237</c:v>
                </c:pt>
                <c:pt idx="32">
                  <c:v>0.12156862745098039</c:v>
                </c:pt>
                <c:pt idx="33">
                  <c:v>0.11764705882352941</c:v>
                </c:pt>
                <c:pt idx="34">
                  <c:v>0.10588235294117647</c:v>
                </c:pt>
                <c:pt idx="35">
                  <c:v>0.10196078431372549</c:v>
                </c:pt>
                <c:pt idx="36">
                  <c:v>9.8039215686274508E-2</c:v>
                </c:pt>
                <c:pt idx="37">
                  <c:v>9.0196078431372548E-2</c:v>
                </c:pt>
                <c:pt idx="38">
                  <c:v>9.0196078431372548E-2</c:v>
                </c:pt>
                <c:pt idx="39">
                  <c:v>8.2352941176470587E-2</c:v>
                </c:pt>
                <c:pt idx="40">
                  <c:v>7.0588235294117646E-2</c:v>
                </c:pt>
                <c:pt idx="41">
                  <c:v>6.6666666666666666E-2</c:v>
                </c:pt>
                <c:pt idx="42">
                  <c:v>6.6666666666666666E-2</c:v>
                </c:pt>
                <c:pt idx="43">
                  <c:v>6.6666666666666666E-2</c:v>
                </c:pt>
                <c:pt idx="44">
                  <c:v>5.8823529411764705E-2</c:v>
                </c:pt>
                <c:pt idx="45">
                  <c:v>5.8823529411764705E-2</c:v>
                </c:pt>
                <c:pt idx="46">
                  <c:v>5.8823529411764705E-2</c:v>
                </c:pt>
                <c:pt idx="47">
                  <c:v>5.0980392156862744E-2</c:v>
                </c:pt>
                <c:pt idx="48">
                  <c:v>5.0980392156862744E-2</c:v>
                </c:pt>
                <c:pt idx="49">
                  <c:v>4.7058823529411764E-2</c:v>
                </c:pt>
                <c:pt idx="50">
                  <c:v>4.7058823529411764E-2</c:v>
                </c:pt>
                <c:pt idx="51">
                  <c:v>3.9215686274509803E-2</c:v>
                </c:pt>
                <c:pt idx="52">
                  <c:v>3.5294117647058823E-2</c:v>
                </c:pt>
                <c:pt idx="53">
                  <c:v>3.5294117647058823E-2</c:v>
                </c:pt>
                <c:pt idx="54">
                  <c:v>4.3137254901960784E-2</c:v>
                </c:pt>
                <c:pt idx="55">
                  <c:v>4.3137254901960784E-2</c:v>
                </c:pt>
                <c:pt idx="56">
                  <c:v>3.9215686274509803E-2</c:v>
                </c:pt>
                <c:pt idx="57">
                  <c:v>2.7450980392156862E-2</c:v>
                </c:pt>
                <c:pt idx="58">
                  <c:v>2.7450980392156862E-2</c:v>
                </c:pt>
                <c:pt idx="59">
                  <c:v>3.1372549019607843E-2</c:v>
                </c:pt>
                <c:pt idx="60">
                  <c:v>3.5294117647058823E-2</c:v>
                </c:pt>
                <c:pt idx="61">
                  <c:v>2.3529411764705882E-2</c:v>
                </c:pt>
                <c:pt idx="62">
                  <c:v>2.7450980392156862E-2</c:v>
                </c:pt>
                <c:pt idx="63">
                  <c:v>1.9607843137254902E-2</c:v>
                </c:pt>
                <c:pt idx="64">
                  <c:v>1.9607843137254902E-2</c:v>
                </c:pt>
                <c:pt idx="65">
                  <c:v>2.7450980392156862E-2</c:v>
                </c:pt>
                <c:pt idx="66">
                  <c:v>1.5686274509803921E-2</c:v>
                </c:pt>
                <c:pt idx="67">
                  <c:v>1.9607843137254902E-2</c:v>
                </c:pt>
                <c:pt idx="68">
                  <c:v>1.5686274509803921E-2</c:v>
                </c:pt>
                <c:pt idx="69">
                  <c:v>1.5686274509803921E-2</c:v>
                </c:pt>
                <c:pt idx="70">
                  <c:v>1.1764705882352941E-2</c:v>
                </c:pt>
                <c:pt idx="71">
                  <c:v>1.1764705882352941E-2</c:v>
                </c:pt>
                <c:pt idx="72">
                  <c:v>1.1764705882352941E-2</c:v>
                </c:pt>
                <c:pt idx="73">
                  <c:v>1.1764705882352941E-2</c:v>
                </c:pt>
                <c:pt idx="74">
                  <c:v>1.5686274509803921E-2</c:v>
                </c:pt>
                <c:pt idx="75">
                  <c:v>1.1764705882352941E-2</c:v>
                </c:pt>
                <c:pt idx="76">
                  <c:v>7.8431372549019607E-3</c:v>
                </c:pt>
                <c:pt idx="77">
                  <c:v>1.1764705882352941E-2</c:v>
                </c:pt>
                <c:pt idx="78">
                  <c:v>1.1764705882352941E-2</c:v>
                </c:pt>
                <c:pt idx="79">
                  <c:v>1.1764705882352941E-2</c:v>
                </c:pt>
                <c:pt idx="80">
                  <c:v>3.9215686274509803E-3</c:v>
                </c:pt>
              </c:numCache>
            </c:numRef>
          </c:yVal>
        </c:ser>
        <c:ser>
          <c:idx val="5"/>
          <c:order val="5"/>
          <c:tx>
            <c:strRef>
              <c:f>data3!$AE$1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data3!$AE$2:$AE$82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0.96470588235294119</c:v>
                </c:pt>
                <c:pt idx="11">
                  <c:v>0.82745098039215681</c:v>
                </c:pt>
                <c:pt idx="12">
                  <c:v>0.72549019607843135</c:v>
                </c:pt>
                <c:pt idx="13">
                  <c:v>0.63137254901960782</c:v>
                </c:pt>
                <c:pt idx="14">
                  <c:v>0.5607843137254902</c:v>
                </c:pt>
                <c:pt idx="15">
                  <c:v>0.50588235294117645</c:v>
                </c:pt>
                <c:pt idx="16">
                  <c:v>0.45098039215686275</c:v>
                </c:pt>
                <c:pt idx="17">
                  <c:v>0.4</c:v>
                </c:pt>
                <c:pt idx="18">
                  <c:v>0.36470588235294116</c:v>
                </c:pt>
                <c:pt idx="19">
                  <c:v>0.32549019607843138</c:v>
                </c:pt>
                <c:pt idx="20">
                  <c:v>0.29019607843137257</c:v>
                </c:pt>
                <c:pt idx="21">
                  <c:v>0.27450980392156865</c:v>
                </c:pt>
                <c:pt idx="22">
                  <c:v>0.24313725490196078</c:v>
                </c:pt>
                <c:pt idx="23">
                  <c:v>0.23529411764705882</c:v>
                </c:pt>
                <c:pt idx="24">
                  <c:v>0.20392156862745098</c:v>
                </c:pt>
                <c:pt idx="25">
                  <c:v>0.18823529411764706</c:v>
                </c:pt>
                <c:pt idx="26">
                  <c:v>0.17647058823529413</c:v>
                </c:pt>
                <c:pt idx="27">
                  <c:v>0.16470588235294117</c:v>
                </c:pt>
                <c:pt idx="28">
                  <c:v>0.15294117647058825</c:v>
                </c:pt>
                <c:pt idx="29">
                  <c:v>0.14117647058823529</c:v>
                </c:pt>
                <c:pt idx="30">
                  <c:v>0.13725490196078433</c:v>
                </c:pt>
                <c:pt idx="31">
                  <c:v>0.12156862745098039</c:v>
                </c:pt>
                <c:pt idx="32">
                  <c:v>0.12156862745098039</c:v>
                </c:pt>
                <c:pt idx="33">
                  <c:v>0.10980392156862745</c:v>
                </c:pt>
                <c:pt idx="34">
                  <c:v>9.8039215686274508E-2</c:v>
                </c:pt>
                <c:pt idx="35">
                  <c:v>9.8039215686274508E-2</c:v>
                </c:pt>
                <c:pt idx="36">
                  <c:v>8.6274509803921567E-2</c:v>
                </c:pt>
                <c:pt idx="37">
                  <c:v>8.2352941176470587E-2</c:v>
                </c:pt>
                <c:pt idx="38">
                  <c:v>7.4509803921568626E-2</c:v>
                </c:pt>
                <c:pt idx="39">
                  <c:v>7.8431372549019607E-2</c:v>
                </c:pt>
                <c:pt idx="40">
                  <c:v>7.0588235294117646E-2</c:v>
                </c:pt>
                <c:pt idx="41">
                  <c:v>6.6666666666666666E-2</c:v>
                </c:pt>
                <c:pt idx="42">
                  <c:v>6.6666666666666666E-2</c:v>
                </c:pt>
                <c:pt idx="43">
                  <c:v>5.8823529411764705E-2</c:v>
                </c:pt>
                <c:pt idx="44">
                  <c:v>5.4901960784313725E-2</c:v>
                </c:pt>
                <c:pt idx="45">
                  <c:v>5.0980392156862744E-2</c:v>
                </c:pt>
                <c:pt idx="46">
                  <c:v>5.0980392156862744E-2</c:v>
                </c:pt>
                <c:pt idx="47">
                  <c:v>5.0980392156862744E-2</c:v>
                </c:pt>
                <c:pt idx="48">
                  <c:v>5.0980392156862744E-2</c:v>
                </c:pt>
                <c:pt idx="49">
                  <c:v>4.3137254901960784E-2</c:v>
                </c:pt>
                <c:pt idx="50">
                  <c:v>4.3137254901960784E-2</c:v>
                </c:pt>
                <c:pt idx="51">
                  <c:v>3.5294117647058823E-2</c:v>
                </c:pt>
                <c:pt idx="52">
                  <c:v>3.9215686274509803E-2</c:v>
                </c:pt>
                <c:pt idx="53">
                  <c:v>3.5294117647058823E-2</c:v>
                </c:pt>
                <c:pt idx="54">
                  <c:v>2.7450980392156862E-2</c:v>
                </c:pt>
                <c:pt idx="55">
                  <c:v>2.7450980392156862E-2</c:v>
                </c:pt>
                <c:pt idx="56">
                  <c:v>2.7450980392156862E-2</c:v>
                </c:pt>
                <c:pt idx="57">
                  <c:v>2.7450980392156862E-2</c:v>
                </c:pt>
                <c:pt idx="58">
                  <c:v>1.9607843137254902E-2</c:v>
                </c:pt>
                <c:pt idx="59">
                  <c:v>1.9607843137254902E-2</c:v>
                </c:pt>
                <c:pt idx="60">
                  <c:v>1.9607843137254902E-2</c:v>
                </c:pt>
                <c:pt idx="61">
                  <c:v>1.9607843137254902E-2</c:v>
                </c:pt>
                <c:pt idx="62">
                  <c:v>1.9607843137254902E-2</c:v>
                </c:pt>
                <c:pt idx="63">
                  <c:v>2.3529411764705882E-2</c:v>
                </c:pt>
                <c:pt idx="64">
                  <c:v>2.3529411764705882E-2</c:v>
                </c:pt>
                <c:pt idx="65">
                  <c:v>2.3529411764705882E-2</c:v>
                </c:pt>
                <c:pt idx="66">
                  <c:v>1.5686274509803921E-2</c:v>
                </c:pt>
                <c:pt idx="67">
                  <c:v>1.5686274509803921E-2</c:v>
                </c:pt>
                <c:pt idx="68">
                  <c:v>1.1764705882352941E-2</c:v>
                </c:pt>
                <c:pt idx="69">
                  <c:v>1.1764705882352941E-2</c:v>
                </c:pt>
                <c:pt idx="70">
                  <c:v>1.1764705882352941E-2</c:v>
                </c:pt>
                <c:pt idx="71">
                  <c:v>1.5686274509803921E-2</c:v>
                </c:pt>
                <c:pt idx="72">
                  <c:v>1.1764705882352941E-2</c:v>
                </c:pt>
                <c:pt idx="73">
                  <c:v>1.1764705882352941E-2</c:v>
                </c:pt>
                <c:pt idx="74">
                  <c:v>1.1764705882352941E-2</c:v>
                </c:pt>
                <c:pt idx="75">
                  <c:v>1.1764705882352941E-2</c:v>
                </c:pt>
                <c:pt idx="76">
                  <c:v>1.1764705882352941E-2</c:v>
                </c:pt>
                <c:pt idx="77">
                  <c:v>1.1764705882352941E-2</c:v>
                </c:pt>
                <c:pt idx="78">
                  <c:v>7.8431372549019607E-3</c:v>
                </c:pt>
                <c:pt idx="79">
                  <c:v>1.1764705882352941E-2</c:v>
                </c:pt>
                <c:pt idx="80">
                  <c:v>3.9215686274509803E-3</c:v>
                </c:pt>
              </c:numCache>
            </c:numRef>
          </c:yVal>
        </c:ser>
        <c:ser>
          <c:idx val="6"/>
          <c:order val="6"/>
          <c:tx>
            <c:strRef>
              <c:f>data3!$AF$1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data3!$AF$2:$AF$82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0.97254901960784312</c:v>
                </c:pt>
                <c:pt idx="11">
                  <c:v>0.84705882352941175</c:v>
                </c:pt>
                <c:pt idx="12">
                  <c:v>0.73725490196078436</c:v>
                </c:pt>
                <c:pt idx="13">
                  <c:v>0.64313725490196083</c:v>
                </c:pt>
                <c:pt idx="14">
                  <c:v>0.56862745098039214</c:v>
                </c:pt>
                <c:pt idx="15">
                  <c:v>0.51372549019607838</c:v>
                </c:pt>
                <c:pt idx="16">
                  <c:v>0.45882352941176469</c:v>
                </c:pt>
                <c:pt idx="17">
                  <c:v>0.40784313725490196</c:v>
                </c:pt>
                <c:pt idx="18">
                  <c:v>0.36862745098039218</c:v>
                </c:pt>
                <c:pt idx="19">
                  <c:v>0.33725490196078434</c:v>
                </c:pt>
                <c:pt idx="20">
                  <c:v>0.29803921568627451</c:v>
                </c:pt>
                <c:pt idx="21">
                  <c:v>0.27450980392156865</c:v>
                </c:pt>
                <c:pt idx="22">
                  <c:v>0.25098039215686274</c:v>
                </c:pt>
                <c:pt idx="23">
                  <c:v>0.23921568627450981</c:v>
                </c:pt>
                <c:pt idx="24">
                  <c:v>0.2196078431372549</c:v>
                </c:pt>
                <c:pt idx="25">
                  <c:v>0.19607843137254902</c:v>
                </c:pt>
                <c:pt idx="26">
                  <c:v>0.1803921568627451</c:v>
                </c:pt>
                <c:pt idx="27">
                  <c:v>0.17254901960784313</c:v>
                </c:pt>
                <c:pt idx="28">
                  <c:v>0.16078431372549021</c:v>
                </c:pt>
                <c:pt idx="29">
                  <c:v>0.14509803921568629</c:v>
                </c:pt>
                <c:pt idx="30">
                  <c:v>0.14117647058823529</c:v>
                </c:pt>
                <c:pt idx="31">
                  <c:v>0.12941176470588237</c:v>
                </c:pt>
                <c:pt idx="32">
                  <c:v>0.11764705882352941</c:v>
                </c:pt>
                <c:pt idx="33">
                  <c:v>0.11372549019607843</c:v>
                </c:pt>
                <c:pt idx="34">
                  <c:v>0.10588235294117647</c:v>
                </c:pt>
                <c:pt idx="35">
                  <c:v>9.8039215686274508E-2</c:v>
                </c:pt>
                <c:pt idx="36">
                  <c:v>9.8039215686274508E-2</c:v>
                </c:pt>
                <c:pt idx="37">
                  <c:v>9.0196078431372548E-2</c:v>
                </c:pt>
                <c:pt idx="38">
                  <c:v>8.2352941176470587E-2</c:v>
                </c:pt>
                <c:pt idx="39">
                  <c:v>7.8431372549019607E-2</c:v>
                </c:pt>
                <c:pt idx="40">
                  <c:v>7.0588235294117646E-2</c:v>
                </c:pt>
                <c:pt idx="41">
                  <c:v>6.2745098039215685E-2</c:v>
                </c:pt>
                <c:pt idx="42">
                  <c:v>6.6666666666666666E-2</c:v>
                </c:pt>
                <c:pt idx="43">
                  <c:v>5.8823529411764705E-2</c:v>
                </c:pt>
                <c:pt idx="44">
                  <c:v>5.0980392156862744E-2</c:v>
                </c:pt>
                <c:pt idx="45">
                  <c:v>5.0980392156862744E-2</c:v>
                </c:pt>
                <c:pt idx="46">
                  <c:v>4.7058823529411764E-2</c:v>
                </c:pt>
                <c:pt idx="47">
                  <c:v>4.3137254901960784E-2</c:v>
                </c:pt>
                <c:pt idx="48">
                  <c:v>4.3137254901960784E-2</c:v>
                </c:pt>
                <c:pt idx="49">
                  <c:v>4.3137254901960784E-2</c:v>
                </c:pt>
                <c:pt idx="50">
                  <c:v>4.3137254901960784E-2</c:v>
                </c:pt>
                <c:pt idx="51">
                  <c:v>3.1372549019607843E-2</c:v>
                </c:pt>
                <c:pt idx="52">
                  <c:v>4.3137254901960784E-2</c:v>
                </c:pt>
                <c:pt idx="53">
                  <c:v>3.9215686274509803E-2</c:v>
                </c:pt>
                <c:pt idx="54">
                  <c:v>2.7450980392156862E-2</c:v>
                </c:pt>
                <c:pt idx="55">
                  <c:v>2.3529411764705882E-2</c:v>
                </c:pt>
                <c:pt idx="56">
                  <c:v>2.7450980392156862E-2</c:v>
                </c:pt>
                <c:pt idx="57">
                  <c:v>1.9607843137254902E-2</c:v>
                </c:pt>
                <c:pt idx="58">
                  <c:v>2.7450980392156862E-2</c:v>
                </c:pt>
                <c:pt idx="59">
                  <c:v>2.7450980392156862E-2</c:v>
                </c:pt>
                <c:pt idx="60">
                  <c:v>1.9607843137254902E-2</c:v>
                </c:pt>
                <c:pt idx="61">
                  <c:v>1.9607843137254902E-2</c:v>
                </c:pt>
                <c:pt idx="62">
                  <c:v>1.9607843137254902E-2</c:v>
                </c:pt>
                <c:pt idx="63">
                  <c:v>1.1764705882352941E-2</c:v>
                </c:pt>
                <c:pt idx="64">
                  <c:v>7.8431372549019607E-3</c:v>
                </c:pt>
                <c:pt idx="65">
                  <c:v>1.1764705882352941E-2</c:v>
                </c:pt>
                <c:pt idx="66">
                  <c:v>1.5686274509803921E-2</c:v>
                </c:pt>
                <c:pt idx="67">
                  <c:v>1.5686274509803921E-2</c:v>
                </c:pt>
                <c:pt idx="68">
                  <c:v>1.9607843137254902E-2</c:v>
                </c:pt>
                <c:pt idx="69">
                  <c:v>1.5686274509803921E-2</c:v>
                </c:pt>
                <c:pt idx="70">
                  <c:v>1.1764705882352941E-2</c:v>
                </c:pt>
                <c:pt idx="71">
                  <c:v>1.1764705882352941E-2</c:v>
                </c:pt>
                <c:pt idx="72">
                  <c:v>1.9607843137254902E-2</c:v>
                </c:pt>
                <c:pt idx="73">
                  <c:v>1.1764705882352941E-2</c:v>
                </c:pt>
                <c:pt idx="74">
                  <c:v>1.1764705882352941E-2</c:v>
                </c:pt>
                <c:pt idx="75">
                  <c:v>3.9215686274509803E-3</c:v>
                </c:pt>
                <c:pt idx="76">
                  <c:v>7.8431372549019607E-3</c:v>
                </c:pt>
                <c:pt idx="77">
                  <c:v>3.9215686274509803E-3</c:v>
                </c:pt>
                <c:pt idx="78">
                  <c:v>3.9215686274509803E-3</c:v>
                </c:pt>
                <c:pt idx="79">
                  <c:v>0</c:v>
                </c:pt>
                <c:pt idx="80">
                  <c:v>3.9215686274509803E-3</c:v>
                </c:pt>
              </c:numCache>
            </c:numRef>
          </c:yVal>
        </c:ser>
        <c:ser>
          <c:idx val="7"/>
          <c:order val="7"/>
          <c:tx>
            <c:strRef>
              <c:f>data3!$AG$1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data3!$AG$2:$AG$82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0.97254901960784312</c:v>
                </c:pt>
                <c:pt idx="12">
                  <c:v>0.87058823529411766</c:v>
                </c:pt>
                <c:pt idx="13">
                  <c:v>0.77647058823529413</c:v>
                </c:pt>
                <c:pt idx="14">
                  <c:v>0.70196078431372544</c:v>
                </c:pt>
                <c:pt idx="15">
                  <c:v>0.63921568627450975</c:v>
                </c:pt>
                <c:pt idx="16">
                  <c:v>0.58823529411764708</c:v>
                </c:pt>
                <c:pt idx="17">
                  <c:v>0.54117647058823526</c:v>
                </c:pt>
                <c:pt idx="18">
                  <c:v>0.49411764705882355</c:v>
                </c:pt>
                <c:pt idx="19">
                  <c:v>0.45882352941176469</c:v>
                </c:pt>
                <c:pt idx="20">
                  <c:v>0.43137254901960786</c:v>
                </c:pt>
                <c:pt idx="21">
                  <c:v>0.40784313725490196</c:v>
                </c:pt>
                <c:pt idx="22">
                  <c:v>0.38039215686274508</c:v>
                </c:pt>
                <c:pt idx="23">
                  <c:v>0.36078431372549019</c:v>
                </c:pt>
                <c:pt idx="24">
                  <c:v>0.34901960784313724</c:v>
                </c:pt>
                <c:pt idx="25">
                  <c:v>0.33333333333333331</c:v>
                </c:pt>
                <c:pt idx="26">
                  <c:v>0.31764705882352939</c:v>
                </c:pt>
                <c:pt idx="27">
                  <c:v>0.30980392156862746</c:v>
                </c:pt>
                <c:pt idx="28">
                  <c:v>0.29803921568627451</c:v>
                </c:pt>
                <c:pt idx="29">
                  <c:v>0.28627450980392155</c:v>
                </c:pt>
                <c:pt idx="30">
                  <c:v>0.28235294117647058</c:v>
                </c:pt>
                <c:pt idx="31">
                  <c:v>0.27058823529411763</c:v>
                </c:pt>
                <c:pt idx="32">
                  <c:v>0.25490196078431371</c:v>
                </c:pt>
                <c:pt idx="33">
                  <c:v>0.25490196078431371</c:v>
                </c:pt>
                <c:pt idx="34">
                  <c:v>0.24705882352941178</c:v>
                </c:pt>
                <c:pt idx="35">
                  <c:v>0.23921568627450981</c:v>
                </c:pt>
                <c:pt idx="36">
                  <c:v>0.22352941176470589</c:v>
                </c:pt>
                <c:pt idx="37">
                  <c:v>0.22745098039215686</c:v>
                </c:pt>
                <c:pt idx="38">
                  <c:v>0.22352941176470589</c:v>
                </c:pt>
                <c:pt idx="39">
                  <c:v>0.22745098039215686</c:v>
                </c:pt>
                <c:pt idx="40">
                  <c:v>0.21568627450980393</c:v>
                </c:pt>
                <c:pt idx="41">
                  <c:v>0.20784313725490197</c:v>
                </c:pt>
                <c:pt idx="42">
                  <c:v>0.20784313725490197</c:v>
                </c:pt>
                <c:pt idx="43">
                  <c:v>0.2</c:v>
                </c:pt>
                <c:pt idx="44">
                  <c:v>0.19607843137254902</c:v>
                </c:pt>
                <c:pt idx="45">
                  <c:v>0.2</c:v>
                </c:pt>
                <c:pt idx="46">
                  <c:v>0.19215686274509805</c:v>
                </c:pt>
                <c:pt idx="47">
                  <c:v>0.19215686274509805</c:v>
                </c:pt>
                <c:pt idx="48">
                  <c:v>0.19215686274509805</c:v>
                </c:pt>
                <c:pt idx="49">
                  <c:v>0.18431372549019609</c:v>
                </c:pt>
                <c:pt idx="50">
                  <c:v>0.18431372549019609</c:v>
                </c:pt>
                <c:pt idx="51">
                  <c:v>0.18431372549019609</c:v>
                </c:pt>
                <c:pt idx="52">
                  <c:v>0.17647058823529413</c:v>
                </c:pt>
                <c:pt idx="53">
                  <c:v>0.17647058823529413</c:v>
                </c:pt>
                <c:pt idx="54">
                  <c:v>0.17647058823529413</c:v>
                </c:pt>
                <c:pt idx="55">
                  <c:v>0.17647058823529413</c:v>
                </c:pt>
                <c:pt idx="56">
                  <c:v>0.1803921568627451</c:v>
                </c:pt>
                <c:pt idx="57">
                  <c:v>0.17254901960784313</c:v>
                </c:pt>
                <c:pt idx="58">
                  <c:v>0.16862745098039217</c:v>
                </c:pt>
                <c:pt idx="59">
                  <c:v>0.17254901960784313</c:v>
                </c:pt>
                <c:pt idx="60">
                  <c:v>0.16862745098039217</c:v>
                </c:pt>
                <c:pt idx="61">
                  <c:v>0.16862745098039217</c:v>
                </c:pt>
                <c:pt idx="62">
                  <c:v>0.16470588235294117</c:v>
                </c:pt>
                <c:pt idx="63">
                  <c:v>0.16078431372549021</c:v>
                </c:pt>
                <c:pt idx="64">
                  <c:v>0.16078431372549021</c:v>
                </c:pt>
                <c:pt idx="65">
                  <c:v>0.16470588235294117</c:v>
                </c:pt>
                <c:pt idx="66">
                  <c:v>0.16078431372549021</c:v>
                </c:pt>
                <c:pt idx="67">
                  <c:v>0.16078431372549021</c:v>
                </c:pt>
                <c:pt idx="68">
                  <c:v>0.15686274509803921</c:v>
                </c:pt>
                <c:pt idx="69">
                  <c:v>0.16078431372549021</c:v>
                </c:pt>
                <c:pt idx="70">
                  <c:v>0.15294117647058825</c:v>
                </c:pt>
                <c:pt idx="71">
                  <c:v>0.16078431372549021</c:v>
                </c:pt>
                <c:pt idx="72">
                  <c:v>0.16078431372549021</c:v>
                </c:pt>
                <c:pt idx="73">
                  <c:v>0.16078431372549021</c:v>
                </c:pt>
                <c:pt idx="74">
                  <c:v>0.15686274509803921</c:v>
                </c:pt>
                <c:pt idx="75">
                  <c:v>0.16078431372549021</c:v>
                </c:pt>
                <c:pt idx="76">
                  <c:v>0.15294117647058825</c:v>
                </c:pt>
                <c:pt idx="77">
                  <c:v>0.15294117647058825</c:v>
                </c:pt>
                <c:pt idx="78">
                  <c:v>0.15686274509803921</c:v>
                </c:pt>
                <c:pt idx="79">
                  <c:v>0.14901960784313725</c:v>
                </c:pt>
                <c:pt idx="80">
                  <c:v>0.15294117647058825</c:v>
                </c:pt>
              </c:numCache>
            </c:numRef>
          </c:yVal>
        </c:ser>
        <c:axId val="137163520"/>
        <c:axId val="137165056"/>
      </c:scatterChart>
      <c:valAx>
        <c:axId val="137163520"/>
        <c:scaling>
          <c:orientation val="minMax"/>
        </c:scaling>
        <c:axPos val="b"/>
        <c:numFmt formatCode="0.0" sourceLinked="1"/>
        <c:tickLblPos val="nextTo"/>
        <c:crossAx val="137165056"/>
        <c:crosses val="autoZero"/>
        <c:crossBetween val="midCat"/>
      </c:valAx>
      <c:valAx>
        <c:axId val="137165056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3716352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chart" Target="../charts/chart2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4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4" Type="http://schemas.openxmlformats.org/officeDocument/2006/relationships/chart" Target="../charts/chart3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592667</xdr:colOff>
      <xdr:row>34</xdr:row>
      <xdr:rowOff>2643</xdr:rowOff>
    </xdr:from>
    <xdr:to>
      <xdr:col>15</xdr:col>
      <xdr:colOff>254001</xdr:colOff>
      <xdr:row>48</xdr:row>
      <xdr:rowOff>25927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34</xdr:row>
      <xdr:rowOff>2643</xdr:rowOff>
    </xdr:from>
    <xdr:to>
      <xdr:col>7</xdr:col>
      <xdr:colOff>592667</xdr:colOff>
      <xdr:row>48</xdr:row>
      <xdr:rowOff>25927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</xdr:colOff>
      <xdr:row>48</xdr:row>
      <xdr:rowOff>21165</xdr:rowOff>
    </xdr:from>
    <xdr:to>
      <xdr:col>7</xdr:col>
      <xdr:colOff>592667</xdr:colOff>
      <xdr:row>62</xdr:row>
      <xdr:rowOff>97365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592667</xdr:colOff>
      <xdr:row>48</xdr:row>
      <xdr:rowOff>21165</xdr:rowOff>
    </xdr:from>
    <xdr:to>
      <xdr:col>15</xdr:col>
      <xdr:colOff>254001</xdr:colOff>
      <xdr:row>62</xdr:row>
      <xdr:rowOff>97365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16</xdr:col>
      <xdr:colOff>95250</xdr:colOff>
      <xdr:row>10</xdr:row>
      <xdr:rowOff>29308</xdr:rowOff>
    </xdr:from>
    <xdr:ext cx="184731" cy="264560"/>
    <xdr:sp macro="" textlink="">
      <xdr:nvSpPr>
        <xdr:cNvPr id="11" name="TextBox 10"/>
        <xdr:cNvSpPr txBox="1"/>
      </xdr:nvSpPr>
      <xdr:spPr>
        <a:xfrm>
          <a:off x="10125808" y="118696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1</xdr:colOff>
      <xdr:row>67</xdr:row>
      <xdr:rowOff>190499</xdr:rowOff>
    </xdr:from>
    <xdr:to>
      <xdr:col>7</xdr:col>
      <xdr:colOff>592667</xdr:colOff>
      <xdr:row>82</xdr:row>
      <xdr:rowOff>79374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86</xdr:row>
      <xdr:rowOff>9525</xdr:rowOff>
    </xdr:from>
    <xdr:to>
      <xdr:col>8</xdr:col>
      <xdr:colOff>9525</xdr:colOff>
      <xdr:row>100</xdr:row>
      <xdr:rowOff>85725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0.17106</cdr:x>
      <cdr:y>0.15699</cdr:y>
    </cdr:from>
    <cdr:to>
      <cdr:x>0.52021</cdr:x>
      <cdr:y>0.26116</cdr:y>
    </cdr:to>
    <cdr:sp macro="" textlink="Calculations!$A$46">
      <cdr:nvSpPr>
        <cdr:cNvPr id="2" name="TextBox 1"/>
        <cdr:cNvSpPr txBox="1"/>
      </cdr:nvSpPr>
      <cdr:spPr>
        <a:xfrm xmlns:a="http://schemas.openxmlformats.org/drawingml/2006/main">
          <a:off x="782086" y="430655"/>
          <a:ext cx="1596314" cy="28575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82FB955-A005-4D13-B01F-23CE8C87C38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Y=5.9868X^-1.191 - 0.113</a:t>
          </a:fld>
          <a:endParaRPr lang="en-US" sz="1100"/>
        </a:p>
      </cdr:txBody>
    </cdr:sp>
  </cdr:relSizeAnchor>
  <cdr:relSizeAnchor xmlns:cdr="http://schemas.openxmlformats.org/drawingml/2006/chartDrawing">
    <cdr:from>
      <cdr:x>0.34167</cdr:x>
      <cdr:y>0.64931</cdr:y>
    </cdr:from>
    <cdr:to>
      <cdr:x>0.72083</cdr:x>
      <cdr:y>0.74653</cdr:y>
    </cdr:to>
    <cdr:sp macro="" textlink="Summary!$F$85">
      <cdr:nvSpPr>
        <cdr:cNvPr id="3" name="TextBox 2"/>
        <cdr:cNvSpPr txBox="1"/>
      </cdr:nvSpPr>
      <cdr:spPr>
        <a:xfrm xmlns:a="http://schemas.openxmlformats.org/drawingml/2006/main">
          <a:off x="1562100" y="1781175"/>
          <a:ext cx="173355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5EE8EF94-343B-445A-981A-6A78E5029AC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Offset Adjustment=481.3%</a:t>
          </a:fld>
          <a:endParaRPr lang="en-US" sz="1100" b="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396874</xdr:colOff>
      <xdr:row>42</xdr:row>
      <xdr:rowOff>0</xdr:rowOff>
    </xdr:from>
    <xdr:to>
      <xdr:col>42</xdr:col>
      <xdr:colOff>267758</xdr:colOff>
      <xdr:row>56</xdr:row>
      <xdr:rowOff>80434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0</xdr:colOff>
      <xdr:row>42</xdr:row>
      <xdr:rowOff>0</xdr:rowOff>
    </xdr:from>
    <xdr:to>
      <xdr:col>33</xdr:col>
      <xdr:colOff>396874</xdr:colOff>
      <xdr:row>56</xdr:row>
      <xdr:rowOff>80434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0</xdr:colOff>
      <xdr:row>56</xdr:row>
      <xdr:rowOff>75672</xdr:rowOff>
    </xdr:from>
    <xdr:to>
      <xdr:col>33</xdr:col>
      <xdr:colOff>396874</xdr:colOff>
      <xdr:row>70</xdr:row>
      <xdr:rowOff>170922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396874</xdr:colOff>
      <xdr:row>56</xdr:row>
      <xdr:rowOff>75672</xdr:rowOff>
    </xdr:from>
    <xdr:to>
      <xdr:col>42</xdr:col>
      <xdr:colOff>267758</xdr:colOff>
      <xdr:row>70</xdr:row>
      <xdr:rowOff>170922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423332</xdr:colOff>
      <xdr:row>72</xdr:row>
      <xdr:rowOff>189522</xdr:rowOff>
    </xdr:from>
    <xdr:to>
      <xdr:col>42</xdr:col>
      <xdr:colOff>301623</xdr:colOff>
      <xdr:row>87</xdr:row>
      <xdr:rowOff>97447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3780</xdr:colOff>
      <xdr:row>46</xdr:row>
      <xdr:rowOff>12095</xdr:rowOff>
    </xdr:from>
    <xdr:to>
      <xdr:col>15</xdr:col>
      <xdr:colOff>488689</xdr:colOff>
      <xdr:row>60</xdr:row>
      <xdr:rowOff>86178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514024</xdr:colOff>
      <xdr:row>72</xdr:row>
      <xdr:rowOff>189522</xdr:rowOff>
    </xdr:from>
    <xdr:to>
      <xdr:col>33</xdr:col>
      <xdr:colOff>418774</xdr:colOff>
      <xdr:row>87</xdr:row>
      <xdr:rowOff>75222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0.36481</cdr:x>
      <cdr:y>0.28199</cdr:y>
    </cdr:from>
    <cdr:to>
      <cdr:x>0.71396</cdr:x>
      <cdr:y>0.38616</cdr:y>
    </cdr:to>
    <cdr:sp macro="" textlink="Calculations!$A$46">
      <cdr:nvSpPr>
        <cdr:cNvPr id="2" name="TextBox 1"/>
        <cdr:cNvSpPr txBox="1"/>
      </cdr:nvSpPr>
      <cdr:spPr>
        <a:xfrm xmlns:a="http://schemas.openxmlformats.org/drawingml/2006/main">
          <a:off x="1667931" y="773563"/>
          <a:ext cx="1596293" cy="285748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82FB955-A005-4D13-B01F-23CE8C87C38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Y=5.9868X^-1.191 - 0.113</a:t>
          </a:fld>
          <a:endParaRPr lang="en-US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11907</xdr:colOff>
      <xdr:row>2</xdr:row>
      <xdr:rowOff>11906</xdr:rowOff>
    </xdr:from>
    <xdr:to>
      <xdr:col>9</xdr:col>
      <xdr:colOff>0</xdr:colOff>
      <xdr:row>16</xdr:row>
      <xdr:rowOff>107156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392905</xdr:colOff>
      <xdr:row>16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392905</xdr:colOff>
      <xdr:row>16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392905</xdr:colOff>
      <xdr:row>16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40</xdr:col>
      <xdr:colOff>52917</xdr:colOff>
      <xdr:row>5</xdr:row>
      <xdr:rowOff>84667</xdr:rowOff>
    </xdr:from>
    <xdr:to>
      <xdr:col>47</xdr:col>
      <xdr:colOff>497416</xdr:colOff>
      <xdr:row>22</xdr:row>
      <xdr:rowOff>145522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0.50138</cdr:x>
      <cdr:y>0.49469</cdr:y>
    </cdr:from>
    <cdr:to>
      <cdr:x>0.73939</cdr:x>
      <cdr:y>0.8286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926166" y="1354667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0.71231</cdr:x>
      <cdr:y>0.63833</cdr:y>
    </cdr:from>
    <cdr:to>
      <cdr:x>0.77232</cdr:x>
      <cdr:y>0.77704</cdr:y>
    </cdr:to>
    <cdr:sp macro="" textlink="">
      <cdr:nvSpPr>
        <cdr:cNvPr id="6" name="Straight Arrow Connector 5"/>
        <cdr:cNvSpPr/>
      </cdr:nvSpPr>
      <cdr:spPr>
        <a:xfrm xmlns:a="http://schemas.openxmlformats.org/drawingml/2006/main" flipH="1">
          <a:off x="3377308" y="2106084"/>
          <a:ext cx="284526" cy="45766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0.48029</cdr:x>
      <cdr:y>0.38813</cdr:y>
    </cdr:from>
    <cdr:to>
      <cdr:x>0.6942</cdr:x>
      <cdr:y>0.47153</cdr:y>
    </cdr:to>
    <cdr:sp macro="" textlink="data0!$AP$3">
      <cdr:nvSpPr>
        <cdr:cNvPr id="4" name="TextBox 3"/>
        <cdr:cNvSpPr txBox="1"/>
      </cdr:nvSpPr>
      <cdr:spPr>
        <a:xfrm xmlns:a="http://schemas.openxmlformats.org/drawingml/2006/main">
          <a:off x="2277234" y="1280583"/>
          <a:ext cx="1014183" cy="2751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49A35B4-B7EC-40F4-9DC0-9F9E90472BF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Both:4.6 - 19.6mm</a:t>
          </a:fld>
          <a:endParaRPr lang="en-US" sz="1100"/>
        </a:p>
      </cdr:txBody>
    </cdr:sp>
  </cdr:relSizeAnchor>
  <cdr:relSizeAnchor xmlns:cdr="http://schemas.openxmlformats.org/drawingml/2006/chartDrawing">
    <cdr:from>
      <cdr:x>0.7135</cdr:x>
      <cdr:y>0.56812</cdr:y>
    </cdr:from>
    <cdr:to>
      <cdr:x>0.90083</cdr:x>
      <cdr:y>0.67246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382952" y="1874415"/>
          <a:ext cx="888183" cy="3442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Measured</a:t>
          </a:r>
        </a:p>
      </cdr:txBody>
    </cdr:sp>
  </cdr:relSizeAnchor>
  <cdr:relSizeAnchor xmlns:cdr="http://schemas.openxmlformats.org/drawingml/2006/chartDrawing">
    <cdr:from>
      <cdr:x>0.3192</cdr:x>
      <cdr:y>0.21743</cdr:y>
    </cdr:from>
    <cdr:to>
      <cdr:x>0.43398</cdr:x>
      <cdr:y>0.21743</cdr:y>
    </cdr:to>
    <cdr:sp macro="" textlink="">
      <cdr:nvSpPr>
        <cdr:cNvPr id="8" name="Straight Arrow Connector 7"/>
        <cdr:cNvSpPr/>
      </cdr:nvSpPr>
      <cdr:spPr>
        <a:xfrm xmlns:a="http://schemas.openxmlformats.org/drawingml/2006/main" flipH="1">
          <a:off x="1513416" y="717383"/>
          <a:ext cx="544227" cy="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0.44221</cdr:x>
      <cdr:y>0.18551</cdr:y>
    </cdr:from>
    <cdr:to>
      <cdr:x>0.68023</cdr:x>
      <cdr:y>0.27053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2096683" y="612063"/>
          <a:ext cx="1128514" cy="2805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Extrapolated</a:t>
          </a:r>
        </a:p>
      </cdr:txBody>
    </cdr:sp>
  </cdr:relSizeAnchor>
  <cdr:relSizeAnchor xmlns:cdr="http://schemas.openxmlformats.org/drawingml/2006/chartDrawing">
    <cdr:from>
      <cdr:x>0.02009</cdr:x>
      <cdr:y>0.88853</cdr:y>
    </cdr:from>
    <cdr:to>
      <cdr:x>0.28795</cdr:x>
      <cdr:y>0.97514</cdr:y>
    </cdr:to>
    <cdr:sp macro="" textlink="data0!$AP$4">
      <cdr:nvSpPr>
        <cdr:cNvPr id="11" name="TextBox 10"/>
        <cdr:cNvSpPr txBox="1"/>
      </cdr:nvSpPr>
      <cdr:spPr>
        <a:xfrm xmlns:a="http://schemas.openxmlformats.org/drawingml/2006/main">
          <a:off x="95252" y="2931576"/>
          <a:ext cx="1269997" cy="2857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41D23F8-EFB2-46C3-9EAC-4B2827E90E50}" type="TxLink">
            <a:rPr lang="en-US" sz="11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marR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Y=2.6485X^-0.949</a:t>
          </a:fld>
          <a:endParaRPr lang="en-US" sz="1100"/>
        </a:p>
      </cdr:txBody>
    </cdr:sp>
  </cdr:relSizeAnchor>
  <cdr:relSizeAnchor xmlns:cdr="http://schemas.openxmlformats.org/drawingml/2006/chartDrawing">
    <cdr:from>
      <cdr:x>0.21652</cdr:x>
      <cdr:y>0.43945</cdr:y>
    </cdr:from>
    <cdr:to>
      <cdr:x>0.48214</cdr:x>
      <cdr:y>0.46512</cdr:y>
    </cdr:to>
    <cdr:sp macro="" textlink="">
      <cdr:nvSpPr>
        <cdr:cNvPr id="12" name="Straight Arrow Connector 11"/>
        <cdr:cNvSpPr/>
      </cdr:nvSpPr>
      <cdr:spPr>
        <a:xfrm xmlns:a="http://schemas.openxmlformats.org/drawingml/2006/main" flipH="1">
          <a:off x="1026583" y="1449917"/>
          <a:ext cx="1259417" cy="84666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0.3125</cdr:x>
      <cdr:y>0.44266</cdr:y>
    </cdr:from>
    <cdr:to>
      <cdr:x>0.48437</cdr:x>
      <cdr:y>0.75702</cdr:y>
    </cdr:to>
    <cdr:sp macro="" textlink="">
      <cdr:nvSpPr>
        <cdr:cNvPr id="14" name="Straight Arrow Connector 13"/>
        <cdr:cNvSpPr/>
      </cdr:nvSpPr>
      <cdr:spPr>
        <a:xfrm xmlns:a="http://schemas.openxmlformats.org/drawingml/2006/main" flipH="1">
          <a:off x="1481667" y="1460500"/>
          <a:ext cx="814916" cy="1037167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0.39509</cdr:x>
      <cdr:y>0.69286</cdr:y>
    </cdr:from>
    <cdr:to>
      <cdr:x>0.69866</cdr:x>
      <cdr:y>0.76664</cdr:y>
    </cdr:to>
    <cdr:sp macro="" textlink="data0!$AS$3">
      <cdr:nvSpPr>
        <cdr:cNvPr id="15" name="TextBox 14"/>
        <cdr:cNvSpPr txBox="1"/>
      </cdr:nvSpPr>
      <cdr:spPr>
        <a:xfrm xmlns:a="http://schemas.openxmlformats.org/drawingml/2006/main">
          <a:off x="1873251" y="2286000"/>
          <a:ext cx="1439334" cy="243417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201CFA65-91EB-4E0C-AC5E-DE690484361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Offset Adjust=481.3%</a:t>
          </a:fld>
          <a:endParaRPr lang="en-US" sz="1100"/>
        </a:p>
      </cdr:txBody>
    </cdr:sp>
  </cdr:relSizeAnchor>
  <cdr:relSizeAnchor xmlns:cdr="http://schemas.openxmlformats.org/drawingml/2006/chartDrawing">
    <cdr:from>
      <cdr:x>0.7567</cdr:x>
      <cdr:y>0.24058</cdr:y>
    </cdr:from>
    <cdr:to>
      <cdr:x>0.94955</cdr:x>
      <cdr:y>0.51772</cdr:y>
    </cdr:to>
    <cdr:sp macro="" textlink="">
      <cdr:nvSpPr>
        <cdr:cNvPr id="16" name="TextBox 15"/>
        <cdr:cNvSpPr txBox="1"/>
      </cdr:nvSpPr>
      <cdr:spPr>
        <a:xfrm xmlns:a="http://schemas.openxmlformats.org/drawingml/2006/main">
          <a:off x="3587750" y="7937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0.67411</cdr:x>
      <cdr:y>0.23095</cdr:y>
    </cdr:from>
    <cdr:to>
      <cdr:x>0.97991</cdr:x>
      <cdr:y>0.28869</cdr:y>
    </cdr:to>
    <cdr:sp macro="" textlink="data0!$AS$4">
      <cdr:nvSpPr>
        <cdr:cNvPr id="17" name="TextBox 16"/>
        <cdr:cNvSpPr txBox="1"/>
      </cdr:nvSpPr>
      <cdr:spPr>
        <a:xfrm xmlns:a="http://schemas.openxmlformats.org/drawingml/2006/main">
          <a:off x="3196166" y="762001"/>
          <a:ext cx="1449917" cy="19049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55F3E6AE-48AA-42C4-B03D-5A8AB7142655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Glass Xmit @850nm=77%</a:t>
          </a:fld>
          <a:endParaRPr lang="en-US" sz="1000"/>
        </a:p>
      </cdr:txBody>
    </cdr:sp>
  </cdr:relSizeAnchor>
  <cdr:relSizeAnchor xmlns:cdr="http://schemas.openxmlformats.org/drawingml/2006/chartDrawing">
    <cdr:from>
      <cdr:x>0.67411</cdr:x>
      <cdr:y>0.28869</cdr:y>
    </cdr:from>
    <cdr:to>
      <cdr:x>0.94643</cdr:x>
      <cdr:y>0.37209</cdr:y>
    </cdr:to>
    <cdr:sp macro="" textlink="data0!$AS$5">
      <cdr:nvSpPr>
        <cdr:cNvPr id="18" name="TextBox 17"/>
        <cdr:cNvSpPr txBox="1"/>
      </cdr:nvSpPr>
      <cdr:spPr>
        <a:xfrm xmlns:a="http://schemas.openxmlformats.org/drawingml/2006/main">
          <a:off x="3196166" y="952500"/>
          <a:ext cx="1291168" cy="27516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10D2FA0-D5E7-480C-A11D-BFEBB669DAB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Target Reflection=6%</a:t>
          </a:fld>
          <a:endParaRPr lang="en-US" sz="10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2</xdr:row>
      <xdr:rowOff>11908</xdr:rowOff>
    </xdr:from>
    <xdr:to>
      <xdr:col>9</xdr:col>
      <xdr:colOff>0</xdr:colOff>
      <xdr:row>16</xdr:row>
      <xdr:rowOff>83345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404811</xdr:colOff>
      <xdr:row>16</xdr:row>
      <xdr:rowOff>71437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404811</xdr:colOff>
      <xdr:row>16</xdr:row>
      <xdr:rowOff>71437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404811</xdr:colOff>
      <xdr:row>16</xdr:row>
      <xdr:rowOff>71437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2</xdr:rowOff>
    </xdr:from>
    <xdr:to>
      <xdr:col>9</xdr:col>
      <xdr:colOff>0</xdr:colOff>
      <xdr:row>16</xdr:row>
      <xdr:rowOff>11906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11904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11904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714375</xdr:colOff>
      <xdr:row>2</xdr:row>
      <xdr:rowOff>0</xdr:rowOff>
    </xdr:from>
    <xdr:to>
      <xdr:col>8</xdr:col>
      <xdr:colOff>392906</xdr:colOff>
      <xdr:row>16</xdr:row>
      <xdr:rowOff>71438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71438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71438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71438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package" Target="../embeddings/Microsoft_Office_PowerPoint_Presentation1.ppt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U86"/>
  <sheetViews>
    <sheetView topLeftCell="D1" zoomScaleNormal="100" workbookViewId="0">
      <pane ySplit="7860" topLeftCell="A83"/>
      <selection activeCell="L11" sqref="L11"/>
      <selection pane="bottomLeft" activeCell="M85" sqref="M85"/>
    </sheetView>
  </sheetViews>
  <sheetFormatPr defaultRowHeight="15"/>
  <cols>
    <col min="3" max="3" width="13.5703125" customWidth="1"/>
    <col min="11" max="11" width="9.140625" customWidth="1"/>
    <col min="16" max="16" width="10.85546875" bestFit="1" customWidth="1"/>
  </cols>
  <sheetData>
    <row r="1" spans="1:17" ht="15.75" thickBot="1">
      <c r="A1" s="91" t="str">
        <f>L2&amp;" Proximity Range: "&amp;L7*100&amp;"% Reflector , "&amp;L6*100&amp;"% Xmit @ 850nm"</f>
        <v>29147 Proximity Range: 6% Reflector , 77% Xmit @ 850nm</v>
      </c>
      <c r="B1" s="91"/>
      <c r="C1" s="91"/>
      <c r="D1" s="91"/>
      <c r="E1" s="91"/>
      <c r="F1" s="91"/>
      <c r="G1" s="91"/>
    </row>
    <row r="2" spans="1:17">
      <c r="A2" s="11" t="s">
        <v>9</v>
      </c>
      <c r="B2" s="3" t="s">
        <v>10</v>
      </c>
      <c r="C2" s="3" t="s">
        <v>11</v>
      </c>
      <c r="D2" s="4" t="s">
        <v>37</v>
      </c>
      <c r="E2" s="4" t="s">
        <v>6</v>
      </c>
      <c r="F2" s="4" t="s">
        <v>38</v>
      </c>
      <c r="G2" s="4" t="s">
        <v>12</v>
      </c>
      <c r="I2" s="77" t="s">
        <v>53</v>
      </c>
      <c r="J2" s="78"/>
      <c r="K2" s="78"/>
      <c r="L2" s="57">
        <v>29147</v>
      </c>
      <c r="M2" s="33"/>
    </row>
    <row r="3" spans="1:17" s="17" customFormat="1">
      <c r="A3" s="24">
        <v>1</v>
      </c>
      <c r="B3" s="100">
        <f>Calculations!F17</f>
        <v>0.05</v>
      </c>
      <c r="C3" s="3" t="str">
        <f>Calculations!E18</f>
        <v>HI</v>
      </c>
      <c r="D3" s="61">
        <f>E3-1.5*Calculations!I18</f>
        <v>42.444956544591186</v>
      </c>
      <c r="E3" s="61">
        <f>Calculations!H18</f>
        <v>44.525651041666663</v>
      </c>
      <c r="F3" s="61">
        <f>E3+1.5*Calculations!I18</f>
        <v>46.60634553874214</v>
      </c>
      <c r="G3" s="4" t="s">
        <v>13</v>
      </c>
      <c r="I3" s="73" t="s">
        <v>54</v>
      </c>
      <c r="J3" s="74"/>
      <c r="K3" s="74"/>
      <c r="L3" s="58"/>
      <c r="M3" s="33"/>
      <c r="O3" s="42" t="s">
        <v>63</v>
      </c>
      <c r="P3" s="83" t="s">
        <v>65</v>
      </c>
      <c r="Q3" s="83"/>
    </row>
    <row r="4" spans="1:17" s="17" customFormat="1">
      <c r="A4" s="60">
        <f>A3+0.01</f>
        <v>1.01</v>
      </c>
      <c r="B4" s="101"/>
      <c r="C4" s="3" t="str">
        <f>Calculations!E19</f>
        <v>HI-MID</v>
      </c>
      <c r="D4" s="61">
        <f>E4-1.5*Calculations!I19</f>
        <v>48.894390153483755</v>
      </c>
      <c r="E4" s="61">
        <f>Calculations!H19</f>
        <v>52.988541666666677</v>
      </c>
      <c r="F4" s="61">
        <f>E4+1.5*Calculations!I19</f>
        <v>57.082693179849599</v>
      </c>
      <c r="G4" s="4" t="str">
        <f>G3</f>
        <v>mm</v>
      </c>
      <c r="I4" s="73" t="s">
        <v>55</v>
      </c>
      <c r="J4" s="74"/>
      <c r="K4" s="74"/>
      <c r="L4" s="59">
        <v>1.6</v>
      </c>
      <c r="M4" s="33"/>
      <c r="O4" s="42">
        <v>80</v>
      </c>
      <c r="P4" s="17" t="s">
        <v>66</v>
      </c>
      <c r="Q4" s="44">
        <v>0</v>
      </c>
    </row>
    <row r="5" spans="1:17" s="17" customFormat="1">
      <c r="A5" s="60">
        <f t="shared" ref="A5:A6" si="0">A4+0.01</f>
        <v>1.02</v>
      </c>
      <c r="B5" s="101"/>
      <c r="C5" s="3" t="str">
        <f>Calculations!E20</f>
        <v>LO-MID</v>
      </c>
      <c r="D5" s="61">
        <f>E5-1.5*Calculations!I20</f>
        <v>44.370542066338587</v>
      </c>
      <c r="E5" s="61">
        <f>Calculations!H20</f>
        <v>46.96197916666668</v>
      </c>
      <c r="F5" s="61">
        <f>E5+1.5*Calculations!I20</f>
        <v>49.553416266994773</v>
      </c>
      <c r="G5" s="4" t="str">
        <f t="shared" ref="G5:G18" si="1">G4</f>
        <v>mm</v>
      </c>
      <c r="I5" s="73" t="s">
        <v>64</v>
      </c>
      <c r="J5" s="74"/>
      <c r="K5" s="74"/>
      <c r="L5" s="47">
        <v>80</v>
      </c>
      <c r="M5" s="33"/>
      <c r="O5" s="42">
        <f>O4*2</f>
        <v>160</v>
      </c>
      <c r="P5" s="17" t="s">
        <v>67</v>
      </c>
      <c r="Q5" s="44">
        <f>L5</f>
        <v>80</v>
      </c>
    </row>
    <row r="6" spans="1:17" s="17" customFormat="1">
      <c r="A6" s="60">
        <f t="shared" si="0"/>
        <v>1.03</v>
      </c>
      <c r="B6" s="102"/>
      <c r="C6" s="3" t="str">
        <f>Calculations!E21</f>
        <v>LO</v>
      </c>
      <c r="D6" s="61">
        <f>E6-1.5*Calculations!I21</f>
        <v>43.015894206741862</v>
      </c>
      <c r="E6" s="61">
        <f>Calculations!H21</f>
        <v>44.700781249999999</v>
      </c>
      <c r="F6" s="61">
        <f>E6+1.5*Calculations!I21</f>
        <v>46.385668293258135</v>
      </c>
      <c r="G6" s="4" t="str">
        <f t="shared" si="1"/>
        <v>mm</v>
      </c>
      <c r="I6" s="79" t="s">
        <v>48</v>
      </c>
      <c r="J6" s="80"/>
      <c r="K6" s="80"/>
      <c r="L6" s="46">
        <v>0.77</v>
      </c>
      <c r="M6" s="33"/>
      <c r="O6" s="42">
        <f>O4*3</f>
        <v>240</v>
      </c>
      <c r="P6" s="17" t="s">
        <v>68</v>
      </c>
      <c r="Q6" s="44">
        <f>PswpStop/80</f>
        <v>1</v>
      </c>
    </row>
    <row r="7" spans="1:17">
      <c r="A7" s="60">
        <v>1.1000000000000001</v>
      </c>
      <c r="B7" s="98">
        <f>Calculations!F23</f>
        <v>0.1</v>
      </c>
      <c r="C7" s="8" t="str">
        <f>Calculations!E24</f>
        <v>HI</v>
      </c>
      <c r="D7" s="9">
        <f>(Calculations!H24-1.5*Calculations!I24)</f>
        <v>33.284627782508494</v>
      </c>
      <c r="E7" s="9">
        <f>Calculations!H24</f>
        <v>34.513541666666669</v>
      </c>
      <c r="F7" s="9">
        <f>(Calculations!H24+1.5*Calculations!I24)</f>
        <v>35.742455550824843</v>
      </c>
      <c r="G7" s="10" t="str">
        <f t="shared" si="1"/>
        <v>mm</v>
      </c>
      <c r="I7" s="79" t="s">
        <v>49</v>
      </c>
      <c r="J7" s="80"/>
      <c r="K7" s="80"/>
      <c r="L7" s="46">
        <v>0.06</v>
      </c>
      <c r="M7" s="49"/>
    </row>
    <row r="8" spans="1:17">
      <c r="A8" s="24">
        <f t="shared" ref="A8:A30" si="2">A7+0.01</f>
        <v>1.1100000000000001</v>
      </c>
      <c r="B8" s="98"/>
      <c r="C8" s="3" t="str">
        <f>Calculations!E25</f>
        <v>HI-MID</v>
      </c>
      <c r="D8" s="5">
        <f>(Calculations!H25-1.5*Calculations!I25)</f>
        <v>39.774686202904796</v>
      </c>
      <c r="E8" s="5">
        <f>Calculations!H25</f>
        <v>41.875781249999989</v>
      </c>
      <c r="F8" s="5">
        <f>(Calculations!H25+1.5*Calculations!I25)</f>
        <v>43.976876297095181</v>
      </c>
      <c r="G8" s="4" t="str">
        <f t="shared" si="1"/>
        <v>mm</v>
      </c>
      <c r="I8" s="79" t="s">
        <v>50</v>
      </c>
      <c r="J8" s="80"/>
      <c r="K8" s="80"/>
      <c r="L8" s="47">
        <v>1.25</v>
      </c>
      <c r="M8" s="49"/>
    </row>
    <row r="9" spans="1:17" s="17" customFormat="1">
      <c r="A9" s="24">
        <f t="shared" si="2"/>
        <v>1.1200000000000001</v>
      </c>
      <c r="B9" s="98"/>
      <c r="C9" s="3" t="str">
        <f>Calculations!E26</f>
        <v>LO-MID</v>
      </c>
      <c r="D9" s="5">
        <f>(Calculations!H26-1.5*Calculations!I26)</f>
        <v>35.208937442190383</v>
      </c>
      <c r="E9" s="5">
        <f>Calculations!H26</f>
        <v>36.752187499999991</v>
      </c>
      <c r="F9" s="5">
        <f>(Calculations!H26+1.5*Calculations!I26)</f>
        <v>38.295437557809599</v>
      </c>
      <c r="G9" s="4" t="str">
        <f t="shared" si="1"/>
        <v>mm</v>
      </c>
      <c r="I9" s="73" t="s">
        <v>79</v>
      </c>
      <c r="J9" s="74"/>
      <c r="K9" s="74"/>
      <c r="L9" s="47">
        <v>0</v>
      </c>
      <c r="M9" s="49"/>
    </row>
    <row r="10" spans="1:17" s="17" customFormat="1">
      <c r="A10" s="24">
        <f t="shared" si="2"/>
        <v>1.1300000000000001</v>
      </c>
      <c r="B10" s="98"/>
      <c r="C10" s="3" t="str">
        <f>Calculations!E27</f>
        <v>LO</v>
      </c>
      <c r="D10" s="5">
        <f>(Calculations!H27-1.5*Calculations!I27)</f>
        <v>33.243454301575611</v>
      </c>
      <c r="E10" s="5">
        <f>Calculations!H27</f>
        <v>34.487864583333334</v>
      </c>
      <c r="F10" s="5">
        <f>(Calculations!H27+1.5*Calculations!I27)</f>
        <v>35.732274865091057</v>
      </c>
      <c r="G10" s="4" t="str">
        <f t="shared" si="1"/>
        <v>mm</v>
      </c>
      <c r="I10" s="79" t="s">
        <v>51</v>
      </c>
      <c r="J10" s="80"/>
      <c r="K10" s="80"/>
      <c r="L10" s="47">
        <v>1.77</v>
      </c>
      <c r="M10" s="49"/>
    </row>
    <row r="11" spans="1:17" ht="15.75" thickBot="1">
      <c r="A11" s="24">
        <v>1.2</v>
      </c>
      <c r="B11" s="98">
        <f>Calculations!F29</f>
        <v>0.2</v>
      </c>
      <c r="C11" s="3" t="str">
        <f>Calculations!E30</f>
        <v>HI</v>
      </c>
      <c r="D11" s="5">
        <f>(Calculations!H30-1.5*Calculations!I30)</f>
        <v>25.101886425600867</v>
      </c>
      <c r="E11" s="5">
        <f>Calculations!H30</f>
        <v>25.509985119047624</v>
      </c>
      <c r="F11" s="5">
        <f>(Calculations!H30+1.5*Calculations!I30)</f>
        <v>25.91808381249438</v>
      </c>
      <c r="G11" s="4" t="str">
        <f t="shared" si="1"/>
        <v>mm</v>
      </c>
      <c r="I11" s="81" t="s">
        <v>52</v>
      </c>
      <c r="J11" s="82"/>
      <c r="K11" s="82"/>
      <c r="L11" s="48">
        <f>L10+L9-L8</f>
        <v>0.52</v>
      </c>
      <c r="M11" s="49"/>
    </row>
    <row r="12" spans="1:17" ht="15.75" thickBot="1">
      <c r="A12" s="24">
        <f t="shared" si="2"/>
        <v>1.21</v>
      </c>
      <c r="B12" s="98"/>
      <c r="C12" s="3" t="str">
        <f>Calculations!E31</f>
        <v>HI-MID</v>
      </c>
      <c r="D12" s="5">
        <f>(Calculations!H31-1.5*Calculations!I31)</f>
        <v>30.938648625262914</v>
      </c>
      <c r="E12" s="5">
        <f>Calculations!H31</f>
        <v>32.093748759920636</v>
      </c>
      <c r="F12" s="5">
        <f>(Calculations!H31+1.5*Calculations!I31)</f>
        <v>33.248848894578359</v>
      </c>
      <c r="G12" s="4" t="str">
        <f t="shared" si="1"/>
        <v>mm</v>
      </c>
      <c r="M12" s="49"/>
    </row>
    <row r="13" spans="1:17" s="17" customFormat="1">
      <c r="A13" s="24">
        <f t="shared" si="2"/>
        <v>1.22</v>
      </c>
      <c r="B13" s="98"/>
      <c r="C13" s="3" t="str">
        <f>Calculations!E32</f>
        <v>LO-MID</v>
      </c>
      <c r="D13" s="5">
        <f>(Calculations!H32-1.5*Calculations!I32)</f>
        <v>26.590319464032305</v>
      </c>
      <c r="E13" s="5">
        <f>Calculations!H32</f>
        <v>27.205736607142857</v>
      </c>
      <c r="F13" s="5">
        <f>(Calculations!H32+1.5*Calculations!I32)</f>
        <v>27.821153750253409</v>
      </c>
      <c r="G13" s="4" t="str">
        <f t="shared" si="1"/>
        <v>mm</v>
      </c>
      <c r="I13" s="87" t="s">
        <v>59</v>
      </c>
      <c r="J13" s="89"/>
      <c r="M13" s="49"/>
    </row>
    <row r="14" spans="1:17" s="17" customFormat="1">
      <c r="A14" s="24">
        <f t="shared" si="2"/>
        <v>1.23</v>
      </c>
      <c r="B14" s="98"/>
      <c r="C14" s="3" t="str">
        <f>Calculations!E33</f>
        <v>LO</v>
      </c>
      <c r="D14" s="5">
        <f>(Calculations!H33-1.5*Calculations!I33)</f>
        <v>25.087846363953346</v>
      </c>
      <c r="E14" s="5">
        <f>Calculations!H33</f>
        <v>25.542008928571434</v>
      </c>
      <c r="F14" s="5">
        <f>(Calculations!H33+1.5*Calculations!I33)</f>
        <v>25.996171493189522</v>
      </c>
      <c r="G14" s="4" t="str">
        <f t="shared" si="1"/>
        <v>mm</v>
      </c>
      <c r="I14" s="92" t="s">
        <v>61</v>
      </c>
      <c r="J14" s="93"/>
      <c r="M14" s="49"/>
    </row>
    <row r="15" spans="1:17">
      <c r="A15" s="24">
        <v>1.3</v>
      </c>
      <c r="B15" s="98">
        <f>Calculations!F35</f>
        <v>0.5</v>
      </c>
      <c r="C15" s="3" t="str">
        <f>Calculations!E36</f>
        <v>HI</v>
      </c>
      <c r="D15" s="5">
        <f>(Calculations!H36-1.5*Calculations!I36)</f>
        <v>16.272467073894067</v>
      </c>
      <c r="E15" s="5">
        <f>Calculations!H36</f>
        <v>16.393655563186815</v>
      </c>
      <c r="F15" s="5">
        <f>(Calculations!H36+1.5*Calculations!I36)</f>
        <v>16.514844052479564</v>
      </c>
      <c r="G15" s="4" t="str">
        <f t="shared" si="1"/>
        <v>mm</v>
      </c>
      <c r="I15" s="94" t="s">
        <v>60</v>
      </c>
      <c r="J15" s="95"/>
      <c r="M15" s="49"/>
    </row>
    <row r="16" spans="1:17" ht="15.75" thickBot="1">
      <c r="A16" s="24">
        <f t="shared" si="2"/>
        <v>1.31</v>
      </c>
      <c r="B16" s="98"/>
      <c r="C16" s="14" t="str">
        <f>Calculations!E37</f>
        <v>HI-MID</v>
      </c>
      <c r="D16" s="5">
        <f>(Calculations!H37-1.5*Calculations!I37)</f>
        <v>20.814278002994129</v>
      </c>
      <c r="E16" s="5">
        <f>Calculations!H37</f>
        <v>21.12670733780109</v>
      </c>
      <c r="F16" s="5">
        <f>(Calculations!H37+1.5*Calculations!I37)</f>
        <v>21.439136672608051</v>
      </c>
      <c r="G16" s="4" t="str">
        <f t="shared" si="1"/>
        <v>mm</v>
      </c>
      <c r="I16" s="96" t="s">
        <v>62</v>
      </c>
      <c r="J16" s="97"/>
      <c r="M16" s="49"/>
    </row>
    <row r="17" spans="1:12" s="17" customFormat="1">
      <c r="A17" s="24">
        <f t="shared" si="2"/>
        <v>1.32</v>
      </c>
      <c r="B17" s="98"/>
      <c r="C17" s="14" t="str">
        <f>Calculations!E38</f>
        <v>LO-MID</v>
      </c>
      <c r="D17" s="5">
        <f>(Calculations!H38-1.5*Calculations!I38)</f>
        <v>17.527034679599655</v>
      </c>
      <c r="E17" s="5">
        <f>Calculations!H38</f>
        <v>17.691041321576709</v>
      </c>
      <c r="F17" s="5">
        <f>(Calculations!H38+1.5*Calculations!I38)</f>
        <v>17.855047963553762</v>
      </c>
      <c r="G17" s="4" t="str">
        <f t="shared" si="1"/>
        <v>mm</v>
      </c>
    </row>
    <row r="18" spans="1:12" s="17" customFormat="1">
      <c r="A18" s="24">
        <f t="shared" si="2"/>
        <v>1.33</v>
      </c>
      <c r="B18" s="98"/>
      <c r="C18" s="14" t="str">
        <f>Calculations!E39</f>
        <v>LO</v>
      </c>
      <c r="D18" s="5">
        <f>(Calculations!H39-1.5*Calculations!I39)</f>
        <v>16.233735291908943</v>
      </c>
      <c r="E18" s="5">
        <f>Calculations!H39</f>
        <v>16.391744317518675</v>
      </c>
      <c r="F18" s="5">
        <f>(Calculations!H39+1.5*Calculations!I39)</f>
        <v>16.549753343128408</v>
      </c>
      <c r="G18" s="4" t="str">
        <f t="shared" si="1"/>
        <v>mm</v>
      </c>
    </row>
    <row r="19" spans="1:12">
      <c r="A19" s="24">
        <v>2</v>
      </c>
      <c r="B19" s="99" t="s">
        <v>21</v>
      </c>
      <c r="C19" s="3" t="str">
        <f>Calculations!E4</f>
        <v>HI</v>
      </c>
      <c r="D19" s="13">
        <f>(Calculations!H4-1.5*Calculations!I4)</f>
        <v>1.729888649607253E-2</v>
      </c>
      <c r="E19" s="30">
        <f>Calculations!H4</f>
        <v>0.11314950980392158</v>
      </c>
      <c r="F19" s="30">
        <f>(Calculations!H4+1.5*Calculations!I4)</f>
        <v>0.20900013311177063</v>
      </c>
      <c r="G19" s="15" t="s">
        <v>25</v>
      </c>
    </row>
    <row r="20" spans="1:12">
      <c r="A20" s="24">
        <f t="shared" si="2"/>
        <v>2.0099999999999998</v>
      </c>
      <c r="B20" s="99"/>
      <c r="C20" s="3" t="str">
        <f>Calculations!E5</f>
        <v>HI-MID</v>
      </c>
      <c r="D20" s="13">
        <f>(Calculations!H5-1.5*Calculations!I5)</f>
        <v>2.2635948717260129E-2</v>
      </c>
      <c r="E20" s="30">
        <f>Calculations!H5</f>
        <v>3.1740196078431378E-2</v>
      </c>
      <c r="F20" s="30">
        <f>(Calculations!H5+1.5*Calculations!I5)</f>
        <v>4.0844443439602626E-2</v>
      </c>
      <c r="G20" s="15" t="str">
        <f>G19</f>
        <v>FSR</v>
      </c>
    </row>
    <row r="21" spans="1:12" s="17" customFormat="1">
      <c r="A21" s="24">
        <f t="shared" si="2"/>
        <v>2.0199999999999996</v>
      </c>
      <c r="B21" s="99"/>
      <c r="C21" s="3" t="str">
        <f>Calculations!E6</f>
        <v>LO-MID</v>
      </c>
      <c r="D21" s="13">
        <f>(Calculations!H6-1.5*Calculations!I6)</f>
        <v>9.5013327954501722E-2</v>
      </c>
      <c r="E21" s="30">
        <f>Calculations!H6</f>
        <v>0.10039215686274508</v>
      </c>
      <c r="F21" s="30">
        <f>(Calculations!H6+1.5*Calculations!I6)</f>
        <v>0.10577098577098844</v>
      </c>
      <c r="G21" s="15" t="str">
        <f t="shared" ref="G21:G22" si="3">G20</f>
        <v>FSR</v>
      </c>
    </row>
    <row r="22" spans="1:12" s="17" customFormat="1">
      <c r="A22" s="24">
        <f t="shared" si="2"/>
        <v>2.0299999999999994</v>
      </c>
      <c r="B22" s="99"/>
      <c r="C22" s="3" t="str">
        <f>Calculations!E7</f>
        <v>LO</v>
      </c>
      <c r="D22" s="13">
        <f>(Calculations!H7-1.5*Calculations!I7)</f>
        <v>1.64881402006508E-2</v>
      </c>
      <c r="E22" s="30">
        <f>Calculations!H7</f>
        <v>0.11265931372549018</v>
      </c>
      <c r="F22" s="30">
        <f>(Calculations!H7+1.5*Calculations!I7)</f>
        <v>0.20883048725032954</v>
      </c>
      <c r="G22" s="15" t="str">
        <f t="shared" si="3"/>
        <v>FSR</v>
      </c>
    </row>
    <row r="23" spans="1:12" s="17" customFormat="1">
      <c r="A23" s="24">
        <v>2.1</v>
      </c>
      <c r="B23" s="76" t="s">
        <v>56</v>
      </c>
      <c r="C23" s="3" t="str">
        <f>C19</f>
        <v>HI</v>
      </c>
      <c r="D23" s="13">
        <f>E23-1.5*Calculations!I10</f>
        <v>4.7299944795561766</v>
      </c>
      <c r="E23" s="30">
        <f>Calculations!H10</f>
        <v>4.8139705882352954</v>
      </c>
      <c r="F23" s="30">
        <f>2*E23-D23</f>
        <v>4.8979466969144143</v>
      </c>
      <c r="G23" s="15" t="str">
        <f>G19</f>
        <v>FSR</v>
      </c>
    </row>
    <row r="24" spans="1:12" s="17" customFormat="1">
      <c r="A24" s="24">
        <f t="shared" si="2"/>
        <v>2.11</v>
      </c>
      <c r="B24" s="76"/>
      <c r="C24" s="3" t="str">
        <f t="shared" ref="C24:C26" si="4">C20</f>
        <v>HI-MID</v>
      </c>
      <c r="D24" s="13">
        <f>E24-1.5*Calculations!I11</f>
        <v>3.8316721176264408</v>
      </c>
      <c r="E24" s="30">
        <f>Calculations!H11</f>
        <v>3.8509803921568619</v>
      </c>
      <c r="F24" s="30">
        <f t="shared" ref="F24:F26" si="5">2*E24-D24</f>
        <v>3.8702886666872831</v>
      </c>
      <c r="G24" s="15" t="str">
        <f t="shared" ref="G24:G26" si="6">G20</f>
        <v>FSR</v>
      </c>
    </row>
    <row r="25" spans="1:12" s="17" customFormat="1">
      <c r="A25" s="24">
        <f t="shared" si="2"/>
        <v>2.1199999999999997</v>
      </c>
      <c r="B25" s="76"/>
      <c r="C25" s="3" t="str">
        <f t="shared" si="4"/>
        <v>LO-MID</v>
      </c>
      <c r="D25" s="13">
        <f>E25-1.5*Calculations!I12</f>
        <v>3.0676470588235309</v>
      </c>
      <c r="E25" s="30">
        <f>Calculations!H12</f>
        <v>3.0794117647058838</v>
      </c>
      <c r="F25" s="30">
        <f t="shared" si="5"/>
        <v>3.0911764705882367</v>
      </c>
      <c r="G25" s="15" t="str">
        <f t="shared" si="6"/>
        <v>FSR</v>
      </c>
    </row>
    <row r="26" spans="1:12" s="17" customFormat="1">
      <c r="A26" s="24">
        <f t="shared" si="2"/>
        <v>2.1299999999999994</v>
      </c>
      <c r="B26" s="76"/>
      <c r="C26" s="3" t="str">
        <f t="shared" si="4"/>
        <v>LO</v>
      </c>
      <c r="D26" s="13">
        <f>E26-1.5*Calculations!I13</f>
        <v>2.7587993174171332</v>
      </c>
      <c r="E26" s="30">
        <f>Calculations!H13</f>
        <v>2.8432598039215682</v>
      </c>
      <c r="F26" s="30">
        <f t="shared" si="5"/>
        <v>2.9277202904260031</v>
      </c>
      <c r="G26" s="15" t="str">
        <f t="shared" si="6"/>
        <v>FSR</v>
      </c>
    </row>
    <row r="27" spans="1:12" s="17" customFormat="1">
      <c r="A27" s="62">
        <v>2.2000000000000002</v>
      </c>
      <c r="B27" s="76" t="s">
        <v>57</v>
      </c>
      <c r="C27" s="14" t="str">
        <f>C23</f>
        <v>HI</v>
      </c>
      <c r="D27" s="13">
        <f>D19+D23</f>
        <v>4.7472933660522489</v>
      </c>
      <c r="E27" s="13">
        <f t="shared" ref="E27:F27" si="7">E19+E23</f>
        <v>4.9271200980392171</v>
      </c>
      <c r="F27" s="13">
        <f t="shared" si="7"/>
        <v>5.1069468300261853</v>
      </c>
      <c r="G27" s="15" t="str">
        <f>G23</f>
        <v>FSR</v>
      </c>
    </row>
    <row r="28" spans="1:12" s="17" customFormat="1">
      <c r="A28" s="24">
        <f t="shared" si="2"/>
        <v>2.21</v>
      </c>
      <c r="B28" s="76"/>
      <c r="C28" s="14" t="str">
        <f t="shared" ref="C28:C30" si="8">C24</f>
        <v>HI-MID</v>
      </c>
      <c r="D28" s="13">
        <f t="shared" ref="D28:F28" si="9">D20+D24</f>
        <v>3.8543080663437008</v>
      </c>
      <c r="E28" s="13">
        <f t="shared" si="9"/>
        <v>3.8827205882352933</v>
      </c>
      <c r="F28" s="13">
        <f t="shared" si="9"/>
        <v>3.9111331101268858</v>
      </c>
      <c r="G28" s="15" t="str">
        <f t="shared" ref="G28:G30" si="10">G24</f>
        <v>FSR</v>
      </c>
    </row>
    <row r="29" spans="1:12" s="17" customFormat="1" ht="15.75" thickBot="1">
      <c r="A29" s="24">
        <f t="shared" si="2"/>
        <v>2.2199999999999998</v>
      </c>
      <c r="B29" s="76"/>
      <c r="C29" s="14" t="str">
        <f t="shared" si="8"/>
        <v>LO-MID</v>
      </c>
      <c r="D29" s="13">
        <f t="shared" ref="D29:F29" si="11">D21+D25</f>
        <v>3.1626603867780325</v>
      </c>
      <c r="E29" s="13">
        <f t="shared" si="11"/>
        <v>3.1798039215686291</v>
      </c>
      <c r="F29" s="13">
        <f t="shared" si="11"/>
        <v>3.1969474563592253</v>
      </c>
      <c r="G29" s="15" t="str">
        <f t="shared" si="10"/>
        <v>FSR</v>
      </c>
    </row>
    <row r="30" spans="1:12" s="17" customFormat="1">
      <c r="A30" s="24">
        <f t="shared" si="2"/>
        <v>2.2299999999999995</v>
      </c>
      <c r="B30" s="76"/>
      <c r="C30" s="14" t="str">
        <f t="shared" si="8"/>
        <v>LO</v>
      </c>
      <c r="D30" s="13">
        <f t="shared" ref="D30:E30" si="12">D22+D26</f>
        <v>2.7752874576177842</v>
      </c>
      <c r="E30" s="13">
        <f t="shared" si="12"/>
        <v>2.9559191176470585</v>
      </c>
      <c r="F30" s="13">
        <f>F22+F26</f>
        <v>3.1365507776763328</v>
      </c>
      <c r="G30" s="15" t="str">
        <f t="shared" si="10"/>
        <v>FSR</v>
      </c>
      <c r="I30" s="87" t="s">
        <v>65</v>
      </c>
      <c r="J30" s="88"/>
      <c r="K30" s="88"/>
      <c r="L30" s="89"/>
    </row>
    <row r="31" spans="1:12" s="17" customFormat="1" ht="15.75" thickBot="1">
      <c r="A31" s="68">
        <v>3</v>
      </c>
      <c r="B31" s="90" t="s">
        <v>77</v>
      </c>
      <c r="C31" s="90"/>
      <c r="D31" s="13">
        <f>E31-1.5*Calculations!I9</f>
        <v>0</v>
      </c>
      <c r="E31" s="13">
        <f>Calculations!H9</f>
        <v>0</v>
      </c>
      <c r="F31" s="13">
        <f>E31+1.5*Calculations!I9</f>
        <v>0</v>
      </c>
      <c r="G31" s="15" t="str">
        <f>G27</f>
        <v>FSR</v>
      </c>
      <c r="I31" s="84" t="str">
        <f>L7*100&amp;"% Reflector , "&amp;L6*100&amp;"% Xmit @ 850nm"</f>
        <v>6% Reflector , 77% Xmit @ 850nm</v>
      </c>
      <c r="J31" s="85"/>
      <c r="K31" s="85"/>
      <c r="L31" s="86"/>
    </row>
    <row r="32" spans="1:12" s="17" customFormat="1">
      <c r="A32" s="70"/>
      <c r="B32" s="69"/>
      <c r="C32" s="69"/>
      <c r="D32" s="63"/>
      <c r="E32" s="63"/>
      <c r="F32" s="63"/>
      <c r="G32" s="45"/>
    </row>
    <row r="33" spans="2:21">
      <c r="B33" s="72" t="s">
        <v>78</v>
      </c>
      <c r="C33" s="72"/>
      <c r="I33" s="72" t="str">
        <f>" Range Distribution (10%): "</f>
        <v xml:space="preserve"> Range Distribution (10%): </v>
      </c>
      <c r="J33" s="72"/>
      <c r="K33" s="72"/>
    </row>
    <row r="34" spans="2:21" s="17" customFormat="1">
      <c r="B34" s="72" t="str">
        <f>partNumber&amp;B33&amp; params</f>
        <v>29147 Proximity Sweep: 6% Reflector , 77% Xmit @ 850nm</v>
      </c>
      <c r="C34" s="72"/>
      <c r="D34" s="72"/>
      <c r="E34" s="72"/>
      <c r="F34" s="72"/>
      <c r="G34" s="72"/>
      <c r="H34" s="72"/>
      <c r="I34" s="72" t="str">
        <f>partNumber&amp;I33&amp; params</f>
        <v>29147 Range Distribution (10%): 6% Reflector , 77% Xmit @ 850nm</v>
      </c>
      <c r="J34" s="72"/>
      <c r="K34" s="72"/>
      <c r="L34" s="72"/>
      <c r="M34" s="72"/>
      <c r="N34" s="72"/>
      <c r="O34" s="72"/>
      <c r="P34" s="72"/>
    </row>
    <row r="35" spans="2:21" s="17" customFormat="1"/>
    <row r="36" spans="2:21" s="17" customFormat="1"/>
    <row r="37" spans="2:21" s="17" customFormat="1"/>
    <row r="38" spans="2:21" s="17" customFormat="1"/>
    <row r="39" spans="2:21" s="17" customFormat="1"/>
    <row r="40" spans="2:21" s="17" customFormat="1"/>
    <row r="41" spans="2:21" s="17" customFormat="1"/>
    <row r="42" spans="2:21" s="17" customFormat="1">
      <c r="Q42" s="21"/>
      <c r="R42" s="21"/>
      <c r="S42" s="21"/>
      <c r="T42" s="21"/>
      <c r="U42" s="21"/>
    </row>
    <row r="43" spans="2:21" s="17" customFormat="1">
      <c r="Q43" s="21"/>
      <c r="R43" s="21"/>
      <c r="S43" s="21"/>
      <c r="T43" s="21"/>
      <c r="U43" s="21"/>
    </row>
    <row r="44" spans="2:21" s="17" customFormat="1">
      <c r="Q44" s="21"/>
      <c r="R44" s="21"/>
      <c r="S44" s="21"/>
      <c r="T44" s="21"/>
      <c r="U44" s="21"/>
    </row>
    <row r="45" spans="2:21" s="17" customFormat="1">
      <c r="Q45" s="21"/>
      <c r="R45" s="21"/>
      <c r="S45" s="21"/>
      <c r="T45" s="21"/>
      <c r="U45" s="21"/>
    </row>
    <row r="46" spans="2:21" s="17" customFormat="1">
      <c r="Q46" s="21"/>
      <c r="R46" s="21"/>
      <c r="S46" s="21"/>
      <c r="T46" s="21"/>
      <c r="U46" s="21"/>
    </row>
    <row r="47" spans="2:21">
      <c r="Q47" s="21"/>
      <c r="R47" s="21"/>
      <c r="S47" s="21"/>
      <c r="T47" s="21"/>
      <c r="U47" s="21"/>
    </row>
    <row r="48" spans="2:21">
      <c r="Q48" s="21"/>
      <c r="R48" s="21"/>
      <c r="S48" s="21"/>
      <c r="T48" s="21"/>
      <c r="U48" s="21"/>
    </row>
    <row r="49" spans="2:21">
      <c r="Q49" s="21"/>
      <c r="R49" s="21"/>
      <c r="S49" s="21"/>
      <c r="T49" s="21"/>
      <c r="U49" s="21"/>
    </row>
    <row r="50" spans="2:21">
      <c r="Q50" s="21"/>
      <c r="R50" s="21"/>
      <c r="S50" s="21"/>
      <c r="T50" s="21"/>
      <c r="U50" s="21"/>
    </row>
    <row r="51" spans="2:21">
      <c r="Q51" s="21"/>
      <c r="R51" s="21"/>
      <c r="S51" s="21"/>
      <c r="T51" s="21"/>
      <c r="U51" s="21"/>
    </row>
    <row r="52" spans="2:21">
      <c r="Q52" s="21"/>
      <c r="R52" s="21"/>
      <c r="S52" s="21"/>
      <c r="T52" s="21"/>
      <c r="U52" s="21"/>
    </row>
    <row r="53" spans="2:21">
      <c r="Q53" s="21"/>
      <c r="R53" s="21"/>
      <c r="S53" s="21"/>
      <c r="T53" s="21"/>
      <c r="U53" s="21"/>
    </row>
    <row r="54" spans="2:21">
      <c r="Q54" s="21"/>
      <c r="R54" s="21"/>
      <c r="S54" s="21"/>
      <c r="T54" s="21"/>
      <c r="U54" s="21"/>
    </row>
    <row r="55" spans="2:21">
      <c r="Q55" s="21"/>
      <c r="R55" s="21"/>
      <c r="S55" s="21"/>
      <c r="T55" s="21"/>
      <c r="U55" s="21"/>
    </row>
    <row r="56" spans="2:21">
      <c r="Q56" s="21"/>
      <c r="R56" s="21"/>
      <c r="S56" s="21"/>
      <c r="T56" s="21"/>
      <c r="U56" s="21"/>
    </row>
    <row r="57" spans="2:21">
      <c r="Q57" s="21"/>
      <c r="R57" s="21"/>
      <c r="S57" s="21"/>
      <c r="T57" s="21"/>
      <c r="U57" s="21"/>
    </row>
    <row r="58" spans="2:21">
      <c r="Q58" s="21"/>
      <c r="R58" s="21"/>
      <c r="S58" s="21"/>
      <c r="T58" s="21"/>
      <c r="U58" s="21"/>
    </row>
    <row r="59" spans="2:21">
      <c r="Q59" s="21"/>
      <c r="R59" s="21"/>
      <c r="S59" s="21"/>
      <c r="T59" s="21"/>
      <c r="U59" s="21"/>
    </row>
    <row r="60" spans="2:21">
      <c r="Q60" s="21"/>
      <c r="R60" s="21"/>
      <c r="S60" s="21"/>
      <c r="T60" s="21"/>
      <c r="U60" s="21"/>
    </row>
    <row r="61" spans="2:21">
      <c r="Q61" s="21"/>
      <c r="R61" s="21"/>
      <c r="S61" s="21"/>
      <c r="T61" s="21"/>
      <c r="U61" s="21"/>
    </row>
    <row r="62" spans="2:21">
      <c r="Q62" s="21"/>
      <c r="R62" s="21"/>
      <c r="S62" s="21"/>
      <c r="T62" s="21"/>
      <c r="U62" s="21"/>
    </row>
    <row r="63" spans="2:21">
      <c r="Q63" s="21"/>
      <c r="R63" s="21"/>
      <c r="S63" s="21"/>
      <c r="T63" s="21"/>
      <c r="U63" s="21"/>
    </row>
    <row r="64" spans="2:21">
      <c r="B64" s="75" t="str">
        <f xml:space="preserve"> " `Near' Detect Region: "</f>
        <v xml:space="preserve"> `Near' Detect Region: </v>
      </c>
      <c r="C64" s="75"/>
      <c r="D64" s="71" t="str">
        <f>INT(MIN(E3:E13)*10)/10 &amp; "-"&amp; INT(MAX(E3:E13)*10)/10</f>
        <v>25.5-52.9</v>
      </c>
      <c r="I64" s="72" t="str">
        <f xml:space="preserve"> " `Far` Offset Region: "</f>
        <v xml:space="preserve"> `Far` Offset Region: </v>
      </c>
      <c r="J64" s="72"/>
      <c r="Q64" s="21"/>
      <c r="R64" s="21"/>
      <c r="S64" s="21"/>
      <c r="T64" s="21"/>
      <c r="U64" s="21"/>
    </row>
    <row r="65" spans="2:21">
      <c r="B65" s="72" t="str">
        <f>partNumber&amp;B64&amp; params</f>
        <v>29147 `Near' Detect Region: 6% Reflector , 77% Xmit @ 850nm</v>
      </c>
      <c r="C65" s="72"/>
      <c r="D65" s="72"/>
      <c r="E65" s="72"/>
      <c r="F65" s="72"/>
      <c r="G65" s="72"/>
      <c r="H65" s="72"/>
      <c r="I65" s="72" t="str">
        <f>partNumber&amp;I64&amp; params</f>
        <v>29147 `Far` Offset Region: 6% Reflector , 77% Xmit @ 850nm</v>
      </c>
      <c r="J65" s="72"/>
      <c r="K65" s="72"/>
      <c r="L65" s="72"/>
      <c r="M65" s="72"/>
      <c r="N65" s="72"/>
      <c r="O65" s="72"/>
      <c r="P65" s="72"/>
      <c r="Q65" s="21"/>
      <c r="R65" s="21"/>
      <c r="S65" s="21"/>
      <c r="T65" s="21"/>
      <c r="U65" s="21"/>
    </row>
    <row r="66" spans="2:21" s="17" customFormat="1">
      <c r="R66" s="52"/>
      <c r="S66" s="12"/>
    </row>
    <row r="67" spans="2:21" s="17" customFormat="1">
      <c r="B67" s="72" t="str">
        <f xml:space="preserve"> " IRDR Range Ratio: "</f>
        <v xml:space="preserve"> IRDR Range Ratio: </v>
      </c>
      <c r="C67" s="72"/>
      <c r="R67" s="52"/>
      <c r="S67" s="12"/>
    </row>
    <row r="68" spans="2:21" ht="15.75" thickBot="1">
      <c r="B68" s="72" t="str">
        <f>partNumber&amp;B67&amp; params</f>
        <v>29147 IRDR Range Ratio: 6% Reflector , 77% Xmit @ 850nm</v>
      </c>
      <c r="C68" s="72"/>
      <c r="D68" s="72"/>
      <c r="E68" s="72"/>
      <c r="F68" s="72"/>
      <c r="G68" s="72"/>
      <c r="H68" s="72"/>
    </row>
    <row r="69" spans="2:21">
      <c r="J69" s="87" t="s">
        <v>58</v>
      </c>
      <c r="K69" s="89"/>
    </row>
    <row r="70" spans="2:21">
      <c r="J70" s="64" t="str">
        <f>Calculations!P43</f>
        <v>HI-MID</v>
      </c>
      <c r="K70" s="25">
        <f>E27/E28</f>
        <v>1.2689865227409027</v>
      </c>
    </row>
    <row r="71" spans="2:21">
      <c r="J71" s="64" t="str">
        <f>Calculations!Q43</f>
        <v>LO-MID</v>
      </c>
      <c r="K71" s="25">
        <f t="shared" ref="K71:K72" si="13">E28/E29</f>
        <v>1.2210566072639812</v>
      </c>
    </row>
    <row r="72" spans="2:21" ht="15.75" thickBot="1">
      <c r="J72" s="65" t="str">
        <f>Calculations!R43</f>
        <v>LO</v>
      </c>
      <c r="K72" s="26">
        <f t="shared" si="13"/>
        <v>1.0757411806652495</v>
      </c>
    </row>
    <row r="84" spans="2:8" s="17" customFormat="1"/>
    <row r="85" spans="2:8" s="17" customFormat="1">
      <c r="B85" s="72" t="str">
        <f xml:space="preserve"> " System Curve: "</f>
        <v xml:space="preserve"> System Curve: </v>
      </c>
      <c r="C85" s="72"/>
      <c r="F85" s="72" t="str">
        <f>"Offset Adjustment="&amp;INT(E23*1000)/10&amp;"%"</f>
        <v>Offset Adjustment=481.3%</v>
      </c>
      <c r="G85" s="72"/>
      <c r="H85" s="72"/>
    </row>
    <row r="86" spans="2:8">
      <c r="B86" s="72" t="str">
        <f>L2&amp;" "&amp;L3&amp; "System Curve: "&amp;L7*100&amp;"% Reflector , "&amp;L6*100&amp;"% Xmit @ 850nm"</f>
        <v>29147 System Curve: 6% Reflector , 77% Xmit @ 850nm</v>
      </c>
      <c r="C86" s="72"/>
      <c r="D86" s="72"/>
      <c r="E86" s="72"/>
      <c r="F86" s="72"/>
      <c r="G86" s="72"/>
      <c r="H86" s="72"/>
    </row>
  </sheetData>
  <sortState ref="C31:C42">
    <sortCondition ref="C53:C64"/>
  </sortState>
  <mergeCells count="40">
    <mergeCell ref="B86:H86"/>
    <mergeCell ref="B31:C31"/>
    <mergeCell ref="A1:G1"/>
    <mergeCell ref="B33:C33"/>
    <mergeCell ref="J69:K69"/>
    <mergeCell ref="I13:J13"/>
    <mergeCell ref="I14:J14"/>
    <mergeCell ref="I15:J15"/>
    <mergeCell ref="I16:J16"/>
    <mergeCell ref="B7:B10"/>
    <mergeCell ref="B11:B14"/>
    <mergeCell ref="B15:B18"/>
    <mergeCell ref="B19:B22"/>
    <mergeCell ref="B3:B6"/>
    <mergeCell ref="B65:H65"/>
    <mergeCell ref="I65:P65"/>
    <mergeCell ref="I2:K2"/>
    <mergeCell ref="I3:K3"/>
    <mergeCell ref="I4:K4"/>
    <mergeCell ref="I34:P34"/>
    <mergeCell ref="I6:K6"/>
    <mergeCell ref="I7:K7"/>
    <mergeCell ref="I8:K8"/>
    <mergeCell ref="I10:K10"/>
    <mergeCell ref="I11:K11"/>
    <mergeCell ref="I5:K5"/>
    <mergeCell ref="P3:Q3"/>
    <mergeCell ref="I31:L31"/>
    <mergeCell ref="I30:L30"/>
    <mergeCell ref="I33:K33"/>
    <mergeCell ref="I9:K9"/>
    <mergeCell ref="I64:J64"/>
    <mergeCell ref="B85:C85"/>
    <mergeCell ref="B67:C67"/>
    <mergeCell ref="F85:H85"/>
    <mergeCell ref="B68:H68"/>
    <mergeCell ref="B64:C64"/>
    <mergeCell ref="B23:B26"/>
    <mergeCell ref="B27:B30"/>
    <mergeCell ref="B34:H34"/>
  </mergeCells>
  <conditionalFormatting sqref="E7:E18">
    <cfRule type="cellIs" dxfId="69" priority="4" operator="lessThan">
      <formula>$L$4</formula>
    </cfRule>
  </conditionalFormatting>
  <dataValidations count="1">
    <dataValidation type="list" allowBlank="1" showInputMessage="1" showErrorMessage="1" sqref="L5">
      <formula1>$O$4:$O$6</formula1>
    </dataValidation>
  </dataValidations>
  <pageMargins left="0.7" right="0.7" top="0.75" bottom="0.75" header="0.3" footer="0.3"/>
  <pageSetup orientation="portrait" r:id="rId1"/>
  <drawing r:id="rId2"/>
  <legacyDrawing r:id="rId3"/>
  <oleObjects>
    <oleObject progId="PowerPoint.Show.12" shapeId="6145" r:id="rId4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N172"/>
  <sheetViews>
    <sheetView tabSelected="1" topLeftCell="A32" zoomScale="90" zoomScaleNormal="90" workbookViewId="0">
      <pane ySplit="16740" topLeftCell="A120"/>
      <selection activeCell="X80" sqref="X80"/>
      <selection pane="bottomLeft" activeCell="W124" sqref="S43:W124"/>
    </sheetView>
  </sheetViews>
  <sheetFormatPr defaultRowHeight="15"/>
  <cols>
    <col min="1" max="1" width="12" style="18" customWidth="1"/>
    <col min="2" max="2" width="9.140625" style="18" bestFit="1" customWidth="1"/>
    <col min="3" max="3" width="6.140625" style="18" bestFit="1" customWidth="1"/>
    <col min="4" max="4" width="9.7109375" style="18" bestFit="1" customWidth="1"/>
    <col min="5" max="5" width="11.5703125" style="18" bestFit="1" customWidth="1"/>
    <col min="6" max="6" width="7.28515625" style="18" bestFit="1" customWidth="1"/>
    <col min="7" max="7" width="6" style="18" bestFit="1" customWidth="1"/>
    <col min="8" max="17" width="7.7109375" style="18" customWidth="1"/>
    <col min="18" max="23" width="7.42578125" style="18" customWidth="1"/>
    <col min="24" max="40" width="7.7109375" style="18" customWidth="1"/>
    <col min="41" max="45" width="7.7109375" style="21" customWidth="1"/>
    <col min="46" max="49" width="7.7109375" style="6" customWidth="1"/>
    <col min="50" max="55" width="7.7109375" style="18" customWidth="1"/>
    <col min="56" max="16384" width="9.140625" style="18"/>
  </cols>
  <sheetData>
    <row r="1" spans="1:66">
      <c r="A1" s="21" t="str">
        <f>setCalcEnable(B1)</f>
        <v>Calc Enable=</v>
      </c>
      <c r="B1" s="18">
        <v>1</v>
      </c>
      <c r="X1" s="103" t="s">
        <v>26</v>
      </c>
      <c r="Y1" s="103"/>
      <c r="Z1" s="103"/>
      <c r="AA1" s="103"/>
      <c r="AB1" s="103"/>
      <c r="AC1" s="103"/>
      <c r="AD1" s="103"/>
      <c r="AE1" s="103"/>
      <c r="AF1" s="103" t="s">
        <v>27</v>
      </c>
      <c r="AG1" s="103"/>
      <c r="AH1" s="103"/>
      <c r="AI1" s="103"/>
      <c r="AJ1" s="103"/>
      <c r="AK1" s="103"/>
      <c r="AL1" s="103"/>
      <c r="AM1" s="103"/>
      <c r="AN1" s="103" t="s">
        <v>28</v>
      </c>
      <c r="AO1" s="103"/>
      <c r="AP1" s="103"/>
      <c r="AQ1" s="103"/>
      <c r="AR1" s="103"/>
      <c r="AS1" s="103"/>
      <c r="AT1" s="103"/>
      <c r="AU1" s="103"/>
      <c r="AV1" s="103" t="s">
        <v>29</v>
      </c>
      <c r="AW1" s="103"/>
      <c r="AX1" s="103"/>
      <c r="AY1" s="103"/>
      <c r="AZ1" s="103"/>
      <c r="BA1" s="103"/>
      <c r="BB1" s="103"/>
      <c r="BC1" s="103"/>
    </row>
    <row r="2" spans="1:66">
      <c r="A2" s="21" t="s">
        <v>2</v>
      </c>
      <c r="B2" s="21">
        <f>COUNT(data0!B2:AG2)</f>
        <v>32</v>
      </c>
      <c r="H2" s="103" t="s">
        <v>30</v>
      </c>
      <c r="I2" s="103"/>
      <c r="J2" s="103" t="str">
        <f>X1</f>
        <v>Cell 0</v>
      </c>
      <c r="K2" s="103"/>
      <c r="L2" s="103" t="str">
        <f>AF1</f>
        <v>Cell 1</v>
      </c>
      <c r="M2" s="103"/>
      <c r="N2" s="103" t="str">
        <f>AN1</f>
        <v>Cell 2</v>
      </c>
      <c r="O2" s="103"/>
      <c r="P2" s="103" t="str">
        <f>AV1</f>
        <v>Cell 3</v>
      </c>
      <c r="Q2" s="103"/>
      <c r="X2" s="18">
        <f>data0!B1</f>
        <v>0</v>
      </c>
      <c r="Y2" s="18">
        <f>data0!C1</f>
        <v>1</v>
      </c>
      <c r="Z2" s="18">
        <f>data0!D1</f>
        <v>2</v>
      </c>
      <c r="AA2" s="18">
        <f>data0!E1</f>
        <v>3</v>
      </c>
      <c r="AB2" s="18">
        <f>data0!F1</f>
        <v>4</v>
      </c>
      <c r="AC2" s="18">
        <f>data0!G1</f>
        <v>5</v>
      </c>
      <c r="AD2" s="18">
        <f>data0!H1</f>
        <v>6</v>
      </c>
      <c r="AE2" s="18">
        <f>data0!I1</f>
        <v>7</v>
      </c>
      <c r="AF2" s="18">
        <f>data0!J1</f>
        <v>8</v>
      </c>
      <c r="AG2" s="18">
        <f>data0!K1</f>
        <v>9</v>
      </c>
      <c r="AH2" s="18">
        <f>data0!L1</f>
        <v>10</v>
      </c>
      <c r="AI2" s="18">
        <f>data0!M1</f>
        <v>11</v>
      </c>
      <c r="AJ2" s="18">
        <f>data0!N1</f>
        <v>12</v>
      </c>
      <c r="AK2" s="18">
        <f>data0!O1</f>
        <v>13</v>
      </c>
      <c r="AL2" s="18">
        <f>data0!P1</f>
        <v>14</v>
      </c>
      <c r="AM2" s="18">
        <f>data0!Q1</f>
        <v>15</v>
      </c>
      <c r="AN2" s="18">
        <f>data0!R1</f>
        <v>16</v>
      </c>
      <c r="AO2" s="18">
        <f>data0!S1</f>
        <v>17</v>
      </c>
      <c r="AP2" s="18">
        <f>data0!T1</f>
        <v>18</v>
      </c>
      <c r="AQ2" s="18">
        <f>data0!U1</f>
        <v>19</v>
      </c>
      <c r="AR2" s="18">
        <f>data0!V1</f>
        <v>20</v>
      </c>
      <c r="AS2" s="18">
        <f>data0!W1</f>
        <v>21</v>
      </c>
      <c r="AT2" s="18">
        <f>data0!X1</f>
        <v>22</v>
      </c>
      <c r="AU2" s="18">
        <f>data0!Y1</f>
        <v>23</v>
      </c>
      <c r="AV2" s="18">
        <f>data0!Z1</f>
        <v>24</v>
      </c>
      <c r="AW2" s="18">
        <f>data0!AA1</f>
        <v>25</v>
      </c>
      <c r="AX2" s="18">
        <f>data0!AB1</f>
        <v>26</v>
      </c>
      <c r="AY2" s="18">
        <f>data0!AC1</f>
        <v>27</v>
      </c>
      <c r="AZ2" s="18">
        <f>data0!AD1</f>
        <v>28</v>
      </c>
      <c r="BA2" s="18">
        <f>data0!AE1</f>
        <v>29</v>
      </c>
      <c r="BB2" s="18">
        <f>data0!AF1</f>
        <v>30</v>
      </c>
      <c r="BC2" s="18">
        <f>data0!AG1</f>
        <v>31</v>
      </c>
    </row>
    <row r="3" spans="1:66">
      <c r="A3" s="21" t="s">
        <v>3</v>
      </c>
      <c r="B3" s="21">
        <f>Summary!L4</f>
        <v>1.6</v>
      </c>
      <c r="E3" s="18" t="s">
        <v>21</v>
      </c>
      <c r="H3" s="18" t="s">
        <v>6</v>
      </c>
      <c r="I3" s="18" t="s">
        <v>7</v>
      </c>
      <c r="J3" s="33" t="str">
        <f t="shared" ref="J3:Q3" si="0">H3</f>
        <v>Mean</v>
      </c>
      <c r="K3" s="33" t="str">
        <f t="shared" si="0"/>
        <v>Stdev</v>
      </c>
      <c r="L3" s="33" t="str">
        <f t="shared" si="0"/>
        <v>Mean</v>
      </c>
      <c r="M3" s="33" t="str">
        <f t="shared" si="0"/>
        <v>Stdev</v>
      </c>
      <c r="N3" s="33" t="str">
        <f t="shared" si="0"/>
        <v>Mean</v>
      </c>
      <c r="O3" s="33" t="str">
        <f t="shared" si="0"/>
        <v>Stdev</v>
      </c>
      <c r="P3" s="33" t="str">
        <f t="shared" si="0"/>
        <v>Mean</v>
      </c>
      <c r="Q3" s="33" t="str">
        <f t="shared" si="0"/>
        <v>Stdev</v>
      </c>
      <c r="AO3" s="18"/>
      <c r="AP3" s="18"/>
      <c r="AQ3" s="18"/>
      <c r="AR3" s="18"/>
      <c r="AS3" s="18"/>
      <c r="AT3" s="18"/>
      <c r="AU3" s="18"/>
      <c r="AV3" s="18"/>
      <c r="AW3" s="18"/>
    </row>
    <row r="4" spans="1:66">
      <c r="A4" s="21" t="s">
        <v>4</v>
      </c>
      <c r="B4" s="21">
        <f>PswpStep</f>
        <v>1</v>
      </c>
      <c r="E4" s="18" t="str">
        <f>D$42</f>
        <v>HI</v>
      </c>
      <c r="F4" s="51" t="s">
        <v>8</v>
      </c>
      <c r="G4" s="50">
        <v>0</v>
      </c>
      <c r="H4" s="52">
        <f t="shared" ref="H4:H5" si="1">AVERAGE(X4:BC4)</f>
        <v>0.11314950980392158</v>
      </c>
      <c r="I4" s="52">
        <f t="shared" ref="I4:I5" si="2">STDEV(X4:BC4)</f>
        <v>6.3900415538566027E-2</v>
      </c>
      <c r="J4" s="52">
        <f>AVERAGE(X4:AE4)</f>
        <v>0.15083333333333332</v>
      </c>
      <c r="K4" s="52">
        <f>STDEV(X4:AE4)</f>
        <v>3.2197658074433178E-3</v>
      </c>
      <c r="L4" s="52">
        <f>AVERAGE(AF4:AM4)</f>
        <v>0.13352941176470587</v>
      </c>
      <c r="M4" s="52">
        <f>STDEV(AF4:AM4)</f>
        <v>5.1456514015467907E-2</v>
      </c>
      <c r="N4" s="52">
        <f>AVERAGE(AN4:AU4)</f>
        <v>0.10166666666666667</v>
      </c>
      <c r="O4" s="52">
        <f>STDEV(AN4:AU4)</f>
        <v>7.2527894569919191E-2</v>
      </c>
      <c r="P4" s="52">
        <f>AVERAGE(AV4:BC4)</f>
        <v>6.6568627450980397E-2</v>
      </c>
      <c r="Q4" s="52">
        <f>STDEV(AV4:BC4)</f>
        <v>7.3732865117755425E-2</v>
      </c>
      <c r="R4" s="52"/>
      <c r="S4" s="52"/>
      <c r="T4" s="52"/>
      <c r="U4" s="52"/>
      <c r="V4" s="52"/>
      <c r="W4" s="52"/>
      <c r="X4" s="20">
        <f>AVERAGE(data0!B73:B82)</f>
        <v>0.15607843137254901</v>
      </c>
      <c r="Y4" s="20">
        <f>AVERAGE(data0!C73:C82)</f>
        <v>0.15215686274509804</v>
      </c>
      <c r="Z4" s="20">
        <f>AVERAGE(data0!D73:D82)</f>
        <v>0.14901960784313723</v>
      </c>
      <c r="AA4" s="20">
        <f>AVERAGE(data0!E73:E82)</f>
        <v>0.15098039215686274</v>
      </c>
      <c r="AB4" s="20">
        <f>AVERAGE(data0!F73:F82)</f>
        <v>0.15137254901960784</v>
      </c>
      <c r="AC4" s="20">
        <f>AVERAGE(data0!G73:G82)</f>
        <v>0.14784313725490197</v>
      </c>
      <c r="AD4" s="20">
        <f>AVERAGE(data0!H73:H82)</f>
        <v>0.14588235294117646</v>
      </c>
      <c r="AE4" s="20">
        <f>AVERAGE(data0!I73:I82)</f>
        <v>0.15333333333333332</v>
      </c>
      <c r="AF4" s="20">
        <f>AVERAGE(data0!J73:J82)</f>
        <v>6.2745098039215684E-3</v>
      </c>
      <c r="AG4" s="20">
        <f>AVERAGE(data0!K73:K82)</f>
        <v>0.15137254901960784</v>
      </c>
      <c r="AH4" s="20">
        <f>AVERAGE(data0!L73:L82)</f>
        <v>0.15098039215686271</v>
      </c>
      <c r="AI4" s="20">
        <f>AVERAGE(data0!M73:M82)</f>
        <v>0.14941176470588236</v>
      </c>
      <c r="AJ4" s="20">
        <f>AVERAGE(data0!N73:N82)</f>
        <v>0.15098039215686274</v>
      </c>
      <c r="AK4" s="20">
        <f>AVERAGE(data0!O73:O82)</f>
        <v>0.15568627450980391</v>
      </c>
      <c r="AL4" s="20">
        <f>AVERAGE(data0!P73:P82)</f>
        <v>0.15019607843137253</v>
      </c>
      <c r="AM4" s="20">
        <f>AVERAGE(data0!Q73:Q82)</f>
        <v>0.15333333333333332</v>
      </c>
      <c r="AN4" s="20">
        <f>AVERAGE(data0!R73:R82)</f>
        <v>1.215686274509804E-2</v>
      </c>
      <c r="AO4" s="20">
        <f>AVERAGE(data0!S73:S82)</f>
        <v>0.1549019607843137</v>
      </c>
      <c r="AP4" s="20">
        <f>AVERAGE(data0!T73:T82)</f>
        <v>0.15372549019607842</v>
      </c>
      <c r="AQ4" s="20">
        <f>AVERAGE(data0!U73:U82)</f>
        <v>0.15137254901960784</v>
      </c>
      <c r="AR4" s="20">
        <f>AVERAGE(data0!V73:V82)</f>
        <v>0.15333333333333332</v>
      </c>
      <c r="AS4" s="20">
        <f>AVERAGE(data0!W73:W82)</f>
        <v>0.15764705882352942</v>
      </c>
      <c r="AT4" s="20">
        <f>AVERAGE(data0!X73:X82)</f>
        <v>1.6470588235294115E-2</v>
      </c>
      <c r="AU4" s="20">
        <f>AVERAGE(data0!Y73:Y82)</f>
        <v>1.3725490196078433E-2</v>
      </c>
      <c r="AV4" s="20">
        <f>AVERAGE(data0!Z73:Z82)</f>
        <v>0.15411764705882353</v>
      </c>
      <c r="AW4" s="20">
        <f>AVERAGE(data0!AA73:AA82)</f>
        <v>1.6862745098039218E-2</v>
      </c>
      <c r="AX4" s="20">
        <f>AVERAGE(data0!AB73:AB82)</f>
        <v>0.15686274509803924</v>
      </c>
      <c r="AY4" s="20">
        <f>AVERAGE(data0!AC73:AC82)</f>
        <v>1.1764705882352941E-2</v>
      </c>
      <c r="AZ4" s="20">
        <f>AVERAGE(data0!AD73:AD82)</f>
        <v>1.6078431372549024E-2</v>
      </c>
      <c r="BA4" s="20">
        <f>AVERAGE(data0!AE73:AE82)</f>
        <v>1.215686274509804E-2</v>
      </c>
      <c r="BB4" s="20">
        <f>AVERAGE(data0!AF73:AF82)</f>
        <v>9.0196078431372551E-3</v>
      </c>
      <c r="BC4" s="20">
        <f>AVERAGE(data0!AG73:AG82)</f>
        <v>0.15568627450980391</v>
      </c>
    </row>
    <row r="5" spans="1:66">
      <c r="A5" s="21" t="s">
        <v>22</v>
      </c>
      <c r="B5" s="21">
        <v>1</v>
      </c>
      <c r="E5" s="18" t="str">
        <f>J$42</f>
        <v>HI-MID</v>
      </c>
      <c r="F5" s="51" t="str">
        <f>F4</f>
        <v>data</v>
      </c>
      <c r="G5" s="50">
        <f>G4+1</f>
        <v>1</v>
      </c>
      <c r="H5" s="52">
        <f t="shared" si="1"/>
        <v>3.1740196078431378E-2</v>
      </c>
      <c r="I5" s="52">
        <f t="shared" si="2"/>
        <v>6.0694982407808332E-3</v>
      </c>
      <c r="J5" s="52">
        <f>AVERAGE(X5:AE5)</f>
        <v>3.2500000000000001E-2</v>
      </c>
      <c r="K5" s="52">
        <f>STDEV(X5:AE5)</f>
        <v>8.9559009427332692E-3</v>
      </c>
      <c r="L5" s="52">
        <f>AVERAGE(AF5:AM5)</f>
        <v>2.9607843137254904E-2</v>
      </c>
      <c r="M5" s="52">
        <f>STDEV(AF5:AM5)</f>
        <v>3.3929420570816193E-3</v>
      </c>
      <c r="N5" s="52">
        <f t="shared" ref="N5" si="3">AVERAGE(AN5:AU5)</f>
        <v>3.1617647058823528E-2</v>
      </c>
      <c r="O5" s="52">
        <f t="shared" ref="O5" si="4">STDEV(AN5:AU5)</f>
        <v>4.3057604080837843E-3</v>
      </c>
      <c r="P5" s="52">
        <f>AVERAGE(AV5:BC5)</f>
        <v>3.3235294117647057E-2</v>
      </c>
      <c r="Q5" s="52">
        <f>STDEV(AV5:BC5)</f>
        <v>6.6674904747225545E-3</v>
      </c>
      <c r="R5" s="52"/>
      <c r="S5" s="52"/>
      <c r="T5" s="52"/>
      <c r="U5" s="52"/>
      <c r="V5" s="52"/>
      <c r="W5" s="52"/>
      <c r="X5" s="20">
        <f>AVERAGE(data1!B73:B82)</f>
        <v>4.3137254901960784E-2</v>
      </c>
      <c r="Y5" s="20">
        <f>AVERAGE(data1!C73:C82)</f>
        <v>4.1176470588235294E-2</v>
      </c>
      <c r="Z5" s="20">
        <f>AVERAGE(data1!D73:D82)</f>
        <v>3.4117647058823523E-2</v>
      </c>
      <c r="AA5" s="20">
        <f>AVERAGE(data1!E73:E82)</f>
        <v>3.1372549019607843E-2</v>
      </c>
      <c r="AB5" s="20">
        <f>AVERAGE(data1!F73:F82)</f>
        <v>3.8823529411764708E-2</v>
      </c>
      <c r="AC5" s="20">
        <f>AVERAGE(data1!G73:G82)</f>
        <v>2.1568627450980388E-2</v>
      </c>
      <c r="AD5" s="20">
        <f>AVERAGE(data1!H73:H82)</f>
        <v>1.8039215686274507E-2</v>
      </c>
      <c r="AE5" s="20">
        <f>AVERAGE(data1!I73:I82)</f>
        <v>3.1764705882352945E-2</v>
      </c>
      <c r="AF5" s="20">
        <f>AVERAGE(data1!J73:J82)</f>
        <v>2.5490196078431372E-2</v>
      </c>
      <c r="AG5" s="20">
        <f>AVERAGE(data1!K73:K82)</f>
        <v>2.9803921568627451E-2</v>
      </c>
      <c r="AH5" s="20">
        <f>AVERAGE(data1!L73:L82)</f>
        <v>3.6862745098039218E-2</v>
      </c>
      <c r="AI5" s="20">
        <f>AVERAGE(data1!M73:M82)</f>
        <v>2.9019607843137257E-2</v>
      </c>
      <c r="AJ5" s="20">
        <f>AVERAGE(data1!N73:N82)</f>
        <v>2.9803921568627451E-2</v>
      </c>
      <c r="AK5" s="20">
        <f>AVERAGE(data1!O73:O82)</f>
        <v>2.8627450980392155E-2</v>
      </c>
      <c r="AL5" s="20">
        <f>AVERAGE(data1!P73:P82)</f>
        <v>2.6666666666666665E-2</v>
      </c>
      <c r="AM5" s="20">
        <f>AVERAGE(data1!Q73:Q82)</f>
        <v>3.0588235294117649E-2</v>
      </c>
      <c r="AN5" s="20">
        <f>AVERAGE(data1!R73:R82)</f>
        <v>3.2941176470588238E-2</v>
      </c>
      <c r="AO5" s="20">
        <f>AVERAGE(data1!S73:S82)</f>
        <v>3.215686274509804E-2</v>
      </c>
      <c r="AP5" s="20">
        <f>AVERAGE(data1!T73:T82)</f>
        <v>2.9019607843137247E-2</v>
      </c>
      <c r="AQ5" s="20">
        <f>AVERAGE(data1!U73:U82)</f>
        <v>2.5490196078431372E-2</v>
      </c>
      <c r="AR5" s="20">
        <f>AVERAGE(data1!V73:V82)</f>
        <v>2.823529411764706E-2</v>
      </c>
      <c r="AS5" s="20">
        <f>AVERAGE(data1!W73:W82)</f>
        <v>3.2549019607843135E-2</v>
      </c>
      <c r="AT5" s="20">
        <f>AVERAGE(data1!X73:X82)</f>
        <v>0.04</v>
      </c>
      <c r="AU5" s="20">
        <f>AVERAGE(data1!Y73:Y82)</f>
        <v>3.2549019607843135E-2</v>
      </c>
      <c r="AV5" s="20">
        <f>AVERAGE(data1!Z73:Z82)</f>
        <v>2.8627450980392155E-2</v>
      </c>
      <c r="AW5" s="20">
        <f>AVERAGE(data1!AA73:AA82)</f>
        <v>3.529411764705883E-2</v>
      </c>
      <c r="AX5" s="20">
        <f>AVERAGE(data1!AB73:AB82)</f>
        <v>4.2352941176470593E-2</v>
      </c>
      <c r="AY5" s="20">
        <f>AVERAGE(data1!AC73:AC82)</f>
        <v>2.7843137254901961E-2</v>
      </c>
      <c r="AZ5" s="20">
        <f>AVERAGE(data1!AD73:AD82)</f>
        <v>3.0196078431372547E-2</v>
      </c>
      <c r="BA5" s="20">
        <f>AVERAGE(data1!AE73:AE82)</f>
        <v>2.5098039215686273E-2</v>
      </c>
      <c r="BB5" s="20">
        <f>AVERAGE(data1!AF73:AF82)</f>
        <v>3.333333333333334E-2</v>
      </c>
      <c r="BC5" s="20">
        <f>AVERAGE(data1!AG73:AG82)</f>
        <v>4.3137254901960784E-2</v>
      </c>
    </row>
    <row r="6" spans="1:66">
      <c r="E6" s="18" t="str">
        <f>L42</f>
        <v>LO-MID</v>
      </c>
      <c r="F6" s="51" t="str">
        <f t="shared" ref="F6:F7" si="5">F5</f>
        <v>data</v>
      </c>
      <c r="G6" s="50">
        <f t="shared" ref="G6:G7" si="6">G5+1</f>
        <v>2</v>
      </c>
      <c r="H6" s="52">
        <f t="shared" ref="H6:H7" si="7">AVERAGE(X6:BC6)</f>
        <v>0.10039215686274508</v>
      </c>
      <c r="I6" s="52">
        <f t="shared" ref="I6:I7" si="8">STDEV(X6:BC6)</f>
        <v>3.5858859388289061E-3</v>
      </c>
      <c r="J6" s="52">
        <f t="shared" ref="J6:J7" si="9">AVERAGE(X6:AE6)</f>
        <v>9.7598039215686272E-2</v>
      </c>
      <c r="K6" s="52">
        <f t="shared" ref="K6:K7" si="10">STDEV(X6:AE6)</f>
        <v>3.1889129347628625E-3</v>
      </c>
      <c r="L6" s="52">
        <f t="shared" ref="L6:L7" si="11">AVERAGE(AF6:AM6)</f>
        <v>9.9558823529411755E-2</v>
      </c>
      <c r="M6" s="52">
        <f t="shared" ref="M6:M7" si="12">STDEV(AF6:AM6)</f>
        <v>2.9528247398190469E-3</v>
      </c>
      <c r="N6" s="52">
        <f t="shared" ref="N6:N7" si="13">AVERAGE(AN6:AU6)</f>
        <v>0.10328431372549018</v>
      </c>
      <c r="O6" s="52">
        <f t="shared" ref="O6:O7" si="14">STDEV(AN6:AU6)</f>
        <v>2.0638194686413785E-3</v>
      </c>
      <c r="P6" s="52">
        <f t="shared" ref="P6:P7" si="15">AVERAGE(AV6:BC6)</f>
        <v>0.10112745098039215</v>
      </c>
      <c r="Q6" s="52">
        <f t="shared" ref="Q6:Q7" si="16">STDEV(AV6:BC6)</f>
        <v>3.7288058369586465E-3</v>
      </c>
      <c r="R6" s="52"/>
      <c r="S6" s="52"/>
      <c r="T6" s="52"/>
      <c r="U6" s="52"/>
      <c r="V6" s="52"/>
      <c r="W6" s="52"/>
      <c r="X6" s="20">
        <f>AVERAGE(data2!B73:B82)</f>
        <v>0.1007843137254902</v>
      </c>
      <c r="Y6" s="20">
        <f>AVERAGE(data2!C73:C82)</f>
        <v>9.8823529411764699E-2</v>
      </c>
      <c r="Z6" s="20">
        <f>AVERAGE(data2!D73:D82)</f>
        <v>9.6078431372549011E-2</v>
      </c>
      <c r="AA6" s="20">
        <f>AVERAGE(data2!E73:E82)</f>
        <v>9.8039215686274508E-2</v>
      </c>
      <c r="AB6" s="20">
        <f>AVERAGE(data2!F73:F82)</f>
        <v>9.6862745098039202E-2</v>
      </c>
      <c r="AC6" s="20">
        <f>AVERAGE(data2!G73:G82)</f>
        <v>9.3725490196078426E-2</v>
      </c>
      <c r="AD6" s="20">
        <f>AVERAGE(data2!H73:H82)</f>
        <v>9.3725490196078426E-2</v>
      </c>
      <c r="AE6" s="20">
        <f>AVERAGE(data2!I73:I82)</f>
        <v>0.10274509803921568</v>
      </c>
      <c r="AF6" s="20">
        <f>AVERAGE(data2!J73:J82)</f>
        <v>9.5294117647058821E-2</v>
      </c>
      <c r="AG6" s="20">
        <f>AVERAGE(data2!K73:K82)</f>
        <v>9.7254901960784318E-2</v>
      </c>
      <c r="AH6" s="20">
        <f>AVERAGE(data2!L73:L82)</f>
        <v>9.9215686274509801E-2</v>
      </c>
      <c r="AI6" s="20">
        <f>AVERAGE(data2!M73:M82)</f>
        <v>9.7647058823529406E-2</v>
      </c>
      <c r="AJ6" s="20">
        <f>AVERAGE(data2!N73:N82)</f>
        <v>0.10156862745098039</v>
      </c>
      <c r="AK6" s="20">
        <f>AVERAGE(data2!O73:O82)</f>
        <v>0.10392156862745097</v>
      </c>
      <c r="AL6" s="20">
        <f>AVERAGE(data2!P73:P82)</f>
        <v>9.8823529411764699E-2</v>
      </c>
      <c r="AM6" s="20">
        <f>AVERAGE(data2!Q73:Q82)</f>
        <v>0.10274509803921568</v>
      </c>
      <c r="AN6" s="20">
        <f>AVERAGE(data2!R73:R82)</f>
        <v>0.10392156862745097</v>
      </c>
      <c r="AO6" s="20">
        <f>AVERAGE(data2!S73:S82)</f>
        <v>0.10549019607843138</v>
      </c>
      <c r="AP6" s="20">
        <f>AVERAGE(data2!T73:T82)</f>
        <v>0.10352941176470587</v>
      </c>
      <c r="AQ6" s="20">
        <f>AVERAGE(data2!U73:U82)</f>
        <v>9.9215686274509801E-2</v>
      </c>
      <c r="AR6" s="20">
        <f>AVERAGE(data2!V73:V82)</f>
        <v>0.10156862745098039</v>
      </c>
      <c r="AS6" s="20">
        <f>AVERAGE(data2!W73:W82)</f>
        <v>0.10549019607843135</v>
      </c>
      <c r="AT6" s="20">
        <f>AVERAGE(data2!X73:X82)</f>
        <v>0.10352941176470587</v>
      </c>
      <c r="AU6" s="20">
        <f>AVERAGE(data2!Y73:Y82)</f>
        <v>0.10352941176470587</v>
      </c>
      <c r="AV6" s="20">
        <f>AVERAGE(data2!Z73:Z82)</f>
        <v>0.10039215686274509</v>
      </c>
      <c r="AW6" s="20">
        <f>AVERAGE(data2!AA73:AA82)</f>
        <v>0.10666666666666666</v>
      </c>
      <c r="AX6" s="20">
        <f>AVERAGE(data2!AB73:AB82)</f>
        <v>0.10274509803921568</v>
      </c>
      <c r="AY6" s="20">
        <f>AVERAGE(data2!AC73:AC82)</f>
        <v>0.10274509803921568</v>
      </c>
      <c r="AZ6" s="20">
        <f>AVERAGE(data2!AD73:AD82)</f>
        <v>0.10352941176470587</v>
      </c>
      <c r="BA6" s="20">
        <f>AVERAGE(data2!AE73:AE82)</f>
        <v>9.9607843137254889E-2</v>
      </c>
      <c r="BB6" s="20">
        <f>AVERAGE(data2!AF73:AF82)</f>
        <v>9.4117647058823542E-2</v>
      </c>
      <c r="BC6" s="20">
        <f>AVERAGE(data2!AG73:AG82)</f>
        <v>9.9215686274509801E-2</v>
      </c>
    </row>
    <row r="7" spans="1:66">
      <c r="A7" s="21"/>
      <c r="B7" s="21"/>
      <c r="E7" s="18" t="str">
        <f>N42</f>
        <v>LO</v>
      </c>
      <c r="F7" s="51" t="str">
        <f t="shared" si="5"/>
        <v>data</v>
      </c>
      <c r="G7" s="50">
        <f t="shared" si="6"/>
        <v>3</v>
      </c>
      <c r="H7" s="52">
        <f t="shared" si="7"/>
        <v>0.11265931372549018</v>
      </c>
      <c r="I7" s="52">
        <f t="shared" si="8"/>
        <v>6.4114115683226253E-2</v>
      </c>
      <c r="J7" s="52">
        <f t="shared" si="9"/>
        <v>0.15004901960784311</v>
      </c>
      <c r="K7" s="52">
        <f t="shared" si="10"/>
        <v>2.7164370125938608E-3</v>
      </c>
      <c r="L7" s="52">
        <f t="shared" si="11"/>
        <v>0.13372549019607843</v>
      </c>
      <c r="M7" s="52">
        <f t="shared" si="12"/>
        <v>5.1708653125379908E-2</v>
      </c>
      <c r="N7" s="52">
        <f t="shared" si="13"/>
        <v>0.10161764705882353</v>
      </c>
      <c r="O7" s="52">
        <f t="shared" si="14"/>
        <v>7.2280808630746526E-2</v>
      </c>
      <c r="P7" s="52">
        <f t="shared" si="15"/>
        <v>6.5245098039215688E-2</v>
      </c>
      <c r="Q7" s="52">
        <f t="shared" si="16"/>
        <v>7.406084331959234E-2</v>
      </c>
      <c r="R7" s="52"/>
      <c r="S7" s="52"/>
      <c r="T7" s="52"/>
      <c r="U7" s="52"/>
      <c r="V7" s="52"/>
      <c r="W7" s="52"/>
      <c r="X7" s="20">
        <f>AVERAGE(data3!B73:B82)</f>
        <v>0.15294117647058819</v>
      </c>
      <c r="Y7" s="20">
        <f>AVERAGE(data3!C73:C82)</f>
        <v>0.15098039215686271</v>
      </c>
      <c r="Z7" s="20">
        <f>AVERAGE(data3!D73:D82)</f>
        <v>0.14980392156862743</v>
      </c>
      <c r="AA7" s="20">
        <f>AVERAGE(data3!E73:E82)</f>
        <v>0.15137254901960784</v>
      </c>
      <c r="AB7" s="20">
        <f>AVERAGE(data3!F73:F82)</f>
        <v>0.15019607843137253</v>
      </c>
      <c r="AC7" s="20">
        <f>AVERAGE(data3!G73:G82)</f>
        <v>0.14666666666666667</v>
      </c>
      <c r="AD7" s="20">
        <f>AVERAGE(data3!H73:H82)</f>
        <v>0.14549019607843136</v>
      </c>
      <c r="AE7" s="20">
        <f>AVERAGE(data3!I73:I82)</f>
        <v>0.15294117647058822</v>
      </c>
      <c r="AF7" s="20">
        <f>AVERAGE(data3!J73:J82)</f>
        <v>5.8823529411764705E-3</v>
      </c>
      <c r="AG7" s="20">
        <f>AVERAGE(data3!K73:K82)</f>
        <v>0.14980392156862746</v>
      </c>
      <c r="AH7" s="20">
        <f>AVERAGE(data3!L73:L82)</f>
        <v>0.15176470588235291</v>
      </c>
      <c r="AI7" s="20">
        <f>AVERAGE(data3!M73:M82)</f>
        <v>0.15019607843137253</v>
      </c>
      <c r="AJ7" s="20">
        <f>AVERAGE(data3!N73:N82)</f>
        <v>0.15137254901960784</v>
      </c>
      <c r="AK7" s="20">
        <f>AVERAGE(data3!O73:O82)</f>
        <v>0.15568627450980393</v>
      </c>
      <c r="AL7" s="20">
        <f>AVERAGE(data3!P73:P82)</f>
        <v>0.14980392156862743</v>
      </c>
      <c r="AM7" s="20">
        <f>AVERAGE(data3!Q73:Q82)</f>
        <v>0.1552941176470588</v>
      </c>
      <c r="AN7" s="20">
        <f>AVERAGE(data3!R73:R82)</f>
        <v>1.2549019607843137E-2</v>
      </c>
      <c r="AO7" s="20">
        <f>AVERAGE(data3!S73:S82)</f>
        <v>0.1552941176470588</v>
      </c>
      <c r="AP7" s="20">
        <f>AVERAGE(data3!T73:T82)</f>
        <v>0.15333333333333332</v>
      </c>
      <c r="AQ7" s="20">
        <f>AVERAGE(data3!U73:U82)</f>
        <v>0.15137254901960784</v>
      </c>
      <c r="AR7" s="20">
        <f>AVERAGE(data3!V73:V82)</f>
        <v>0.15137254901960784</v>
      </c>
      <c r="AS7" s="20">
        <f>AVERAGE(data3!W73:W82)</f>
        <v>0.15843137254901962</v>
      </c>
      <c r="AT7" s="20">
        <f>AVERAGE(data3!X73:X82)</f>
        <v>1.4901960784313726E-2</v>
      </c>
      <c r="AU7" s="20">
        <f>AVERAGE(data3!Y73:Y82)</f>
        <v>1.5686274509803921E-2</v>
      </c>
      <c r="AV7" s="20">
        <f>AVERAGE(data3!Z73:Z82)</f>
        <v>0.15254901960784312</v>
      </c>
      <c r="AW7" s="20">
        <f>AVERAGE(data3!AA73:AA82)</f>
        <v>1.4509803921568625E-2</v>
      </c>
      <c r="AX7" s="20">
        <f>AVERAGE(data3!AB73:AB82)</f>
        <v>0.15490196078431376</v>
      </c>
      <c r="AY7" s="20">
        <f>AVERAGE(data3!AC73:AC82)</f>
        <v>1.3725490196078433E-2</v>
      </c>
      <c r="AZ7" s="20">
        <f>AVERAGE(data3!AD73:AD82)</f>
        <v>1.0980392156862745E-2</v>
      </c>
      <c r="BA7" s="20">
        <f>AVERAGE(data3!AE73:AE82)</f>
        <v>1.0980392156862745E-2</v>
      </c>
      <c r="BB7" s="20">
        <f>AVERAGE(data3!AF73:AF82)</f>
        <v>7.8431372549019607E-3</v>
      </c>
      <c r="BC7" s="20">
        <f>AVERAGE(data3!AG73:AG82)</f>
        <v>0.15647058823529408</v>
      </c>
    </row>
    <row r="8" spans="1:66">
      <c r="A8" s="21"/>
      <c r="B8" s="21"/>
      <c r="F8" s="51"/>
      <c r="G8" s="50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</row>
    <row r="9" spans="1:66">
      <c r="A9" s="21"/>
      <c r="B9" s="21"/>
      <c r="E9" s="18" t="s">
        <v>45</v>
      </c>
      <c r="F9" s="51" t="s">
        <v>46</v>
      </c>
      <c r="H9" s="52">
        <f>AVERAGE(X9:BC9)</f>
        <v>0</v>
      </c>
      <c r="I9" s="52">
        <f t="shared" ref="I9:I13" si="17">STDEV(X9:BC9)</f>
        <v>0</v>
      </c>
      <c r="J9" s="52">
        <f t="shared" ref="J9:J13" si="18">AVERAGE(X9:AE9)</f>
        <v>0</v>
      </c>
      <c r="K9" s="52">
        <f t="shared" ref="K9:K13" si="19">STDEV(X9:AE9)</f>
        <v>0</v>
      </c>
      <c r="L9" s="52">
        <f t="shared" ref="L9:L13" si="20">AVERAGE(AF9:AM9)</f>
        <v>0</v>
      </c>
      <c r="M9" s="52">
        <f t="shared" ref="M9:M13" si="21">STDEV(AF9:AM9)</f>
        <v>0</v>
      </c>
      <c r="N9" s="52">
        <f t="shared" ref="N9:N13" si="22">AVERAGE(AN9:AU9)</f>
        <v>0</v>
      </c>
      <c r="O9" s="52">
        <f t="shared" ref="O9:O13" si="23">STDEV(AN9:AU9)</f>
        <v>0</v>
      </c>
      <c r="P9" s="52">
        <f t="shared" ref="P9:P13" si="24">AVERAGE(AV9:BC9)</f>
        <v>0</v>
      </c>
      <c r="Q9" s="52">
        <f t="shared" ref="Q9:Q13" si="25">STDEV(AV9:BC9)</f>
        <v>0</v>
      </c>
      <c r="R9" s="52"/>
      <c r="S9" s="52"/>
      <c r="T9" s="52"/>
      <c r="U9" s="52"/>
      <c r="V9" s="52"/>
      <c r="W9" s="52"/>
      <c r="X9" s="20">
        <f>data0!B89</f>
        <v>0</v>
      </c>
      <c r="Y9" s="20">
        <f>data0!C89</f>
        <v>0</v>
      </c>
      <c r="Z9" s="20">
        <f>data0!D89</f>
        <v>0</v>
      </c>
      <c r="AA9" s="20">
        <f>data0!E89</f>
        <v>0</v>
      </c>
      <c r="AB9" s="20">
        <f>data0!F89</f>
        <v>0</v>
      </c>
      <c r="AC9" s="20">
        <f>data0!G89</f>
        <v>0</v>
      </c>
      <c r="AD9" s="20">
        <f>data0!H89</f>
        <v>0</v>
      </c>
      <c r="AE9" s="20">
        <f>data0!I89</f>
        <v>0</v>
      </c>
      <c r="AF9" s="20">
        <f>data0!J89</f>
        <v>0</v>
      </c>
      <c r="AG9" s="20">
        <f>data0!K89</f>
        <v>0</v>
      </c>
      <c r="AH9" s="20">
        <f>data0!L89</f>
        <v>0</v>
      </c>
      <c r="AI9" s="20">
        <f>data0!M89</f>
        <v>0</v>
      </c>
      <c r="AJ9" s="20">
        <f>data0!N89</f>
        <v>0</v>
      </c>
      <c r="AK9" s="20">
        <f>data0!O89</f>
        <v>0</v>
      </c>
      <c r="AL9" s="20">
        <f>data0!P89</f>
        <v>0</v>
      </c>
      <c r="AM9" s="20">
        <f>data0!Q89</f>
        <v>0</v>
      </c>
      <c r="AN9" s="20">
        <f>data0!R89</f>
        <v>0</v>
      </c>
      <c r="AO9" s="20">
        <f>data0!S89</f>
        <v>0</v>
      </c>
      <c r="AP9" s="20">
        <f>data0!T89</f>
        <v>0</v>
      </c>
      <c r="AQ9" s="20">
        <f>data0!U89</f>
        <v>0</v>
      </c>
      <c r="AR9" s="20">
        <f>data0!V89</f>
        <v>0</v>
      </c>
      <c r="AS9" s="20">
        <f>data0!W89</f>
        <v>0</v>
      </c>
      <c r="AT9" s="20">
        <f>data0!X89</f>
        <v>0</v>
      </c>
      <c r="AU9" s="20">
        <f>data0!Y89</f>
        <v>0</v>
      </c>
      <c r="AV9" s="20">
        <f>data0!Z89</f>
        <v>0</v>
      </c>
      <c r="AW9" s="20">
        <f>data0!AA89</f>
        <v>0</v>
      </c>
      <c r="AX9" s="20">
        <f>data0!AB89</f>
        <v>0</v>
      </c>
      <c r="AY9" s="20">
        <f>data0!AC89</f>
        <v>0</v>
      </c>
      <c r="AZ9" s="20">
        <f>data0!AD89</f>
        <v>0</v>
      </c>
      <c r="BA9" s="20">
        <f>data0!AE89</f>
        <v>0</v>
      </c>
      <c r="BB9" s="20">
        <f>data0!AF89</f>
        <v>0</v>
      </c>
      <c r="BC9" s="20">
        <f>data0!AG89</f>
        <v>0</v>
      </c>
    </row>
    <row r="10" spans="1:66">
      <c r="A10" s="21"/>
      <c r="B10" s="21"/>
      <c r="E10" s="106" t="s">
        <v>47</v>
      </c>
      <c r="F10" s="51" t="str">
        <f t="shared" ref="F10:G13" si="26">F4</f>
        <v>data</v>
      </c>
      <c r="G10" s="50">
        <f t="shared" si="26"/>
        <v>0</v>
      </c>
      <c r="H10" s="52">
        <f t="shared" ref="H10:H13" si="27">AVERAGE(X10:BC10)</f>
        <v>4.8139705882352954</v>
      </c>
      <c r="I10" s="52">
        <f t="shared" si="17"/>
        <v>5.5984072452745989E-2</v>
      </c>
      <c r="J10" s="52">
        <f t="shared" si="18"/>
        <v>4.836274509803923</v>
      </c>
      <c r="K10" s="52">
        <f t="shared" si="19"/>
        <v>1.287906322977323E-2</v>
      </c>
      <c r="L10" s="52">
        <f t="shared" si="20"/>
        <v>4.8299019607843139</v>
      </c>
      <c r="M10" s="52">
        <f t="shared" si="21"/>
        <v>4.2595915758738501E-2</v>
      </c>
      <c r="N10" s="52">
        <f t="shared" si="22"/>
        <v>4.8102941176470591</v>
      </c>
      <c r="O10" s="52">
        <f t="shared" si="23"/>
        <v>6.9583181017899134E-2</v>
      </c>
      <c r="P10" s="52">
        <f t="shared" si="24"/>
        <v>4.7794117647058822</v>
      </c>
      <c r="Q10" s="52">
        <f t="shared" si="25"/>
        <v>6.9419202310873188E-2</v>
      </c>
      <c r="R10" s="52"/>
      <c r="S10" s="52"/>
      <c r="T10" s="52"/>
      <c r="U10" s="52"/>
      <c r="V10" s="52"/>
      <c r="W10" s="52"/>
      <c r="X10" s="20">
        <f>data0!B$85*100+data0!B$82</f>
        <v>4.8274509803921575</v>
      </c>
      <c r="Y10" s="20">
        <f>data0!C$85*100+data0!C$82</f>
        <v>4.8549019607843142</v>
      </c>
      <c r="Z10" s="20">
        <f>data0!D$85*100+data0!D$82</f>
        <v>4.8274509803921575</v>
      </c>
      <c r="AA10" s="20">
        <f>data0!E$85*100+data0!E$82</f>
        <v>4.8313725490196084</v>
      </c>
      <c r="AB10" s="20">
        <f>data0!F$85*100+data0!F$82</f>
        <v>4.8431372549019613</v>
      </c>
      <c r="AC10" s="20">
        <f>data0!G$85*100+data0!G$82</f>
        <v>4.8274509803921575</v>
      </c>
      <c r="AD10" s="20">
        <f>data0!H$85*100+data0!H$82</f>
        <v>4.8235294117647065</v>
      </c>
      <c r="AE10" s="20">
        <f>data0!I$85*100+data0!I$82</f>
        <v>4.8549019607843142</v>
      </c>
      <c r="AF10" s="20">
        <f>data0!J$85*100+data0!J$82</f>
        <v>4.7294117647058824</v>
      </c>
      <c r="AG10" s="20">
        <f>data0!K$85*100+data0!K$82</f>
        <v>4.8313725490196084</v>
      </c>
      <c r="AH10" s="20">
        <f>data0!L$85*100+data0!L$82</f>
        <v>4.8588235294117652</v>
      </c>
      <c r="AI10" s="20">
        <f>data0!M$85*100+data0!M$82</f>
        <v>4.8274509803921575</v>
      </c>
      <c r="AJ10" s="20">
        <f>data0!N$85*100+data0!N$82</f>
        <v>4.8313725490196084</v>
      </c>
      <c r="AK10" s="20">
        <f>data0!O$85*100+data0!O$82</f>
        <v>4.8588235294117652</v>
      </c>
      <c r="AL10" s="20">
        <f>data0!P$85*100+data0!P$82</f>
        <v>4.8549019607843142</v>
      </c>
      <c r="AM10" s="20">
        <f>data0!Q$85*100+data0!Q$82</f>
        <v>4.8470588235294123</v>
      </c>
      <c r="AN10" s="20">
        <f>data0!R$85*100+data0!R$82</f>
        <v>4.7215686274509805</v>
      </c>
      <c r="AO10" s="20">
        <f>data0!S$85*100+data0!S$82</f>
        <v>4.8509803921568633</v>
      </c>
      <c r="AP10" s="20">
        <f>data0!T$85*100+data0!T$82</f>
        <v>4.8705882352941181</v>
      </c>
      <c r="AQ10" s="20">
        <f>data0!U$85*100+data0!U$82</f>
        <v>4.8549019607843142</v>
      </c>
      <c r="AR10" s="20">
        <f>data0!V$85*100+data0!V$82</f>
        <v>4.8588235294117652</v>
      </c>
      <c r="AS10" s="20">
        <f>data0!W$85*100+data0!W$82</f>
        <v>4.8666666666666671</v>
      </c>
      <c r="AT10" s="20">
        <f>data0!X$85*100+data0!X$82</f>
        <v>4.7372549019607844</v>
      </c>
      <c r="AU10" s="20">
        <f>data0!Y$85*100+data0!Y$82</f>
        <v>4.7215686274509805</v>
      </c>
      <c r="AV10" s="20">
        <f>data0!Z$85*100+data0!Z$82</f>
        <v>4.8666666666666671</v>
      </c>
      <c r="AW10" s="20">
        <f>data0!AA$85*100+data0!AA$82</f>
        <v>4.7294117647058824</v>
      </c>
      <c r="AX10" s="20">
        <f>data0!AB$85*100+data0!AB$82</f>
        <v>4.8588235294117652</v>
      </c>
      <c r="AY10" s="20">
        <f>data0!AC$85*100+data0!AC$82</f>
        <v>4.7372549019607844</v>
      </c>
      <c r="AZ10" s="20">
        <f>data0!AD$85*100+data0!AD$82</f>
        <v>4.7372549019607844</v>
      </c>
      <c r="BA10" s="20">
        <f>data0!AE$85*100+data0!AE$82</f>
        <v>4.7294117647058824</v>
      </c>
      <c r="BB10" s="20">
        <f>data0!AF$85*100+data0!AF$82</f>
        <v>4.7137254901960786</v>
      </c>
      <c r="BC10" s="20">
        <f>data0!AG$85*100+data0!AG$82</f>
        <v>4.8627450980392162</v>
      </c>
    </row>
    <row r="11" spans="1:66">
      <c r="A11" s="21"/>
      <c r="B11" s="21"/>
      <c r="E11" s="106"/>
      <c r="F11" s="51" t="str">
        <f t="shared" si="26"/>
        <v>data</v>
      </c>
      <c r="G11" s="50">
        <f t="shared" si="26"/>
        <v>1</v>
      </c>
      <c r="H11" s="52">
        <f t="shared" si="27"/>
        <v>3.8509803921568619</v>
      </c>
      <c r="I11" s="52">
        <f t="shared" si="17"/>
        <v>1.2872183020280856E-2</v>
      </c>
      <c r="J11" s="52">
        <f t="shared" si="18"/>
        <v>3.8573529411764711</v>
      </c>
      <c r="K11" s="52">
        <f t="shared" si="19"/>
        <v>1.4051744718413306E-2</v>
      </c>
      <c r="L11" s="52">
        <f t="shared" si="20"/>
        <v>3.8401960784313727</v>
      </c>
      <c r="M11" s="52">
        <f t="shared" si="21"/>
        <v>9.548493304795274E-3</v>
      </c>
      <c r="N11" s="52">
        <f t="shared" si="22"/>
        <v>3.8509803921568633</v>
      </c>
      <c r="O11" s="52">
        <f t="shared" si="23"/>
        <v>1.3584712216226513E-2</v>
      </c>
      <c r="P11" s="52">
        <f t="shared" si="24"/>
        <v>3.8553921568627456</v>
      </c>
      <c r="Q11" s="52">
        <f t="shared" si="25"/>
        <v>7.6839589492130045E-3</v>
      </c>
      <c r="R11" s="52"/>
      <c r="S11" s="52"/>
      <c r="T11" s="52"/>
      <c r="U11" s="52"/>
      <c r="V11" s="52"/>
      <c r="W11" s="52"/>
      <c r="X11" s="20">
        <f>data1!B$85*100+data1!B$82</f>
        <v>3.8627450980392162</v>
      </c>
      <c r="Y11" s="20">
        <f>data1!C$85*100+data1!C$82</f>
        <v>3.8705882352941172</v>
      </c>
      <c r="Z11" s="20">
        <f>data1!D$85*100+data1!D$82</f>
        <v>3.8431372549019613</v>
      </c>
      <c r="AA11" s="20">
        <f>data1!E$85*100+data1!E$82</f>
        <v>3.8666666666666667</v>
      </c>
      <c r="AB11" s="20">
        <f>data1!F$85*100+data1!F$82</f>
        <v>3.8784313725490196</v>
      </c>
      <c r="AC11" s="20">
        <f>data1!G$85*100+data1!G$82</f>
        <v>3.8509803921568628</v>
      </c>
      <c r="AD11" s="20">
        <f>data1!H$85*100+data1!H$82</f>
        <v>3.8431372549019609</v>
      </c>
      <c r="AE11" s="20">
        <f>data1!I$85*100+data1!I$82</f>
        <v>3.8431372549019609</v>
      </c>
      <c r="AF11" s="20">
        <f>data1!J$85*100+data1!J$82</f>
        <v>3.8588235294117648</v>
      </c>
      <c r="AG11" s="20">
        <f>data1!K$85*100+data1!K$82</f>
        <v>3.8313725490196076</v>
      </c>
      <c r="AH11" s="20">
        <f>data1!L$85*100+data1!L$82</f>
        <v>3.8431372549019613</v>
      </c>
      <c r="AI11" s="20">
        <f>data1!M$85*100+data1!M$82</f>
        <v>3.8352941176470585</v>
      </c>
      <c r="AJ11" s="20">
        <f>data1!N$85*100+data1!N$82</f>
        <v>3.8274509803921566</v>
      </c>
      <c r="AK11" s="20">
        <f>data1!O$85*100+data1!O$82</f>
        <v>3.8431372549019609</v>
      </c>
      <c r="AL11" s="20">
        <f>data1!P$85*100+data1!P$82</f>
        <v>3.8392156862745099</v>
      </c>
      <c r="AM11" s="20">
        <f>data1!Q$85*100+data1!Q$82</f>
        <v>3.8431372549019605</v>
      </c>
      <c r="AN11" s="20">
        <f>data1!R$85*100+data1!R$82</f>
        <v>3.8549019607843138</v>
      </c>
      <c r="AO11" s="20">
        <f>data1!S$85*100+data1!S$82</f>
        <v>3.835294117647059</v>
      </c>
      <c r="AP11" s="20">
        <f>data1!T$85*100+data1!T$82</f>
        <v>3.8470588235294123</v>
      </c>
      <c r="AQ11" s="20">
        <f>data1!U$85*100+data1!U$82</f>
        <v>3.831372549019608</v>
      </c>
      <c r="AR11" s="20">
        <f>data1!V$85*100+data1!V$82</f>
        <v>3.8509803921568624</v>
      </c>
      <c r="AS11" s="20">
        <f>data1!W$85*100+data1!W$82</f>
        <v>3.8509803921568628</v>
      </c>
      <c r="AT11" s="20">
        <f>data1!X$85*100+data1!X$82</f>
        <v>3.8705882352941181</v>
      </c>
      <c r="AU11" s="20">
        <f>data1!Y$85*100+data1!Y$82</f>
        <v>3.8666666666666667</v>
      </c>
      <c r="AV11" s="20">
        <f>data1!Z$85*100+data1!Z$82</f>
        <v>3.8470588235294119</v>
      </c>
      <c r="AW11" s="20">
        <f>data1!AA$85*100+data1!AA$82</f>
        <v>3.8549019607843142</v>
      </c>
      <c r="AX11" s="20">
        <f>data1!AB$85*100+data1!AB$82</f>
        <v>3.8509803921568624</v>
      </c>
      <c r="AY11" s="20">
        <f>data1!AC$85*100+data1!AC$82</f>
        <v>3.8588235294117648</v>
      </c>
      <c r="AZ11" s="20">
        <f>data1!AD$85*100+data1!AD$82</f>
        <v>3.8588235294117648</v>
      </c>
      <c r="BA11" s="20">
        <f>data1!AE$85*100+data1!AE$82</f>
        <v>3.8549019607843138</v>
      </c>
      <c r="BB11" s="20">
        <f>data1!AF$85*100+data1!AF$82</f>
        <v>3.8470588235294119</v>
      </c>
      <c r="BC11" s="20">
        <f>data1!AG$85*100+data1!AG$82</f>
        <v>3.8705882352941177</v>
      </c>
    </row>
    <row r="12" spans="1:66">
      <c r="A12" s="21"/>
      <c r="B12" s="21"/>
      <c r="E12" s="106"/>
      <c r="F12" s="51" t="str">
        <f t="shared" si="26"/>
        <v>data</v>
      </c>
      <c r="G12" s="50">
        <f t="shared" si="26"/>
        <v>2</v>
      </c>
      <c r="H12" s="52">
        <f t="shared" si="27"/>
        <v>3.0794117647058838</v>
      </c>
      <c r="I12" s="52">
        <f t="shared" si="17"/>
        <v>7.8431372549019312E-3</v>
      </c>
      <c r="J12" s="52">
        <f t="shared" si="18"/>
        <v>3.0750000000000002</v>
      </c>
      <c r="K12" s="52">
        <f t="shared" si="19"/>
        <v>3.8863968979023968E-3</v>
      </c>
      <c r="L12" s="52">
        <f t="shared" si="20"/>
        <v>3.0750000000000002</v>
      </c>
      <c r="M12" s="52">
        <f t="shared" si="21"/>
        <v>3.2726390603775571E-3</v>
      </c>
      <c r="N12" s="52">
        <f t="shared" si="22"/>
        <v>3.0862745098039217</v>
      </c>
      <c r="O12" s="52">
        <f t="shared" si="23"/>
        <v>6.9521981210032566E-3</v>
      </c>
      <c r="P12" s="52">
        <f t="shared" si="24"/>
        <v>3.081372549019608</v>
      </c>
      <c r="Q12" s="52">
        <f t="shared" si="25"/>
        <v>9.775870233397807E-3</v>
      </c>
      <c r="X12" s="20">
        <f>data2!B$85*100+data2!B$82</f>
        <v>3.0666666666666669</v>
      </c>
      <c r="Y12" s="20">
        <f>data2!C$85*100+data2!C$82</f>
        <v>3.0745098039215688</v>
      </c>
      <c r="Z12" s="20">
        <f>data2!D$85*100+data2!D$82</f>
        <v>3.0745098039215688</v>
      </c>
      <c r="AA12" s="20">
        <f>data2!E$85*100+data2!E$82</f>
        <v>3.0784313725490198</v>
      </c>
      <c r="AB12" s="20">
        <f>data2!F$85*100+data2!F$82</f>
        <v>3.0784313725490198</v>
      </c>
      <c r="AC12" s="20">
        <f>data2!G$85*100+data2!G$82</f>
        <v>3.0745098039215688</v>
      </c>
      <c r="AD12" s="20">
        <f>data2!H$85*100+data2!H$82</f>
        <v>3.0745098039215688</v>
      </c>
      <c r="AE12" s="20">
        <f>data2!I$85*100+data2!I$82</f>
        <v>3.0784313725490198</v>
      </c>
      <c r="AF12" s="20">
        <f>data2!J$85*100+data2!J$82</f>
        <v>3.0823529411764707</v>
      </c>
      <c r="AG12" s="20">
        <f>data2!K$85*100+data2!K$82</f>
        <v>3.0705882352941178</v>
      </c>
      <c r="AH12" s="20">
        <f>data2!L$85*100+data2!L$82</f>
        <v>3.0745098039215688</v>
      </c>
      <c r="AI12" s="20">
        <f>data2!M$85*100+data2!M$82</f>
        <v>3.0745098039215688</v>
      </c>
      <c r="AJ12" s="20">
        <f>data2!N$85*100+data2!N$82</f>
        <v>3.0745098039215688</v>
      </c>
      <c r="AK12" s="20">
        <f>data2!O$85*100+data2!O$82</f>
        <v>3.0745098039215688</v>
      </c>
      <c r="AL12" s="20">
        <f>data2!P$85*100+data2!P$82</f>
        <v>3.0745098039215688</v>
      </c>
      <c r="AM12" s="20">
        <f>data2!Q$85*100+data2!Q$82</f>
        <v>3.0745098039215688</v>
      </c>
      <c r="AN12" s="20">
        <f>data2!R$85*100+data2!R$82</f>
        <v>3.0901960784313727</v>
      </c>
      <c r="AO12" s="20">
        <f>data2!S$85*100+data2!S$82</f>
        <v>3.0823529411764707</v>
      </c>
      <c r="AP12" s="20">
        <f>data2!T$85*100+data2!T$82</f>
        <v>3.0823529411764707</v>
      </c>
      <c r="AQ12" s="20">
        <f>data2!U$85*100+data2!U$82</f>
        <v>3.0784313725490198</v>
      </c>
      <c r="AR12" s="20">
        <f>data2!V$85*100+data2!V$82</f>
        <v>3.0784313725490198</v>
      </c>
      <c r="AS12" s="20">
        <f>data2!W$85*100+data2!W$82</f>
        <v>3.0901960784313727</v>
      </c>
      <c r="AT12" s="20">
        <f>data2!X$85*100+data2!X$82</f>
        <v>3.0980392156862746</v>
      </c>
      <c r="AU12" s="20">
        <f>data2!Y$85*100+data2!Y$82</f>
        <v>3.0901960784313727</v>
      </c>
      <c r="AV12" s="20">
        <f>data2!Z$85*100+data2!Z$82</f>
        <v>3.0745098039215688</v>
      </c>
      <c r="AW12" s="20">
        <f>data2!AA$85*100+data2!AA$82</f>
        <v>3.0862745098039217</v>
      </c>
      <c r="AX12" s="20">
        <f>data2!AB$85*100+data2!AB$82</f>
        <v>3.0901960784313727</v>
      </c>
      <c r="AY12" s="20">
        <f>data2!AC$85*100+data2!AC$82</f>
        <v>3.0901960784313727</v>
      </c>
      <c r="AZ12" s="20">
        <f>data2!AD$85*100+data2!AD$82</f>
        <v>3.0901960784313727</v>
      </c>
      <c r="BA12" s="20">
        <f>data2!AE$85*100+data2!AE$82</f>
        <v>3.0784313725490198</v>
      </c>
      <c r="BB12" s="20">
        <f>data2!AF$85*100+data2!AF$82</f>
        <v>3.0627450980392159</v>
      </c>
      <c r="BC12" s="20">
        <f>data2!AG$85*100+data2!AG$82</f>
        <v>3.0784313725490198</v>
      </c>
    </row>
    <row r="13" spans="1:66">
      <c r="A13" s="21"/>
      <c r="B13" s="21"/>
      <c r="E13" s="106"/>
      <c r="F13" s="51" t="str">
        <f t="shared" si="26"/>
        <v>data</v>
      </c>
      <c r="G13" s="50">
        <f t="shared" si="26"/>
        <v>3</v>
      </c>
      <c r="H13" s="52">
        <f t="shared" si="27"/>
        <v>2.8432598039215682</v>
      </c>
      <c r="I13" s="52">
        <f t="shared" si="17"/>
        <v>5.6306991002956643E-2</v>
      </c>
      <c r="J13" s="52">
        <f t="shared" si="18"/>
        <v>2.8759803921568627</v>
      </c>
      <c r="K13" s="52">
        <f t="shared" si="19"/>
        <v>3.5926485541682394E-3</v>
      </c>
      <c r="L13" s="52">
        <f t="shared" si="20"/>
        <v>2.8593137254901961</v>
      </c>
      <c r="M13" s="52">
        <f t="shared" si="21"/>
        <v>4.4881345187316242E-2</v>
      </c>
      <c r="N13" s="52">
        <f t="shared" si="22"/>
        <v>2.835294117647059</v>
      </c>
      <c r="O13" s="52">
        <f t="shared" si="23"/>
        <v>6.1899058003040908E-2</v>
      </c>
      <c r="P13" s="52">
        <f t="shared" si="24"/>
        <v>2.8024509803921571</v>
      </c>
      <c r="Q13" s="52">
        <f t="shared" si="25"/>
        <v>6.8469205308477971E-2</v>
      </c>
      <c r="X13" s="20">
        <f>data3!B$85*100+data3!B$82</f>
        <v>2.8745098039215686</v>
      </c>
      <c r="Y13" s="20">
        <f>data3!C$85*100+data3!C$82</f>
        <v>2.8745098039215686</v>
      </c>
      <c r="Z13" s="20">
        <f>data3!D$85*100+data3!D$82</f>
        <v>2.8745098039215686</v>
      </c>
      <c r="AA13" s="20">
        <f>data3!E$85*100+data3!E$82</f>
        <v>2.8784313725490196</v>
      </c>
      <c r="AB13" s="20">
        <f>data3!F$85*100+data3!F$82</f>
        <v>2.8823529411764706</v>
      </c>
      <c r="AC13" s="20">
        <f>data3!G$85*100+data3!G$82</f>
        <v>2.8784313725490196</v>
      </c>
      <c r="AD13" s="20">
        <f>data3!H$85*100+data3!H$82</f>
        <v>2.8705882352941177</v>
      </c>
      <c r="AE13" s="20">
        <f>data3!I$85*100+data3!I$82</f>
        <v>2.8745098039215686</v>
      </c>
      <c r="AF13" s="20">
        <f>data3!J$85*100+data3!J$82</f>
        <v>2.7490196078431373</v>
      </c>
      <c r="AG13" s="20">
        <f>data3!K$85*100+data3!K$82</f>
        <v>2.8705882352941177</v>
      </c>
      <c r="AH13" s="20">
        <f>data3!L$85*100+data3!L$82</f>
        <v>2.8745098039215686</v>
      </c>
      <c r="AI13" s="20">
        <f>data3!M$85*100+data3!M$82</f>
        <v>2.8745098039215686</v>
      </c>
      <c r="AJ13" s="20">
        <f>data3!N$85*100+data3!N$82</f>
        <v>2.8705882352941177</v>
      </c>
      <c r="AK13" s="20">
        <f>data3!O$85*100+data3!O$82</f>
        <v>2.8862745098039215</v>
      </c>
      <c r="AL13" s="20">
        <f>data3!P$85*100+data3!P$82</f>
        <v>2.8705882352941177</v>
      </c>
      <c r="AM13" s="20">
        <f>data3!Q$85*100+data3!Q$82</f>
        <v>2.8784313725490196</v>
      </c>
      <c r="AN13" s="20">
        <f>data3!R$85*100+data3!R$82</f>
        <v>2.7568627450980392</v>
      </c>
      <c r="AO13" s="20">
        <f>data3!S$85*100+data3!S$82</f>
        <v>2.8823529411764706</v>
      </c>
      <c r="AP13" s="20">
        <f>data3!T$85*100+data3!T$82</f>
        <v>2.8862745098039215</v>
      </c>
      <c r="AQ13" s="20">
        <f>data3!U$85*100+data3!U$82</f>
        <v>2.8705882352941177</v>
      </c>
      <c r="AR13" s="20">
        <f>data3!V$85*100+data3!V$82</f>
        <v>2.8784313725490196</v>
      </c>
      <c r="AS13" s="20">
        <f>data3!W$85*100+data3!W$82</f>
        <v>2.8823529411764706</v>
      </c>
      <c r="AT13" s="20">
        <f>data3!X$85*100+data3!X$82</f>
        <v>2.7607843137254902</v>
      </c>
      <c r="AU13" s="20">
        <f>data3!Y$85*100+data3!Y$82</f>
        <v>2.7647058823529411</v>
      </c>
      <c r="AV13" s="20">
        <f>data3!Z$85*100+data3!Z$82</f>
        <v>2.8823529411764706</v>
      </c>
      <c r="AW13" s="20">
        <f>data3!AA$85*100+data3!AA$82</f>
        <v>2.7568627450980392</v>
      </c>
      <c r="AX13" s="20">
        <f>data3!AB$85*100+data3!AB$82</f>
        <v>2.8862745098039215</v>
      </c>
      <c r="AY13" s="20">
        <f>data3!AC$85*100+data3!AC$82</f>
        <v>2.7607843137254902</v>
      </c>
      <c r="AZ13" s="20">
        <f>data3!AD$85*100+data3!AD$82</f>
        <v>2.7490196078431373</v>
      </c>
      <c r="BA13" s="20">
        <f>data3!AE$85*100+data3!AE$82</f>
        <v>2.7490196078431373</v>
      </c>
      <c r="BB13" s="20">
        <f>data3!AF$85*100+data3!AF$82</f>
        <v>2.7490196078431373</v>
      </c>
      <c r="BC13" s="20">
        <f>data3!AG$85*100+data3!AG$82</f>
        <v>2.8862745098039215</v>
      </c>
    </row>
    <row r="14" spans="1:66">
      <c r="A14" s="21"/>
      <c r="B14" s="21"/>
      <c r="AO14" s="18"/>
      <c r="AP14" s="18"/>
      <c r="AQ14" s="18"/>
      <c r="AR14" s="18"/>
      <c r="AS14" s="18"/>
      <c r="AT14" s="18"/>
      <c r="AU14" s="18"/>
      <c r="AV14" s="18"/>
      <c r="AW14" s="18"/>
    </row>
    <row r="15" spans="1:66">
      <c r="AO15" s="18"/>
      <c r="AP15" s="18"/>
      <c r="AQ15" s="18"/>
      <c r="AR15" s="18"/>
      <c r="AS15" s="18"/>
      <c r="AT15" s="18"/>
      <c r="AU15" s="18"/>
      <c r="AV15" s="18"/>
      <c r="AW15" s="18"/>
      <c r="BF15" s="21"/>
      <c r="BG15" s="21"/>
      <c r="BH15" s="21"/>
      <c r="BI15" s="21"/>
      <c r="BJ15" s="21"/>
      <c r="BK15" s="21"/>
      <c r="BL15" s="21"/>
      <c r="BM15" s="21"/>
      <c r="BN15" s="21"/>
    </row>
    <row r="16" spans="1:66">
      <c r="D16" s="53"/>
      <c r="AO16" s="18"/>
      <c r="AP16" s="18"/>
      <c r="AQ16" s="18"/>
      <c r="AR16" s="18"/>
      <c r="AS16" s="18"/>
      <c r="AT16" s="18"/>
      <c r="AU16" s="18"/>
      <c r="AV16" s="18"/>
      <c r="AW16" s="18"/>
      <c r="BF16" s="21"/>
      <c r="BG16" s="21"/>
      <c r="BH16" s="21"/>
      <c r="BI16" s="21"/>
      <c r="BJ16" s="21"/>
      <c r="BK16" s="21"/>
      <c r="BL16" s="21"/>
      <c r="BM16" s="21"/>
      <c r="BN16" s="21"/>
    </row>
    <row r="17" spans="4:66">
      <c r="D17" s="53"/>
      <c r="E17" s="18" t="s">
        <v>5</v>
      </c>
      <c r="F17" s="23">
        <v>0.05</v>
      </c>
      <c r="H17" s="18" t="s">
        <v>6</v>
      </c>
      <c r="I17" s="18" t="s">
        <v>7</v>
      </c>
      <c r="J17" s="33" t="str">
        <f t="shared" ref="J17" si="28">H17</f>
        <v>Mean</v>
      </c>
      <c r="K17" s="33" t="str">
        <f t="shared" ref="K17" si="29">I17</f>
        <v>Stdev</v>
      </c>
      <c r="L17" s="33" t="str">
        <f t="shared" ref="L17" si="30">J17</f>
        <v>Mean</v>
      </c>
      <c r="M17" s="33" t="str">
        <f t="shared" ref="M17" si="31">K17</f>
        <v>Stdev</v>
      </c>
      <c r="N17" s="33" t="str">
        <f t="shared" ref="N17" si="32">L17</f>
        <v>Mean</v>
      </c>
      <c r="O17" s="33" t="str">
        <f t="shared" ref="O17" si="33">M17</f>
        <v>Stdev</v>
      </c>
      <c r="P17" s="33" t="str">
        <f t="shared" ref="P17" si="34">N17</f>
        <v>Mean</v>
      </c>
      <c r="Q17" s="33" t="str">
        <f t="shared" ref="Q17" si="35">O17</f>
        <v>Stdev</v>
      </c>
      <c r="AO17" s="18"/>
      <c r="AP17" s="18"/>
      <c r="AQ17" s="18"/>
      <c r="AR17" s="18"/>
      <c r="AS17" s="18"/>
      <c r="AT17" s="18"/>
      <c r="AU17" s="18"/>
      <c r="AV17" s="18"/>
      <c r="AW17" s="18"/>
      <c r="BF17" s="21"/>
      <c r="BG17" s="21"/>
      <c r="BH17" s="21"/>
      <c r="BI17" s="21"/>
      <c r="BJ17" s="21"/>
      <c r="BK17" s="21"/>
      <c r="BL17" s="21"/>
      <c r="BM17" s="21"/>
      <c r="BN17" s="21"/>
    </row>
    <row r="18" spans="4:66">
      <c r="D18" s="53"/>
      <c r="E18" s="18" t="str">
        <f>E4</f>
        <v>HI</v>
      </c>
      <c r="F18" s="51" t="s">
        <v>8</v>
      </c>
      <c r="G18" s="50">
        <v>0</v>
      </c>
      <c r="H18" s="12">
        <f>AVERAGE(X18:BC18)</f>
        <v>44.525651041666663</v>
      </c>
      <c r="I18" s="12">
        <f>STDEV(X18:BC18)</f>
        <v>1.3871296647169857</v>
      </c>
      <c r="J18" s="12">
        <f>AVERAGE(X18:AE18)</f>
        <v>44.970833333333339</v>
      </c>
      <c r="K18" s="12">
        <f>STDEV(X18:AE18)</f>
        <v>1.6477136636746936</v>
      </c>
      <c r="L18" s="12">
        <f>AVERAGE(AF18:AM18)</f>
        <v>44.40625</v>
      </c>
      <c r="M18" s="12">
        <f>STDEV(AF18:AM18)</f>
        <v>1.5790339496940133</v>
      </c>
      <c r="N18" s="12">
        <f>AVERAGE(AN18:AU18)</f>
        <v>44.309375000000003</v>
      </c>
      <c r="O18" s="12">
        <f>STDEV(AN18:AU18)</f>
        <v>1.1979847289153782</v>
      </c>
      <c r="P18" s="12">
        <f>AVERAGE(AV18:BC18)</f>
        <v>44.416145833333331</v>
      </c>
      <c r="Q18" s="12">
        <f>STDEV(AV18:BC18)</f>
        <v>1.2520824667219375</v>
      </c>
      <c r="R18" s="12"/>
      <c r="S18" s="12"/>
      <c r="T18" s="12"/>
      <c r="U18" s="12"/>
      <c r="V18" s="12"/>
      <c r="W18" s="12"/>
      <c r="X18" s="19">
        <f>transition(data0!$A$2:$A$82,data0!B$2:B$82,-(Calculations!$F17+relativePrx*X4))</f>
        <v>44.050000000000011</v>
      </c>
      <c r="Y18" s="19">
        <f>transition(data0!$A$2:$A$82,data0!C$2:C$82,-(Calculations!$F17+relativePrx*Y4))</f>
        <v>44.416666666666671</v>
      </c>
      <c r="Z18" s="19">
        <f>transition(data0!$A$2:$A$82,data0!D$2:D$82,-(Calculations!$F17+relativePrx*Z4))</f>
        <v>47.725000000000009</v>
      </c>
      <c r="AA18" s="19">
        <f>transition(data0!$A$2:$A$82,data0!E$2:E$82,-(Calculations!$F17+relativePrx*AA4))</f>
        <v>44.475000000000001</v>
      </c>
      <c r="AB18" s="19">
        <f>transition(data0!$A$2:$A$82,data0!F$2:F$82,-(Calculations!$F17+relativePrx*AB4))</f>
        <v>45.425000000000004</v>
      </c>
      <c r="AC18" s="19">
        <f>transition(data0!$A$2:$A$82,data0!G$2:G$82,-(Calculations!$F17+relativePrx*AC4))</f>
        <v>46.375</v>
      </c>
      <c r="AD18" s="19">
        <f>transition(data0!$A$2:$A$82,data0!H$2:H$82,-(Calculations!$F17+relativePrx*AD4))</f>
        <v>45.125000000000007</v>
      </c>
      <c r="AE18" s="19">
        <f>transition(data0!$A$2:$A$82,data0!I$2:I$82,-(Calculations!$F17+relativePrx*AE4))</f>
        <v>42.175000000000004</v>
      </c>
      <c r="AF18" s="19">
        <f>transition(data0!$A$2:$A$82,data0!J$2:J$82,-(Calculations!$F17+relativePrx*AF4))</f>
        <v>44.925000000000004</v>
      </c>
      <c r="AG18" s="19">
        <f>transition(data0!$A$2:$A$82,data0!K$2:K$82,-(Calculations!$F17+relativePrx*AG4))</f>
        <v>45.425000000000004</v>
      </c>
      <c r="AH18" s="19">
        <f>transition(data0!$A$2:$A$82,data0!L$2:L$82,-(Calculations!$F17+relativePrx*AH4))</f>
        <v>44.475000000000009</v>
      </c>
      <c r="AI18" s="19">
        <f>transition(data0!$A$2:$A$82,data0!M$2:M$82,-(Calculations!$F17+relativePrx*AI4))</f>
        <v>46.675000000000004</v>
      </c>
      <c r="AJ18" s="19">
        <f>transition(data0!$A$2:$A$82,data0!N$2:N$82,-(Calculations!$F17+relativePrx*AJ4))</f>
        <v>43.85</v>
      </c>
      <c r="AK18" s="19">
        <f>transition(data0!$A$2:$A$82,data0!O$2:O$82,-(Calculations!$F17+relativePrx*AK4))</f>
        <v>41.15</v>
      </c>
      <c r="AL18" s="19">
        <f>transition(data0!$A$2:$A$82,data0!P$2:P$82,-(Calculations!$F17+relativePrx*AL4))</f>
        <v>44.575000000000003</v>
      </c>
      <c r="AM18" s="19">
        <f>transition(data0!$A$2:$A$82,data0!Q$2:Q$82,-(Calculations!$F17+relativePrx*AM4))</f>
        <v>44.175000000000004</v>
      </c>
      <c r="AN18" s="19">
        <f>transition(data0!$A$2:$A$82,data0!R$2:R$82,-(Calculations!$F17+relativePrx*AN4))</f>
        <v>43.174999999999997</v>
      </c>
      <c r="AO18" s="19">
        <f>transition(data0!$A$2:$A$82,data0!S$2:S$82,-(Calculations!$F17+relativePrx*AO4))</f>
        <v>45.35</v>
      </c>
      <c r="AP18" s="19">
        <f>transition(data0!$A$2:$A$82,data0!T$2:T$82,-(Calculations!$F17+relativePrx*AP4))</f>
        <v>44.125</v>
      </c>
      <c r="AQ18" s="19">
        <f>transition(data0!$A$2:$A$82,data0!U$2:U$82,-(Calculations!$F17+relativePrx*AQ4))</f>
        <v>44.425000000000004</v>
      </c>
      <c r="AR18" s="19">
        <f>transition(data0!$A$2:$A$82,data0!V$2:V$82,-(Calculations!$F17+relativePrx*AR4))</f>
        <v>44.175000000000004</v>
      </c>
      <c r="AS18" s="19">
        <f>transition(data0!$A$2:$A$82,data0!W$2:W$82,-(Calculations!$F17+relativePrx*AS4))</f>
        <v>46.625</v>
      </c>
      <c r="AT18" s="19">
        <f>transition(data0!$A$2:$A$82,data0!X$2:X$82,-(Calculations!$F17+relativePrx*AT4))</f>
        <v>43.625</v>
      </c>
      <c r="AU18" s="19">
        <f>transition(data0!$A$2:$A$82,data0!Y$2:Y$82,-(Calculations!$F17+relativePrx*AU4))</f>
        <v>42.975000000000001</v>
      </c>
      <c r="AV18" s="19">
        <f>transition(data0!$A$2:$A$82,data0!Z$2:Z$82,-(Calculations!$F17+relativePrx*AV4))</f>
        <v>46.837500000000006</v>
      </c>
      <c r="AW18" s="19">
        <f>transition(data0!$A$2:$A$82,data0!AA$2:AA$82,-(Calculations!$F17+relativePrx*AW4))</f>
        <v>42.916666666666671</v>
      </c>
      <c r="AX18" s="19">
        <f>transition(data0!$A$2:$A$82,data0!AB$2:AB$82,-(Calculations!$F17+relativePrx*AX4))</f>
        <v>42.849999999999994</v>
      </c>
      <c r="AY18" s="19">
        <f>transition(data0!$A$2:$A$82,data0!AC$2:AC$82,-(Calculations!$F17+relativePrx*AY4))</f>
        <v>44.35</v>
      </c>
      <c r="AZ18" s="19">
        <f>transition(data0!$A$2:$A$82,data0!AD$2:AD$82,-(Calculations!$F17+relativePrx*AZ4))</f>
        <v>44.75</v>
      </c>
      <c r="BA18" s="19">
        <f>transition(data0!$A$2:$A$82,data0!AE$2:AE$82,-(Calculations!$F17+relativePrx*BA4))</f>
        <v>44.174999999999997</v>
      </c>
      <c r="BB18" s="19">
        <f>transition(data0!$A$2:$A$82,data0!AF$2:AF$82,-(Calculations!$F17+relativePrx*BB4))</f>
        <v>44.575000000000003</v>
      </c>
      <c r="BC18" s="19">
        <f>transition(data0!$A$2:$A$82,data0!AG$2:AG$82,-(Calculations!$F17+relativePrx*BC4))</f>
        <v>44.875</v>
      </c>
      <c r="BF18" s="21"/>
      <c r="BG18" s="21"/>
      <c r="BH18" s="21"/>
      <c r="BI18" s="21"/>
      <c r="BJ18" s="21"/>
      <c r="BK18" s="21"/>
      <c r="BL18" s="21"/>
      <c r="BM18" s="21"/>
      <c r="BN18" s="21"/>
    </row>
    <row r="19" spans="4:66">
      <c r="D19" s="53"/>
      <c r="E19" s="18" t="str">
        <f t="shared" ref="E19:E21" si="36">E5</f>
        <v>HI-MID</v>
      </c>
      <c r="F19" s="51" t="str">
        <f>F18</f>
        <v>data</v>
      </c>
      <c r="G19" s="50">
        <f>G18+1</f>
        <v>1</v>
      </c>
      <c r="H19" s="12">
        <f t="shared" ref="H19:H21" si="37">AVERAGE(X19:BC19)</f>
        <v>52.988541666666677</v>
      </c>
      <c r="I19" s="12">
        <f t="shared" ref="I19:I21" si="38">STDEV(X19:BC19)</f>
        <v>2.7294343421219507</v>
      </c>
      <c r="J19" s="12">
        <f>AVERAGE(X19:AE19)</f>
        <v>54.058854166666663</v>
      </c>
      <c r="K19" s="12">
        <f>STDEV(X19:AE19)</f>
        <v>3.0579963139045261</v>
      </c>
      <c r="L19" s="12">
        <f>AVERAGE(AF19:AM19)</f>
        <v>53.63697916666667</v>
      </c>
      <c r="M19" s="12">
        <f>STDEV(AF19:AM19)</f>
        <v>3.0263799140928627</v>
      </c>
      <c r="N19" s="12">
        <f>AVERAGE(AN19:AU19)</f>
        <v>52.596354166666664</v>
      </c>
      <c r="O19" s="12">
        <f>STDEV(AN19:AU19)</f>
        <v>2.7446542897310873</v>
      </c>
      <c r="P19" s="12">
        <f>AVERAGE(AV19:BC19)</f>
        <v>51.661979166666669</v>
      </c>
      <c r="Q19" s="12">
        <f>STDEV(AV19:BC19)</f>
        <v>1.723911891548348</v>
      </c>
      <c r="R19" s="12"/>
      <c r="S19" s="12"/>
      <c r="T19" s="12"/>
      <c r="U19" s="12"/>
      <c r="V19" s="12"/>
      <c r="W19" s="12"/>
      <c r="X19" s="19">
        <f>transition(data1!$A$2:$A$82,data1!B$2:B$182,-(Calculations!$F17+relativePrx*X5))</f>
        <v>49.225000000000001</v>
      </c>
      <c r="Y19" s="19">
        <f>transition(data1!$A$2:$A$82,data1!C$2:C$182,-(Calculations!$F17+relativePrx*Y5))</f>
        <v>51.35</v>
      </c>
      <c r="Z19" s="19">
        <f>transition(data1!$A$2:$A$82,data1!D$2:D$182,-(Calculations!$F17+relativePrx*Z5))</f>
        <v>55.375</v>
      </c>
      <c r="AA19" s="19">
        <f>transition(data1!$A$2:$A$82,data1!E$2:E$182,-(Calculations!$F17+relativePrx*AA5))</f>
        <v>54.683333333333337</v>
      </c>
      <c r="AB19" s="19">
        <f>transition(data1!$A$2:$A$82,data1!F$2:F$182,-(Calculations!$F17+relativePrx*AB5))</f>
        <v>53.774999999999999</v>
      </c>
      <c r="AC19" s="19">
        <f>transition(data1!$A$2:$A$82,data1!G$2:G$182,-(Calculations!$F17+relativePrx*AC5))</f>
        <v>59.75</v>
      </c>
      <c r="AD19" s="19">
        <f>transition(data1!$A$2:$A$82,data1!H$2:H$182,-(Calculations!$F17+relativePrx*AD5))</f>
        <v>54.425000000000004</v>
      </c>
      <c r="AE19" s="19">
        <f>transition(data1!$A$2:$A$82,data1!I$2:I$182,-(Calculations!$F17+relativePrx*AE5))</f>
        <v>53.887500000000003</v>
      </c>
      <c r="AF19" s="19">
        <f>transition(data1!$A$2:$A$82,data1!J$2:J$182,-(Calculations!$F17+relativePrx*AF5))</f>
        <v>59.183333333333337</v>
      </c>
      <c r="AG19" s="19">
        <f>transition(data1!$A$2:$A$82,data1!K$2:K$182,-(Calculations!$F17+relativePrx*AG5))</f>
        <v>53.15</v>
      </c>
      <c r="AH19" s="19">
        <f>transition(data1!$A$2:$A$82,data1!L$2:L$182,-(Calculations!$F17+relativePrx*AH5))</f>
        <v>55.024999999999999</v>
      </c>
      <c r="AI19" s="19">
        <f>transition(data1!$A$2:$A$82,data1!M$2:M$182,-(Calculations!$F17+relativePrx*AI5))</f>
        <v>55.0625</v>
      </c>
      <c r="AJ19" s="19">
        <f>transition(data1!$A$2:$A$82,data1!N$2:N$182,-(Calculations!$F17+relativePrx*AJ5))</f>
        <v>49.25</v>
      </c>
      <c r="AK19" s="19">
        <f>transition(data1!$A$2:$A$82,data1!O$2:O$182,-(Calculations!$F17+relativePrx*AK5))</f>
        <v>50.550000000000004</v>
      </c>
      <c r="AL19" s="19">
        <f>transition(data1!$A$2:$A$82,data1!P$2:P$182,-(Calculations!$F17+relativePrx*AL5))</f>
        <v>53.050000000000004</v>
      </c>
      <c r="AM19" s="19">
        <f>transition(data1!$A$2:$A$82,data1!Q$2:Q$182,-(Calculations!$F17+relativePrx*AM5))</f>
        <v>53.825000000000003</v>
      </c>
      <c r="AN19" s="19">
        <f>transition(data1!$A$2:$A$82,data1!R$2:R$182,-(Calculations!$F17+relativePrx*AN5))</f>
        <v>52.0625</v>
      </c>
      <c r="AO19" s="19">
        <f>transition(data1!$A$2:$A$82,data1!S$2:S$182,-(Calculations!$F17+relativePrx*AO5))</f>
        <v>55.612500000000004</v>
      </c>
      <c r="AP19" s="19">
        <f>transition(data1!$A$2:$A$82,data1!T$2:T$182,-(Calculations!$F17+relativePrx*AP5))</f>
        <v>56.45</v>
      </c>
      <c r="AQ19" s="19">
        <f>transition(data1!$A$2:$A$82,data1!U$2:U$182,-(Calculations!$F17+relativePrx*AQ5))</f>
        <v>53.183333333333337</v>
      </c>
      <c r="AR19" s="19">
        <f>transition(data1!$A$2:$A$82,data1!V$2:V$182,-(Calculations!$F17+relativePrx*AR5))</f>
        <v>51.362499999999997</v>
      </c>
      <c r="AS19" s="19">
        <f>transition(data1!$A$2:$A$82,data1!W$2:W$182,-(Calculations!$F17+relativePrx*AS5))</f>
        <v>53.575000000000003</v>
      </c>
      <c r="AT19" s="19">
        <f>transition(data1!$A$2:$A$82,data1!X$2:X$182,-(Calculations!$F17+relativePrx*AT5))</f>
        <v>47.95</v>
      </c>
      <c r="AU19" s="19">
        <f>transition(data1!$A$2:$A$82,data1!Y$2:Y$182,-(Calculations!$F17+relativePrx*AU5))</f>
        <v>50.575000000000003</v>
      </c>
      <c r="AV19" s="19">
        <f>transition(data1!$A$2:$A$82,data1!Z$2:Z$182,-(Calculations!$F17+relativePrx*AV5))</f>
        <v>54.075000000000003</v>
      </c>
      <c r="AW19" s="19">
        <f>transition(data1!$A$2:$A$82,data1!AA$2:AA$182,-(Calculations!$F17+relativePrx*AW5))</f>
        <v>49.683333333333337</v>
      </c>
      <c r="AX19" s="19">
        <f>transition(data1!$A$2:$A$82,data1!AB$2:AB$182,-(Calculations!$F17+relativePrx*AX5))</f>
        <v>49.416666666666664</v>
      </c>
      <c r="AY19" s="19">
        <f>transition(data1!$A$2:$A$82,data1!AC$2:AC$182,-(Calculations!$F17+relativePrx*AY5))</f>
        <v>52.674999999999997</v>
      </c>
      <c r="AZ19" s="19">
        <f>transition(data1!$A$2:$A$82,data1!AD$2:AD$182,-(Calculations!$F17+relativePrx*AZ5))</f>
        <v>53.237500000000004</v>
      </c>
      <c r="BA19" s="19">
        <f>transition(data1!$A$2:$A$82,data1!AE$2:AE$182,-(Calculations!$F17+relativePrx*BA5))</f>
        <v>52.216666666666669</v>
      </c>
      <c r="BB19" s="19">
        <f>transition(data1!$A$2:$A$82,data1!AF$2:AF$182,-(Calculations!$F17+relativePrx*BB5))</f>
        <v>50.183333333333337</v>
      </c>
      <c r="BC19" s="19">
        <f>transition(data1!$A$2:$A$82,data1!AG$2:AG$182,-(Calculations!$F17+relativePrx*BC5))</f>
        <v>51.808333333333337</v>
      </c>
      <c r="BF19" s="21"/>
      <c r="BG19" s="21"/>
      <c r="BH19" s="21"/>
      <c r="BI19" s="21"/>
      <c r="BJ19" s="21"/>
      <c r="BK19" s="21"/>
      <c r="BL19" s="21"/>
      <c r="BM19" s="21"/>
      <c r="BN19" s="21"/>
    </row>
    <row r="20" spans="4:66">
      <c r="D20" s="53"/>
      <c r="E20" s="18" t="str">
        <f t="shared" si="36"/>
        <v>LO-MID</v>
      </c>
      <c r="F20" s="51" t="str">
        <f t="shared" ref="F20:F21" si="39">F19</f>
        <v>data</v>
      </c>
      <c r="G20" s="50">
        <f t="shared" ref="G20:G21" si="40">G19+1</f>
        <v>2</v>
      </c>
      <c r="H20" s="12">
        <f t="shared" si="37"/>
        <v>46.96197916666668</v>
      </c>
      <c r="I20" s="12">
        <f t="shared" si="38"/>
        <v>1.7276247335520634</v>
      </c>
      <c r="J20" s="12">
        <f t="shared" ref="J20:J21" si="41">AVERAGE(X20:AE20)</f>
        <v>47.734375</v>
      </c>
      <c r="K20" s="12">
        <f t="shared" ref="K20:K21" si="42">STDEV(X20:AE20)</f>
        <v>1.6013600215601083</v>
      </c>
      <c r="L20" s="12">
        <f t="shared" ref="L20:L21" si="43">AVERAGE(AF20:AM20)</f>
        <v>47.326041666666669</v>
      </c>
      <c r="M20" s="12">
        <f t="shared" ref="M20:M21" si="44">STDEV(AF20:AM20)</f>
        <v>2.2924844320150819</v>
      </c>
      <c r="N20" s="12">
        <f t="shared" ref="N20:N21" si="45">AVERAGE(AN20:AU20)</f>
        <v>46.1953125</v>
      </c>
      <c r="O20" s="12">
        <f t="shared" ref="O20:O21" si="46">STDEV(AN20:AU20)</f>
        <v>1.1416219957807106</v>
      </c>
      <c r="P20" s="12">
        <f t="shared" ref="P20:P21" si="47">AVERAGE(AV20:BC20)</f>
        <v>46.592187500000001</v>
      </c>
      <c r="Q20" s="12">
        <f t="shared" ref="Q20:Q21" si="48">STDEV(AV20:BC20)</f>
        <v>1.5599470214792119</v>
      </c>
      <c r="R20" s="12"/>
      <c r="S20" s="12"/>
      <c r="T20" s="12"/>
      <c r="U20" s="12"/>
      <c r="V20" s="12"/>
      <c r="W20" s="12"/>
      <c r="X20" s="19">
        <f>transition(data2!$A$2:$A$82,data2!B$2:B$182,-(Calculations!$F17+relativePrx*X6))</f>
        <v>45.875</v>
      </c>
      <c r="Y20" s="19">
        <f>transition(data2!$A$2:$A$82,data2!C$2:C$182,-(Calculations!$F17+relativePrx*Y6))</f>
        <v>46.650000000000006</v>
      </c>
      <c r="Z20" s="19">
        <f>transition(data2!$A$2:$A$82,data2!D$2:D$182,-(Calculations!$F17+relativePrx*Z6))</f>
        <v>48.183333333333337</v>
      </c>
      <c r="AA20" s="19">
        <f>transition(data2!$A$2:$A$82,data2!E$2:E$182,-(Calculations!$F17+relativePrx*AA6))</f>
        <v>47.85</v>
      </c>
      <c r="AB20" s="19">
        <f>transition(data2!$A$2:$A$82,data2!F$2:F$182,-(Calculations!$F17+relativePrx*AB6))</f>
        <v>47.150000000000006</v>
      </c>
      <c r="AC20" s="19">
        <f>transition(data2!$A$2:$A$82,data2!G$2:G$182,-(Calculations!$F17+relativePrx*AC6))</f>
        <v>51.274999999999999</v>
      </c>
      <c r="AD20" s="19">
        <f>transition(data2!$A$2:$A$82,data2!H$2:H$182,-(Calculations!$F17+relativePrx*AD6))</f>
        <v>47.274999999999999</v>
      </c>
      <c r="AE20" s="19">
        <f>transition(data2!$A$2:$A$82,data2!I$2:I$182,-(Calculations!$F17+relativePrx*AE6))</f>
        <v>47.616666666666667</v>
      </c>
      <c r="AF20" s="19">
        <f>transition(data2!$A$2:$A$82,data2!J$2:J$182,-(Calculations!$F17+relativePrx*AF6))</f>
        <v>47.075000000000003</v>
      </c>
      <c r="AG20" s="19">
        <f>transition(data2!$A$2:$A$82,data2!K$2:K$182,-(Calculations!$F17+relativePrx*AG6))</f>
        <v>50.75</v>
      </c>
      <c r="AH20" s="19">
        <f>transition(data2!$A$2:$A$82,data2!L$2:L$182,-(Calculations!$F17+relativePrx*AH6))</f>
        <v>45.583333333333336</v>
      </c>
      <c r="AI20" s="19">
        <f>transition(data2!$A$2:$A$82,data2!M$2:M$182,-(Calculations!$F17+relativePrx*AI6))</f>
        <v>49.95</v>
      </c>
      <c r="AJ20" s="19">
        <f>transition(data2!$A$2:$A$82,data2!N$2:N$182,-(Calculations!$F17+relativePrx*AJ6))</f>
        <v>44.95000000000001</v>
      </c>
      <c r="AK20" s="19">
        <f>transition(data2!$A$2:$A$82,data2!O$2:O$182,-(Calculations!$F17+relativePrx*AK6))</f>
        <v>44.550000000000004</v>
      </c>
      <c r="AL20" s="19">
        <f>transition(data2!$A$2:$A$82,data2!P$2:P$182,-(Calculations!$F17+relativePrx*AL6))</f>
        <v>48.625</v>
      </c>
      <c r="AM20" s="19">
        <f>transition(data2!$A$2:$A$82,data2!Q$2:Q$182,-(Calculations!$F17+relativePrx*AM6))</f>
        <v>47.125</v>
      </c>
      <c r="AN20" s="19">
        <f>transition(data2!$A$2:$A$82,data2!R$2:R$182,-(Calculations!$F17+relativePrx*AN6))</f>
        <v>44.975000000000001</v>
      </c>
      <c r="AO20" s="19">
        <f>transition(data2!$A$2:$A$82,data2!S$2:S$182,-(Calculations!$F17+relativePrx*AO6))</f>
        <v>47.774999999999999</v>
      </c>
      <c r="AP20" s="19">
        <f>transition(data2!$A$2:$A$82,data2!T$2:T$182,-(Calculations!$F17+relativePrx*AP6))</f>
        <v>44.525000000000006</v>
      </c>
      <c r="AQ20" s="19">
        <f>transition(data2!$A$2:$A$82,data2!U$2:U$182,-(Calculations!$F17+relativePrx*AQ6))</f>
        <v>45.587499999999999</v>
      </c>
      <c r="AR20" s="19">
        <f>transition(data2!$A$2:$A$82,data2!V$2:V$182,-(Calculations!$F17+relativePrx*AR6))</f>
        <v>45.95000000000001</v>
      </c>
      <c r="AS20" s="19">
        <f>transition(data2!$A$2:$A$82,data2!W$2:W$182,-(Calculations!$F17+relativePrx*AS6))</f>
        <v>47.275000000000006</v>
      </c>
      <c r="AT20" s="19">
        <f>transition(data2!$A$2:$A$82,data2!X$2:X$182,-(Calculations!$F17+relativePrx*AT6))</f>
        <v>46.45000000000001</v>
      </c>
      <c r="AU20" s="19">
        <f>transition(data2!$A$2:$A$82,data2!Y$2:Y$182,-(Calculations!$F17+relativePrx*AU6))</f>
        <v>47.025000000000006</v>
      </c>
      <c r="AV20" s="19">
        <f>transition(data2!$A$2:$A$82,data2!Z$2:Z$182,-(Calculations!$F17+relativePrx*AV6))</f>
        <v>47.25</v>
      </c>
      <c r="AW20" s="19">
        <f>transition(data2!$A$2:$A$82,data2!AA$2:AA$182,-(Calculations!$F17+relativePrx*AW6))</f>
        <v>45.125</v>
      </c>
      <c r="AX20" s="19">
        <f>transition(data2!$A$2:$A$82,data2!AB$2:AB$182,-(Calculations!$F17+relativePrx*AX6))</f>
        <v>45.650000000000006</v>
      </c>
      <c r="AY20" s="19">
        <f>transition(data2!$A$2:$A$82,data2!AC$2:AC$182,-(Calculations!$F17+relativePrx*AY6))</f>
        <v>44.362500000000004</v>
      </c>
      <c r="AZ20" s="19">
        <f>transition(data2!$A$2:$A$82,data2!AD$2:AD$182,-(Calculations!$F17+relativePrx*AZ6))</f>
        <v>49.025000000000006</v>
      </c>
      <c r="BA20" s="19">
        <f>transition(data2!$A$2:$A$82,data2!AE$2:AE$182,-(Calculations!$F17+relativePrx*BA6))</f>
        <v>46.525000000000006</v>
      </c>
      <c r="BB20" s="19">
        <f>transition(data2!$A$2:$A$82,data2!AF$2:AF$182,-(Calculations!$F17+relativePrx*BB6))</f>
        <v>48.225000000000001</v>
      </c>
      <c r="BC20" s="19">
        <f>transition(data2!$A$2:$A$82,data2!AG$2:AG$182,-(Calculations!$F17+relativePrx*BC6))</f>
        <v>46.575000000000003</v>
      </c>
      <c r="BF20" s="21"/>
      <c r="BG20" s="21"/>
      <c r="BH20" s="21"/>
      <c r="BI20" s="21"/>
      <c r="BJ20" s="21"/>
      <c r="BK20" s="21"/>
      <c r="BL20" s="21"/>
      <c r="BM20" s="21"/>
      <c r="BN20" s="21"/>
    </row>
    <row r="21" spans="4:66">
      <c r="D21" s="53"/>
      <c r="E21" s="18" t="str">
        <f t="shared" si="36"/>
        <v>LO</v>
      </c>
      <c r="F21" s="51" t="str">
        <f t="shared" si="39"/>
        <v>data</v>
      </c>
      <c r="G21" s="50">
        <f t="shared" si="40"/>
        <v>3</v>
      </c>
      <c r="H21" s="12">
        <f t="shared" si="37"/>
        <v>44.700781249999999</v>
      </c>
      <c r="I21" s="12">
        <f t="shared" si="38"/>
        <v>1.1232580288387564</v>
      </c>
      <c r="J21" s="12">
        <f t="shared" si="41"/>
        <v>45.404166666666676</v>
      </c>
      <c r="K21" s="12">
        <f t="shared" si="42"/>
        <v>1.4492061318867389</v>
      </c>
      <c r="L21" s="12">
        <f t="shared" si="43"/>
        <v>44.602083333333333</v>
      </c>
      <c r="M21" s="12">
        <f t="shared" si="44"/>
        <v>1.2662182006852034</v>
      </c>
      <c r="N21" s="12">
        <f t="shared" si="45"/>
        <v>44.146875000000001</v>
      </c>
      <c r="O21" s="12">
        <f t="shared" si="46"/>
        <v>0.63736090141384005</v>
      </c>
      <c r="P21" s="12">
        <f t="shared" si="47"/>
        <v>44.650000000000006</v>
      </c>
      <c r="Q21" s="12">
        <f t="shared" si="48"/>
        <v>0.7400530868986902</v>
      </c>
      <c r="R21" s="12"/>
      <c r="S21" s="12"/>
      <c r="T21" s="12"/>
      <c r="U21" s="12"/>
      <c r="V21" s="12"/>
      <c r="W21" s="12"/>
      <c r="X21" s="19">
        <f>transition(data3!$A$2:$A$82,data3!B$2:B$182,-(Calculations!$F17+relativePrx*X7))</f>
        <v>45.683333333333337</v>
      </c>
      <c r="Y21" s="19">
        <f>transition(data3!$A$2:$A$82,data3!C$2:C$182,-(Calculations!$F17+relativePrx*Y7))</f>
        <v>45.475000000000009</v>
      </c>
      <c r="Z21" s="19">
        <f>transition(data3!$A$2:$A$82,data3!D$2:D$182,-(Calculations!$F17+relativePrx*Z7))</f>
        <v>44.650000000000013</v>
      </c>
      <c r="AA21" s="19">
        <f>transition(data3!$A$2:$A$82,data3!E$2:E$182,-(Calculations!$F17+relativePrx*AA7))</f>
        <v>45.925000000000004</v>
      </c>
      <c r="AB21" s="19">
        <f>transition(data3!$A$2:$A$82,data3!F$2:F$182,-(Calculations!$F17+relativePrx*AB7))</f>
        <v>46.075000000000003</v>
      </c>
      <c r="AC21" s="19">
        <f>transition(data3!$A$2:$A$82,data3!G$2:G$182,-(Calculations!$F17+relativePrx*AC7))</f>
        <v>47.025000000000006</v>
      </c>
      <c r="AD21" s="19">
        <f>transition(data3!$A$2:$A$82,data3!H$2:H$182,-(Calculations!$F17+relativePrx*AD7))</f>
        <v>46.175000000000004</v>
      </c>
      <c r="AE21" s="19">
        <f>transition(data3!$A$2:$A$82,data3!I$2:I$182,-(Calculations!$F17+relativePrx*AE7))</f>
        <v>42.225000000000001</v>
      </c>
      <c r="AF21" s="19">
        <f>transition(data3!$A$2:$A$82,data3!J$2:J$182,-(Calculations!$F17+relativePrx*AF7))</f>
        <v>44.975000000000001</v>
      </c>
      <c r="AG21" s="19">
        <f>transition(data3!$A$2:$A$82,data3!K$2:K$182,-(Calculations!$F17+relativePrx*AG7))</f>
        <v>45.65</v>
      </c>
      <c r="AH21" s="19">
        <f>transition(data3!$A$2:$A$82,data3!L$2:L$182,-(Calculations!$F17+relativePrx*AH7))</f>
        <v>44.375000000000007</v>
      </c>
      <c r="AI21" s="19">
        <f>transition(data3!$A$2:$A$82,data3!M$2:M$182,-(Calculations!$F17+relativePrx*AI7))</f>
        <v>45.575000000000003</v>
      </c>
      <c r="AJ21" s="19">
        <f>transition(data3!$A$2:$A$82,data3!N$2:N$182,-(Calculations!$F17+relativePrx*AJ7))</f>
        <v>44.81666666666667</v>
      </c>
      <c r="AK21" s="19">
        <f>transition(data3!$A$2:$A$82,data3!O$2:O$182,-(Calculations!$F17+relativePrx*AK7))</f>
        <v>41.875</v>
      </c>
      <c r="AL21" s="19">
        <f>transition(data3!$A$2:$A$82,data3!P$2:P$182,-(Calculations!$F17+relativePrx*AL7))</f>
        <v>45.625000000000007</v>
      </c>
      <c r="AM21" s="19">
        <f>transition(data3!$A$2:$A$82,data3!Q$2:Q$182,-(Calculations!$F17+relativePrx*AM7))</f>
        <v>43.925000000000004</v>
      </c>
      <c r="AN21" s="19">
        <f>transition(data3!$A$2:$A$82,data3!R$2:R$182,-(Calculations!$F17+relativePrx*AN7))</f>
        <v>43.125</v>
      </c>
      <c r="AO21" s="19">
        <f>transition(data3!$A$2:$A$82,data3!S$2:S$182,-(Calculations!$F17+relativePrx*AO7))</f>
        <v>43.925000000000004</v>
      </c>
      <c r="AP21" s="19">
        <f>transition(data3!$A$2:$A$82,data3!T$2:T$182,-(Calculations!$F17+relativePrx*AP7))</f>
        <v>43.31666666666667</v>
      </c>
      <c r="AQ21" s="19">
        <f>transition(data3!$A$2:$A$82,data3!U$2:U$182,-(Calculations!$F17+relativePrx*AQ7))</f>
        <v>44.483333333333334</v>
      </c>
      <c r="AR21" s="19">
        <f>transition(data3!$A$2:$A$82,data3!V$2:V$182,-(Calculations!$F17+relativePrx*AR7))</f>
        <v>44.250000000000007</v>
      </c>
      <c r="AS21" s="19">
        <f>transition(data3!$A$2:$A$82,data3!W$2:W$182,-(Calculations!$F17+relativePrx*AS7))</f>
        <v>44.525000000000006</v>
      </c>
      <c r="AT21" s="19">
        <f>transition(data3!$A$2:$A$82,data3!X$2:X$182,-(Calculations!$F17+relativePrx*AT7))</f>
        <v>44.825000000000003</v>
      </c>
      <c r="AU21" s="19">
        <f>transition(data3!$A$2:$A$82,data3!Y$2:Y$182,-(Calculations!$F17+relativePrx*AU7))</f>
        <v>44.725000000000001</v>
      </c>
      <c r="AV21" s="19">
        <f>transition(data3!$A$2:$A$82,data3!Z$2:Z$182,-(Calculations!$F17+relativePrx*AV7))</f>
        <v>45.95000000000001</v>
      </c>
      <c r="AW21" s="19">
        <f>transition(data3!$A$2:$A$82,data3!AA$2:AA$182,-(Calculations!$F17+relativePrx*AW7))</f>
        <v>44.15</v>
      </c>
      <c r="AX21" s="19">
        <f>transition(data3!$A$2:$A$82,data3!AB$2:AB$182,-(Calculations!$F17+relativePrx*AX7))</f>
        <v>44.974999999999994</v>
      </c>
      <c r="AY21" s="19">
        <f>transition(data3!$A$2:$A$82,data3!AC$2:AC$182,-(Calculations!$F17+relativePrx*AY7))</f>
        <v>43.975000000000001</v>
      </c>
      <c r="AZ21" s="19">
        <f>transition(data3!$A$2:$A$82,data3!AD$2:AD$182,-(Calculations!$F17+relativePrx*AZ7))</f>
        <v>45.325000000000003</v>
      </c>
      <c r="BA21" s="19">
        <f>transition(data3!$A$2:$A$82,data3!AE$2:AE$182,-(Calculations!$F17+relativePrx*BA7))</f>
        <v>44.325000000000003</v>
      </c>
      <c r="BB21" s="19">
        <f>transition(data3!$A$2:$A$82,data3!AF$2:AF$182,-(Calculations!$F17+relativePrx*BB7))</f>
        <v>44.725000000000001</v>
      </c>
      <c r="BC21" s="19">
        <f>transition(data3!$A$2:$A$82,data3!AG$2:AG$182,-(Calculations!$F17+relativePrx*BC7))</f>
        <v>43.775000000000006</v>
      </c>
      <c r="BF21" s="21"/>
      <c r="BG21" s="21"/>
      <c r="BH21" s="21"/>
      <c r="BI21" s="21"/>
      <c r="BJ21" s="21"/>
      <c r="BK21" s="21"/>
      <c r="BL21" s="21"/>
      <c r="BM21" s="21"/>
      <c r="BN21" s="21"/>
    </row>
    <row r="22" spans="4:66">
      <c r="D22" s="53"/>
      <c r="AO22" s="18"/>
      <c r="AP22" s="18"/>
      <c r="AQ22" s="18"/>
      <c r="AR22" s="18"/>
      <c r="AS22" s="18"/>
      <c r="AT22" s="18"/>
      <c r="AU22" s="18"/>
      <c r="AV22" s="18"/>
      <c r="AW22" s="18"/>
      <c r="BF22" s="21"/>
      <c r="BG22" s="21"/>
      <c r="BH22" s="21"/>
      <c r="BI22" s="21"/>
      <c r="BJ22" s="21"/>
      <c r="BK22" s="21"/>
      <c r="BL22" s="21"/>
      <c r="BM22" s="21"/>
      <c r="BN22" s="21"/>
    </row>
    <row r="23" spans="4:66">
      <c r="D23" s="53"/>
      <c r="E23" s="18" t="s">
        <v>5</v>
      </c>
      <c r="F23" s="23">
        <f>F17*2</f>
        <v>0.1</v>
      </c>
      <c r="H23" s="18" t="s">
        <v>6</v>
      </c>
      <c r="I23" s="18" t="s">
        <v>7</v>
      </c>
      <c r="J23" s="33" t="str">
        <f t="shared" ref="J23:Q23" si="49">H23</f>
        <v>Mean</v>
      </c>
      <c r="K23" s="33" t="str">
        <f t="shared" si="49"/>
        <v>Stdev</v>
      </c>
      <c r="L23" s="33" t="str">
        <f t="shared" si="49"/>
        <v>Mean</v>
      </c>
      <c r="M23" s="33" t="str">
        <f t="shared" si="49"/>
        <v>Stdev</v>
      </c>
      <c r="N23" s="33" t="str">
        <f t="shared" si="49"/>
        <v>Mean</v>
      </c>
      <c r="O23" s="33" t="str">
        <f t="shared" si="49"/>
        <v>Stdev</v>
      </c>
      <c r="P23" s="33" t="str">
        <f t="shared" si="49"/>
        <v>Mean</v>
      </c>
      <c r="Q23" s="33" t="str">
        <f t="shared" si="49"/>
        <v>Stdev</v>
      </c>
      <c r="AO23" s="18"/>
      <c r="AP23" s="18"/>
      <c r="AQ23" s="18"/>
      <c r="AR23" s="18"/>
      <c r="AS23" s="18"/>
      <c r="AT23" s="18"/>
      <c r="AU23" s="18"/>
      <c r="AV23" s="18"/>
      <c r="AW23" s="18"/>
    </row>
    <row r="24" spans="4:66">
      <c r="D24" s="53"/>
      <c r="E24" s="18" t="str">
        <f>E4</f>
        <v>HI</v>
      </c>
      <c r="F24" s="51" t="s">
        <v>8</v>
      </c>
      <c r="G24" s="50">
        <v>0</v>
      </c>
      <c r="H24" s="12">
        <f>AVERAGE(X24:BC24)</f>
        <v>34.513541666666669</v>
      </c>
      <c r="I24" s="12">
        <f>STDEV(X24:BC24)</f>
        <v>0.81927592277211769</v>
      </c>
      <c r="J24" s="12">
        <f>AVERAGE(X24:AE24)</f>
        <v>35.081250000000004</v>
      </c>
      <c r="K24" s="12">
        <f>STDEV(X24:AE24)</f>
        <v>0.67204305299554423</v>
      </c>
      <c r="L24" s="12">
        <f>AVERAGE(AF24:AM24)</f>
        <v>34.595833333333339</v>
      </c>
      <c r="M24" s="12">
        <f>STDEV(AF24:AM24)</f>
        <v>0.87008255401037859</v>
      </c>
      <c r="N24" s="12">
        <f>AVERAGE(AN24:AU24)</f>
        <v>33.797916666666673</v>
      </c>
      <c r="O24" s="12">
        <f>STDEV(AN24:AU24)</f>
        <v>0.61298369304264122</v>
      </c>
      <c r="P24" s="12">
        <f>AVERAGE(AV24:BC24)</f>
        <v>34.579166666666666</v>
      </c>
      <c r="Q24" s="12">
        <f>STDEV(AV24:BC24)</f>
        <v>0.64946559228006295</v>
      </c>
      <c r="R24" s="12"/>
      <c r="S24" s="12"/>
      <c r="T24" s="12"/>
      <c r="U24" s="12"/>
      <c r="V24" s="12"/>
      <c r="W24" s="12"/>
      <c r="X24" s="19">
        <f>transition(data0!$A$2:$A$82,data0!B$2:B$82,-(Calculations!$F23+relativePrx*X4))</f>
        <v>35.833333333333336</v>
      </c>
      <c r="Y24" s="19">
        <f>transition(data0!$A$2:$A$82,data0!C$2:C$82,-(Calculations!$F23+relativePrx*Y4))</f>
        <v>34.5</v>
      </c>
      <c r="Z24" s="19">
        <f>transition(data0!$A$2:$A$82,data0!D$2:D$82,-(Calculations!$F23+relativePrx*Z4))</f>
        <v>35.35</v>
      </c>
      <c r="AA24" s="19">
        <f>transition(data0!$A$2:$A$82,data0!E$2:E$82,-(Calculations!$F23+relativePrx*AA4))</f>
        <v>35.266666666666673</v>
      </c>
      <c r="AB24" s="19">
        <f>transition(data0!$A$2:$A$82,data0!F$2:F$82,-(Calculations!$F23+relativePrx*AB4))</f>
        <v>35.325000000000003</v>
      </c>
      <c r="AC24" s="19">
        <f>transition(data0!$A$2:$A$82,data0!G$2:G$82,-(Calculations!$F23+relativePrx*AC4))</f>
        <v>35.5</v>
      </c>
      <c r="AD24" s="19">
        <f>transition(data0!$A$2:$A$82,data0!H$2:H$82,-(Calculations!$F23+relativePrx*AD4))</f>
        <v>35.175000000000004</v>
      </c>
      <c r="AE24" s="19">
        <f>transition(data0!$A$2:$A$82,data0!I$2:I$82,-(Calculations!$F23+relativePrx*AE4))</f>
        <v>33.700000000000003</v>
      </c>
      <c r="AF24" s="19">
        <f>transition(data0!$A$2:$A$82,data0!J$2:J$82,-(Calculations!$F23+relativePrx*AF4))</f>
        <v>35.550000000000004</v>
      </c>
      <c r="AG24" s="19">
        <f>transition(data0!$A$2:$A$82,data0!K$2:K$82,-(Calculations!$F23+relativePrx*AG4))</f>
        <v>34.050000000000004</v>
      </c>
      <c r="AH24" s="19">
        <f>transition(data0!$A$2:$A$82,data0!L$2:L$82,-(Calculations!$F23+relativePrx*AH4))</f>
        <v>34.6</v>
      </c>
      <c r="AI24" s="19">
        <f>transition(data0!$A$2:$A$82,data0!M$2:M$82,-(Calculations!$F23+relativePrx*AI4))</f>
        <v>34.066666666666663</v>
      </c>
      <c r="AJ24" s="19">
        <f>transition(data0!$A$2:$A$82,data0!N$2:N$82,-(Calculations!$F23+relativePrx*AJ4))</f>
        <v>34.1</v>
      </c>
      <c r="AK24" s="19">
        <f>transition(data0!$A$2:$A$82,data0!O$2:O$82,-(Calculations!$F23+relativePrx*AK4))</f>
        <v>33.4</v>
      </c>
      <c r="AL24" s="19">
        <f>transition(data0!$A$2:$A$82,data0!P$2:P$82,-(Calculations!$F23+relativePrx*AL4))</f>
        <v>36</v>
      </c>
      <c r="AM24" s="19">
        <f>transition(data0!$A$2:$A$82,data0!Q$2:Q$82,-(Calculations!$F23+relativePrx*AM4))</f>
        <v>35.000000000000007</v>
      </c>
      <c r="AN24" s="19">
        <f>transition(data0!$A$2:$A$82,data0!R$2:R$82,-(Calculations!$F23+relativePrx*AN4))</f>
        <v>33.4</v>
      </c>
      <c r="AO24" s="19">
        <f>transition(data0!$A$2:$A$82,data0!S$2:S$82,-(Calculations!$F23+relativePrx*AO4))</f>
        <v>33.933333333333337</v>
      </c>
      <c r="AP24" s="19">
        <f>transition(data0!$A$2:$A$82,data0!T$2:T$82,-(Calculations!$F23+relativePrx*AP4))</f>
        <v>32.75</v>
      </c>
      <c r="AQ24" s="19">
        <f>transition(data0!$A$2:$A$82,data0!U$2:U$82,-(Calculations!$F23+relativePrx*AQ4))</f>
        <v>34.500000000000007</v>
      </c>
      <c r="AR24" s="19">
        <f>transition(data0!$A$2:$A$82,data0!V$2:V$82,-(Calculations!$F23+relativePrx*AR4))</f>
        <v>33.800000000000004</v>
      </c>
      <c r="AS24" s="19">
        <f>transition(data0!$A$2:$A$82,data0!W$2:W$82,-(Calculations!$F23+relativePrx*AS4))</f>
        <v>33.700000000000003</v>
      </c>
      <c r="AT24" s="19">
        <f>transition(data0!$A$2:$A$82,data0!X$2:X$82,-(Calculations!$F23+relativePrx*AT4))</f>
        <v>34.700000000000003</v>
      </c>
      <c r="AU24" s="19">
        <f>transition(data0!$A$2:$A$82,data0!Y$2:Y$82,-(Calculations!$F23+relativePrx*AU4))</f>
        <v>33.6</v>
      </c>
      <c r="AV24" s="19">
        <f>transition(data0!$A$2:$A$82,data0!Z$2:Z$82,-(Calculations!$F23+relativePrx*AV4))</f>
        <v>35.65</v>
      </c>
      <c r="AW24" s="19">
        <f>transition(data0!$A$2:$A$82,data0!AA$2:AA$82,-(Calculations!$F23+relativePrx*AW4))</f>
        <v>34.333333333333336</v>
      </c>
      <c r="AX24" s="19">
        <f>transition(data0!$A$2:$A$82,data0!AB$2:AB$82,-(Calculations!$F23+relativePrx*AX4))</f>
        <v>33.85</v>
      </c>
      <c r="AY24" s="19">
        <f>transition(data0!$A$2:$A$82,data0!AC$2:AC$82,-(Calculations!$F23+relativePrx*AY4))</f>
        <v>35.1</v>
      </c>
      <c r="AZ24" s="19">
        <f>transition(data0!$A$2:$A$82,data0!AD$2:AD$82,-(Calculations!$F23+relativePrx*AZ4))</f>
        <v>34.299999999999997</v>
      </c>
      <c r="BA24" s="19">
        <f>transition(data0!$A$2:$A$82,data0!AE$2:AE$82,-(Calculations!$F23+relativePrx*BA4))</f>
        <v>34</v>
      </c>
      <c r="BB24" s="19">
        <f>transition(data0!$A$2:$A$82,data0!AF$2:AF$82,-(Calculations!$F23+relativePrx*BB4))</f>
        <v>35.200000000000003</v>
      </c>
      <c r="BC24" s="19">
        <f>transition(data0!$A$2:$A$82,data0!AG$2:AG$82,-(Calculations!$F23+relativePrx*BC4))</f>
        <v>34.200000000000003</v>
      </c>
    </row>
    <row r="25" spans="4:66">
      <c r="D25" s="53"/>
      <c r="E25" s="18" t="str">
        <f t="shared" ref="E25:E27" si="50">E5</f>
        <v>HI-MID</v>
      </c>
      <c r="F25" s="51" t="str">
        <f>F24</f>
        <v>data</v>
      </c>
      <c r="G25" s="50">
        <f>G24+1</f>
        <v>1</v>
      </c>
      <c r="H25" s="12">
        <f t="shared" ref="H25" si="51">AVERAGE(X25:BC25)</f>
        <v>41.875781249999989</v>
      </c>
      <c r="I25" s="12">
        <f t="shared" ref="I25" si="52">STDEV(X25:BC25)</f>
        <v>1.400730031396797</v>
      </c>
      <c r="J25" s="12">
        <f>AVERAGE(X25:AE25)</f>
        <v>42.71875</v>
      </c>
      <c r="K25" s="12">
        <f>STDEV(X25:AE25)</f>
        <v>1.7424539687846532</v>
      </c>
      <c r="L25" s="12">
        <f>AVERAGE(AF25:AM25)</f>
        <v>41.5</v>
      </c>
      <c r="M25" s="12">
        <f>STDEV(AF25:AM25)</f>
        <v>0.89539164083444756</v>
      </c>
      <c r="N25" s="12">
        <f>AVERAGE(AN25:AU25)</f>
        <v>41.588541666666671</v>
      </c>
      <c r="O25" s="12">
        <f>STDEV(AN25:AU25)</f>
        <v>1.1408620513619836</v>
      </c>
      <c r="P25" s="12">
        <f>AVERAGE(AV25:BC25)</f>
        <v>41.69583333333334</v>
      </c>
      <c r="Q25" s="12">
        <f>STDEV(AV25:BC25)</f>
        <v>1.5635924752218693</v>
      </c>
      <c r="R25" s="12"/>
      <c r="S25" s="12"/>
      <c r="T25" s="12"/>
      <c r="U25" s="12"/>
      <c r="V25" s="12"/>
      <c r="W25" s="12"/>
      <c r="X25" s="19">
        <f>transition(data1!$A$2:$A$82,data1!B$2:B$182,-(Calculations!$F23+relativePrx*X5))</f>
        <v>41.85</v>
      </c>
      <c r="Y25" s="19">
        <f>transition(data1!$A$2:$A$82,data1!C$2:C$182,-(Calculations!$F23+relativePrx*Y5))</f>
        <v>42.6</v>
      </c>
      <c r="Z25" s="19">
        <f>transition(data1!$A$2:$A$82,data1!D$2:D$182,-(Calculations!$F23+relativePrx*Z5))</f>
        <v>42.866666666666667</v>
      </c>
      <c r="AA25" s="19">
        <f>transition(data1!$A$2:$A$82,data1!E$2:E$182,-(Calculations!$F23+relativePrx*AA5))</f>
        <v>43.766666666666666</v>
      </c>
      <c r="AB25" s="19">
        <f>transition(data1!$A$2:$A$82,data1!F$2:F$182,-(Calculations!$F23+relativePrx*AB5))</f>
        <v>43.400000000000006</v>
      </c>
      <c r="AC25" s="19">
        <f>transition(data1!$A$2:$A$82,data1!G$2:G$182,-(Calculations!$F23+relativePrx*AC5))</f>
        <v>45.4</v>
      </c>
      <c r="AD25" s="19">
        <f>transition(data1!$A$2:$A$82,data1!H$2:H$182,-(Calculations!$F23+relativePrx*AD5))</f>
        <v>42.56666666666667</v>
      </c>
      <c r="AE25" s="19">
        <f>transition(data1!$A$2:$A$82,data1!I$2:I$182,-(Calculations!$F23+relativePrx*AE5))</f>
        <v>39.300000000000004</v>
      </c>
      <c r="AF25" s="19">
        <f>transition(data1!$A$2:$A$82,data1!J$2:J$182,-(Calculations!$F23+relativePrx*AF5))</f>
        <v>41.35</v>
      </c>
      <c r="AG25" s="19">
        <f>transition(data1!$A$2:$A$82,data1!K$2:K$182,-(Calculations!$F23+relativePrx*AG5))</f>
        <v>40.56666666666667</v>
      </c>
      <c r="AH25" s="19">
        <f>transition(data1!$A$2:$A$82,data1!L$2:L$182,-(Calculations!$F23+relativePrx*AH5))</f>
        <v>42.65</v>
      </c>
      <c r="AI25" s="19">
        <f>transition(data1!$A$2:$A$82,data1!M$2:M$182,-(Calculations!$F23+relativePrx*AI5))</f>
        <v>41.966666666666669</v>
      </c>
      <c r="AJ25" s="19">
        <f>transition(data1!$A$2:$A$82,data1!N$2:N$182,-(Calculations!$F23+relativePrx*AJ5))</f>
        <v>40.575000000000003</v>
      </c>
      <c r="AK25" s="19">
        <f>transition(data1!$A$2:$A$82,data1!O$2:O$182,-(Calculations!$F23+relativePrx*AK5))</f>
        <v>40.666666666666671</v>
      </c>
      <c r="AL25" s="19">
        <f>transition(data1!$A$2:$A$82,data1!P$2:P$182,-(Calculations!$F23+relativePrx*AL5))</f>
        <v>42.774999999999999</v>
      </c>
      <c r="AM25" s="19">
        <f>transition(data1!$A$2:$A$82,data1!Q$2:Q$182,-(Calculations!$F23+relativePrx*AM5))</f>
        <v>41.45</v>
      </c>
      <c r="AN25" s="19">
        <f>transition(data1!$A$2:$A$82,data1!R$2:R$182,-(Calculations!$F23+relativePrx*AN5))</f>
        <v>40.150000000000006</v>
      </c>
      <c r="AO25" s="19">
        <f>transition(data1!$A$2:$A$82,data1!S$2:S$182,-(Calculations!$F23+relativePrx*AO5))</f>
        <v>41.366666666666667</v>
      </c>
      <c r="AP25" s="19">
        <f>transition(data1!$A$2:$A$82,data1!T$2:T$182,-(Calculations!$F23+relativePrx*AP5))</f>
        <v>40.65</v>
      </c>
      <c r="AQ25" s="19">
        <f>transition(data1!$A$2:$A$82,data1!U$2:U$182,-(Calculations!$F23+relativePrx*AQ5))</f>
        <v>42.266666666666666</v>
      </c>
      <c r="AR25" s="19">
        <f>transition(data1!$A$2:$A$82,data1!V$2:V$182,-(Calculations!$F23+relativePrx*AR5))</f>
        <v>41.75</v>
      </c>
      <c r="AS25" s="19">
        <f>transition(data1!$A$2:$A$82,data1!W$2:W$182,-(Calculations!$F23+relativePrx*AS5))</f>
        <v>43.8</v>
      </c>
      <c r="AT25" s="19">
        <f>transition(data1!$A$2:$A$82,data1!X$2:X$182,-(Calculations!$F23+relativePrx*AT5))</f>
        <v>41.925000000000004</v>
      </c>
      <c r="AU25" s="19">
        <f>transition(data1!$A$2:$A$82,data1!Y$2:Y$182,-(Calculations!$F23+relativePrx*AU5))</f>
        <v>40.799999999999997</v>
      </c>
      <c r="AV25" s="19">
        <f>transition(data1!$A$2:$A$82,data1!Z$2:Z$182,-(Calculations!$F23+relativePrx*AV5))</f>
        <v>44.633333333333333</v>
      </c>
      <c r="AW25" s="19">
        <f>transition(data1!$A$2:$A$82,data1!AA$2:AA$182,-(Calculations!$F23+relativePrx*AW5))</f>
        <v>41.35</v>
      </c>
      <c r="AX25" s="19">
        <f>transition(data1!$A$2:$A$82,data1!AB$2:AB$182,-(Calculations!$F23+relativePrx*AX5))</f>
        <v>40.950000000000003</v>
      </c>
      <c r="AY25" s="19">
        <f>transition(data1!$A$2:$A$82,data1!AC$2:AC$182,-(Calculations!$F23+relativePrx*AY5))</f>
        <v>41.333333333333336</v>
      </c>
      <c r="AZ25" s="19">
        <f>transition(data1!$A$2:$A$82,data1!AD$2:AD$182,-(Calculations!$F23+relativePrx*AZ5))</f>
        <v>43</v>
      </c>
      <c r="BA25" s="19">
        <f>transition(data1!$A$2:$A$82,data1!AE$2:AE$182,-(Calculations!$F23+relativePrx*BA5))</f>
        <v>40.700000000000003</v>
      </c>
      <c r="BB25" s="19">
        <f>transition(data1!$A$2:$A$82,data1!AF$2:AF$182,-(Calculations!$F23+relativePrx*BB5))</f>
        <v>42.1</v>
      </c>
      <c r="BC25" s="19">
        <f>transition(data1!$A$2:$A$82,data1!AG$2:AG$182,-(Calculations!$F23+relativePrx*BC5))</f>
        <v>39.5</v>
      </c>
    </row>
    <row r="26" spans="4:66">
      <c r="E26" s="18" t="str">
        <f t="shared" si="50"/>
        <v>LO-MID</v>
      </c>
      <c r="F26" s="51" t="str">
        <f t="shared" ref="F26:F27" si="53">F25</f>
        <v>data</v>
      </c>
      <c r="G26" s="50">
        <f t="shared" ref="G26:G27" si="54">G25+1</f>
        <v>2</v>
      </c>
      <c r="H26" s="12">
        <f t="shared" ref="H26:H27" si="55">AVERAGE(X26:BC26)</f>
        <v>36.752187499999991</v>
      </c>
      <c r="I26" s="12">
        <f t="shared" ref="I26:I27" si="56">STDEV(X26:BC26)</f>
        <v>1.028833371873072</v>
      </c>
      <c r="J26" s="12">
        <f t="shared" ref="J26:J27" si="57">AVERAGE(X26:AE26)</f>
        <v>37.243749999999999</v>
      </c>
      <c r="K26" s="12">
        <f t="shared" ref="K26:K27" si="58">STDEV(X26:AE26)</f>
        <v>1.2408054699612239</v>
      </c>
      <c r="L26" s="12">
        <f t="shared" ref="L26:L27" si="59">AVERAGE(AF26:AM26)</f>
        <v>36.950000000000003</v>
      </c>
      <c r="M26" s="12">
        <f t="shared" ref="M26:M27" si="60">STDEV(AF26:AM26)</f>
        <v>1.1645899884808173</v>
      </c>
      <c r="N26" s="12">
        <f t="shared" ref="N26:N27" si="61">AVERAGE(AN26:AU26)</f>
        <v>35.902500000000003</v>
      </c>
      <c r="O26" s="12">
        <f t="shared" ref="O26:O27" si="62">STDEV(AN26:AU26)</f>
        <v>0.54239548038542096</v>
      </c>
      <c r="P26" s="12">
        <f t="shared" ref="P26:P27" si="63">AVERAGE(AV26:BC26)</f>
        <v>36.912500000000001</v>
      </c>
      <c r="Q26" s="12">
        <f t="shared" ref="Q26:Q27" si="64">STDEV(AV26:BC26)</f>
        <v>0.56764621219753653</v>
      </c>
      <c r="R26" s="12"/>
      <c r="S26" s="12"/>
      <c r="T26" s="12"/>
      <c r="U26" s="12"/>
      <c r="V26" s="12"/>
      <c r="W26" s="12"/>
      <c r="X26" s="19">
        <f>transition(data2!$A$2:$A$82,data2!B$2:B$182,-(Calculations!$F23+relativePrx*X6))</f>
        <v>36.799999999999997</v>
      </c>
      <c r="Y26" s="19">
        <f>transition(data2!$A$2:$A$82,data2!C$2:C$182,-(Calculations!$F23+relativePrx*Y6))</f>
        <v>36.25</v>
      </c>
      <c r="Z26" s="19">
        <f>transition(data2!$A$2:$A$82,data2!D$2:D$182,-(Calculations!$F23+relativePrx*Z6))</f>
        <v>37.6</v>
      </c>
      <c r="AA26" s="19">
        <f>transition(data2!$A$2:$A$82,data2!E$2:E$182,-(Calculations!$F23+relativePrx*AA6))</f>
        <v>38.099999999999994</v>
      </c>
      <c r="AB26" s="19">
        <f>transition(data2!$A$2:$A$82,data2!F$2:F$182,-(Calculations!$F23+relativePrx*AB6))</f>
        <v>37.500000000000007</v>
      </c>
      <c r="AC26" s="19">
        <f>transition(data2!$A$2:$A$82,data2!G$2:G$182,-(Calculations!$F23+relativePrx*AC6))</f>
        <v>38.9</v>
      </c>
      <c r="AD26" s="19">
        <f>transition(data2!$A$2:$A$82,data2!H$2:H$182,-(Calculations!$F23+relativePrx*AD6))</f>
        <v>37.9</v>
      </c>
      <c r="AE26" s="19">
        <f>transition(data2!$A$2:$A$82,data2!I$2:I$182,-(Calculations!$F23+relativePrx*AE6))</f>
        <v>34.9</v>
      </c>
      <c r="AF26" s="19">
        <f>transition(data2!$A$2:$A$82,data2!J$2:J$182,-(Calculations!$F23+relativePrx*AF6))</f>
        <v>37.666666666666664</v>
      </c>
      <c r="AG26" s="19">
        <f>transition(data2!$A$2:$A$82,data2!K$2:K$182,-(Calculations!$F23+relativePrx*AG6))</f>
        <v>36.450000000000003</v>
      </c>
      <c r="AH26" s="19">
        <f>transition(data2!$A$2:$A$82,data2!L$2:L$182,-(Calculations!$F23+relativePrx*AH6))</f>
        <v>36.200000000000003</v>
      </c>
      <c r="AI26" s="19">
        <f>transition(data2!$A$2:$A$82,data2!M$2:M$182,-(Calculations!$F23+relativePrx*AI6))</f>
        <v>37.900000000000006</v>
      </c>
      <c r="AJ26" s="19">
        <f>transition(data2!$A$2:$A$82,data2!N$2:N$182,-(Calculations!$F23+relativePrx*AJ6))</f>
        <v>35.133333333333333</v>
      </c>
      <c r="AK26" s="19">
        <f>transition(data2!$A$2:$A$82,data2!O$2:O$182,-(Calculations!$F23+relativePrx*AK6))</f>
        <v>36.6</v>
      </c>
      <c r="AL26" s="19">
        <f>transition(data2!$A$2:$A$82,data2!P$2:P$182,-(Calculations!$F23+relativePrx*AL6))</f>
        <v>38.900000000000006</v>
      </c>
      <c r="AM26" s="19">
        <f>transition(data2!$A$2:$A$82,data2!Q$2:Q$182,-(Calculations!$F23+relativePrx*AM6))</f>
        <v>36.75</v>
      </c>
      <c r="AN26" s="19">
        <f>transition(data2!$A$2:$A$82,data2!R$2:R$182,-(Calculations!$F23+relativePrx*AN6))</f>
        <v>35.6</v>
      </c>
      <c r="AO26" s="19">
        <f>transition(data2!$A$2:$A$82,data2!S$2:S$182,-(Calculations!$F23+relativePrx*AO6))</f>
        <v>35.520000000000003</v>
      </c>
      <c r="AP26" s="19">
        <f>transition(data2!$A$2:$A$82,data2!T$2:T$182,-(Calculations!$F23+relativePrx*AP6))</f>
        <v>35.65</v>
      </c>
      <c r="AQ26" s="19">
        <f>transition(data2!$A$2:$A$82,data2!U$2:U$182,-(Calculations!$F23+relativePrx*AQ6))</f>
        <v>36.800000000000004</v>
      </c>
      <c r="AR26" s="19">
        <f>transition(data2!$A$2:$A$82,data2!V$2:V$182,-(Calculations!$F23+relativePrx*AR6))</f>
        <v>35.9</v>
      </c>
      <c r="AS26" s="19">
        <f>transition(data2!$A$2:$A$82,data2!W$2:W$182,-(Calculations!$F23+relativePrx*AS6))</f>
        <v>35.400000000000006</v>
      </c>
      <c r="AT26" s="19">
        <f>transition(data2!$A$2:$A$82,data2!X$2:X$182,-(Calculations!$F23+relativePrx*AT6))</f>
        <v>36.700000000000003</v>
      </c>
      <c r="AU26" s="19">
        <f>transition(data2!$A$2:$A$82,data2!Y$2:Y$182,-(Calculations!$F23+relativePrx*AU6))</f>
        <v>35.65</v>
      </c>
      <c r="AV26" s="19">
        <f>transition(data2!$A$2:$A$82,data2!Z$2:Z$182,-(Calculations!$F23+relativePrx*AV6))</f>
        <v>36.825000000000003</v>
      </c>
      <c r="AW26" s="19">
        <f>transition(data2!$A$2:$A$82,data2!AA$2:AA$182,-(Calculations!$F23+relativePrx*AW6))</f>
        <v>36.366666666666667</v>
      </c>
      <c r="AX26" s="19">
        <f>transition(data2!$A$2:$A$82,data2!AB$2:AB$182,-(Calculations!$F23+relativePrx*AX6))</f>
        <v>36.75</v>
      </c>
      <c r="AY26" s="19">
        <f>transition(data2!$A$2:$A$82,data2!AC$2:AC$182,-(Calculations!$F23+relativePrx*AY6))</f>
        <v>36.75</v>
      </c>
      <c r="AZ26" s="19">
        <f>transition(data2!$A$2:$A$82,data2!AD$2:AD$182,-(Calculations!$F23+relativePrx*AZ6))</f>
        <v>37.300000000000004</v>
      </c>
      <c r="BA26" s="19">
        <f>transition(data2!$A$2:$A$82,data2!AE$2:AE$182,-(Calculations!$F23+relativePrx*BA6))</f>
        <v>36.875</v>
      </c>
      <c r="BB26" s="19">
        <f>transition(data2!$A$2:$A$82,data2!AF$2:AF$182,-(Calculations!$F23+relativePrx*BB6))</f>
        <v>38.1</v>
      </c>
      <c r="BC26" s="19">
        <f>transition(data2!$A$2:$A$82,data2!AG$2:AG$182,-(Calculations!$F23+relativePrx*BC6))</f>
        <v>36.333333333333336</v>
      </c>
    </row>
    <row r="27" spans="4:66">
      <c r="E27" s="18" t="str">
        <f t="shared" si="50"/>
        <v>LO</v>
      </c>
      <c r="F27" s="51" t="str">
        <f t="shared" si="53"/>
        <v>data</v>
      </c>
      <c r="G27" s="50">
        <f t="shared" si="54"/>
        <v>3</v>
      </c>
      <c r="H27" s="12">
        <f t="shared" si="55"/>
        <v>34.487864583333334</v>
      </c>
      <c r="I27" s="12">
        <f t="shared" si="56"/>
        <v>0.82960685450514682</v>
      </c>
      <c r="J27" s="12">
        <f t="shared" si="57"/>
        <v>35.048958333333331</v>
      </c>
      <c r="K27" s="12">
        <f t="shared" si="58"/>
        <v>0.74841681446578145</v>
      </c>
      <c r="L27" s="12">
        <f t="shared" si="59"/>
        <v>34.329166666666673</v>
      </c>
      <c r="M27" s="12">
        <f t="shared" si="60"/>
        <v>0.7271792643768209</v>
      </c>
      <c r="N27" s="12">
        <f t="shared" si="61"/>
        <v>33.885833333333338</v>
      </c>
      <c r="O27" s="12">
        <f t="shared" si="62"/>
        <v>0.870590020691004</v>
      </c>
      <c r="P27" s="12">
        <f t="shared" si="63"/>
        <v>34.6875</v>
      </c>
      <c r="Q27" s="12">
        <f t="shared" si="64"/>
        <v>0.59393428635479484</v>
      </c>
      <c r="R27" s="12"/>
      <c r="S27" s="12"/>
      <c r="T27" s="12"/>
      <c r="U27" s="12"/>
      <c r="V27" s="12"/>
      <c r="W27" s="12"/>
      <c r="X27" s="19">
        <f>transition(data3!$A$2:$A$82,data3!B$2:B$182,-(Calculations!$F23+relativePrx*X7))</f>
        <v>35.1</v>
      </c>
      <c r="Y27" s="19">
        <f>transition(data3!$A$2:$A$82,data3!C$2:C$182,-(Calculations!$F23+relativePrx*Y7))</f>
        <v>34.35</v>
      </c>
      <c r="Z27" s="19">
        <f>transition(data3!$A$2:$A$82,data3!D$2:D$182,-(Calculations!$F23+relativePrx*Z7))</f>
        <v>35.25</v>
      </c>
      <c r="AA27" s="19">
        <f>transition(data3!$A$2:$A$82,data3!E$2:E$182,-(Calculations!$F23+relativePrx*AA7))</f>
        <v>35.050000000000004</v>
      </c>
      <c r="AB27" s="19">
        <f>transition(data3!$A$2:$A$82,data3!F$2:F$182,-(Calculations!$F23+relativePrx*AB7))</f>
        <v>35.700000000000003</v>
      </c>
      <c r="AC27" s="19">
        <f>transition(data3!$A$2:$A$82,data3!G$2:G$182,-(Calculations!$F23+relativePrx*AC7))</f>
        <v>36.15</v>
      </c>
      <c r="AD27" s="19">
        <f>transition(data3!$A$2:$A$82,data3!H$2:H$182,-(Calculations!$F23+relativePrx*AD7))</f>
        <v>35.06666666666667</v>
      </c>
      <c r="AE27" s="19">
        <f>transition(data3!$A$2:$A$82,data3!I$2:I$182,-(Calculations!$F23+relativePrx*AE7))</f>
        <v>33.725000000000001</v>
      </c>
      <c r="AF27" s="19">
        <f>transition(data3!$A$2:$A$82,data3!J$2:J$182,-(Calculations!$F23+relativePrx*AF7))</f>
        <v>34.93333333333333</v>
      </c>
      <c r="AG27" s="19">
        <f>transition(data3!$A$2:$A$82,data3!K$2:K$182,-(Calculations!$F23+relativePrx*AG7))</f>
        <v>34.25</v>
      </c>
      <c r="AH27" s="19">
        <f>transition(data3!$A$2:$A$82,data3!L$2:L$182,-(Calculations!$F23+relativePrx*AH7))</f>
        <v>34.20000000000001</v>
      </c>
      <c r="AI27" s="19">
        <f>transition(data3!$A$2:$A$82,data3!M$2:M$182,-(Calculations!$F23+relativePrx*AI7))</f>
        <v>34.200000000000003</v>
      </c>
      <c r="AJ27" s="19">
        <f>transition(data3!$A$2:$A$82,data3!N$2:N$182,-(Calculations!$F23+relativePrx*AJ7))</f>
        <v>33.56666666666667</v>
      </c>
      <c r="AK27" s="19">
        <f>transition(data3!$A$2:$A$82,data3!O$2:O$182,-(Calculations!$F23+relativePrx*AK7))</f>
        <v>33.499999999999993</v>
      </c>
      <c r="AL27" s="19">
        <f>transition(data3!$A$2:$A$82,data3!P$2:P$182,-(Calculations!$F23+relativePrx*AL7))</f>
        <v>35.75</v>
      </c>
      <c r="AM27" s="19">
        <f>transition(data3!$A$2:$A$82,data3!Q$2:Q$182,-(Calculations!$F23+relativePrx*AM7))</f>
        <v>34.233333333333341</v>
      </c>
      <c r="AN27" s="19">
        <f>transition(data3!$A$2:$A$82,data3!R$2:R$182,-(Calculations!$F23+relativePrx*AN7))</f>
        <v>33.700000000000003</v>
      </c>
      <c r="AO27" s="19">
        <f>transition(data3!$A$2:$A$82,data3!S$2:S$182,-(Calculations!$F23+relativePrx*AO7))</f>
        <v>34.550000000000004</v>
      </c>
      <c r="AP27" s="19">
        <f>transition(data3!$A$2:$A$82,data3!T$2:T$182,-(Calculations!$F23+relativePrx*AP7))</f>
        <v>32.400000000000006</v>
      </c>
      <c r="AQ27" s="19">
        <f>transition(data3!$A$2:$A$82,data3!U$2:U$182,-(Calculations!$F23+relativePrx*AQ7))</f>
        <v>34.56666666666667</v>
      </c>
      <c r="AR27" s="19">
        <f>transition(data3!$A$2:$A$82,data3!V$2:V$182,-(Calculations!$F23+relativePrx*AR7))</f>
        <v>34.050000000000004</v>
      </c>
      <c r="AS27" s="19">
        <f>transition(data3!$A$2:$A$82,data3!W$2:W$182,-(Calculations!$F23+relativePrx*AS7))</f>
        <v>33.82</v>
      </c>
      <c r="AT27" s="19">
        <f>transition(data3!$A$2:$A$82,data3!X$2:X$182,-(Calculations!$F23+relativePrx*AT7))</f>
        <v>35.024999999999999</v>
      </c>
      <c r="AU27" s="19">
        <f>transition(data3!$A$2:$A$82,data3!Y$2:Y$182,-(Calculations!$F23+relativePrx*AU7))</f>
        <v>32.975000000000001</v>
      </c>
      <c r="AV27" s="19">
        <f>transition(data3!$A$2:$A$82,data3!Z$2:Z$182,-(Calculations!$F23+relativePrx*AV7))</f>
        <v>35.25</v>
      </c>
      <c r="AW27" s="19">
        <f>transition(data3!$A$2:$A$82,data3!AA$2:AA$182,-(Calculations!$F23+relativePrx*AW7))</f>
        <v>34.533333333333331</v>
      </c>
      <c r="AX27" s="19">
        <f>transition(data3!$A$2:$A$82,data3!AB$2:AB$182,-(Calculations!$F23+relativePrx*AX7))</f>
        <v>34.599999999999994</v>
      </c>
      <c r="AY27" s="19">
        <f>transition(data3!$A$2:$A$82,data3!AC$2:AC$182,-(Calculations!$F23+relativePrx*AY7))</f>
        <v>34.599999999999994</v>
      </c>
      <c r="AZ27" s="19">
        <f>transition(data3!$A$2:$A$82,data3!AD$2:AD$182,-(Calculations!$F23+relativePrx*AZ7))</f>
        <v>35.166666666666664</v>
      </c>
      <c r="BA27" s="19">
        <f>transition(data3!$A$2:$A$82,data3!AE$2:AE$182,-(Calculations!$F23+relativePrx*BA7))</f>
        <v>34.5</v>
      </c>
      <c r="BB27" s="19">
        <f>transition(data3!$A$2:$A$82,data3!AF$2:AF$182,-(Calculations!$F23+relativePrx*BB7))</f>
        <v>35.35</v>
      </c>
      <c r="BC27" s="19">
        <f>transition(data3!$A$2:$A$82,data3!AG$2:AG$182,-(Calculations!$F23+relativePrx*BC7))</f>
        <v>33.5</v>
      </c>
    </row>
    <row r="28" spans="4:66">
      <c r="AO28" s="18"/>
      <c r="AP28" s="18"/>
      <c r="AQ28" s="18"/>
      <c r="AR28" s="18"/>
      <c r="AS28" s="18"/>
      <c r="AT28" s="18"/>
      <c r="AU28" s="18"/>
      <c r="AV28" s="18"/>
      <c r="AW28" s="18"/>
    </row>
    <row r="29" spans="4:66">
      <c r="E29" s="18" t="s">
        <v>5</v>
      </c>
      <c r="F29" s="23">
        <f>F23*2</f>
        <v>0.2</v>
      </c>
      <c r="H29" s="18" t="s">
        <v>6</v>
      </c>
      <c r="I29" s="18" t="s">
        <v>7</v>
      </c>
      <c r="J29" s="33" t="str">
        <f t="shared" ref="J29:Q29" si="65">H29</f>
        <v>Mean</v>
      </c>
      <c r="K29" s="33" t="str">
        <f t="shared" si="65"/>
        <v>Stdev</v>
      </c>
      <c r="L29" s="33" t="str">
        <f t="shared" si="65"/>
        <v>Mean</v>
      </c>
      <c r="M29" s="33" t="str">
        <f t="shared" si="65"/>
        <v>Stdev</v>
      </c>
      <c r="N29" s="33" t="str">
        <f t="shared" si="65"/>
        <v>Mean</v>
      </c>
      <c r="O29" s="33" t="str">
        <f t="shared" si="65"/>
        <v>Stdev</v>
      </c>
      <c r="P29" s="33" t="str">
        <f t="shared" si="65"/>
        <v>Mean</v>
      </c>
      <c r="Q29" s="33" t="str">
        <f t="shared" si="65"/>
        <v>Stdev</v>
      </c>
      <c r="AO29" s="18"/>
      <c r="AP29" s="18"/>
      <c r="AQ29" s="18"/>
      <c r="AR29" s="18"/>
      <c r="AS29" s="18"/>
      <c r="AT29" s="18"/>
      <c r="AU29" s="18"/>
      <c r="AV29" s="18"/>
      <c r="AW29" s="18"/>
    </row>
    <row r="30" spans="4:66">
      <c r="E30" s="18" t="str">
        <f>E24</f>
        <v>HI</v>
      </c>
      <c r="F30" s="51" t="s">
        <v>8</v>
      </c>
      <c r="G30" s="50">
        <v>0</v>
      </c>
      <c r="H30" s="12">
        <f t="shared" ref="H30:H31" si="66">AVERAGE(X30:BC30)</f>
        <v>25.509985119047624</v>
      </c>
      <c r="I30" s="12">
        <f t="shared" ref="I30:I31" si="67">STDEV(X30:BC30)</f>
        <v>0.27206579563117217</v>
      </c>
      <c r="J30" s="12">
        <f>AVERAGE(X30:AE30)</f>
        <v>25.655416666666671</v>
      </c>
      <c r="K30" s="12">
        <f>STDEV(X30:AE30)</f>
        <v>0.23562774986769297</v>
      </c>
      <c r="L30" s="12">
        <f>AVERAGE(AF30:AM30)</f>
        <v>25.527648809523811</v>
      </c>
      <c r="M30" s="12">
        <f>STDEV(AF30:AM30)</f>
        <v>0.25922570526464844</v>
      </c>
      <c r="N30" s="12">
        <f>AVERAGE(AN30:AU30)</f>
        <v>25.348750000000003</v>
      </c>
      <c r="O30" s="12">
        <f>STDEV(AN30:AU30)</f>
        <v>0.21363771068898507</v>
      </c>
      <c r="P30" s="12">
        <f>AVERAGE(AV30:BC30)</f>
        <v>25.508125000000003</v>
      </c>
      <c r="Q30" s="12">
        <f>STDEV(AV30:BC30)</f>
        <v>0.32434480660480025</v>
      </c>
      <c r="R30" s="12"/>
      <c r="S30" s="12"/>
      <c r="T30" s="12"/>
      <c r="U30" s="12"/>
      <c r="V30" s="12"/>
      <c r="W30" s="12"/>
      <c r="X30" s="19">
        <f>transition(data0!$A$2:$A$82,data0!B$2:B$82,-(Calculations!$F29+relativePrx*X4))</f>
        <v>25.633333333333336</v>
      </c>
      <c r="Y30" s="19">
        <f>transition(data0!$A$2:$A$82,data0!C$2:C$82,-(Calculations!$F29+relativePrx*Y4))</f>
        <v>25.900000000000002</v>
      </c>
      <c r="Z30" s="19">
        <f>transition(data0!$A$2:$A$82,data0!D$2:D$82,-(Calculations!$F29+relativePrx*Z4))</f>
        <v>25.800000000000004</v>
      </c>
      <c r="AA30" s="19">
        <f>transition(data0!$A$2:$A$82,data0!E$2:E$82,-(Calculations!$F29+relativePrx*AA4))</f>
        <v>25.700000000000003</v>
      </c>
      <c r="AB30" s="19">
        <f>transition(data0!$A$2:$A$82,data0!F$2:F$82,-(Calculations!$F29+relativePrx*AB4))</f>
        <v>25.5</v>
      </c>
      <c r="AC30" s="19">
        <f>transition(data0!$A$2:$A$82,data0!G$2:G$82,-(Calculations!$F29+relativePrx*AC4))</f>
        <v>25.5</v>
      </c>
      <c r="AD30" s="19">
        <f>transition(data0!$A$2:$A$82,data0!H$2:H$82,-(Calculations!$F29+relativePrx*AD4))</f>
        <v>25.96</v>
      </c>
      <c r="AE30" s="19">
        <f>transition(data0!$A$2:$A$82,data0!I$2:I$82,-(Calculations!$F29+relativePrx*AE4))</f>
        <v>25.25</v>
      </c>
      <c r="AF30" s="19">
        <f>transition(data0!$A$2:$A$82,data0!J$2:J$82,-(Calculations!$F29+relativePrx*AF4))</f>
        <v>25.833333333333332</v>
      </c>
      <c r="AG30" s="19">
        <f>transition(data0!$A$2:$A$82,data0!K$2:K$82,-(Calculations!$F29+relativePrx*AG4))</f>
        <v>25.48</v>
      </c>
      <c r="AH30" s="19">
        <f>transition(data0!$A$2:$A$82,data0!L$2:L$82,-(Calculations!$F29+relativePrx*AH4))</f>
        <v>25.5</v>
      </c>
      <c r="AI30" s="19">
        <f>transition(data0!$A$2:$A$82,data0!M$2:M$82,-(Calculations!$F29+relativePrx*AI4))</f>
        <v>25.442857142857143</v>
      </c>
      <c r="AJ30" s="19">
        <f>transition(data0!$A$2:$A$82,data0!N$2:N$82,-(Calculations!$F29+relativePrx*AJ4))</f>
        <v>25.3</v>
      </c>
      <c r="AK30" s="19">
        <f>transition(data0!$A$2:$A$82,data0!O$2:O$82,-(Calculations!$F29+relativePrx*AK4))</f>
        <v>25.150000000000002</v>
      </c>
      <c r="AL30" s="19">
        <f>transition(data0!$A$2:$A$82,data0!P$2:P$82,-(Calculations!$F29+relativePrx*AL4))</f>
        <v>25.94</v>
      </c>
      <c r="AM30" s="19">
        <f>transition(data0!$A$2:$A$82,data0!Q$2:Q$82,-(Calculations!$F29+relativePrx*AM4))</f>
        <v>25.575000000000003</v>
      </c>
      <c r="AN30" s="19">
        <f>transition(data0!$A$2:$A$82,data0!R$2:R$82,-(Calculations!$F29+relativePrx*AN4))</f>
        <v>25.3</v>
      </c>
      <c r="AO30" s="19">
        <f>transition(data0!$A$2:$A$82,data0!S$2:S$82,-(Calculations!$F29+relativePrx*AO4))</f>
        <v>25.500000000000004</v>
      </c>
      <c r="AP30" s="19">
        <f>transition(data0!$A$2:$A$82,data0!T$2:T$82,-(Calculations!$F29+relativePrx*AP4))</f>
        <v>25.2</v>
      </c>
      <c r="AQ30" s="19">
        <f>transition(data0!$A$2:$A$82,data0!U$2:U$82,-(Calculations!$F29+relativePrx*AQ4))</f>
        <v>25.700000000000003</v>
      </c>
      <c r="AR30" s="19">
        <f>transition(data0!$A$2:$A$82,data0!V$2:V$82,-(Calculations!$F29+relativePrx*AR4))</f>
        <v>25.380000000000003</v>
      </c>
      <c r="AS30" s="19">
        <f>transition(data0!$A$2:$A$82,data0!W$2:W$82,-(Calculations!$F29+relativePrx*AS4))</f>
        <v>25.05</v>
      </c>
      <c r="AT30" s="19">
        <f>transition(data0!$A$2:$A$82,data0!X$2:X$82,-(Calculations!$F29+relativePrx*AT4))</f>
        <v>25.16</v>
      </c>
      <c r="AU30" s="19">
        <f>transition(data0!$A$2:$A$82,data0!Y$2:Y$82,-(Calculations!$F29+relativePrx*AU4))</f>
        <v>25.5</v>
      </c>
      <c r="AV30" s="19">
        <f>transition(data0!$A$2:$A$82,data0!Z$2:Z$82,-(Calculations!$F29+relativePrx*AV4))</f>
        <v>25.94</v>
      </c>
      <c r="AW30" s="19">
        <f>transition(data0!$A$2:$A$82,data0!AA$2:AA$82,-(Calculations!$F29+relativePrx*AW4))</f>
        <v>25.05</v>
      </c>
      <c r="AX30" s="19">
        <f>transition(data0!$A$2:$A$82,data0!AB$2:AB$82,-(Calculations!$F29+relativePrx*AX4))</f>
        <v>25.599999999999998</v>
      </c>
      <c r="AY30" s="19">
        <f>transition(data0!$A$2:$A$82,data0!AC$2:AC$82,-(Calculations!$F29+relativePrx*AY4))</f>
        <v>25.2</v>
      </c>
      <c r="AZ30" s="19">
        <f>transition(data0!$A$2:$A$82,data0!AD$2:AD$82,-(Calculations!$F29+relativePrx*AZ4))</f>
        <v>25.3</v>
      </c>
      <c r="BA30" s="19">
        <f>transition(data0!$A$2:$A$82,data0!AE$2:AE$82,-(Calculations!$F29+relativePrx*BA4))</f>
        <v>25.575000000000003</v>
      </c>
      <c r="BB30" s="19">
        <f>transition(data0!$A$2:$A$82,data0!AF$2:AF$82,-(Calculations!$F29+relativePrx*BB4))</f>
        <v>25.94</v>
      </c>
      <c r="BC30" s="19">
        <f>transition(data0!$A$2:$A$82,data0!AG$2:AG$82,-(Calculations!$F29+relativePrx*BC4))</f>
        <v>25.46</v>
      </c>
    </row>
    <row r="31" spans="4:66">
      <c r="E31" s="18" t="str">
        <f t="shared" ref="E31:E33" si="68">E25</f>
        <v>HI-MID</v>
      </c>
      <c r="F31" s="51" t="str">
        <f>F30</f>
        <v>data</v>
      </c>
      <c r="G31" s="50">
        <f>G30+1</f>
        <v>1</v>
      </c>
      <c r="H31" s="12">
        <f t="shared" si="66"/>
        <v>32.093748759920636</v>
      </c>
      <c r="I31" s="12">
        <f t="shared" si="67"/>
        <v>0.77006675643848099</v>
      </c>
      <c r="J31" s="12">
        <f>AVERAGE(X31:AE31)</f>
        <v>32.773660714285718</v>
      </c>
      <c r="K31" s="12">
        <f>STDEV(X31:AE31)</f>
        <v>0.89603096617611921</v>
      </c>
      <c r="L31" s="12">
        <f>AVERAGE(AF31:AM31)</f>
        <v>32.036250000000003</v>
      </c>
      <c r="M31" s="12">
        <f>STDEV(AF31:AM31)</f>
        <v>0.51330685615072069</v>
      </c>
      <c r="N31" s="12">
        <f>AVERAGE(AN31:AU31)</f>
        <v>31.564285714285717</v>
      </c>
      <c r="O31" s="12">
        <f>STDEV(AN31:AU31)</f>
        <v>0.4453026618394858</v>
      </c>
      <c r="P31" s="12">
        <f>AVERAGE(AV31:BC31)</f>
        <v>32.000798611111115</v>
      </c>
      <c r="Q31" s="12">
        <f>STDEV(AV31:BC31)</f>
        <v>0.70650853398000413</v>
      </c>
      <c r="R31" s="12"/>
      <c r="S31" s="12"/>
      <c r="T31" s="12"/>
      <c r="U31" s="12"/>
      <c r="V31" s="12"/>
      <c r="W31" s="12"/>
      <c r="X31" s="19">
        <f>transition(data1!$A$2:$A$82,data1!B$2:B$82,-(Calculations!$F29+relativePrx*X5))</f>
        <v>31.85</v>
      </c>
      <c r="Y31" s="19">
        <f>transition(data1!$A$2:$A$82,data1!C$2:C$82,-(Calculations!$F29+relativePrx*Y5))</f>
        <v>32.225000000000001</v>
      </c>
      <c r="Z31" s="19">
        <f>transition(data1!$A$2:$A$82,data1!D$2:D$82,-(Calculations!$F29+relativePrx*Z5))</f>
        <v>33.174999999999997</v>
      </c>
      <c r="AA31" s="19">
        <f>transition(data1!$A$2:$A$82,data1!E$2:E$82,-(Calculations!$F29+relativePrx*AA5))</f>
        <v>34</v>
      </c>
      <c r="AB31" s="19">
        <f>transition(data1!$A$2:$A$82,data1!F$2:F$82,-(Calculations!$F29+relativePrx*AB5))</f>
        <v>33.15</v>
      </c>
      <c r="AC31" s="19">
        <f>transition(data1!$A$2:$A$82,data1!G$2:G$82,-(Calculations!$F29+relativePrx*AC5))</f>
        <v>33.814285714285717</v>
      </c>
      <c r="AD31" s="19">
        <f>transition(data1!$A$2:$A$82,data1!H$2:H$82,-(Calculations!$F29+relativePrx*AD5))</f>
        <v>32.4</v>
      </c>
      <c r="AE31" s="19">
        <f>transition(data1!$A$2:$A$82,data1!I$2:I$82,-(Calculations!$F29+relativePrx*AE5))</f>
        <v>31.575000000000003</v>
      </c>
      <c r="AF31" s="19">
        <f>transition(data1!$A$2:$A$82,data1!J$2:J$82,-(Calculations!$F29+relativePrx*AF5))</f>
        <v>32.35</v>
      </c>
      <c r="AG31" s="19">
        <f>transition(data1!$A$2:$A$82,data1!K$2:K$82,-(Calculations!$F29+relativePrx*AG5))</f>
        <v>32</v>
      </c>
      <c r="AH31" s="19">
        <f>transition(data1!$A$2:$A$82,data1!L$2:L$82,-(Calculations!$F29+relativePrx*AH5))</f>
        <v>31.8</v>
      </c>
      <c r="AI31" s="19">
        <f>transition(data1!$A$2:$A$82,data1!M$2:M$82,-(Calculations!$F29+relativePrx*AI5))</f>
        <v>31.32</v>
      </c>
      <c r="AJ31" s="19">
        <f>transition(data1!$A$2:$A$82,data1!N$2:N$82,-(Calculations!$F29+relativePrx*AJ5))</f>
        <v>31.68</v>
      </c>
      <c r="AK31" s="19">
        <f>transition(data1!$A$2:$A$82,data1!O$2:O$82,-(Calculations!$F29+relativePrx*AK5))</f>
        <v>31.740000000000002</v>
      </c>
      <c r="AL31" s="19">
        <f>transition(data1!$A$2:$A$82,data1!P$2:P$82,-(Calculations!$F29+relativePrx*AL5))</f>
        <v>32.9</v>
      </c>
      <c r="AM31" s="19">
        <f>transition(data1!$A$2:$A$82,data1!Q$2:Q$82,-(Calculations!$F29+relativePrx*AM5))</f>
        <v>32.5</v>
      </c>
      <c r="AN31" s="19">
        <f>transition(data1!$A$2:$A$82,data1!R$2:R$82,-(Calculations!$F29+relativePrx*AN5))</f>
        <v>31</v>
      </c>
      <c r="AO31" s="19">
        <f>transition(data1!$A$2:$A$82,data1!S$2:S$82,-(Calculations!$F29+relativePrx*AO5))</f>
        <v>32.050000000000004</v>
      </c>
      <c r="AP31" s="19">
        <f>transition(data1!$A$2:$A$82,data1!T$2:T$82,-(Calculations!$F29+relativePrx*AP5))</f>
        <v>31.114285714285714</v>
      </c>
      <c r="AQ31" s="19">
        <f>transition(data1!$A$2:$A$82,data1!U$2:U$82,-(Calculations!$F29+relativePrx*AQ5))</f>
        <v>32.1</v>
      </c>
      <c r="AR31" s="19">
        <f>transition(data1!$A$2:$A$82,data1!V$2:V$82,-(Calculations!$F29+relativePrx*AR5))</f>
        <v>32.050000000000004</v>
      </c>
      <c r="AS31" s="19">
        <f>transition(data1!$A$2:$A$82,data1!W$2:W$82,-(Calculations!$F29+relativePrx*AS5))</f>
        <v>31.271428571428572</v>
      </c>
      <c r="AT31" s="19">
        <f>transition(data1!$A$2:$A$82,data1!X$2:X$82,-(Calculations!$F29+relativePrx*AT5))</f>
        <v>31.428571428571431</v>
      </c>
      <c r="AU31" s="19">
        <f>transition(data1!$A$2:$A$82,data1!Y$2:Y$82,-(Calculations!$F29+relativePrx*AU5))</f>
        <v>31.500000000000004</v>
      </c>
      <c r="AV31" s="19">
        <f>transition(data1!$A$2:$A$82,data1!Z$2:Z$82,-(Calculations!$F29+relativePrx*AV5))</f>
        <v>33.524999999999999</v>
      </c>
      <c r="AW31" s="19">
        <f>transition(data1!$A$2:$A$82,data1!AA$2:AA$82,-(Calculations!$F29+relativePrx*AW5))</f>
        <v>31.599999999999998</v>
      </c>
      <c r="AX31" s="19">
        <f>transition(data1!$A$2:$A$82,data1!AB$2:AB$82,-(Calculations!$F29+relativePrx*AX5))</f>
        <v>31.288888888888891</v>
      </c>
      <c r="AY31" s="19">
        <f>transition(data1!$A$2:$A$82,data1!AC$2:AC$82,-(Calculations!$F29+relativePrx*AY5))</f>
        <v>31.587500000000002</v>
      </c>
      <c r="AZ31" s="19">
        <f>transition(data1!$A$2:$A$82,data1!AD$2:AD$82,-(Calculations!$F29+relativePrx*AZ5))</f>
        <v>31.860000000000003</v>
      </c>
      <c r="BA31" s="19">
        <f>transition(data1!$A$2:$A$82,data1!AE$2:AE$82,-(Calculations!$F29+relativePrx*BA5))</f>
        <v>32.32</v>
      </c>
      <c r="BB31" s="19">
        <f>transition(data1!$A$2:$A$82,data1!AF$2:AF$82,-(Calculations!$F29+relativePrx*BB5))</f>
        <v>32.225000000000001</v>
      </c>
      <c r="BC31" s="19">
        <f>transition(data1!$A$2:$A$82,data1!AG$2:AG$82,-(Calculations!$F29+relativePrx*BC5))</f>
        <v>31.599999999999998</v>
      </c>
    </row>
    <row r="32" spans="4:66">
      <c r="E32" s="18" t="str">
        <f t="shared" si="68"/>
        <v>LO-MID</v>
      </c>
      <c r="F32" s="51" t="str">
        <f t="shared" ref="F32:F33" si="69">F31</f>
        <v>data</v>
      </c>
      <c r="G32" s="50">
        <f t="shared" ref="G32:G33" si="70">G31+1</f>
        <v>2</v>
      </c>
      <c r="H32" s="12">
        <f t="shared" ref="H32:H33" si="71">AVERAGE(X32:BC32)</f>
        <v>27.205736607142857</v>
      </c>
      <c r="I32" s="12">
        <f t="shared" ref="I32:I33" si="72">STDEV(X32:BC32)</f>
        <v>0.41027809540703331</v>
      </c>
      <c r="J32" s="12">
        <f t="shared" ref="J32:J33" si="73">AVERAGE(X32:AE32)</f>
        <v>27.394375</v>
      </c>
      <c r="K32" s="12">
        <f t="shared" ref="K32:K33" si="74">STDEV(X32:AE32)</f>
        <v>0.32324733453783516</v>
      </c>
      <c r="L32" s="12">
        <f t="shared" ref="L32:L33" si="75">AVERAGE(AF32:AM32)</f>
        <v>27.237946428571433</v>
      </c>
      <c r="M32" s="12">
        <f t="shared" ref="M32:M33" si="76">STDEV(AF32:AM32)</f>
        <v>0.54244445074365566</v>
      </c>
      <c r="N32" s="12">
        <f t="shared" ref="N32:N33" si="77">AVERAGE(AN32:AU32)</f>
        <v>26.961041666666674</v>
      </c>
      <c r="O32" s="12">
        <f t="shared" ref="O32:O33" si="78">STDEV(AN32:AU32)</f>
        <v>0.36586919500912768</v>
      </c>
      <c r="P32" s="12">
        <f t="shared" ref="P32:P33" si="79">AVERAGE(AV32:BC32)</f>
        <v>27.229583333333338</v>
      </c>
      <c r="Q32" s="12">
        <f t="shared" ref="Q32:Q33" si="80">STDEV(AV32:BC32)</f>
        <v>0.31925726054773312</v>
      </c>
      <c r="R32" s="12"/>
      <c r="S32" s="12"/>
      <c r="T32" s="12"/>
      <c r="U32" s="12"/>
      <c r="V32" s="12"/>
      <c r="W32" s="12"/>
      <c r="X32" s="19">
        <f>transition(data2!$A$2:$A$82,data2!B$2:B$82,-(Calculations!$F29+relativePrx*X6))</f>
        <v>27.060000000000002</v>
      </c>
      <c r="Y32" s="19">
        <f>transition(data2!$A$2:$A$82,data2!C$2:C$82,-(Calculations!$F29+relativePrx*Y6))</f>
        <v>27.560000000000002</v>
      </c>
      <c r="Z32" s="19">
        <f>transition(data2!$A$2:$A$82,data2!D$2:D$82,-(Calculations!$F29+relativePrx*Z6))</f>
        <v>27.475000000000001</v>
      </c>
      <c r="AA32" s="19">
        <f>transition(data2!$A$2:$A$82,data2!E$2:E$82,-(Calculations!$F29+relativePrx*AA6))</f>
        <v>27.400000000000002</v>
      </c>
      <c r="AB32" s="19">
        <f>transition(data2!$A$2:$A$82,data2!F$2:F$82,-(Calculations!$F29+relativePrx*AB6))</f>
        <v>27.7</v>
      </c>
      <c r="AC32" s="19">
        <f>transition(data2!$A$2:$A$82,data2!G$2:G$82,-(Calculations!$F29+relativePrx*AC6))</f>
        <v>27.125</v>
      </c>
      <c r="AD32" s="19">
        <f>transition(data2!$A$2:$A$82,data2!H$2:H$82,-(Calculations!$F29+relativePrx*AD6))</f>
        <v>27.875000000000004</v>
      </c>
      <c r="AE32" s="19">
        <f>transition(data2!$A$2:$A$82,data2!I$2:I$82,-(Calculations!$F29+relativePrx*AE6))</f>
        <v>26.96</v>
      </c>
      <c r="AF32" s="19">
        <f>transition(data2!$A$2:$A$82,data2!J$2:J$82,-(Calculations!$F29+relativePrx*AF6))</f>
        <v>27.340000000000003</v>
      </c>
      <c r="AG32" s="19">
        <f>transition(data2!$A$2:$A$82,data2!K$2:K$82,-(Calculations!$F29+relativePrx*AG6))</f>
        <v>26.84</v>
      </c>
      <c r="AH32" s="19">
        <f>transition(data2!$A$2:$A$82,data2!L$2:L$82,-(Calculations!$F29+relativePrx*AH6))</f>
        <v>27.340000000000003</v>
      </c>
      <c r="AI32" s="19">
        <f>transition(data2!$A$2:$A$82,data2!M$2:M$82,-(Calculations!$F29+relativePrx*AI6))</f>
        <v>27.02</v>
      </c>
      <c r="AJ32" s="19">
        <f>transition(data2!$A$2:$A$82,data2!N$2:N$82,-(Calculations!$F29+relativePrx*AJ6))</f>
        <v>26.875000000000004</v>
      </c>
      <c r="AK32" s="19">
        <f>transition(data2!$A$2:$A$82,data2!O$2:O$82,-(Calculations!$F29+relativePrx*AK6))</f>
        <v>26.528571428571428</v>
      </c>
      <c r="AL32" s="19">
        <f>transition(data2!$A$2:$A$82,data2!P$2:P$82,-(Calculations!$F29+relativePrx*AL6))</f>
        <v>28.200000000000003</v>
      </c>
      <c r="AM32" s="19">
        <f>transition(data2!$A$2:$A$82,data2!Q$2:Q$82,-(Calculations!$F29+relativePrx*AM6))</f>
        <v>27.76</v>
      </c>
      <c r="AN32" s="19">
        <f>transition(data2!$A$2:$A$82,data2!R$2:R$82,-(Calculations!$F29+relativePrx*AN6))</f>
        <v>26.725000000000001</v>
      </c>
      <c r="AO32" s="19">
        <f>transition(data2!$A$2:$A$82,data2!S$2:S$82,-(Calculations!$F29+relativePrx*AO6))</f>
        <v>27.02</v>
      </c>
      <c r="AP32" s="19">
        <f>transition(data2!$A$2:$A$82,data2!T$2:T$82,-(Calculations!$F29+relativePrx*AP6))</f>
        <v>26.366666666666667</v>
      </c>
      <c r="AQ32" s="19">
        <f>transition(data2!$A$2:$A$82,data2!U$2:U$82,-(Calculations!$F29+relativePrx*AQ6))</f>
        <v>27.540000000000003</v>
      </c>
      <c r="AR32" s="19">
        <f>transition(data2!$A$2:$A$82,data2!V$2:V$82,-(Calculations!$F29+relativePrx*AR6))</f>
        <v>27.375</v>
      </c>
      <c r="AS32" s="19">
        <f>transition(data2!$A$2:$A$82,data2!W$2:W$82,-(Calculations!$F29+relativePrx*AS6))</f>
        <v>26.875000000000004</v>
      </c>
      <c r="AT32" s="19">
        <f>transition(data2!$A$2:$A$82,data2!X$2:X$82,-(Calculations!$F29+relativePrx*AT6))</f>
        <v>26.866666666666667</v>
      </c>
      <c r="AU32" s="19">
        <f>transition(data2!$A$2:$A$82,data2!Y$2:Y$82,-(Calculations!$F29+relativePrx*AU6))</f>
        <v>26.92</v>
      </c>
      <c r="AV32" s="19">
        <f>transition(data2!$A$2:$A$82,data2!Z$2:Z$82,-(Calculations!$F29+relativePrx*AV6))</f>
        <v>27.5</v>
      </c>
      <c r="AW32" s="19">
        <f>transition(data2!$A$2:$A$82,data2!AA$2:AA$82,-(Calculations!$F29+relativePrx*AW6))</f>
        <v>26.900000000000002</v>
      </c>
      <c r="AX32" s="19">
        <f>transition(data2!$A$2:$A$82,data2!AB$2:AB$82,-(Calculations!$F29+relativePrx*AX6))</f>
        <v>26.96</v>
      </c>
      <c r="AY32" s="19">
        <f>transition(data2!$A$2:$A$82,data2!AC$2:AC$82,-(Calculations!$F29+relativePrx*AY6))</f>
        <v>26.96</v>
      </c>
      <c r="AZ32" s="19">
        <f>transition(data2!$A$2:$A$82,data2!AD$2:AD$82,-(Calculations!$F29+relativePrx*AZ6))</f>
        <v>27.200000000000003</v>
      </c>
      <c r="BA32" s="19">
        <f>transition(data2!$A$2:$A$82,data2!AE$2:AE$82,-(Calculations!$F29+relativePrx*BA6))</f>
        <v>27.25</v>
      </c>
      <c r="BB32" s="19">
        <f>transition(data2!$A$2:$A$82,data2!AF$2:AF$82,-(Calculations!$F29+relativePrx*BB6))</f>
        <v>27.85</v>
      </c>
      <c r="BC32" s="19">
        <f>transition(data2!$A$2:$A$82,data2!AG$2:AG$82,-(Calculations!$F29+relativePrx*BC6))</f>
        <v>27.216666666666669</v>
      </c>
    </row>
    <row r="33" spans="1:55">
      <c r="E33" s="18" t="str">
        <f t="shared" si="68"/>
        <v>LO</v>
      </c>
      <c r="F33" s="51" t="str">
        <f t="shared" si="69"/>
        <v>data</v>
      </c>
      <c r="G33" s="50">
        <f t="shared" si="70"/>
        <v>3</v>
      </c>
      <c r="H33" s="12">
        <f t="shared" si="71"/>
        <v>25.542008928571434</v>
      </c>
      <c r="I33" s="12">
        <f t="shared" si="72"/>
        <v>0.30277504307872538</v>
      </c>
      <c r="J33" s="12">
        <f t="shared" si="73"/>
        <v>25.605416666666674</v>
      </c>
      <c r="K33" s="12">
        <f t="shared" si="74"/>
        <v>0.23066630539395036</v>
      </c>
      <c r="L33" s="12">
        <f t="shared" si="75"/>
        <v>25.597410714285719</v>
      </c>
      <c r="M33" s="12">
        <f t="shared" si="76"/>
        <v>0.29765467643863996</v>
      </c>
      <c r="N33" s="12">
        <f t="shared" si="77"/>
        <v>25.395</v>
      </c>
      <c r="O33" s="12">
        <f t="shared" si="78"/>
        <v>0.34413621955470436</v>
      </c>
      <c r="P33" s="12">
        <f t="shared" si="79"/>
        <v>25.570208333333333</v>
      </c>
      <c r="Q33" s="12">
        <f t="shared" si="80"/>
        <v>0.33471432678569946</v>
      </c>
      <c r="R33" s="12"/>
      <c r="S33" s="12"/>
      <c r="T33" s="12"/>
      <c r="U33" s="12"/>
      <c r="V33" s="12"/>
      <c r="W33" s="12"/>
      <c r="X33" s="19">
        <f>transition(data3!$A$2:$A$82,data3!B$2:B$82,-(Calculations!$F29+relativePrx*X7))</f>
        <v>25.433333333333337</v>
      </c>
      <c r="Y33" s="19">
        <f>transition(data3!$A$2:$A$82,data3!C$2:C$82,-(Calculations!$F29+relativePrx*Y7))</f>
        <v>25.975000000000005</v>
      </c>
      <c r="Z33" s="19">
        <f>transition(data3!$A$2:$A$82,data3!D$2:D$82,-(Calculations!$F29+relativePrx*Z7))</f>
        <v>25.76</v>
      </c>
      <c r="AA33" s="19">
        <f>transition(data3!$A$2:$A$82,data3!E$2:E$82,-(Calculations!$F29+relativePrx*AA7))</f>
        <v>25.5</v>
      </c>
      <c r="AB33" s="19">
        <f>transition(data3!$A$2:$A$82,data3!F$2:F$82,-(Calculations!$F29+relativePrx*AB7))</f>
        <v>25.55</v>
      </c>
      <c r="AC33" s="19">
        <f>transition(data3!$A$2:$A$82,data3!G$2:G$82,-(Calculations!$F29+relativePrx*AC7))</f>
        <v>25.533333333333335</v>
      </c>
      <c r="AD33" s="19">
        <f>transition(data3!$A$2:$A$82,data3!H$2:H$82,-(Calculations!$F29+relativePrx*AD7))</f>
        <v>25.825000000000003</v>
      </c>
      <c r="AE33" s="19">
        <f>transition(data3!$A$2:$A$82,data3!I$2:I$82,-(Calculations!$F29+relativePrx*AE7))</f>
        <v>25.266666666666669</v>
      </c>
      <c r="AF33" s="19">
        <f>transition(data3!$A$2:$A$82,data3!J$2:J$82,-(Calculations!$F29+relativePrx*AF7))</f>
        <v>25.7</v>
      </c>
      <c r="AG33" s="19">
        <f>transition(data3!$A$2:$A$82,data3!K$2:K$82,-(Calculations!$F29+relativePrx*AG7))</f>
        <v>25.714285714285715</v>
      </c>
      <c r="AH33" s="19">
        <f>transition(data3!$A$2:$A$82,data3!L$2:L$82,-(Calculations!$F29+relativePrx*AH7))</f>
        <v>25.660000000000004</v>
      </c>
      <c r="AI33" s="19">
        <f>transition(data3!$A$2:$A$82,data3!M$2:M$82,-(Calculations!$F29+relativePrx*AI7))</f>
        <v>25.524999999999999</v>
      </c>
      <c r="AJ33" s="19">
        <f>transition(data3!$A$2:$A$82,data3!N$2:N$82,-(Calculations!$F29+relativePrx*AJ7))</f>
        <v>25.28</v>
      </c>
      <c r="AK33" s="19">
        <f>transition(data3!$A$2:$A$82,data3!O$2:O$82,-(Calculations!$F29+relativePrx*AK7))</f>
        <v>25.366666666666667</v>
      </c>
      <c r="AL33" s="19">
        <f>transition(data3!$A$2:$A$82,data3!P$2:P$82,-(Calculations!$F29+relativePrx*AL7))</f>
        <v>26.200000000000003</v>
      </c>
      <c r="AM33" s="19">
        <f>transition(data3!$A$2:$A$82,data3!Q$2:Q$82,-(Calculations!$F29+relativePrx*AM7))</f>
        <v>25.333333333333336</v>
      </c>
      <c r="AN33" s="19">
        <f>transition(data3!$A$2:$A$82,data3!R$2:R$82,-(Calculations!$F29+relativePrx*AN7))</f>
        <v>25.285714285714288</v>
      </c>
      <c r="AO33" s="19">
        <f>transition(data3!$A$2:$A$82,data3!S$2:S$82,-(Calculations!$F29+relativePrx*AO7))</f>
        <v>25.680000000000003</v>
      </c>
      <c r="AP33" s="19">
        <f>transition(data3!$A$2:$A$82,data3!T$2:T$82,-(Calculations!$F29+relativePrx*AP7))</f>
        <v>25.3</v>
      </c>
      <c r="AQ33" s="19">
        <f>transition(data3!$A$2:$A$82,data3!U$2:U$82,-(Calculations!$F29+relativePrx*AQ7))</f>
        <v>25.700000000000003</v>
      </c>
      <c r="AR33" s="19">
        <f>transition(data3!$A$2:$A$82,data3!V$2:V$82,-(Calculations!$F29+relativePrx*AR7))</f>
        <v>25.880000000000003</v>
      </c>
      <c r="AS33" s="19">
        <f>transition(data3!$A$2:$A$82,data3!W$2:W$82,-(Calculations!$F29+relativePrx*AS7))</f>
        <v>24.799999999999997</v>
      </c>
      <c r="AT33" s="19">
        <f>transition(data3!$A$2:$A$82,data3!X$2:X$82,-(Calculations!$F29+relativePrx*AT7))</f>
        <v>25.200000000000003</v>
      </c>
      <c r="AU33" s="19">
        <f>transition(data3!$A$2:$A$82,data3!Y$2:Y$82,-(Calculations!$F29+relativePrx*AU7))</f>
        <v>25.314285714285717</v>
      </c>
      <c r="AV33" s="19">
        <f>transition(data3!$A$2:$A$82,data3!Z$2:Z$82,-(Calculations!$F29+relativePrx*AV7))</f>
        <v>25.820000000000004</v>
      </c>
      <c r="AW33" s="19">
        <f>transition(data3!$A$2:$A$82,data3!AA$2:AA$82,-(Calculations!$F29+relativePrx*AW7))</f>
        <v>25.46</v>
      </c>
      <c r="AX33" s="19">
        <f>transition(data3!$A$2:$A$82,data3!AB$2:AB$82,-(Calculations!$F29+relativePrx*AX7))</f>
        <v>25.7</v>
      </c>
      <c r="AY33" s="19">
        <f>transition(data3!$A$2:$A$82,data3!AC$2:AC$82,-(Calculations!$F29+relativePrx*AY7))</f>
        <v>25.5</v>
      </c>
      <c r="AZ33" s="19">
        <f>transition(data3!$A$2:$A$82,data3!AD$2:AD$82,-(Calculations!$F29+relativePrx*AZ7))</f>
        <v>25.64</v>
      </c>
      <c r="BA33" s="19">
        <f>transition(data3!$A$2:$A$82,data3!AE$2:AE$82,-(Calculations!$F29+relativePrx*BA7))</f>
        <v>25.375</v>
      </c>
      <c r="BB33" s="19">
        <f>transition(data3!$A$2:$A$82,data3!AF$2:AF$82,-(Calculations!$F29+relativePrx*BB7))</f>
        <v>26.1</v>
      </c>
      <c r="BC33" s="19">
        <f>transition(data3!$A$2:$A$82,data3!AG$2:AG$82,-(Calculations!$F29+relativePrx*BC7))</f>
        <v>24.966666666666669</v>
      </c>
    </row>
    <row r="34" spans="1:55"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</row>
    <row r="35" spans="1:55">
      <c r="E35" s="18" t="s">
        <v>5</v>
      </c>
      <c r="F35" s="23">
        <f>F23*5</f>
        <v>0.5</v>
      </c>
      <c r="H35" s="18" t="s">
        <v>6</v>
      </c>
      <c r="I35" s="18" t="s">
        <v>7</v>
      </c>
      <c r="J35" s="33" t="str">
        <f t="shared" ref="J35:Q35" si="81">H35</f>
        <v>Mean</v>
      </c>
      <c r="K35" s="33" t="str">
        <f t="shared" si="81"/>
        <v>Stdev</v>
      </c>
      <c r="L35" s="33" t="str">
        <f t="shared" si="81"/>
        <v>Mean</v>
      </c>
      <c r="M35" s="33" t="str">
        <f t="shared" si="81"/>
        <v>Stdev</v>
      </c>
      <c r="N35" s="33" t="str">
        <f t="shared" si="81"/>
        <v>Mean</v>
      </c>
      <c r="O35" s="33" t="str">
        <f t="shared" si="81"/>
        <v>Stdev</v>
      </c>
      <c r="P35" s="33" t="str">
        <f t="shared" si="81"/>
        <v>Mean</v>
      </c>
      <c r="Q35" s="33" t="str">
        <f t="shared" si="81"/>
        <v>Stdev</v>
      </c>
      <c r="AO35" s="18"/>
      <c r="AP35" s="18"/>
      <c r="AQ35" s="18"/>
      <c r="AR35" s="18"/>
      <c r="AS35" s="18"/>
      <c r="AT35" s="18"/>
      <c r="AU35" s="18"/>
      <c r="AV35" s="18"/>
      <c r="AW35" s="18"/>
    </row>
    <row r="36" spans="1:55">
      <c r="E36" s="18" t="str">
        <f>E30</f>
        <v>HI</v>
      </c>
      <c r="F36" s="51" t="s">
        <v>8</v>
      </c>
      <c r="G36" s="50">
        <v>0</v>
      </c>
      <c r="H36" s="12">
        <f t="shared" ref="H36:H37" si="82">AVERAGE(X36:BC36)</f>
        <v>16.393655563186815</v>
      </c>
      <c r="I36" s="12">
        <f t="shared" ref="I36:I37" si="83">STDEV(X36:BC36)</f>
        <v>8.0792326195165354E-2</v>
      </c>
      <c r="J36" s="12">
        <f>AVERAGE(X36:AE36)</f>
        <v>16.420625000000001</v>
      </c>
      <c r="K36" s="12">
        <f>STDEV(X36:AE36)</f>
        <v>7.1797706887377119E-2</v>
      </c>
      <c r="L36" s="12">
        <f>AVERAGE(AF36:AM36)</f>
        <v>16.373534226190475</v>
      </c>
      <c r="M36" s="12">
        <f>STDEV(AF36:AM36)</f>
        <v>8.0236486246585956E-2</v>
      </c>
      <c r="N36" s="12">
        <f>AVERAGE(AN36:AU36)</f>
        <v>16.36949233058608</v>
      </c>
      <c r="O36" s="12">
        <f>STDEV(AN36:AU36)</f>
        <v>5.3257579552786954E-2</v>
      </c>
      <c r="P36" s="12">
        <f>AVERAGE(AV36:BC36)</f>
        <v>16.410970695970697</v>
      </c>
      <c r="Q36" s="12">
        <f>STDEV(AV36:BC36)</f>
        <v>0.11033586694207546</v>
      </c>
      <c r="R36" s="12"/>
      <c r="S36" s="12"/>
      <c r="T36" s="12"/>
      <c r="U36" s="12"/>
      <c r="V36" s="12"/>
      <c r="W36" s="12"/>
      <c r="X36" s="19">
        <f>transition(data0!$A$2:$A$82,data0!B$2:B$82,-(Calculations!$F35+relativePrx*X4))</f>
        <v>16.331250000000001</v>
      </c>
      <c r="Y36" s="19">
        <f>transition(data0!$A$2:$A$82,data0!C$2:C$82,-(Calculations!$F35+relativePrx*Y4))</f>
        <v>16.518750000000001</v>
      </c>
      <c r="Z36" s="19">
        <f>transition(data0!$A$2:$A$82,data0!D$2:D$82,-(Calculations!$F35+relativePrx*Z4))</f>
        <v>16.443750000000001</v>
      </c>
      <c r="AA36" s="19">
        <f>transition(data0!$A$2:$A$82,data0!E$2:E$82,-(Calculations!$F35+relativePrx*AA4))</f>
        <v>16.412499999999998</v>
      </c>
      <c r="AB36" s="19">
        <f>transition(data0!$A$2:$A$82,data0!F$2:F$82,-(Calculations!$F35+relativePrx*AB4))</f>
        <v>16.34375</v>
      </c>
      <c r="AC36" s="19">
        <f>transition(data0!$A$2:$A$82,data0!G$2:G$82,-(Calculations!$F35+relativePrx*AC4))</f>
        <v>16.52</v>
      </c>
      <c r="AD36" s="19">
        <f>transition(data0!$A$2:$A$82,data0!H$2:H$82,-(Calculations!$F35+relativePrx*AD4))</f>
        <v>16.419999999999998</v>
      </c>
      <c r="AE36" s="19">
        <f>transition(data0!$A$2:$A$82,data0!I$2:I$82,-(Calculations!$F35+relativePrx*AE4))</f>
        <v>16.375</v>
      </c>
      <c r="AF36" s="19">
        <f>transition(data0!$A$2:$A$82,data0!J$2:J$82,-(Calculations!$F35+relativePrx*AF4))</f>
        <v>16.40625</v>
      </c>
      <c r="AG36" s="19">
        <f>transition(data0!$A$2:$A$82,data0!K$2:K$82,-(Calculations!$F35+relativePrx*AG4))</f>
        <v>16.326666666666664</v>
      </c>
      <c r="AH36" s="19">
        <f>transition(data0!$A$2:$A$82,data0!L$2:L$82,-(Calculations!$F35+relativePrx*AH4))</f>
        <v>16.399999999999999</v>
      </c>
      <c r="AI36" s="19">
        <f>transition(data0!$A$2:$A$82,data0!M$2:M$82,-(Calculations!$F35+relativePrx*AI4))</f>
        <v>16.3125</v>
      </c>
      <c r="AJ36" s="19">
        <f>transition(data0!$A$2:$A$82,data0!N$2:N$82,-(Calculations!$F35+relativePrx*AJ4))</f>
        <v>16.287499999999998</v>
      </c>
      <c r="AK36" s="19">
        <f>transition(data0!$A$2:$A$82,data0!O$2:O$82,-(Calculations!$F35+relativePrx*AK4))</f>
        <v>16.337499999999999</v>
      </c>
      <c r="AL36" s="19">
        <f>transition(data0!$A$2:$A$82,data0!P$2:P$82,-(Calculations!$F35+relativePrx*AL4))</f>
        <v>16.542857142857144</v>
      </c>
      <c r="AM36" s="19">
        <f>transition(data0!$A$2:$A$82,data0!Q$2:Q$82,-(Calculations!$F35+relativePrx*AM4))</f>
        <v>16.375</v>
      </c>
      <c r="AN36" s="19">
        <f>transition(data0!$A$2:$A$82,data0!R$2:R$82,-(Calculations!$F35+relativePrx*AN4))</f>
        <v>16.375</v>
      </c>
      <c r="AO36" s="19">
        <f>transition(data0!$A$2:$A$82,data0!S$2:S$82,-(Calculations!$F35+relativePrx*AO4))</f>
        <v>16.333333333333332</v>
      </c>
      <c r="AP36" s="19">
        <f>transition(data0!$A$2:$A$82,data0!T$2:T$82,-(Calculations!$F35+relativePrx*AP4))</f>
        <v>16.335714285714285</v>
      </c>
      <c r="AQ36" s="19">
        <f>transition(data0!$A$2:$A$82,data0!U$2:U$82,-(Calculations!$F35+relativePrx*AQ4))</f>
        <v>16.40625</v>
      </c>
      <c r="AR36" s="19">
        <f>transition(data0!$A$2:$A$82,data0!V$2:V$82,-(Calculations!$F35+relativePrx*AR4))</f>
        <v>16.293333333333333</v>
      </c>
      <c r="AS36" s="19">
        <f>transition(data0!$A$2:$A$82,data0!W$2:W$82,-(Calculations!$F35+relativePrx*AS4))</f>
        <v>16.353333333333332</v>
      </c>
      <c r="AT36" s="19">
        <f>transition(data0!$A$2:$A$82,data0!X$2:X$82,-(Calculations!$F35+relativePrx*AT4))</f>
        <v>16.392307692307693</v>
      </c>
      <c r="AU36" s="19">
        <f>transition(data0!$A$2:$A$82,data0!Y$2:Y$82,-(Calculations!$F35+relativePrx*AU4))</f>
        <v>16.466666666666665</v>
      </c>
      <c r="AV36" s="19">
        <f>transition(data0!$A$2:$A$82,data0!Z$2:Z$82,-(Calculations!$F35+relativePrx*AV4))</f>
        <v>16.487500000000001</v>
      </c>
      <c r="AW36" s="19">
        <f>transition(data0!$A$2:$A$82,data0!AA$2:AA$82,-(Calculations!$F35+relativePrx*AW4))</f>
        <v>16.3</v>
      </c>
      <c r="AX36" s="19">
        <f>transition(data0!$A$2:$A$82,data0!AB$2:AB$82,-(Calculations!$F35+relativePrx*AX4))</f>
        <v>16.318749999999998</v>
      </c>
      <c r="AY36" s="19">
        <f>transition(data0!$A$2:$A$82,data0!AC$2:AC$82,-(Calculations!$F35+relativePrx*AY4))</f>
        <v>16.381250000000001</v>
      </c>
      <c r="AZ36" s="19">
        <f>transition(data0!$A$2:$A$82,data0!AD$2:AD$82,-(Calculations!$F35+relativePrx*AZ4))</f>
        <v>16.3125</v>
      </c>
      <c r="BA36" s="19">
        <f>transition(data0!$A$2:$A$82,data0!AE$2:AE$82,-(Calculations!$F35+relativePrx*BA4))</f>
        <v>16.485714285714284</v>
      </c>
      <c r="BB36" s="19">
        <f>transition(data0!$A$2:$A$82,data0!AF$2:AF$82,-(Calculations!$F35+relativePrx*BB4))</f>
        <v>16.615384615384617</v>
      </c>
      <c r="BC36" s="19">
        <f>transition(data0!$A$2:$A$82,data0!AG$2:AG$82,-(Calculations!$F35+relativePrx*BC4))</f>
        <v>16.386666666666667</v>
      </c>
    </row>
    <row r="37" spans="1:55">
      <c r="E37" s="18" t="str">
        <f t="shared" ref="E37:E39" si="84">E31</f>
        <v>HI-MID</v>
      </c>
      <c r="F37" s="51" t="str">
        <f>F36</f>
        <v>data</v>
      </c>
      <c r="G37" s="50">
        <f>G36+1</f>
        <v>1</v>
      </c>
      <c r="H37" s="12">
        <f t="shared" si="82"/>
        <v>21.12670733780109</v>
      </c>
      <c r="I37" s="12">
        <f t="shared" si="83"/>
        <v>0.2082862232046406</v>
      </c>
      <c r="J37" s="12">
        <f>AVERAGE(X37:AE37)</f>
        <v>21.330303030303032</v>
      </c>
      <c r="K37" s="12">
        <f>STDEV(X37:AE37)</f>
        <v>0.19755976311019854</v>
      </c>
      <c r="L37" s="12">
        <f>AVERAGE(AF37:AM37)</f>
        <v>21.110959595959596</v>
      </c>
      <c r="M37" s="12">
        <f>STDEV(AF37:AM37)</f>
        <v>0.13672488891842619</v>
      </c>
      <c r="N37" s="12">
        <f>AVERAGE(AN37:AU37)</f>
        <v>21.036607142857143</v>
      </c>
      <c r="O37" s="12">
        <f>STDEV(AN37:AU37)</f>
        <v>0.15196045911781389</v>
      </c>
      <c r="P37" s="12">
        <f>AVERAGE(AV37:BC37)</f>
        <v>21.028959582084585</v>
      </c>
      <c r="Q37" s="12">
        <f>STDEV(AV37:BC37)</f>
        <v>0.20846170917529741</v>
      </c>
      <c r="R37" s="12"/>
      <c r="S37" s="12"/>
      <c r="T37" s="12"/>
      <c r="U37" s="12"/>
      <c r="V37" s="12"/>
      <c r="W37" s="12"/>
      <c r="X37" s="19">
        <f>transition(data1!$A$2:$A$82,data1!B$2:B$82,-(Calculations!$F35+relativePrx*X5))</f>
        <v>21.141666666666669</v>
      </c>
      <c r="Y37" s="19">
        <f>transition(data1!$A$2:$A$82,data1!C$2:C$82,-(Calculations!$F35+relativePrx*Y5))</f>
        <v>21.327272727272728</v>
      </c>
      <c r="Z37" s="19">
        <f>transition(data1!$A$2:$A$82,data1!D$2:D$82,-(Calculations!$F35+relativePrx*Z5))</f>
        <v>21.500000000000004</v>
      </c>
      <c r="AA37" s="19">
        <f>transition(data1!$A$2:$A$82,data1!E$2:E$82,-(Calculations!$F35+relativePrx*AA5))</f>
        <v>21.391666666666669</v>
      </c>
      <c r="AB37" s="19">
        <f>transition(data1!$A$2:$A$82,data1!F$2:F$82,-(Calculations!$F35+relativePrx*AB5))</f>
        <v>21.381818181818183</v>
      </c>
      <c r="AC37" s="19">
        <f>transition(data1!$A$2:$A$82,data1!G$2:G$82,-(Calculations!$F35+relativePrx*AC5))</f>
        <v>21.523076923076925</v>
      </c>
      <c r="AD37" s="19">
        <f>transition(data1!$A$2:$A$82,data1!H$2:H$82,-(Calculations!$F35+relativePrx*AD5))</f>
        <v>21.438461538461539</v>
      </c>
      <c r="AE37" s="19">
        <f>transition(data1!$A$2:$A$82,data1!I$2:I$82,-(Calculations!$F35+relativePrx*AE5))</f>
        <v>20.938461538461542</v>
      </c>
      <c r="AF37" s="19">
        <f>transition(data1!$A$2:$A$82,data1!J$2:J$82,-(Calculations!$F35+relativePrx*AF5))</f>
        <v>21.1</v>
      </c>
      <c r="AG37" s="19">
        <f>transition(data1!$A$2:$A$82,data1!K$2:K$82,-(Calculations!$F35+relativePrx*AG5))</f>
        <v>21.25555555555556</v>
      </c>
      <c r="AH37" s="19">
        <f>transition(data1!$A$2:$A$82,data1!L$2:L$82,-(Calculations!$F35+relativePrx*AH5))</f>
        <v>21.275000000000002</v>
      </c>
      <c r="AI37" s="19">
        <f>transition(data1!$A$2:$A$82,data1!M$2:M$82,-(Calculations!$F35+relativePrx*AI5))</f>
        <v>20.941666666666666</v>
      </c>
      <c r="AJ37" s="19">
        <f>transition(data1!$A$2:$A$82,data1!N$2:N$82,-(Calculations!$F35+relativePrx*AJ5))</f>
        <v>20.954545454545457</v>
      </c>
      <c r="AK37" s="19">
        <f>transition(data1!$A$2:$A$82,data1!O$2:O$82,-(Calculations!$F35+relativePrx*AK5))</f>
        <v>20.981818181818184</v>
      </c>
      <c r="AL37" s="19">
        <f>transition(data1!$A$2:$A$82,data1!P$2:P$82,-(Calculations!$F35+relativePrx*AL5))</f>
        <v>21.209090909090911</v>
      </c>
      <c r="AM37" s="19">
        <f>transition(data1!$A$2:$A$82,data1!Q$2:Q$82,-(Calculations!$F35+relativePrx*AM5))</f>
        <v>21.169999999999998</v>
      </c>
      <c r="AN37" s="19">
        <f>transition(data1!$A$2:$A$82,data1!R$2:R$82,-(Calculations!$F35+relativePrx*AN5))</f>
        <v>20.858333333333334</v>
      </c>
      <c r="AO37" s="19">
        <f>transition(data1!$A$2:$A$82,data1!S$2:S$82,-(Calculations!$F35+relativePrx*AO5))</f>
        <v>20.900000000000002</v>
      </c>
      <c r="AP37" s="19">
        <f>transition(data1!$A$2:$A$82,data1!T$2:T$82,-(Calculations!$F35+relativePrx*AP5))</f>
        <v>20.941666666666666</v>
      </c>
      <c r="AQ37" s="19">
        <f>transition(data1!$A$2:$A$82,data1!U$2:U$82,-(Calculations!$F35+relativePrx*AQ5))</f>
        <v>21.236363636363638</v>
      </c>
      <c r="AR37" s="19">
        <f>transition(data1!$A$2:$A$82,data1!V$2:V$82,-(Calculations!$F35+relativePrx*AR5))</f>
        <v>21.263636363636365</v>
      </c>
      <c r="AS37" s="19">
        <f>transition(data1!$A$2:$A$82,data1!W$2:W$82,-(Calculations!$F35+relativePrx*AS5))</f>
        <v>21.114285714285714</v>
      </c>
      <c r="AT37" s="19">
        <f>transition(data1!$A$2:$A$82,data1!X$2:X$82,-(Calculations!$F35+relativePrx*AT5))</f>
        <v>20.978571428571428</v>
      </c>
      <c r="AU37" s="19">
        <f>transition(data1!$A$2:$A$82,data1!Y$2:Y$82,-(Calculations!$F35+relativePrx*AU5))</f>
        <v>21</v>
      </c>
      <c r="AV37" s="19">
        <f>transition(data1!$A$2:$A$82,data1!Z$2:Z$82,-(Calculations!$F35+relativePrx*AV5))</f>
        <v>21.25714285714286</v>
      </c>
      <c r="AW37" s="19">
        <f>transition(data1!$A$2:$A$82,data1!AA$2:AA$82,-(Calculations!$F35+relativePrx*AW5))</f>
        <v>20.827272727272728</v>
      </c>
      <c r="AX37" s="19">
        <f>transition(data1!$A$2:$A$82,data1!AB$2:AB$82,-(Calculations!$F35+relativePrx*AX5))</f>
        <v>20.991666666666667</v>
      </c>
      <c r="AY37" s="19">
        <f>transition(data1!$A$2:$A$82,data1!AC$2:AC$82,-(Calculations!$F35+relativePrx*AY5))</f>
        <v>21</v>
      </c>
      <c r="AZ37" s="19">
        <f>transition(data1!$A$2:$A$82,data1!AD$2:AD$82,-(Calculations!$F35+relativePrx*AZ5))</f>
        <v>21.123076923076926</v>
      </c>
      <c r="BA37" s="19">
        <f>transition(data1!$A$2:$A$82,data1!AE$2:AE$82,-(Calculations!$F35+relativePrx*BA5))</f>
        <v>21.146153846153847</v>
      </c>
      <c r="BB37" s="19">
        <f>transition(data1!$A$2:$A$82,data1!AF$2:AF$82,-(Calculations!$F35+relativePrx*BB5))</f>
        <v>21.236363636363638</v>
      </c>
      <c r="BC37" s="19">
        <f>transition(data1!$A$2:$A$82,data1!AG$2:AG$82,-(Calculations!$F35+relativePrx*BC5))</f>
        <v>20.650000000000002</v>
      </c>
    </row>
    <row r="38" spans="1:55">
      <c r="E38" s="18" t="str">
        <f t="shared" si="84"/>
        <v>LO-MID</v>
      </c>
      <c r="F38" s="51" t="str">
        <f t="shared" ref="F38:F39" si="85">F37</f>
        <v>data</v>
      </c>
      <c r="G38" s="50">
        <f t="shared" ref="G38:G39" si="86">G37+1</f>
        <v>2</v>
      </c>
      <c r="H38" s="12">
        <f t="shared" ref="H38:H39" si="87">AVERAGE(X38:BC38)</f>
        <v>17.691041321576709</v>
      </c>
      <c r="I38" s="12">
        <f t="shared" ref="I38:I39" si="88">STDEV(X38:BC38)</f>
        <v>0.10933776131803642</v>
      </c>
      <c r="J38" s="12">
        <f t="shared" ref="J38:J39" si="89">AVERAGE(X38:AE38)</f>
        <v>17.736264880952383</v>
      </c>
      <c r="K38" s="12">
        <f t="shared" ref="K38:K39" si="90">STDEV(X38:AE38)</f>
        <v>6.9956369707253413E-2</v>
      </c>
      <c r="L38" s="12">
        <f t="shared" ref="L38:L39" si="91">AVERAGE(AF38:AM38)</f>
        <v>17.661502976190476</v>
      </c>
      <c r="M38" s="12">
        <f t="shared" ref="M38:M39" si="92">STDEV(AF38:AM38)</f>
        <v>9.7375399803026841E-2</v>
      </c>
      <c r="N38" s="12">
        <f t="shared" ref="N38:N39" si="93">AVERAGE(AN38:AU38)</f>
        <v>17.637487745098042</v>
      </c>
      <c r="O38" s="12">
        <f t="shared" ref="O38:O39" si="94">STDEV(AN38:AU38)</f>
        <v>8.964744477182246E-2</v>
      </c>
      <c r="P38" s="12">
        <f t="shared" ref="P38:P39" si="95">AVERAGE(AV38:BC38)</f>
        <v>17.728909684065933</v>
      </c>
      <c r="Q38" s="12">
        <f t="shared" ref="Q38:Q39" si="96">STDEV(AV38:BC38)</f>
        <v>0.14926102793011115</v>
      </c>
      <c r="R38" s="12"/>
      <c r="S38" s="12"/>
      <c r="T38" s="12"/>
      <c r="U38" s="12"/>
      <c r="V38" s="12"/>
      <c r="W38" s="12"/>
      <c r="X38" s="19">
        <f>transition(data2!$A$2:$A$82,data2!B$2:B$82,-(Calculations!$F35+relativePrx*X6))</f>
        <v>17.661538461538463</v>
      </c>
      <c r="Y38" s="19">
        <f>transition(data2!$A$2:$A$82,data2!C$2:C$82,-(Calculations!$F35+relativePrx*Y6))</f>
        <v>17.82</v>
      </c>
      <c r="Z38" s="19">
        <f>transition(data2!$A$2:$A$82,data2!D$2:D$82,-(Calculations!$F35+relativePrx*Z6))</f>
        <v>17.814285714285717</v>
      </c>
      <c r="AA38" s="19">
        <f>transition(data2!$A$2:$A$82,data2!E$2:E$82,-(Calculations!$F35+relativePrx*AA6))</f>
        <v>17.715384615384618</v>
      </c>
      <c r="AB38" s="19">
        <f>transition(data2!$A$2:$A$82,data2!F$2:F$82,-(Calculations!$F35+relativePrx*AB6))</f>
        <v>17.720000000000002</v>
      </c>
      <c r="AC38" s="19">
        <f>transition(data2!$A$2:$A$82,data2!G$2:G$82,-(Calculations!$F35+relativePrx*AC6))</f>
        <v>17.773333333333333</v>
      </c>
      <c r="AD38" s="19">
        <f>transition(data2!$A$2:$A$82,data2!H$2:H$82,-(Calculations!$F35+relativePrx*AD6))</f>
        <v>17.762499999999999</v>
      </c>
      <c r="AE38" s="19">
        <f>transition(data2!$A$2:$A$82,data2!I$2:I$82,-(Calculations!$F35+relativePrx*AE6))</f>
        <v>17.623076923076923</v>
      </c>
      <c r="AF38" s="19">
        <f>transition(data2!$A$2:$A$82,data2!J$2:J$82,-(Calculations!$F35+relativePrx*AF6))</f>
        <v>17.746666666666666</v>
      </c>
      <c r="AG38" s="19">
        <f>transition(data2!$A$2:$A$82,data2!K$2:K$82,-(Calculations!$F35+relativePrx*AG6))</f>
        <v>17.650000000000002</v>
      </c>
      <c r="AH38" s="19">
        <f>transition(data2!$A$2:$A$82,data2!L$2:L$82,-(Calculations!$F35+relativePrx*AH6))</f>
        <v>17.685714285714287</v>
      </c>
      <c r="AI38" s="19">
        <f>transition(data2!$A$2:$A$82,data2!M$2:M$82,-(Calculations!$F35+relativePrx*AI6))</f>
        <v>17.64</v>
      </c>
      <c r="AJ38" s="19">
        <f>transition(data2!$A$2:$A$82,data2!N$2:N$82,-(Calculations!$F35+relativePrx*AJ6))</f>
        <v>17.512500000000003</v>
      </c>
      <c r="AK38" s="19">
        <f>transition(data2!$A$2:$A$82,data2!O$2:O$82,-(Calculations!$F35+relativePrx*AK6))</f>
        <v>17.600000000000001</v>
      </c>
      <c r="AL38" s="19">
        <f>transition(data2!$A$2:$A$82,data2!P$2:P$82,-(Calculations!$F35+relativePrx*AL6))</f>
        <v>17.835714285714285</v>
      </c>
      <c r="AM38" s="19">
        <f>transition(data2!$A$2:$A$82,data2!Q$2:Q$82,-(Calculations!$F35+relativePrx*AM6))</f>
        <v>17.62142857142857</v>
      </c>
      <c r="AN38" s="19">
        <f>transition(data2!$A$2:$A$82,data2!R$2:R$82,-(Calculations!$F35+relativePrx*AN6))</f>
        <v>17.482352941176472</v>
      </c>
      <c r="AO38" s="19">
        <f>transition(data2!$A$2:$A$82,data2!S$2:S$82,-(Calculations!$F35+relativePrx*AO6))</f>
        <v>17.575000000000003</v>
      </c>
      <c r="AP38" s="19">
        <f>transition(data2!$A$2:$A$82,data2!T$2:T$82,-(Calculations!$F35+relativePrx*AP6))</f>
        <v>17.605882352941176</v>
      </c>
      <c r="AQ38" s="19">
        <f>transition(data2!$A$2:$A$82,data2!U$2:U$82,-(Calculations!$F35+relativePrx*AQ6))</f>
        <v>17.746666666666666</v>
      </c>
      <c r="AR38" s="19">
        <f>transition(data2!$A$2:$A$82,data2!V$2:V$82,-(Calculations!$F35+relativePrx*AR6))</f>
        <v>17.642857142857142</v>
      </c>
      <c r="AS38" s="19">
        <f>transition(data2!$A$2:$A$82,data2!W$2:W$82,-(Calculations!$F35+relativePrx*AS6))</f>
        <v>17.700000000000003</v>
      </c>
      <c r="AT38" s="19">
        <f>transition(data2!$A$2:$A$82,data2!X$2:X$82,-(Calculations!$F35+relativePrx*AT6))</f>
        <v>17.607142857142858</v>
      </c>
      <c r="AU38" s="19">
        <f>transition(data2!$A$2:$A$82,data2!Y$2:Y$82,-(Calculations!$F35+relativePrx*AU6))</f>
        <v>17.740000000000002</v>
      </c>
      <c r="AV38" s="19">
        <f>transition(data2!$A$2:$A$82,data2!Z$2:Z$82,-(Calculations!$F35+relativePrx*AV6))</f>
        <v>17.726666666666667</v>
      </c>
      <c r="AW38" s="19">
        <f>transition(data2!$A$2:$A$82,data2!AA$2:AA$82,-(Calculations!$F35+relativePrx*AW6))</f>
        <v>17.62142857142857</v>
      </c>
      <c r="AX38" s="19">
        <f>transition(data2!$A$2:$A$82,data2!AB$2:AB$82,-(Calculations!$F35+relativePrx*AX6))</f>
        <v>17.62142857142857</v>
      </c>
      <c r="AY38" s="19">
        <f>transition(data2!$A$2:$A$82,data2!AC$2:AC$82,-(Calculations!$F35+relativePrx*AY6))</f>
        <v>17.764285714285716</v>
      </c>
      <c r="AZ38" s="19">
        <f>transition(data2!$A$2:$A$82,data2!AD$2:AD$82,-(Calculations!$F35+relativePrx*AZ6))</f>
        <v>17.673333333333336</v>
      </c>
      <c r="BA38" s="19">
        <f>transition(data2!$A$2:$A$82,data2!AE$2:AE$82,-(Calculations!$F35+relativePrx*BA6))</f>
        <v>17.740000000000002</v>
      </c>
      <c r="BB38" s="19">
        <f>transition(data2!$A$2:$A$82,data2!AF$2:AF$82,-(Calculations!$F35+relativePrx*BB6))</f>
        <v>18.068750000000001</v>
      </c>
      <c r="BC38" s="19">
        <f>transition(data2!$A$2:$A$82,data2!AG$2:AG$82,-(Calculations!$F35+relativePrx*BC6))</f>
        <v>17.615384615384617</v>
      </c>
    </row>
    <row r="39" spans="1:55">
      <c r="E39" s="18" t="str">
        <f t="shared" si="84"/>
        <v>LO</v>
      </c>
      <c r="F39" s="51" t="str">
        <f t="shared" si="85"/>
        <v>data</v>
      </c>
      <c r="G39" s="50">
        <f t="shared" si="86"/>
        <v>3</v>
      </c>
      <c r="H39" s="12">
        <f t="shared" si="87"/>
        <v>16.391744317518675</v>
      </c>
      <c r="I39" s="12">
        <f t="shared" si="88"/>
        <v>0.10533935040648799</v>
      </c>
      <c r="J39" s="12">
        <f t="shared" si="89"/>
        <v>16.433854166666666</v>
      </c>
      <c r="K39" s="12">
        <f t="shared" si="90"/>
        <v>7.5959063092387133E-2</v>
      </c>
      <c r="L39" s="12">
        <f t="shared" si="91"/>
        <v>16.366617647058824</v>
      </c>
      <c r="M39" s="12">
        <f t="shared" si="92"/>
        <v>9.6073071043234107E-2</v>
      </c>
      <c r="N39" s="12">
        <f t="shared" si="93"/>
        <v>16.332924107142858</v>
      </c>
      <c r="O39" s="12">
        <f t="shared" si="94"/>
        <v>5.9062613282165652E-2</v>
      </c>
      <c r="P39" s="12">
        <f t="shared" si="95"/>
        <v>16.433581349206346</v>
      </c>
      <c r="Q39" s="12">
        <f t="shared" si="96"/>
        <v>0.14815645623634546</v>
      </c>
      <c r="R39" s="12"/>
      <c r="S39" s="12"/>
      <c r="T39" s="12"/>
      <c r="U39" s="12"/>
      <c r="V39" s="12"/>
      <c r="W39" s="12"/>
      <c r="X39" s="19">
        <f>transition(data3!$A$2:$A$82,data3!B$2:B$82,-(Calculations!$F35+relativePrx*X7))</f>
        <v>16.350000000000001</v>
      </c>
      <c r="Y39" s="19">
        <f>transition(data3!$A$2:$A$82,data3!C$2:C$82,-(Calculations!$F35+relativePrx*Y7))</f>
        <v>16.600000000000005</v>
      </c>
      <c r="Z39" s="19">
        <f>transition(data3!$A$2:$A$82,data3!D$2:D$82,-(Calculations!$F35+relativePrx*Z7))</f>
        <v>16.419999999999998</v>
      </c>
      <c r="AA39" s="19">
        <f>transition(data3!$A$2:$A$82,data3!E$2:E$82,-(Calculations!$F35+relativePrx*AA7))</f>
        <v>16.40625</v>
      </c>
      <c r="AB39" s="19">
        <f>transition(data3!$A$2:$A$82,data3!F$2:F$82,-(Calculations!$F35+relativePrx*AB7))</f>
        <v>16.413333333333334</v>
      </c>
      <c r="AC39" s="19">
        <f>transition(data3!$A$2:$A$82,data3!G$2:G$82,-(Calculations!$F35+relativePrx*AC7))</f>
        <v>16.473333333333333</v>
      </c>
      <c r="AD39" s="19">
        <f>transition(data3!$A$2:$A$82,data3!H$2:H$82,-(Calculations!$F35+relativePrx*AD7))</f>
        <v>16.426666666666666</v>
      </c>
      <c r="AE39" s="19">
        <f>transition(data3!$A$2:$A$82,data3!I$2:I$82,-(Calculations!$F35+relativePrx*AE7))</f>
        <v>16.381249999999998</v>
      </c>
      <c r="AF39" s="19">
        <f>transition(data3!$A$2:$A$82,data3!J$2:J$82,-(Calculations!$F35+relativePrx*AF7))</f>
        <v>16.475000000000001</v>
      </c>
      <c r="AG39" s="19">
        <f>transition(data3!$A$2:$A$82,data3!K$2:K$82,-(Calculations!$F35+relativePrx*AG7))</f>
        <v>16.306249999999999</v>
      </c>
      <c r="AH39" s="19">
        <f>transition(data3!$A$2:$A$82,data3!L$2:L$82,-(Calculations!$F35+relativePrx*AH7))</f>
        <v>16.352941176470587</v>
      </c>
      <c r="AI39" s="19">
        <f>transition(data3!$A$2:$A$82,data3!M$2:M$82,-(Calculations!$F35+relativePrx*AI7))</f>
        <v>16.3</v>
      </c>
      <c r="AJ39" s="19">
        <f>transition(data3!$A$2:$A$82,data3!N$2:N$82,-(Calculations!$F35+relativePrx*AJ7))</f>
        <v>16.28125</v>
      </c>
      <c r="AK39" s="19">
        <f>transition(data3!$A$2:$A$82,data3!O$2:O$82,-(Calculations!$F35+relativePrx*AK7))</f>
        <v>16.337499999999999</v>
      </c>
      <c r="AL39" s="19">
        <f>transition(data3!$A$2:$A$82,data3!P$2:P$82,-(Calculations!$F35+relativePrx*AL7))</f>
        <v>16.553333333333335</v>
      </c>
      <c r="AM39" s="19">
        <f>transition(data3!$A$2:$A$82,data3!Q$2:Q$82,-(Calculations!$F35+relativePrx*AM7))</f>
        <v>16.326666666666664</v>
      </c>
      <c r="AN39" s="19">
        <f>transition(data3!$A$2:$A$82,data3!R$2:R$82,-(Calculations!$F35+relativePrx*AN7))</f>
        <v>16.335714285714285</v>
      </c>
      <c r="AO39" s="19">
        <f>transition(data3!$A$2:$A$82,data3!S$2:S$82,-(Calculations!$F35+relativePrx*AO7))</f>
        <v>16.34375</v>
      </c>
      <c r="AP39" s="19">
        <f>transition(data3!$A$2:$A$82,data3!T$2:T$82,-(Calculations!$F35+relativePrx*AP7))</f>
        <v>16.25</v>
      </c>
      <c r="AQ39" s="19">
        <f>transition(data3!$A$2:$A$82,data3!U$2:U$82,-(Calculations!$F35+relativePrx*AQ7))</f>
        <v>16.40625</v>
      </c>
      <c r="AR39" s="19">
        <f>transition(data3!$A$2:$A$82,data3!V$2:V$82,-(Calculations!$F35+relativePrx*AR7))</f>
        <v>16.28125</v>
      </c>
      <c r="AS39" s="19">
        <f>transition(data3!$A$2:$A$82,data3!W$2:W$82,-(Calculations!$F35+relativePrx*AS7))</f>
        <v>16.293749999999999</v>
      </c>
      <c r="AT39" s="19">
        <f>transition(data3!$A$2:$A$82,data3!X$2:X$82,-(Calculations!$F35+relativePrx*AT7))</f>
        <v>16.331250000000001</v>
      </c>
      <c r="AU39" s="19">
        <f>transition(data3!$A$2:$A$82,data3!Y$2:Y$82,-(Calculations!$F35+relativePrx*AU7))</f>
        <v>16.421428571428571</v>
      </c>
      <c r="AV39" s="19">
        <f>transition(data3!$A$2:$A$82,data3!Z$2:Z$82,-(Calculations!$F35+relativePrx*AV7))</f>
        <v>16.5</v>
      </c>
      <c r="AW39" s="19">
        <f>transition(data3!$A$2:$A$82,data3!AA$2:AA$82,-(Calculations!$F35+relativePrx*AW7))</f>
        <v>16.255555555555556</v>
      </c>
      <c r="AX39" s="19">
        <f>transition(data3!$A$2:$A$82,data3!AB$2:AB$82,-(Calculations!$F35+relativePrx*AX7))</f>
        <v>16.333333333333332</v>
      </c>
      <c r="AY39" s="19">
        <f>transition(data3!$A$2:$A$82,data3!AC$2:AC$82,-(Calculations!$F35+relativePrx*AY7))</f>
        <v>16.333333333333332</v>
      </c>
      <c r="AZ39" s="19">
        <f>transition(data3!$A$2:$A$82,data3!AD$2:AD$82,-(Calculations!$F35+relativePrx*AZ7))</f>
        <v>16.507142857142856</v>
      </c>
      <c r="BA39" s="19">
        <f>transition(data3!$A$2:$A$82,data3!AE$2:AE$82,-(Calculations!$F35+relativePrx*BA7))</f>
        <v>16.507142857142856</v>
      </c>
      <c r="BB39" s="19">
        <f>transition(data3!$A$2:$A$82,data3!AF$2:AF$82,-(Calculations!$F35+relativePrx*BB7))</f>
        <v>16.707142857142859</v>
      </c>
      <c r="BC39" s="19">
        <f>transition(data3!$A$2:$A$82,data3!AG$2:AG$82,-(Calculations!$F35+relativePrx*BC7))</f>
        <v>16.324999999999999</v>
      </c>
    </row>
    <row r="41" spans="1:55"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</row>
    <row r="42" spans="1:55">
      <c r="D42" s="103" t="str">
        <f>data0!A1</f>
        <v>HI</v>
      </c>
      <c r="E42" s="103"/>
      <c r="F42" s="103"/>
      <c r="G42" s="103"/>
      <c r="H42" s="103"/>
      <c r="I42" s="103"/>
      <c r="J42" s="103" t="str">
        <f>data1!A1</f>
        <v>HI-MID</v>
      </c>
      <c r="K42" s="103"/>
      <c r="L42" s="105" t="str">
        <f>data2!A1</f>
        <v>LO-MID</v>
      </c>
      <c r="M42" s="105"/>
      <c r="N42" s="105" t="str">
        <f>data3!A1</f>
        <v>LO</v>
      </c>
      <c r="O42" s="105"/>
      <c r="P42" s="103" t="s">
        <v>19</v>
      </c>
      <c r="Q42" s="103"/>
      <c r="R42" s="103"/>
      <c r="S42" s="103" t="s">
        <v>75</v>
      </c>
      <c r="T42" s="103"/>
      <c r="U42" s="103"/>
      <c r="V42" s="103"/>
      <c r="W42" s="103"/>
      <c r="Z42" s="104" t="str">
        <f>Summary!B34</f>
        <v>29147 Proximity Sweep: 6% Reflector , 77% Xmit @ 850nm</v>
      </c>
      <c r="AA42" s="104"/>
      <c r="AB42" s="104"/>
      <c r="AC42" s="104"/>
      <c r="AD42" s="104"/>
      <c r="AE42" s="104"/>
      <c r="AF42" s="104"/>
      <c r="AG42" s="104"/>
      <c r="AH42" s="104"/>
      <c r="AI42" s="104" t="str">
        <f>Summary!I34</f>
        <v>29147 Range Distribution (10%): 6% Reflector , 77% Xmit @ 850nm</v>
      </c>
      <c r="AJ42" s="104"/>
      <c r="AK42" s="104"/>
      <c r="AL42" s="104"/>
      <c r="AM42" s="104"/>
      <c r="AN42" s="104"/>
      <c r="AO42" s="104"/>
      <c r="AP42" s="104"/>
    </row>
    <row r="43" spans="1:55">
      <c r="A43" s="107" t="s">
        <v>73</v>
      </c>
      <c r="B43" s="107"/>
      <c r="D43" s="66" t="s">
        <v>69</v>
      </c>
      <c r="E43" s="41" t="s">
        <v>0</v>
      </c>
      <c r="F43" s="66" t="s">
        <v>70</v>
      </c>
      <c r="G43" s="18" t="s">
        <v>71</v>
      </c>
      <c r="H43" s="41" t="s">
        <v>72</v>
      </c>
      <c r="I43" s="33" t="s">
        <v>1</v>
      </c>
      <c r="J43" s="33" t="str">
        <f>E43</f>
        <v>mean</v>
      </c>
      <c r="K43" s="33" t="str">
        <f t="shared" ref="K43:O43" si="97">I43</f>
        <v>stdev</v>
      </c>
      <c r="L43" s="33" t="str">
        <f t="shared" si="97"/>
        <v>mean</v>
      </c>
      <c r="M43" s="33" t="str">
        <f t="shared" si="97"/>
        <v>stdev</v>
      </c>
      <c r="N43" s="33" t="str">
        <f t="shared" si="97"/>
        <v>mean</v>
      </c>
      <c r="O43" s="33" t="str">
        <f t="shared" si="97"/>
        <v>stdev</v>
      </c>
      <c r="P43" s="33" t="str">
        <f>J42</f>
        <v>HI-MID</v>
      </c>
      <c r="Q43" s="33" t="str">
        <f>L42</f>
        <v>LO-MID</v>
      </c>
      <c r="R43" s="33" t="str">
        <f>N42</f>
        <v>LO</v>
      </c>
      <c r="S43" s="41"/>
      <c r="T43" s="41" t="str">
        <f>D43</f>
        <v>-1.5σ</v>
      </c>
      <c r="U43" s="41" t="str">
        <f>E43</f>
        <v>mean</v>
      </c>
      <c r="V43" s="41" t="str">
        <f>F43</f>
        <v>+1.5σ</v>
      </c>
      <c r="W43" s="41" t="s">
        <v>76</v>
      </c>
      <c r="AR43" s="103" t="s">
        <v>18</v>
      </c>
      <c r="AS43" s="103"/>
      <c r="AT43" s="103"/>
    </row>
    <row r="44" spans="1:55" ht="15.75">
      <c r="A44" s="108" t="s">
        <v>74</v>
      </c>
      <c r="B44" s="108"/>
      <c r="C44" s="54">
        <f>B3</f>
        <v>1.6</v>
      </c>
      <c r="D44" s="27">
        <f t="shared" ref="D44:D75" si="98">E44-1.5*I44</f>
        <v>0.99899999999999889</v>
      </c>
      <c r="E44" s="55">
        <f>AVERAGE(data0!B2:AG2)</f>
        <v>0.99899999999999956</v>
      </c>
      <c r="F44" s="27">
        <f t="shared" ref="F44:F75" si="99">E44+1.5*I44</f>
        <v>0.99900000000000022</v>
      </c>
      <c r="G44" s="18">
        <f>MAX(data0!B2:AG2)</f>
        <v>0.999</v>
      </c>
      <c r="H44" s="27">
        <f t="shared" ref="H44:H75" si="100">E44-H$4</f>
        <v>0.88585049019607798</v>
      </c>
      <c r="I44" s="55">
        <f>STDEV(data0!B2:AG2)</f>
        <v>4.5119508840297763E-16</v>
      </c>
      <c r="J44" s="55">
        <f>AVERAGE(data1!B2:AG2)</f>
        <v>0.99899999999999956</v>
      </c>
      <c r="K44" s="55">
        <f>STDEV(data1!B2:AG2)</f>
        <v>4.5119508840297763E-16</v>
      </c>
      <c r="L44" s="56">
        <f>AVERAGE(data2!B2:AG2)</f>
        <v>0.99899999999999956</v>
      </c>
      <c r="M44" s="56">
        <f>STDEV(data2!B2:AG2)</f>
        <v>4.5119508840297763E-16</v>
      </c>
      <c r="N44" s="56">
        <f>AVERAGE(data3!B2:AG2)</f>
        <v>0.99899999999999956</v>
      </c>
      <c r="O44" s="56">
        <f>STDEV(data3!B2:AG2)</f>
        <v>4.5119508840297763E-16</v>
      </c>
      <c r="P44" s="18">
        <f t="shared" ref="P44:P75" si="101">(E44-relativePrx*$H$4)/(J44-relativePrx*$H$5)</f>
        <v>0.91583511131607886</v>
      </c>
      <c r="Q44" s="18">
        <f t="shared" ref="Q44:Q75" si="102">(J44-relativePrx*$H$5)/(L44-relativePrx*$H$6)</f>
        <v>1.0763981321870431</v>
      </c>
      <c r="R44" s="18">
        <f t="shared" ref="R44:R75" si="103">(L44-relativePrx*$H$6)/(N44-relativePrx*$H$7)</f>
        <v>1.01384022763787</v>
      </c>
      <c r="S44" s="19">
        <f>C44</f>
        <v>1.6</v>
      </c>
      <c r="T44" s="27">
        <f>D44-$H$4</f>
        <v>0.88585049019607731</v>
      </c>
      <c r="U44" s="27">
        <f>H44</f>
        <v>0.88585049019607798</v>
      </c>
      <c r="V44" s="27">
        <f>F44-$H$4</f>
        <v>0.88585049019607864</v>
      </c>
      <c r="W44" s="27">
        <f>MAX(A$45*C44^B$45-$H$4,0)</f>
        <v>3.3073367535718297</v>
      </c>
      <c r="AR44" s="18" t="s">
        <v>14</v>
      </c>
      <c r="AS44" s="18">
        <f>(AS53-AS45)/8</f>
        <v>0.40625</v>
      </c>
      <c r="AT44" s="18" t="s">
        <v>17</v>
      </c>
    </row>
    <row r="45" spans="1:55">
      <c r="A45" s="67">
        <v>5.9867999999999997</v>
      </c>
      <c r="B45" s="67">
        <v>-1.1910000000000001</v>
      </c>
      <c r="C45" s="54">
        <f t="shared" ref="C45:C76" si="104">C44+$B$4</f>
        <v>2.6</v>
      </c>
      <c r="D45" s="27">
        <f t="shared" si="98"/>
        <v>0.99899999999999889</v>
      </c>
      <c r="E45" s="55">
        <f>AVERAGE(data0!B3:AG3)</f>
        <v>0.99899999999999956</v>
      </c>
      <c r="F45" s="27">
        <f t="shared" si="99"/>
        <v>0.99900000000000022</v>
      </c>
      <c r="G45" s="18">
        <f>MAX(data0!B3:AG3)</f>
        <v>0.999</v>
      </c>
      <c r="H45" s="27">
        <f t="shared" si="100"/>
        <v>0.88585049019607798</v>
      </c>
      <c r="I45" s="55">
        <f>STDEV(data0!B3:AG3)</f>
        <v>4.5119508840297763E-16</v>
      </c>
      <c r="J45" s="55">
        <f>AVERAGE(data1!B3:AG3)</f>
        <v>0.99899999999999956</v>
      </c>
      <c r="K45" s="55">
        <f>STDEV(data1!B3:AG3)</f>
        <v>4.5119508840297763E-16</v>
      </c>
      <c r="L45" s="56">
        <f>AVERAGE(data2!B3:AG3)</f>
        <v>0.99899999999999956</v>
      </c>
      <c r="M45" s="56">
        <f>STDEV(data2!B3:AG3)</f>
        <v>4.5119508840297763E-16</v>
      </c>
      <c r="N45" s="56">
        <f>AVERAGE(data3!B3:AG3)</f>
        <v>0.99899999999999956</v>
      </c>
      <c r="O45" s="56">
        <f>STDEV(data3!B3:AG3)</f>
        <v>4.5119508840297763E-16</v>
      </c>
      <c r="P45" s="18">
        <f t="shared" si="101"/>
        <v>0.91583511131607886</v>
      </c>
      <c r="Q45" s="18">
        <f t="shared" si="102"/>
        <v>1.0763981321870431</v>
      </c>
      <c r="R45" s="18">
        <f t="shared" si="103"/>
        <v>1.01384022763787</v>
      </c>
      <c r="S45" s="19">
        <f t="shared" ref="S45:S108" si="105">C45</f>
        <v>2.6</v>
      </c>
      <c r="T45" s="27">
        <f t="shared" ref="T45:T108" si="106">D45-$H$4</f>
        <v>0.88585049019607731</v>
      </c>
      <c r="U45" s="27">
        <f t="shared" ref="U45:U108" si="107">H45</f>
        <v>0.88585049019607798</v>
      </c>
      <c r="V45" s="27">
        <f t="shared" ref="V45:V108" si="108">F45-$H$4</f>
        <v>0.88585049019607864</v>
      </c>
      <c r="W45" s="27">
        <f t="shared" ref="W45:W108" si="109">MAX(A$45*C45^B$45-$H$4,0)</f>
        <v>1.8053491164360511</v>
      </c>
      <c r="AR45" s="19" t="s">
        <v>15</v>
      </c>
      <c r="AS45" s="12">
        <f>MIN(X24:BC24)</f>
        <v>32.75</v>
      </c>
      <c r="AT45" s="41">
        <f t="shared" ref="AT45:AT53" si="110">HISTOGRAM(X$24:BC$24,AS$45:AS$53,AS45)</f>
        <v>1</v>
      </c>
    </row>
    <row r="46" spans="1:55">
      <c r="A46" s="103" t="str">
        <f>"Y="&amp;A45&amp;"X^"&amp;B45&amp;" - "&amp;INT(H4*1000)/1000</f>
        <v>Y=5.9868X^-1.191 - 0.113</v>
      </c>
      <c r="B46" s="103"/>
      <c r="C46" s="54">
        <f t="shared" si="104"/>
        <v>3.6</v>
      </c>
      <c r="D46" s="27">
        <f t="shared" si="98"/>
        <v>0.99899999999999889</v>
      </c>
      <c r="E46" s="55">
        <f>AVERAGE(data0!B4:AG4)</f>
        <v>0.99899999999999956</v>
      </c>
      <c r="F46" s="27">
        <f t="shared" si="99"/>
        <v>0.99900000000000022</v>
      </c>
      <c r="G46" s="18">
        <f>MAX(data0!B4:AG4)</f>
        <v>0.999</v>
      </c>
      <c r="H46" s="27">
        <f t="shared" si="100"/>
        <v>0.88585049019607798</v>
      </c>
      <c r="I46" s="55">
        <f>STDEV(data0!B4:AG4)</f>
        <v>4.5119508840297763E-16</v>
      </c>
      <c r="J46" s="55">
        <f>AVERAGE(data1!B4:AG4)</f>
        <v>0.99899999999999956</v>
      </c>
      <c r="K46" s="55">
        <f>STDEV(data1!B4:AG4)</f>
        <v>4.5119508840297763E-16</v>
      </c>
      <c r="L46" s="56">
        <f>AVERAGE(data2!B4:AG4)</f>
        <v>0.99899999999999956</v>
      </c>
      <c r="M46" s="56">
        <f>STDEV(data2!B4:AG4)</f>
        <v>4.5119508840297763E-16</v>
      </c>
      <c r="N46" s="56">
        <f>AVERAGE(data3!B4:AG4)</f>
        <v>0.99899999999999956</v>
      </c>
      <c r="O46" s="56">
        <f>STDEV(data3!B4:AG4)</f>
        <v>4.5119508840297763E-16</v>
      </c>
      <c r="P46" s="18">
        <f t="shared" si="101"/>
        <v>0.91583511131607886</v>
      </c>
      <c r="Q46" s="18">
        <f t="shared" si="102"/>
        <v>1.0763981321870431</v>
      </c>
      <c r="R46" s="18">
        <f t="shared" si="103"/>
        <v>1.01384022763787</v>
      </c>
      <c r="S46" s="19">
        <f t="shared" si="105"/>
        <v>3.6</v>
      </c>
      <c r="T46" s="27">
        <f t="shared" si="106"/>
        <v>0.88585049019607731</v>
      </c>
      <c r="U46" s="27">
        <f t="shared" si="107"/>
        <v>0.88585049019607798</v>
      </c>
      <c r="V46" s="27">
        <f t="shared" si="108"/>
        <v>0.88585049019607864</v>
      </c>
      <c r="W46" s="27">
        <f t="shared" si="109"/>
        <v>1.1889328989113435</v>
      </c>
      <c r="AR46" s="19"/>
      <c r="AS46" s="12">
        <f t="shared" ref="AS46:AS52" si="111">AS45+AS$44</f>
        <v>33.15625</v>
      </c>
      <c r="AT46" s="41">
        <f t="shared" si="110"/>
        <v>0</v>
      </c>
    </row>
    <row r="47" spans="1:55">
      <c r="C47" s="54">
        <f t="shared" si="104"/>
        <v>4.5999999999999996</v>
      </c>
      <c r="D47" s="27">
        <f t="shared" si="98"/>
        <v>0.99899999999999889</v>
      </c>
      <c r="E47" s="55">
        <f>AVERAGE(data0!B5:AG5)</f>
        <v>0.99899999999999956</v>
      </c>
      <c r="F47" s="27">
        <f t="shared" si="99"/>
        <v>0.99900000000000022</v>
      </c>
      <c r="G47" s="18">
        <f>MAX(data0!B5:AG5)</f>
        <v>0.999</v>
      </c>
      <c r="H47" s="27">
        <f t="shared" si="100"/>
        <v>0.88585049019607798</v>
      </c>
      <c r="I47" s="55">
        <f>STDEV(data0!B5:AG5)</f>
        <v>4.5119508840297763E-16</v>
      </c>
      <c r="J47" s="55">
        <f>AVERAGE(data1!B5:AG5)</f>
        <v>0.99899999999999956</v>
      </c>
      <c r="K47" s="55">
        <f>STDEV(data1!B5:AG5)</f>
        <v>4.5119508840297763E-16</v>
      </c>
      <c r="L47" s="56">
        <f>AVERAGE(data2!B5:AG5)</f>
        <v>0.99899999999999956</v>
      </c>
      <c r="M47" s="56">
        <f>STDEV(data2!B5:AG5)</f>
        <v>4.5119508840297763E-16</v>
      </c>
      <c r="N47" s="56">
        <f>AVERAGE(data3!B5:AG5)</f>
        <v>0.99899999999999956</v>
      </c>
      <c r="O47" s="56">
        <f>STDEV(data3!B5:AG5)</f>
        <v>4.5119508840297763E-16</v>
      </c>
      <c r="P47" s="18">
        <f t="shared" si="101"/>
        <v>0.91583511131607886</v>
      </c>
      <c r="Q47" s="18">
        <f t="shared" si="102"/>
        <v>1.0763981321870431</v>
      </c>
      <c r="R47" s="18">
        <f t="shared" si="103"/>
        <v>1.01384022763787</v>
      </c>
      <c r="S47" s="19">
        <f t="shared" si="105"/>
        <v>4.5999999999999996</v>
      </c>
      <c r="T47" s="27">
        <f t="shared" si="106"/>
        <v>0.88585049019607731</v>
      </c>
      <c r="U47" s="27">
        <f t="shared" si="107"/>
        <v>0.88585049019607798</v>
      </c>
      <c r="V47" s="27">
        <f t="shared" si="108"/>
        <v>0.88585049019607864</v>
      </c>
      <c r="W47" s="27">
        <f t="shared" si="109"/>
        <v>0.85926218313368907</v>
      </c>
      <c r="AR47" s="19"/>
      <c r="AS47" s="12">
        <f t="shared" si="111"/>
        <v>33.5625</v>
      </c>
      <c r="AT47" s="41">
        <f t="shared" si="110"/>
        <v>2</v>
      </c>
    </row>
    <row r="48" spans="1:55">
      <c r="C48" s="54">
        <f t="shared" si="104"/>
        <v>5.6</v>
      </c>
      <c r="D48" s="27">
        <f t="shared" si="98"/>
        <v>0.99899999999999889</v>
      </c>
      <c r="E48" s="55">
        <f>AVERAGE(data0!B6:AG6)</f>
        <v>0.99899999999999956</v>
      </c>
      <c r="F48" s="27">
        <f t="shared" si="99"/>
        <v>0.99900000000000022</v>
      </c>
      <c r="G48" s="18">
        <f>MAX(data0!B6:AG6)</f>
        <v>0.999</v>
      </c>
      <c r="H48" s="27">
        <f t="shared" si="100"/>
        <v>0.88585049019607798</v>
      </c>
      <c r="I48" s="55">
        <f>STDEV(data0!B6:AG6)</f>
        <v>4.5119508840297763E-16</v>
      </c>
      <c r="J48" s="55">
        <f>AVERAGE(data1!B6:AG6)</f>
        <v>0.99899999999999956</v>
      </c>
      <c r="K48" s="55">
        <f>STDEV(data1!B6:AG6)</f>
        <v>4.5119508840297763E-16</v>
      </c>
      <c r="L48" s="56">
        <f>AVERAGE(data2!B6:AG6)</f>
        <v>0.99899999999999956</v>
      </c>
      <c r="M48" s="56">
        <f>STDEV(data2!B6:AG6)</f>
        <v>4.5119508840297763E-16</v>
      </c>
      <c r="N48" s="56">
        <f>AVERAGE(data3!B6:AG6)</f>
        <v>0.99899999999999956</v>
      </c>
      <c r="O48" s="56">
        <f>STDEV(data3!B6:AG6)</f>
        <v>4.5119508840297763E-16</v>
      </c>
      <c r="P48" s="18">
        <f t="shared" si="101"/>
        <v>0.91583511131607886</v>
      </c>
      <c r="Q48" s="18">
        <f t="shared" si="102"/>
        <v>1.0763981321870431</v>
      </c>
      <c r="R48" s="18">
        <f t="shared" si="103"/>
        <v>1.01384022763787</v>
      </c>
      <c r="S48" s="19">
        <f t="shared" si="105"/>
        <v>5.6</v>
      </c>
      <c r="T48" s="27">
        <f t="shared" si="106"/>
        <v>0.88585049019607731</v>
      </c>
      <c r="U48" s="27">
        <f t="shared" si="107"/>
        <v>0.88585049019607798</v>
      </c>
      <c r="V48" s="27">
        <f t="shared" si="108"/>
        <v>0.88585049019607864</v>
      </c>
      <c r="W48" s="27">
        <f t="shared" si="109"/>
        <v>0.65616302702677898</v>
      </c>
      <c r="AR48" s="19"/>
      <c r="AS48" s="12">
        <f t="shared" si="111"/>
        <v>33.96875</v>
      </c>
      <c r="AT48" s="41">
        <f t="shared" si="110"/>
        <v>6</v>
      </c>
    </row>
    <row r="49" spans="3:46">
      <c r="C49" s="54">
        <f t="shared" si="104"/>
        <v>6.6</v>
      </c>
      <c r="D49" s="27">
        <f t="shared" si="98"/>
        <v>0.99899999999999889</v>
      </c>
      <c r="E49" s="55">
        <f>AVERAGE(data0!B7:AG7)</f>
        <v>0.99899999999999956</v>
      </c>
      <c r="F49" s="27">
        <f t="shared" si="99"/>
        <v>0.99900000000000022</v>
      </c>
      <c r="G49" s="18">
        <f>MAX(data0!B7:AG7)</f>
        <v>0.999</v>
      </c>
      <c r="H49" s="27">
        <f t="shared" si="100"/>
        <v>0.88585049019607798</v>
      </c>
      <c r="I49" s="55">
        <f>STDEV(data0!B7:AG7)</f>
        <v>4.5119508840297763E-16</v>
      </c>
      <c r="J49" s="55">
        <f>AVERAGE(data1!B7:AG7)</f>
        <v>0.99899999999999956</v>
      </c>
      <c r="K49" s="55">
        <f>STDEV(data1!B7:AG7)</f>
        <v>4.5119508840297763E-16</v>
      </c>
      <c r="L49" s="56">
        <f>AVERAGE(data2!B7:AG7)</f>
        <v>0.99899999999999956</v>
      </c>
      <c r="M49" s="56">
        <f>STDEV(data2!B7:AG7)</f>
        <v>4.5119508840297763E-16</v>
      </c>
      <c r="N49" s="56">
        <f>AVERAGE(data3!B7:AG7)</f>
        <v>0.99899999999999956</v>
      </c>
      <c r="O49" s="56">
        <f>STDEV(data3!B7:AG7)</f>
        <v>4.5119508840297763E-16</v>
      </c>
      <c r="P49" s="18">
        <f t="shared" si="101"/>
        <v>0.91583511131607886</v>
      </c>
      <c r="Q49" s="18">
        <f t="shared" si="102"/>
        <v>1.0763981321870431</v>
      </c>
      <c r="R49" s="18">
        <f t="shared" si="103"/>
        <v>1.01384022763787</v>
      </c>
      <c r="S49" s="19">
        <f t="shared" si="105"/>
        <v>6.6</v>
      </c>
      <c r="T49" s="27">
        <f t="shared" si="106"/>
        <v>0.88585049019607731</v>
      </c>
      <c r="U49" s="27">
        <f t="shared" si="107"/>
        <v>0.88585049019607798</v>
      </c>
      <c r="V49" s="27">
        <f t="shared" si="108"/>
        <v>0.88585049019607864</v>
      </c>
      <c r="W49" s="27">
        <f t="shared" si="109"/>
        <v>0.51943408189462759</v>
      </c>
      <c r="AR49" s="19"/>
      <c r="AS49" s="12">
        <f t="shared" si="111"/>
        <v>34.375</v>
      </c>
      <c r="AT49" s="41">
        <f t="shared" si="110"/>
        <v>7</v>
      </c>
    </row>
    <row r="50" spans="3:46">
      <c r="C50" s="54">
        <f t="shared" si="104"/>
        <v>7.6</v>
      </c>
      <c r="D50" s="27">
        <f t="shared" si="98"/>
        <v>0.99899999999999889</v>
      </c>
      <c r="E50" s="55">
        <f>AVERAGE(data0!B8:AG8)</f>
        <v>0.99899999999999956</v>
      </c>
      <c r="F50" s="27">
        <f t="shared" si="99"/>
        <v>0.99900000000000022</v>
      </c>
      <c r="G50" s="18">
        <f>MAX(data0!B8:AG8)</f>
        <v>0.999</v>
      </c>
      <c r="H50" s="27">
        <f t="shared" si="100"/>
        <v>0.88585049019607798</v>
      </c>
      <c r="I50" s="55">
        <f>STDEV(data0!B8:AG8)</f>
        <v>4.5119508840297763E-16</v>
      </c>
      <c r="J50" s="55">
        <f>AVERAGE(data1!B8:AG8)</f>
        <v>0.99899999999999956</v>
      </c>
      <c r="K50" s="55">
        <f>STDEV(data1!B8:AG8)</f>
        <v>4.5119508840297763E-16</v>
      </c>
      <c r="L50" s="56">
        <f>AVERAGE(data2!B8:AG8)</f>
        <v>0.99899999999999956</v>
      </c>
      <c r="M50" s="56">
        <f>STDEV(data2!B8:AG8)</f>
        <v>4.5119508840297763E-16</v>
      </c>
      <c r="N50" s="56">
        <f>AVERAGE(data3!B8:AG8)</f>
        <v>0.99899999999999956</v>
      </c>
      <c r="O50" s="56">
        <f>STDEV(data3!B8:AG8)</f>
        <v>4.5119508840297763E-16</v>
      </c>
      <c r="P50" s="18">
        <f t="shared" si="101"/>
        <v>0.91583511131607886</v>
      </c>
      <c r="Q50" s="18">
        <f t="shared" si="102"/>
        <v>1.0763981321870431</v>
      </c>
      <c r="R50" s="18">
        <f t="shared" si="103"/>
        <v>1.01384022763787</v>
      </c>
      <c r="S50" s="19">
        <f t="shared" si="105"/>
        <v>7.6</v>
      </c>
      <c r="T50" s="27">
        <f t="shared" si="106"/>
        <v>0.88585049019607731</v>
      </c>
      <c r="U50" s="27">
        <f t="shared" si="107"/>
        <v>0.88585049019607798</v>
      </c>
      <c r="V50" s="27">
        <f t="shared" si="108"/>
        <v>0.88585049019607864</v>
      </c>
      <c r="W50" s="27">
        <f t="shared" si="109"/>
        <v>0.42159429470796694</v>
      </c>
      <c r="AR50" s="19"/>
      <c r="AS50" s="12">
        <f t="shared" si="111"/>
        <v>34.78125</v>
      </c>
      <c r="AT50" s="41">
        <f t="shared" si="110"/>
        <v>4</v>
      </c>
    </row>
    <row r="51" spans="3:46">
      <c r="C51" s="54">
        <f t="shared" si="104"/>
        <v>8.6</v>
      </c>
      <c r="D51" s="27">
        <f t="shared" si="98"/>
        <v>0.99899999999999889</v>
      </c>
      <c r="E51" s="55">
        <f>AVERAGE(data0!B9:AG9)</f>
        <v>0.99899999999999956</v>
      </c>
      <c r="F51" s="27">
        <f t="shared" si="99"/>
        <v>0.99900000000000022</v>
      </c>
      <c r="G51" s="18">
        <f>MAX(data0!B9:AG9)</f>
        <v>0.999</v>
      </c>
      <c r="H51" s="27">
        <f t="shared" si="100"/>
        <v>0.88585049019607798</v>
      </c>
      <c r="I51" s="55">
        <f>STDEV(data0!B9:AG9)</f>
        <v>4.5119508840297763E-16</v>
      </c>
      <c r="J51" s="55">
        <f>AVERAGE(data1!B9:AG9)</f>
        <v>0.99899999999999956</v>
      </c>
      <c r="K51" s="55">
        <f>STDEV(data1!B9:AG9)</f>
        <v>4.5119508840297763E-16</v>
      </c>
      <c r="L51" s="56">
        <f>AVERAGE(data2!B9:AG9)</f>
        <v>0.99899999999999956</v>
      </c>
      <c r="M51" s="56">
        <f>STDEV(data2!B9:AG9)</f>
        <v>4.5119508840297763E-16</v>
      </c>
      <c r="N51" s="56">
        <f>AVERAGE(data3!B9:AG9)</f>
        <v>0.99899999999999956</v>
      </c>
      <c r="O51" s="56">
        <f>STDEV(data3!B9:AG9)</f>
        <v>4.5119508840297763E-16</v>
      </c>
      <c r="P51" s="18">
        <f t="shared" si="101"/>
        <v>0.91583511131607886</v>
      </c>
      <c r="Q51" s="18">
        <f t="shared" si="102"/>
        <v>1.0763981321870431</v>
      </c>
      <c r="R51" s="18">
        <f t="shared" si="103"/>
        <v>1.01384022763787</v>
      </c>
      <c r="S51" s="19">
        <f t="shared" si="105"/>
        <v>8.6</v>
      </c>
      <c r="T51" s="27">
        <f t="shared" si="106"/>
        <v>0.88585049019607731</v>
      </c>
      <c r="U51" s="27">
        <f t="shared" si="107"/>
        <v>0.88585049019607798</v>
      </c>
      <c r="V51" s="27">
        <f t="shared" si="108"/>
        <v>0.88585049019607864</v>
      </c>
      <c r="W51" s="27">
        <f t="shared" si="109"/>
        <v>0.34838809780809171</v>
      </c>
      <c r="AR51" s="19"/>
      <c r="AS51" s="12">
        <f t="shared" si="111"/>
        <v>35.1875</v>
      </c>
      <c r="AT51" s="41">
        <f t="shared" si="110"/>
        <v>3</v>
      </c>
    </row>
    <row r="52" spans="3:46">
      <c r="C52" s="54">
        <f t="shared" si="104"/>
        <v>9.6</v>
      </c>
      <c r="D52" s="27">
        <f t="shared" si="98"/>
        <v>0.99899999999999889</v>
      </c>
      <c r="E52" s="55">
        <f>AVERAGE(data0!B10:AG10)</f>
        <v>0.99899999999999956</v>
      </c>
      <c r="F52" s="27">
        <f t="shared" si="99"/>
        <v>0.99900000000000022</v>
      </c>
      <c r="G52" s="18">
        <f>MAX(data0!B10:AG10)</f>
        <v>0.999</v>
      </c>
      <c r="H52" s="27">
        <f t="shared" si="100"/>
        <v>0.88585049019607798</v>
      </c>
      <c r="I52" s="55">
        <f>STDEV(data0!B10:AG10)</f>
        <v>4.5119508840297763E-16</v>
      </c>
      <c r="J52" s="55">
        <f>AVERAGE(data1!B10:AG10)</f>
        <v>0.99899999999999956</v>
      </c>
      <c r="K52" s="55">
        <f>STDEV(data1!B10:AG10)</f>
        <v>4.5119508840297763E-16</v>
      </c>
      <c r="L52" s="56">
        <f>AVERAGE(data2!B10:AG10)</f>
        <v>0.99899999999999956</v>
      </c>
      <c r="M52" s="56">
        <f>STDEV(data2!B10:AG10)</f>
        <v>4.5119508840297763E-16</v>
      </c>
      <c r="N52" s="56">
        <f>AVERAGE(data3!B10:AG10)</f>
        <v>0.99899999999999956</v>
      </c>
      <c r="O52" s="56">
        <f>STDEV(data3!B10:AG10)</f>
        <v>4.5119508840297763E-16</v>
      </c>
      <c r="P52" s="18">
        <f t="shared" si="101"/>
        <v>0.91583511131607886</v>
      </c>
      <c r="Q52" s="18">
        <f t="shared" si="102"/>
        <v>1.0763981321870431</v>
      </c>
      <c r="R52" s="18">
        <f t="shared" si="103"/>
        <v>1.01384022763787</v>
      </c>
      <c r="S52" s="19">
        <f t="shared" si="105"/>
        <v>9.6</v>
      </c>
      <c r="T52" s="27">
        <f t="shared" si="106"/>
        <v>0.88585049019607731</v>
      </c>
      <c r="U52" s="27">
        <f t="shared" si="107"/>
        <v>0.88585049019607798</v>
      </c>
      <c r="V52" s="27">
        <f t="shared" si="108"/>
        <v>0.88585049019607864</v>
      </c>
      <c r="W52" s="27">
        <f t="shared" si="109"/>
        <v>0.29171500280668855</v>
      </c>
      <c r="AR52" s="19"/>
      <c r="AS52" s="12">
        <f t="shared" si="111"/>
        <v>35.59375</v>
      </c>
      <c r="AT52" s="41">
        <f t="shared" si="110"/>
        <v>6</v>
      </c>
    </row>
    <row r="53" spans="3:46">
      <c r="C53" s="54">
        <f t="shared" si="104"/>
        <v>10.6</v>
      </c>
      <c r="D53" s="27">
        <f t="shared" si="98"/>
        <v>0.99899999999999889</v>
      </c>
      <c r="E53" s="55">
        <f>AVERAGE(data0!B11:AG11)</f>
        <v>0.99899999999999956</v>
      </c>
      <c r="F53" s="27">
        <f t="shared" si="99"/>
        <v>0.99900000000000022</v>
      </c>
      <c r="G53" s="18">
        <f>MAX(data0!B11:AG11)</f>
        <v>0.999</v>
      </c>
      <c r="H53" s="27">
        <f t="shared" si="100"/>
        <v>0.88585049019607798</v>
      </c>
      <c r="I53" s="55">
        <f>STDEV(data0!B11:AG11)</f>
        <v>4.5119508840297763E-16</v>
      </c>
      <c r="J53" s="55">
        <f>AVERAGE(data1!B11:AG11)</f>
        <v>0.99899999999999956</v>
      </c>
      <c r="K53" s="55">
        <f>STDEV(data1!B11:AG11)</f>
        <v>4.5119508840297763E-16</v>
      </c>
      <c r="L53" s="56">
        <f>AVERAGE(data2!B11:AG11)</f>
        <v>0.99899999999999956</v>
      </c>
      <c r="M53" s="56">
        <f>STDEV(data2!B11:AG11)</f>
        <v>4.5119508840297763E-16</v>
      </c>
      <c r="N53" s="56">
        <f>AVERAGE(data3!B11:AG11)</f>
        <v>0.99899999999999956</v>
      </c>
      <c r="O53" s="56">
        <f>STDEV(data3!B11:AG11)</f>
        <v>4.5119508840297763E-16</v>
      </c>
      <c r="P53" s="18">
        <f t="shared" si="101"/>
        <v>0.91583511131607886</v>
      </c>
      <c r="Q53" s="18">
        <f t="shared" si="102"/>
        <v>1.0763981321870431</v>
      </c>
      <c r="R53" s="18">
        <f t="shared" si="103"/>
        <v>1.01384022763787</v>
      </c>
      <c r="S53" s="19">
        <f t="shared" si="105"/>
        <v>10.6</v>
      </c>
      <c r="T53" s="27">
        <f t="shared" si="106"/>
        <v>0.88585049019607731</v>
      </c>
      <c r="U53" s="27">
        <f t="shared" si="107"/>
        <v>0.88585049019607798</v>
      </c>
      <c r="V53" s="27">
        <f t="shared" si="108"/>
        <v>0.88585049019607864</v>
      </c>
      <c r="W53" s="27">
        <f t="shared" si="109"/>
        <v>0.24664577245996544</v>
      </c>
      <c r="AR53" s="19" t="s">
        <v>16</v>
      </c>
      <c r="AS53" s="12">
        <f>MAX(X24:BC24)</f>
        <v>36</v>
      </c>
      <c r="AT53" s="41">
        <f t="shared" si="110"/>
        <v>3</v>
      </c>
    </row>
    <row r="54" spans="3:46">
      <c r="C54" s="54">
        <f t="shared" si="104"/>
        <v>11.6</v>
      </c>
      <c r="D54" s="27">
        <f t="shared" si="98"/>
        <v>0.96723697131356667</v>
      </c>
      <c r="E54" s="55">
        <f>AVERAGE(data0!B12:AG12)</f>
        <v>0.9898449754901959</v>
      </c>
      <c r="F54" s="27">
        <f t="shared" si="99"/>
        <v>1.0124529796668251</v>
      </c>
      <c r="G54" s="18">
        <f>MAX(data0!B12:AG12)</f>
        <v>0.999</v>
      </c>
      <c r="H54" s="27">
        <f t="shared" si="100"/>
        <v>0.87669546568627432</v>
      </c>
      <c r="I54" s="55">
        <f>STDEV(data0!B12:AG12)</f>
        <v>1.5072002784419494E-2</v>
      </c>
      <c r="J54" s="55">
        <f>AVERAGE(data1!B12:AG12)</f>
        <v>0.99899999999999956</v>
      </c>
      <c r="K54" s="55">
        <f>STDEV(data1!B12:AG12)</f>
        <v>4.5119508840297763E-16</v>
      </c>
      <c r="L54" s="56">
        <f>AVERAGE(data2!B12:AG12)</f>
        <v>0.99899999999999956</v>
      </c>
      <c r="M54" s="56">
        <f>STDEV(data2!B12:AG12)</f>
        <v>4.5119508840297763E-16</v>
      </c>
      <c r="N54" s="56">
        <f>AVERAGE(data3!B12:AG12)</f>
        <v>0.98972242647058806</v>
      </c>
      <c r="O54" s="56">
        <f>STDEV(data3!B12:AG12)</f>
        <v>1.5232262003444793E-2</v>
      </c>
      <c r="P54" s="18">
        <f t="shared" si="101"/>
        <v>0.90637020388098599</v>
      </c>
      <c r="Q54" s="18">
        <f t="shared" si="102"/>
        <v>1.0763981321870431</v>
      </c>
      <c r="R54" s="18">
        <f t="shared" si="103"/>
        <v>1.0245646294765771</v>
      </c>
      <c r="S54" s="19">
        <f t="shared" si="105"/>
        <v>11.6</v>
      </c>
      <c r="T54" s="27">
        <f t="shared" si="106"/>
        <v>0.8540874615096451</v>
      </c>
      <c r="U54" s="27">
        <f t="shared" si="107"/>
        <v>0.87669546568627432</v>
      </c>
      <c r="V54" s="27">
        <f t="shared" si="108"/>
        <v>0.89930346986290355</v>
      </c>
      <c r="W54" s="27">
        <f t="shared" si="109"/>
        <v>0.21001620894799194</v>
      </c>
    </row>
    <row r="55" spans="3:46">
      <c r="C55" s="54">
        <f t="shared" si="104"/>
        <v>12.6</v>
      </c>
      <c r="D55" s="27">
        <f t="shared" si="98"/>
        <v>0.83979304018896583</v>
      </c>
      <c r="E55" s="55">
        <f>AVERAGE(data0!B13:AG13)</f>
        <v>0.93615196078431384</v>
      </c>
      <c r="F55" s="27">
        <f t="shared" si="99"/>
        <v>1.0325108813796617</v>
      </c>
      <c r="G55" s="18">
        <f>MAX(data0!B13:AG13)</f>
        <v>0.98431372549019602</v>
      </c>
      <c r="H55" s="27">
        <f t="shared" si="100"/>
        <v>0.82300245098039226</v>
      </c>
      <c r="I55" s="55">
        <f>STDEV(data0!B13:AG13)</f>
        <v>6.4239280396898663E-2</v>
      </c>
      <c r="J55" s="55">
        <f>AVERAGE(data1!B13:AG13)</f>
        <v>0.99899999999999956</v>
      </c>
      <c r="K55" s="55">
        <f>STDEV(data1!B13:AG13)</f>
        <v>4.5119508840297763E-16</v>
      </c>
      <c r="L55" s="56">
        <f>AVERAGE(data2!B13:AG13)</f>
        <v>0.99899999999999956</v>
      </c>
      <c r="M55" s="56">
        <f>STDEV(data2!B13:AG13)</f>
        <v>4.5119508840297763E-16</v>
      </c>
      <c r="N55" s="56">
        <f>AVERAGE(data3!B13:AG13)</f>
        <v>0.93529411764705894</v>
      </c>
      <c r="O55" s="56">
        <f>STDEV(data3!B13:AG13)</f>
        <v>6.4599417905190304E-2</v>
      </c>
      <c r="P55" s="18">
        <f t="shared" si="101"/>
        <v>0.85085976657324913</v>
      </c>
      <c r="Q55" s="18">
        <f t="shared" si="102"/>
        <v>1.0763981321870431</v>
      </c>
      <c r="R55" s="18">
        <f t="shared" si="103"/>
        <v>1.0923533004603208</v>
      </c>
      <c r="S55" s="19">
        <f t="shared" si="105"/>
        <v>12.6</v>
      </c>
      <c r="T55" s="27">
        <f t="shared" si="106"/>
        <v>0.72664353038504426</v>
      </c>
      <c r="U55" s="27">
        <f t="shared" si="107"/>
        <v>0.82300245098039226</v>
      </c>
      <c r="V55" s="27">
        <f t="shared" si="108"/>
        <v>0.91936137157574016</v>
      </c>
      <c r="W55" s="27">
        <f t="shared" si="109"/>
        <v>0.17970602121720369</v>
      </c>
    </row>
    <row r="56" spans="3:46">
      <c r="C56" s="54">
        <f t="shared" si="104"/>
        <v>13.6</v>
      </c>
      <c r="D56" s="27">
        <f t="shared" si="98"/>
        <v>0.73079249121814427</v>
      </c>
      <c r="E56" s="55">
        <f>AVERAGE(data0!B14:AG14)</f>
        <v>0.82708333333333373</v>
      </c>
      <c r="F56" s="27">
        <f t="shared" si="99"/>
        <v>0.92337417544852318</v>
      </c>
      <c r="G56" s="18">
        <f>MAX(data0!B14:AG14)</f>
        <v>0.87058823529411766</v>
      </c>
      <c r="H56" s="27">
        <f t="shared" si="100"/>
        <v>0.71393382352941215</v>
      </c>
      <c r="I56" s="55">
        <f>STDEV(data0!B14:AG14)</f>
        <v>6.4193894743459629E-2</v>
      </c>
      <c r="J56" s="55">
        <f>AVERAGE(data1!B14:AG14)</f>
        <v>0.99899999999999956</v>
      </c>
      <c r="K56" s="55">
        <f>STDEV(data1!B14:AG14)</f>
        <v>4.5119508840297763E-16</v>
      </c>
      <c r="L56" s="56">
        <f>AVERAGE(data2!B14:AG14)</f>
        <v>0.92879901960784328</v>
      </c>
      <c r="M56" s="56">
        <f>STDEV(data2!B14:AG14)</f>
        <v>4.7883740715622247E-3</v>
      </c>
      <c r="N56" s="56">
        <f>AVERAGE(data3!B14:AG14)</f>
        <v>0.82708333333333373</v>
      </c>
      <c r="O56" s="56">
        <f>STDEV(data3!B14:AG14)</f>
        <v>6.5046041089350609E-2</v>
      </c>
      <c r="P56" s="18">
        <f t="shared" si="101"/>
        <v>0.738099340668252</v>
      </c>
      <c r="Q56" s="18">
        <f t="shared" si="102"/>
        <v>1.1676144264623205</v>
      </c>
      <c r="R56" s="18">
        <f t="shared" si="103"/>
        <v>1.1595450880834344</v>
      </c>
      <c r="S56" s="19">
        <f t="shared" si="105"/>
        <v>13.6</v>
      </c>
      <c r="T56" s="27">
        <f t="shared" si="106"/>
        <v>0.61764298141422269</v>
      </c>
      <c r="U56" s="27">
        <f t="shared" si="107"/>
        <v>0.71393382352941215</v>
      </c>
      <c r="V56" s="27">
        <f t="shared" si="108"/>
        <v>0.8102246656446016</v>
      </c>
      <c r="W56" s="27">
        <f t="shared" si="109"/>
        <v>0.15424341403842906</v>
      </c>
    </row>
    <row r="57" spans="3:46">
      <c r="C57" s="54">
        <f t="shared" si="104"/>
        <v>14.6</v>
      </c>
      <c r="D57" s="27">
        <f t="shared" si="98"/>
        <v>0.63885963460039019</v>
      </c>
      <c r="E57" s="55">
        <f>AVERAGE(data0!B15:AG15)</f>
        <v>0.73394607843137305</v>
      </c>
      <c r="F57" s="27">
        <f t="shared" si="99"/>
        <v>0.82903252226235591</v>
      </c>
      <c r="G57" s="18">
        <f>MAX(data0!B15:AG15)</f>
        <v>0.7803921568627451</v>
      </c>
      <c r="H57" s="27">
        <f t="shared" si="100"/>
        <v>0.62079656862745147</v>
      </c>
      <c r="I57" s="55">
        <f>STDEV(data0!B15:AG15)</f>
        <v>6.3390962553988572E-2</v>
      </c>
      <c r="J57" s="55">
        <f>AVERAGE(data1!B15:AG15)</f>
        <v>0.99899999999999956</v>
      </c>
      <c r="K57" s="55">
        <f>STDEV(data1!B15:AG15)</f>
        <v>4.5119508840297763E-16</v>
      </c>
      <c r="L57" s="56">
        <f>AVERAGE(data2!B15:AG15)</f>
        <v>0.82022058823529453</v>
      </c>
      <c r="M57" s="56">
        <f>STDEV(data2!B15:AG15)</f>
        <v>5.2810413157046527E-3</v>
      </c>
      <c r="N57" s="56">
        <f>AVERAGE(data3!B15:AG15)</f>
        <v>0.73296568627451031</v>
      </c>
      <c r="O57" s="56">
        <f>STDEV(data3!B15:AG15)</f>
        <v>6.4147510294474852E-2</v>
      </c>
      <c r="P57" s="18">
        <f t="shared" si="101"/>
        <v>0.64180953877184976</v>
      </c>
      <c r="Q57" s="18">
        <f t="shared" si="102"/>
        <v>1.3437365930062295</v>
      </c>
      <c r="R57" s="18">
        <f t="shared" si="103"/>
        <v>1.1604401683228953</v>
      </c>
      <c r="S57" s="19">
        <f t="shared" si="105"/>
        <v>14.6</v>
      </c>
      <c r="T57" s="27">
        <f t="shared" si="106"/>
        <v>0.52571012479646861</v>
      </c>
      <c r="U57" s="27">
        <f t="shared" si="107"/>
        <v>0.62079656862745147</v>
      </c>
      <c r="V57" s="27">
        <f t="shared" si="108"/>
        <v>0.71588301245843433</v>
      </c>
      <c r="W57" s="27">
        <f t="shared" si="109"/>
        <v>0.13257614370346421</v>
      </c>
    </row>
    <row r="58" spans="3:46">
      <c r="C58" s="54">
        <f t="shared" si="104"/>
        <v>15.6</v>
      </c>
      <c r="D58" s="27">
        <f t="shared" si="98"/>
        <v>0.56566366573270455</v>
      </c>
      <c r="E58" s="55">
        <f>AVERAGE(data0!B16:AG16)</f>
        <v>0.66102941176470609</v>
      </c>
      <c r="F58" s="27">
        <f t="shared" si="99"/>
        <v>0.75639515779670763</v>
      </c>
      <c r="G58" s="18">
        <f>MAX(data0!B16:AG16)</f>
        <v>0.70980392156862748</v>
      </c>
      <c r="H58" s="27">
        <f t="shared" si="100"/>
        <v>0.54787990196078451</v>
      </c>
      <c r="I58" s="55">
        <f>STDEV(data0!B16:AG16)</f>
        <v>6.3577164021334329E-2</v>
      </c>
      <c r="J58" s="55">
        <f>AVERAGE(data1!B16:AG16)</f>
        <v>0.94252450980392166</v>
      </c>
      <c r="K58" s="55">
        <f>STDEV(data1!B16:AG16)</f>
        <v>8.3105130857626681E-3</v>
      </c>
      <c r="L58" s="56">
        <f>AVERAGE(data2!B16:AG16)</f>
        <v>0.7350490196078433</v>
      </c>
      <c r="M58" s="56">
        <f>STDEV(data2!B16:AG16)</f>
        <v>4.334662547531825E-3</v>
      </c>
      <c r="N58" s="56">
        <f>AVERAGE(data3!B16:AG16)</f>
        <v>0.66004901960784335</v>
      </c>
      <c r="O58" s="56">
        <f>STDEV(data3!B16:AG16)</f>
        <v>6.3487367100857339E-2</v>
      </c>
      <c r="P58" s="18">
        <f t="shared" si="101"/>
        <v>0.60154736275565135</v>
      </c>
      <c r="Q58" s="18">
        <f t="shared" si="102"/>
        <v>1.4350814860585461</v>
      </c>
      <c r="R58" s="18">
        <f t="shared" si="103"/>
        <v>1.1594241834016163</v>
      </c>
      <c r="S58" s="19">
        <f t="shared" si="105"/>
        <v>15.6</v>
      </c>
      <c r="T58" s="27">
        <f t="shared" si="106"/>
        <v>0.45251415592878297</v>
      </c>
      <c r="U58" s="27">
        <f t="shared" si="107"/>
        <v>0.54787990196078451</v>
      </c>
      <c r="V58" s="27">
        <f t="shared" si="108"/>
        <v>0.64324564799278605</v>
      </c>
      <c r="W58" s="27">
        <f t="shared" si="109"/>
        <v>0.11393282628773058</v>
      </c>
    </row>
    <row r="59" spans="3:46">
      <c r="C59" s="54">
        <f t="shared" si="104"/>
        <v>16.600000000000001</v>
      </c>
      <c r="D59" s="27">
        <f t="shared" si="98"/>
        <v>0.50590268620159617</v>
      </c>
      <c r="E59" s="55">
        <f>AVERAGE(data0!B17:AG17)</f>
        <v>0.60061274509803908</v>
      </c>
      <c r="F59" s="27">
        <f t="shared" si="99"/>
        <v>0.69532280399448199</v>
      </c>
      <c r="G59" s="18">
        <f>MAX(data0!B17:AG17)</f>
        <v>0.6470588235294118</v>
      </c>
      <c r="H59" s="27">
        <f t="shared" si="100"/>
        <v>0.4874632352941175</v>
      </c>
      <c r="I59" s="55">
        <f>STDEV(data0!B17:AG17)</f>
        <v>6.3140039264295247E-2</v>
      </c>
      <c r="J59" s="55">
        <f>AVERAGE(data1!B17:AG17)</f>
        <v>0.84901960784313757</v>
      </c>
      <c r="K59" s="55">
        <f>STDEV(data1!B17:AG17)</f>
        <v>1.0255265376096763E-2</v>
      </c>
      <c r="L59" s="56">
        <f>AVERAGE(data2!B17:AG17)</f>
        <v>0.66507352941176479</v>
      </c>
      <c r="M59" s="56">
        <f>STDEV(data2!B17:AG17)</f>
        <v>5.5333422539287557E-3</v>
      </c>
      <c r="N59" s="56">
        <f>AVERAGE(data3!B17:AG17)</f>
        <v>0.59987745098039214</v>
      </c>
      <c r="O59" s="56">
        <f>STDEV(data3!B17:AG17)</f>
        <v>6.2756832987071839E-2</v>
      </c>
      <c r="P59" s="18">
        <f t="shared" si="101"/>
        <v>0.59644624381466449</v>
      </c>
      <c r="Q59" s="18">
        <f t="shared" si="102"/>
        <v>1.4473284430747864</v>
      </c>
      <c r="R59" s="18">
        <f t="shared" si="103"/>
        <v>1.1589908695324098</v>
      </c>
      <c r="S59" s="19">
        <f t="shared" si="105"/>
        <v>16.600000000000001</v>
      </c>
      <c r="T59" s="27">
        <f t="shared" si="106"/>
        <v>0.3927531763976746</v>
      </c>
      <c r="U59" s="27">
        <f t="shared" si="107"/>
        <v>0.4874632352941175</v>
      </c>
      <c r="V59" s="27">
        <f t="shared" si="108"/>
        <v>0.58217329419056041</v>
      </c>
      <c r="W59" s="27">
        <f t="shared" si="109"/>
        <v>9.773564905122753E-2</v>
      </c>
    </row>
    <row r="60" spans="3:46">
      <c r="C60" s="54">
        <f t="shared" si="104"/>
        <v>17.600000000000001</v>
      </c>
      <c r="D60" s="27">
        <f t="shared" si="98"/>
        <v>0.45227313293977428</v>
      </c>
      <c r="E60" s="55">
        <f>AVERAGE(data0!B18:AG18)</f>
        <v>0.54816176470588218</v>
      </c>
      <c r="F60" s="27">
        <f t="shared" si="99"/>
        <v>0.64405039647199003</v>
      </c>
      <c r="G60" s="18">
        <f>MAX(data0!B18:AG18)</f>
        <v>0.59607843137254901</v>
      </c>
      <c r="H60" s="27">
        <f t="shared" si="100"/>
        <v>0.4350122549019606</v>
      </c>
      <c r="I60" s="55">
        <f>STDEV(data0!B18:AG18)</f>
        <v>6.3925754510738592E-2</v>
      </c>
      <c r="J60" s="55">
        <f>AVERAGE(data1!B18:AG18)</f>
        <v>0.76090686274509856</v>
      </c>
      <c r="K60" s="55">
        <f>STDEV(data1!B18:AG18)</f>
        <v>9.5791760169480003E-3</v>
      </c>
      <c r="L60" s="56">
        <f>AVERAGE(data2!B18:AG18)</f>
        <v>0.60563725490196085</v>
      </c>
      <c r="M60" s="56">
        <f>STDEV(data2!B18:AG18)</f>
        <v>5.2648710746913269E-3</v>
      </c>
      <c r="N60" s="56">
        <f>AVERAGE(data3!B18:AG18)</f>
        <v>0.54865196078431355</v>
      </c>
      <c r="O60" s="56">
        <f>STDEV(data3!B18:AG18)</f>
        <v>6.283484548439032E-2</v>
      </c>
      <c r="P60" s="18">
        <f t="shared" si="101"/>
        <v>0.59658823529411698</v>
      </c>
      <c r="Q60" s="18">
        <f t="shared" si="102"/>
        <v>1.4431939458620362</v>
      </c>
      <c r="R60" s="18">
        <f t="shared" si="103"/>
        <v>1.1588385754841619</v>
      </c>
      <c r="S60" s="19">
        <f t="shared" si="105"/>
        <v>17.600000000000001</v>
      </c>
      <c r="T60" s="27">
        <f t="shared" si="106"/>
        <v>0.3391236231358527</v>
      </c>
      <c r="U60" s="27">
        <f t="shared" si="107"/>
        <v>0.4350122549019606</v>
      </c>
      <c r="V60" s="27">
        <f t="shared" si="108"/>
        <v>0.53090088666806845</v>
      </c>
      <c r="W60" s="27">
        <f t="shared" si="109"/>
        <v>8.3543607178743651E-2</v>
      </c>
    </row>
    <row r="61" spans="3:46">
      <c r="C61" s="54">
        <f t="shared" si="104"/>
        <v>18.600000000000001</v>
      </c>
      <c r="D61" s="27">
        <f t="shared" si="98"/>
        <v>0.40438249576439955</v>
      </c>
      <c r="E61" s="55">
        <f>AVERAGE(data0!B19:AG19)</f>
        <v>0.49987745098039221</v>
      </c>
      <c r="F61" s="27">
        <f t="shared" si="99"/>
        <v>0.59537240619638487</v>
      </c>
      <c r="G61" s="18">
        <f>MAX(data0!B19:AG19)</f>
        <v>0.5490196078431373</v>
      </c>
      <c r="H61" s="27">
        <f t="shared" si="100"/>
        <v>0.38672794117647064</v>
      </c>
      <c r="I61" s="55">
        <f>STDEV(data0!B19:AG19)</f>
        <v>6.3663303477328445E-2</v>
      </c>
      <c r="J61" s="55">
        <f>AVERAGE(data1!B19:AG19)</f>
        <v>0.68100490196078445</v>
      </c>
      <c r="K61" s="55">
        <f>STDEV(data1!B19:AG19)</f>
        <v>8.9430724156951327E-3</v>
      </c>
      <c r="L61" s="56">
        <f>AVERAGE(data2!B19:AG19)</f>
        <v>0.54889705882352946</v>
      </c>
      <c r="M61" s="56">
        <f>STDEV(data2!B19:AG19)</f>
        <v>5.1261207809867801E-3</v>
      </c>
      <c r="N61" s="56">
        <f>AVERAGE(data3!B19:AG19)</f>
        <v>0.50036764705882364</v>
      </c>
      <c r="O61" s="56">
        <f>STDEV(data3!B19:AG19)</f>
        <v>6.2878253516527025E-2</v>
      </c>
      <c r="P61" s="18">
        <f t="shared" si="101"/>
        <v>0.59563986409966019</v>
      </c>
      <c r="Q61" s="18">
        <f t="shared" si="102"/>
        <v>1.4476200885294279</v>
      </c>
      <c r="R61" s="18">
        <f t="shared" si="103"/>
        <v>1.156810064165376</v>
      </c>
      <c r="S61" s="19">
        <f t="shared" si="105"/>
        <v>18.600000000000001</v>
      </c>
      <c r="T61" s="27">
        <f t="shared" si="106"/>
        <v>0.29123298596047797</v>
      </c>
      <c r="U61" s="27">
        <f t="shared" si="107"/>
        <v>0.38672794117647064</v>
      </c>
      <c r="V61" s="27">
        <f t="shared" si="108"/>
        <v>0.4822228963924633</v>
      </c>
      <c r="W61" s="27">
        <f t="shared" si="109"/>
        <v>7.1014530166580409E-2</v>
      </c>
    </row>
    <row r="62" spans="3:46">
      <c r="C62" s="54">
        <f t="shared" si="104"/>
        <v>19.600000000000001</v>
      </c>
      <c r="D62" s="27">
        <f t="shared" si="98"/>
        <v>0.36389756298861931</v>
      </c>
      <c r="E62" s="55">
        <f>AVERAGE(data0!B20:AG20)</f>
        <v>0.4596813725490197</v>
      </c>
      <c r="F62" s="27">
        <f t="shared" si="99"/>
        <v>0.55546518210942009</v>
      </c>
      <c r="G62" s="18">
        <f>MAX(data0!B20:AG20)</f>
        <v>0.50196078431372548</v>
      </c>
      <c r="H62" s="27">
        <f t="shared" si="100"/>
        <v>0.34653186274509812</v>
      </c>
      <c r="I62" s="55">
        <f>STDEV(data0!B20:AG20)</f>
        <v>6.3855873040266922E-2</v>
      </c>
      <c r="J62" s="55">
        <f>AVERAGE(data1!B20:AG20)</f>
        <v>0.61200980392156867</v>
      </c>
      <c r="K62" s="55">
        <f>STDEV(data1!B20:AG20)</f>
        <v>9.9077362431838605E-3</v>
      </c>
      <c r="L62" s="56">
        <f>AVERAGE(data2!B20:AG20)</f>
        <v>0.50245098039215685</v>
      </c>
      <c r="M62" s="56">
        <f>STDEV(data2!B20:AG20)</f>
        <v>4.5373577316789142E-3</v>
      </c>
      <c r="N62" s="56">
        <f>AVERAGE(data3!B20:AG20)</f>
        <v>0.46029411764705891</v>
      </c>
      <c r="O62" s="56">
        <f>STDEV(data3!B20:AG20)</f>
        <v>6.3723787258907358E-2</v>
      </c>
      <c r="P62" s="18">
        <f t="shared" si="101"/>
        <v>0.59719112988384382</v>
      </c>
      <c r="Q62" s="18">
        <f t="shared" si="102"/>
        <v>1.4432455498658863</v>
      </c>
      <c r="R62" s="18">
        <f t="shared" si="103"/>
        <v>1.1565551521133708</v>
      </c>
      <c r="S62" s="19">
        <f t="shared" si="105"/>
        <v>19.600000000000001</v>
      </c>
      <c r="T62" s="27">
        <f t="shared" si="106"/>
        <v>0.25074805318469773</v>
      </c>
      <c r="U62" s="27">
        <f t="shared" si="107"/>
        <v>0.34653186274509812</v>
      </c>
      <c r="V62" s="27">
        <f t="shared" si="108"/>
        <v>0.44231567230549851</v>
      </c>
      <c r="W62" s="27">
        <f t="shared" si="109"/>
        <v>5.9879040452785665E-2</v>
      </c>
    </row>
    <row r="63" spans="3:46">
      <c r="C63" s="54">
        <f t="shared" si="104"/>
        <v>20.6</v>
      </c>
      <c r="D63" s="27">
        <f t="shared" si="98"/>
        <v>0.33083021639960863</v>
      </c>
      <c r="E63" s="55">
        <f>AVERAGE(data0!B21:AG21)</f>
        <v>0.42757352941176491</v>
      </c>
      <c r="F63" s="27">
        <f t="shared" si="99"/>
        <v>0.52431684242392118</v>
      </c>
      <c r="G63" s="18">
        <f>MAX(data0!B21:AG21)</f>
        <v>0.47450980392156861</v>
      </c>
      <c r="H63" s="27">
        <f t="shared" si="100"/>
        <v>0.31442401960784333</v>
      </c>
      <c r="I63" s="55">
        <f>STDEV(data0!B21:AG21)</f>
        <v>6.4495542008104173E-2</v>
      </c>
      <c r="J63" s="55">
        <f>AVERAGE(data1!B21:AG21)</f>
        <v>0.55637254901960786</v>
      </c>
      <c r="K63" s="55">
        <f>STDEV(data1!B21:AG21)</f>
        <v>9.7975944162623056E-3</v>
      </c>
      <c r="L63" s="56">
        <f>AVERAGE(data2!B21:AG21)</f>
        <v>0.46519607843137262</v>
      </c>
      <c r="M63" s="56">
        <f>STDEV(data2!B21:AG21)</f>
        <v>4.0766307512516229E-3</v>
      </c>
      <c r="N63" s="56">
        <f>AVERAGE(data3!B21:AG21)</f>
        <v>0.42634803921568648</v>
      </c>
      <c r="O63" s="56">
        <f>STDEV(data3!B21:AG21)</f>
        <v>6.3999435504633773E-2</v>
      </c>
      <c r="P63" s="18">
        <f t="shared" si="101"/>
        <v>0.59932258818033202</v>
      </c>
      <c r="Q63" s="18">
        <f t="shared" si="102"/>
        <v>1.4381214727223863</v>
      </c>
      <c r="R63" s="18">
        <f t="shared" si="103"/>
        <v>1.1629487830605141</v>
      </c>
      <c r="S63" s="19">
        <f t="shared" si="105"/>
        <v>20.6</v>
      </c>
      <c r="T63" s="27">
        <f t="shared" si="106"/>
        <v>0.21768070659568706</v>
      </c>
      <c r="U63" s="27">
        <f t="shared" si="107"/>
        <v>0.31442401960784333</v>
      </c>
      <c r="V63" s="27">
        <f t="shared" si="108"/>
        <v>0.4111673326199996</v>
      </c>
      <c r="W63" s="27">
        <f t="shared" si="109"/>
        <v>4.9922299779122159E-2</v>
      </c>
    </row>
    <row r="64" spans="3:46">
      <c r="C64" s="54">
        <f t="shared" si="104"/>
        <v>21.6</v>
      </c>
      <c r="D64" s="27">
        <f t="shared" si="98"/>
        <v>0.30169459482233774</v>
      </c>
      <c r="E64" s="55">
        <f>AVERAGE(data0!B22:AG22)</f>
        <v>0.39803921568627476</v>
      </c>
      <c r="F64" s="27">
        <f t="shared" si="99"/>
        <v>0.49438383655021179</v>
      </c>
      <c r="G64" s="18">
        <f>MAX(data0!B22:AG22)</f>
        <v>0.44705882352941179</v>
      </c>
      <c r="H64" s="27">
        <f t="shared" si="100"/>
        <v>0.28488970588235318</v>
      </c>
      <c r="I64" s="55">
        <f>STDEV(data0!B22:AG22)</f>
        <v>6.4229747242624674E-2</v>
      </c>
      <c r="J64" s="55">
        <f>AVERAGE(data1!B22:AG22)</f>
        <v>0.50980392156862742</v>
      </c>
      <c r="K64" s="55">
        <f>STDEV(data1!B22:AG22)</f>
        <v>9.810244640273913E-3</v>
      </c>
      <c r="L64" s="56">
        <f>AVERAGE(data2!B22:AG22)</f>
        <v>0.4310049019607845</v>
      </c>
      <c r="M64" s="56">
        <f>STDEV(data2!B22:AG22)</f>
        <v>4.3826787359424087E-3</v>
      </c>
      <c r="N64" s="56">
        <f>AVERAGE(data3!B22:AG22)</f>
        <v>0.39620098039215712</v>
      </c>
      <c r="O64" s="56">
        <f>STDEV(data3!B22:AG22)</f>
        <v>6.5540848391311579E-2</v>
      </c>
      <c r="P64" s="18">
        <f t="shared" si="101"/>
        <v>0.59592412201999545</v>
      </c>
      <c r="Q64" s="18">
        <f t="shared" si="102"/>
        <v>1.4459930313588842</v>
      </c>
      <c r="R64" s="18">
        <f t="shared" si="103"/>
        <v>1.1660111509703068</v>
      </c>
      <c r="S64" s="19">
        <f t="shared" si="105"/>
        <v>21.6</v>
      </c>
      <c r="T64" s="27">
        <f t="shared" si="106"/>
        <v>0.18854508501841616</v>
      </c>
      <c r="U64" s="27">
        <f t="shared" si="107"/>
        <v>0.28488970588235318</v>
      </c>
      <c r="V64" s="27">
        <f t="shared" si="108"/>
        <v>0.38123432674629021</v>
      </c>
      <c r="W64" s="27">
        <f t="shared" si="109"/>
        <v>4.0970962898425278E-2</v>
      </c>
    </row>
    <row r="65" spans="3:43">
      <c r="C65" s="54">
        <f t="shared" si="104"/>
        <v>22.6</v>
      </c>
      <c r="D65" s="27">
        <f t="shared" si="98"/>
        <v>0.27772967638776902</v>
      </c>
      <c r="E65" s="55">
        <f>AVERAGE(data0!B23:AG23)</f>
        <v>0.37414215686274538</v>
      </c>
      <c r="F65" s="27">
        <f t="shared" si="99"/>
        <v>0.47055463733772174</v>
      </c>
      <c r="G65" s="18">
        <f>MAX(data0!B23:AG23)</f>
        <v>0.42352941176470588</v>
      </c>
      <c r="H65" s="27">
        <f t="shared" si="100"/>
        <v>0.2609926470588238</v>
      </c>
      <c r="I65" s="55">
        <f>STDEV(data0!B23:AG23)</f>
        <v>6.4274986983317572E-2</v>
      </c>
      <c r="J65" s="55">
        <f>AVERAGE(data1!B23:AG23)</f>
        <v>0.46752450980392163</v>
      </c>
      <c r="K65" s="55">
        <f>STDEV(data1!B23:AG23)</f>
        <v>8.1370834363102586E-3</v>
      </c>
      <c r="L65" s="56">
        <f>AVERAGE(data2!B23:AG23)</f>
        <v>0.40318627450980415</v>
      </c>
      <c r="M65" s="56">
        <f>STDEV(data2!B23:AG23)</f>
        <v>4.611912289436991E-3</v>
      </c>
      <c r="N65" s="56">
        <f>AVERAGE(data3!B23:AG23)</f>
        <v>0.37267156862745127</v>
      </c>
      <c r="O65" s="56">
        <f>STDEV(data3!B23:AG23)</f>
        <v>6.4194860729758454E-2</v>
      </c>
      <c r="P65" s="18">
        <f t="shared" si="101"/>
        <v>0.59890326209223899</v>
      </c>
      <c r="Q65" s="18">
        <f t="shared" si="102"/>
        <v>1.4392099724785483</v>
      </c>
      <c r="R65" s="18">
        <f t="shared" si="103"/>
        <v>1.1645378705754814</v>
      </c>
      <c r="S65" s="19">
        <f t="shared" si="105"/>
        <v>22.6</v>
      </c>
      <c r="T65" s="27">
        <f t="shared" si="106"/>
        <v>0.16458016658384744</v>
      </c>
      <c r="U65" s="27">
        <f t="shared" si="107"/>
        <v>0.2609926470588238</v>
      </c>
      <c r="V65" s="27">
        <f t="shared" si="108"/>
        <v>0.35740512753380016</v>
      </c>
      <c r="W65" s="27">
        <f t="shared" si="109"/>
        <v>3.2883689197187232E-2</v>
      </c>
    </row>
    <row r="66" spans="3:43">
      <c r="C66" s="54">
        <f t="shared" si="104"/>
        <v>23.6</v>
      </c>
      <c r="D66" s="27">
        <f t="shared" si="98"/>
        <v>0.25248398843648062</v>
      </c>
      <c r="E66" s="55">
        <f>AVERAGE(data0!B24:AG24)</f>
        <v>0.34938725490196082</v>
      </c>
      <c r="F66" s="27">
        <f t="shared" si="99"/>
        <v>0.44629052136744102</v>
      </c>
      <c r="G66" s="18">
        <f>MAX(data0!B24:AG24)</f>
        <v>0.396078431372549</v>
      </c>
      <c r="H66" s="27">
        <f t="shared" si="100"/>
        <v>0.23623774509803924</v>
      </c>
      <c r="I66" s="55">
        <f>STDEV(data0!B24:AG24)</f>
        <v>6.4602177643653474E-2</v>
      </c>
      <c r="J66" s="55">
        <f>AVERAGE(data1!B24:AG24)</f>
        <v>0.42671568627450995</v>
      </c>
      <c r="K66" s="55">
        <f>STDEV(data1!B24:AG24)</f>
        <v>9.0439130214137325E-3</v>
      </c>
      <c r="L66" s="56">
        <f>AVERAGE(data2!B24:AG24)</f>
        <v>0.37487745098039243</v>
      </c>
      <c r="M66" s="56">
        <f>STDEV(data2!B24:AG24)</f>
        <v>4.9663700168582773E-3</v>
      </c>
      <c r="N66" s="56">
        <f>AVERAGE(data3!B24:AG24)</f>
        <v>0.34914215686274513</v>
      </c>
      <c r="O66" s="56">
        <f>STDEV(data3!B24:AG24)</f>
        <v>6.4202588096891416E-2</v>
      </c>
      <c r="P66" s="18">
        <f t="shared" si="101"/>
        <v>0.59810735339745558</v>
      </c>
      <c r="Q66" s="18">
        <f t="shared" si="102"/>
        <v>1.4389677649790151</v>
      </c>
      <c r="R66" s="18">
        <f t="shared" si="103"/>
        <v>1.160698554179407</v>
      </c>
      <c r="S66" s="19">
        <f t="shared" si="105"/>
        <v>23.6</v>
      </c>
      <c r="T66" s="27">
        <f t="shared" si="106"/>
        <v>0.13933447863255904</v>
      </c>
      <c r="U66" s="27">
        <f t="shared" si="107"/>
        <v>0.23623774509803924</v>
      </c>
      <c r="V66" s="27">
        <f t="shared" si="108"/>
        <v>0.33314101156351944</v>
      </c>
      <c r="W66" s="27">
        <f t="shared" si="109"/>
        <v>2.5544132792130497E-2</v>
      </c>
    </row>
    <row r="67" spans="3:43">
      <c r="C67" s="54">
        <f t="shared" si="104"/>
        <v>24.6</v>
      </c>
      <c r="D67" s="27">
        <f t="shared" si="98"/>
        <v>0.23449984754702394</v>
      </c>
      <c r="E67" s="55">
        <f>AVERAGE(data0!B25:AG25)</f>
        <v>0.33100490196078419</v>
      </c>
      <c r="F67" s="27">
        <f t="shared" si="99"/>
        <v>0.42750995637454448</v>
      </c>
      <c r="G67" s="18">
        <f>MAX(data0!B25:AG25)</f>
        <v>0.38039215686274508</v>
      </c>
      <c r="H67" s="27">
        <f t="shared" si="100"/>
        <v>0.21785539215686262</v>
      </c>
      <c r="I67" s="55">
        <f>STDEV(data0!B25:AG25)</f>
        <v>6.4336702942506832E-2</v>
      </c>
      <c r="J67" s="55">
        <f>AVERAGE(data1!B25:AG25)</f>
        <v>0.39546568627451001</v>
      </c>
      <c r="K67" s="55">
        <f>STDEV(data1!B25:AG25)</f>
        <v>8.5168795658334719E-3</v>
      </c>
      <c r="L67" s="56">
        <f>AVERAGE(data2!B25:AG25)</f>
        <v>0.35367647058823531</v>
      </c>
      <c r="M67" s="56">
        <f>STDEV(data2!B25:AG25)</f>
        <v>5.0237866065982713E-3</v>
      </c>
      <c r="N67" s="56">
        <f>AVERAGE(data3!B25:AG25)</f>
        <v>0.33112745098039204</v>
      </c>
      <c r="O67" s="56">
        <f>STDEV(data3!B25:AG25)</f>
        <v>6.2728788993652571E-2</v>
      </c>
      <c r="P67" s="18">
        <f t="shared" si="101"/>
        <v>0.59895552560646825</v>
      </c>
      <c r="Q67" s="18">
        <f t="shared" si="102"/>
        <v>1.4360363847493718</v>
      </c>
      <c r="R67" s="18">
        <f t="shared" si="103"/>
        <v>1.1593650081337303</v>
      </c>
      <c r="S67" s="19">
        <f t="shared" si="105"/>
        <v>24.6</v>
      </c>
      <c r="T67" s="27">
        <f t="shared" si="106"/>
        <v>0.12135033774310236</v>
      </c>
      <c r="U67" s="27">
        <f t="shared" si="107"/>
        <v>0.21785539215686262</v>
      </c>
      <c r="V67" s="27">
        <f t="shared" si="108"/>
        <v>0.3143604465706229</v>
      </c>
      <c r="W67" s="27">
        <f t="shared" si="109"/>
        <v>1.8855689584315133E-2</v>
      </c>
    </row>
    <row r="68" spans="3:43">
      <c r="C68" s="54">
        <f t="shared" si="104"/>
        <v>25.6</v>
      </c>
      <c r="D68" s="27">
        <f t="shared" si="98"/>
        <v>0.21327165392759592</v>
      </c>
      <c r="E68" s="55">
        <f>AVERAGE(data0!B26:AG26)</f>
        <v>0.31115196078431356</v>
      </c>
      <c r="F68" s="27">
        <f t="shared" si="99"/>
        <v>0.40903226764103118</v>
      </c>
      <c r="G68" s="18">
        <f>MAX(data0!B26:AG26)</f>
        <v>0.36078431372549019</v>
      </c>
      <c r="H68" s="27">
        <f t="shared" si="100"/>
        <v>0.19800245098039199</v>
      </c>
      <c r="I68" s="55">
        <f>STDEV(data0!B26:AG26)</f>
        <v>6.5253537904478423E-2</v>
      </c>
      <c r="J68" s="55">
        <f>AVERAGE(data1!B26:AG26)</f>
        <v>0.3632352941176471</v>
      </c>
      <c r="K68" s="55">
        <f>STDEV(data1!B26:AG26)</f>
        <v>1.019461868595028E-2</v>
      </c>
      <c r="L68" s="56">
        <f>AVERAGE(data2!B26:AG26)</f>
        <v>0.33149509803921573</v>
      </c>
      <c r="M68" s="56">
        <f>STDEV(data2!B26:AG26)</f>
        <v>5.0775020579382595E-3</v>
      </c>
      <c r="N68" s="56">
        <f>AVERAGE(data3!B26:AG26)</f>
        <v>0.31127450980392141</v>
      </c>
      <c r="O68" s="56">
        <f>STDEV(data3!B26:AG26)</f>
        <v>6.5056646114605904E-2</v>
      </c>
      <c r="P68" s="18">
        <f t="shared" si="101"/>
        <v>0.59730129390018427</v>
      </c>
      <c r="Q68" s="18">
        <f t="shared" si="102"/>
        <v>1.4344044967652982</v>
      </c>
      <c r="R68" s="18">
        <f t="shared" si="103"/>
        <v>1.1635712963534286</v>
      </c>
      <c r="S68" s="19">
        <f t="shared" si="105"/>
        <v>25.6</v>
      </c>
      <c r="T68" s="27">
        <f t="shared" si="106"/>
        <v>0.10012214412367434</v>
      </c>
      <c r="U68" s="27">
        <f t="shared" si="107"/>
        <v>0.19800245098039199</v>
      </c>
      <c r="V68" s="27">
        <f t="shared" si="108"/>
        <v>0.2958827578371096</v>
      </c>
      <c r="W68" s="27">
        <f t="shared" si="109"/>
        <v>1.2737509692147292E-2</v>
      </c>
    </row>
    <row r="69" spans="3:43">
      <c r="C69" s="54">
        <f t="shared" si="104"/>
        <v>26.6</v>
      </c>
      <c r="D69" s="27">
        <f t="shared" si="98"/>
        <v>0.19962047372329259</v>
      </c>
      <c r="E69" s="55">
        <f>AVERAGE(data0!B27:AG27)</f>
        <v>0.29473039215686264</v>
      </c>
      <c r="F69" s="27">
        <f t="shared" si="99"/>
        <v>0.38984031059043267</v>
      </c>
      <c r="G69" s="18">
        <f>MAX(data0!B27:AG27)</f>
        <v>0.3411764705882353</v>
      </c>
      <c r="H69" s="27">
        <f t="shared" si="100"/>
        <v>0.18158088235294106</v>
      </c>
      <c r="I69" s="55">
        <f>STDEV(data0!B27:AG27)</f>
        <v>6.3406612289046704E-2</v>
      </c>
      <c r="J69" s="55">
        <f>AVERAGE(data1!B27:AG27)</f>
        <v>0.33455882352941185</v>
      </c>
      <c r="K69" s="55">
        <f>STDEV(data1!B27:AG27)</f>
        <v>9.4725791918172549E-3</v>
      </c>
      <c r="L69" s="56">
        <f>AVERAGE(data2!B27:AG27)</f>
        <v>0.31102941176470589</v>
      </c>
      <c r="M69" s="56">
        <f>STDEV(data2!B27:AG27)</f>
        <v>5.4043620133936527E-3</v>
      </c>
      <c r="N69" s="56">
        <f>AVERAGE(data3!B27:AG27)</f>
        <v>0.29264705882352932</v>
      </c>
      <c r="O69" s="56">
        <f>STDEV(data3!B27:AG27)</f>
        <v>6.4926883814353187E-2</v>
      </c>
      <c r="P69" s="18">
        <f t="shared" si="101"/>
        <v>0.59963577498988208</v>
      </c>
      <c r="Q69" s="18">
        <f t="shared" si="102"/>
        <v>1.4376309052827556</v>
      </c>
      <c r="R69" s="18">
        <f t="shared" si="103"/>
        <v>1.1702866480561047</v>
      </c>
      <c r="S69" s="19">
        <f t="shared" si="105"/>
        <v>26.6</v>
      </c>
      <c r="T69" s="27">
        <f t="shared" si="106"/>
        <v>8.6470963919371008E-2</v>
      </c>
      <c r="U69" s="27">
        <f t="shared" si="107"/>
        <v>0.18158088235294106</v>
      </c>
      <c r="V69" s="27">
        <f t="shared" si="108"/>
        <v>0.27669080078651109</v>
      </c>
      <c r="W69" s="27">
        <f t="shared" si="109"/>
        <v>7.1214344791687978E-3</v>
      </c>
    </row>
    <row r="70" spans="3:43">
      <c r="C70" s="54">
        <f t="shared" si="104"/>
        <v>27.6</v>
      </c>
      <c r="D70" s="27">
        <f t="shared" si="98"/>
        <v>0.18095578174063495</v>
      </c>
      <c r="E70" s="55">
        <f>AVERAGE(data0!B28:AG28)</f>
        <v>0.27879901960784303</v>
      </c>
      <c r="F70" s="27">
        <f t="shared" si="99"/>
        <v>0.37664225747505109</v>
      </c>
      <c r="G70" s="18">
        <f>MAX(data0!B28:AG28)</f>
        <v>0.32549019607843138</v>
      </c>
      <c r="H70" s="27">
        <f t="shared" si="100"/>
        <v>0.16564950980392146</v>
      </c>
      <c r="I70" s="55">
        <f>STDEV(data0!B28:AG28)</f>
        <v>6.5228825244805388E-2</v>
      </c>
      <c r="J70" s="55">
        <f>AVERAGE(data1!B28:AG28)</f>
        <v>0.30833333333333335</v>
      </c>
      <c r="K70" s="55">
        <f>STDEV(data1!B28:AG28)</f>
        <v>1.019461868595028E-2</v>
      </c>
      <c r="L70" s="56">
        <f>AVERAGE(data2!B28:AG28)</f>
        <v>0.29276960784313727</v>
      </c>
      <c r="M70" s="56">
        <f>STDEV(data2!B28:AG28)</f>
        <v>5.6880736101296066E-3</v>
      </c>
      <c r="N70" s="56">
        <f>AVERAGE(data3!B28:AG28)</f>
        <v>0.27794117647058814</v>
      </c>
      <c r="O70" s="56">
        <f>STDEV(data3!B28:AG28)</f>
        <v>6.5535289576731728E-2</v>
      </c>
      <c r="P70" s="18">
        <f t="shared" si="101"/>
        <v>0.59889233495790828</v>
      </c>
      <c r="Q70" s="18">
        <f t="shared" si="102"/>
        <v>1.4377627723276849</v>
      </c>
      <c r="R70" s="18">
        <f t="shared" si="103"/>
        <v>1.1639356417290732</v>
      </c>
      <c r="S70" s="19">
        <f t="shared" si="105"/>
        <v>27.6</v>
      </c>
      <c r="T70" s="27">
        <f t="shared" si="106"/>
        <v>6.7806271936713375E-2</v>
      </c>
      <c r="U70" s="27">
        <f t="shared" si="107"/>
        <v>0.16564950980392146</v>
      </c>
      <c r="V70" s="27">
        <f t="shared" si="108"/>
        <v>0.26349274767112951</v>
      </c>
      <c r="W70" s="27">
        <f t="shared" si="109"/>
        <v>1.9496181573460808E-3</v>
      </c>
    </row>
    <row r="71" spans="3:43">
      <c r="C71" s="54">
        <f t="shared" si="104"/>
        <v>28.6</v>
      </c>
      <c r="D71" s="27">
        <f t="shared" si="98"/>
        <v>0.17170141937781175</v>
      </c>
      <c r="E71" s="55">
        <f>AVERAGE(data0!B29:AG29)</f>
        <v>0.26874999999999999</v>
      </c>
      <c r="F71" s="27">
        <f t="shared" si="99"/>
        <v>0.36579858062218823</v>
      </c>
      <c r="G71" s="18">
        <f>MAX(data0!B29:AG29)</f>
        <v>0.32156862745098042</v>
      </c>
      <c r="H71" s="27">
        <f t="shared" si="100"/>
        <v>0.15560049019607841</v>
      </c>
      <c r="I71" s="55">
        <f>STDEV(data0!B29:AG29)</f>
        <v>6.4699053748125485E-2</v>
      </c>
      <c r="J71" s="55">
        <f>AVERAGE(data1!B29:AG29)</f>
        <v>0.29215686274509806</v>
      </c>
      <c r="K71" s="55">
        <f>STDEV(data1!B29:AG29)</f>
        <v>1.095687370197722E-2</v>
      </c>
      <c r="L71" s="56">
        <f>AVERAGE(data2!B29:AG29)</f>
        <v>0.28051470588235294</v>
      </c>
      <c r="M71" s="56">
        <f>STDEV(data2!B29:AG29)</f>
        <v>5.1742826917516999E-3</v>
      </c>
      <c r="N71" s="56">
        <f>AVERAGE(data3!B29:AG29)</f>
        <v>0.26691176470588235</v>
      </c>
      <c r="O71" s="56">
        <f>STDEV(data3!B29:AG29)</f>
        <v>6.5415483067547867E-2</v>
      </c>
      <c r="P71" s="18">
        <f t="shared" si="101"/>
        <v>0.59750588235294111</v>
      </c>
      <c r="Q71" s="18">
        <f t="shared" si="102"/>
        <v>1.4457749353653557</v>
      </c>
      <c r="R71" s="18">
        <f t="shared" si="103"/>
        <v>1.1677127194724717</v>
      </c>
      <c r="S71" s="19">
        <f t="shared" si="105"/>
        <v>28.6</v>
      </c>
      <c r="T71" s="27">
        <f t="shared" si="106"/>
        <v>5.8551909573890171E-2</v>
      </c>
      <c r="U71" s="27">
        <f t="shared" si="107"/>
        <v>0.15560049019607841</v>
      </c>
      <c r="V71" s="27">
        <f t="shared" si="108"/>
        <v>0.25264907081826665</v>
      </c>
      <c r="W71" s="27">
        <f t="shared" si="109"/>
        <v>0</v>
      </c>
    </row>
    <row r="72" spans="3:43">
      <c r="C72" s="54">
        <f t="shared" si="104"/>
        <v>29.6</v>
      </c>
      <c r="D72" s="27">
        <f t="shared" si="98"/>
        <v>0.15993557226368613</v>
      </c>
      <c r="E72" s="55">
        <f>AVERAGE(data0!B30:AG30)</f>
        <v>0.25784313725490199</v>
      </c>
      <c r="F72" s="27">
        <f t="shared" si="99"/>
        <v>0.35575070224611782</v>
      </c>
      <c r="G72" s="18">
        <f>MAX(data0!B30:AG30)</f>
        <v>0.30980392156862746</v>
      </c>
      <c r="H72" s="27">
        <f t="shared" si="100"/>
        <v>0.14469362745098041</v>
      </c>
      <c r="I72" s="55">
        <f>STDEV(data0!B30:AG30)</f>
        <v>6.5271709994143903E-2</v>
      </c>
      <c r="J72" s="55">
        <f>AVERAGE(data1!B30:AG30)</f>
        <v>0.27340686274509807</v>
      </c>
      <c r="K72" s="55">
        <f>STDEV(data1!B30:AG30)</f>
        <v>1.114694213936839E-2</v>
      </c>
      <c r="L72" s="56">
        <f>AVERAGE(data2!B30:AG30)</f>
        <v>0.26813725490196083</v>
      </c>
      <c r="M72" s="56">
        <f>STDEV(data2!B30:AG30)</f>
        <v>6.1200144627055718E-3</v>
      </c>
      <c r="N72" s="56">
        <f>AVERAGE(data3!B30:AG30)</f>
        <v>0.25686274509803925</v>
      </c>
      <c r="O72" s="56">
        <f>STDEV(data3!B30:AG30)</f>
        <v>6.4599417905192857E-2</v>
      </c>
      <c r="P72" s="18">
        <f t="shared" si="101"/>
        <v>0.59873225152129816</v>
      </c>
      <c r="Q72" s="18">
        <f t="shared" si="102"/>
        <v>1.4406779661016946</v>
      </c>
      <c r="R72" s="18">
        <f t="shared" si="103"/>
        <v>1.1632531656327016</v>
      </c>
      <c r="S72" s="19">
        <f t="shared" si="105"/>
        <v>29.6</v>
      </c>
      <c r="T72" s="27">
        <f t="shared" si="106"/>
        <v>4.6786062459764549E-2</v>
      </c>
      <c r="U72" s="27">
        <f t="shared" si="107"/>
        <v>0.14469362745098041</v>
      </c>
      <c r="V72" s="27">
        <f t="shared" si="108"/>
        <v>0.24260119244219625</v>
      </c>
      <c r="W72" s="27">
        <f t="shared" si="109"/>
        <v>0</v>
      </c>
      <c r="Z72" s="104" t="str">
        <f>Summary!B65</f>
        <v>29147 `Near' Detect Region: 6% Reflector , 77% Xmit @ 850nm</v>
      </c>
      <c r="AA72" s="104"/>
      <c r="AB72" s="104"/>
      <c r="AC72" s="104"/>
      <c r="AD72" s="104"/>
      <c r="AE72" s="104"/>
      <c r="AF72" s="104"/>
      <c r="AG72" s="104"/>
      <c r="AH72" s="104"/>
      <c r="AI72" s="104" t="str">
        <f>Summary!I65</f>
        <v>29147 `Far` Offset Region: 6% Reflector , 77% Xmit @ 850nm</v>
      </c>
      <c r="AJ72" s="104"/>
      <c r="AK72" s="104"/>
      <c r="AL72" s="104"/>
      <c r="AM72" s="104"/>
      <c r="AN72" s="104"/>
      <c r="AO72" s="104"/>
      <c r="AP72" s="104"/>
      <c r="AQ72" s="104"/>
    </row>
    <row r="73" spans="3:43">
      <c r="C73" s="54">
        <f t="shared" si="104"/>
        <v>30.6</v>
      </c>
      <c r="D73" s="27">
        <f t="shared" si="98"/>
        <v>0.14864749942318828</v>
      </c>
      <c r="E73" s="55">
        <f>AVERAGE(data0!B31:AG31)</f>
        <v>0.24730392156862749</v>
      </c>
      <c r="F73" s="27">
        <f t="shared" si="99"/>
        <v>0.3459603437140667</v>
      </c>
      <c r="G73" s="18">
        <f>MAX(data0!B31:AG31)</f>
        <v>0.29803921568627451</v>
      </c>
      <c r="H73" s="27">
        <f t="shared" si="100"/>
        <v>0.13415441176470591</v>
      </c>
      <c r="I73" s="55">
        <f>STDEV(data0!B31:AG31)</f>
        <v>6.5770948096959464E-2</v>
      </c>
      <c r="J73" s="55">
        <f>AVERAGE(data1!B31:AG31)</f>
        <v>0.25637254901960788</v>
      </c>
      <c r="K73" s="55">
        <f>STDEV(data1!B31:AG31)</f>
        <v>1.0243164763769094E-2</v>
      </c>
      <c r="L73" s="56">
        <f>AVERAGE(data2!B31:AG31)</f>
        <v>0.25551470588235292</v>
      </c>
      <c r="M73" s="56">
        <f>STDEV(data2!B31:AG31)</f>
        <v>5.1862532865630112E-3</v>
      </c>
      <c r="N73" s="56">
        <f>AVERAGE(data3!B31:AG31)</f>
        <v>0.24497549019607848</v>
      </c>
      <c r="O73" s="56">
        <f>STDEV(data3!B31:AG31)</f>
        <v>6.6162354715359639E-2</v>
      </c>
      <c r="P73" s="18">
        <f t="shared" si="101"/>
        <v>0.59721767594108022</v>
      </c>
      <c r="Q73" s="18">
        <f t="shared" si="102"/>
        <v>1.4480960657291833</v>
      </c>
      <c r="R73" s="18">
        <f t="shared" si="103"/>
        <v>1.1723626933407423</v>
      </c>
      <c r="S73" s="19">
        <f t="shared" si="105"/>
        <v>30.6</v>
      </c>
      <c r="T73" s="27">
        <f t="shared" si="106"/>
        <v>3.5497989619266701E-2</v>
      </c>
      <c r="U73" s="27">
        <f t="shared" si="107"/>
        <v>0.13415441176470591</v>
      </c>
      <c r="V73" s="27">
        <f t="shared" si="108"/>
        <v>0.23281083391014512</v>
      </c>
      <c r="W73" s="27">
        <f t="shared" si="109"/>
        <v>0</v>
      </c>
    </row>
    <row r="74" spans="3:43">
      <c r="C74" s="54">
        <f t="shared" si="104"/>
        <v>31.6</v>
      </c>
      <c r="D74" s="27">
        <f t="shared" si="98"/>
        <v>0.13909964047501838</v>
      </c>
      <c r="E74" s="55">
        <f>AVERAGE(data0!B32:AG32)</f>
        <v>0.23713235294117652</v>
      </c>
      <c r="F74" s="27">
        <f t="shared" si="99"/>
        <v>0.33516506540733465</v>
      </c>
      <c r="G74" s="18">
        <f>MAX(data0!B32:AG32)</f>
        <v>0.28627450980392155</v>
      </c>
      <c r="H74" s="27">
        <f t="shared" si="100"/>
        <v>0.12398284313725494</v>
      </c>
      <c r="I74" s="55">
        <f>STDEV(data0!B32:AG32)</f>
        <v>6.5355141644105427E-2</v>
      </c>
      <c r="J74" s="55">
        <f>AVERAGE(data1!B32:AG32)</f>
        <v>0.23897058823529416</v>
      </c>
      <c r="K74" s="55">
        <f>STDEV(data1!B32:AG32)</f>
        <v>1.2518047642757543E-2</v>
      </c>
      <c r="L74" s="56">
        <f>AVERAGE(data2!B32:AG32)</f>
        <v>0.24534313725490198</v>
      </c>
      <c r="M74" s="56">
        <f>STDEV(data2!B32:AG32)</f>
        <v>4.8734146683762766E-3</v>
      </c>
      <c r="N74" s="56">
        <f>AVERAGE(data3!B32:AG32)</f>
        <v>0.23750000000000004</v>
      </c>
      <c r="O74" s="56">
        <f>STDEV(data3!B32:AG32)</f>
        <v>6.5642597844192782E-2</v>
      </c>
      <c r="P74" s="18">
        <f t="shared" si="101"/>
        <v>0.59828503843879366</v>
      </c>
      <c r="Q74" s="18">
        <f t="shared" si="102"/>
        <v>1.4296584376056813</v>
      </c>
      <c r="R74" s="18">
        <f t="shared" si="103"/>
        <v>1.1610876607440852</v>
      </c>
      <c r="S74" s="19">
        <f t="shared" si="105"/>
        <v>31.6</v>
      </c>
      <c r="T74" s="27">
        <f t="shared" si="106"/>
        <v>2.5950130671096805E-2</v>
      </c>
      <c r="U74" s="27">
        <f t="shared" si="107"/>
        <v>0.12398284313725494</v>
      </c>
      <c r="V74" s="27">
        <f t="shared" si="108"/>
        <v>0.22201555560341307</v>
      </c>
      <c r="W74" s="27">
        <f t="shared" si="109"/>
        <v>0</v>
      </c>
    </row>
    <row r="75" spans="3:43">
      <c r="C75" s="54">
        <f t="shared" si="104"/>
        <v>32.6</v>
      </c>
      <c r="D75" s="27">
        <f t="shared" si="98"/>
        <v>0.13114816882361199</v>
      </c>
      <c r="E75" s="55">
        <f>AVERAGE(data0!B33:AG33)</f>
        <v>0.22830882352941179</v>
      </c>
      <c r="F75" s="27">
        <f t="shared" si="99"/>
        <v>0.32546947823521155</v>
      </c>
      <c r="G75" s="18">
        <f>MAX(data0!B33:AG33)</f>
        <v>0.28235294117647058</v>
      </c>
      <c r="H75" s="27">
        <f t="shared" si="100"/>
        <v>0.11515931372549021</v>
      </c>
      <c r="I75" s="55">
        <f>STDEV(data0!B33:AG33)</f>
        <v>6.4773769803866524E-2</v>
      </c>
      <c r="J75" s="55">
        <f>AVERAGE(data1!B33:AG33)</f>
        <v>0.22401960784313732</v>
      </c>
      <c r="K75" s="55">
        <f>STDEV(data1!B33:AG33)</f>
        <v>1.1258341678293024E-2</v>
      </c>
      <c r="L75" s="56">
        <f>AVERAGE(data2!B33:AG33)</f>
        <v>0.23480392156862748</v>
      </c>
      <c r="M75" s="56">
        <f>STDEV(data2!B33:AG33)</f>
        <v>6.6633172372538079E-3</v>
      </c>
      <c r="N75" s="56">
        <f>AVERAGE(data3!B33:AG33)</f>
        <v>0.2279411764705882</v>
      </c>
      <c r="O75" s="56">
        <f>STDEV(data3!B33:AG33)</f>
        <v>6.5686510520972893E-2</v>
      </c>
      <c r="P75" s="18">
        <f t="shared" si="101"/>
        <v>0.59891650732950907</v>
      </c>
      <c r="Q75" s="18">
        <f t="shared" si="102"/>
        <v>1.4305251641137855</v>
      </c>
      <c r="R75" s="18">
        <f t="shared" si="103"/>
        <v>1.165940257255236</v>
      </c>
      <c r="S75" s="19">
        <f t="shared" si="105"/>
        <v>32.6</v>
      </c>
      <c r="T75" s="27">
        <f t="shared" si="106"/>
        <v>1.7998659019690416E-2</v>
      </c>
      <c r="U75" s="27">
        <f t="shared" si="107"/>
        <v>0.11515931372549021</v>
      </c>
      <c r="V75" s="27">
        <f t="shared" si="108"/>
        <v>0.21231996843128997</v>
      </c>
      <c r="W75" s="27">
        <f t="shared" si="109"/>
        <v>0</v>
      </c>
    </row>
    <row r="76" spans="3:43">
      <c r="C76" s="54">
        <f t="shared" si="104"/>
        <v>33.6</v>
      </c>
      <c r="D76" s="27">
        <f t="shared" ref="D76:D107" si="112">E76-1.5*I76</f>
        <v>0.12290846825854861</v>
      </c>
      <c r="E76" s="55">
        <f>AVERAGE(data0!B34:AG34)</f>
        <v>0.21985294117647053</v>
      </c>
      <c r="F76" s="27">
        <f t="shared" ref="F76:F107" si="113">E76+1.5*I76</f>
        <v>0.31679741409439244</v>
      </c>
      <c r="G76" s="18">
        <f>MAX(data0!B34:AG34)</f>
        <v>0.27058823529411763</v>
      </c>
      <c r="H76" s="27">
        <f t="shared" ref="H76:H107" si="114">E76-H$4</f>
        <v>0.10670343137254895</v>
      </c>
      <c r="I76" s="55">
        <f>STDEV(data0!B34:AG34)</f>
        <v>6.4629648611947949E-2</v>
      </c>
      <c r="J76" s="55">
        <f>AVERAGE(data1!B34:AG34)</f>
        <v>0.21176470588235302</v>
      </c>
      <c r="K76" s="55">
        <f>STDEV(data1!B34:AG34)</f>
        <v>1.2441028061373051E-2</v>
      </c>
      <c r="L76" s="56">
        <f>AVERAGE(data2!B34:AG34)</f>
        <v>0.22463235294117653</v>
      </c>
      <c r="M76" s="56">
        <f>STDEV(data2!B34:AG34)</f>
        <v>5.9125830849944298E-3</v>
      </c>
      <c r="N76" s="56">
        <f>AVERAGE(data3!B34:AG34)</f>
        <v>0.21948529411764695</v>
      </c>
      <c r="O76" s="56">
        <f>STDEV(data3!B34:AG34)</f>
        <v>6.5480267363891911E-2</v>
      </c>
      <c r="P76" s="18">
        <f t="shared" ref="P76:P107" si="115">(E76-relativePrx*$H$4)/(J76-relativePrx*$H$5)</f>
        <v>0.59271613342409735</v>
      </c>
      <c r="Q76" s="18">
        <f t="shared" ref="Q76:Q107" si="116">(J76-relativePrx*$H$5)/(L76-relativePrx*$H$6)</f>
        <v>1.4490037482738209</v>
      </c>
      <c r="R76" s="18">
        <f t="shared" ref="R76:R107" si="117">(L76-relativePrx*$H$6)/(N76-relativePrx*$H$7)</f>
        <v>1.1630147986692687</v>
      </c>
      <c r="S76" s="19">
        <f t="shared" si="105"/>
        <v>33.6</v>
      </c>
      <c r="T76" s="27">
        <f t="shared" si="106"/>
        <v>9.7589584546270286E-3</v>
      </c>
      <c r="U76" s="27">
        <f t="shared" si="107"/>
        <v>0.10670343137254895</v>
      </c>
      <c r="V76" s="27">
        <f t="shared" si="108"/>
        <v>0.20364790429047086</v>
      </c>
      <c r="W76" s="27">
        <f t="shared" si="109"/>
        <v>0</v>
      </c>
    </row>
    <row r="77" spans="3:43">
      <c r="C77" s="54">
        <f t="shared" ref="C77:C108" si="118">C76+$B$4</f>
        <v>34.6</v>
      </c>
      <c r="D77" s="27">
        <f t="shared" si="112"/>
        <v>0.11623463463563971</v>
      </c>
      <c r="E77" s="55">
        <f>AVERAGE(data0!B35:AG35)</f>
        <v>0.2118872549019607</v>
      </c>
      <c r="F77" s="27">
        <f t="shared" si="113"/>
        <v>0.30753987516828168</v>
      </c>
      <c r="G77" s="18">
        <f>MAX(data0!B35:AG35)</f>
        <v>0.2627450980392157</v>
      </c>
      <c r="H77" s="27">
        <f t="shared" si="114"/>
        <v>9.873774509803912E-2</v>
      </c>
      <c r="I77" s="55">
        <f>STDEV(data0!B35:AG35)</f>
        <v>6.3768413510880653E-2</v>
      </c>
      <c r="J77" s="55">
        <f>AVERAGE(data1!B35:AG35)</f>
        <v>0.19693627450980403</v>
      </c>
      <c r="K77" s="55">
        <f>STDEV(data1!B35:AG35)</f>
        <v>1.2065905059836941E-2</v>
      </c>
      <c r="L77" s="56">
        <f>AVERAGE(data2!B35:AG35)</f>
        <v>0.21605392156862754</v>
      </c>
      <c r="M77" s="56">
        <f>STDEV(data2!B35:AG35)</f>
        <v>6.4059117906782618E-3</v>
      </c>
      <c r="N77" s="56">
        <f>AVERAGE(data3!B35:AG35)</f>
        <v>0.2118872549019607</v>
      </c>
      <c r="O77" s="56">
        <f>STDEV(data3!B35:AG35)</f>
        <v>6.3768413510880709E-2</v>
      </c>
      <c r="P77" s="18">
        <f t="shared" si="115"/>
        <v>0.59770029673590408</v>
      </c>
      <c r="Q77" s="18">
        <f t="shared" si="116"/>
        <v>1.4282687009959734</v>
      </c>
      <c r="R77" s="18">
        <f t="shared" si="117"/>
        <v>1.1656168951463524</v>
      </c>
      <c r="S77" s="19">
        <f t="shared" si="105"/>
        <v>34.6</v>
      </c>
      <c r="T77" s="27">
        <f t="shared" si="106"/>
        <v>3.0851248317181335E-3</v>
      </c>
      <c r="U77" s="27">
        <f t="shared" si="107"/>
        <v>9.873774509803912E-2</v>
      </c>
      <c r="V77" s="27">
        <f t="shared" si="108"/>
        <v>0.19439036536436011</v>
      </c>
      <c r="W77" s="27">
        <f t="shared" si="109"/>
        <v>0</v>
      </c>
    </row>
    <row r="78" spans="3:43">
      <c r="C78" s="54">
        <f t="shared" si="118"/>
        <v>35.6</v>
      </c>
      <c r="D78" s="27">
        <f t="shared" si="112"/>
        <v>0.10895796129082144</v>
      </c>
      <c r="E78" s="55">
        <f>AVERAGE(data0!B36:AG36)</f>
        <v>0.20563725490196072</v>
      </c>
      <c r="F78" s="27">
        <f t="shared" si="113"/>
        <v>0.30231654851309997</v>
      </c>
      <c r="G78" s="18">
        <f>MAX(data0!B36:AG36)</f>
        <v>0.25882352941176473</v>
      </c>
      <c r="H78" s="27">
        <f t="shared" si="114"/>
        <v>9.2487745098039142E-2</v>
      </c>
      <c r="I78" s="55">
        <f>STDEV(data0!B36:AG36)</f>
        <v>6.445286240742619E-2</v>
      </c>
      <c r="J78" s="55">
        <f>AVERAGE(data1!B36:AG36)</f>
        <v>0.1862745098039216</v>
      </c>
      <c r="K78" s="55">
        <f>STDEV(data1!B36:AG36)</f>
        <v>1.0911503429651014E-2</v>
      </c>
      <c r="L78" s="56">
        <f>AVERAGE(data2!B36:AG36)</f>
        <v>0.20821078431372558</v>
      </c>
      <c r="M78" s="56">
        <f>STDEV(data2!B36:AG36)</f>
        <v>5.753113249676073E-3</v>
      </c>
      <c r="N78" s="56">
        <f>AVERAGE(data3!B36:AG36)</f>
        <v>0.20477941176470582</v>
      </c>
      <c r="O78" s="56">
        <f>STDEV(data3!B36:AG36)</f>
        <v>6.4957320111157527E-2</v>
      </c>
      <c r="P78" s="18">
        <f t="shared" si="115"/>
        <v>0.59849325931800101</v>
      </c>
      <c r="Q78" s="18">
        <f t="shared" si="116"/>
        <v>1.4332802909752205</v>
      </c>
      <c r="R78" s="18">
        <f t="shared" si="117"/>
        <v>1.1704137288812044</v>
      </c>
      <c r="S78" s="19">
        <f t="shared" si="105"/>
        <v>35.6</v>
      </c>
      <c r="T78" s="27">
        <f t="shared" si="106"/>
        <v>-4.1915485131001351E-3</v>
      </c>
      <c r="U78" s="27">
        <f t="shared" si="107"/>
        <v>9.2487745098039142E-2</v>
      </c>
      <c r="V78" s="27">
        <f t="shared" si="108"/>
        <v>0.18916703870917839</v>
      </c>
      <c r="W78" s="27">
        <f t="shared" si="109"/>
        <v>0</v>
      </c>
    </row>
    <row r="79" spans="3:43">
      <c r="C79" s="54">
        <f t="shared" si="118"/>
        <v>36.6</v>
      </c>
      <c r="D79" s="27">
        <f t="shared" si="112"/>
        <v>0.10330970959426702</v>
      </c>
      <c r="E79" s="55">
        <f>AVERAGE(data0!B37:AG37)</f>
        <v>0.1992647058823529</v>
      </c>
      <c r="F79" s="27">
        <f t="shared" si="113"/>
        <v>0.2952197021704388</v>
      </c>
      <c r="G79" s="18">
        <f>MAX(data0!B37:AG37)</f>
        <v>0.24705882352941178</v>
      </c>
      <c r="H79" s="27">
        <f t="shared" si="114"/>
        <v>8.6115196078431322E-2</v>
      </c>
      <c r="I79" s="55">
        <f>STDEV(data0!B37:AG37)</f>
        <v>6.3969997525390579E-2</v>
      </c>
      <c r="J79" s="55">
        <f>AVERAGE(data1!B37:AG37)</f>
        <v>0.17561274509803923</v>
      </c>
      <c r="K79" s="55">
        <f>STDEV(data1!B37:AG37)</f>
        <v>1.0290728637042017E-2</v>
      </c>
      <c r="L79" s="56">
        <f>AVERAGE(data2!B37:AG37)</f>
        <v>0.20061274509803934</v>
      </c>
      <c r="M79" s="56">
        <f>STDEV(data2!B37:AG37)</f>
        <v>4.7883740715622203E-3</v>
      </c>
      <c r="N79" s="56">
        <f>AVERAGE(data3!B37:AG37)</f>
        <v>0.19914215686274503</v>
      </c>
      <c r="O79" s="56">
        <f>STDEV(data3!B37:AG37)</f>
        <v>6.4666458194671733E-2</v>
      </c>
      <c r="P79" s="18">
        <f t="shared" si="115"/>
        <v>0.59855195911413928</v>
      </c>
      <c r="Q79" s="18">
        <f t="shared" si="116"/>
        <v>1.4355588163365107</v>
      </c>
      <c r="R79" s="18">
        <f t="shared" si="117"/>
        <v>1.1588493694204358</v>
      </c>
      <c r="S79" s="19">
        <f t="shared" si="105"/>
        <v>36.6</v>
      </c>
      <c r="T79" s="27">
        <f t="shared" si="106"/>
        <v>-9.8398002096545534E-3</v>
      </c>
      <c r="U79" s="27">
        <f t="shared" si="107"/>
        <v>8.6115196078431322E-2</v>
      </c>
      <c r="V79" s="27">
        <f t="shared" si="108"/>
        <v>0.18207019236651723</v>
      </c>
      <c r="W79" s="27">
        <f t="shared" si="109"/>
        <v>0</v>
      </c>
    </row>
    <row r="80" spans="3:43">
      <c r="C80" s="54">
        <f t="shared" si="118"/>
        <v>37.6</v>
      </c>
      <c r="D80" s="27">
        <f t="shared" si="112"/>
        <v>9.6754245687164092E-2</v>
      </c>
      <c r="E80" s="55">
        <f>AVERAGE(data0!B38:AG38)</f>
        <v>0.19362745098039211</v>
      </c>
      <c r="F80" s="27">
        <f t="shared" si="113"/>
        <v>0.29050065627362009</v>
      </c>
      <c r="G80" s="18">
        <f>MAX(data0!B38:AG38)</f>
        <v>0.24313725490196078</v>
      </c>
      <c r="H80" s="27">
        <f t="shared" si="114"/>
        <v>8.047794117647053E-2</v>
      </c>
      <c r="I80" s="55">
        <f>STDEV(data0!B38:AG38)</f>
        <v>6.4582136862152015E-2</v>
      </c>
      <c r="J80" s="55">
        <f>AVERAGE(data1!B38:AG38)</f>
        <v>0.16629901960784316</v>
      </c>
      <c r="K80" s="55">
        <f>STDEV(data1!B38:AG38)</f>
        <v>1.0767769495926326E-2</v>
      </c>
      <c r="L80" s="56">
        <f>AVERAGE(data2!B38:AG38)</f>
        <v>0.19497549019607854</v>
      </c>
      <c r="M80" s="56">
        <f>STDEV(data2!B38:AG38)</f>
        <v>5.003688287555666E-3</v>
      </c>
      <c r="N80" s="56">
        <f>AVERAGE(data3!B38:AG38)</f>
        <v>0.19338235294117642</v>
      </c>
      <c r="O80" s="56">
        <f>STDEV(data3!B38:AG38)</f>
        <v>6.4710194784706701E-2</v>
      </c>
      <c r="P80" s="18">
        <f t="shared" si="115"/>
        <v>0.59808743169398859</v>
      </c>
      <c r="Q80" s="18">
        <f t="shared" si="116"/>
        <v>1.4226483544959816</v>
      </c>
      <c r="R80" s="18">
        <f t="shared" si="117"/>
        <v>1.1717018369515733</v>
      </c>
      <c r="S80" s="19">
        <f t="shared" si="105"/>
        <v>37.6</v>
      </c>
      <c r="T80" s="27">
        <f t="shared" si="106"/>
        <v>-1.6395264116757485E-2</v>
      </c>
      <c r="U80" s="27">
        <f t="shared" si="107"/>
        <v>8.047794117647053E-2</v>
      </c>
      <c r="V80" s="27">
        <f t="shared" si="108"/>
        <v>0.17735114646969852</v>
      </c>
      <c r="W80" s="27">
        <f t="shared" si="109"/>
        <v>0</v>
      </c>
    </row>
    <row r="81" spans="3:66">
      <c r="C81" s="54">
        <f t="shared" si="118"/>
        <v>38.6</v>
      </c>
      <c r="D81" s="27">
        <f t="shared" si="112"/>
        <v>9.153854739691622E-2</v>
      </c>
      <c r="E81" s="55">
        <f>AVERAGE(data0!B39:AG39)</f>
        <v>0.18860294117647056</v>
      </c>
      <c r="F81" s="27">
        <f t="shared" si="113"/>
        <v>0.28566733495602492</v>
      </c>
      <c r="G81" s="18">
        <f>MAX(data0!B39:AG39)</f>
        <v>0.23921568627450981</v>
      </c>
      <c r="H81" s="27">
        <f t="shared" si="114"/>
        <v>7.5453431372548979E-2</v>
      </c>
      <c r="I81" s="55">
        <f>STDEV(data0!B39:AG39)</f>
        <v>6.470959585303622E-2</v>
      </c>
      <c r="J81" s="55">
        <f>AVERAGE(data1!B39:AG39)</f>
        <v>0.15686274509803924</v>
      </c>
      <c r="K81" s="55">
        <f>STDEV(data1!B39:AG39)</f>
        <v>1.109187107743604E-2</v>
      </c>
      <c r="L81" s="56">
        <f>AVERAGE(data2!B39:AG39)</f>
        <v>0.18909313725490201</v>
      </c>
      <c r="M81" s="56">
        <f>STDEV(data2!B39:AG39)</f>
        <v>5.7853588824092099E-3</v>
      </c>
      <c r="N81" s="56">
        <f>AVERAGE(data3!B39:AG39)</f>
        <v>0.18725490196078429</v>
      </c>
      <c r="O81" s="56">
        <f>STDEV(data3!B39:AG39)</f>
        <v>6.4090571028719623E-2</v>
      </c>
      <c r="P81" s="18">
        <f t="shared" si="115"/>
        <v>0.60303623898139036</v>
      </c>
      <c r="Q81" s="18">
        <f t="shared" si="116"/>
        <v>1.4106106659298141</v>
      </c>
      <c r="R81" s="18">
        <f t="shared" si="117"/>
        <v>1.1890915064892404</v>
      </c>
      <c r="S81" s="19">
        <f t="shared" si="105"/>
        <v>38.6</v>
      </c>
      <c r="T81" s="27">
        <f t="shared" si="106"/>
        <v>-2.1610962407005357E-2</v>
      </c>
      <c r="U81" s="27">
        <f t="shared" si="107"/>
        <v>7.5453431372548979E-2</v>
      </c>
      <c r="V81" s="27">
        <f t="shared" si="108"/>
        <v>0.17251782515210334</v>
      </c>
      <c r="W81" s="27">
        <f t="shared" si="109"/>
        <v>0</v>
      </c>
    </row>
    <row r="82" spans="3:66">
      <c r="C82" s="54">
        <f t="shared" si="118"/>
        <v>39.6</v>
      </c>
      <c r="D82" s="27">
        <f t="shared" si="112"/>
        <v>8.5929068544793277E-2</v>
      </c>
      <c r="E82" s="55">
        <f>AVERAGE(data0!B40:AG40)</f>
        <v>0.18370098039215685</v>
      </c>
      <c r="F82" s="27">
        <f t="shared" si="113"/>
        <v>0.28147289223952043</v>
      </c>
      <c r="G82" s="18">
        <f>MAX(data0!B40:AG40)</f>
        <v>0.23137254901960785</v>
      </c>
      <c r="H82" s="27">
        <f t="shared" si="114"/>
        <v>7.0551470588235271E-2</v>
      </c>
      <c r="I82" s="55">
        <f>STDEV(data0!B40:AG40)</f>
        <v>6.5181274564909047E-2</v>
      </c>
      <c r="J82" s="55">
        <f>AVERAGE(data1!B40:AG40)</f>
        <v>0.14926470588235297</v>
      </c>
      <c r="K82" s="55">
        <f>STDEV(data1!B40:AG40)</f>
        <v>9.6026138165467446E-3</v>
      </c>
      <c r="L82" s="56">
        <f>AVERAGE(data2!B40:AG40)</f>
        <v>0.18333333333333338</v>
      </c>
      <c r="M82" s="56">
        <f>STDEV(data2!B40:AG40)</f>
        <v>5.4557517148255069E-3</v>
      </c>
      <c r="N82" s="56">
        <f>AVERAGE(data3!B40:AG40)</f>
        <v>0.18419117647058822</v>
      </c>
      <c r="O82" s="56">
        <f>STDEV(data3!B40:AG40)</f>
        <v>6.5752442435055514E-2</v>
      </c>
      <c r="P82" s="18">
        <f t="shared" si="115"/>
        <v>0.60031282586027079</v>
      </c>
      <c r="Q82" s="18">
        <f t="shared" si="116"/>
        <v>1.4169621749408976</v>
      </c>
      <c r="R82" s="18">
        <f t="shared" si="117"/>
        <v>1.1594997430186749</v>
      </c>
      <c r="S82" s="19">
        <f t="shared" si="105"/>
        <v>39.6</v>
      </c>
      <c r="T82" s="27">
        <f t="shared" si="106"/>
        <v>-2.72204412591283E-2</v>
      </c>
      <c r="U82" s="27">
        <f t="shared" si="107"/>
        <v>7.0551470588235271E-2</v>
      </c>
      <c r="V82" s="27">
        <f t="shared" si="108"/>
        <v>0.16832338243559886</v>
      </c>
      <c r="W82" s="27">
        <f t="shared" si="109"/>
        <v>0</v>
      </c>
    </row>
    <row r="83" spans="3:66">
      <c r="C83" s="54">
        <f t="shared" si="118"/>
        <v>40.6</v>
      </c>
      <c r="D83" s="27">
        <f t="shared" si="112"/>
        <v>8.1985065091553538E-2</v>
      </c>
      <c r="E83" s="55">
        <f>AVERAGE(data0!B41:AG41)</f>
        <v>0.17928921568627451</v>
      </c>
      <c r="F83" s="27">
        <f t="shared" si="113"/>
        <v>0.27659336628099551</v>
      </c>
      <c r="G83" s="18">
        <f>MAX(data0!B41:AG41)</f>
        <v>0.22352941176470589</v>
      </c>
      <c r="H83" s="27">
        <f t="shared" si="114"/>
        <v>6.6139705882352934E-2</v>
      </c>
      <c r="I83" s="55">
        <f>STDEV(data0!B41:AG41)</f>
        <v>6.4869433729813977E-2</v>
      </c>
      <c r="J83" s="55">
        <f>AVERAGE(data1!B41:AG41)</f>
        <v>0.14142156862745098</v>
      </c>
      <c r="K83" s="55">
        <f>STDEV(data1!B41:AG41)</f>
        <v>1.0632302236647033E-2</v>
      </c>
      <c r="L83" s="56">
        <f>AVERAGE(data2!B41:AG41)</f>
        <v>0.17757352941176474</v>
      </c>
      <c r="M83" s="56">
        <f>STDEV(data2!B41:AG41)</f>
        <v>5.292770461337225E-3</v>
      </c>
      <c r="N83" s="56">
        <f>AVERAGE(data3!B41:AG41)</f>
        <v>0.18026960784313725</v>
      </c>
      <c r="O83" s="56">
        <f>STDEV(data3!B41:AG41)</f>
        <v>6.6076071144435006E-2</v>
      </c>
      <c r="P83" s="18">
        <f t="shared" si="115"/>
        <v>0.60301675977653624</v>
      </c>
      <c r="Q83" s="18">
        <f t="shared" si="116"/>
        <v>1.4210860590663692</v>
      </c>
      <c r="R83" s="18">
        <f t="shared" si="117"/>
        <v>1.1415624433568974</v>
      </c>
      <c r="S83" s="19">
        <f t="shared" si="105"/>
        <v>40.6</v>
      </c>
      <c r="T83" s="27">
        <f t="shared" si="106"/>
        <v>-3.1164444712368039E-2</v>
      </c>
      <c r="U83" s="27">
        <f t="shared" si="107"/>
        <v>6.6139705882352934E-2</v>
      </c>
      <c r="V83" s="27">
        <f t="shared" si="108"/>
        <v>0.16344385647707393</v>
      </c>
      <c r="W83" s="27">
        <f t="shared" si="109"/>
        <v>0</v>
      </c>
    </row>
    <row r="84" spans="3:66">
      <c r="C84" s="54">
        <f t="shared" si="118"/>
        <v>41.6</v>
      </c>
      <c r="D84" s="27">
        <f t="shared" si="112"/>
        <v>7.5527615769750894E-2</v>
      </c>
      <c r="E84" s="55">
        <f>AVERAGE(data0!B42:AG42)</f>
        <v>0.1738970588235294</v>
      </c>
      <c r="F84" s="27">
        <f t="shared" si="113"/>
        <v>0.27226650187730794</v>
      </c>
      <c r="G84" s="18">
        <f>MAX(data0!B42:AG42)</f>
        <v>0.22352941176470589</v>
      </c>
      <c r="H84" s="27">
        <f t="shared" si="114"/>
        <v>6.0747549019607827E-2</v>
      </c>
      <c r="I84" s="55">
        <f>STDEV(data0!B42:AG42)</f>
        <v>6.5579628702519002E-2</v>
      </c>
      <c r="J84" s="55">
        <f>AVERAGE(data1!B42:AG42)</f>
        <v>0.1338235294117647</v>
      </c>
      <c r="K84" s="55">
        <f>STDEV(data1!B42:AG42)</f>
        <v>1.0716537063606944E-2</v>
      </c>
      <c r="L84" s="56">
        <f>AVERAGE(data2!B42:AG42)</f>
        <v>0.17303921568627453</v>
      </c>
      <c r="M84" s="56">
        <f>STDEV(data2!B42:AG42)</f>
        <v>5.0545510497171514E-3</v>
      </c>
      <c r="N84" s="56">
        <f>AVERAGE(data3!B42:AG42)</f>
        <v>0.17475490196078433</v>
      </c>
      <c r="O84" s="56">
        <f>STDEV(data3!B42:AG42)</f>
        <v>6.5551846358625945E-2</v>
      </c>
      <c r="P84" s="18">
        <f t="shared" si="115"/>
        <v>0.59507803121248481</v>
      </c>
      <c r="Q84" s="18">
        <f t="shared" si="116"/>
        <v>1.4051956815114701</v>
      </c>
      <c r="R84" s="18">
        <f t="shared" si="117"/>
        <v>1.1699230313795146</v>
      </c>
      <c r="S84" s="19">
        <f t="shared" si="105"/>
        <v>41.6</v>
      </c>
      <c r="T84" s="27">
        <f t="shared" si="106"/>
        <v>-3.7621894034170683E-2</v>
      </c>
      <c r="U84" s="27">
        <f t="shared" si="107"/>
        <v>6.0747549019607827E-2</v>
      </c>
      <c r="V84" s="27">
        <f t="shared" si="108"/>
        <v>0.15911699207338637</v>
      </c>
      <c r="W84" s="27">
        <f t="shared" si="109"/>
        <v>0</v>
      </c>
    </row>
    <row r="85" spans="3:66">
      <c r="C85" s="54">
        <f t="shared" si="118"/>
        <v>42.6</v>
      </c>
      <c r="D85" s="27">
        <f t="shared" si="112"/>
        <v>7.2504712257560139E-2</v>
      </c>
      <c r="E85" s="55">
        <f>AVERAGE(data0!B43:AG43)</f>
        <v>0.17034313725490197</v>
      </c>
      <c r="F85" s="27">
        <f t="shared" si="113"/>
        <v>0.26818156225224377</v>
      </c>
      <c r="G85" s="18">
        <f>MAX(data0!B43:AG43)</f>
        <v>0.2196078431372549</v>
      </c>
      <c r="H85" s="27">
        <f t="shared" si="114"/>
        <v>5.7193627450980389E-2</v>
      </c>
      <c r="I85" s="55">
        <f>STDEV(data0!B43:AG43)</f>
        <v>6.5225616664894556E-2</v>
      </c>
      <c r="J85" s="55">
        <f>AVERAGE(data1!B43:AG43)</f>
        <v>0.12659313725490196</v>
      </c>
      <c r="K85" s="55">
        <f>STDEV(data1!B43:AG43)</f>
        <v>9.617938647808957E-3</v>
      </c>
      <c r="L85" s="56">
        <f>AVERAGE(data2!B43:AG43)</f>
        <v>0.16740196078431377</v>
      </c>
      <c r="M85" s="56">
        <f>STDEV(data2!B43:AG43)</f>
        <v>4.3915130096439225E-3</v>
      </c>
      <c r="N85" s="56">
        <f>AVERAGE(data3!B43:AG43)</f>
        <v>0.16936274509803922</v>
      </c>
      <c r="O85" s="56">
        <f>STDEV(data3!B43:AG43)</f>
        <v>6.5706804310160169E-2</v>
      </c>
      <c r="P85" s="18">
        <f t="shared" si="115"/>
        <v>0.60297157622739017</v>
      </c>
      <c r="Q85" s="18">
        <f t="shared" si="116"/>
        <v>1.4155084125822956</v>
      </c>
      <c r="R85" s="18">
        <f t="shared" si="117"/>
        <v>1.1817592392478933</v>
      </c>
      <c r="S85" s="19">
        <f t="shared" si="105"/>
        <v>42.6</v>
      </c>
      <c r="T85" s="27">
        <f t="shared" si="106"/>
        <v>-4.0644797546361439E-2</v>
      </c>
      <c r="U85" s="27">
        <f t="shared" si="107"/>
        <v>5.7193627450980389E-2</v>
      </c>
      <c r="V85" s="27">
        <f t="shared" si="108"/>
        <v>0.15503205244832219</v>
      </c>
      <c r="W85" s="27">
        <f t="shared" si="109"/>
        <v>0</v>
      </c>
    </row>
    <row r="86" spans="3:66">
      <c r="C86" s="54">
        <f t="shared" si="118"/>
        <v>43.6</v>
      </c>
      <c r="D86" s="27">
        <f t="shared" si="112"/>
        <v>6.8211492392123263E-2</v>
      </c>
      <c r="E86" s="55">
        <f>AVERAGE(data0!B44:AG44)</f>
        <v>0.1667892156862745</v>
      </c>
      <c r="F86" s="27">
        <f t="shared" si="113"/>
        <v>0.26536693898042574</v>
      </c>
      <c r="G86" s="18">
        <f>MAX(data0!B44:AG44)</f>
        <v>0.21568627450980393</v>
      </c>
      <c r="H86" s="27">
        <f t="shared" si="114"/>
        <v>5.3639705882352923E-2</v>
      </c>
      <c r="I86" s="55">
        <f>STDEV(data0!B44:AG44)</f>
        <v>6.5718482196100825E-2</v>
      </c>
      <c r="J86" s="55">
        <f>AVERAGE(data1!B44:AG44)</f>
        <v>0.12071078431372551</v>
      </c>
      <c r="K86" s="55">
        <f>STDEV(data1!B44:AG44)</f>
        <v>9.3299402780055267E-3</v>
      </c>
      <c r="L86" s="56">
        <f>AVERAGE(data2!B44:AG44)</f>
        <v>0.16360294117647062</v>
      </c>
      <c r="M86" s="56">
        <f>STDEV(data2!B44:AG44)</f>
        <v>4.5900108470291754E-3</v>
      </c>
      <c r="N86" s="56">
        <f>AVERAGE(data3!B44:AG44)</f>
        <v>0.1659313725490196</v>
      </c>
      <c r="O86" s="56">
        <f>STDEV(data3!B44:AG44)</f>
        <v>6.4070733165258686E-2</v>
      </c>
      <c r="P86" s="18">
        <f t="shared" si="115"/>
        <v>0.60289256198347074</v>
      </c>
      <c r="Q86" s="18">
        <f t="shared" si="116"/>
        <v>1.4075222954633571</v>
      </c>
      <c r="R86" s="18">
        <f t="shared" si="117"/>
        <v>1.1865654474350134</v>
      </c>
      <c r="S86" s="19">
        <f t="shared" si="105"/>
        <v>43.6</v>
      </c>
      <c r="T86" s="27">
        <f t="shared" si="106"/>
        <v>-4.4938017411798314E-2</v>
      </c>
      <c r="U86" s="27">
        <f t="shared" si="107"/>
        <v>5.3639705882352923E-2</v>
      </c>
      <c r="V86" s="27">
        <f t="shared" si="108"/>
        <v>0.15221742917650416</v>
      </c>
      <c r="W86" s="27">
        <f t="shared" si="109"/>
        <v>0</v>
      </c>
    </row>
    <row r="87" spans="3:66">
      <c r="C87" s="54">
        <f t="shared" si="118"/>
        <v>44.6</v>
      </c>
      <c r="D87" s="27">
        <f t="shared" si="112"/>
        <v>6.51314177410134E-2</v>
      </c>
      <c r="E87" s="55">
        <f>AVERAGE(data0!B45:AG45)</f>
        <v>0.16286764705882353</v>
      </c>
      <c r="F87" s="27">
        <f t="shared" si="113"/>
        <v>0.26060387637663368</v>
      </c>
      <c r="G87" s="18">
        <f>MAX(data0!B45:AG45)</f>
        <v>0.21176470588235294</v>
      </c>
      <c r="H87" s="27">
        <f t="shared" si="114"/>
        <v>4.9718137254901956E-2</v>
      </c>
      <c r="I87" s="55">
        <f>STDEV(data0!B45:AG45)</f>
        <v>6.5157486211873422E-2</v>
      </c>
      <c r="J87" s="55">
        <f>AVERAGE(data1!B45:AG45)</f>
        <v>0.11531862745098041</v>
      </c>
      <c r="K87" s="55">
        <f>STDEV(data1!B45:AG45)</f>
        <v>9.75239463802232E-3</v>
      </c>
      <c r="L87" s="56">
        <f>AVERAGE(data2!B45:AG45)</f>
        <v>0.15943627450980394</v>
      </c>
      <c r="M87" s="56">
        <f>STDEV(data2!B45:AG45)</f>
        <v>4.7362895959086292E-3</v>
      </c>
      <c r="N87" s="56">
        <f>AVERAGE(data3!B45:AG45)</f>
        <v>0.16360294117647059</v>
      </c>
      <c r="O87" s="56">
        <f>STDEV(data3!B45:AG45)</f>
        <v>6.4754620059420009E-2</v>
      </c>
      <c r="P87" s="18">
        <f t="shared" si="115"/>
        <v>0.59486803519061571</v>
      </c>
      <c r="Q87" s="18">
        <f t="shared" si="116"/>
        <v>1.4155251141552505</v>
      </c>
      <c r="R87" s="18">
        <f t="shared" si="117"/>
        <v>1.159008900649507</v>
      </c>
      <c r="S87" s="19">
        <f t="shared" si="105"/>
        <v>44.6</v>
      </c>
      <c r="T87" s="27">
        <f t="shared" si="106"/>
        <v>-4.8018092062908177E-2</v>
      </c>
      <c r="U87" s="27">
        <f t="shared" si="107"/>
        <v>4.9718137254901956E-2</v>
      </c>
      <c r="V87" s="27">
        <f t="shared" si="108"/>
        <v>0.1474543665727121</v>
      </c>
      <c r="W87" s="27">
        <f t="shared" si="109"/>
        <v>0</v>
      </c>
    </row>
    <row r="88" spans="3:66">
      <c r="C88" s="54">
        <f t="shared" si="118"/>
        <v>45.6</v>
      </c>
      <c r="D88" s="27">
        <f t="shared" si="112"/>
        <v>6.2061029691831998E-2</v>
      </c>
      <c r="E88" s="55">
        <f>AVERAGE(data0!B46:AG46)</f>
        <v>0.1593137254901961</v>
      </c>
      <c r="F88" s="27">
        <f t="shared" si="113"/>
        <v>0.25656642128856022</v>
      </c>
      <c r="G88" s="18">
        <f>MAX(data0!B46:AG46)</f>
        <v>0.20784313725490197</v>
      </c>
      <c r="H88" s="27">
        <f t="shared" si="114"/>
        <v>4.6164215686274518E-2</v>
      </c>
      <c r="I88" s="55">
        <f>STDEV(data0!B46:AG46)</f>
        <v>6.4835130532242727E-2</v>
      </c>
      <c r="J88" s="55">
        <f>AVERAGE(data1!B46:AG46)</f>
        <v>0.10857843137254906</v>
      </c>
      <c r="K88" s="55">
        <f>STDEV(data1!B46:AG46)</f>
        <v>7.9958255780503383E-3</v>
      </c>
      <c r="L88" s="56">
        <f>AVERAGE(data2!B46:AG46)</f>
        <v>0.15379901960784315</v>
      </c>
      <c r="M88" s="56">
        <f>STDEV(data2!B46:AG46)</f>
        <v>3.6914621604982162E-3</v>
      </c>
      <c r="N88" s="56">
        <f>AVERAGE(data3!B46:AG46)</f>
        <v>0.15821078431372551</v>
      </c>
      <c r="O88" s="56">
        <f>STDEV(data3!B46:AG46)</f>
        <v>6.6054482641114395E-2</v>
      </c>
      <c r="P88" s="18">
        <f t="shared" si="115"/>
        <v>0.60079744816586911</v>
      </c>
      <c r="Q88" s="18">
        <f t="shared" si="116"/>
        <v>1.4387333639284074</v>
      </c>
      <c r="R88" s="18">
        <f t="shared" si="117"/>
        <v>1.1724509012644602</v>
      </c>
      <c r="S88" s="19">
        <f t="shared" si="105"/>
        <v>45.6</v>
      </c>
      <c r="T88" s="27">
        <f t="shared" si="106"/>
        <v>-5.1088480112089579E-2</v>
      </c>
      <c r="U88" s="27">
        <f t="shared" si="107"/>
        <v>4.6164215686274518E-2</v>
      </c>
      <c r="V88" s="27">
        <f t="shared" si="108"/>
        <v>0.14341691148463864</v>
      </c>
      <c r="W88" s="27">
        <f t="shared" si="109"/>
        <v>0</v>
      </c>
    </row>
    <row r="89" spans="3:66">
      <c r="C89" s="54">
        <f t="shared" si="118"/>
        <v>46.6</v>
      </c>
      <c r="D89" s="27">
        <f t="shared" si="112"/>
        <v>5.8868705361208848E-2</v>
      </c>
      <c r="E89" s="55">
        <f>AVERAGE(data0!B47:AG47)</f>
        <v>0.15526960784313729</v>
      </c>
      <c r="F89" s="27">
        <f t="shared" si="113"/>
        <v>0.25167051032506571</v>
      </c>
      <c r="G89" s="18">
        <f>MAX(data0!B47:AG47)</f>
        <v>0.20784313725490197</v>
      </c>
      <c r="H89" s="27">
        <f t="shared" si="114"/>
        <v>4.2120098039215709E-2</v>
      </c>
      <c r="I89" s="55">
        <f>STDEV(data0!B47:AG47)</f>
        <v>6.4267268321285625E-2</v>
      </c>
      <c r="J89" s="55">
        <f>AVERAGE(data1!B47:AG47)</f>
        <v>0.10343137254901966</v>
      </c>
      <c r="K89" s="55">
        <f>STDEV(data1!B47:AG47)</f>
        <v>7.7636707952481168E-3</v>
      </c>
      <c r="L89" s="56">
        <f>AVERAGE(data2!B47:AG47)</f>
        <v>0.15036764705882355</v>
      </c>
      <c r="M89" s="56">
        <f>STDEV(data2!B47:AG47)</f>
        <v>4.0594819597515206E-3</v>
      </c>
      <c r="N89" s="56">
        <f>AVERAGE(data3!B47:AG47)</f>
        <v>0.15575980392156866</v>
      </c>
      <c r="O89" s="56">
        <f>STDEV(data3!B47:AG47)</f>
        <v>6.5584356440018296E-2</v>
      </c>
      <c r="P89" s="18">
        <f t="shared" si="115"/>
        <v>0.58752136752136741</v>
      </c>
      <c r="Q89" s="18">
        <f t="shared" si="116"/>
        <v>1.4345267287886219</v>
      </c>
      <c r="R89" s="18">
        <f t="shared" si="117"/>
        <v>1.159510946829684</v>
      </c>
      <c r="S89" s="19">
        <f t="shared" si="105"/>
        <v>46.6</v>
      </c>
      <c r="T89" s="27">
        <f t="shared" si="106"/>
        <v>-5.428080444271273E-2</v>
      </c>
      <c r="U89" s="27">
        <f t="shared" si="107"/>
        <v>4.2120098039215709E-2</v>
      </c>
      <c r="V89" s="27">
        <f t="shared" si="108"/>
        <v>0.13852100052114413</v>
      </c>
      <c r="W89" s="27">
        <f t="shared" si="109"/>
        <v>0</v>
      </c>
      <c r="Z89" s="104" t="str">
        <f>Summary!B86</f>
        <v>29147 System Curve: 6% Reflector , 77% Xmit @ 850nm</v>
      </c>
      <c r="AA89" s="104"/>
      <c r="AB89" s="104"/>
      <c r="AC89" s="104"/>
      <c r="AD89" s="104"/>
      <c r="AE89" s="104"/>
      <c r="AF89" s="104"/>
      <c r="AG89" s="104"/>
      <c r="AH89" s="104"/>
      <c r="AI89" s="104" t="str">
        <f>Summary!B68</f>
        <v>29147 IRDR Range Ratio: 6% Reflector , 77% Xmit @ 850nm</v>
      </c>
      <c r="AJ89" s="104"/>
      <c r="AK89" s="104"/>
      <c r="AL89" s="104"/>
      <c r="AM89" s="104"/>
      <c r="AN89" s="104"/>
      <c r="AO89" s="104"/>
      <c r="AP89" s="104"/>
      <c r="AQ89" s="104"/>
    </row>
    <row r="90" spans="3:66">
      <c r="C90" s="54">
        <f t="shared" si="118"/>
        <v>47.6</v>
      </c>
      <c r="D90" s="27">
        <f t="shared" si="112"/>
        <v>5.4720846305814974E-2</v>
      </c>
      <c r="E90" s="55">
        <f>AVERAGE(data0!B48:AG48)</f>
        <v>0.15269607843137259</v>
      </c>
      <c r="F90" s="27">
        <f t="shared" si="113"/>
        <v>0.2506713105569302</v>
      </c>
      <c r="G90" s="18">
        <f>MAX(data0!B48:AG48)</f>
        <v>0.2</v>
      </c>
      <c r="H90" s="27">
        <f t="shared" si="114"/>
        <v>3.9546568627451012E-2</v>
      </c>
      <c r="I90" s="55">
        <f>STDEV(data0!B48:AG48)</f>
        <v>6.5316821417038415E-2</v>
      </c>
      <c r="J90" s="55">
        <f>AVERAGE(data1!B48:AG48)</f>
        <v>9.7794117647058865E-2</v>
      </c>
      <c r="K90" s="55">
        <f>STDEV(data1!B48:AG48)</f>
        <v>7.9022126860717277E-3</v>
      </c>
      <c r="L90" s="56">
        <f>AVERAGE(data2!B48:AG48)</f>
        <v>0.14718137254901961</v>
      </c>
      <c r="M90" s="56">
        <f>STDEV(data2!B48:AG48)</f>
        <v>4.4528622024045342E-3</v>
      </c>
      <c r="N90" s="56">
        <f>AVERAGE(data3!B48:AG48)</f>
        <v>0.15232843137254906</v>
      </c>
      <c r="O90" s="56">
        <f>STDEV(data3!B48:AG48)</f>
        <v>6.535609046675997E-2</v>
      </c>
      <c r="P90" s="18">
        <f t="shared" si="115"/>
        <v>0.59870129870129885</v>
      </c>
      <c r="Q90" s="18">
        <f t="shared" si="116"/>
        <v>1.4117338920900997</v>
      </c>
      <c r="R90" s="18">
        <f t="shared" si="117"/>
        <v>1.1794871794871784</v>
      </c>
      <c r="S90" s="19">
        <f t="shared" si="105"/>
        <v>47.6</v>
      </c>
      <c r="T90" s="27">
        <f t="shared" si="106"/>
        <v>-5.8428663498106603E-2</v>
      </c>
      <c r="U90" s="27">
        <f t="shared" si="107"/>
        <v>3.9546568627451012E-2</v>
      </c>
      <c r="V90" s="27">
        <f t="shared" si="108"/>
        <v>0.13752180075300863</v>
      </c>
      <c r="W90" s="27">
        <f t="shared" si="109"/>
        <v>0</v>
      </c>
    </row>
    <row r="91" spans="3:66">
      <c r="C91" s="54">
        <f t="shared" si="118"/>
        <v>48.6</v>
      </c>
      <c r="D91" s="27">
        <f t="shared" si="112"/>
        <v>5.0886792960188693E-2</v>
      </c>
      <c r="E91" s="55">
        <f>AVERAGE(data0!B49:AG49)</f>
        <v>0.15073529411764711</v>
      </c>
      <c r="F91" s="27">
        <f t="shared" si="113"/>
        <v>0.25058379527510555</v>
      </c>
      <c r="G91" s="18">
        <f>MAX(data0!B49:AG49)</f>
        <v>0.2</v>
      </c>
      <c r="H91" s="27">
        <f t="shared" si="114"/>
        <v>3.7585784313725529E-2</v>
      </c>
      <c r="I91" s="55">
        <f>STDEV(data0!B49:AG49)</f>
        <v>6.6565667438305609E-2</v>
      </c>
      <c r="J91" s="55">
        <f>AVERAGE(data1!B49:AG49)</f>
        <v>9.3872549019607884E-2</v>
      </c>
      <c r="K91" s="55">
        <f>STDEV(data1!B49:AG49)</f>
        <v>8.1494577880426612E-3</v>
      </c>
      <c r="L91" s="56">
        <f>AVERAGE(data2!B49:AG49)</f>
        <v>0.14375000000000002</v>
      </c>
      <c r="M91" s="56">
        <f>STDEV(data2!B49:AG49)</f>
        <v>4.9413345958253451E-3</v>
      </c>
      <c r="N91" s="56">
        <f>AVERAGE(data3!B49:AG49)</f>
        <v>0.14963235294117649</v>
      </c>
      <c r="O91" s="56">
        <f>STDEV(data3!B49:AG49)</f>
        <v>6.5840091977078338E-2</v>
      </c>
      <c r="P91" s="18">
        <f t="shared" si="115"/>
        <v>0.60493096646942823</v>
      </c>
      <c r="Q91" s="18">
        <f t="shared" si="116"/>
        <v>1.4330130016958731</v>
      </c>
      <c r="R91" s="18">
        <f t="shared" si="117"/>
        <v>1.1726881007623464</v>
      </c>
      <c r="S91" s="19">
        <f t="shared" si="105"/>
        <v>48.6</v>
      </c>
      <c r="T91" s="27">
        <f t="shared" si="106"/>
        <v>-6.2262716843732885E-2</v>
      </c>
      <c r="U91" s="27">
        <f t="shared" si="107"/>
        <v>3.7585784313725529E-2</v>
      </c>
      <c r="V91" s="27">
        <f t="shared" si="108"/>
        <v>0.13743428547118397</v>
      </c>
      <c r="W91" s="27">
        <f t="shared" si="109"/>
        <v>0</v>
      </c>
      <c r="BF91" s="54"/>
      <c r="BG91" s="55"/>
      <c r="BH91" s="55"/>
      <c r="BI91" s="55"/>
      <c r="BJ91" s="55"/>
      <c r="BK91" s="56"/>
      <c r="BL91" s="56"/>
      <c r="BM91" s="56"/>
      <c r="BN91" s="56"/>
    </row>
    <row r="92" spans="3:66">
      <c r="C92" s="54">
        <f t="shared" si="118"/>
        <v>49.6</v>
      </c>
      <c r="D92" s="27">
        <f t="shared" si="112"/>
        <v>5.1587097702001095E-2</v>
      </c>
      <c r="E92" s="55">
        <f>AVERAGE(data0!B50:AG50)</f>
        <v>0.14852941176470591</v>
      </c>
      <c r="F92" s="27">
        <f t="shared" si="113"/>
        <v>0.24547172582741072</v>
      </c>
      <c r="G92" s="18">
        <f>MAX(data0!B50:AG50)</f>
        <v>0.19607843137254902</v>
      </c>
      <c r="H92" s="27">
        <f t="shared" si="114"/>
        <v>3.5379901960784332E-2</v>
      </c>
      <c r="I92" s="55">
        <f>STDEV(data0!B50:AG50)</f>
        <v>6.4628209375136539E-2</v>
      </c>
      <c r="J92" s="55">
        <f>AVERAGE(data1!B50:AG50)</f>
        <v>9.0196078431372562E-2</v>
      </c>
      <c r="K92" s="55">
        <f>STDEV(data1!B50:AG50)</f>
        <v>7.1828309002294182E-3</v>
      </c>
      <c r="L92" s="56">
        <f>AVERAGE(data2!B50:AG50)</f>
        <v>0.14178921568627451</v>
      </c>
      <c r="M92" s="56">
        <f>STDEV(data2!B50:AG50)</f>
        <v>3.0063411463259891E-3</v>
      </c>
      <c r="N92" s="56">
        <f>AVERAGE(data3!B50:AG50)</f>
        <v>0.14754901960784317</v>
      </c>
      <c r="O92" s="56">
        <f>STDEV(data3!B50:AG50)</f>
        <v>6.5353362564499473E-2</v>
      </c>
      <c r="P92" s="18">
        <f t="shared" si="115"/>
        <v>0.60524109014675076</v>
      </c>
      <c r="Q92" s="18">
        <f t="shared" si="116"/>
        <v>1.4120781527531081</v>
      </c>
      <c r="R92" s="18">
        <f t="shared" si="117"/>
        <v>1.1865121180189662</v>
      </c>
      <c r="S92" s="19">
        <f t="shared" si="105"/>
        <v>49.6</v>
      </c>
      <c r="T92" s="27">
        <f t="shared" si="106"/>
        <v>-6.1562412101920483E-2</v>
      </c>
      <c r="U92" s="27">
        <f t="shared" si="107"/>
        <v>3.5379901960784332E-2</v>
      </c>
      <c r="V92" s="27">
        <f t="shared" si="108"/>
        <v>0.13232221602348915</v>
      </c>
      <c r="W92" s="27">
        <f t="shared" si="109"/>
        <v>0</v>
      </c>
      <c r="BF92" s="54"/>
      <c r="BG92" s="55"/>
      <c r="BH92" s="55"/>
      <c r="BI92" s="55"/>
      <c r="BJ92" s="55"/>
      <c r="BK92" s="56"/>
      <c r="BL92" s="56"/>
      <c r="BM92" s="56"/>
      <c r="BN92" s="56"/>
    </row>
    <row r="93" spans="3:66">
      <c r="C93" s="54">
        <f t="shared" si="118"/>
        <v>50.6</v>
      </c>
      <c r="D93" s="27">
        <f t="shared" si="112"/>
        <v>4.8220284949336875E-2</v>
      </c>
      <c r="E93" s="55">
        <f>AVERAGE(data0!B51:AG51)</f>
        <v>0.14656862745098043</v>
      </c>
      <c r="F93" s="27">
        <f t="shared" si="113"/>
        <v>0.24491696995262396</v>
      </c>
      <c r="G93" s="18">
        <f>MAX(data0!B51:AG51)</f>
        <v>0.19215686274509805</v>
      </c>
      <c r="H93" s="27">
        <f t="shared" si="114"/>
        <v>3.3419117647058849E-2</v>
      </c>
      <c r="I93" s="55">
        <f>STDEV(data0!B51:AG51)</f>
        <v>6.5565561667762368E-2</v>
      </c>
      <c r="J93" s="55">
        <f>AVERAGE(data1!B51:AG51)</f>
        <v>8.6887254901960795E-2</v>
      </c>
      <c r="K93" s="55">
        <f>STDEV(data1!B51:AG51)</f>
        <v>8.4584314924882938E-3</v>
      </c>
      <c r="L93" s="56">
        <f>AVERAGE(data2!B51:AG51)</f>
        <v>0.13921568627450981</v>
      </c>
      <c r="M93" s="56">
        <f>STDEV(data2!B51:AG51)</f>
        <v>4.5646093744892398E-3</v>
      </c>
      <c r="N93" s="56">
        <f>AVERAGE(data3!B51:AG51)</f>
        <v>0.14644607843137258</v>
      </c>
      <c r="O93" s="56">
        <f>STDEV(data3!B51:AG51)</f>
        <v>6.5753385524651889E-2</v>
      </c>
      <c r="P93" s="18">
        <f t="shared" si="115"/>
        <v>0.60600000000000043</v>
      </c>
      <c r="Q93" s="18">
        <f t="shared" si="116"/>
        <v>1.4204545454545447</v>
      </c>
      <c r="R93" s="18">
        <f t="shared" si="117"/>
        <v>1.1490750816104451</v>
      </c>
      <c r="S93" s="19">
        <f t="shared" si="105"/>
        <v>50.6</v>
      </c>
      <c r="T93" s="27">
        <f t="shared" si="106"/>
        <v>-6.4929224854584702E-2</v>
      </c>
      <c r="U93" s="27">
        <f t="shared" si="107"/>
        <v>3.3419117647058849E-2</v>
      </c>
      <c r="V93" s="27">
        <f t="shared" si="108"/>
        <v>0.13176746014870239</v>
      </c>
      <c r="W93" s="27">
        <f t="shared" si="109"/>
        <v>0</v>
      </c>
      <c r="BF93" s="54"/>
      <c r="BG93" s="55"/>
      <c r="BH93" s="55"/>
      <c r="BI93" s="55"/>
      <c r="BJ93" s="55"/>
      <c r="BK93" s="56"/>
      <c r="BL93" s="56"/>
      <c r="BM93" s="56"/>
      <c r="BN93" s="56"/>
    </row>
    <row r="94" spans="3:66">
      <c r="C94" s="54">
        <f t="shared" si="118"/>
        <v>51.6</v>
      </c>
      <c r="D94" s="27">
        <f t="shared" si="112"/>
        <v>4.5938139173631959E-2</v>
      </c>
      <c r="E94" s="55">
        <f>AVERAGE(data0!B52:AG52)</f>
        <v>0.14374999999999996</v>
      </c>
      <c r="F94" s="27">
        <f t="shared" si="113"/>
        <v>0.24156186082636796</v>
      </c>
      <c r="G94" s="18">
        <f>MAX(data0!B52:AG52)</f>
        <v>0.19215686274509805</v>
      </c>
      <c r="H94" s="27">
        <f t="shared" si="114"/>
        <v>3.0600490196078384E-2</v>
      </c>
      <c r="I94" s="55">
        <f>STDEV(data0!B52:AG52)</f>
        <v>6.5207907217578673E-2</v>
      </c>
      <c r="J94" s="55">
        <f>AVERAGE(data1!B52:AG52)</f>
        <v>8.25980392156863E-2</v>
      </c>
      <c r="K94" s="55">
        <f>STDEV(data1!B52:AG52)</f>
        <v>9.2339034286250017E-3</v>
      </c>
      <c r="L94" s="56">
        <f>AVERAGE(data2!B52:AG52)</f>
        <v>0.13676470588235295</v>
      </c>
      <c r="M94" s="56">
        <f>STDEV(data2!B52:AG52)</f>
        <v>4.7509960678593106E-3</v>
      </c>
      <c r="N94" s="56">
        <f>AVERAGE(data3!B52:AG52)</f>
        <v>0.14374999999999999</v>
      </c>
      <c r="O94" s="56">
        <f>STDEV(data3!B52:AG52)</f>
        <v>6.5466060576250845E-2</v>
      </c>
      <c r="P94" s="18">
        <f t="shared" si="115"/>
        <v>0.60168674698795066</v>
      </c>
      <c r="Q94" s="18">
        <f t="shared" si="116"/>
        <v>1.398247978436657</v>
      </c>
      <c r="R94" s="18">
        <f t="shared" si="117"/>
        <v>1.1698856917619243</v>
      </c>
      <c r="S94" s="19">
        <f t="shared" si="105"/>
        <v>51.6</v>
      </c>
      <c r="T94" s="27">
        <f t="shared" si="106"/>
        <v>-6.7211370630289619E-2</v>
      </c>
      <c r="U94" s="27">
        <f t="shared" si="107"/>
        <v>3.0600490196078384E-2</v>
      </c>
      <c r="V94" s="27">
        <f t="shared" si="108"/>
        <v>0.12841235102244639</v>
      </c>
      <c r="W94" s="27">
        <f t="shared" si="109"/>
        <v>0</v>
      </c>
      <c r="BF94" s="54"/>
      <c r="BG94" s="55"/>
      <c r="BH94" s="55"/>
      <c r="BI94" s="55"/>
      <c r="BJ94" s="55"/>
      <c r="BK94" s="56"/>
      <c r="BL94" s="56"/>
      <c r="BM94" s="56"/>
      <c r="BN94" s="56"/>
    </row>
    <row r="95" spans="3:66">
      <c r="C95" s="54">
        <f t="shared" si="118"/>
        <v>52.6</v>
      </c>
      <c r="D95" s="27">
        <f t="shared" si="112"/>
        <v>4.3789480848921508E-2</v>
      </c>
      <c r="E95" s="55">
        <f>AVERAGE(data0!B53:AG53)</f>
        <v>0.14227941176470585</v>
      </c>
      <c r="F95" s="27">
        <f t="shared" si="113"/>
        <v>0.24076934268049019</v>
      </c>
      <c r="G95" s="18">
        <f>MAX(data0!B53:AG53)</f>
        <v>0.19215686274509805</v>
      </c>
      <c r="H95" s="27">
        <f t="shared" si="114"/>
        <v>2.9129901960784271E-2</v>
      </c>
      <c r="I95" s="55">
        <f>STDEV(data0!B53:AG53)</f>
        <v>6.5659953943856222E-2</v>
      </c>
      <c r="J95" s="55">
        <f>AVERAGE(data1!B53:AG53)</f>
        <v>7.9779411764705904E-2</v>
      </c>
      <c r="K95" s="55">
        <f>STDEV(data1!B53:AG53)</f>
        <v>1.0040627618532442E-2</v>
      </c>
      <c r="L95" s="56">
        <f>AVERAGE(data2!B53:AG53)</f>
        <v>0.13468137254901963</v>
      </c>
      <c r="M95" s="56">
        <f>STDEV(data2!B53:AG53)</f>
        <v>3.9353804842421486E-3</v>
      </c>
      <c r="N95" s="56">
        <f>AVERAGE(data3!B53:AG53)</f>
        <v>0.14154411764705879</v>
      </c>
      <c r="O95" s="56">
        <f>STDEV(data3!B53:AG53)</f>
        <v>6.5213612799519816E-2</v>
      </c>
      <c r="P95" s="18">
        <f t="shared" si="115"/>
        <v>0.60637755102040702</v>
      </c>
      <c r="Q95" s="18">
        <f t="shared" si="116"/>
        <v>1.401000714796282</v>
      </c>
      <c r="R95" s="18">
        <f t="shared" si="117"/>
        <v>1.1871022486211305</v>
      </c>
      <c r="S95" s="19">
        <f t="shared" si="105"/>
        <v>52.6</v>
      </c>
      <c r="T95" s="27">
        <f t="shared" si="106"/>
        <v>-6.9360028955000069E-2</v>
      </c>
      <c r="U95" s="27">
        <f t="shared" si="107"/>
        <v>2.9129901960784271E-2</v>
      </c>
      <c r="V95" s="27">
        <f t="shared" si="108"/>
        <v>0.12761983287656861</v>
      </c>
      <c r="W95" s="27">
        <f t="shared" si="109"/>
        <v>0</v>
      </c>
      <c r="BF95" s="54"/>
      <c r="BG95" s="55"/>
      <c r="BH95" s="55"/>
      <c r="BI95" s="55"/>
      <c r="BJ95" s="55"/>
      <c r="BK95" s="56"/>
      <c r="BL95" s="56"/>
      <c r="BM95" s="56"/>
      <c r="BN95" s="56"/>
    </row>
    <row r="96" spans="3:66">
      <c r="C96" s="54">
        <f t="shared" si="118"/>
        <v>53.6</v>
      </c>
      <c r="D96" s="27">
        <f t="shared" si="112"/>
        <v>4.1976666357458448E-2</v>
      </c>
      <c r="E96" s="55">
        <f>AVERAGE(data0!B54:AG54)</f>
        <v>0.13946078431372544</v>
      </c>
      <c r="F96" s="27">
        <f t="shared" si="113"/>
        <v>0.23694490226999243</v>
      </c>
      <c r="G96" s="18">
        <f>MAX(data0!B54:AG54)</f>
        <v>0.18823529411764706</v>
      </c>
      <c r="H96" s="27">
        <f t="shared" si="114"/>
        <v>2.6311274509803861E-2</v>
      </c>
      <c r="I96" s="55">
        <f>STDEV(data0!B54:AG54)</f>
        <v>6.4989411970844665E-2</v>
      </c>
      <c r="J96" s="55">
        <f>AVERAGE(data1!B54:AG54)</f>
        <v>7.794117647058825E-2</v>
      </c>
      <c r="K96" s="55">
        <f>STDEV(data1!B54:AG54)</f>
        <v>8.895273717377793E-3</v>
      </c>
      <c r="L96" s="56">
        <f>AVERAGE(data2!B54:AG54)</f>
        <v>0.13210784313725488</v>
      </c>
      <c r="M96" s="56">
        <f>STDEV(data2!B54:AG54)</f>
        <v>4.159451654038515E-3</v>
      </c>
      <c r="N96" s="56">
        <f>AVERAGE(data3!B54:AG54)</f>
        <v>0.13958333333333328</v>
      </c>
      <c r="O96" s="56">
        <f>STDEV(data3!B54:AG54)</f>
        <v>6.4182301773903411E-2</v>
      </c>
      <c r="P96" s="18">
        <f t="shared" si="115"/>
        <v>0.56949602122015774</v>
      </c>
      <c r="Q96" s="18">
        <f t="shared" si="116"/>
        <v>1.4567233384853175</v>
      </c>
      <c r="R96" s="18">
        <f t="shared" si="117"/>
        <v>1.177969959035049</v>
      </c>
      <c r="S96" s="19">
        <f t="shared" si="105"/>
        <v>53.6</v>
      </c>
      <c r="T96" s="27">
        <f t="shared" si="106"/>
        <v>-7.117284344646313E-2</v>
      </c>
      <c r="U96" s="27">
        <f t="shared" si="107"/>
        <v>2.6311274509803861E-2</v>
      </c>
      <c r="V96" s="27">
        <f t="shared" si="108"/>
        <v>0.12379539246607085</v>
      </c>
      <c r="W96" s="27">
        <f t="shared" si="109"/>
        <v>0</v>
      </c>
      <c r="BF96" s="54"/>
      <c r="BG96" s="55"/>
      <c r="BH96" s="55"/>
      <c r="BI96" s="55"/>
      <c r="BJ96" s="55"/>
      <c r="BK96" s="56"/>
      <c r="BL96" s="56"/>
      <c r="BM96" s="56"/>
      <c r="BN96" s="56"/>
    </row>
    <row r="97" spans="3:66">
      <c r="C97" s="54">
        <f t="shared" si="118"/>
        <v>54.6</v>
      </c>
      <c r="D97" s="27">
        <f t="shared" si="112"/>
        <v>4.1106057396859769E-2</v>
      </c>
      <c r="E97" s="55">
        <f>AVERAGE(data0!B55:AG55)</f>
        <v>0.13823529411764704</v>
      </c>
      <c r="F97" s="27">
        <f t="shared" si="113"/>
        <v>0.23536453083843431</v>
      </c>
      <c r="G97" s="18">
        <f>MAX(data0!B55:AG55)</f>
        <v>0.18431372549019609</v>
      </c>
      <c r="H97" s="27">
        <f t="shared" si="114"/>
        <v>2.5085784313725462E-2</v>
      </c>
      <c r="I97" s="55">
        <f>STDEV(data0!B55:AG55)</f>
        <v>6.4752824480524843E-2</v>
      </c>
      <c r="J97" s="55">
        <f>AVERAGE(data1!B55:AG55)</f>
        <v>7.6470588235294124E-2</v>
      </c>
      <c r="K97" s="55">
        <f>STDEV(data1!B55:AG55)</f>
        <v>8.5685992267557753E-3</v>
      </c>
      <c r="L97" s="56">
        <f>AVERAGE(data2!B55:AG55)</f>
        <v>0.12916666666666668</v>
      </c>
      <c r="M97" s="56">
        <f>STDEV(data2!B55:AG55)</f>
        <v>3.9765282249209135E-3</v>
      </c>
      <c r="N97" s="56">
        <f>AVERAGE(data3!B55:AG55)</f>
        <v>0.13774509803921561</v>
      </c>
      <c r="O97" s="56">
        <f>STDEV(data3!B55:AG55)</f>
        <v>6.4987980701425418E-2</v>
      </c>
      <c r="P97" s="18">
        <f t="shared" si="115"/>
        <v>0.56082191780821855</v>
      </c>
      <c r="Q97" s="18">
        <f t="shared" si="116"/>
        <v>1.5545144804088569</v>
      </c>
      <c r="R97" s="18">
        <f t="shared" si="117"/>
        <v>1.1470444553004435</v>
      </c>
      <c r="S97" s="19">
        <f t="shared" si="105"/>
        <v>54.6</v>
      </c>
      <c r="T97" s="27">
        <f t="shared" si="106"/>
        <v>-7.2043452407061809E-2</v>
      </c>
      <c r="U97" s="27">
        <f t="shared" si="107"/>
        <v>2.5085784313725462E-2</v>
      </c>
      <c r="V97" s="27">
        <f t="shared" si="108"/>
        <v>0.12221502103451273</v>
      </c>
      <c r="W97" s="27">
        <f t="shared" si="109"/>
        <v>0</v>
      </c>
      <c r="BF97" s="54"/>
      <c r="BG97" s="55"/>
      <c r="BH97" s="55"/>
      <c r="BI97" s="55"/>
      <c r="BJ97" s="55"/>
      <c r="BK97" s="56"/>
      <c r="BL97" s="56"/>
      <c r="BM97" s="56"/>
      <c r="BN97" s="56"/>
    </row>
    <row r="98" spans="3:66">
      <c r="C98" s="54">
        <f t="shared" si="118"/>
        <v>55.6</v>
      </c>
      <c r="D98" s="27">
        <f t="shared" si="112"/>
        <v>3.733639520632237E-2</v>
      </c>
      <c r="E98" s="55">
        <f>AVERAGE(data0!B56:AG56)</f>
        <v>0.13553921568627447</v>
      </c>
      <c r="F98" s="27">
        <f t="shared" si="113"/>
        <v>0.23374203616622657</v>
      </c>
      <c r="G98" s="18">
        <f>MAX(data0!B56:AG56)</f>
        <v>0.18431372549019609</v>
      </c>
      <c r="H98" s="27">
        <f t="shared" si="114"/>
        <v>2.2389705882352895E-2</v>
      </c>
      <c r="I98" s="55">
        <f>STDEV(data0!B56:AG56)</f>
        <v>6.5468546986634735E-2</v>
      </c>
      <c r="J98" s="55">
        <f>AVERAGE(data1!B56:AG56)</f>
        <v>7.120098039215686E-2</v>
      </c>
      <c r="K98" s="55">
        <f>STDEV(data1!B56:AG56)</f>
        <v>8.1599137363177771E-3</v>
      </c>
      <c r="L98" s="56">
        <f>AVERAGE(data2!B56:AG56)</f>
        <v>0.12745098039215685</v>
      </c>
      <c r="M98" s="56">
        <f>STDEV(data2!B56:AG56)</f>
        <v>4.7770291178998656E-3</v>
      </c>
      <c r="N98" s="56">
        <f>AVERAGE(data3!B56:AG56)</f>
        <v>0.13431372549019602</v>
      </c>
      <c r="O98" s="56">
        <f>STDEV(data3!B56:AG56)</f>
        <v>6.5302104272855155E-2</v>
      </c>
      <c r="P98" s="18">
        <f t="shared" si="115"/>
        <v>0.56739130434782503</v>
      </c>
      <c r="Q98" s="18">
        <f t="shared" si="116"/>
        <v>1.4583333333333326</v>
      </c>
      <c r="R98" s="18">
        <f t="shared" si="117"/>
        <v>1.2495755517826854</v>
      </c>
      <c r="S98" s="19">
        <f t="shared" si="105"/>
        <v>55.6</v>
      </c>
      <c r="T98" s="27">
        <f t="shared" si="106"/>
        <v>-7.5813114597599207E-2</v>
      </c>
      <c r="U98" s="27">
        <f t="shared" si="107"/>
        <v>2.2389705882352895E-2</v>
      </c>
      <c r="V98" s="27">
        <f t="shared" si="108"/>
        <v>0.120592526362305</v>
      </c>
      <c r="W98" s="27">
        <f t="shared" si="109"/>
        <v>0</v>
      </c>
      <c r="BF98" s="54"/>
      <c r="BG98" s="55"/>
      <c r="BH98" s="55"/>
      <c r="BI98" s="55"/>
      <c r="BJ98" s="55"/>
      <c r="BK98" s="56"/>
      <c r="BL98" s="56"/>
      <c r="BM98" s="56"/>
      <c r="BN98" s="56"/>
    </row>
    <row r="99" spans="3:66">
      <c r="C99" s="54">
        <f t="shared" si="118"/>
        <v>56.6</v>
      </c>
      <c r="D99" s="27">
        <f t="shared" si="112"/>
        <v>3.7183541606148229E-2</v>
      </c>
      <c r="E99" s="55">
        <f>AVERAGE(data0!B57:AG57)</f>
        <v>0.1345588235294117</v>
      </c>
      <c r="F99" s="27">
        <f t="shared" si="113"/>
        <v>0.23193410545267518</v>
      </c>
      <c r="G99" s="18">
        <f>MAX(data0!B57:AG57)</f>
        <v>0.18431372549019609</v>
      </c>
      <c r="H99" s="27">
        <f t="shared" si="114"/>
        <v>2.1409313725490126E-2</v>
      </c>
      <c r="I99" s="55">
        <f>STDEV(data0!B57:AG57)</f>
        <v>6.4916854615508987E-2</v>
      </c>
      <c r="J99" s="55">
        <f>AVERAGE(data1!B57:AG57)</f>
        <v>6.7647058823529407E-2</v>
      </c>
      <c r="K99" s="55">
        <f>STDEV(data1!B57:AG57)</f>
        <v>8.626300883609014E-3</v>
      </c>
      <c r="L99" s="56">
        <f>AVERAGE(data2!B57:AG57)</f>
        <v>0.12647058823529411</v>
      </c>
      <c r="M99" s="56">
        <f>STDEV(data2!B57:AG57)</f>
        <v>4.9803971372623717E-3</v>
      </c>
      <c r="N99" s="56">
        <f>AVERAGE(data3!B57:AG57)</f>
        <v>0.13406862745098033</v>
      </c>
      <c r="O99" s="56">
        <f>STDEV(data3!B57:AG57)</f>
        <v>6.5706804310160391E-2</v>
      </c>
      <c r="P99" s="18">
        <f t="shared" si="115"/>
        <v>0.59624573378839407</v>
      </c>
      <c r="Q99" s="18">
        <f t="shared" si="116"/>
        <v>1.3768796992481191</v>
      </c>
      <c r="R99" s="18">
        <f t="shared" si="117"/>
        <v>1.2180881511162023</v>
      </c>
      <c r="S99" s="19">
        <f t="shared" si="105"/>
        <v>56.6</v>
      </c>
      <c r="T99" s="27">
        <f t="shared" si="106"/>
        <v>-7.5965968197773348E-2</v>
      </c>
      <c r="U99" s="27">
        <f t="shared" si="107"/>
        <v>2.1409313725490126E-2</v>
      </c>
      <c r="V99" s="27">
        <f t="shared" si="108"/>
        <v>0.1187845956487536</v>
      </c>
      <c r="W99" s="27">
        <f t="shared" si="109"/>
        <v>0</v>
      </c>
      <c r="BF99" s="54"/>
      <c r="BG99" s="55"/>
      <c r="BH99" s="55"/>
      <c r="BI99" s="55"/>
      <c r="BJ99" s="55"/>
      <c r="BK99" s="56"/>
      <c r="BL99" s="56"/>
      <c r="BM99" s="56"/>
      <c r="BN99" s="56"/>
    </row>
    <row r="100" spans="3:66">
      <c r="C100" s="54">
        <f t="shared" si="118"/>
        <v>57.6</v>
      </c>
      <c r="D100" s="27">
        <f t="shared" si="112"/>
        <v>3.463989753238908E-2</v>
      </c>
      <c r="E100" s="55">
        <f>AVERAGE(data0!B58:AG58)</f>
        <v>0.13259803921568622</v>
      </c>
      <c r="F100" s="27">
        <f t="shared" si="113"/>
        <v>0.23055618089898336</v>
      </c>
      <c r="G100" s="18">
        <f>MAX(data0!B58:AG58)</f>
        <v>0.17647058823529413</v>
      </c>
      <c r="H100" s="27">
        <f t="shared" si="114"/>
        <v>1.9448529411764642E-2</v>
      </c>
      <c r="I100" s="55">
        <f>STDEV(data0!B58:AG58)</f>
        <v>6.5305427788864764E-2</v>
      </c>
      <c r="J100" s="55">
        <f>AVERAGE(data1!B58:AG58)</f>
        <v>6.5441176470588239E-2</v>
      </c>
      <c r="K100" s="55">
        <f>STDEV(data1!B58:AG58)</f>
        <v>7.99582557805034E-3</v>
      </c>
      <c r="L100" s="56">
        <f>AVERAGE(data2!B58:AG58)</f>
        <v>0.12279411764705883</v>
      </c>
      <c r="M100" s="56">
        <f>STDEV(data2!B58:AG58)</f>
        <v>4.1594516540385158E-3</v>
      </c>
      <c r="N100" s="56">
        <f>AVERAGE(data3!B58:AG58)</f>
        <v>0.13210784313725485</v>
      </c>
      <c r="O100" s="56">
        <f>STDEV(data3!B58:AG58)</f>
        <v>6.5046636923130979E-2</v>
      </c>
      <c r="P100" s="18">
        <f t="shared" si="115"/>
        <v>0.57709090909090721</v>
      </c>
      <c r="Q100" s="18">
        <f t="shared" si="116"/>
        <v>1.5043763676148778</v>
      </c>
      <c r="R100" s="18">
        <f t="shared" si="117"/>
        <v>1.1518588531821081</v>
      </c>
      <c r="S100" s="19">
        <f t="shared" si="105"/>
        <v>57.6</v>
      </c>
      <c r="T100" s="27">
        <f t="shared" si="106"/>
        <v>-7.8509612271532497E-2</v>
      </c>
      <c r="U100" s="27">
        <f t="shared" si="107"/>
        <v>1.9448529411764642E-2</v>
      </c>
      <c r="V100" s="27">
        <f t="shared" si="108"/>
        <v>0.11740667109506178</v>
      </c>
      <c r="W100" s="27">
        <f t="shared" si="109"/>
        <v>0</v>
      </c>
      <c r="BF100" s="54"/>
      <c r="BG100" s="55"/>
      <c r="BH100" s="55"/>
      <c r="BI100" s="55"/>
      <c r="BJ100" s="55"/>
      <c r="BK100" s="56"/>
      <c r="BL100" s="56"/>
      <c r="BM100" s="56"/>
      <c r="BN100" s="56"/>
    </row>
    <row r="101" spans="3:66">
      <c r="C101" s="54">
        <f t="shared" si="118"/>
        <v>58.6</v>
      </c>
      <c r="D101" s="27">
        <f t="shared" si="112"/>
        <v>3.4519509739625004E-2</v>
      </c>
      <c r="E101" s="55">
        <f>AVERAGE(data0!B59:AG59)</f>
        <v>0.13137254901960779</v>
      </c>
      <c r="F101" s="27">
        <f t="shared" si="113"/>
        <v>0.22822558829959058</v>
      </c>
      <c r="G101" s="18">
        <f>MAX(data0!B59:AG59)</f>
        <v>0.17647058823529413</v>
      </c>
      <c r="H101" s="27">
        <f t="shared" si="114"/>
        <v>1.8223039215686215E-2</v>
      </c>
      <c r="I101" s="55">
        <f>STDEV(data0!B59:AG59)</f>
        <v>6.4568692853321855E-2</v>
      </c>
      <c r="J101" s="55">
        <f>AVERAGE(data1!B59:AG59)</f>
        <v>6.3112745098039214E-2</v>
      </c>
      <c r="K101" s="55">
        <f>STDEV(data1!B59:AG59)</f>
        <v>9.9288373421063617E-3</v>
      </c>
      <c r="L101" s="56">
        <f>AVERAGE(data2!B59:AG59)</f>
        <v>0.12095588235294119</v>
      </c>
      <c r="M101" s="56">
        <f>STDEV(data2!B59:AG59)</f>
        <v>6.0678633315464558E-3</v>
      </c>
      <c r="N101" s="56">
        <f>AVERAGE(data3!B59:AG59)</f>
        <v>0.12953431372549015</v>
      </c>
      <c r="O101" s="56">
        <f>STDEV(data3!B59:AG59)</f>
        <v>6.5865516771389729E-2</v>
      </c>
      <c r="P101" s="18">
        <f t="shared" si="115"/>
        <v>0.58085937499999829</v>
      </c>
      <c r="Q101" s="18">
        <f t="shared" si="116"/>
        <v>1.525625744934443</v>
      </c>
      <c r="R101" s="18">
        <f t="shared" si="117"/>
        <v>1.2185911401597715</v>
      </c>
      <c r="S101" s="19">
        <f t="shared" si="105"/>
        <v>58.6</v>
      </c>
      <c r="T101" s="27">
        <f t="shared" si="106"/>
        <v>-7.8630000064296574E-2</v>
      </c>
      <c r="U101" s="27">
        <f t="shared" si="107"/>
        <v>1.8223039215686215E-2</v>
      </c>
      <c r="V101" s="27">
        <f t="shared" si="108"/>
        <v>0.115076078495669</v>
      </c>
      <c r="W101" s="27">
        <f t="shared" si="109"/>
        <v>0</v>
      </c>
      <c r="BF101" s="54"/>
      <c r="BG101" s="55"/>
      <c r="BH101" s="55"/>
      <c r="BI101" s="55"/>
      <c r="BJ101" s="55"/>
      <c r="BK101" s="56"/>
      <c r="BL101" s="56"/>
      <c r="BM101" s="56"/>
      <c r="BN101" s="56"/>
    </row>
    <row r="102" spans="3:66">
      <c r="C102" s="54">
        <f t="shared" si="118"/>
        <v>59.6</v>
      </c>
      <c r="D102" s="27">
        <f t="shared" si="112"/>
        <v>3.3620712693370275E-2</v>
      </c>
      <c r="E102" s="55">
        <f>AVERAGE(data0!B60:AG60)</f>
        <v>0.13002450980392152</v>
      </c>
      <c r="F102" s="27">
        <f t="shared" si="113"/>
        <v>0.22642830691447277</v>
      </c>
      <c r="G102" s="18">
        <f>MAX(data0!B60:AG60)</f>
        <v>0.17647058823529413</v>
      </c>
      <c r="H102" s="27">
        <f t="shared" si="114"/>
        <v>1.6874999999999946E-2</v>
      </c>
      <c r="I102" s="55">
        <f>STDEV(data0!B60:AG60)</f>
        <v>6.4269198073700837E-2</v>
      </c>
      <c r="J102" s="55">
        <f>AVERAGE(data1!B60:AG60)</f>
        <v>5.9926470588235303E-2</v>
      </c>
      <c r="K102" s="55">
        <f>STDEV(data1!B60:AG60)</f>
        <v>1.0410549046314542E-2</v>
      </c>
      <c r="L102" s="56">
        <f>AVERAGE(data2!B60:AG60)</f>
        <v>0.11960784313725491</v>
      </c>
      <c r="M102" s="56">
        <f>STDEV(data2!B60:AG60)</f>
        <v>4.8797726810843539E-3</v>
      </c>
      <c r="N102" s="56">
        <f>AVERAGE(data3!B60:AG60)</f>
        <v>0.12818627450980385</v>
      </c>
      <c r="O102" s="56">
        <f>STDEV(data3!B60:AG60)</f>
        <v>6.4402813137648923E-2</v>
      </c>
      <c r="P102" s="18">
        <f t="shared" si="115"/>
        <v>0.59869565217391107</v>
      </c>
      <c r="Q102" s="18">
        <f t="shared" si="116"/>
        <v>1.466836734693876</v>
      </c>
      <c r="R102" s="18">
        <f t="shared" si="117"/>
        <v>1.2375690607734862</v>
      </c>
      <c r="S102" s="19">
        <f t="shared" si="105"/>
        <v>59.6</v>
      </c>
      <c r="T102" s="27">
        <f t="shared" si="106"/>
        <v>-7.9528797110551303E-2</v>
      </c>
      <c r="U102" s="27">
        <f t="shared" si="107"/>
        <v>1.6874999999999946E-2</v>
      </c>
      <c r="V102" s="27">
        <f t="shared" si="108"/>
        <v>0.11327879711055119</v>
      </c>
      <c r="W102" s="27">
        <f t="shared" si="109"/>
        <v>0</v>
      </c>
      <c r="BF102" s="54"/>
      <c r="BG102" s="55"/>
      <c r="BH102" s="55"/>
      <c r="BI102" s="55"/>
      <c r="BJ102" s="55"/>
      <c r="BK102" s="56"/>
      <c r="BL102" s="56"/>
      <c r="BM102" s="56"/>
      <c r="BN102" s="56"/>
    </row>
    <row r="103" spans="3:66">
      <c r="C103" s="54">
        <f t="shared" si="118"/>
        <v>60.6</v>
      </c>
      <c r="D103" s="27">
        <f t="shared" si="112"/>
        <v>3.06884806722241E-2</v>
      </c>
      <c r="E103" s="55">
        <f>AVERAGE(data0!B61:AG61)</f>
        <v>0.1279411764705882</v>
      </c>
      <c r="F103" s="27">
        <f t="shared" si="113"/>
        <v>0.22519387226895229</v>
      </c>
      <c r="G103" s="18">
        <f>MAX(data0!B61:AG61)</f>
        <v>0.17254901960784313</v>
      </c>
      <c r="H103" s="27">
        <f t="shared" si="114"/>
        <v>1.479166666666662E-2</v>
      </c>
      <c r="I103" s="55">
        <f>STDEV(data0!B61:AG61)</f>
        <v>6.4835130532242727E-2</v>
      </c>
      <c r="J103" s="55">
        <f>AVERAGE(data1!B61:AG61)</f>
        <v>5.8578431372549027E-2</v>
      </c>
      <c r="K103" s="55">
        <f>STDEV(data1!B61:AG61)</f>
        <v>8.7370134769856073E-3</v>
      </c>
      <c r="L103" s="56">
        <f>AVERAGE(data2!B61:AG61)</f>
        <v>0.11838235294117648</v>
      </c>
      <c r="M103" s="56">
        <f>STDEV(data2!B61:AG61)</f>
        <v>5.4043620133936571E-3</v>
      </c>
      <c r="N103" s="56">
        <f>AVERAGE(data3!B61:AG61)</f>
        <v>0.12720588235294111</v>
      </c>
      <c r="O103" s="56">
        <f>STDEV(data3!B61:AG61)</f>
        <v>6.4920675445377399E-2</v>
      </c>
      <c r="P103" s="18">
        <f t="shared" si="115"/>
        <v>0.55114155251141372</v>
      </c>
      <c r="Q103" s="18">
        <f t="shared" si="116"/>
        <v>1.4918256130790168</v>
      </c>
      <c r="R103" s="18">
        <f t="shared" si="117"/>
        <v>1.2367312552653806</v>
      </c>
      <c r="S103" s="19">
        <f t="shared" si="105"/>
        <v>60.6</v>
      </c>
      <c r="T103" s="27">
        <f t="shared" si="106"/>
        <v>-8.2461029131697478E-2</v>
      </c>
      <c r="U103" s="27">
        <f t="shared" si="107"/>
        <v>1.479166666666662E-2</v>
      </c>
      <c r="V103" s="27">
        <f t="shared" si="108"/>
        <v>0.11204436246503072</v>
      </c>
      <c r="W103" s="27">
        <f t="shared" si="109"/>
        <v>0</v>
      </c>
      <c r="BF103" s="54"/>
      <c r="BG103" s="55"/>
      <c r="BH103" s="55"/>
      <c r="BI103" s="55"/>
      <c r="BJ103" s="55"/>
      <c r="BK103" s="56"/>
      <c r="BL103" s="56"/>
      <c r="BM103" s="56"/>
      <c r="BN103" s="56"/>
    </row>
    <row r="104" spans="3:66">
      <c r="C104" s="54">
        <f t="shared" si="118"/>
        <v>61.6</v>
      </c>
      <c r="D104" s="27">
        <f t="shared" si="112"/>
        <v>2.6755942751481382E-2</v>
      </c>
      <c r="E104" s="55">
        <f>AVERAGE(data0!B62:AG62)</f>
        <v>0.12512254901960779</v>
      </c>
      <c r="F104" s="27">
        <f t="shared" si="113"/>
        <v>0.22348915528773419</v>
      </c>
      <c r="G104" s="18">
        <f>MAX(data0!B62:AG62)</f>
        <v>0.17647058823529413</v>
      </c>
      <c r="H104" s="27">
        <f t="shared" si="114"/>
        <v>1.197303921568621E-2</v>
      </c>
      <c r="I104" s="55">
        <f>STDEV(data0!B62:AG62)</f>
        <v>6.5577737512084275E-2</v>
      </c>
      <c r="J104" s="55">
        <f>AVERAGE(data1!B62:AG62)</f>
        <v>5.7598039215686285E-2</v>
      </c>
      <c r="K104" s="55">
        <f>STDEV(data1!B62:AG62)</f>
        <v>9.2607267340134702E-3</v>
      </c>
      <c r="L104" s="56">
        <f>AVERAGE(data2!B62:AG62)</f>
        <v>0.11531862745098041</v>
      </c>
      <c r="M104" s="56">
        <f>STDEV(data2!B62:AG62)</f>
        <v>5.3510305593899516E-3</v>
      </c>
      <c r="N104" s="56">
        <f>AVERAGE(data3!B62:AG62)</f>
        <v>0.12585784313725484</v>
      </c>
      <c r="O104" s="56">
        <f>STDEV(data3!B62:AG62)</f>
        <v>6.4386803601203482E-2</v>
      </c>
      <c r="P104" s="18">
        <f t="shared" si="115"/>
        <v>0.46303317535544763</v>
      </c>
      <c r="Q104" s="18">
        <f t="shared" si="116"/>
        <v>1.7323481116584523</v>
      </c>
      <c r="R104" s="18">
        <f t="shared" si="117"/>
        <v>1.1309192200557168</v>
      </c>
      <c r="S104" s="19">
        <f t="shared" si="105"/>
        <v>61.6</v>
      </c>
      <c r="T104" s="27">
        <f t="shared" si="106"/>
        <v>-8.6393567052440196E-2</v>
      </c>
      <c r="U104" s="27">
        <f t="shared" si="107"/>
        <v>1.197303921568621E-2</v>
      </c>
      <c r="V104" s="27">
        <f t="shared" si="108"/>
        <v>0.11033964548381262</v>
      </c>
      <c r="W104" s="27">
        <f t="shared" si="109"/>
        <v>0</v>
      </c>
      <c r="BF104" s="54"/>
      <c r="BG104" s="55"/>
      <c r="BH104" s="55"/>
      <c r="BI104" s="55"/>
      <c r="BJ104" s="55"/>
      <c r="BK104" s="56"/>
      <c r="BL104" s="56"/>
      <c r="BM104" s="56"/>
      <c r="BN104" s="56"/>
    </row>
    <row r="105" spans="3:66">
      <c r="C105" s="54">
        <f t="shared" si="118"/>
        <v>62.6</v>
      </c>
      <c r="D105" s="27">
        <f t="shared" si="112"/>
        <v>2.5954005784826414E-2</v>
      </c>
      <c r="E105" s="55">
        <f>AVERAGE(data0!B63:AG63)</f>
        <v>0.12438725490196072</v>
      </c>
      <c r="F105" s="27">
        <f t="shared" si="113"/>
        <v>0.22282050401909503</v>
      </c>
      <c r="G105" s="18">
        <f>MAX(data0!B63:AG63)</f>
        <v>0.16862745098039217</v>
      </c>
      <c r="H105" s="27">
        <f t="shared" si="114"/>
        <v>1.123774509803914E-2</v>
      </c>
      <c r="I105" s="55">
        <f>STDEV(data0!B63:AG63)</f>
        <v>6.5622166078089531E-2</v>
      </c>
      <c r="J105" s="55">
        <f>AVERAGE(data1!B63:AG63)</f>
        <v>4.926470588235296E-2</v>
      </c>
      <c r="K105" s="55">
        <f>STDEV(data1!B63:AG63)</f>
        <v>9.0164447331527661E-3</v>
      </c>
      <c r="L105" s="56">
        <f>AVERAGE(data2!B63:AG63)</f>
        <v>0.11458333333333336</v>
      </c>
      <c r="M105" s="56">
        <f>STDEV(data2!B63:AG63)</f>
        <v>5.0530172760360455E-3</v>
      </c>
      <c r="N105" s="56">
        <f>AVERAGE(data3!B63:AG63)</f>
        <v>0.12377450980392152</v>
      </c>
      <c r="O105" s="56">
        <f>STDEV(data3!B63:AG63)</f>
        <v>6.6064456467747681E-2</v>
      </c>
      <c r="P105" s="18">
        <f t="shared" si="115"/>
        <v>0.64125874125873639</v>
      </c>
      <c r="Q105" s="18">
        <f t="shared" si="116"/>
        <v>1.2348877374784084</v>
      </c>
      <c r="R105" s="18">
        <f t="shared" si="117"/>
        <v>1.2767364939360606</v>
      </c>
      <c r="S105" s="19">
        <f t="shared" si="105"/>
        <v>62.6</v>
      </c>
      <c r="T105" s="27">
        <f t="shared" si="106"/>
        <v>-8.7195504019095163E-2</v>
      </c>
      <c r="U105" s="27">
        <f t="shared" si="107"/>
        <v>1.123774509803914E-2</v>
      </c>
      <c r="V105" s="27">
        <f t="shared" si="108"/>
        <v>0.10967099421517346</v>
      </c>
      <c r="W105" s="27">
        <f t="shared" si="109"/>
        <v>0</v>
      </c>
      <c r="BF105" s="54"/>
      <c r="BG105" s="55"/>
      <c r="BH105" s="55"/>
      <c r="BI105" s="55"/>
      <c r="BJ105" s="55"/>
      <c r="BK105" s="56"/>
      <c r="BL105" s="56"/>
      <c r="BM105" s="56"/>
      <c r="BN105" s="56"/>
    </row>
    <row r="106" spans="3:66">
      <c r="C106" s="54">
        <f t="shared" si="118"/>
        <v>63.6</v>
      </c>
      <c r="D106" s="27">
        <f t="shared" si="112"/>
        <v>2.6784837166160813E-2</v>
      </c>
      <c r="E106" s="55">
        <f>AVERAGE(data0!B64:AG64)</f>
        <v>0.12463235294117642</v>
      </c>
      <c r="F106" s="27">
        <f t="shared" si="113"/>
        <v>0.22247986871619202</v>
      </c>
      <c r="G106" s="18">
        <f>MAX(data0!B64:AG64)</f>
        <v>0.16862745098039217</v>
      </c>
      <c r="H106" s="27">
        <f t="shared" si="114"/>
        <v>1.1482843137254839E-2</v>
      </c>
      <c r="I106" s="55">
        <f>STDEV(data0!B64:AG64)</f>
        <v>6.5231677183343731E-2</v>
      </c>
      <c r="J106" s="55">
        <f>AVERAGE(data1!B64:AG64)</f>
        <v>5.1593137254901986E-2</v>
      </c>
      <c r="K106" s="55">
        <f>STDEV(data1!B64:AG64)</f>
        <v>7.4612516175511521E-3</v>
      </c>
      <c r="L106" s="56">
        <f>AVERAGE(data2!B64:AG64)</f>
        <v>0.11458333333333336</v>
      </c>
      <c r="M106" s="56">
        <f>STDEV(data2!B64:AG64)</f>
        <v>5.0530172760360455E-3</v>
      </c>
      <c r="N106" s="56">
        <f>AVERAGE(data3!B64:AG64)</f>
        <v>0.12475490196078426</v>
      </c>
      <c r="O106" s="56">
        <f>STDEV(data3!B64:AG64)</f>
        <v>6.389240049599422E-2</v>
      </c>
      <c r="P106" s="18">
        <f t="shared" si="115"/>
        <v>0.57839506172839128</v>
      </c>
      <c r="Q106" s="18">
        <f t="shared" si="116"/>
        <v>1.3989637305699456</v>
      </c>
      <c r="R106" s="18">
        <f t="shared" si="117"/>
        <v>1.1732522796352653</v>
      </c>
      <c r="S106" s="19">
        <f t="shared" si="105"/>
        <v>63.6</v>
      </c>
      <c r="T106" s="27">
        <f t="shared" si="106"/>
        <v>-8.6364672637760764E-2</v>
      </c>
      <c r="U106" s="27">
        <f t="shared" si="107"/>
        <v>1.1482843137254839E-2</v>
      </c>
      <c r="V106" s="27">
        <f t="shared" si="108"/>
        <v>0.10933035891227044</v>
      </c>
      <c r="W106" s="27">
        <f t="shared" si="109"/>
        <v>0</v>
      </c>
      <c r="BF106" s="54"/>
      <c r="BG106" s="55"/>
      <c r="BH106" s="55"/>
      <c r="BI106" s="55"/>
      <c r="BJ106" s="55"/>
      <c r="BK106" s="56"/>
      <c r="BL106" s="56"/>
      <c r="BM106" s="56"/>
      <c r="BN106" s="56"/>
    </row>
    <row r="107" spans="3:66">
      <c r="C107" s="54">
        <f t="shared" si="118"/>
        <v>64.599999999999994</v>
      </c>
      <c r="D107" s="27">
        <f t="shared" si="112"/>
        <v>2.4690464337693646E-2</v>
      </c>
      <c r="E107" s="55">
        <f>AVERAGE(data0!B65:AG65)</f>
        <v>0.12426470588235289</v>
      </c>
      <c r="F107" s="27">
        <f t="shared" si="113"/>
        <v>0.22383894742701213</v>
      </c>
      <c r="G107" s="18">
        <f>MAX(data0!B65:AG65)</f>
        <v>0.17254901960784313</v>
      </c>
      <c r="H107" s="27">
        <f t="shared" si="114"/>
        <v>1.1115196078431311E-2</v>
      </c>
      <c r="I107" s="55">
        <f>STDEV(data0!B65:AG65)</f>
        <v>6.6382827696439495E-2</v>
      </c>
      <c r="J107" s="55">
        <f>AVERAGE(data1!B65:AG65)</f>
        <v>4.9387254901960803E-2</v>
      </c>
      <c r="K107" s="55">
        <f>STDEV(data1!B65:AG65)</f>
        <v>9.8536059200331552E-3</v>
      </c>
      <c r="L107" s="56">
        <f>AVERAGE(data2!B65:AG65)</f>
        <v>0.11311274509803924</v>
      </c>
      <c r="M107" s="56">
        <f>STDEV(data2!B65:AG65)</f>
        <v>4.1201311744221277E-3</v>
      </c>
      <c r="N107" s="56">
        <f>AVERAGE(data3!B65:AG65)</f>
        <v>0.1240196078431372</v>
      </c>
      <c r="O107" s="56">
        <f>STDEV(data3!B65:AG65)</f>
        <v>6.5950312829619578E-2</v>
      </c>
      <c r="P107" s="18">
        <f t="shared" si="115"/>
        <v>0.6298611111111071</v>
      </c>
      <c r="Q107" s="18">
        <f t="shared" si="116"/>
        <v>1.3872832369942156</v>
      </c>
      <c r="R107" s="18">
        <f t="shared" si="117"/>
        <v>1.1197411003236322</v>
      </c>
      <c r="S107" s="19">
        <f t="shared" si="105"/>
        <v>64.599999999999994</v>
      </c>
      <c r="T107" s="27">
        <f t="shared" si="106"/>
        <v>-8.8459045466227931E-2</v>
      </c>
      <c r="U107" s="27">
        <f t="shared" si="107"/>
        <v>1.1115196078431311E-2</v>
      </c>
      <c r="V107" s="27">
        <f t="shared" si="108"/>
        <v>0.11068943762309055</v>
      </c>
      <c r="W107" s="27">
        <f t="shared" si="109"/>
        <v>0</v>
      </c>
      <c r="BF107" s="54"/>
      <c r="BG107" s="55"/>
      <c r="BH107" s="55"/>
      <c r="BI107" s="55"/>
      <c r="BJ107" s="55"/>
      <c r="BK107" s="56"/>
      <c r="BL107" s="56"/>
      <c r="BM107" s="56"/>
      <c r="BN107" s="56"/>
    </row>
    <row r="108" spans="3:66">
      <c r="C108" s="54">
        <f t="shared" si="118"/>
        <v>65.599999999999994</v>
      </c>
      <c r="D108" s="27">
        <f t="shared" ref="D108:D124" si="119">E108-1.5*I108</f>
        <v>2.3359413753670372E-2</v>
      </c>
      <c r="E108" s="55">
        <f>AVERAGE(data0!B66:AG66)</f>
        <v>0.12230392156862741</v>
      </c>
      <c r="F108" s="27">
        <f t="shared" ref="F108:F124" si="120">E108+1.5*I108</f>
        <v>0.22124842938358444</v>
      </c>
      <c r="G108" s="18">
        <f>MAX(data0!B66:AG66)</f>
        <v>0.17254901960784313</v>
      </c>
      <c r="H108" s="27">
        <f t="shared" ref="H108:H124" si="121">E108-H$4</f>
        <v>9.1544117647058276E-3</v>
      </c>
      <c r="I108" s="55">
        <f>STDEV(data0!B66:AG66)</f>
        <v>6.5963005209971351E-2</v>
      </c>
      <c r="J108" s="55">
        <f>AVERAGE(data1!B66:AG66)</f>
        <v>4.6568627450980393E-2</v>
      </c>
      <c r="K108" s="55">
        <f>STDEV(data1!B66:AG66)</f>
        <v>8.0768468690423315E-3</v>
      </c>
      <c r="L108" s="56">
        <f>AVERAGE(data2!B66:AG66)</f>
        <v>0.11090686274509808</v>
      </c>
      <c r="M108" s="56">
        <f>STDEV(data2!B66:AG66)</f>
        <v>4.6968472193205909E-3</v>
      </c>
      <c r="N108" s="56">
        <f>AVERAGE(data3!B66:AG66)</f>
        <v>0.12169117647058819</v>
      </c>
      <c r="O108" s="56">
        <f>STDEV(data3!B66:AG66)</f>
        <v>6.5624055988157348E-2</v>
      </c>
      <c r="P108" s="18">
        <f t="shared" ref="P108:P124" si="122">(E108-relativePrx*$H$4)/(J108-relativePrx*$H$5)</f>
        <v>0.6173553719008229</v>
      </c>
      <c r="Q108" s="18">
        <f t="shared" ref="Q108:Q124" si="123">(J108-relativePrx*$H$5)/(L108-relativePrx*$H$6)</f>
        <v>1.4102564102564026</v>
      </c>
      <c r="R108" s="18">
        <f t="shared" ref="R108:R124" si="124">(L108-relativePrx*$H$6)/(N108-relativePrx*$H$7)</f>
        <v>1.1641791044776213</v>
      </c>
      <c r="S108" s="19">
        <f t="shared" si="105"/>
        <v>65.599999999999994</v>
      </c>
      <c r="T108" s="27">
        <f t="shared" si="106"/>
        <v>-8.9790096050251206E-2</v>
      </c>
      <c r="U108" s="27">
        <f t="shared" si="107"/>
        <v>9.1544117647058276E-3</v>
      </c>
      <c r="V108" s="27">
        <f t="shared" si="108"/>
        <v>0.10809891957966286</v>
      </c>
      <c r="W108" s="27">
        <f t="shared" si="109"/>
        <v>0</v>
      </c>
      <c r="BF108" s="54"/>
      <c r="BG108" s="55"/>
      <c r="BH108" s="55"/>
      <c r="BI108" s="55"/>
      <c r="BJ108" s="55"/>
      <c r="BK108" s="56"/>
      <c r="BL108" s="56"/>
      <c r="BM108" s="56"/>
      <c r="BN108" s="56"/>
    </row>
    <row r="109" spans="3:66">
      <c r="C109" s="54">
        <f t="shared" ref="C109:C124" si="125">C108+$B$4</f>
        <v>66.599999999999994</v>
      </c>
      <c r="D109" s="27">
        <f t="shared" si="119"/>
        <v>2.2467204694884696E-2</v>
      </c>
      <c r="E109" s="55">
        <f>AVERAGE(data0!B67:AG67)</f>
        <v>0.12144607843137249</v>
      </c>
      <c r="F109" s="27">
        <f t="shared" si="120"/>
        <v>0.22042495216786029</v>
      </c>
      <c r="G109" s="18">
        <f>MAX(data0!B67:AG67)</f>
        <v>0.16862745098039217</v>
      </c>
      <c r="H109" s="27">
        <f t="shared" si="121"/>
        <v>8.2965686274509148E-3</v>
      </c>
      <c r="I109" s="55">
        <f>STDEV(data0!B67:AG67)</f>
        <v>6.5985915824325198E-2</v>
      </c>
      <c r="J109" s="55">
        <f>AVERAGE(data1!B67:AG67)</f>
        <v>4.5220588235294137E-2</v>
      </c>
      <c r="K109" s="55">
        <f>STDEV(data1!B67:AG67)</f>
        <v>8.7396746314643749E-3</v>
      </c>
      <c r="L109" s="56">
        <f>AVERAGE(data2!B67:AG67)</f>
        <v>0.11029411764705886</v>
      </c>
      <c r="M109" s="56">
        <f>STDEV(data2!B67:AG67)</f>
        <v>4.7509960678593088E-3</v>
      </c>
      <c r="N109" s="56">
        <f>AVERAGE(data3!B67:AG67)</f>
        <v>0.12107843137254898</v>
      </c>
      <c r="O109" s="56">
        <f>STDEV(data3!B67:AG67)</f>
        <v>6.4397517190204576E-2</v>
      </c>
      <c r="P109" s="18">
        <f t="shared" si="122"/>
        <v>0.61545454545453993</v>
      </c>
      <c r="Q109" s="18">
        <f t="shared" si="123"/>
        <v>1.361386138613855</v>
      </c>
      <c r="R109" s="18">
        <f t="shared" si="124"/>
        <v>1.1761280931586708</v>
      </c>
      <c r="S109" s="19">
        <f t="shared" ref="S109:S124" si="126">C109</f>
        <v>66.599999999999994</v>
      </c>
      <c r="T109" s="27">
        <f t="shared" ref="T109:T124" si="127">D109-$H$4</f>
        <v>-9.0682305109036881E-2</v>
      </c>
      <c r="U109" s="27">
        <f t="shared" ref="U109:U124" si="128">H109</f>
        <v>8.2965686274509148E-3</v>
      </c>
      <c r="V109" s="27">
        <f t="shared" ref="V109:V124" si="129">F109-$H$4</f>
        <v>0.10727544236393871</v>
      </c>
      <c r="W109" s="27">
        <f t="shared" ref="W109:W124" si="130">MAX(A$45*C109^B$45-$H$4,0)</f>
        <v>0</v>
      </c>
      <c r="BF109" s="54"/>
      <c r="BG109" s="55"/>
      <c r="BH109" s="55"/>
      <c r="BI109" s="55"/>
      <c r="BJ109" s="55"/>
      <c r="BK109" s="56"/>
      <c r="BL109" s="56"/>
      <c r="BM109" s="56"/>
      <c r="BN109" s="56"/>
    </row>
    <row r="110" spans="3:66">
      <c r="C110" s="54">
        <f t="shared" si="125"/>
        <v>67.599999999999994</v>
      </c>
      <c r="D110" s="27">
        <f t="shared" si="119"/>
        <v>2.3322039824974092E-2</v>
      </c>
      <c r="E110" s="55">
        <f>AVERAGE(data0!B68:AG68)</f>
        <v>0.12107843137254896</v>
      </c>
      <c r="F110" s="27">
        <f t="shared" si="120"/>
        <v>0.21883482292012385</v>
      </c>
      <c r="G110" s="18">
        <f>MAX(data0!B68:AG68)</f>
        <v>0.16862745098039217</v>
      </c>
      <c r="H110" s="27">
        <f t="shared" si="121"/>
        <v>7.9289215686273867E-3</v>
      </c>
      <c r="I110" s="55">
        <f>STDEV(data0!B68:AG68)</f>
        <v>6.5170927698383244E-2</v>
      </c>
      <c r="J110" s="55">
        <f>AVERAGE(data1!B68:AG68)</f>
        <v>4.534313725490198E-2</v>
      </c>
      <c r="K110" s="55">
        <f>STDEV(data1!B68:AG68)</f>
        <v>8.0267872643729251E-3</v>
      </c>
      <c r="L110" s="56">
        <f>AVERAGE(data2!B68:AG68)</f>
        <v>0.10931372549019611</v>
      </c>
      <c r="M110" s="56">
        <f>STDEV(data2!B68:AG68)</f>
        <v>3.6935613714500779E-3</v>
      </c>
      <c r="N110" s="56">
        <f>AVERAGE(data3!B68:AG68)</f>
        <v>0.11899509803921564</v>
      </c>
      <c r="O110" s="56">
        <f>STDEV(data3!B68:AG68)</f>
        <v>6.4933449712515481E-2</v>
      </c>
      <c r="P110" s="18">
        <f t="shared" si="122"/>
        <v>0.5828828828828776</v>
      </c>
      <c r="Q110" s="18">
        <f t="shared" si="123"/>
        <v>1.5247252747252684</v>
      </c>
      <c r="R110" s="18">
        <f t="shared" si="124"/>
        <v>1.4081237911025286</v>
      </c>
      <c r="S110" s="19">
        <f t="shared" si="126"/>
        <v>67.599999999999994</v>
      </c>
      <c r="T110" s="27">
        <f t="shared" si="127"/>
        <v>-8.9827469978947486E-2</v>
      </c>
      <c r="U110" s="27">
        <f t="shared" si="128"/>
        <v>7.9289215686273867E-3</v>
      </c>
      <c r="V110" s="27">
        <f t="shared" si="129"/>
        <v>0.10568531311620227</v>
      </c>
      <c r="W110" s="27">
        <f t="shared" si="130"/>
        <v>0</v>
      </c>
      <c r="BF110" s="54"/>
      <c r="BG110" s="55"/>
      <c r="BH110" s="55"/>
      <c r="BI110" s="55"/>
      <c r="BJ110" s="55"/>
      <c r="BK110" s="56"/>
      <c r="BL110" s="56"/>
      <c r="BM110" s="56"/>
      <c r="BN110" s="56"/>
    </row>
    <row r="111" spans="3:66">
      <c r="C111" s="54">
        <f t="shared" si="125"/>
        <v>68.599999999999994</v>
      </c>
      <c r="D111" s="27">
        <f t="shared" si="119"/>
        <v>2.1111596038772135E-2</v>
      </c>
      <c r="E111" s="55">
        <f>AVERAGE(data0!B69:AG69)</f>
        <v>0.11948529411764701</v>
      </c>
      <c r="F111" s="27">
        <f t="shared" si="120"/>
        <v>0.21785899219652188</v>
      </c>
      <c r="G111" s="18">
        <f>MAX(data0!B69:AG69)</f>
        <v>0.16862745098039217</v>
      </c>
      <c r="H111" s="27">
        <f t="shared" si="121"/>
        <v>6.3357843137254316E-3</v>
      </c>
      <c r="I111" s="55">
        <f>STDEV(data0!B69:AG69)</f>
        <v>6.5582465385916583E-2</v>
      </c>
      <c r="J111" s="55">
        <f>AVERAGE(data1!B69:AG69)</f>
        <v>4.2647058823529427E-2</v>
      </c>
      <c r="K111" s="55">
        <f>STDEV(data1!B69:AG69)</f>
        <v>9.1156234789645883E-3</v>
      </c>
      <c r="L111" s="56">
        <f>AVERAGE(data2!B69:AG69)</f>
        <v>0.10833333333333336</v>
      </c>
      <c r="M111" s="56">
        <f>STDEV(data2!B69:AG69)</f>
        <v>3.8255156293579857E-3</v>
      </c>
      <c r="N111" s="56">
        <f>AVERAGE(data3!B69:AG69)</f>
        <v>0.11899509803921564</v>
      </c>
      <c r="O111" s="56">
        <f>STDEV(data3!B69:AG69)</f>
        <v>6.4650154255140022E-2</v>
      </c>
      <c r="P111" s="18">
        <f t="shared" si="122"/>
        <v>0.58089887640448845</v>
      </c>
      <c r="Q111" s="18">
        <f t="shared" si="123"/>
        <v>1.3734567901234496</v>
      </c>
      <c r="R111" s="18">
        <f t="shared" si="124"/>
        <v>1.253384912959395</v>
      </c>
      <c r="S111" s="19">
        <f t="shared" si="126"/>
        <v>68.599999999999994</v>
      </c>
      <c r="T111" s="27">
        <f t="shared" si="127"/>
        <v>-9.2037913765149443E-2</v>
      </c>
      <c r="U111" s="27">
        <f t="shared" si="128"/>
        <v>6.3357843137254316E-3</v>
      </c>
      <c r="V111" s="27">
        <f t="shared" si="129"/>
        <v>0.10470948239260031</v>
      </c>
      <c r="W111" s="27">
        <f t="shared" si="130"/>
        <v>0</v>
      </c>
      <c r="BF111" s="54"/>
      <c r="BG111" s="55"/>
      <c r="BH111" s="55"/>
      <c r="BI111" s="55"/>
      <c r="BJ111" s="55"/>
      <c r="BK111" s="56"/>
      <c r="BL111" s="56"/>
      <c r="BM111" s="56"/>
      <c r="BN111" s="56"/>
    </row>
    <row r="112" spans="3:66">
      <c r="C112" s="54">
        <f t="shared" si="125"/>
        <v>69.599999999999994</v>
      </c>
      <c r="D112" s="27">
        <f t="shared" si="119"/>
        <v>2.1981731929973075E-2</v>
      </c>
      <c r="E112" s="55">
        <f>AVERAGE(data0!B70:AG70)</f>
        <v>0.11936274509803918</v>
      </c>
      <c r="F112" s="27">
        <f t="shared" si="120"/>
        <v>0.21674375826610529</v>
      </c>
      <c r="G112" s="18">
        <f>MAX(data0!B70:AG70)</f>
        <v>0.16862745098039217</v>
      </c>
      <c r="H112" s="27">
        <f t="shared" si="121"/>
        <v>6.2132352941176028E-3</v>
      </c>
      <c r="I112" s="55">
        <f>STDEV(data0!B70:AG70)</f>
        <v>6.4920675445377399E-2</v>
      </c>
      <c r="J112" s="55">
        <f>AVERAGE(data1!B70:AG70)</f>
        <v>4.1789215686274528E-2</v>
      </c>
      <c r="K112" s="55">
        <f>STDEV(data1!B70:AG70)</f>
        <v>7.6256613657371877E-3</v>
      </c>
      <c r="L112" s="56">
        <f>AVERAGE(data2!B70:AG70)</f>
        <v>0.10845588235294121</v>
      </c>
      <c r="M112" s="56">
        <f>STDEV(data2!B70:AG70)</f>
        <v>3.5370463494802905E-3</v>
      </c>
      <c r="N112" s="56">
        <f>AVERAGE(data3!B70:AG70)</f>
        <v>0.11838235294117644</v>
      </c>
      <c r="O112" s="56">
        <f>STDEV(data3!B70:AG70)</f>
        <v>6.5107621434176005E-2</v>
      </c>
      <c r="P112" s="18">
        <f t="shared" si="122"/>
        <v>0.61829268292682404</v>
      </c>
      <c r="Q112" s="18">
        <f t="shared" si="123"/>
        <v>1.2462006079027297</v>
      </c>
      <c r="R112" s="18">
        <f t="shared" si="124"/>
        <v>1.4089935760171428</v>
      </c>
      <c r="S112" s="19">
        <f t="shared" si="126"/>
        <v>69.599999999999994</v>
      </c>
      <c r="T112" s="27">
        <f t="shared" si="127"/>
        <v>-9.1167777873948502E-2</v>
      </c>
      <c r="U112" s="27">
        <f t="shared" si="128"/>
        <v>6.2132352941176028E-3</v>
      </c>
      <c r="V112" s="27">
        <f t="shared" si="129"/>
        <v>0.10359424846218371</v>
      </c>
      <c r="W112" s="27">
        <f t="shared" si="130"/>
        <v>0</v>
      </c>
      <c r="BF112" s="54"/>
      <c r="BG112" s="55"/>
      <c r="BH112" s="55"/>
      <c r="BI112" s="55"/>
      <c r="BJ112" s="55"/>
      <c r="BK112" s="56"/>
      <c r="BL112" s="56"/>
      <c r="BM112" s="56"/>
      <c r="BN112" s="56"/>
    </row>
    <row r="113" spans="3:66">
      <c r="C113" s="54">
        <f t="shared" si="125"/>
        <v>70.599999999999994</v>
      </c>
      <c r="D113" s="27">
        <f t="shared" si="119"/>
        <v>2.2395510544081343E-2</v>
      </c>
      <c r="E113" s="55">
        <f>AVERAGE(data0!B71:AG71)</f>
        <v>0.11887254901960778</v>
      </c>
      <c r="F113" s="27">
        <f t="shared" si="120"/>
        <v>0.21534958749513422</v>
      </c>
      <c r="G113" s="18">
        <f>MAX(data0!B71:AG71)</f>
        <v>0.16470588235294117</v>
      </c>
      <c r="H113" s="27">
        <f t="shared" si="121"/>
        <v>5.7230392156862042E-3</v>
      </c>
      <c r="I113" s="55">
        <f>STDEV(data0!B71:AG71)</f>
        <v>6.4318025650350955E-2</v>
      </c>
      <c r="J113" s="55">
        <f>AVERAGE(data1!B71:AG71)</f>
        <v>4.1053921568627465E-2</v>
      </c>
      <c r="K113" s="55">
        <f>STDEV(data1!B71:AG71)</f>
        <v>9.0190234389779262E-3</v>
      </c>
      <c r="L113" s="56">
        <f>AVERAGE(data2!B71:AG71)</f>
        <v>0.1061274509803922</v>
      </c>
      <c r="M113" s="56">
        <f>STDEV(data2!B71:AG71)</f>
        <v>3.9765282249209126E-3</v>
      </c>
      <c r="N113" s="56">
        <f>AVERAGE(data3!B71:AG71)</f>
        <v>0.11727941176470583</v>
      </c>
      <c r="O113" s="56">
        <f>STDEV(data3!B71:AG71)</f>
        <v>6.5486896143383516E-2</v>
      </c>
      <c r="P113" s="18">
        <f t="shared" si="122"/>
        <v>0.61447368421051818</v>
      </c>
      <c r="Q113" s="18">
        <f t="shared" si="123"/>
        <v>1.6239316239316093</v>
      </c>
      <c r="R113" s="18">
        <f t="shared" si="124"/>
        <v>1.2413793103448503</v>
      </c>
      <c r="S113" s="19">
        <f t="shared" si="126"/>
        <v>70.599999999999994</v>
      </c>
      <c r="T113" s="27">
        <f t="shared" si="127"/>
        <v>-9.0753999259840235E-2</v>
      </c>
      <c r="U113" s="27">
        <f t="shared" si="128"/>
        <v>5.7230392156862042E-3</v>
      </c>
      <c r="V113" s="27">
        <f t="shared" si="129"/>
        <v>0.10220007769121264</v>
      </c>
      <c r="W113" s="27">
        <f t="shared" si="130"/>
        <v>0</v>
      </c>
      <c r="BF113" s="54"/>
      <c r="BG113" s="55"/>
      <c r="BH113" s="55"/>
      <c r="BI113" s="55"/>
      <c r="BJ113" s="55"/>
      <c r="BK113" s="56"/>
      <c r="BL113" s="56"/>
      <c r="BM113" s="56"/>
      <c r="BN113" s="56"/>
    </row>
    <row r="114" spans="3:66">
      <c r="C114" s="54">
        <f t="shared" si="125"/>
        <v>71.599999999999994</v>
      </c>
      <c r="D114" s="27">
        <f t="shared" si="119"/>
        <v>2.0181565852143896E-2</v>
      </c>
      <c r="E114" s="55">
        <f>AVERAGE(data0!B72:AG72)</f>
        <v>0.11678921568627446</v>
      </c>
      <c r="F114" s="27">
        <f t="shared" si="120"/>
        <v>0.21339686552040502</v>
      </c>
      <c r="G114" s="18">
        <f>MAX(data0!B72:AG72)</f>
        <v>0.16862745098039217</v>
      </c>
      <c r="H114" s="27">
        <f t="shared" si="121"/>
        <v>3.6397058823528783E-3</v>
      </c>
      <c r="I114" s="55">
        <f>STDEV(data0!B72:AG72)</f>
        <v>6.4405099889420378E-2</v>
      </c>
      <c r="J114" s="55">
        <f>AVERAGE(data1!B72:AG72)</f>
        <v>4.0318627450980402E-2</v>
      </c>
      <c r="K114" s="55">
        <f>STDEV(data1!B72:AG72)</f>
        <v>9.3033165311222007E-3</v>
      </c>
      <c r="L114" s="56">
        <f>AVERAGE(data2!B72:AG72)</f>
        <v>0.10477941176470593</v>
      </c>
      <c r="M114" s="56">
        <f>STDEV(data2!B72:AG72)</f>
        <v>4.2534311912223732E-3</v>
      </c>
      <c r="N114" s="56">
        <f>AVERAGE(data3!B72:AG72)</f>
        <v>0.11617647058823526</v>
      </c>
      <c r="O114" s="56">
        <f>STDEV(data3!B72:AG72)</f>
        <v>6.5912691427339756E-2</v>
      </c>
      <c r="P114" s="18">
        <f t="shared" si="122"/>
        <v>0.42428571428570677</v>
      </c>
      <c r="Q114" s="18">
        <f t="shared" si="123"/>
        <v>1.9553072625698056</v>
      </c>
      <c r="R114" s="18">
        <f t="shared" si="124"/>
        <v>1.2473867595819066</v>
      </c>
      <c r="S114" s="19">
        <f t="shared" si="126"/>
        <v>71.599999999999994</v>
      </c>
      <c r="T114" s="27">
        <f t="shared" si="127"/>
        <v>-9.2967943951777682E-2</v>
      </c>
      <c r="U114" s="27">
        <f t="shared" si="128"/>
        <v>3.6397058823528783E-3</v>
      </c>
      <c r="V114" s="27">
        <f t="shared" si="129"/>
        <v>0.10024735571648344</v>
      </c>
      <c r="W114" s="27">
        <f t="shared" si="130"/>
        <v>0</v>
      </c>
      <c r="BF114" s="54"/>
      <c r="BG114" s="55"/>
      <c r="BH114" s="55"/>
      <c r="BI114" s="55"/>
      <c r="BJ114" s="55"/>
      <c r="BK114" s="56"/>
      <c r="BL114" s="56"/>
      <c r="BM114" s="56"/>
      <c r="BN114" s="56"/>
    </row>
    <row r="115" spans="3:66">
      <c r="C115" s="54">
        <f t="shared" si="125"/>
        <v>72.599999999999994</v>
      </c>
      <c r="D115" s="27">
        <f t="shared" si="119"/>
        <v>1.9433796994439201E-2</v>
      </c>
      <c r="E115" s="55">
        <f>AVERAGE(data0!B73:AG73)</f>
        <v>0.11703431372549014</v>
      </c>
      <c r="F115" s="27">
        <f t="shared" si="120"/>
        <v>0.21463483045654108</v>
      </c>
      <c r="G115" s="18">
        <f>MAX(data0!B73:AG73)</f>
        <v>0.16078431372549021</v>
      </c>
      <c r="H115" s="27">
        <f t="shared" si="121"/>
        <v>3.8848039215685637E-3</v>
      </c>
      <c r="I115" s="55">
        <f>STDEV(data0!B73:AG73)</f>
        <v>6.506701115403396E-2</v>
      </c>
      <c r="J115" s="55">
        <f>AVERAGE(data1!B73:AG73)</f>
        <v>3.9950980392156846E-2</v>
      </c>
      <c r="K115" s="55">
        <f>STDEV(data1!B73:AG73)</f>
        <v>7.9958255780504025E-3</v>
      </c>
      <c r="L115" s="56">
        <f>AVERAGE(data2!B73:AG73)</f>
        <v>0.10465686274509808</v>
      </c>
      <c r="M115" s="56">
        <f>STDEV(data2!B73:AG73)</f>
        <v>4.3915130096439242E-3</v>
      </c>
      <c r="N115" s="56">
        <f>AVERAGE(data3!B73:AG73)</f>
        <v>0.1160539215686274</v>
      </c>
      <c r="O115" s="56">
        <f>STDEV(data3!B73:AG73)</f>
        <v>6.5392135526161466E-2</v>
      </c>
      <c r="P115" s="18">
        <f t="shared" si="122"/>
        <v>0.47313432835820246</v>
      </c>
      <c r="Q115" s="18">
        <f t="shared" si="123"/>
        <v>1.9252873563218056</v>
      </c>
      <c r="R115" s="18">
        <f t="shared" si="124"/>
        <v>1.2563176895307171</v>
      </c>
      <c r="S115" s="19">
        <f t="shared" si="126"/>
        <v>72.599999999999994</v>
      </c>
      <c r="T115" s="27">
        <f t="shared" si="127"/>
        <v>-9.3715712809482377E-2</v>
      </c>
      <c r="U115" s="27">
        <f t="shared" si="128"/>
        <v>3.8848039215685637E-3</v>
      </c>
      <c r="V115" s="27">
        <f t="shared" si="129"/>
        <v>0.1014853206526195</v>
      </c>
      <c r="W115" s="27">
        <f t="shared" si="130"/>
        <v>0</v>
      </c>
      <c r="BF115" s="54"/>
      <c r="BG115" s="55"/>
      <c r="BH115" s="55"/>
      <c r="BI115" s="55"/>
      <c r="BJ115" s="55"/>
      <c r="BK115" s="56"/>
      <c r="BL115" s="56"/>
      <c r="BM115" s="56"/>
      <c r="BN115" s="56"/>
    </row>
    <row r="116" spans="3:66">
      <c r="C116" s="54">
        <f t="shared" si="125"/>
        <v>73.599999999999994</v>
      </c>
      <c r="D116" s="27">
        <f t="shared" si="119"/>
        <v>1.8009886657184199E-2</v>
      </c>
      <c r="E116" s="55">
        <f>AVERAGE(data0!B74:AG74)</f>
        <v>0.11617647058823524</v>
      </c>
      <c r="F116" s="27">
        <f t="shared" si="120"/>
        <v>0.21434305451928629</v>
      </c>
      <c r="G116" s="18">
        <f>MAX(data0!B74:AG74)</f>
        <v>0.16470588235294117</v>
      </c>
      <c r="H116" s="27">
        <f t="shared" si="121"/>
        <v>3.0269607843136648E-3</v>
      </c>
      <c r="I116" s="55">
        <f>STDEV(data0!B74:AG74)</f>
        <v>6.5444389287367358E-2</v>
      </c>
      <c r="J116" s="55">
        <f>AVERAGE(data1!B74:AG74)</f>
        <v>3.7499999999999992E-2</v>
      </c>
      <c r="K116" s="55">
        <f>STDEV(data1!B74:AG74)</f>
        <v>9.233903428625255E-3</v>
      </c>
      <c r="L116" s="56">
        <f>AVERAGE(data2!B74:AG74)</f>
        <v>0.1035539215686275</v>
      </c>
      <c r="M116" s="56">
        <f>STDEV(data2!B74:AG74)</f>
        <v>5.257504524176E-3</v>
      </c>
      <c r="N116" s="56">
        <f>AVERAGE(data3!B74:AG74)</f>
        <v>0.11446078431372544</v>
      </c>
      <c r="O116" s="56">
        <f>STDEV(data3!B74:AG74)</f>
        <v>6.4579736351553729E-2</v>
      </c>
      <c r="P116" s="18">
        <f t="shared" si="122"/>
        <v>0.52553191489360773</v>
      </c>
      <c r="Q116" s="18">
        <f t="shared" si="123"/>
        <v>1.8217054263565466</v>
      </c>
      <c r="R116" s="18">
        <f t="shared" si="124"/>
        <v>1.7551020408163913</v>
      </c>
      <c r="S116" s="19">
        <f t="shared" si="126"/>
        <v>73.599999999999994</v>
      </c>
      <c r="T116" s="27">
        <f t="shared" si="127"/>
        <v>-9.5139623146737379E-2</v>
      </c>
      <c r="U116" s="27">
        <f t="shared" si="128"/>
        <v>3.0269607843136648E-3</v>
      </c>
      <c r="V116" s="27">
        <f t="shared" si="129"/>
        <v>0.10119354471536471</v>
      </c>
      <c r="W116" s="27">
        <f t="shared" si="130"/>
        <v>0</v>
      </c>
      <c r="BF116" s="54"/>
      <c r="BG116" s="55"/>
      <c r="BH116" s="55"/>
      <c r="BI116" s="55"/>
      <c r="BJ116" s="55"/>
      <c r="BK116" s="56"/>
      <c r="BL116" s="56"/>
      <c r="BM116" s="56"/>
      <c r="BN116" s="56"/>
    </row>
    <row r="117" spans="3:66">
      <c r="C117" s="54">
        <f t="shared" si="125"/>
        <v>74.599999999999994</v>
      </c>
      <c r="D117" s="27">
        <f t="shared" si="119"/>
        <v>1.7576800702502102E-2</v>
      </c>
      <c r="E117" s="55">
        <f>AVERAGE(data0!B75:AG75)</f>
        <v>0.11519607843137249</v>
      </c>
      <c r="F117" s="27">
        <f t="shared" si="120"/>
        <v>0.21281535616024289</v>
      </c>
      <c r="G117" s="18">
        <f>MAX(data0!B75:AG75)</f>
        <v>0.16470588235294117</v>
      </c>
      <c r="H117" s="27">
        <f t="shared" si="121"/>
        <v>2.0465686274509093E-3</v>
      </c>
      <c r="I117" s="55">
        <f>STDEV(data0!B75:AG75)</f>
        <v>6.507951848591359E-2</v>
      </c>
      <c r="J117" s="55">
        <f>AVERAGE(data1!B75:AG75)</f>
        <v>3.5416666666666659E-2</v>
      </c>
      <c r="K117" s="55">
        <f>STDEV(data1!B75:AG75)</f>
        <v>9.2095273268020458E-3</v>
      </c>
      <c r="L117" s="56">
        <f>AVERAGE(data2!B75:AG75)</f>
        <v>0.10379901960784318</v>
      </c>
      <c r="M117" s="56">
        <f>STDEV(data2!B75:AG75)</f>
        <v>5.3626066260494456E-3</v>
      </c>
      <c r="N117" s="56">
        <f>AVERAGE(data3!B75:AG75)</f>
        <v>0.11470588235294112</v>
      </c>
      <c r="O117" s="56">
        <f>STDEV(data3!B75:AG75)</f>
        <v>6.4745162784411017E-2</v>
      </c>
      <c r="P117" s="18">
        <f t="shared" si="122"/>
        <v>0.55666666666664932</v>
      </c>
      <c r="Q117" s="18">
        <f t="shared" si="123"/>
        <v>1.0791366906474573</v>
      </c>
      <c r="R117" s="18">
        <f t="shared" si="124"/>
        <v>1.664670658682702</v>
      </c>
      <c r="S117" s="19">
        <f t="shared" si="126"/>
        <v>74.599999999999994</v>
      </c>
      <c r="T117" s="27">
        <f t="shared" si="127"/>
        <v>-9.5572709101419476E-2</v>
      </c>
      <c r="U117" s="27">
        <f t="shared" si="128"/>
        <v>2.0465686274509093E-3</v>
      </c>
      <c r="V117" s="27">
        <f t="shared" si="129"/>
        <v>9.9665846356321308E-2</v>
      </c>
      <c r="W117" s="27">
        <f t="shared" si="130"/>
        <v>0</v>
      </c>
      <c r="BF117" s="54"/>
      <c r="BG117" s="55"/>
      <c r="BH117" s="55"/>
      <c r="BI117" s="55"/>
      <c r="BJ117" s="55"/>
      <c r="BK117" s="56"/>
      <c r="BL117" s="56"/>
      <c r="BM117" s="56"/>
      <c r="BN117" s="56"/>
    </row>
    <row r="118" spans="3:66">
      <c r="C118" s="54">
        <f t="shared" si="125"/>
        <v>75.599999999999994</v>
      </c>
      <c r="D118" s="27">
        <f t="shared" si="119"/>
        <v>1.8817651675370708E-2</v>
      </c>
      <c r="E118" s="55">
        <f>AVERAGE(data0!B76:AG76)</f>
        <v>0.11482843137254896</v>
      </c>
      <c r="F118" s="27">
        <f t="shared" si="120"/>
        <v>0.21083921106972719</v>
      </c>
      <c r="G118" s="18">
        <f>MAX(data0!B76:AG76)</f>
        <v>0.16078431372549021</v>
      </c>
      <c r="H118" s="27">
        <f t="shared" si="121"/>
        <v>1.6789215686273812E-3</v>
      </c>
      <c r="I118" s="55">
        <f>STDEV(data0!B76:AG76)</f>
        <v>6.4007186464785495E-2</v>
      </c>
      <c r="J118" s="55">
        <f>AVERAGE(data1!B76:AG76)</f>
        <v>3.3578431372549018E-2</v>
      </c>
      <c r="K118" s="55">
        <f>STDEV(data1!B76:AG76)</f>
        <v>8.2101057523568492E-3</v>
      </c>
      <c r="L118" s="56">
        <f>AVERAGE(data2!B76:AG76)</f>
        <v>0.101593137254902</v>
      </c>
      <c r="M118" s="56">
        <f>STDEV(data2!B76:AG76)</f>
        <v>4.8142050024544926E-3</v>
      </c>
      <c r="N118" s="56">
        <f>AVERAGE(data3!B76:AG76)</f>
        <v>0.11397058823529406</v>
      </c>
      <c r="O118" s="56">
        <f>STDEV(data3!B76:AG76)</f>
        <v>6.2847303697111917E-2</v>
      </c>
      <c r="P118" s="18">
        <f t="shared" si="122"/>
        <v>0.91333333333329858</v>
      </c>
      <c r="Q118" s="18">
        <f t="shared" si="123"/>
        <v>1.5306122448978778</v>
      </c>
      <c r="R118" s="18">
        <f t="shared" si="124"/>
        <v>0.91588785046736365</v>
      </c>
      <c r="S118" s="19">
        <f t="shared" si="126"/>
        <v>75.599999999999994</v>
      </c>
      <c r="T118" s="27">
        <f t="shared" si="127"/>
        <v>-9.4331858128550869E-2</v>
      </c>
      <c r="U118" s="27">
        <f t="shared" si="128"/>
        <v>1.6789215686273812E-3</v>
      </c>
      <c r="V118" s="27">
        <f t="shared" si="129"/>
        <v>9.7689701265805617E-2</v>
      </c>
      <c r="W118" s="27">
        <f t="shared" si="130"/>
        <v>0</v>
      </c>
      <c r="BF118" s="54"/>
      <c r="BG118" s="55"/>
      <c r="BH118" s="55"/>
      <c r="BI118" s="55"/>
      <c r="BJ118" s="55"/>
      <c r="BK118" s="56"/>
      <c r="BL118" s="56"/>
      <c r="BM118" s="56"/>
      <c r="BN118" s="56"/>
    </row>
    <row r="119" spans="3:66">
      <c r="C119" s="54">
        <f t="shared" si="125"/>
        <v>76.599999999999994</v>
      </c>
      <c r="D119" s="27">
        <f t="shared" si="119"/>
        <v>1.8418236084257855E-2</v>
      </c>
      <c r="E119" s="55">
        <f>AVERAGE(data0!B77:AG77)</f>
        <v>0.11360294117647053</v>
      </c>
      <c r="F119" s="27">
        <f t="shared" si="120"/>
        <v>0.20878764626868321</v>
      </c>
      <c r="G119" s="18">
        <f>MAX(data0!B77:AG77)</f>
        <v>0.16078431372549021</v>
      </c>
      <c r="H119" s="27">
        <f t="shared" si="121"/>
        <v>4.5343137254895416E-4</v>
      </c>
      <c r="I119" s="55">
        <f>STDEV(data0!B77:AG77)</f>
        <v>6.3456470061475118E-2</v>
      </c>
      <c r="J119" s="55">
        <f>AVERAGE(data1!B77:AG77)</f>
        <v>3.1495098039215685E-2</v>
      </c>
      <c r="K119" s="55">
        <f>STDEV(data1!B77:AG77)</f>
        <v>9.0464838973896983E-3</v>
      </c>
      <c r="L119" s="56">
        <f>AVERAGE(data2!B77:AG77)</f>
        <v>0.10049019607843142</v>
      </c>
      <c r="M119" s="56">
        <f>STDEV(data2!B77:AG77)</f>
        <v>4.6454051934164547E-3</v>
      </c>
      <c r="N119" s="56">
        <f>AVERAGE(data3!B77:AG77)</f>
        <v>0.11384803921568622</v>
      </c>
      <c r="O119" s="56">
        <f>STDEV(data3!B77:AG77)</f>
        <v>6.4756535288697251E-2</v>
      </c>
      <c r="P119" s="18">
        <f t="shared" si="122"/>
        <v>-1.8499999999996872</v>
      </c>
      <c r="Q119" s="18">
        <f t="shared" si="123"/>
        <v>-2.499999999998443</v>
      </c>
      <c r="R119" s="18">
        <f t="shared" si="124"/>
        <v>8.2474226804179915E-2</v>
      </c>
      <c r="S119" s="19">
        <f t="shared" si="126"/>
        <v>76.599999999999994</v>
      </c>
      <c r="T119" s="27">
        <f t="shared" si="127"/>
        <v>-9.4731273719663722E-2</v>
      </c>
      <c r="U119" s="27">
        <f t="shared" si="128"/>
        <v>4.5343137254895416E-4</v>
      </c>
      <c r="V119" s="27">
        <f t="shared" si="129"/>
        <v>9.5638136464761631E-2</v>
      </c>
      <c r="W119" s="27">
        <f t="shared" si="130"/>
        <v>0</v>
      </c>
      <c r="BF119" s="54"/>
      <c r="BG119" s="55"/>
      <c r="BH119" s="55"/>
      <c r="BI119" s="55"/>
      <c r="BJ119" s="55"/>
      <c r="BK119" s="56"/>
      <c r="BL119" s="56"/>
      <c r="BM119" s="56"/>
      <c r="BN119" s="56"/>
    </row>
    <row r="120" spans="3:66">
      <c r="C120" s="54">
        <f t="shared" si="125"/>
        <v>77.599999999999994</v>
      </c>
      <c r="D120" s="27">
        <f t="shared" si="119"/>
        <v>1.708159883818601E-2</v>
      </c>
      <c r="E120" s="55">
        <f>AVERAGE(data0!B78:AG78)</f>
        <v>0.11249999999999995</v>
      </c>
      <c r="F120" s="27">
        <f t="shared" si="120"/>
        <v>0.20791840116181387</v>
      </c>
      <c r="G120" s="18">
        <f>MAX(data0!B78:AG78)</f>
        <v>0.16078431372549021</v>
      </c>
      <c r="H120" s="27">
        <f t="shared" si="121"/>
        <v>-6.4950980392163016E-4</v>
      </c>
      <c r="I120" s="55">
        <f>STDEV(data0!B78:AG78)</f>
        <v>6.3612267441209291E-2</v>
      </c>
      <c r="J120" s="55">
        <f>AVERAGE(data1!B78:AG78)</f>
        <v>3.1372549019607843E-2</v>
      </c>
      <c r="K120" s="55">
        <f>STDEV(data1!B78:AG78)</f>
        <v>8.6836191280103749E-3</v>
      </c>
      <c r="L120" s="56">
        <f>AVERAGE(data2!B78:AG78)</f>
        <v>9.9632352941176519E-2</v>
      </c>
      <c r="M120" s="56">
        <f>STDEV(data2!B78:AG78)</f>
        <v>4.8654554687670203E-3</v>
      </c>
      <c r="N120" s="56">
        <f>AVERAGE(data3!B78:AG78)</f>
        <v>0.11225490196078426</v>
      </c>
      <c r="O120" s="56">
        <f>STDEV(data3!B78:AG78)</f>
        <v>6.4589817896534923E-2</v>
      </c>
      <c r="P120" s="18">
        <f t="shared" si="122"/>
        <v>1.7666666666668069</v>
      </c>
      <c r="Q120" s="18">
        <f t="shared" si="123"/>
        <v>0.48387096774198529</v>
      </c>
      <c r="R120" s="18">
        <f t="shared" si="124"/>
        <v>1.8787878787875534</v>
      </c>
      <c r="S120" s="19">
        <f t="shared" si="126"/>
        <v>77.599999999999994</v>
      </c>
      <c r="T120" s="27">
        <f t="shared" si="127"/>
        <v>-9.6067910965735567E-2</v>
      </c>
      <c r="U120" s="27">
        <f t="shared" si="128"/>
        <v>-6.4950980392163016E-4</v>
      </c>
      <c r="V120" s="27">
        <f t="shared" si="129"/>
        <v>9.4768891357892293E-2</v>
      </c>
      <c r="W120" s="27">
        <f t="shared" si="130"/>
        <v>0</v>
      </c>
      <c r="BF120" s="54"/>
      <c r="BG120" s="55"/>
      <c r="BH120" s="55"/>
      <c r="BI120" s="55"/>
      <c r="BJ120" s="55"/>
      <c r="BK120" s="56"/>
      <c r="BL120" s="56"/>
      <c r="BM120" s="56"/>
      <c r="BN120" s="56"/>
    </row>
    <row r="121" spans="3:66">
      <c r="C121" s="54">
        <f t="shared" si="125"/>
        <v>78.599999999999994</v>
      </c>
      <c r="D121" s="27">
        <f t="shared" si="119"/>
        <v>1.7478720760154984E-2</v>
      </c>
      <c r="E121" s="55">
        <f>AVERAGE(data0!B79:AG79)</f>
        <v>0.11200980392156858</v>
      </c>
      <c r="F121" s="27">
        <f t="shared" si="120"/>
        <v>0.20654088708298218</v>
      </c>
      <c r="G121" s="18">
        <f>MAX(data0!B79:AG79)</f>
        <v>0.15686274509803921</v>
      </c>
      <c r="H121" s="27">
        <f t="shared" si="121"/>
        <v>-1.139705882353001E-3</v>
      </c>
      <c r="I121" s="55">
        <f>STDEV(data0!B79:AG79)</f>
        <v>6.3020722107609062E-2</v>
      </c>
      <c r="J121" s="55">
        <f>AVERAGE(data1!B79:AG79)</f>
        <v>2.7818627450980397E-2</v>
      </c>
      <c r="K121" s="55">
        <f>STDEV(data1!B79:AG79)</f>
        <v>7.6742974879947991E-3</v>
      </c>
      <c r="L121" s="56">
        <f>AVERAGE(data2!B79:AG79)</f>
        <v>9.877450980392162E-2</v>
      </c>
      <c r="M121" s="56">
        <f>STDEV(data2!B79:AG79)</f>
        <v>5.1215823818845461E-3</v>
      </c>
      <c r="N121" s="56">
        <f>AVERAGE(data3!B79:AG79)</f>
        <v>0.11053921568627446</v>
      </c>
      <c r="O121" s="56">
        <f>STDEV(data3!B79:AG79)</f>
        <v>6.487863394093743E-2</v>
      </c>
      <c r="P121" s="18">
        <f t="shared" si="122"/>
        <v>0.29062500000001523</v>
      </c>
      <c r="Q121" s="18">
        <f t="shared" si="123"/>
        <v>2.4242424242425287</v>
      </c>
      <c r="R121" s="18">
        <f t="shared" si="124"/>
        <v>0.76300578034677768</v>
      </c>
      <c r="S121" s="19">
        <f t="shared" si="126"/>
        <v>78.599999999999994</v>
      </c>
      <c r="T121" s="27">
        <f t="shared" si="127"/>
        <v>-9.5670789043766594E-2</v>
      </c>
      <c r="U121" s="27">
        <f t="shared" si="128"/>
        <v>-1.139705882353001E-3</v>
      </c>
      <c r="V121" s="27">
        <f t="shared" si="129"/>
        <v>9.3391377279060606E-2</v>
      </c>
      <c r="W121" s="27">
        <f t="shared" si="130"/>
        <v>0</v>
      </c>
      <c r="BF121" s="54"/>
      <c r="BG121" s="55"/>
      <c r="BH121" s="55"/>
      <c r="BI121" s="55"/>
      <c r="BJ121" s="55"/>
      <c r="BK121" s="56"/>
      <c r="BL121" s="56"/>
      <c r="BM121" s="56"/>
      <c r="BN121" s="56"/>
    </row>
    <row r="122" spans="3:66">
      <c r="C122" s="54">
        <f t="shared" si="125"/>
        <v>79.599999999999994</v>
      </c>
      <c r="D122" s="27">
        <f t="shared" si="119"/>
        <v>1.6604050766981002E-2</v>
      </c>
      <c r="E122" s="55">
        <f>AVERAGE(data0!B80:AG80)</f>
        <v>0.11127450980392152</v>
      </c>
      <c r="F122" s="27">
        <f t="shared" si="120"/>
        <v>0.20594496884086205</v>
      </c>
      <c r="G122" s="18">
        <f>MAX(data0!B80:AG80)</f>
        <v>0.16078431372549021</v>
      </c>
      <c r="H122" s="27">
        <f t="shared" si="121"/>
        <v>-1.8750000000000572E-3</v>
      </c>
      <c r="I122" s="55">
        <f>STDEV(data0!B80:AG80)</f>
        <v>6.3113639357960341E-2</v>
      </c>
      <c r="J122" s="55">
        <f>AVERAGE(data1!B80:AG80)</f>
        <v>2.7205882352941173E-2</v>
      </c>
      <c r="K122" s="55">
        <f>STDEV(data1!B80:AG80)</f>
        <v>8.2703089839906985E-3</v>
      </c>
      <c r="L122" s="56">
        <f>AVERAGE(data2!B80:AG80)</f>
        <v>9.8529411764705935E-2</v>
      </c>
      <c r="M122" s="56">
        <f>STDEV(data2!B80:AG80)</f>
        <v>5.2471739789895352E-3</v>
      </c>
      <c r="N122" s="56">
        <f>AVERAGE(data3!B80:AG80)</f>
        <v>0.11066176470588231</v>
      </c>
      <c r="O122" s="56">
        <f>STDEV(data3!B80:AG80)</f>
        <v>6.3082067763994734E-2</v>
      </c>
      <c r="P122" s="18">
        <f t="shared" si="122"/>
        <v>0.41351351351352539</v>
      </c>
      <c r="Q122" s="18">
        <f t="shared" si="123"/>
        <v>2.4342105263158857</v>
      </c>
      <c r="R122" s="18">
        <f t="shared" si="124"/>
        <v>0.93251533742326409</v>
      </c>
      <c r="S122" s="19">
        <f t="shared" si="126"/>
        <v>79.599999999999994</v>
      </c>
      <c r="T122" s="27">
        <f t="shared" si="127"/>
        <v>-9.6545459036940576E-2</v>
      </c>
      <c r="U122" s="27">
        <f t="shared" si="128"/>
        <v>-1.8750000000000572E-3</v>
      </c>
      <c r="V122" s="27">
        <f t="shared" si="129"/>
        <v>9.2795459036940475E-2</v>
      </c>
      <c r="W122" s="27">
        <f t="shared" si="130"/>
        <v>0</v>
      </c>
      <c r="BF122" s="54"/>
      <c r="BG122" s="55"/>
      <c r="BH122" s="55"/>
      <c r="BI122" s="55"/>
      <c r="BJ122" s="55"/>
      <c r="BK122" s="56"/>
      <c r="BL122" s="56"/>
      <c r="BM122" s="56"/>
      <c r="BN122" s="56"/>
    </row>
    <row r="123" spans="3:66">
      <c r="C123" s="54">
        <f t="shared" si="125"/>
        <v>80.599999999999994</v>
      </c>
      <c r="D123" s="27">
        <f t="shared" si="119"/>
        <v>1.4463524290549465E-2</v>
      </c>
      <c r="E123" s="55">
        <f>AVERAGE(data0!B81:AG81)</f>
        <v>0.11029411764705878</v>
      </c>
      <c r="F123" s="27">
        <f t="shared" si="120"/>
        <v>0.20612471100356811</v>
      </c>
      <c r="G123" s="18">
        <f>MAX(data0!B81:AG81)</f>
        <v>0.16078431372549021</v>
      </c>
      <c r="H123" s="27">
        <f t="shared" si="121"/>
        <v>-2.8553921568627988E-3</v>
      </c>
      <c r="I123" s="55">
        <f>STDEV(data0!B81:AG81)</f>
        <v>6.3887062237672876E-2</v>
      </c>
      <c r="J123" s="55">
        <f>AVERAGE(data1!B81:AG81)</f>
        <v>2.7573529411764709E-2</v>
      </c>
      <c r="K123" s="55">
        <f>STDEV(data1!B81:AG81)</f>
        <v>6.7912148233688725E-3</v>
      </c>
      <c r="L123" s="56">
        <f>AVERAGE(data2!B81:AG81)</f>
        <v>9.6568627450980452E-2</v>
      </c>
      <c r="M123" s="56">
        <f>STDEV(data2!B81:AG81)</f>
        <v>4.6454051934164556E-3</v>
      </c>
      <c r="N123" s="56">
        <f>AVERAGE(data3!B81:AG81)</f>
        <v>0.11041666666666662</v>
      </c>
      <c r="O123" s="56">
        <f>STDEV(data3!B81:AG81)</f>
        <v>6.3765496127294222E-2</v>
      </c>
      <c r="P123" s="18">
        <f t="shared" si="122"/>
        <v>0.68529411764707127</v>
      </c>
      <c r="Q123" s="18">
        <f t="shared" si="123"/>
        <v>1.0897435897436125</v>
      </c>
      <c r="R123" s="18">
        <f t="shared" si="124"/>
        <v>1.7049180327868294</v>
      </c>
      <c r="S123" s="19">
        <f t="shared" si="126"/>
        <v>80.599999999999994</v>
      </c>
      <c r="T123" s="27">
        <f t="shared" si="127"/>
        <v>-9.8685985513372113E-2</v>
      </c>
      <c r="U123" s="27">
        <f t="shared" si="128"/>
        <v>-2.8553921568627988E-3</v>
      </c>
      <c r="V123" s="27">
        <f t="shared" si="129"/>
        <v>9.2975201199646529E-2</v>
      </c>
      <c r="W123" s="27">
        <f t="shared" si="130"/>
        <v>0</v>
      </c>
      <c r="BF123" s="54"/>
      <c r="BG123" s="55"/>
      <c r="BH123" s="55"/>
      <c r="BI123" s="55"/>
      <c r="BJ123" s="55"/>
      <c r="BK123" s="56"/>
      <c r="BL123" s="56"/>
      <c r="BM123" s="56"/>
      <c r="BN123" s="56"/>
    </row>
    <row r="124" spans="3:66">
      <c r="C124" s="54">
        <f t="shared" si="125"/>
        <v>81.599999999999994</v>
      </c>
      <c r="D124" s="27">
        <f t="shared" si="119"/>
        <v>1.3982428075822464E-2</v>
      </c>
      <c r="E124" s="55">
        <f>AVERAGE(data0!B82:AG82)</f>
        <v>0.10857843137254898</v>
      </c>
      <c r="F124" s="27">
        <f t="shared" si="120"/>
        <v>0.20317443466927548</v>
      </c>
      <c r="G124" s="18">
        <f>MAX(data0!B82:AG82)</f>
        <v>0.15686274509803921</v>
      </c>
      <c r="H124" s="27">
        <f t="shared" si="121"/>
        <v>-4.5710784313725966E-3</v>
      </c>
      <c r="I124" s="55">
        <f>STDEV(data0!B82:AG82)</f>
        <v>6.3064002197817673E-2</v>
      </c>
      <c r="J124" s="55">
        <f>AVERAGE(data1!B82:AG82)</f>
        <v>2.5490196078431372E-2</v>
      </c>
      <c r="K124" s="55">
        <f>STDEV(data1!B82:AG82)</f>
        <v>8.393114441694308E-3</v>
      </c>
      <c r="L124" s="56">
        <f>AVERAGE(data2!B82:AG82)</f>
        <v>9.6323529411764766E-2</v>
      </c>
      <c r="M124" s="56">
        <f>STDEV(data2!B82:AG82)</f>
        <v>4.7705341738793795E-3</v>
      </c>
      <c r="N124" s="56">
        <f>AVERAGE(data3!B82:AG82)</f>
        <v>0.10968137254901957</v>
      </c>
      <c r="O124" s="56">
        <f>STDEV(data3!B82:AG82)</f>
        <v>6.3487733378709194E-2</v>
      </c>
      <c r="P124" s="18">
        <f t="shared" si="122"/>
        <v>0.73137254901961479</v>
      </c>
      <c r="Q124" s="18">
        <f t="shared" si="123"/>
        <v>1.5361445783132839</v>
      </c>
      <c r="R124" s="18">
        <f t="shared" si="124"/>
        <v>1.3662551440328838</v>
      </c>
      <c r="S124" s="19">
        <f t="shared" si="126"/>
        <v>81.599999999999994</v>
      </c>
      <c r="T124" s="27">
        <f t="shared" si="127"/>
        <v>-9.9167081728099113E-2</v>
      </c>
      <c r="U124" s="27">
        <f t="shared" si="128"/>
        <v>-4.5710784313725966E-3</v>
      </c>
      <c r="V124" s="27">
        <f t="shared" si="129"/>
        <v>9.0024924865353906E-2</v>
      </c>
      <c r="W124" s="27">
        <f t="shared" si="130"/>
        <v>0</v>
      </c>
      <c r="BF124" s="54"/>
      <c r="BG124" s="55"/>
      <c r="BH124" s="55"/>
      <c r="BI124" s="55"/>
      <c r="BJ124" s="55"/>
      <c r="BK124" s="56"/>
      <c r="BL124" s="56"/>
      <c r="BM124" s="56"/>
      <c r="BN124" s="56"/>
    </row>
    <row r="125" spans="3:66">
      <c r="BF125" s="54"/>
      <c r="BG125" s="55"/>
      <c r="BH125" s="55"/>
      <c r="BI125" s="55"/>
      <c r="BJ125" s="55"/>
      <c r="BK125" s="56"/>
      <c r="BL125" s="56"/>
      <c r="BM125" s="56"/>
      <c r="BN125" s="56"/>
    </row>
    <row r="126" spans="3:66">
      <c r="BF126" s="54"/>
      <c r="BG126" s="55"/>
      <c r="BH126" s="55"/>
      <c r="BI126" s="55"/>
      <c r="BJ126" s="55"/>
      <c r="BK126" s="56"/>
      <c r="BL126" s="56"/>
      <c r="BM126" s="56"/>
      <c r="BN126" s="56"/>
    </row>
    <row r="127" spans="3:66">
      <c r="BF127" s="54"/>
      <c r="BG127" s="55"/>
      <c r="BH127" s="55"/>
      <c r="BI127" s="55"/>
      <c r="BJ127" s="55"/>
      <c r="BK127" s="56"/>
      <c r="BL127" s="56"/>
      <c r="BM127" s="56"/>
      <c r="BN127" s="56"/>
    </row>
    <row r="128" spans="3:66">
      <c r="BF128" s="54"/>
      <c r="BG128" s="55"/>
      <c r="BH128" s="55"/>
      <c r="BI128" s="55"/>
      <c r="BJ128" s="55"/>
      <c r="BK128" s="56"/>
      <c r="BL128" s="56"/>
      <c r="BM128" s="56"/>
      <c r="BN128" s="56"/>
    </row>
    <row r="129" spans="58:66">
      <c r="BF129" s="54"/>
      <c r="BG129" s="55"/>
      <c r="BH129" s="55"/>
      <c r="BI129" s="55"/>
      <c r="BJ129" s="55"/>
      <c r="BK129" s="56"/>
      <c r="BL129" s="56"/>
      <c r="BM129" s="56"/>
      <c r="BN129" s="56"/>
    </row>
    <row r="130" spans="58:66">
      <c r="BF130" s="54"/>
      <c r="BG130" s="55"/>
      <c r="BH130" s="55"/>
      <c r="BI130" s="55"/>
      <c r="BJ130" s="55"/>
      <c r="BK130" s="56"/>
      <c r="BL130" s="56"/>
      <c r="BM130" s="56"/>
      <c r="BN130" s="56"/>
    </row>
    <row r="131" spans="58:66">
      <c r="BF131" s="54"/>
      <c r="BG131" s="55"/>
      <c r="BH131" s="55"/>
      <c r="BI131" s="55"/>
      <c r="BJ131" s="55"/>
      <c r="BK131" s="56"/>
      <c r="BL131" s="56"/>
      <c r="BM131" s="56"/>
      <c r="BN131" s="56"/>
    </row>
    <row r="132" spans="58:66">
      <c r="BF132" s="54"/>
      <c r="BG132" s="55"/>
      <c r="BH132" s="55"/>
      <c r="BI132" s="55"/>
      <c r="BJ132" s="55"/>
      <c r="BK132" s="56"/>
      <c r="BL132" s="56"/>
      <c r="BM132" s="56"/>
      <c r="BN132" s="56"/>
    </row>
    <row r="133" spans="58:66">
      <c r="BF133" s="54"/>
      <c r="BG133" s="55"/>
      <c r="BH133" s="55"/>
      <c r="BI133" s="55"/>
      <c r="BJ133" s="55"/>
      <c r="BK133" s="56"/>
      <c r="BL133" s="56"/>
      <c r="BM133" s="56"/>
      <c r="BN133" s="56"/>
    </row>
    <row r="134" spans="58:66">
      <c r="BF134" s="54"/>
      <c r="BG134" s="55"/>
      <c r="BH134" s="55"/>
      <c r="BI134" s="55"/>
      <c r="BJ134" s="55"/>
      <c r="BK134" s="56"/>
      <c r="BL134" s="56"/>
      <c r="BM134" s="56"/>
      <c r="BN134" s="56"/>
    </row>
    <row r="135" spans="58:66">
      <c r="BF135" s="54"/>
      <c r="BG135" s="55"/>
      <c r="BH135" s="55"/>
      <c r="BI135" s="55"/>
      <c r="BJ135" s="55"/>
      <c r="BK135" s="56"/>
      <c r="BL135" s="56"/>
      <c r="BM135" s="56"/>
      <c r="BN135" s="56"/>
    </row>
    <row r="136" spans="58:66">
      <c r="BF136" s="54"/>
      <c r="BG136" s="55"/>
      <c r="BH136" s="55"/>
      <c r="BI136" s="55"/>
      <c r="BJ136" s="55"/>
      <c r="BK136" s="56"/>
      <c r="BL136" s="56"/>
      <c r="BM136" s="56"/>
      <c r="BN136" s="56"/>
    </row>
    <row r="137" spans="58:66">
      <c r="BF137" s="54"/>
      <c r="BG137" s="55"/>
      <c r="BH137" s="55"/>
      <c r="BI137" s="55"/>
      <c r="BJ137" s="55"/>
      <c r="BK137" s="56"/>
      <c r="BL137" s="56"/>
      <c r="BM137" s="56"/>
      <c r="BN137" s="56"/>
    </row>
    <row r="138" spans="58:66">
      <c r="BF138" s="54"/>
      <c r="BG138" s="55"/>
      <c r="BH138" s="55"/>
      <c r="BI138" s="55"/>
      <c r="BJ138" s="55"/>
      <c r="BK138" s="56"/>
      <c r="BL138" s="56"/>
      <c r="BM138" s="56"/>
      <c r="BN138" s="56"/>
    </row>
    <row r="139" spans="58:66">
      <c r="BF139" s="54"/>
      <c r="BG139" s="55"/>
      <c r="BH139" s="55"/>
      <c r="BI139" s="55"/>
      <c r="BJ139" s="55"/>
      <c r="BK139" s="56"/>
      <c r="BL139" s="56"/>
      <c r="BM139" s="56"/>
      <c r="BN139" s="56"/>
    </row>
    <row r="140" spans="58:66">
      <c r="BF140" s="54"/>
      <c r="BG140" s="55"/>
      <c r="BH140" s="55"/>
      <c r="BI140" s="55"/>
      <c r="BJ140" s="55"/>
      <c r="BK140" s="56"/>
      <c r="BL140" s="56"/>
      <c r="BM140" s="56"/>
      <c r="BN140" s="56"/>
    </row>
    <row r="141" spans="58:66">
      <c r="BF141" s="54"/>
      <c r="BG141" s="55"/>
      <c r="BH141" s="55"/>
      <c r="BI141" s="55"/>
      <c r="BJ141" s="55"/>
      <c r="BK141" s="56"/>
      <c r="BL141" s="56"/>
      <c r="BM141" s="56"/>
      <c r="BN141" s="56"/>
    </row>
    <row r="142" spans="58:66">
      <c r="BF142" s="54"/>
      <c r="BG142" s="55"/>
      <c r="BH142" s="55"/>
      <c r="BI142" s="55"/>
      <c r="BJ142" s="55"/>
      <c r="BK142" s="56"/>
      <c r="BL142" s="56"/>
      <c r="BM142" s="56"/>
      <c r="BN142" s="56"/>
    </row>
    <row r="143" spans="58:66">
      <c r="BF143" s="54"/>
      <c r="BG143" s="55"/>
      <c r="BH143" s="55"/>
      <c r="BI143" s="55"/>
      <c r="BJ143" s="55"/>
      <c r="BK143" s="56"/>
      <c r="BL143" s="56"/>
      <c r="BM143" s="56"/>
      <c r="BN143" s="56"/>
    </row>
    <row r="144" spans="58:66">
      <c r="BF144" s="54"/>
      <c r="BG144" s="55"/>
      <c r="BH144" s="55"/>
      <c r="BI144" s="55"/>
      <c r="BJ144" s="55"/>
      <c r="BK144" s="56"/>
      <c r="BL144" s="56"/>
      <c r="BM144" s="56"/>
      <c r="BN144" s="56"/>
    </row>
    <row r="145" spans="58:66">
      <c r="BF145" s="54"/>
      <c r="BG145" s="55"/>
      <c r="BH145" s="55"/>
      <c r="BI145" s="55"/>
      <c r="BJ145" s="55"/>
      <c r="BK145" s="56"/>
      <c r="BL145" s="56"/>
      <c r="BM145" s="56"/>
      <c r="BN145" s="56"/>
    </row>
    <row r="146" spans="58:66">
      <c r="BF146" s="54"/>
      <c r="BG146" s="55"/>
      <c r="BH146" s="55"/>
      <c r="BI146" s="55"/>
      <c r="BJ146" s="55"/>
      <c r="BK146" s="56"/>
      <c r="BL146" s="56"/>
      <c r="BM146" s="56"/>
      <c r="BN146" s="56"/>
    </row>
    <row r="147" spans="58:66">
      <c r="BF147" s="54"/>
      <c r="BG147" s="55"/>
      <c r="BH147" s="55"/>
      <c r="BI147" s="55"/>
      <c r="BJ147" s="55"/>
      <c r="BK147" s="56"/>
      <c r="BL147" s="56"/>
      <c r="BM147" s="56"/>
      <c r="BN147" s="56"/>
    </row>
    <row r="148" spans="58:66">
      <c r="BF148" s="54"/>
      <c r="BG148" s="55"/>
      <c r="BH148" s="55"/>
      <c r="BI148" s="55"/>
      <c r="BJ148" s="55"/>
      <c r="BK148" s="56"/>
      <c r="BL148" s="56"/>
      <c r="BM148" s="56"/>
      <c r="BN148" s="56"/>
    </row>
    <row r="149" spans="58:66">
      <c r="BF149" s="54"/>
      <c r="BG149" s="55"/>
      <c r="BH149" s="55"/>
      <c r="BI149" s="55"/>
      <c r="BJ149" s="55"/>
      <c r="BK149" s="56"/>
      <c r="BL149" s="56"/>
      <c r="BM149" s="56"/>
      <c r="BN149" s="56"/>
    </row>
    <row r="150" spans="58:66">
      <c r="BF150" s="54"/>
      <c r="BG150" s="55"/>
      <c r="BH150" s="55"/>
      <c r="BI150" s="55"/>
      <c r="BJ150" s="55"/>
      <c r="BK150" s="56"/>
      <c r="BL150" s="56"/>
      <c r="BM150" s="56"/>
      <c r="BN150" s="56"/>
    </row>
    <row r="151" spans="58:66">
      <c r="BF151" s="54"/>
      <c r="BG151" s="55"/>
      <c r="BH151" s="55"/>
      <c r="BI151" s="55"/>
      <c r="BJ151" s="55"/>
      <c r="BK151" s="56"/>
      <c r="BL151" s="56"/>
      <c r="BM151" s="56"/>
      <c r="BN151" s="56"/>
    </row>
    <row r="152" spans="58:66">
      <c r="BF152" s="54"/>
      <c r="BG152" s="55"/>
      <c r="BH152" s="55"/>
      <c r="BI152" s="55"/>
      <c r="BJ152" s="55"/>
      <c r="BK152" s="56"/>
      <c r="BL152" s="56"/>
      <c r="BM152" s="56"/>
      <c r="BN152" s="56"/>
    </row>
    <row r="153" spans="58:66">
      <c r="BF153" s="54"/>
      <c r="BG153" s="55"/>
      <c r="BH153" s="55"/>
      <c r="BI153" s="55"/>
      <c r="BJ153" s="55"/>
      <c r="BK153" s="56"/>
      <c r="BL153" s="56"/>
      <c r="BM153" s="56"/>
      <c r="BN153" s="56"/>
    </row>
    <row r="154" spans="58:66">
      <c r="BF154" s="54"/>
      <c r="BG154" s="55"/>
      <c r="BH154" s="55"/>
      <c r="BI154" s="55"/>
      <c r="BJ154" s="55"/>
      <c r="BK154" s="56"/>
      <c r="BL154" s="56"/>
      <c r="BM154" s="56"/>
      <c r="BN154" s="56"/>
    </row>
    <row r="155" spans="58:66">
      <c r="BF155" s="54"/>
      <c r="BG155" s="55"/>
      <c r="BH155" s="55"/>
      <c r="BI155" s="55"/>
      <c r="BJ155" s="55"/>
      <c r="BK155" s="56"/>
      <c r="BL155" s="56"/>
      <c r="BM155" s="56"/>
      <c r="BN155" s="56"/>
    </row>
    <row r="156" spans="58:66">
      <c r="BF156" s="54"/>
      <c r="BG156" s="55"/>
      <c r="BH156" s="55"/>
      <c r="BI156" s="55"/>
      <c r="BJ156" s="55"/>
      <c r="BK156" s="56"/>
      <c r="BL156" s="56"/>
      <c r="BM156" s="56"/>
      <c r="BN156" s="56"/>
    </row>
    <row r="157" spans="58:66">
      <c r="BF157" s="54"/>
      <c r="BG157" s="55"/>
      <c r="BH157" s="55"/>
      <c r="BI157" s="55"/>
      <c r="BJ157" s="55"/>
      <c r="BK157" s="56"/>
      <c r="BL157" s="56"/>
      <c r="BM157" s="56"/>
      <c r="BN157" s="56"/>
    </row>
    <row r="158" spans="58:66">
      <c r="BF158" s="54"/>
      <c r="BG158" s="55"/>
      <c r="BH158" s="55"/>
      <c r="BI158" s="55"/>
      <c r="BJ158" s="55"/>
      <c r="BK158" s="56"/>
      <c r="BL158" s="56"/>
      <c r="BM158" s="56"/>
      <c r="BN158" s="56"/>
    </row>
    <row r="159" spans="58:66">
      <c r="BF159" s="54"/>
      <c r="BG159" s="55"/>
      <c r="BH159" s="55"/>
      <c r="BI159" s="55"/>
      <c r="BJ159" s="55"/>
      <c r="BK159" s="56"/>
      <c r="BL159" s="56"/>
      <c r="BM159" s="56"/>
      <c r="BN159" s="56"/>
    </row>
    <row r="160" spans="58:66">
      <c r="BF160" s="54"/>
      <c r="BG160" s="55"/>
      <c r="BH160" s="55"/>
      <c r="BI160" s="55"/>
      <c r="BJ160" s="55"/>
      <c r="BK160" s="56"/>
      <c r="BL160" s="56"/>
      <c r="BM160" s="56"/>
      <c r="BN160" s="56"/>
    </row>
    <row r="161" spans="42:66">
      <c r="BF161" s="54"/>
      <c r="BG161" s="55"/>
      <c r="BH161" s="55"/>
      <c r="BI161" s="55"/>
      <c r="BJ161" s="55"/>
      <c r="BK161" s="56"/>
      <c r="BL161" s="56"/>
      <c r="BM161" s="56"/>
      <c r="BN161" s="56"/>
    </row>
    <row r="162" spans="42:66">
      <c r="BF162" s="54"/>
      <c r="BG162" s="55"/>
      <c r="BH162" s="55"/>
      <c r="BI162" s="55"/>
      <c r="BJ162" s="55"/>
      <c r="BK162" s="56"/>
      <c r="BL162" s="56"/>
      <c r="BM162" s="56"/>
      <c r="BN162" s="56"/>
    </row>
    <row r="163" spans="42:66">
      <c r="BF163" s="54"/>
      <c r="BG163" s="55"/>
      <c r="BH163" s="55"/>
      <c r="BI163" s="55"/>
      <c r="BJ163" s="55"/>
      <c r="BK163" s="56"/>
      <c r="BL163" s="56"/>
      <c r="BM163" s="56"/>
      <c r="BN163" s="56"/>
    </row>
    <row r="164" spans="42:66">
      <c r="BF164" s="54"/>
      <c r="BG164" s="55"/>
      <c r="BH164" s="55"/>
      <c r="BI164" s="55"/>
      <c r="BJ164" s="55"/>
      <c r="BK164" s="56"/>
      <c r="BL164" s="56"/>
      <c r="BM164" s="56"/>
      <c r="BN164" s="56"/>
    </row>
    <row r="165" spans="42:66">
      <c r="BF165" s="54"/>
      <c r="BG165" s="55"/>
      <c r="BH165" s="55"/>
      <c r="BI165" s="55"/>
      <c r="BJ165" s="55"/>
      <c r="BK165" s="56"/>
      <c r="BL165" s="56"/>
      <c r="BM165" s="56"/>
      <c r="BN165" s="56"/>
    </row>
    <row r="166" spans="42:66">
      <c r="BF166" s="54"/>
      <c r="BG166" s="55"/>
      <c r="BH166" s="55"/>
      <c r="BI166" s="55"/>
      <c r="BJ166" s="55"/>
      <c r="BK166" s="56"/>
      <c r="BL166" s="56"/>
      <c r="BM166" s="56"/>
      <c r="BN166" s="56"/>
    </row>
    <row r="167" spans="42:66">
      <c r="BF167" s="54"/>
      <c r="BG167" s="55"/>
      <c r="BH167" s="55"/>
      <c r="BI167" s="55"/>
      <c r="BJ167" s="55"/>
      <c r="BK167" s="56"/>
      <c r="BL167" s="56"/>
      <c r="BM167" s="56"/>
      <c r="BN167" s="56"/>
    </row>
    <row r="168" spans="42:66">
      <c r="BF168" s="54"/>
      <c r="BG168" s="55"/>
      <c r="BH168" s="55"/>
      <c r="BI168" s="55"/>
      <c r="BJ168" s="55"/>
      <c r="BK168" s="56"/>
      <c r="BL168" s="56"/>
      <c r="BM168" s="56"/>
      <c r="BN168" s="56"/>
    </row>
    <row r="169" spans="42:66">
      <c r="AP169" s="55"/>
      <c r="AQ169" s="55"/>
      <c r="AR169" s="55"/>
      <c r="AS169" s="55"/>
      <c r="BF169" s="54"/>
      <c r="BG169" s="55"/>
      <c r="BH169" s="55"/>
      <c r="BI169" s="55"/>
      <c r="BJ169" s="55"/>
      <c r="BK169" s="56"/>
      <c r="BL169" s="56"/>
      <c r="BM169" s="56"/>
      <c r="BN169" s="56"/>
    </row>
    <row r="170" spans="42:66">
      <c r="AP170" s="55"/>
      <c r="AQ170" s="55"/>
      <c r="AR170" s="55"/>
      <c r="AS170" s="55"/>
      <c r="BF170" s="54"/>
      <c r="BG170" s="55"/>
      <c r="BH170" s="55"/>
      <c r="BI170" s="55"/>
      <c r="BJ170" s="55"/>
      <c r="BK170" s="56"/>
      <c r="BL170" s="56"/>
      <c r="BM170" s="56"/>
      <c r="BN170" s="56"/>
    </row>
    <row r="171" spans="42:66">
      <c r="AP171" s="55"/>
      <c r="AQ171" s="55"/>
      <c r="AR171" s="55"/>
      <c r="AS171" s="55"/>
    </row>
    <row r="172" spans="42:66">
      <c r="AP172" s="55"/>
      <c r="AQ172" s="55"/>
      <c r="AR172" s="55"/>
      <c r="AS172" s="55"/>
    </row>
  </sheetData>
  <sortState ref="I26:I34">
    <sortCondition ref="I25"/>
  </sortState>
  <mergeCells count="26">
    <mergeCell ref="A46:B46"/>
    <mergeCell ref="Z89:AH89"/>
    <mergeCell ref="X1:AE1"/>
    <mergeCell ref="AF1:AM1"/>
    <mergeCell ref="E10:E13"/>
    <mergeCell ref="Z72:AH72"/>
    <mergeCell ref="AI72:AQ72"/>
    <mergeCell ref="AI89:AQ89"/>
    <mergeCell ref="A43:B43"/>
    <mergeCell ref="A44:B44"/>
    <mergeCell ref="AN1:AU1"/>
    <mergeCell ref="AV1:BC1"/>
    <mergeCell ref="AR43:AT43"/>
    <mergeCell ref="H2:I2"/>
    <mergeCell ref="J2:K2"/>
    <mergeCell ref="L2:M2"/>
    <mergeCell ref="N2:O2"/>
    <mergeCell ref="P2:Q2"/>
    <mergeCell ref="Z42:AH42"/>
    <mergeCell ref="AI42:AP42"/>
    <mergeCell ref="J42:K42"/>
    <mergeCell ref="P42:R42"/>
    <mergeCell ref="L42:M42"/>
    <mergeCell ref="N42:O42"/>
    <mergeCell ref="D42:I42"/>
    <mergeCell ref="S42:W42"/>
  </mergeCells>
  <conditionalFormatting sqref="X4:BC4">
    <cfRule type="top10" dxfId="68" priority="85" percent="1" bottom="1" rank="10"/>
    <cfRule type="top10" dxfId="67" priority="86" percent="1" rank="10"/>
  </conditionalFormatting>
  <conditionalFormatting sqref="X5:BC5">
    <cfRule type="top10" dxfId="66" priority="83" percent="1" bottom="1" rank="10"/>
    <cfRule type="top10" dxfId="65" priority="84" percent="1" rank="10"/>
  </conditionalFormatting>
  <conditionalFormatting sqref="X6:BC6">
    <cfRule type="top10" dxfId="64" priority="81" percent="1" bottom="1" rank="10"/>
    <cfRule type="top10" dxfId="63" priority="82" percent="1" rank="10"/>
  </conditionalFormatting>
  <conditionalFormatting sqref="X7:BC13">
    <cfRule type="top10" dxfId="62" priority="79" percent="1" bottom="1" rank="10"/>
    <cfRule type="top10" dxfId="61" priority="80" percent="1" rank="10"/>
  </conditionalFormatting>
  <conditionalFormatting sqref="X24:BC24">
    <cfRule type="top10" dxfId="60" priority="51" percent="1" bottom="1" rank="10"/>
    <cfRule type="top10" dxfId="59" priority="52" percent="1" rank="10"/>
  </conditionalFormatting>
  <conditionalFormatting sqref="X25:BC25">
    <cfRule type="top10" dxfId="58" priority="49" percent="1" bottom="1" rank="10"/>
    <cfRule type="top10" dxfId="57" priority="50" percent="1" rank="10"/>
  </conditionalFormatting>
  <conditionalFormatting sqref="X26:BC26">
    <cfRule type="top10" dxfId="56" priority="47" percent="1" bottom="1" rank="10"/>
    <cfRule type="top10" dxfId="55" priority="48" percent="1" rank="10"/>
  </conditionalFormatting>
  <conditionalFormatting sqref="X27:BC27">
    <cfRule type="top10" dxfId="54" priority="45" percent="1" bottom="1" rank="10"/>
    <cfRule type="top10" dxfId="53" priority="46" percent="1" rank="10"/>
  </conditionalFormatting>
  <conditionalFormatting sqref="X30:BC30">
    <cfRule type="top10" dxfId="52" priority="43" percent="1" bottom="1" rank="10"/>
    <cfRule type="top10" dxfId="51" priority="44" percent="1" rank="10"/>
  </conditionalFormatting>
  <conditionalFormatting sqref="X31:BC31">
    <cfRule type="top10" dxfId="50" priority="41" percent="1" bottom="1" rank="10"/>
    <cfRule type="top10" dxfId="49" priority="42" percent="1" rank="10"/>
  </conditionalFormatting>
  <conditionalFormatting sqref="X32:BC32">
    <cfRule type="top10" dxfId="48" priority="39" percent="1" bottom="1" rank="10"/>
    <cfRule type="top10" dxfId="47" priority="40" percent="1" rank="10"/>
  </conditionalFormatting>
  <conditionalFormatting sqref="X33:BC33">
    <cfRule type="top10" dxfId="46" priority="37" percent="1" bottom="1" rank="10"/>
    <cfRule type="top10" dxfId="45" priority="38" percent="1" rank="10"/>
  </conditionalFormatting>
  <conditionalFormatting sqref="X36:BC36">
    <cfRule type="top10" dxfId="44" priority="35" percent="1" bottom="1" rank="10"/>
    <cfRule type="top10" dxfId="43" priority="36" percent="1" rank="10"/>
  </conditionalFormatting>
  <conditionalFormatting sqref="X37:BC37">
    <cfRule type="top10" dxfId="42" priority="33" percent="1" bottom="1" rank="10"/>
    <cfRule type="top10" dxfId="41" priority="34" percent="1" rank="10"/>
  </conditionalFormatting>
  <conditionalFormatting sqref="X38:BC38">
    <cfRule type="top10" dxfId="40" priority="31" percent="1" bottom="1" rank="10"/>
    <cfRule type="top10" dxfId="39" priority="32" percent="1" rank="10"/>
  </conditionalFormatting>
  <conditionalFormatting sqref="X39:BC39">
    <cfRule type="top10" dxfId="38" priority="29" percent="1" bottom="1" rank="10"/>
    <cfRule type="top10" dxfId="37" priority="30" percent="1" rank="10"/>
  </conditionalFormatting>
  <conditionalFormatting sqref="X6">
    <cfRule type="top10" dxfId="36" priority="27" percent="1" bottom="1" rank="10"/>
    <cfRule type="top10" dxfId="35" priority="28" percent="1" rank="10"/>
  </conditionalFormatting>
  <conditionalFormatting sqref="Y6:BC6">
    <cfRule type="top10" dxfId="34" priority="25" percent="1" bottom="1" rank="10"/>
    <cfRule type="top10" dxfId="33" priority="26" percent="1" rank="10"/>
  </conditionalFormatting>
  <conditionalFormatting sqref="X9:BC9 X13:BC13">
    <cfRule type="top10" dxfId="32" priority="19" percent="1" bottom="1" rank="10"/>
    <cfRule type="top10" dxfId="31" priority="20" percent="1" rank="10"/>
  </conditionalFormatting>
  <conditionalFormatting sqref="X10:BC10">
    <cfRule type="top10" dxfId="30" priority="17" percent="1" bottom="1" rank="10"/>
    <cfRule type="top10" dxfId="29" priority="18" percent="1" rank="10"/>
  </conditionalFormatting>
  <conditionalFormatting sqref="X11:BC11">
    <cfRule type="top10" dxfId="28" priority="15" percent="1" bottom="1" rank="10"/>
    <cfRule type="top10" dxfId="27" priority="16" percent="1" rank="10"/>
  </conditionalFormatting>
  <conditionalFormatting sqref="X18:BC18">
    <cfRule type="top10" dxfId="26" priority="11" percent="1" bottom="1" rank="10"/>
    <cfRule type="top10" dxfId="25" priority="12" percent="1" rank="10"/>
  </conditionalFormatting>
  <conditionalFormatting sqref="X19:BC19">
    <cfRule type="top10" dxfId="24" priority="9" percent="1" bottom="1" rank="10"/>
    <cfRule type="top10" dxfId="23" priority="10" percent="1" rank="10"/>
  </conditionalFormatting>
  <conditionalFormatting sqref="X20:BC20">
    <cfRule type="top10" dxfId="22" priority="7" percent="1" bottom="1" rank="10"/>
    <cfRule type="top10" dxfId="21" priority="8" percent="1" rank="10"/>
  </conditionalFormatting>
  <conditionalFormatting sqref="X21:BC21">
    <cfRule type="top10" dxfId="20" priority="5" percent="1" bottom="1" rank="10"/>
    <cfRule type="top10" dxfId="19" priority="6" percent="1" rank="10"/>
  </conditionalFormatting>
  <conditionalFormatting sqref="C44:C124">
    <cfRule type="expression" dxfId="18" priority="3">
      <formula>AND((G44&lt;0.999),(H44&gt;=0.1))</formula>
    </cfRule>
  </conditionalFormatting>
  <conditionalFormatting sqref="G44:G124">
    <cfRule type="cellIs" dxfId="17" priority="2" operator="greaterThanOrEqual">
      <formula>0.999</formula>
    </cfRule>
  </conditionalFormatting>
  <conditionalFormatting sqref="H44:H124">
    <cfRule type="cellIs" dxfId="16" priority="1" operator="lessThan">
      <formula>0.1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V166"/>
  <sheetViews>
    <sheetView zoomScale="90" zoomScaleNormal="90" workbookViewId="0">
      <pane xSplit="9870" ySplit="7545" topLeftCell="A75" activePane="bottomLeft"/>
      <selection activeCell="B2" sqref="B2:AG87"/>
      <selection pane="topRight" activeCell="AV25" sqref="AV25"/>
      <selection pane="bottomLeft" activeCell="B89" sqref="B89"/>
      <selection pane="bottomRight" activeCell="B2" sqref="B2:AG87"/>
    </sheetView>
  </sheetViews>
  <sheetFormatPr defaultRowHeight="15"/>
  <cols>
    <col min="1" max="1" width="10.85546875" bestFit="1" customWidth="1"/>
    <col min="2" max="33" width="7.42578125" customWidth="1"/>
    <col min="40" max="40" width="10.5703125" bestFit="1" customWidth="1"/>
  </cols>
  <sheetData>
    <row r="1" spans="1:48">
      <c r="A1" t="s">
        <v>23</v>
      </c>
      <c r="B1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  <c r="AH1" s="22" t="s">
        <v>33</v>
      </c>
      <c r="AI1" s="22" t="s">
        <v>34</v>
      </c>
      <c r="AJ1" s="22" t="s">
        <v>35</v>
      </c>
      <c r="AK1" s="1">
        <f>MIN(AJ2:AJ82)</f>
        <v>0.10857843137254898</v>
      </c>
      <c r="AL1">
        <v>2.6484999999999999</v>
      </c>
      <c r="AM1">
        <v>-0.94899999999999995</v>
      </c>
      <c r="AN1" s="22" t="s">
        <v>36</v>
      </c>
    </row>
    <row r="2" spans="1:48">
      <c r="A2" s="2">
        <f>Calculations!B3</f>
        <v>1.6</v>
      </c>
      <c r="B2" s="1">
        <v>0.999</v>
      </c>
      <c r="C2" s="1">
        <v>0.999</v>
      </c>
      <c r="D2" s="1">
        <v>0.999</v>
      </c>
      <c r="E2" s="1">
        <v>0.999</v>
      </c>
      <c r="F2" s="1">
        <v>0.999</v>
      </c>
      <c r="G2" s="1">
        <v>0.999</v>
      </c>
      <c r="H2" s="1">
        <v>0.999</v>
      </c>
      <c r="I2" s="1">
        <v>0.999</v>
      </c>
      <c r="J2" s="1">
        <v>0.999</v>
      </c>
      <c r="K2" s="1">
        <v>0.999</v>
      </c>
      <c r="L2" s="1">
        <v>0.999</v>
      </c>
      <c r="M2" s="1">
        <v>0.999</v>
      </c>
      <c r="N2" s="1">
        <v>0.999</v>
      </c>
      <c r="O2" s="1">
        <v>0.999</v>
      </c>
      <c r="P2" s="1">
        <v>0.999</v>
      </c>
      <c r="Q2" s="1">
        <v>0.999</v>
      </c>
      <c r="R2" s="1">
        <v>0.999</v>
      </c>
      <c r="S2" s="1">
        <v>0.999</v>
      </c>
      <c r="T2" s="1">
        <v>0.999</v>
      </c>
      <c r="U2" s="1">
        <v>0.999</v>
      </c>
      <c r="V2" s="1">
        <v>0.999</v>
      </c>
      <c r="W2" s="1">
        <v>0.999</v>
      </c>
      <c r="X2" s="1">
        <v>0.999</v>
      </c>
      <c r="Y2" s="1">
        <v>0.999</v>
      </c>
      <c r="Z2" s="1">
        <v>0.999</v>
      </c>
      <c r="AA2" s="1">
        <v>0.999</v>
      </c>
      <c r="AB2" s="1">
        <v>0.999</v>
      </c>
      <c r="AC2" s="1">
        <v>0.999</v>
      </c>
      <c r="AD2" s="1">
        <v>0.999</v>
      </c>
      <c r="AE2" s="1">
        <v>0.999</v>
      </c>
      <c r="AF2" s="1">
        <v>0.999</v>
      </c>
      <c r="AG2" s="1">
        <v>0.999</v>
      </c>
      <c r="AH2" s="1">
        <f>MAX(B2:AG2)</f>
        <v>0.999</v>
      </c>
      <c r="AI2" s="16">
        <f>A2</f>
        <v>1.6</v>
      </c>
      <c r="AJ2" s="1">
        <f>AVERAGE(B2:AG2)</f>
        <v>0.99899999999999956</v>
      </c>
      <c r="AK2" s="1">
        <f>AJ2-AK$1</f>
        <v>0.89042156862745059</v>
      </c>
      <c r="AL2">
        <f>AK$1+AL$1*AI2^AM$1</f>
        <v>1.8040484471689544</v>
      </c>
      <c r="AN2" s="22" t="s">
        <v>21</v>
      </c>
      <c r="AP2" s="83" t="str">
        <f>"Characteristic Proximity Curve (Offset = "&amp;INT(AK1*1000)/10&amp;"% removed)"</f>
        <v>Characteristic Proximity Curve (Offset = 10.8% removed)</v>
      </c>
      <c r="AQ2" s="83"/>
      <c r="AR2" s="83"/>
      <c r="AS2" s="83"/>
      <c r="AT2" s="83"/>
      <c r="AU2" s="83"/>
      <c r="AV2" s="83"/>
    </row>
    <row r="3" spans="1:48">
      <c r="A3" s="2">
        <f>A2+Calculations!$B$4</f>
        <v>2.6</v>
      </c>
      <c r="B3" s="1">
        <v>0.999</v>
      </c>
      <c r="C3" s="1">
        <v>0.999</v>
      </c>
      <c r="D3" s="1">
        <v>0.999</v>
      </c>
      <c r="E3" s="1">
        <v>0.999</v>
      </c>
      <c r="F3" s="1">
        <v>0.999</v>
      </c>
      <c r="G3" s="1">
        <v>0.999</v>
      </c>
      <c r="H3" s="1">
        <v>0.999</v>
      </c>
      <c r="I3" s="1">
        <v>0.999</v>
      </c>
      <c r="J3" s="1">
        <v>0.999</v>
      </c>
      <c r="K3" s="1">
        <v>0.999</v>
      </c>
      <c r="L3" s="1">
        <v>0.999</v>
      </c>
      <c r="M3" s="1">
        <v>0.999</v>
      </c>
      <c r="N3" s="1">
        <v>0.999</v>
      </c>
      <c r="O3" s="1">
        <v>0.999</v>
      </c>
      <c r="P3" s="1">
        <v>0.999</v>
      </c>
      <c r="Q3" s="1">
        <v>0.999</v>
      </c>
      <c r="R3" s="1">
        <v>0.999</v>
      </c>
      <c r="S3" s="1">
        <v>0.999</v>
      </c>
      <c r="T3" s="1">
        <v>0.999</v>
      </c>
      <c r="U3" s="1">
        <v>0.999</v>
      </c>
      <c r="V3" s="1">
        <v>0.999</v>
      </c>
      <c r="W3" s="1">
        <v>0.999</v>
      </c>
      <c r="X3" s="1">
        <v>0.999</v>
      </c>
      <c r="Y3" s="1">
        <v>0.999</v>
      </c>
      <c r="Z3" s="1">
        <v>0.999</v>
      </c>
      <c r="AA3" s="1">
        <v>0.999</v>
      </c>
      <c r="AB3" s="1">
        <v>0.999</v>
      </c>
      <c r="AC3" s="1">
        <v>0.999</v>
      </c>
      <c r="AD3" s="1">
        <v>0.999</v>
      </c>
      <c r="AE3" s="1">
        <v>0.999</v>
      </c>
      <c r="AF3" s="1">
        <v>0.999</v>
      </c>
      <c r="AG3" s="1">
        <v>0.999</v>
      </c>
      <c r="AH3" s="1">
        <f t="shared" ref="AH3:AH66" si="1">MAX(B3:AG3)</f>
        <v>0.999</v>
      </c>
      <c r="AI3" s="16">
        <f t="shared" ref="AI3:AI66" si="2">A3</f>
        <v>2.6</v>
      </c>
      <c r="AJ3" s="1">
        <f t="shared" ref="AJ3:AJ66" si="3">AVERAGE(B3:AG3)</f>
        <v>0.99899999999999956</v>
      </c>
      <c r="AK3" s="1">
        <f t="shared" ref="AK3:AK66" si="4">AJ3-AK$1</f>
        <v>0.89042156862745059</v>
      </c>
      <c r="AL3" s="17">
        <f t="shared" ref="AL3:AL24" si="5">AK$1+AL$1*AI3^AM$1</f>
        <v>1.1781017800221061</v>
      </c>
      <c r="AM3" s="27">
        <f t="shared" ref="AM3:AM5" si="6">AL3-AK$1</f>
        <v>1.069523348649557</v>
      </c>
      <c r="AN3" s="1">
        <f t="shared" ref="AN3:AN5" si="7">AM3</f>
        <v>1.069523348649557</v>
      </c>
      <c r="AP3" s="110" t="str">
        <f>"Both:" &amp;AI5 &amp; " - " &amp;AI20&amp; "mm"</f>
        <v>Both:4.6 - 19.6mm</v>
      </c>
      <c r="AQ3" s="110"/>
      <c r="AS3" s="111" t="str">
        <f>"Offset Adjust="&amp;INT(Calculations!H10*1000)/10&amp;"%"</f>
        <v>Offset Adjust=481.3%</v>
      </c>
      <c r="AT3" s="111"/>
      <c r="AU3" s="111"/>
    </row>
    <row r="4" spans="1:48">
      <c r="A4" s="2">
        <f>A3+Calculations!$B$4</f>
        <v>3.6</v>
      </c>
      <c r="B4" s="1">
        <v>0.999</v>
      </c>
      <c r="C4" s="1">
        <v>0.999</v>
      </c>
      <c r="D4" s="1">
        <v>0.999</v>
      </c>
      <c r="E4" s="1">
        <v>0.999</v>
      </c>
      <c r="F4" s="1">
        <v>0.999</v>
      </c>
      <c r="G4" s="1">
        <v>0.999</v>
      </c>
      <c r="H4" s="1">
        <v>0.999</v>
      </c>
      <c r="I4" s="1">
        <v>0.999</v>
      </c>
      <c r="J4" s="1">
        <v>0.999</v>
      </c>
      <c r="K4" s="1">
        <v>0.999</v>
      </c>
      <c r="L4" s="1">
        <v>0.999</v>
      </c>
      <c r="M4" s="1">
        <v>0.999</v>
      </c>
      <c r="N4" s="1">
        <v>0.999</v>
      </c>
      <c r="O4" s="1">
        <v>0.999</v>
      </c>
      <c r="P4" s="1">
        <v>0.999</v>
      </c>
      <c r="Q4" s="1">
        <v>0.999</v>
      </c>
      <c r="R4" s="1">
        <v>0.999</v>
      </c>
      <c r="S4" s="1">
        <v>0.999</v>
      </c>
      <c r="T4" s="1">
        <v>0.999</v>
      </c>
      <c r="U4" s="1">
        <v>0.999</v>
      </c>
      <c r="V4" s="1">
        <v>0.999</v>
      </c>
      <c r="W4" s="1">
        <v>0.999</v>
      </c>
      <c r="X4" s="1">
        <v>0.999</v>
      </c>
      <c r="Y4" s="1">
        <v>0.999</v>
      </c>
      <c r="Z4" s="1">
        <v>0.999</v>
      </c>
      <c r="AA4" s="1">
        <v>0.999</v>
      </c>
      <c r="AB4" s="1">
        <v>0.999</v>
      </c>
      <c r="AC4" s="1">
        <v>0.999</v>
      </c>
      <c r="AD4" s="1">
        <v>0.999</v>
      </c>
      <c r="AE4" s="1">
        <v>0.999</v>
      </c>
      <c r="AF4" s="1">
        <v>0.999</v>
      </c>
      <c r="AG4" s="1">
        <v>0.999</v>
      </c>
      <c r="AH4" s="1">
        <f t="shared" si="1"/>
        <v>0.999</v>
      </c>
      <c r="AI4" s="16">
        <f t="shared" si="2"/>
        <v>3.6</v>
      </c>
      <c r="AJ4" s="1">
        <f t="shared" si="3"/>
        <v>0.99899999999999956</v>
      </c>
      <c r="AK4" s="1">
        <f t="shared" si="4"/>
        <v>0.89042156862745059</v>
      </c>
      <c r="AL4" s="17">
        <f t="shared" si="5"/>
        <v>0.89393865932867533</v>
      </c>
      <c r="AM4" s="27">
        <f t="shared" si="6"/>
        <v>0.78536022795612637</v>
      </c>
      <c r="AN4" s="1">
        <f t="shared" si="7"/>
        <v>0.78536022795612637</v>
      </c>
      <c r="AP4" s="83" t="str">
        <f>"Y="&amp;AL1&amp;"X^"&amp;AM1</f>
        <v>Y=2.6485X^-0.949</v>
      </c>
      <c r="AQ4" s="83"/>
      <c r="AS4" s="112" t="str">
        <f>Summary!I6&amp;Summary!L6*100&amp;"%"</f>
        <v>Glass Xmit @850nm=77%</v>
      </c>
      <c r="AT4" s="112"/>
      <c r="AU4" s="112"/>
    </row>
    <row r="5" spans="1:48">
      <c r="A5" s="2">
        <f>A4+Calculations!$B$4</f>
        <v>4.5999999999999996</v>
      </c>
      <c r="B5" s="1">
        <v>0.999</v>
      </c>
      <c r="C5" s="1">
        <v>0.999</v>
      </c>
      <c r="D5" s="1">
        <v>0.999</v>
      </c>
      <c r="E5" s="1">
        <v>0.999</v>
      </c>
      <c r="F5" s="1">
        <v>0.999</v>
      </c>
      <c r="G5" s="1">
        <v>0.999</v>
      </c>
      <c r="H5" s="1">
        <v>0.999</v>
      </c>
      <c r="I5" s="1">
        <v>0.999</v>
      </c>
      <c r="J5" s="1">
        <v>0.999</v>
      </c>
      <c r="K5" s="1">
        <v>0.999</v>
      </c>
      <c r="L5" s="1">
        <v>0.999</v>
      </c>
      <c r="M5" s="1">
        <v>0.999</v>
      </c>
      <c r="N5" s="1">
        <v>0.999</v>
      </c>
      <c r="O5" s="1">
        <v>0.999</v>
      </c>
      <c r="P5" s="1">
        <v>0.999</v>
      </c>
      <c r="Q5" s="1">
        <v>0.999</v>
      </c>
      <c r="R5" s="1">
        <v>0.999</v>
      </c>
      <c r="S5" s="1">
        <v>0.999</v>
      </c>
      <c r="T5" s="1">
        <v>0.999</v>
      </c>
      <c r="U5" s="1">
        <v>0.999</v>
      </c>
      <c r="V5" s="1">
        <v>0.999</v>
      </c>
      <c r="W5" s="1">
        <v>0.999</v>
      </c>
      <c r="X5" s="1">
        <v>0.999</v>
      </c>
      <c r="Y5" s="1">
        <v>0.999</v>
      </c>
      <c r="Z5" s="1">
        <v>0.999</v>
      </c>
      <c r="AA5" s="1">
        <v>0.999</v>
      </c>
      <c r="AB5" s="1">
        <v>0.999</v>
      </c>
      <c r="AC5" s="1">
        <v>0.999</v>
      </c>
      <c r="AD5" s="1">
        <v>0.999</v>
      </c>
      <c r="AE5" s="1">
        <v>0.999</v>
      </c>
      <c r="AF5" s="1">
        <v>0.999</v>
      </c>
      <c r="AG5" s="1">
        <v>0.999</v>
      </c>
      <c r="AH5" s="1">
        <f t="shared" si="1"/>
        <v>0.999</v>
      </c>
      <c r="AI5" s="28">
        <f t="shared" si="2"/>
        <v>4.5999999999999996</v>
      </c>
      <c r="AJ5" s="1">
        <f t="shared" si="3"/>
        <v>0.99899999999999956</v>
      </c>
      <c r="AK5" s="1">
        <f t="shared" si="4"/>
        <v>0.89042156862745059</v>
      </c>
      <c r="AL5" s="17">
        <f t="shared" si="5"/>
        <v>0.7309400404994898</v>
      </c>
      <c r="AM5" s="27">
        <f t="shared" si="6"/>
        <v>0.62236160912694083</v>
      </c>
      <c r="AN5" s="1">
        <f t="shared" si="7"/>
        <v>0.62236160912694083</v>
      </c>
      <c r="AS5" s="109" t="str">
        <f>Summary!I7&amp;Summary!L7*100&amp;"%"</f>
        <v>Target Reflection=6%</v>
      </c>
      <c r="AT5" s="109"/>
      <c r="AU5" s="109"/>
    </row>
    <row r="6" spans="1:48">
      <c r="A6" s="2">
        <f>A5+Calculations!$B$4</f>
        <v>5.6</v>
      </c>
      <c r="B6" s="1">
        <v>0.999</v>
      </c>
      <c r="C6" s="1">
        <v>0.999</v>
      </c>
      <c r="D6" s="1">
        <v>0.999</v>
      </c>
      <c r="E6" s="1">
        <v>0.999</v>
      </c>
      <c r="F6" s="1">
        <v>0.999</v>
      </c>
      <c r="G6" s="1">
        <v>0.999</v>
      </c>
      <c r="H6" s="1">
        <v>0.999</v>
      </c>
      <c r="I6" s="1">
        <v>0.999</v>
      </c>
      <c r="J6" s="1">
        <v>0.999</v>
      </c>
      <c r="K6" s="1">
        <v>0.999</v>
      </c>
      <c r="L6" s="1">
        <v>0.999</v>
      </c>
      <c r="M6" s="1">
        <v>0.999</v>
      </c>
      <c r="N6" s="1">
        <v>0.999</v>
      </c>
      <c r="O6" s="1">
        <v>0.999</v>
      </c>
      <c r="P6" s="1">
        <v>0.999</v>
      </c>
      <c r="Q6" s="1">
        <v>0.999</v>
      </c>
      <c r="R6" s="1">
        <v>0.999</v>
      </c>
      <c r="S6" s="1">
        <v>0.999</v>
      </c>
      <c r="T6" s="1">
        <v>0.999</v>
      </c>
      <c r="U6" s="1">
        <v>0.999</v>
      </c>
      <c r="V6" s="1">
        <v>0.999</v>
      </c>
      <c r="W6" s="1">
        <v>0.999</v>
      </c>
      <c r="X6" s="1">
        <v>0.999</v>
      </c>
      <c r="Y6" s="1">
        <v>0.999</v>
      </c>
      <c r="Z6" s="1">
        <v>0.999</v>
      </c>
      <c r="AA6" s="1">
        <v>0.999</v>
      </c>
      <c r="AB6" s="1">
        <v>0.999</v>
      </c>
      <c r="AC6" s="1">
        <v>0.999</v>
      </c>
      <c r="AD6" s="1">
        <v>0.999</v>
      </c>
      <c r="AE6" s="1">
        <v>0.999</v>
      </c>
      <c r="AF6" s="1">
        <v>0.999</v>
      </c>
      <c r="AG6" s="1">
        <v>0.999</v>
      </c>
      <c r="AH6" s="1">
        <f t="shared" si="1"/>
        <v>0.999</v>
      </c>
      <c r="AI6" s="28">
        <f t="shared" si="2"/>
        <v>5.6</v>
      </c>
      <c r="AJ6" s="1">
        <f t="shared" si="3"/>
        <v>0.99899999999999956</v>
      </c>
      <c r="AK6" s="1">
        <f t="shared" si="4"/>
        <v>0.89042156862745059</v>
      </c>
      <c r="AL6" s="17">
        <f t="shared" si="5"/>
        <v>0.6249585817283424</v>
      </c>
      <c r="AM6" s="27">
        <f>AL6-AK$1</f>
        <v>0.51638015035579343</v>
      </c>
      <c r="AN6" s="1">
        <f>AM6</f>
        <v>0.51638015035579343</v>
      </c>
    </row>
    <row r="7" spans="1:48">
      <c r="A7" s="2">
        <f>A6+Calculations!$B$4</f>
        <v>6.6</v>
      </c>
      <c r="B7" s="1">
        <v>0.999</v>
      </c>
      <c r="C7" s="1">
        <v>0.999</v>
      </c>
      <c r="D7" s="1">
        <v>0.999</v>
      </c>
      <c r="E7" s="1">
        <v>0.999</v>
      </c>
      <c r="F7" s="1">
        <v>0.999</v>
      </c>
      <c r="G7" s="1">
        <v>0.999</v>
      </c>
      <c r="H7" s="1">
        <v>0.999</v>
      </c>
      <c r="I7" s="1">
        <v>0.999</v>
      </c>
      <c r="J7" s="1">
        <v>0.999</v>
      </c>
      <c r="K7" s="1">
        <v>0.999</v>
      </c>
      <c r="L7" s="1">
        <v>0.999</v>
      </c>
      <c r="M7" s="1">
        <v>0.999</v>
      </c>
      <c r="N7" s="1">
        <v>0.999</v>
      </c>
      <c r="O7" s="1">
        <v>0.999</v>
      </c>
      <c r="P7" s="1">
        <v>0.999</v>
      </c>
      <c r="Q7" s="1">
        <v>0.999</v>
      </c>
      <c r="R7" s="1">
        <v>0.999</v>
      </c>
      <c r="S7" s="1">
        <v>0.999</v>
      </c>
      <c r="T7" s="1">
        <v>0.999</v>
      </c>
      <c r="U7" s="1">
        <v>0.999</v>
      </c>
      <c r="V7" s="1">
        <v>0.999</v>
      </c>
      <c r="W7" s="1">
        <v>0.999</v>
      </c>
      <c r="X7" s="1">
        <v>0.999</v>
      </c>
      <c r="Y7" s="1">
        <v>0.999</v>
      </c>
      <c r="Z7" s="1">
        <v>0.999</v>
      </c>
      <c r="AA7" s="1">
        <v>0.999</v>
      </c>
      <c r="AB7" s="1">
        <v>0.999</v>
      </c>
      <c r="AC7" s="1">
        <v>0.999</v>
      </c>
      <c r="AD7" s="1">
        <v>0.999</v>
      </c>
      <c r="AE7" s="1">
        <v>0.999</v>
      </c>
      <c r="AF7" s="1">
        <v>0.999</v>
      </c>
      <c r="AG7" s="1">
        <v>0.999</v>
      </c>
      <c r="AH7" s="1">
        <f t="shared" si="1"/>
        <v>0.999</v>
      </c>
      <c r="AI7" s="28">
        <f t="shared" si="2"/>
        <v>6.6</v>
      </c>
      <c r="AJ7" s="1">
        <f t="shared" si="3"/>
        <v>0.99899999999999956</v>
      </c>
      <c r="AK7" s="1">
        <f t="shared" si="4"/>
        <v>0.89042156862745059</v>
      </c>
      <c r="AL7" s="17">
        <f t="shared" si="5"/>
        <v>0.55040597097978239</v>
      </c>
      <c r="AM7" s="27">
        <f t="shared" ref="AM7:AM24" si="8">AL7-AK$1</f>
        <v>0.44182753960723342</v>
      </c>
      <c r="AN7" s="1">
        <f t="shared" ref="AN7:AN11" si="9">AM7</f>
        <v>0.44182753960723342</v>
      </c>
      <c r="AO7" s="18"/>
    </row>
    <row r="8" spans="1:48">
      <c r="A8" s="2">
        <f>A7+Calculations!$B$4</f>
        <v>7.6</v>
      </c>
      <c r="B8" s="1">
        <v>0.999</v>
      </c>
      <c r="C8" s="1">
        <v>0.999</v>
      </c>
      <c r="D8" s="1">
        <v>0.999</v>
      </c>
      <c r="E8" s="1">
        <v>0.999</v>
      </c>
      <c r="F8" s="1">
        <v>0.999</v>
      </c>
      <c r="G8" s="1">
        <v>0.999</v>
      </c>
      <c r="H8" s="1">
        <v>0.999</v>
      </c>
      <c r="I8" s="1">
        <v>0.999</v>
      </c>
      <c r="J8" s="1">
        <v>0.999</v>
      </c>
      <c r="K8" s="1">
        <v>0.999</v>
      </c>
      <c r="L8" s="1">
        <v>0.999</v>
      </c>
      <c r="M8" s="1">
        <v>0.999</v>
      </c>
      <c r="N8" s="1">
        <v>0.999</v>
      </c>
      <c r="O8" s="1">
        <v>0.999</v>
      </c>
      <c r="P8" s="1">
        <v>0.999</v>
      </c>
      <c r="Q8" s="1">
        <v>0.999</v>
      </c>
      <c r="R8" s="1">
        <v>0.999</v>
      </c>
      <c r="S8" s="1">
        <v>0.999</v>
      </c>
      <c r="T8" s="1">
        <v>0.999</v>
      </c>
      <c r="U8" s="1">
        <v>0.999</v>
      </c>
      <c r="V8" s="1">
        <v>0.999</v>
      </c>
      <c r="W8" s="1">
        <v>0.999</v>
      </c>
      <c r="X8" s="1">
        <v>0.999</v>
      </c>
      <c r="Y8" s="1">
        <v>0.999</v>
      </c>
      <c r="Z8" s="1">
        <v>0.999</v>
      </c>
      <c r="AA8" s="1">
        <v>0.999</v>
      </c>
      <c r="AB8" s="1">
        <v>0.999</v>
      </c>
      <c r="AC8" s="1">
        <v>0.999</v>
      </c>
      <c r="AD8" s="1">
        <v>0.999</v>
      </c>
      <c r="AE8" s="1">
        <v>0.999</v>
      </c>
      <c r="AF8" s="1">
        <v>0.999</v>
      </c>
      <c r="AG8" s="1">
        <v>0.999</v>
      </c>
      <c r="AH8" s="1">
        <f t="shared" si="1"/>
        <v>0.999</v>
      </c>
      <c r="AI8" s="28">
        <f t="shared" si="2"/>
        <v>7.6</v>
      </c>
      <c r="AJ8" s="1">
        <f t="shared" si="3"/>
        <v>0.99899999999999956</v>
      </c>
      <c r="AK8" s="1">
        <f t="shared" si="4"/>
        <v>0.89042156862745059</v>
      </c>
      <c r="AL8" s="17">
        <f t="shared" si="5"/>
        <v>0.49504139341327474</v>
      </c>
      <c r="AM8" s="27">
        <f t="shared" si="8"/>
        <v>0.38646296204072578</v>
      </c>
      <c r="AN8" s="1">
        <f t="shared" si="9"/>
        <v>0.38646296204072578</v>
      </c>
    </row>
    <row r="9" spans="1:48">
      <c r="A9" s="2">
        <f>A8+Calculations!$B$4</f>
        <v>8.6</v>
      </c>
      <c r="B9" s="1">
        <v>0.999</v>
      </c>
      <c r="C9" s="1">
        <v>0.999</v>
      </c>
      <c r="D9" s="1">
        <v>0.999</v>
      </c>
      <c r="E9" s="1">
        <v>0.999</v>
      </c>
      <c r="F9" s="1">
        <v>0.999</v>
      </c>
      <c r="G9" s="1">
        <v>0.999</v>
      </c>
      <c r="H9" s="1">
        <v>0.999</v>
      </c>
      <c r="I9" s="1">
        <v>0.999</v>
      </c>
      <c r="J9" s="1">
        <v>0.999</v>
      </c>
      <c r="K9" s="1">
        <v>0.999</v>
      </c>
      <c r="L9" s="1">
        <v>0.999</v>
      </c>
      <c r="M9" s="1">
        <v>0.999</v>
      </c>
      <c r="N9" s="1">
        <v>0.999</v>
      </c>
      <c r="O9" s="1">
        <v>0.999</v>
      </c>
      <c r="P9" s="1">
        <v>0.999</v>
      </c>
      <c r="Q9" s="1">
        <v>0.999</v>
      </c>
      <c r="R9" s="1">
        <v>0.999</v>
      </c>
      <c r="S9" s="1">
        <v>0.999</v>
      </c>
      <c r="T9" s="1">
        <v>0.999</v>
      </c>
      <c r="U9" s="1">
        <v>0.999</v>
      </c>
      <c r="V9" s="1">
        <v>0.999</v>
      </c>
      <c r="W9" s="1">
        <v>0.999</v>
      </c>
      <c r="X9" s="1">
        <v>0.999</v>
      </c>
      <c r="Y9" s="1">
        <v>0.999</v>
      </c>
      <c r="Z9" s="1">
        <v>0.999</v>
      </c>
      <c r="AA9" s="1">
        <v>0.999</v>
      </c>
      <c r="AB9" s="1">
        <v>0.999</v>
      </c>
      <c r="AC9" s="1">
        <v>0.999</v>
      </c>
      <c r="AD9" s="1">
        <v>0.999</v>
      </c>
      <c r="AE9" s="1">
        <v>0.999</v>
      </c>
      <c r="AF9" s="1">
        <v>0.999</v>
      </c>
      <c r="AG9" s="1">
        <v>0.999</v>
      </c>
      <c r="AH9" s="1">
        <f t="shared" si="1"/>
        <v>0.999</v>
      </c>
      <c r="AI9" s="28">
        <f t="shared" si="2"/>
        <v>8.6</v>
      </c>
      <c r="AJ9" s="27">
        <f t="shared" si="3"/>
        <v>0.99899999999999956</v>
      </c>
      <c r="AK9" s="29">
        <f t="shared" si="4"/>
        <v>0.89042156862745059</v>
      </c>
      <c r="AL9" s="17">
        <f t="shared" si="5"/>
        <v>0.45226372347041782</v>
      </c>
      <c r="AM9" s="27">
        <f t="shared" si="8"/>
        <v>0.34368529209786886</v>
      </c>
      <c r="AN9" s="1">
        <f t="shared" si="9"/>
        <v>0.34368529209786886</v>
      </c>
    </row>
    <row r="10" spans="1:48">
      <c r="A10" s="2">
        <f>A9+Calculations!$B$4</f>
        <v>9.6</v>
      </c>
      <c r="B10" s="1">
        <v>0.999</v>
      </c>
      <c r="C10" s="1">
        <v>0.999</v>
      </c>
      <c r="D10" s="1">
        <v>0.999</v>
      </c>
      <c r="E10" s="1">
        <v>0.999</v>
      </c>
      <c r="F10" s="1">
        <v>0.999</v>
      </c>
      <c r="G10" s="1">
        <v>0.999</v>
      </c>
      <c r="H10" s="1">
        <v>0.999</v>
      </c>
      <c r="I10" s="1">
        <v>0.999</v>
      </c>
      <c r="J10" s="1">
        <v>0.999</v>
      </c>
      <c r="K10" s="1">
        <v>0.999</v>
      </c>
      <c r="L10" s="1">
        <v>0.999</v>
      </c>
      <c r="M10" s="1">
        <v>0.999</v>
      </c>
      <c r="N10" s="1">
        <v>0.999</v>
      </c>
      <c r="O10" s="1">
        <v>0.999</v>
      </c>
      <c r="P10" s="1">
        <v>0.999</v>
      </c>
      <c r="Q10" s="1">
        <v>0.999</v>
      </c>
      <c r="R10" s="1">
        <v>0.999</v>
      </c>
      <c r="S10" s="1">
        <v>0.999</v>
      </c>
      <c r="T10" s="1">
        <v>0.999</v>
      </c>
      <c r="U10" s="1">
        <v>0.999</v>
      </c>
      <c r="V10" s="1">
        <v>0.999</v>
      </c>
      <c r="W10" s="1">
        <v>0.999</v>
      </c>
      <c r="X10" s="1">
        <v>0.999</v>
      </c>
      <c r="Y10" s="1">
        <v>0.999</v>
      </c>
      <c r="Z10" s="1">
        <v>0.999</v>
      </c>
      <c r="AA10" s="1">
        <v>0.999</v>
      </c>
      <c r="AB10" s="1">
        <v>0.999</v>
      </c>
      <c r="AC10" s="1">
        <v>0.999</v>
      </c>
      <c r="AD10" s="1">
        <v>0.999</v>
      </c>
      <c r="AE10" s="1">
        <v>0.999</v>
      </c>
      <c r="AF10" s="1">
        <v>0.999</v>
      </c>
      <c r="AG10" s="1">
        <v>0.999</v>
      </c>
      <c r="AH10" s="1">
        <f t="shared" si="1"/>
        <v>0.999</v>
      </c>
      <c r="AI10" s="28">
        <f t="shared" si="2"/>
        <v>9.6</v>
      </c>
      <c r="AJ10" s="27">
        <f t="shared" si="3"/>
        <v>0.99899999999999956</v>
      </c>
      <c r="AK10" s="29">
        <f t="shared" si="4"/>
        <v>0.89042156862745059</v>
      </c>
      <c r="AL10" s="17">
        <f t="shared" si="5"/>
        <v>0.41819527370450771</v>
      </c>
      <c r="AM10" s="27">
        <f t="shared" si="8"/>
        <v>0.30961684233195874</v>
      </c>
      <c r="AN10" s="1">
        <f t="shared" si="9"/>
        <v>0.30961684233195874</v>
      </c>
      <c r="AO10" s="18"/>
    </row>
    <row r="11" spans="1:48">
      <c r="A11" s="2">
        <f>A10+Calculations!$B$4</f>
        <v>10.6</v>
      </c>
      <c r="B11" s="1">
        <v>0.999</v>
      </c>
      <c r="C11" s="1">
        <v>0.999</v>
      </c>
      <c r="D11" s="1">
        <v>0.999</v>
      </c>
      <c r="E11" s="1">
        <v>0.999</v>
      </c>
      <c r="F11" s="1">
        <v>0.999</v>
      </c>
      <c r="G11" s="1">
        <v>0.999</v>
      </c>
      <c r="H11" s="1">
        <v>0.999</v>
      </c>
      <c r="I11" s="1">
        <v>0.999</v>
      </c>
      <c r="J11" s="1">
        <v>0.999</v>
      </c>
      <c r="K11" s="1">
        <v>0.999</v>
      </c>
      <c r="L11" s="1">
        <v>0.999</v>
      </c>
      <c r="M11" s="1">
        <v>0.999</v>
      </c>
      <c r="N11" s="1">
        <v>0.999</v>
      </c>
      <c r="O11" s="1">
        <v>0.999</v>
      </c>
      <c r="P11" s="1">
        <v>0.999</v>
      </c>
      <c r="Q11" s="1">
        <v>0.999</v>
      </c>
      <c r="R11" s="1">
        <v>0.999</v>
      </c>
      <c r="S11" s="1">
        <v>0.999</v>
      </c>
      <c r="T11" s="1">
        <v>0.999</v>
      </c>
      <c r="U11" s="1">
        <v>0.999</v>
      </c>
      <c r="V11" s="1">
        <v>0.999</v>
      </c>
      <c r="W11" s="1">
        <v>0.999</v>
      </c>
      <c r="X11" s="1">
        <v>0.999</v>
      </c>
      <c r="Y11" s="1">
        <v>0.999</v>
      </c>
      <c r="Z11" s="1">
        <v>0.999</v>
      </c>
      <c r="AA11" s="1">
        <v>0.999</v>
      </c>
      <c r="AB11" s="1">
        <v>0.999</v>
      </c>
      <c r="AC11" s="1">
        <v>0.999</v>
      </c>
      <c r="AD11" s="1">
        <v>0.999</v>
      </c>
      <c r="AE11" s="1">
        <v>0.999</v>
      </c>
      <c r="AF11" s="1">
        <v>0.999</v>
      </c>
      <c r="AG11" s="1">
        <v>0.999</v>
      </c>
      <c r="AH11" s="1">
        <f t="shared" si="1"/>
        <v>0.999</v>
      </c>
      <c r="AI11" s="28">
        <f t="shared" si="2"/>
        <v>10.6</v>
      </c>
      <c r="AJ11" s="27">
        <f t="shared" si="3"/>
        <v>0.99899999999999956</v>
      </c>
      <c r="AK11" s="29">
        <f t="shared" si="4"/>
        <v>0.89042156862745059</v>
      </c>
      <c r="AL11" s="17">
        <f t="shared" si="5"/>
        <v>0.39040680286321328</v>
      </c>
      <c r="AM11" s="27">
        <f t="shared" si="8"/>
        <v>0.28182837149066431</v>
      </c>
      <c r="AN11" s="1">
        <f t="shared" si="9"/>
        <v>0.28182837149066431</v>
      </c>
    </row>
    <row r="12" spans="1:48">
      <c r="A12" s="2">
        <f>A11+Calculations!$B$4</f>
        <v>11.6</v>
      </c>
      <c r="B12" s="1">
        <v>0.999</v>
      </c>
      <c r="C12" s="1">
        <v>0.999</v>
      </c>
      <c r="D12" s="1">
        <v>0.999</v>
      </c>
      <c r="E12" s="1">
        <v>0.999</v>
      </c>
      <c r="F12" s="1">
        <v>0.999</v>
      </c>
      <c r="G12" s="1">
        <v>0.999</v>
      </c>
      <c r="H12" s="1">
        <v>0.999</v>
      </c>
      <c r="I12" s="1">
        <v>0.999</v>
      </c>
      <c r="J12" s="1">
        <v>0.96862745098039216</v>
      </c>
      <c r="K12" s="1">
        <v>0.999</v>
      </c>
      <c r="L12" s="1">
        <v>0.999</v>
      </c>
      <c r="M12" s="1">
        <v>0.999</v>
      </c>
      <c r="N12" s="1">
        <v>0.999</v>
      </c>
      <c r="O12" s="1">
        <v>0.999</v>
      </c>
      <c r="P12" s="1">
        <v>0.999</v>
      </c>
      <c r="Q12" s="1">
        <v>0.999</v>
      </c>
      <c r="R12" s="1">
        <v>0.96078431372549022</v>
      </c>
      <c r="S12" s="1">
        <v>0.999</v>
      </c>
      <c r="T12" s="1">
        <v>0.999</v>
      </c>
      <c r="U12" s="1">
        <v>0.999</v>
      </c>
      <c r="V12" s="1">
        <v>0.999</v>
      </c>
      <c r="W12" s="1">
        <v>0.999</v>
      </c>
      <c r="X12" s="1">
        <v>0.96078431372549022</v>
      </c>
      <c r="Y12" s="1">
        <v>0.97254901960784312</v>
      </c>
      <c r="Z12" s="1">
        <v>0.999</v>
      </c>
      <c r="AA12" s="1">
        <v>0.96470588235294119</v>
      </c>
      <c r="AB12" s="1">
        <v>0.999</v>
      </c>
      <c r="AC12" s="1">
        <v>0.96862745098039216</v>
      </c>
      <c r="AD12" s="1">
        <v>0.96078431372549022</v>
      </c>
      <c r="AE12" s="1">
        <v>0.96862745098039216</v>
      </c>
      <c r="AF12" s="1">
        <v>0.97254901960784312</v>
      </c>
      <c r="AG12" s="1">
        <v>0.999</v>
      </c>
      <c r="AH12" s="1">
        <f t="shared" si="1"/>
        <v>0.999</v>
      </c>
      <c r="AI12" s="28">
        <f t="shared" si="2"/>
        <v>11.6</v>
      </c>
      <c r="AJ12" s="27">
        <f t="shared" si="3"/>
        <v>0.9898449754901959</v>
      </c>
      <c r="AK12" s="29">
        <f t="shared" si="4"/>
        <v>0.88126654411764693</v>
      </c>
      <c r="AL12" s="17">
        <f t="shared" si="5"/>
        <v>0.36729803994169513</v>
      </c>
      <c r="AM12" s="27">
        <f t="shared" si="8"/>
        <v>0.25871960856914616</v>
      </c>
      <c r="AN12" s="1">
        <f>AK12</f>
        <v>0.88126654411764693</v>
      </c>
    </row>
    <row r="13" spans="1:48">
      <c r="A13" s="2">
        <f>A12+Calculations!$B$4</f>
        <v>12.6</v>
      </c>
      <c r="B13" s="1">
        <v>0.97254901960784312</v>
      </c>
      <c r="C13" s="1">
        <v>0.98431372549019602</v>
      </c>
      <c r="D13" s="1">
        <v>0.98039215686274506</v>
      </c>
      <c r="E13" s="1">
        <v>0.98039215686274506</v>
      </c>
      <c r="F13" s="1">
        <v>0.98039215686274506</v>
      </c>
      <c r="G13" s="1">
        <v>0.97647058823529409</v>
      </c>
      <c r="H13" s="1">
        <v>0.97254901960784312</v>
      </c>
      <c r="I13" s="1">
        <v>0.97647058823529409</v>
      </c>
      <c r="J13" s="1">
        <v>0.83529411764705885</v>
      </c>
      <c r="K13" s="1">
        <v>0.97254901960784312</v>
      </c>
      <c r="L13" s="1">
        <v>0.97647058823529409</v>
      </c>
      <c r="M13" s="1">
        <v>0.96470588235294119</v>
      </c>
      <c r="N13" s="1">
        <v>0.97254901960784312</v>
      </c>
      <c r="O13" s="1">
        <v>0.97647058823529409</v>
      </c>
      <c r="P13" s="1">
        <v>0.97647058823529409</v>
      </c>
      <c r="Q13" s="1">
        <v>0.97254901960784312</v>
      </c>
      <c r="R13" s="1">
        <v>0.82745098039215681</v>
      </c>
      <c r="S13" s="1">
        <v>0.97254901960784312</v>
      </c>
      <c r="T13" s="1">
        <v>0.97254901960784312</v>
      </c>
      <c r="U13" s="1">
        <v>0.97647058823529409</v>
      </c>
      <c r="V13" s="1">
        <v>0.97254901960784312</v>
      </c>
      <c r="W13" s="1">
        <v>0.97647058823529409</v>
      </c>
      <c r="X13" s="1">
        <v>0.83529411764705885</v>
      </c>
      <c r="Y13" s="1">
        <v>0.83921568627450982</v>
      </c>
      <c r="Z13" s="1">
        <v>0.98039215686274506</v>
      </c>
      <c r="AA13" s="1">
        <v>0.83137254901960789</v>
      </c>
      <c r="AB13" s="1">
        <v>0.98039215686274506</v>
      </c>
      <c r="AC13" s="1">
        <v>0.83529411764705885</v>
      </c>
      <c r="AD13" s="1">
        <v>0.83529411764705885</v>
      </c>
      <c r="AE13" s="1">
        <v>0.83529411764705885</v>
      </c>
      <c r="AF13" s="1">
        <v>0.84313725490196079</v>
      </c>
      <c r="AG13" s="1">
        <v>0.97254901960784312</v>
      </c>
      <c r="AH13" s="1">
        <f t="shared" si="1"/>
        <v>0.98431372549019602</v>
      </c>
      <c r="AI13" s="28">
        <f t="shared" si="2"/>
        <v>12.6</v>
      </c>
      <c r="AJ13" s="27">
        <f t="shared" si="3"/>
        <v>0.93615196078431384</v>
      </c>
      <c r="AK13" s="29">
        <f t="shared" si="4"/>
        <v>0.82757352941176487</v>
      </c>
      <c r="AL13" s="17">
        <f t="shared" si="5"/>
        <v>0.34777135653020813</v>
      </c>
      <c r="AM13" s="27">
        <f t="shared" si="8"/>
        <v>0.23919292515765916</v>
      </c>
      <c r="AN13" s="1">
        <f t="shared" ref="AN13:AN76" si="10">AK13</f>
        <v>0.82757352941176487</v>
      </c>
    </row>
    <row r="14" spans="1:48">
      <c r="A14" s="2">
        <f>A13+Calculations!$B$4</f>
        <v>13.6</v>
      </c>
      <c r="B14" s="1">
        <v>0.87058823529411766</v>
      </c>
      <c r="C14" s="1">
        <v>0.87058823529411766</v>
      </c>
      <c r="D14" s="1">
        <v>0.8666666666666667</v>
      </c>
      <c r="E14" s="1">
        <v>0.87058823529411766</v>
      </c>
      <c r="F14" s="1">
        <v>0.87058823529411766</v>
      </c>
      <c r="G14" s="1">
        <v>0.86274509803921573</v>
      </c>
      <c r="H14" s="1">
        <v>0.87058823529411766</v>
      </c>
      <c r="I14" s="1">
        <v>0.87058823529411766</v>
      </c>
      <c r="J14" s="1">
        <v>0.72156862745098038</v>
      </c>
      <c r="K14" s="1">
        <v>0.86274509803921573</v>
      </c>
      <c r="L14" s="1">
        <v>0.87058823529411766</v>
      </c>
      <c r="M14" s="1">
        <v>0.85490196078431369</v>
      </c>
      <c r="N14" s="1">
        <v>0.86274509803921573</v>
      </c>
      <c r="O14" s="1">
        <v>0.8666666666666667</v>
      </c>
      <c r="P14" s="1">
        <v>0.86274509803921573</v>
      </c>
      <c r="Q14" s="1">
        <v>0.87058823529411766</v>
      </c>
      <c r="R14" s="1">
        <v>0.72156862745098038</v>
      </c>
      <c r="S14" s="1">
        <v>0.86274509803921573</v>
      </c>
      <c r="T14" s="1">
        <v>0.85882352941176465</v>
      </c>
      <c r="U14" s="1">
        <v>0.86274509803921573</v>
      </c>
      <c r="V14" s="1">
        <v>0.86274509803921573</v>
      </c>
      <c r="W14" s="1">
        <v>0.8666666666666667</v>
      </c>
      <c r="X14" s="1">
        <v>0.72156862745098038</v>
      </c>
      <c r="Y14" s="1">
        <v>0.72941176470588232</v>
      </c>
      <c r="Z14" s="1">
        <v>0.87058823529411766</v>
      </c>
      <c r="AA14" s="1">
        <v>0.72941176470588232</v>
      </c>
      <c r="AB14" s="1">
        <v>0.87058823529411766</v>
      </c>
      <c r="AC14" s="1">
        <v>0.72156862745098038</v>
      </c>
      <c r="AD14" s="1">
        <v>0.72941176470588232</v>
      </c>
      <c r="AE14" s="1">
        <v>0.72549019607843135</v>
      </c>
      <c r="AF14" s="1">
        <v>0.73725490196078436</v>
      </c>
      <c r="AG14" s="1">
        <v>0.87058823529411766</v>
      </c>
      <c r="AH14" s="1">
        <f t="shared" si="1"/>
        <v>0.87058823529411766</v>
      </c>
      <c r="AI14" s="28">
        <f t="shared" si="2"/>
        <v>13.6</v>
      </c>
      <c r="AJ14" s="27">
        <f t="shared" si="3"/>
        <v>0.82708333333333373</v>
      </c>
      <c r="AK14" s="29">
        <f t="shared" si="4"/>
        <v>0.71850490196078476</v>
      </c>
      <c r="AL14" s="17">
        <f t="shared" si="5"/>
        <v>0.33104848178812213</v>
      </c>
      <c r="AM14" s="27">
        <f t="shared" si="8"/>
        <v>0.22247005041557316</v>
      </c>
      <c r="AN14" s="1">
        <f t="shared" si="10"/>
        <v>0.71850490196078476</v>
      </c>
    </row>
    <row r="15" spans="1:48">
      <c r="A15" s="2">
        <f>A14+Calculations!$B$4</f>
        <v>14.6</v>
      </c>
      <c r="B15" s="1">
        <v>0.77647058823529413</v>
      </c>
      <c r="C15" s="1">
        <v>0.7803921568627451</v>
      </c>
      <c r="D15" s="1">
        <v>0.77254901960784317</v>
      </c>
      <c r="E15" s="1">
        <v>0.77647058823529413</v>
      </c>
      <c r="F15" s="1">
        <v>0.77647058823529413</v>
      </c>
      <c r="G15" s="1">
        <v>0.77647058823529413</v>
      </c>
      <c r="H15" s="1">
        <v>0.7686274509803922</v>
      </c>
      <c r="I15" s="1">
        <v>0.77647058823529413</v>
      </c>
      <c r="J15" s="1">
        <v>0.63137254901960782</v>
      </c>
      <c r="K15" s="1">
        <v>0.77254901960784317</v>
      </c>
      <c r="L15" s="1">
        <v>0.77254901960784317</v>
      </c>
      <c r="M15" s="1">
        <v>0.76470588235294112</v>
      </c>
      <c r="N15" s="1">
        <v>0.7686274509803922</v>
      </c>
      <c r="O15" s="1">
        <v>0.77647058823529413</v>
      </c>
      <c r="P15" s="1">
        <v>0.77254901960784317</v>
      </c>
      <c r="Q15" s="1">
        <v>0.77254901960784317</v>
      </c>
      <c r="R15" s="1">
        <v>0.63137254901960782</v>
      </c>
      <c r="S15" s="1">
        <v>0.77254901960784317</v>
      </c>
      <c r="T15" s="1">
        <v>0.76470588235294112</v>
      </c>
      <c r="U15" s="1">
        <v>0.7686274509803922</v>
      </c>
      <c r="V15" s="1">
        <v>0.76470588235294112</v>
      </c>
      <c r="W15" s="1">
        <v>0.77254901960784317</v>
      </c>
      <c r="X15" s="1">
        <v>0.62745098039215685</v>
      </c>
      <c r="Y15" s="1">
        <v>0.63921568627450975</v>
      </c>
      <c r="Z15" s="1">
        <v>0.77647058823529413</v>
      </c>
      <c r="AA15" s="1">
        <v>0.63529411764705879</v>
      </c>
      <c r="AB15" s="1">
        <v>0.77647058823529413</v>
      </c>
      <c r="AC15" s="1">
        <v>0.63529411764705879</v>
      </c>
      <c r="AD15" s="1">
        <v>0.63921568627450975</v>
      </c>
      <c r="AE15" s="1">
        <v>0.63529411764705879</v>
      </c>
      <c r="AF15" s="1">
        <v>0.63529411764705879</v>
      </c>
      <c r="AG15" s="1">
        <v>0.77647058823529413</v>
      </c>
      <c r="AH15" s="1">
        <f t="shared" si="1"/>
        <v>0.7803921568627451</v>
      </c>
      <c r="AI15" s="28">
        <f t="shared" si="2"/>
        <v>14.6</v>
      </c>
      <c r="AJ15" s="27">
        <f t="shared" si="3"/>
        <v>0.73394607843137305</v>
      </c>
      <c r="AK15" s="29">
        <f t="shared" si="4"/>
        <v>0.62536764705882408</v>
      </c>
      <c r="AL15" s="17">
        <f t="shared" si="5"/>
        <v>0.31656204380908859</v>
      </c>
      <c r="AM15" s="27">
        <f t="shared" si="8"/>
        <v>0.20798361243653962</v>
      </c>
      <c r="AN15" s="1">
        <f t="shared" si="10"/>
        <v>0.62536764705882408</v>
      </c>
    </row>
    <row r="16" spans="1:48">
      <c r="A16" s="2">
        <f>A15+Calculations!$B$4</f>
        <v>15.6</v>
      </c>
      <c r="B16" s="1">
        <v>0.70196078431372544</v>
      </c>
      <c r="C16" s="1">
        <v>0.70980392156862748</v>
      </c>
      <c r="D16" s="1">
        <v>0.70196078431372544</v>
      </c>
      <c r="E16" s="1">
        <v>0.70196078431372544</v>
      </c>
      <c r="F16" s="1">
        <v>0.69803921568627447</v>
      </c>
      <c r="G16" s="1">
        <v>0.70196078431372544</v>
      </c>
      <c r="H16" s="1">
        <v>0.69411764705882351</v>
      </c>
      <c r="I16" s="1">
        <v>0.70196078431372544</v>
      </c>
      <c r="J16" s="1">
        <v>0.55686274509803924</v>
      </c>
      <c r="K16" s="1">
        <v>0.69411764705882351</v>
      </c>
      <c r="L16" s="1">
        <v>0.69803921568627447</v>
      </c>
      <c r="M16" s="1">
        <v>0.69411764705882351</v>
      </c>
      <c r="N16" s="1">
        <v>0.69411764705882351</v>
      </c>
      <c r="O16" s="1">
        <v>0.70196078431372544</v>
      </c>
      <c r="P16" s="1">
        <v>0.70196078431372544</v>
      </c>
      <c r="Q16" s="1">
        <v>0.70196078431372544</v>
      </c>
      <c r="R16" s="1">
        <v>0.5607843137254902</v>
      </c>
      <c r="S16" s="1">
        <v>0.69803921568627447</v>
      </c>
      <c r="T16" s="1">
        <v>0.69411764705882351</v>
      </c>
      <c r="U16" s="1">
        <v>0.70196078431372544</v>
      </c>
      <c r="V16" s="1">
        <v>0.69411764705882351</v>
      </c>
      <c r="W16" s="1">
        <v>0.70196078431372544</v>
      </c>
      <c r="X16" s="1">
        <v>0.55686274509803924</v>
      </c>
      <c r="Y16" s="1">
        <v>0.56470588235294117</v>
      </c>
      <c r="Z16" s="1">
        <v>0.70980392156862748</v>
      </c>
      <c r="AA16" s="1">
        <v>0.5607843137254902</v>
      </c>
      <c r="AB16" s="1">
        <v>0.70196078431372544</v>
      </c>
      <c r="AC16" s="1">
        <v>0.5607843137254902</v>
      </c>
      <c r="AD16" s="1">
        <v>0.5607843137254902</v>
      </c>
      <c r="AE16" s="1">
        <v>0.5607843137254902</v>
      </c>
      <c r="AF16" s="1">
        <v>0.56862745098039214</v>
      </c>
      <c r="AG16" s="1">
        <v>0.70196078431372544</v>
      </c>
      <c r="AH16" s="1">
        <f t="shared" si="1"/>
        <v>0.70980392156862748</v>
      </c>
      <c r="AI16" s="28">
        <f t="shared" si="2"/>
        <v>15.6</v>
      </c>
      <c r="AJ16" s="27">
        <f t="shared" si="3"/>
        <v>0.66102941176470609</v>
      </c>
      <c r="AK16" s="29">
        <f t="shared" si="4"/>
        <v>0.55245098039215712</v>
      </c>
      <c r="AL16" s="17">
        <f t="shared" si="5"/>
        <v>0.30388854533739695</v>
      </c>
      <c r="AM16" s="27">
        <f t="shared" si="8"/>
        <v>0.19531011396484799</v>
      </c>
      <c r="AN16" s="1">
        <f t="shared" si="10"/>
        <v>0.55245098039215712</v>
      </c>
    </row>
    <row r="17" spans="1:40">
      <c r="A17" s="2">
        <f>A16+Calculations!$B$4</f>
        <v>16.600000000000001</v>
      </c>
      <c r="B17" s="1">
        <v>0.63921568627450975</v>
      </c>
      <c r="C17" s="1">
        <v>0.6470588235294118</v>
      </c>
      <c r="D17" s="1">
        <v>0.63921568627450975</v>
      </c>
      <c r="E17" s="1">
        <v>0.63921568627450975</v>
      </c>
      <c r="F17" s="1">
        <v>0.63529411764705879</v>
      </c>
      <c r="G17" s="1">
        <v>0.64313725490196083</v>
      </c>
      <c r="H17" s="1">
        <v>0.63529411764705879</v>
      </c>
      <c r="I17" s="1">
        <v>0.63921568627450975</v>
      </c>
      <c r="J17" s="1">
        <v>0.49411764705882355</v>
      </c>
      <c r="K17" s="1">
        <v>0.63529411764705879</v>
      </c>
      <c r="L17" s="1">
        <v>0.63921568627450975</v>
      </c>
      <c r="M17" s="1">
        <v>0.63137254901960782</v>
      </c>
      <c r="N17" s="1">
        <v>0.63137254901960782</v>
      </c>
      <c r="O17" s="1">
        <v>0.63921568627450975</v>
      </c>
      <c r="P17" s="1">
        <v>0.6470588235294118</v>
      </c>
      <c r="Q17" s="1">
        <v>0.63921568627450975</v>
      </c>
      <c r="R17" s="1">
        <v>0.49803921568627452</v>
      </c>
      <c r="S17" s="1">
        <v>0.63921568627450975</v>
      </c>
      <c r="T17" s="1">
        <v>0.63921568627450975</v>
      </c>
      <c r="U17" s="1">
        <v>0.63921568627450975</v>
      </c>
      <c r="V17" s="1">
        <v>0.63529411764705879</v>
      </c>
      <c r="W17" s="1">
        <v>0.64313725490196083</v>
      </c>
      <c r="X17" s="1">
        <v>0.50588235294117645</v>
      </c>
      <c r="Y17" s="1">
        <v>0.50588235294117645</v>
      </c>
      <c r="Z17" s="1">
        <v>0.6470588235294118</v>
      </c>
      <c r="AA17" s="1">
        <v>0.49803921568627452</v>
      </c>
      <c r="AB17" s="1">
        <v>0.63921568627450975</v>
      </c>
      <c r="AC17" s="1">
        <v>0.49803921568627452</v>
      </c>
      <c r="AD17" s="1">
        <v>0.49803921568627452</v>
      </c>
      <c r="AE17" s="1">
        <v>0.50588235294117645</v>
      </c>
      <c r="AF17" s="1">
        <v>0.50980392156862742</v>
      </c>
      <c r="AG17" s="1">
        <v>0.64313725490196083</v>
      </c>
      <c r="AH17" s="1">
        <f t="shared" si="1"/>
        <v>0.6470588235294118</v>
      </c>
      <c r="AI17" s="28">
        <f t="shared" si="2"/>
        <v>16.600000000000001</v>
      </c>
      <c r="AJ17" s="27">
        <f t="shared" si="3"/>
        <v>0.60061274509803908</v>
      </c>
      <c r="AK17" s="29">
        <f t="shared" si="4"/>
        <v>0.49203431372549011</v>
      </c>
      <c r="AL17" s="17">
        <f t="shared" si="5"/>
        <v>0.292705399366815</v>
      </c>
      <c r="AM17" s="27">
        <f t="shared" si="8"/>
        <v>0.18412696799426603</v>
      </c>
      <c r="AN17" s="1">
        <f t="shared" si="10"/>
        <v>0.49203431372549011</v>
      </c>
    </row>
    <row r="18" spans="1:40">
      <c r="A18" s="2">
        <f>A17+Calculations!$B$4</f>
        <v>17.600000000000001</v>
      </c>
      <c r="B18" s="1">
        <v>0.59607843137254901</v>
      </c>
      <c r="C18" s="1">
        <v>0.59607843137254901</v>
      </c>
      <c r="D18" s="1">
        <v>0.59215686274509804</v>
      </c>
      <c r="E18" s="1">
        <v>0.58823529411764708</v>
      </c>
      <c r="F18" s="1">
        <v>0.58823529411764708</v>
      </c>
      <c r="G18" s="1">
        <v>0.58823529411764708</v>
      </c>
      <c r="H18" s="1">
        <v>0.58039215686274515</v>
      </c>
      <c r="I18" s="1">
        <v>0.58823529411764708</v>
      </c>
      <c r="J18" s="1">
        <v>0.44313725490196076</v>
      </c>
      <c r="K18" s="1">
        <v>0.58431372549019611</v>
      </c>
      <c r="L18" s="1">
        <v>0.58823529411764708</v>
      </c>
      <c r="M18" s="1">
        <v>0.57647058823529407</v>
      </c>
      <c r="N18" s="1">
        <v>0.58039215686274515</v>
      </c>
      <c r="O18" s="1">
        <v>0.58823529411764708</v>
      </c>
      <c r="P18" s="1">
        <v>0.58823529411764708</v>
      </c>
      <c r="Q18" s="1">
        <v>0.58431372549019611</v>
      </c>
      <c r="R18" s="1">
        <v>0.4392156862745098</v>
      </c>
      <c r="S18" s="1">
        <v>0.58823529411764708</v>
      </c>
      <c r="T18" s="1">
        <v>0.58039215686274515</v>
      </c>
      <c r="U18" s="1">
        <v>0.58823529411764708</v>
      </c>
      <c r="V18" s="1">
        <v>0.58431372549019611</v>
      </c>
      <c r="W18" s="1">
        <v>0.58823529411764708</v>
      </c>
      <c r="X18" s="1">
        <v>0.44705882352941179</v>
      </c>
      <c r="Y18" s="1">
        <v>0.45098039215686275</v>
      </c>
      <c r="Z18" s="1">
        <v>0.59607843137254901</v>
      </c>
      <c r="AA18" s="1">
        <v>0.45490196078431372</v>
      </c>
      <c r="AB18" s="1">
        <v>0.58823529411764708</v>
      </c>
      <c r="AC18" s="1">
        <v>0.45098039215686275</v>
      </c>
      <c r="AD18" s="1">
        <v>0.44313725490196076</v>
      </c>
      <c r="AE18" s="1">
        <v>0.44313725490196076</v>
      </c>
      <c r="AF18" s="1">
        <v>0.45882352941176469</v>
      </c>
      <c r="AG18" s="1">
        <v>0.58823529411764708</v>
      </c>
      <c r="AH18" s="1">
        <f t="shared" si="1"/>
        <v>0.59607843137254901</v>
      </c>
      <c r="AI18" s="28">
        <f t="shared" si="2"/>
        <v>17.600000000000001</v>
      </c>
      <c r="AJ18" s="27">
        <f t="shared" si="3"/>
        <v>0.54816176470588218</v>
      </c>
      <c r="AK18" s="29">
        <f t="shared" si="4"/>
        <v>0.43958333333333321</v>
      </c>
      <c r="AL18" s="17">
        <f t="shared" si="5"/>
        <v>0.28276250996346552</v>
      </c>
      <c r="AM18" s="27">
        <f t="shared" si="8"/>
        <v>0.17418407859091656</v>
      </c>
      <c r="AN18" s="1">
        <f t="shared" si="10"/>
        <v>0.43958333333333321</v>
      </c>
    </row>
    <row r="19" spans="1:40">
      <c r="A19" s="2">
        <f>A18+Calculations!$B$4</f>
        <v>18.600000000000001</v>
      </c>
      <c r="B19" s="1">
        <v>0.5490196078431373</v>
      </c>
      <c r="C19" s="1">
        <v>0.54509803921568623</v>
      </c>
      <c r="D19" s="1">
        <v>0.54509803921568623</v>
      </c>
      <c r="E19" s="1">
        <v>0.54117647058823526</v>
      </c>
      <c r="F19" s="1">
        <v>0.53725490196078429</v>
      </c>
      <c r="G19" s="1">
        <v>0.54117647058823526</v>
      </c>
      <c r="H19" s="1">
        <v>0.53333333333333333</v>
      </c>
      <c r="I19" s="1">
        <v>0.53333333333333333</v>
      </c>
      <c r="J19" s="1">
        <v>0.396078431372549</v>
      </c>
      <c r="K19" s="1">
        <v>0.53725490196078429</v>
      </c>
      <c r="L19" s="1">
        <v>0.54117647058823526</v>
      </c>
      <c r="M19" s="1">
        <v>0.53333333333333333</v>
      </c>
      <c r="N19" s="1">
        <v>0.53333333333333333</v>
      </c>
      <c r="O19" s="1">
        <v>0.53333333333333333</v>
      </c>
      <c r="P19" s="1">
        <v>0.54117647058823526</v>
      </c>
      <c r="Q19" s="1">
        <v>0.53725490196078429</v>
      </c>
      <c r="R19" s="1">
        <v>0.39215686274509803</v>
      </c>
      <c r="S19" s="1">
        <v>0.53725490196078429</v>
      </c>
      <c r="T19" s="1">
        <v>0.53333333333333333</v>
      </c>
      <c r="U19" s="1">
        <v>0.53725490196078429</v>
      </c>
      <c r="V19" s="1">
        <v>0.53725490196078429</v>
      </c>
      <c r="W19" s="1">
        <v>0.54117647058823526</v>
      </c>
      <c r="X19" s="1">
        <v>0.396078431372549</v>
      </c>
      <c r="Y19" s="1">
        <v>0.4</v>
      </c>
      <c r="Z19" s="1">
        <v>0.54509803921568623</v>
      </c>
      <c r="AA19" s="1">
        <v>0.40392156862745099</v>
      </c>
      <c r="AB19" s="1">
        <v>0.54117647058823526</v>
      </c>
      <c r="AC19" s="1">
        <v>0.4</v>
      </c>
      <c r="AD19" s="1">
        <v>0.396078431372549</v>
      </c>
      <c r="AE19" s="1">
        <v>0.40392156862745099</v>
      </c>
      <c r="AF19" s="1">
        <v>0.41176470588235292</v>
      </c>
      <c r="AG19" s="1">
        <v>0.54117647058823526</v>
      </c>
      <c r="AH19" s="1">
        <f t="shared" si="1"/>
        <v>0.5490196078431373</v>
      </c>
      <c r="AI19" s="28">
        <f t="shared" si="2"/>
        <v>18.600000000000001</v>
      </c>
      <c r="AJ19" s="27">
        <f t="shared" si="3"/>
        <v>0.49987745098039221</v>
      </c>
      <c r="AK19" s="29">
        <f t="shared" si="4"/>
        <v>0.39129901960784325</v>
      </c>
      <c r="AL19" s="17">
        <f t="shared" si="5"/>
        <v>0.27386295605890226</v>
      </c>
      <c r="AM19" s="27">
        <f t="shared" si="8"/>
        <v>0.1652845246863533</v>
      </c>
      <c r="AN19" s="1">
        <f t="shared" si="10"/>
        <v>0.39129901960784325</v>
      </c>
    </row>
    <row r="20" spans="1:40">
      <c r="A20" s="2">
        <f>A19+Calculations!$B$4</f>
        <v>19.600000000000001</v>
      </c>
      <c r="B20" s="1">
        <v>0.50196078431372548</v>
      </c>
      <c r="C20" s="1">
        <v>0.50196078431372548</v>
      </c>
      <c r="D20" s="1">
        <v>0.50196078431372548</v>
      </c>
      <c r="E20" s="1">
        <v>0.50196078431372548</v>
      </c>
      <c r="F20" s="1">
        <v>0.50196078431372548</v>
      </c>
      <c r="G20" s="1">
        <v>0.50196078431372548</v>
      </c>
      <c r="H20" s="1">
        <v>0.49411764705882355</v>
      </c>
      <c r="I20" s="1">
        <v>0.50196078431372548</v>
      </c>
      <c r="J20" s="1">
        <v>0.35294117647058826</v>
      </c>
      <c r="K20" s="1">
        <v>0.49411764705882355</v>
      </c>
      <c r="L20" s="1">
        <v>0.50196078431372548</v>
      </c>
      <c r="M20" s="1">
        <v>0.49411764705882355</v>
      </c>
      <c r="N20" s="1">
        <v>0.49411764705882355</v>
      </c>
      <c r="O20" s="1">
        <v>0.49411764705882355</v>
      </c>
      <c r="P20" s="1">
        <v>0.50196078431372548</v>
      </c>
      <c r="Q20" s="1">
        <v>0.50196078431372548</v>
      </c>
      <c r="R20" s="1">
        <v>0.35294117647058826</v>
      </c>
      <c r="S20" s="1">
        <v>0.49803921568627452</v>
      </c>
      <c r="T20" s="1">
        <v>0.48627450980392156</v>
      </c>
      <c r="U20" s="1">
        <v>0.49803921568627452</v>
      </c>
      <c r="V20" s="1">
        <v>0.49411764705882355</v>
      </c>
      <c r="W20" s="1">
        <v>0.50196078431372548</v>
      </c>
      <c r="X20" s="1">
        <v>0.36078431372549019</v>
      </c>
      <c r="Y20" s="1">
        <v>0.35294117647058826</v>
      </c>
      <c r="Z20" s="1">
        <v>0.50196078431372548</v>
      </c>
      <c r="AA20" s="1">
        <v>0.36470588235294116</v>
      </c>
      <c r="AB20" s="1">
        <v>0.50196078431372548</v>
      </c>
      <c r="AC20" s="1">
        <v>0.36078431372549019</v>
      </c>
      <c r="AD20" s="1">
        <v>0.36078431372549019</v>
      </c>
      <c r="AE20" s="1">
        <v>0.36078431372549019</v>
      </c>
      <c r="AF20" s="1">
        <v>0.36862745098039218</v>
      </c>
      <c r="AG20" s="1">
        <v>0.50196078431372548</v>
      </c>
      <c r="AH20" s="1">
        <f t="shared" si="1"/>
        <v>0.50196078431372548</v>
      </c>
      <c r="AI20" s="28">
        <f t="shared" si="2"/>
        <v>19.600000000000001</v>
      </c>
      <c r="AJ20" s="27">
        <f t="shared" si="3"/>
        <v>0.4596813725490197</v>
      </c>
      <c r="AK20" s="29">
        <f t="shared" si="4"/>
        <v>0.35110294117647073</v>
      </c>
      <c r="AL20" s="17">
        <f t="shared" si="5"/>
        <v>0.26584954628295926</v>
      </c>
      <c r="AM20" s="27">
        <f t="shared" si="8"/>
        <v>0.15727111491041029</v>
      </c>
      <c r="AN20" s="1">
        <f t="shared" si="10"/>
        <v>0.35110294117647073</v>
      </c>
    </row>
    <row r="21" spans="1:40">
      <c r="A21" s="2">
        <f>A20+Calculations!$B$4</f>
        <v>20.6</v>
      </c>
      <c r="B21" s="1">
        <v>0.47450980392156861</v>
      </c>
      <c r="C21" s="1">
        <v>0.47058823529411764</v>
      </c>
      <c r="D21" s="1">
        <v>0.47058823529411764</v>
      </c>
      <c r="E21" s="1">
        <v>0.46666666666666667</v>
      </c>
      <c r="F21" s="1">
        <v>0.47058823529411764</v>
      </c>
      <c r="G21" s="1">
        <v>0.47058823529411764</v>
      </c>
      <c r="H21" s="1">
        <v>0.46274509803921571</v>
      </c>
      <c r="I21" s="1">
        <v>0.47058823529411764</v>
      </c>
      <c r="J21" s="1">
        <v>0.32549019607843138</v>
      </c>
      <c r="K21" s="1">
        <v>0.46274509803921571</v>
      </c>
      <c r="L21" s="1">
        <v>0.47058823529411764</v>
      </c>
      <c r="M21" s="1">
        <v>0.45490196078431372</v>
      </c>
      <c r="N21" s="1">
        <v>0.45882352941176469</v>
      </c>
      <c r="O21" s="1">
        <v>0.46274509803921571</v>
      </c>
      <c r="P21" s="1">
        <v>0.46666666666666667</v>
      </c>
      <c r="Q21" s="1">
        <v>0.47058823529411764</v>
      </c>
      <c r="R21" s="1">
        <v>0.32156862745098042</v>
      </c>
      <c r="S21" s="1">
        <v>0.46274509803921571</v>
      </c>
      <c r="T21" s="1">
        <v>0.46274509803921571</v>
      </c>
      <c r="U21" s="1">
        <v>0.46666666666666667</v>
      </c>
      <c r="V21" s="1">
        <v>0.46666666666666667</v>
      </c>
      <c r="W21" s="1">
        <v>0.47058823529411764</v>
      </c>
      <c r="X21" s="1">
        <v>0.32941176470588235</v>
      </c>
      <c r="Y21" s="1">
        <v>0.32549019607843138</v>
      </c>
      <c r="Z21" s="1">
        <v>0.47450980392156861</v>
      </c>
      <c r="AA21" s="1">
        <v>0.32156862745098042</v>
      </c>
      <c r="AB21" s="1">
        <v>0.47058823529411764</v>
      </c>
      <c r="AC21" s="1">
        <v>0.32156862745098042</v>
      </c>
      <c r="AD21" s="1">
        <v>0.32941176470588235</v>
      </c>
      <c r="AE21" s="1">
        <v>0.32941176470588235</v>
      </c>
      <c r="AF21" s="1">
        <v>0.33333333333333331</v>
      </c>
      <c r="AG21" s="1">
        <v>0.46666666666666667</v>
      </c>
      <c r="AH21" s="1">
        <f t="shared" si="1"/>
        <v>0.47450980392156861</v>
      </c>
      <c r="AI21" s="43">
        <f t="shared" si="2"/>
        <v>20.6</v>
      </c>
      <c r="AJ21" s="27">
        <f t="shared" si="3"/>
        <v>0.42757352941176491</v>
      </c>
      <c r="AK21" s="29">
        <f t="shared" si="4"/>
        <v>0.31899509803921594</v>
      </c>
      <c r="AL21" s="17">
        <f t="shared" si="5"/>
        <v>0.25859526171043368</v>
      </c>
      <c r="AM21" s="27">
        <f t="shared" si="8"/>
        <v>0.15001683033788471</v>
      </c>
      <c r="AN21" s="1">
        <f t="shared" si="10"/>
        <v>0.31899509803921594</v>
      </c>
    </row>
    <row r="22" spans="1:40">
      <c r="A22" s="2">
        <f>A21+Calculations!$B$4</f>
        <v>21.6</v>
      </c>
      <c r="B22" s="1">
        <v>0.4392156862745098</v>
      </c>
      <c r="C22" s="1">
        <v>0.4392156862745098</v>
      </c>
      <c r="D22" s="1">
        <v>0.4392156862745098</v>
      </c>
      <c r="E22" s="1">
        <v>0.4392156862745098</v>
      </c>
      <c r="F22" s="1">
        <v>0.4392156862745098</v>
      </c>
      <c r="G22" s="1">
        <v>0.4392156862745098</v>
      </c>
      <c r="H22" s="1">
        <v>0.43529411764705883</v>
      </c>
      <c r="I22" s="1">
        <v>0.43137254901960786</v>
      </c>
      <c r="J22" s="1">
        <v>0.29019607843137257</v>
      </c>
      <c r="K22" s="1">
        <v>0.43529411764705883</v>
      </c>
      <c r="L22" s="1">
        <v>0.4392156862745098</v>
      </c>
      <c r="M22" s="1">
        <v>0.43137254901960786</v>
      </c>
      <c r="N22" s="1">
        <v>0.43529411764705883</v>
      </c>
      <c r="O22" s="1">
        <v>0.43137254901960786</v>
      </c>
      <c r="P22" s="1">
        <v>0.4392156862745098</v>
      </c>
      <c r="Q22" s="1">
        <v>0.4392156862745098</v>
      </c>
      <c r="R22" s="1">
        <v>0.29019607843137257</v>
      </c>
      <c r="S22" s="1">
        <v>0.4392156862745098</v>
      </c>
      <c r="T22" s="1">
        <v>0.43137254901960786</v>
      </c>
      <c r="U22" s="1">
        <v>0.4392156862745098</v>
      </c>
      <c r="V22" s="1">
        <v>0.4392156862745098</v>
      </c>
      <c r="W22" s="1">
        <v>0.4392156862745098</v>
      </c>
      <c r="X22" s="1">
        <v>0.29803921568627451</v>
      </c>
      <c r="Y22" s="1">
        <v>0.29803921568627451</v>
      </c>
      <c r="Z22" s="1">
        <v>0.44705882352941179</v>
      </c>
      <c r="AA22" s="1">
        <v>0.29803921568627451</v>
      </c>
      <c r="AB22" s="1">
        <v>0.4392156862745098</v>
      </c>
      <c r="AC22" s="1">
        <v>0.29803921568627451</v>
      </c>
      <c r="AD22" s="1">
        <v>0.29803921568627451</v>
      </c>
      <c r="AE22" s="1">
        <v>0.29803921568627451</v>
      </c>
      <c r="AF22" s="1">
        <v>0.30588235294117649</v>
      </c>
      <c r="AG22" s="1">
        <v>0.43529411764705883</v>
      </c>
      <c r="AH22" s="1">
        <f t="shared" si="1"/>
        <v>0.44705882352941179</v>
      </c>
      <c r="AI22" s="43">
        <f t="shared" si="2"/>
        <v>21.6</v>
      </c>
      <c r="AJ22" s="27">
        <f t="shared" si="3"/>
        <v>0.39803921568627476</v>
      </c>
      <c r="AK22" s="29">
        <f t="shared" si="4"/>
        <v>0.28946078431372579</v>
      </c>
      <c r="AL22" s="17">
        <f t="shared" si="5"/>
        <v>0.25199633414133626</v>
      </c>
      <c r="AM22" s="27">
        <f t="shared" si="8"/>
        <v>0.1434179027687873</v>
      </c>
      <c r="AN22" s="1">
        <f t="shared" si="10"/>
        <v>0.28946078431372579</v>
      </c>
    </row>
    <row r="23" spans="1:40">
      <c r="A23" s="2">
        <f>A22+Calculations!$B$4</f>
        <v>22.6</v>
      </c>
      <c r="B23" s="1">
        <v>0.41568627450980394</v>
      </c>
      <c r="C23" s="1">
        <v>0.41568627450980394</v>
      </c>
      <c r="D23" s="1">
        <v>0.41176470588235292</v>
      </c>
      <c r="E23" s="1">
        <v>0.41568627450980394</v>
      </c>
      <c r="F23" s="1">
        <v>0.41568627450980394</v>
      </c>
      <c r="G23" s="1">
        <v>0.41176470588235292</v>
      </c>
      <c r="H23" s="1">
        <v>0.41176470588235292</v>
      </c>
      <c r="I23" s="1">
        <v>0.41176470588235292</v>
      </c>
      <c r="J23" s="1">
        <v>0.26666666666666666</v>
      </c>
      <c r="K23" s="1">
        <v>0.41176470588235292</v>
      </c>
      <c r="L23" s="1">
        <v>0.41568627450980394</v>
      </c>
      <c r="M23" s="1">
        <v>0.40784313725490196</v>
      </c>
      <c r="N23" s="1">
        <v>0.40784313725490196</v>
      </c>
      <c r="O23" s="1">
        <v>0.40784313725490196</v>
      </c>
      <c r="P23" s="1">
        <v>0.41568627450980394</v>
      </c>
      <c r="Q23" s="1">
        <v>0.41568627450980394</v>
      </c>
      <c r="R23" s="1">
        <v>0.27450980392156865</v>
      </c>
      <c r="S23" s="1">
        <v>0.41568627450980394</v>
      </c>
      <c r="T23" s="1">
        <v>0.40392156862745099</v>
      </c>
      <c r="U23" s="1">
        <v>0.41568627450980394</v>
      </c>
      <c r="V23" s="1">
        <v>0.41568627450980394</v>
      </c>
      <c r="W23" s="1">
        <v>0.41568627450980394</v>
      </c>
      <c r="X23" s="1">
        <v>0.27450980392156865</v>
      </c>
      <c r="Y23" s="1">
        <v>0.27450980392156865</v>
      </c>
      <c r="Z23" s="1">
        <v>0.42352941176470588</v>
      </c>
      <c r="AA23" s="1">
        <v>0.27450980392156865</v>
      </c>
      <c r="AB23" s="1">
        <v>0.41568627450980394</v>
      </c>
      <c r="AC23" s="1">
        <v>0.27450980392156865</v>
      </c>
      <c r="AD23" s="1">
        <v>0.27450980392156865</v>
      </c>
      <c r="AE23" s="1">
        <v>0.26666666666666666</v>
      </c>
      <c r="AF23" s="1">
        <v>0.27843137254901962</v>
      </c>
      <c r="AG23" s="1">
        <v>0.41568627450980394</v>
      </c>
      <c r="AH23" s="1">
        <f t="shared" si="1"/>
        <v>0.42352941176470588</v>
      </c>
      <c r="AI23" s="43">
        <f t="shared" si="2"/>
        <v>22.6</v>
      </c>
      <c r="AJ23" s="27">
        <f t="shared" si="3"/>
        <v>0.37414215686274538</v>
      </c>
      <c r="AK23" s="29">
        <f t="shared" si="4"/>
        <v>0.26556372549019641</v>
      </c>
      <c r="AL23" s="17">
        <f t="shared" si="5"/>
        <v>0.24596714856682655</v>
      </c>
      <c r="AM23" s="27">
        <f t="shared" si="8"/>
        <v>0.13738871719427759</v>
      </c>
      <c r="AN23" s="1">
        <f t="shared" si="10"/>
        <v>0.26556372549019641</v>
      </c>
    </row>
    <row r="24" spans="1:40">
      <c r="A24" s="2">
        <f>A23+Calculations!$B$4</f>
        <v>23.6</v>
      </c>
      <c r="B24" s="1">
        <v>0.39215686274509803</v>
      </c>
      <c r="C24" s="1">
        <v>0.39215686274509803</v>
      </c>
      <c r="D24" s="1">
        <v>0.39215686274509803</v>
      </c>
      <c r="E24" s="1">
        <v>0.39215686274509803</v>
      </c>
      <c r="F24" s="1">
        <v>0.38823529411764707</v>
      </c>
      <c r="G24" s="1">
        <v>0.3843137254901961</v>
      </c>
      <c r="H24" s="1">
        <v>0.3843137254901961</v>
      </c>
      <c r="I24" s="1">
        <v>0.3843137254901961</v>
      </c>
      <c r="J24" s="1">
        <v>0.24313725490196078</v>
      </c>
      <c r="K24" s="1">
        <v>0.38823529411764707</v>
      </c>
      <c r="L24" s="1">
        <v>0.38823529411764707</v>
      </c>
      <c r="M24" s="1">
        <v>0.3843137254901961</v>
      </c>
      <c r="N24" s="1">
        <v>0.38039215686274508</v>
      </c>
      <c r="O24" s="1">
        <v>0.39215686274509803</v>
      </c>
      <c r="P24" s="1">
        <v>0.39215686274509803</v>
      </c>
      <c r="Q24" s="1">
        <v>0.38823529411764707</v>
      </c>
      <c r="R24" s="1">
        <v>0.24705882352941178</v>
      </c>
      <c r="S24" s="1">
        <v>0.38823529411764707</v>
      </c>
      <c r="T24" s="1">
        <v>0.3843137254901961</v>
      </c>
      <c r="U24" s="1">
        <v>0.39215686274509803</v>
      </c>
      <c r="V24" s="1">
        <v>0.396078431372549</v>
      </c>
      <c r="W24" s="1">
        <v>0.38823529411764707</v>
      </c>
      <c r="X24" s="1">
        <v>0.25098039215686274</v>
      </c>
      <c r="Y24" s="1">
        <v>0.24705882352941178</v>
      </c>
      <c r="Z24" s="1">
        <v>0.396078431372549</v>
      </c>
      <c r="AA24" s="1">
        <v>0.25098039215686274</v>
      </c>
      <c r="AB24" s="1">
        <v>0.38823529411764707</v>
      </c>
      <c r="AC24" s="1">
        <v>0.24705882352941178</v>
      </c>
      <c r="AD24" s="1">
        <v>0.24705882352941178</v>
      </c>
      <c r="AE24" s="1">
        <v>0.24313725490196078</v>
      </c>
      <c r="AF24" s="1">
        <v>0.25490196078431371</v>
      </c>
      <c r="AG24" s="1">
        <v>0.39215686274509803</v>
      </c>
      <c r="AH24" s="1">
        <f t="shared" si="1"/>
        <v>0.396078431372549</v>
      </c>
      <c r="AI24" s="43">
        <f t="shared" si="2"/>
        <v>23.6</v>
      </c>
      <c r="AJ24" s="27">
        <f t="shared" si="3"/>
        <v>0.34938725490196082</v>
      </c>
      <c r="AK24" s="29">
        <f t="shared" si="4"/>
        <v>0.24080882352941185</v>
      </c>
      <c r="AL24" s="17">
        <f t="shared" si="5"/>
        <v>0.24043643207119919</v>
      </c>
      <c r="AM24" s="27">
        <f t="shared" si="8"/>
        <v>0.13185800069865022</v>
      </c>
      <c r="AN24" s="1">
        <f t="shared" si="10"/>
        <v>0.24080882352941185</v>
      </c>
    </row>
    <row r="25" spans="1:40">
      <c r="A25" s="2">
        <f>A24+Calculations!$B$4</f>
        <v>24.6</v>
      </c>
      <c r="B25" s="1">
        <v>0.36862745098039218</v>
      </c>
      <c r="C25" s="1">
        <v>0.37647058823529411</v>
      </c>
      <c r="D25" s="1">
        <v>0.36862745098039218</v>
      </c>
      <c r="E25" s="1">
        <v>0.37647058823529411</v>
      </c>
      <c r="F25" s="1">
        <v>0.37254901960784315</v>
      </c>
      <c r="G25" s="1">
        <v>0.37254901960784315</v>
      </c>
      <c r="H25" s="1">
        <v>0.36862745098039218</v>
      </c>
      <c r="I25" s="1">
        <v>0.36862745098039218</v>
      </c>
      <c r="J25" s="1">
        <v>0.22352941176470589</v>
      </c>
      <c r="K25" s="1">
        <v>0.36862745098039218</v>
      </c>
      <c r="L25" s="1">
        <v>0.36862745098039218</v>
      </c>
      <c r="M25" s="1">
        <v>0.37254901960784315</v>
      </c>
      <c r="N25" s="1">
        <v>0.36470588235294116</v>
      </c>
      <c r="O25" s="1">
        <v>0.36862745098039218</v>
      </c>
      <c r="P25" s="1">
        <v>0.37254901960784315</v>
      </c>
      <c r="Q25" s="1">
        <v>0.36862745098039218</v>
      </c>
      <c r="R25" s="1">
        <v>0.23137254901960785</v>
      </c>
      <c r="S25" s="1">
        <v>0.37254901960784315</v>
      </c>
      <c r="T25" s="1">
        <v>0.36078431372549019</v>
      </c>
      <c r="U25" s="1">
        <v>0.36862745098039218</v>
      </c>
      <c r="V25" s="1">
        <v>0.36862745098039218</v>
      </c>
      <c r="W25" s="1">
        <v>0.36470588235294116</v>
      </c>
      <c r="X25" s="1">
        <v>0.22745098039215686</v>
      </c>
      <c r="Y25" s="1">
        <v>0.23137254901960785</v>
      </c>
      <c r="Z25" s="1">
        <v>0.38039215686274508</v>
      </c>
      <c r="AA25" s="1">
        <v>0.22745098039215686</v>
      </c>
      <c r="AB25" s="1">
        <v>0.37647058823529411</v>
      </c>
      <c r="AC25" s="1">
        <v>0.22352941176470589</v>
      </c>
      <c r="AD25" s="1">
        <v>0.23529411764705882</v>
      </c>
      <c r="AE25" s="1">
        <v>0.22745098039215686</v>
      </c>
      <c r="AF25" s="1">
        <v>0.24313725490196078</v>
      </c>
      <c r="AG25" s="1">
        <v>0.37254901960784315</v>
      </c>
      <c r="AH25" s="1">
        <f t="shared" si="1"/>
        <v>0.38039215686274508</v>
      </c>
      <c r="AI25" s="43">
        <f t="shared" si="2"/>
        <v>24.6</v>
      </c>
      <c r="AJ25" s="1">
        <f t="shared" si="3"/>
        <v>0.33100490196078419</v>
      </c>
      <c r="AK25" s="27">
        <f t="shared" si="4"/>
        <v>0.22242647058823523</v>
      </c>
      <c r="AL25" s="17">
        <f t="shared" ref="AL25:AL31" si="11">AK$1+AL$1*AI25^AM$1</f>
        <v>0.23534436537690506</v>
      </c>
      <c r="AM25" s="27">
        <f t="shared" ref="AM25:AM31" si="12">AL25-AK$1</f>
        <v>0.1267659340043561</v>
      </c>
      <c r="AN25" s="1">
        <f t="shared" si="10"/>
        <v>0.22242647058823523</v>
      </c>
    </row>
    <row r="26" spans="1:40">
      <c r="A26" s="2">
        <f>A25+Calculations!$B$4</f>
        <v>25.6</v>
      </c>
      <c r="B26" s="1">
        <v>0.35686274509803922</v>
      </c>
      <c r="C26" s="1">
        <v>0.35686274509803922</v>
      </c>
      <c r="D26" s="1">
        <v>0.35294117647058826</v>
      </c>
      <c r="E26" s="1">
        <v>0.35294117647058826</v>
      </c>
      <c r="F26" s="1">
        <v>0.34901960784313724</v>
      </c>
      <c r="G26" s="1">
        <v>0.34509803921568627</v>
      </c>
      <c r="H26" s="1">
        <v>0.35294117647058826</v>
      </c>
      <c r="I26" s="1">
        <v>0.34509803921568627</v>
      </c>
      <c r="J26" s="1">
        <v>0.21176470588235294</v>
      </c>
      <c r="K26" s="1">
        <v>0.34901960784313724</v>
      </c>
      <c r="L26" s="1">
        <v>0.34901960784313724</v>
      </c>
      <c r="M26" s="1">
        <v>0.34509803921568627</v>
      </c>
      <c r="N26" s="1">
        <v>0.34509803921568627</v>
      </c>
      <c r="O26" s="1">
        <v>0.34509803921568627</v>
      </c>
      <c r="P26" s="1">
        <v>0.35686274509803922</v>
      </c>
      <c r="Q26" s="1">
        <v>0.35294117647058826</v>
      </c>
      <c r="R26" s="1">
        <v>0.20392156862745098</v>
      </c>
      <c r="S26" s="1">
        <v>0.35294117647058826</v>
      </c>
      <c r="T26" s="1">
        <v>0.34901960784313724</v>
      </c>
      <c r="U26" s="1">
        <v>0.35294117647058826</v>
      </c>
      <c r="V26" s="1">
        <v>0.34901960784313724</v>
      </c>
      <c r="W26" s="1">
        <v>0.34901960784313724</v>
      </c>
      <c r="X26" s="1">
        <v>0.20784313725490197</v>
      </c>
      <c r="Y26" s="1">
        <v>0.21176470588235294</v>
      </c>
      <c r="Z26" s="1">
        <v>0.36078431372549019</v>
      </c>
      <c r="AA26" s="1">
        <v>0.20392156862745098</v>
      </c>
      <c r="AB26" s="1">
        <v>0.35686274509803922</v>
      </c>
      <c r="AC26" s="1">
        <v>0.20392156862745098</v>
      </c>
      <c r="AD26" s="1">
        <v>0.20784313725490197</v>
      </c>
      <c r="AE26" s="1">
        <v>0.21176470588235294</v>
      </c>
      <c r="AF26" s="1">
        <v>0.21568627450980393</v>
      </c>
      <c r="AG26" s="1">
        <v>0.35294117647058826</v>
      </c>
      <c r="AH26" s="1">
        <f t="shared" si="1"/>
        <v>0.36078431372549019</v>
      </c>
      <c r="AI26" s="43">
        <f t="shared" si="2"/>
        <v>25.6</v>
      </c>
      <c r="AJ26" s="1">
        <f t="shared" si="3"/>
        <v>0.31115196078431356</v>
      </c>
      <c r="AK26" s="27">
        <f t="shared" si="4"/>
        <v>0.2025735294117646</v>
      </c>
      <c r="AL26" s="17">
        <f t="shared" si="11"/>
        <v>0.23064036632065832</v>
      </c>
      <c r="AM26" s="27">
        <f t="shared" si="12"/>
        <v>0.12206193494810934</v>
      </c>
      <c r="AN26" s="1">
        <f t="shared" si="10"/>
        <v>0.2025735294117646</v>
      </c>
    </row>
    <row r="27" spans="1:40">
      <c r="A27" s="2">
        <f>A26+Calculations!$B$4</f>
        <v>26.6</v>
      </c>
      <c r="B27" s="1">
        <v>0.33333333333333331</v>
      </c>
      <c r="C27" s="1">
        <v>0.3411764705882353</v>
      </c>
      <c r="D27" s="1">
        <v>0.33333333333333331</v>
      </c>
      <c r="E27" s="1">
        <v>0.33333333333333331</v>
      </c>
      <c r="F27" s="1">
        <v>0.33333333333333331</v>
      </c>
      <c r="G27" s="1">
        <v>0.33333333333333331</v>
      </c>
      <c r="H27" s="1">
        <v>0.33333333333333331</v>
      </c>
      <c r="I27" s="1">
        <v>0.32941176470588235</v>
      </c>
      <c r="J27" s="1">
        <v>0.18823529411764706</v>
      </c>
      <c r="K27" s="1">
        <v>0.32941176470588235</v>
      </c>
      <c r="L27" s="1">
        <v>0.33333333333333331</v>
      </c>
      <c r="M27" s="1">
        <v>0.32549019607843138</v>
      </c>
      <c r="N27" s="1">
        <v>0.32941176470588235</v>
      </c>
      <c r="O27" s="1">
        <v>0.32941176470588235</v>
      </c>
      <c r="P27" s="1">
        <v>0.33725490196078434</v>
      </c>
      <c r="Q27" s="1">
        <v>0.33725490196078434</v>
      </c>
      <c r="R27" s="1">
        <v>0.18823529411764706</v>
      </c>
      <c r="S27" s="1">
        <v>0.33725490196078434</v>
      </c>
      <c r="T27" s="1">
        <v>0.32549019607843138</v>
      </c>
      <c r="U27" s="1">
        <v>0.33725490196078434</v>
      </c>
      <c r="V27" s="1">
        <v>0.33333333333333331</v>
      </c>
      <c r="W27" s="1">
        <v>0.33333333333333331</v>
      </c>
      <c r="X27" s="1">
        <v>0.19607843137254902</v>
      </c>
      <c r="Y27" s="1">
        <v>0.2</v>
      </c>
      <c r="Z27" s="1">
        <v>0.3411764705882353</v>
      </c>
      <c r="AA27" s="1">
        <v>0.19215686274509805</v>
      </c>
      <c r="AB27" s="1">
        <v>0.33725490196078434</v>
      </c>
      <c r="AC27" s="1">
        <v>0.19607843137254902</v>
      </c>
      <c r="AD27" s="1">
        <v>0.19607843137254902</v>
      </c>
      <c r="AE27" s="1">
        <v>0.20392156862745098</v>
      </c>
      <c r="AF27" s="1">
        <v>0.19607843137254902</v>
      </c>
      <c r="AG27" s="1">
        <v>0.33725490196078434</v>
      </c>
      <c r="AH27" s="1">
        <f t="shared" si="1"/>
        <v>0.3411764705882353</v>
      </c>
      <c r="AI27" s="43">
        <f t="shared" si="2"/>
        <v>26.6</v>
      </c>
      <c r="AJ27" s="1">
        <f t="shared" si="3"/>
        <v>0.29473039215686264</v>
      </c>
      <c r="AK27" s="27">
        <f t="shared" si="4"/>
        <v>0.18615196078431367</v>
      </c>
      <c r="AL27" s="17">
        <f t="shared" si="11"/>
        <v>0.22628136954677314</v>
      </c>
      <c r="AM27" s="27">
        <f t="shared" si="12"/>
        <v>0.11770293817422416</v>
      </c>
      <c r="AN27" s="1">
        <f t="shared" si="10"/>
        <v>0.18615196078431367</v>
      </c>
    </row>
    <row r="28" spans="1:40">
      <c r="A28" s="2">
        <f>A27+Calculations!$B$4</f>
        <v>27.6</v>
      </c>
      <c r="B28" s="1">
        <v>0.31764705882352939</v>
      </c>
      <c r="C28" s="1">
        <v>0.32549019607843138</v>
      </c>
      <c r="D28" s="1">
        <v>0.31764705882352939</v>
      </c>
      <c r="E28" s="1">
        <v>0.32156862745098042</v>
      </c>
      <c r="F28" s="1">
        <v>0.32549019607843138</v>
      </c>
      <c r="G28" s="1">
        <v>0.31764705882352939</v>
      </c>
      <c r="H28" s="1">
        <v>0.32156862745098042</v>
      </c>
      <c r="I28" s="1">
        <v>0.31372549019607843</v>
      </c>
      <c r="J28" s="1">
        <v>0.17254901960784313</v>
      </c>
      <c r="K28" s="1">
        <v>0.30980392156862746</v>
      </c>
      <c r="L28" s="1">
        <v>0.32156862745098042</v>
      </c>
      <c r="M28" s="1">
        <v>0.30980392156862746</v>
      </c>
      <c r="N28" s="1">
        <v>0.31764705882352939</v>
      </c>
      <c r="O28" s="1">
        <v>0.30980392156862746</v>
      </c>
      <c r="P28" s="1">
        <v>0.32549019607843138</v>
      </c>
      <c r="Q28" s="1">
        <v>0.32549019607843138</v>
      </c>
      <c r="R28" s="1">
        <v>0.16862745098039217</v>
      </c>
      <c r="S28" s="1">
        <v>0.32156862745098042</v>
      </c>
      <c r="T28" s="1">
        <v>0.30980392156862746</v>
      </c>
      <c r="U28" s="1">
        <v>0.32156862745098042</v>
      </c>
      <c r="V28" s="1">
        <v>0.31764705882352939</v>
      </c>
      <c r="W28" s="1">
        <v>0.31764705882352939</v>
      </c>
      <c r="X28" s="1">
        <v>0.1803921568627451</v>
      </c>
      <c r="Y28" s="1">
        <v>0.1803921568627451</v>
      </c>
      <c r="Z28" s="1">
        <v>0.32156862745098042</v>
      </c>
      <c r="AA28" s="1">
        <v>0.17254901960784313</v>
      </c>
      <c r="AB28" s="1">
        <v>0.32156862745098042</v>
      </c>
      <c r="AC28" s="1">
        <v>0.17647058823529413</v>
      </c>
      <c r="AD28" s="1">
        <v>0.17647058823529413</v>
      </c>
      <c r="AE28" s="1">
        <v>0.17647058823529413</v>
      </c>
      <c r="AF28" s="1">
        <v>0.18431372549019609</v>
      </c>
      <c r="AG28" s="1">
        <v>0.32156862745098042</v>
      </c>
      <c r="AH28" s="1">
        <f t="shared" si="1"/>
        <v>0.32549019607843138</v>
      </c>
      <c r="AI28" s="43">
        <f t="shared" si="2"/>
        <v>27.6</v>
      </c>
      <c r="AJ28" s="1">
        <f t="shared" si="3"/>
        <v>0.27879901960784303</v>
      </c>
      <c r="AK28" s="27">
        <f t="shared" si="4"/>
        <v>0.17022058823529407</v>
      </c>
      <c r="AL28" s="17">
        <f t="shared" si="11"/>
        <v>0.22223047736052065</v>
      </c>
      <c r="AM28" s="27">
        <f t="shared" si="12"/>
        <v>0.11365204598797167</v>
      </c>
      <c r="AN28" s="1">
        <f t="shared" si="10"/>
        <v>0.17022058823529407</v>
      </c>
    </row>
    <row r="29" spans="1:40">
      <c r="A29" s="2">
        <f>A28+Calculations!$B$4</f>
        <v>28.6</v>
      </c>
      <c r="B29" s="1">
        <v>0.30980392156862746</v>
      </c>
      <c r="C29" s="1">
        <v>0.30980392156862746</v>
      </c>
      <c r="D29" s="1">
        <v>0.30980392156862746</v>
      </c>
      <c r="E29" s="1">
        <v>0.31372549019607843</v>
      </c>
      <c r="F29" s="1">
        <v>0.31372549019607843</v>
      </c>
      <c r="G29" s="1">
        <v>0.30980392156862746</v>
      </c>
      <c r="H29" s="1">
        <v>0.30588235294117649</v>
      </c>
      <c r="I29" s="1">
        <v>0.30588235294117649</v>
      </c>
      <c r="J29" s="1">
        <v>0.16078431372549021</v>
      </c>
      <c r="K29" s="1">
        <v>0.30196078431372547</v>
      </c>
      <c r="L29" s="1">
        <v>0.30980392156862746</v>
      </c>
      <c r="M29" s="1">
        <v>0.29803921568627451</v>
      </c>
      <c r="N29" s="1">
        <v>0.30588235294117649</v>
      </c>
      <c r="O29" s="1">
        <v>0.29803921568627451</v>
      </c>
      <c r="P29" s="1">
        <v>0.32156862745098042</v>
      </c>
      <c r="Q29" s="1">
        <v>0.31764705882352939</v>
      </c>
      <c r="R29" s="1">
        <v>0.16078431372549021</v>
      </c>
      <c r="S29" s="1">
        <v>0.30980392156862746</v>
      </c>
      <c r="T29" s="1">
        <v>0.29803921568627451</v>
      </c>
      <c r="U29" s="1">
        <v>0.30980392156862746</v>
      </c>
      <c r="V29" s="1">
        <v>0.30980392156862746</v>
      </c>
      <c r="W29" s="1">
        <v>0.30588235294117649</v>
      </c>
      <c r="X29" s="1">
        <v>0.16862745098039217</v>
      </c>
      <c r="Y29" s="1">
        <v>0.16862745098039217</v>
      </c>
      <c r="Z29" s="1">
        <v>0.30980392156862746</v>
      </c>
      <c r="AA29" s="1">
        <v>0.16470588235294117</v>
      </c>
      <c r="AB29" s="1">
        <v>0.30588235294117649</v>
      </c>
      <c r="AC29" s="1">
        <v>0.16470588235294117</v>
      </c>
      <c r="AD29" s="1">
        <v>0.17254901960784313</v>
      </c>
      <c r="AE29" s="1">
        <v>0.17254901960784313</v>
      </c>
      <c r="AF29" s="1">
        <v>0.17254901960784313</v>
      </c>
      <c r="AG29" s="1">
        <v>0.31372549019607843</v>
      </c>
      <c r="AH29" s="1">
        <f t="shared" si="1"/>
        <v>0.32156862745098042</v>
      </c>
      <c r="AI29" s="43">
        <f t="shared" si="2"/>
        <v>28.6</v>
      </c>
      <c r="AJ29" s="1">
        <f t="shared" si="3"/>
        <v>0.26874999999999999</v>
      </c>
      <c r="AK29" s="27">
        <f t="shared" si="4"/>
        <v>0.16017156862745102</v>
      </c>
      <c r="AL29" s="17">
        <f t="shared" si="11"/>
        <v>0.21845589147524958</v>
      </c>
      <c r="AM29" s="27">
        <f t="shared" si="12"/>
        <v>0.10987746010270059</v>
      </c>
      <c r="AN29" s="1">
        <f t="shared" si="10"/>
        <v>0.16017156862745102</v>
      </c>
    </row>
    <row r="30" spans="1:40">
      <c r="A30" s="2">
        <f>A29+Calculations!$B$4</f>
        <v>29.6</v>
      </c>
      <c r="B30" s="1">
        <v>0.30196078431372547</v>
      </c>
      <c r="C30" s="1">
        <v>0.30196078431372547</v>
      </c>
      <c r="D30" s="1">
        <v>0.30196078431372547</v>
      </c>
      <c r="E30" s="1">
        <v>0.30588235294117649</v>
      </c>
      <c r="F30" s="1">
        <v>0.30196078431372547</v>
      </c>
      <c r="G30" s="1">
        <v>0.29411764705882354</v>
      </c>
      <c r="H30" s="1">
        <v>0.29803921568627451</v>
      </c>
      <c r="I30" s="1">
        <v>0.29411764705882354</v>
      </c>
      <c r="J30" s="1">
        <v>0.15294117647058825</v>
      </c>
      <c r="K30" s="1">
        <v>0.29411764705882354</v>
      </c>
      <c r="L30" s="1">
        <v>0.29411764705882354</v>
      </c>
      <c r="M30" s="1">
        <v>0.28627450980392155</v>
      </c>
      <c r="N30" s="1">
        <v>0.29019607843137257</v>
      </c>
      <c r="O30" s="1">
        <v>0.29411764705882354</v>
      </c>
      <c r="P30" s="1">
        <v>0.30980392156862746</v>
      </c>
      <c r="Q30" s="1">
        <v>0.30588235294117649</v>
      </c>
      <c r="R30" s="1">
        <v>0.14901960784313725</v>
      </c>
      <c r="S30" s="1">
        <v>0.29411764705882354</v>
      </c>
      <c r="T30" s="1">
        <v>0.28235294117647058</v>
      </c>
      <c r="U30" s="1">
        <v>0.29803921568627451</v>
      </c>
      <c r="V30" s="1">
        <v>0.29803921568627451</v>
      </c>
      <c r="W30" s="1">
        <v>0.30196078431372547</v>
      </c>
      <c r="X30" s="1">
        <v>0.16078431372549021</v>
      </c>
      <c r="Y30" s="1">
        <v>0.15294117647058825</v>
      </c>
      <c r="Z30" s="1">
        <v>0.29803921568627451</v>
      </c>
      <c r="AA30" s="1">
        <v>0.15294117647058825</v>
      </c>
      <c r="AB30" s="1">
        <v>0.30196078431372547</v>
      </c>
      <c r="AC30" s="1">
        <v>0.15294117647058825</v>
      </c>
      <c r="AD30" s="1">
        <v>0.15686274509803921</v>
      </c>
      <c r="AE30" s="1">
        <v>0.16078431372549021</v>
      </c>
      <c r="AF30" s="1">
        <v>0.16078431372549021</v>
      </c>
      <c r="AG30" s="1">
        <v>0.30196078431372547</v>
      </c>
      <c r="AH30" s="1">
        <f t="shared" si="1"/>
        <v>0.30980392156862746</v>
      </c>
      <c r="AI30" s="43">
        <f t="shared" si="2"/>
        <v>29.6</v>
      </c>
      <c r="AJ30" s="1">
        <f t="shared" si="3"/>
        <v>0.25784313725490199</v>
      </c>
      <c r="AK30" s="27">
        <f t="shared" si="4"/>
        <v>0.14926470588235302</v>
      </c>
      <c r="AL30" s="17">
        <f t="shared" si="11"/>
        <v>0.21493005964989848</v>
      </c>
      <c r="AM30" s="27">
        <f t="shared" si="12"/>
        <v>0.10635162827734949</v>
      </c>
      <c r="AN30" s="1">
        <f t="shared" si="10"/>
        <v>0.14926470588235302</v>
      </c>
    </row>
    <row r="31" spans="1:40">
      <c r="A31" s="2">
        <f>A30+Calculations!$B$4</f>
        <v>30.6</v>
      </c>
      <c r="B31" s="1">
        <v>0.28627450980392155</v>
      </c>
      <c r="C31" s="1">
        <v>0.28627450980392155</v>
      </c>
      <c r="D31" s="1">
        <v>0.29019607843137257</v>
      </c>
      <c r="E31" s="1">
        <v>0.29019607843137257</v>
      </c>
      <c r="F31" s="1">
        <v>0.29411764705882354</v>
      </c>
      <c r="G31" s="1">
        <v>0.28627450980392155</v>
      </c>
      <c r="H31" s="1">
        <v>0.27843137254901962</v>
      </c>
      <c r="I31" s="1">
        <v>0.28235294117647058</v>
      </c>
      <c r="J31" s="1">
        <v>0.13725490196078433</v>
      </c>
      <c r="K31" s="1">
        <v>0.28627450980392155</v>
      </c>
      <c r="L31" s="1">
        <v>0.28627450980392155</v>
      </c>
      <c r="M31" s="1">
        <v>0.28235294117647058</v>
      </c>
      <c r="N31" s="1">
        <v>0.29019607843137257</v>
      </c>
      <c r="O31" s="1">
        <v>0.27843137254901962</v>
      </c>
      <c r="P31" s="1">
        <v>0.29019607843137257</v>
      </c>
      <c r="Q31" s="1">
        <v>0.29803921568627451</v>
      </c>
      <c r="R31" s="1">
        <v>0.13725490196078433</v>
      </c>
      <c r="S31" s="1">
        <v>0.29411764705882354</v>
      </c>
      <c r="T31" s="1">
        <v>0.27450980392156865</v>
      </c>
      <c r="U31" s="1">
        <v>0.28627450980392155</v>
      </c>
      <c r="V31" s="1">
        <v>0.28235294117647058</v>
      </c>
      <c r="W31" s="1">
        <v>0.28627450980392155</v>
      </c>
      <c r="X31" s="1">
        <v>0.14901960784313725</v>
      </c>
      <c r="Y31" s="1">
        <v>0.14117647058823529</v>
      </c>
      <c r="Z31" s="1">
        <v>0.29411764705882354</v>
      </c>
      <c r="AA31" s="1">
        <v>0.14509803921568629</v>
      </c>
      <c r="AB31" s="1">
        <v>0.29803921568627451</v>
      </c>
      <c r="AC31" s="1">
        <v>0.14509803921568629</v>
      </c>
      <c r="AD31" s="1">
        <v>0.15294117647058825</v>
      </c>
      <c r="AE31" s="1">
        <v>0.14509803921568629</v>
      </c>
      <c r="AF31" s="1">
        <v>0.14509803921568629</v>
      </c>
      <c r="AG31" s="1">
        <v>0.29411764705882354</v>
      </c>
      <c r="AH31" s="1">
        <f t="shared" si="1"/>
        <v>0.29803921568627451</v>
      </c>
      <c r="AI31" s="43">
        <f t="shared" si="2"/>
        <v>30.6</v>
      </c>
      <c r="AJ31" s="1">
        <f t="shared" si="3"/>
        <v>0.24730392156862749</v>
      </c>
      <c r="AK31" s="27">
        <f t="shared" si="4"/>
        <v>0.13872549019607849</v>
      </c>
      <c r="AL31" s="17">
        <f t="shared" si="11"/>
        <v>0.21162898837441696</v>
      </c>
      <c r="AM31" s="27">
        <f t="shared" si="12"/>
        <v>0.10305055700186798</v>
      </c>
      <c r="AN31" s="1">
        <f t="shared" si="10"/>
        <v>0.13872549019607849</v>
      </c>
    </row>
    <row r="32" spans="1:40">
      <c r="A32" s="2">
        <f>A31+Calculations!$B$4</f>
        <v>31.6</v>
      </c>
      <c r="B32" s="1">
        <v>0.27843137254901962</v>
      </c>
      <c r="C32" s="1">
        <v>0.27843137254901962</v>
      </c>
      <c r="D32" s="1">
        <v>0.28235294117647058</v>
      </c>
      <c r="E32" s="1">
        <v>0.28627450980392155</v>
      </c>
      <c r="F32" s="1">
        <v>0.28235294117647058</v>
      </c>
      <c r="G32" s="1">
        <v>0.27843137254901962</v>
      </c>
      <c r="H32" s="1">
        <v>0.27058823529411763</v>
      </c>
      <c r="I32" s="1">
        <v>0.27058823529411763</v>
      </c>
      <c r="J32" s="1">
        <v>0.12941176470588237</v>
      </c>
      <c r="K32" s="1">
        <v>0.27450980392156865</v>
      </c>
      <c r="L32" s="1">
        <v>0.27450980392156865</v>
      </c>
      <c r="M32" s="1">
        <v>0.27058823529411763</v>
      </c>
      <c r="N32" s="1">
        <v>0.27450980392156865</v>
      </c>
      <c r="O32" s="1">
        <v>0.27058823529411763</v>
      </c>
      <c r="P32" s="1">
        <v>0.28235294117647058</v>
      </c>
      <c r="Q32" s="1">
        <v>0.28627450980392155</v>
      </c>
      <c r="R32" s="1">
        <v>0.12941176470588237</v>
      </c>
      <c r="S32" s="1">
        <v>0.27843137254901962</v>
      </c>
      <c r="T32" s="1">
        <v>0.2627450980392157</v>
      </c>
      <c r="U32" s="1">
        <v>0.27450980392156865</v>
      </c>
      <c r="V32" s="1">
        <v>0.27843137254901962</v>
      </c>
      <c r="W32" s="1">
        <v>0.27843137254901962</v>
      </c>
      <c r="X32" s="1">
        <v>0.13725490196078433</v>
      </c>
      <c r="Y32" s="1">
        <v>0.13333333333333333</v>
      </c>
      <c r="Z32" s="1">
        <v>0.28627450980392155</v>
      </c>
      <c r="AA32" s="1">
        <v>0.13333333333333333</v>
      </c>
      <c r="AB32" s="1">
        <v>0.27843137254901962</v>
      </c>
      <c r="AC32" s="1">
        <v>0.13725490196078433</v>
      </c>
      <c r="AD32" s="1">
        <v>0.13725490196078433</v>
      </c>
      <c r="AE32" s="1">
        <v>0.13333333333333333</v>
      </c>
      <c r="AF32" s="1">
        <v>0.14117647058823529</v>
      </c>
      <c r="AG32" s="1">
        <v>0.27843137254901962</v>
      </c>
      <c r="AH32" s="1">
        <f t="shared" si="1"/>
        <v>0.28627450980392155</v>
      </c>
      <c r="AI32" s="16">
        <f t="shared" si="2"/>
        <v>31.6</v>
      </c>
      <c r="AJ32" s="1">
        <f t="shared" si="3"/>
        <v>0.23713235294117652</v>
      </c>
      <c r="AK32" s="27">
        <f t="shared" si="4"/>
        <v>0.12855392156862755</v>
      </c>
      <c r="AN32" s="1">
        <f t="shared" si="10"/>
        <v>0.12855392156862755</v>
      </c>
    </row>
    <row r="33" spans="1:40">
      <c r="A33" s="2">
        <f>A32+Calculations!$B$4</f>
        <v>32.6</v>
      </c>
      <c r="B33" s="1">
        <v>0.27058823529411763</v>
      </c>
      <c r="C33" s="1">
        <v>0.27058823529411763</v>
      </c>
      <c r="D33" s="1">
        <v>0.27450980392156865</v>
      </c>
      <c r="E33" s="1">
        <v>0.27843137254901962</v>
      </c>
      <c r="F33" s="1">
        <v>0.27058823529411763</v>
      </c>
      <c r="G33" s="1">
        <v>0.27450980392156865</v>
      </c>
      <c r="H33" s="1">
        <v>0.2627450980392157</v>
      </c>
      <c r="I33" s="1">
        <v>0.2627450980392157</v>
      </c>
      <c r="J33" s="1">
        <v>0.12549019607843137</v>
      </c>
      <c r="K33" s="1">
        <v>0.2627450980392157</v>
      </c>
      <c r="L33" s="1">
        <v>0.26666666666666666</v>
      </c>
      <c r="M33" s="1">
        <v>0.2627450980392157</v>
      </c>
      <c r="N33" s="1">
        <v>0.2627450980392157</v>
      </c>
      <c r="O33" s="1">
        <v>0.25882352941176473</v>
      </c>
      <c r="P33" s="1">
        <v>0.27450980392156865</v>
      </c>
      <c r="Q33" s="1">
        <v>0.27058823529411763</v>
      </c>
      <c r="R33" s="1">
        <v>0.12156862745098039</v>
      </c>
      <c r="S33" s="1">
        <v>0.27058823529411763</v>
      </c>
      <c r="T33" s="1">
        <v>0.25490196078431371</v>
      </c>
      <c r="U33" s="1">
        <v>0.2627450980392157</v>
      </c>
      <c r="V33" s="1">
        <v>0.2627450980392157</v>
      </c>
      <c r="W33" s="1">
        <v>0.26666666666666666</v>
      </c>
      <c r="X33" s="1">
        <v>0.12941176470588237</v>
      </c>
      <c r="Y33" s="1">
        <v>0.12156862745098039</v>
      </c>
      <c r="Z33" s="1">
        <v>0.28235294117647058</v>
      </c>
      <c r="AA33" s="1">
        <v>0.12941176470588237</v>
      </c>
      <c r="AB33" s="1">
        <v>0.27058823529411763</v>
      </c>
      <c r="AC33" s="1">
        <v>0.12941176470588237</v>
      </c>
      <c r="AD33" s="1">
        <v>0.12941176470588237</v>
      </c>
      <c r="AE33" s="1">
        <v>0.12549019607843137</v>
      </c>
      <c r="AF33" s="1">
        <v>0.12941176470588237</v>
      </c>
      <c r="AG33" s="1">
        <v>0.27058823529411763</v>
      </c>
      <c r="AH33" s="1">
        <f t="shared" si="1"/>
        <v>0.28235294117647058</v>
      </c>
      <c r="AI33" s="16">
        <f t="shared" si="2"/>
        <v>32.6</v>
      </c>
      <c r="AJ33" s="1">
        <f t="shared" si="3"/>
        <v>0.22830882352941179</v>
      </c>
      <c r="AK33" s="27">
        <f t="shared" si="4"/>
        <v>0.11973039215686281</v>
      </c>
      <c r="AN33" s="1">
        <f t="shared" si="10"/>
        <v>0.11973039215686281</v>
      </c>
    </row>
    <row r="34" spans="1:40">
      <c r="A34" s="2">
        <f>A33+Calculations!$B$4</f>
        <v>33.6</v>
      </c>
      <c r="B34" s="1">
        <v>0.26666666666666666</v>
      </c>
      <c r="C34" s="1">
        <v>0.2627450980392157</v>
      </c>
      <c r="D34" s="1">
        <v>0.2627450980392157</v>
      </c>
      <c r="E34" s="1">
        <v>0.2627450980392157</v>
      </c>
      <c r="F34" s="1">
        <v>0.2627450980392157</v>
      </c>
      <c r="G34" s="1">
        <v>0.2627450980392157</v>
      </c>
      <c r="H34" s="1">
        <v>0.25490196078431371</v>
      </c>
      <c r="I34" s="1">
        <v>0.25490196078431371</v>
      </c>
      <c r="J34" s="1">
        <v>0.11372549019607843</v>
      </c>
      <c r="K34" s="1">
        <v>0.25490196078431371</v>
      </c>
      <c r="L34" s="1">
        <v>0.2627450980392157</v>
      </c>
      <c r="M34" s="1">
        <v>0.25490196078431371</v>
      </c>
      <c r="N34" s="1">
        <v>0.25490196078431371</v>
      </c>
      <c r="O34" s="1">
        <v>0.25490196078431371</v>
      </c>
      <c r="P34" s="1">
        <v>0.26666666666666666</v>
      </c>
      <c r="Q34" s="1">
        <v>0.2627450980392157</v>
      </c>
      <c r="R34" s="1">
        <v>0.10980392156862745</v>
      </c>
      <c r="S34" s="1">
        <v>0.25882352941176473</v>
      </c>
      <c r="T34" s="1">
        <v>0.24705882352941178</v>
      </c>
      <c r="U34" s="1">
        <v>0.25490196078431371</v>
      </c>
      <c r="V34" s="1">
        <v>0.25490196078431371</v>
      </c>
      <c r="W34" s="1">
        <v>0.25882352941176473</v>
      </c>
      <c r="X34" s="1">
        <v>0.12549019607843137</v>
      </c>
      <c r="Y34" s="1">
        <v>0.11372549019607843</v>
      </c>
      <c r="Z34" s="1">
        <v>0.27058823529411763</v>
      </c>
      <c r="AA34" s="1">
        <v>0.12549019607843137</v>
      </c>
      <c r="AB34" s="1">
        <v>0.25882352941176473</v>
      </c>
      <c r="AC34" s="1">
        <v>0.12156862745098039</v>
      </c>
      <c r="AD34" s="1">
        <v>0.12156862745098039</v>
      </c>
      <c r="AE34" s="1">
        <v>0.11372549019607843</v>
      </c>
      <c r="AF34" s="1">
        <v>0.12156862745098039</v>
      </c>
      <c r="AG34" s="1">
        <v>0.2627450980392157</v>
      </c>
      <c r="AH34" s="1">
        <f t="shared" si="1"/>
        <v>0.27058823529411763</v>
      </c>
      <c r="AI34" s="16">
        <f t="shared" si="2"/>
        <v>33.6</v>
      </c>
      <c r="AJ34" s="1">
        <f t="shared" si="3"/>
        <v>0.21985294117647053</v>
      </c>
      <c r="AK34" s="27">
        <f t="shared" si="4"/>
        <v>0.11127450980392155</v>
      </c>
      <c r="AN34" s="1">
        <f t="shared" si="10"/>
        <v>0.11127450980392155</v>
      </c>
    </row>
    <row r="35" spans="1:40">
      <c r="A35" s="2">
        <f>A34+Calculations!$B$4</f>
        <v>34.6</v>
      </c>
      <c r="B35" s="1">
        <v>0.25490196078431371</v>
      </c>
      <c r="C35" s="1">
        <v>0.25098039215686274</v>
      </c>
      <c r="D35" s="1">
        <v>0.25490196078431371</v>
      </c>
      <c r="E35" s="1">
        <v>0.25882352941176473</v>
      </c>
      <c r="F35" s="1">
        <v>0.2627450980392157</v>
      </c>
      <c r="G35" s="1">
        <v>0.25490196078431371</v>
      </c>
      <c r="H35" s="1">
        <v>0.25490196078431371</v>
      </c>
      <c r="I35" s="1">
        <v>0.23921568627450981</v>
      </c>
      <c r="J35" s="1">
        <v>0.11372549019607843</v>
      </c>
      <c r="K35" s="1">
        <v>0.24705882352941178</v>
      </c>
      <c r="L35" s="1">
        <v>0.25098039215686274</v>
      </c>
      <c r="M35" s="1">
        <v>0.24313725490196078</v>
      </c>
      <c r="N35" s="1">
        <v>0.24705882352941178</v>
      </c>
      <c r="O35" s="1">
        <v>0.24705882352941178</v>
      </c>
      <c r="P35" s="1">
        <v>0.25490196078431371</v>
      </c>
      <c r="Q35" s="1">
        <v>0.25490196078431371</v>
      </c>
      <c r="R35" s="1">
        <v>0.10196078431372549</v>
      </c>
      <c r="S35" s="1">
        <v>0.24705882352941178</v>
      </c>
      <c r="T35" s="1">
        <v>0.23921568627450981</v>
      </c>
      <c r="U35" s="1">
        <v>0.25098039215686274</v>
      </c>
      <c r="V35" s="1">
        <v>0.24705882352941178</v>
      </c>
      <c r="W35" s="1">
        <v>0.24705882352941178</v>
      </c>
      <c r="X35" s="1">
        <v>0.11764705882352941</v>
      </c>
      <c r="Y35" s="1">
        <v>0.10588235294117647</v>
      </c>
      <c r="Z35" s="1">
        <v>0.2627450980392157</v>
      </c>
      <c r="AA35" s="1">
        <v>0.11372549019607843</v>
      </c>
      <c r="AB35" s="1">
        <v>0.25098039215686274</v>
      </c>
      <c r="AC35" s="1">
        <v>0.11764705882352941</v>
      </c>
      <c r="AD35" s="1">
        <v>0.11372549019607843</v>
      </c>
      <c r="AE35" s="1">
        <v>0.10980392156862745</v>
      </c>
      <c r="AF35" s="1">
        <v>0.11372549019607843</v>
      </c>
      <c r="AG35" s="1">
        <v>0.25098039215686274</v>
      </c>
      <c r="AH35" s="1">
        <f t="shared" si="1"/>
        <v>0.2627450980392157</v>
      </c>
      <c r="AI35" s="16">
        <f t="shared" si="2"/>
        <v>34.6</v>
      </c>
      <c r="AJ35" s="1">
        <f t="shared" si="3"/>
        <v>0.2118872549019607</v>
      </c>
      <c r="AK35" s="27">
        <f t="shared" si="4"/>
        <v>0.10330882352941172</v>
      </c>
      <c r="AN35" s="1">
        <f t="shared" si="10"/>
        <v>0.10330882352941172</v>
      </c>
    </row>
    <row r="36" spans="1:40">
      <c r="A36" s="2">
        <f>A35+Calculations!$B$4</f>
        <v>35.6</v>
      </c>
      <c r="B36" s="1">
        <v>0.25882352941176473</v>
      </c>
      <c r="C36" s="1">
        <v>0.24705882352941178</v>
      </c>
      <c r="D36" s="1">
        <v>0.24705882352941178</v>
      </c>
      <c r="E36" s="1">
        <v>0.24705882352941178</v>
      </c>
      <c r="F36" s="1">
        <v>0.24705882352941178</v>
      </c>
      <c r="G36" s="1">
        <v>0.24705882352941178</v>
      </c>
      <c r="H36" s="1">
        <v>0.23921568627450981</v>
      </c>
      <c r="I36" s="1">
        <v>0.23921568627450981</v>
      </c>
      <c r="J36" s="1">
        <v>0.10588235294117647</v>
      </c>
      <c r="K36" s="1">
        <v>0.23921568627450981</v>
      </c>
      <c r="L36" s="1">
        <v>0.24705882352941178</v>
      </c>
      <c r="M36" s="1">
        <v>0.23921568627450981</v>
      </c>
      <c r="N36" s="1">
        <v>0.23921568627450981</v>
      </c>
      <c r="O36" s="1">
        <v>0.24313725490196078</v>
      </c>
      <c r="P36" s="1">
        <v>0.25490196078431371</v>
      </c>
      <c r="Q36" s="1">
        <v>0.25098039215686274</v>
      </c>
      <c r="R36" s="1">
        <v>0.10196078431372549</v>
      </c>
      <c r="S36" s="1">
        <v>0.23921568627450981</v>
      </c>
      <c r="T36" s="1">
        <v>0.23921568627450981</v>
      </c>
      <c r="U36" s="1">
        <v>0.24313725490196078</v>
      </c>
      <c r="V36" s="1">
        <v>0.23921568627450981</v>
      </c>
      <c r="W36" s="1">
        <v>0.23921568627450981</v>
      </c>
      <c r="X36" s="1">
        <v>0.10588235294117647</v>
      </c>
      <c r="Y36" s="1">
        <v>9.8039215686274508E-2</v>
      </c>
      <c r="Z36" s="1">
        <v>0.25490196078431371</v>
      </c>
      <c r="AA36" s="1">
        <v>0.10588235294117647</v>
      </c>
      <c r="AB36" s="1">
        <v>0.24705882352941178</v>
      </c>
      <c r="AC36" s="1">
        <v>0.10588235294117647</v>
      </c>
      <c r="AD36" s="1">
        <v>0.10980392156862745</v>
      </c>
      <c r="AE36" s="1">
        <v>0.10196078431372549</v>
      </c>
      <c r="AF36" s="1">
        <v>0.10588235294117647</v>
      </c>
      <c r="AG36" s="1">
        <v>0.25098039215686274</v>
      </c>
      <c r="AH36" s="1">
        <f t="shared" si="1"/>
        <v>0.25882352941176473</v>
      </c>
      <c r="AI36" s="16">
        <f t="shared" si="2"/>
        <v>35.6</v>
      </c>
      <c r="AJ36" s="1">
        <f t="shared" si="3"/>
        <v>0.20563725490196072</v>
      </c>
      <c r="AK36" s="27">
        <f t="shared" si="4"/>
        <v>9.7058823529411739E-2</v>
      </c>
      <c r="AN36" s="1">
        <f t="shared" si="10"/>
        <v>9.7058823529411739E-2</v>
      </c>
    </row>
    <row r="37" spans="1:40">
      <c r="A37" s="2">
        <f>A36+Calculations!$B$4</f>
        <v>36.6</v>
      </c>
      <c r="B37" s="1">
        <v>0.24705882352941178</v>
      </c>
      <c r="C37" s="1">
        <v>0.23921568627450981</v>
      </c>
      <c r="D37" s="1">
        <v>0.24313725490196078</v>
      </c>
      <c r="E37" s="1">
        <v>0.24313725490196078</v>
      </c>
      <c r="F37" s="1">
        <v>0.24705882352941178</v>
      </c>
      <c r="G37" s="1">
        <v>0.23921568627450981</v>
      </c>
      <c r="H37" s="1">
        <v>0.23921568627450981</v>
      </c>
      <c r="I37" s="1">
        <v>0.23137254901960785</v>
      </c>
      <c r="J37" s="1">
        <v>9.8039215686274508E-2</v>
      </c>
      <c r="K37" s="1">
        <v>0.23137254901960785</v>
      </c>
      <c r="L37" s="1">
        <v>0.23137254901960785</v>
      </c>
      <c r="M37" s="1">
        <v>0.23529411764705882</v>
      </c>
      <c r="N37" s="1">
        <v>0.23137254901960785</v>
      </c>
      <c r="O37" s="1">
        <v>0.23921568627450981</v>
      </c>
      <c r="P37" s="1">
        <v>0.24313725490196078</v>
      </c>
      <c r="Q37" s="1">
        <v>0.23921568627450981</v>
      </c>
      <c r="R37" s="1">
        <v>9.0196078431372548E-2</v>
      </c>
      <c r="S37" s="1">
        <v>0.24313725490196078</v>
      </c>
      <c r="T37" s="1">
        <v>0.23529411764705882</v>
      </c>
      <c r="U37" s="1">
        <v>0.23529411764705882</v>
      </c>
      <c r="V37" s="1">
        <v>0.23529411764705882</v>
      </c>
      <c r="W37" s="1">
        <v>0.23921568627450981</v>
      </c>
      <c r="X37" s="1">
        <v>0.10196078431372549</v>
      </c>
      <c r="Y37" s="1">
        <v>9.0196078431372548E-2</v>
      </c>
      <c r="Z37" s="1">
        <v>0.23921568627450981</v>
      </c>
      <c r="AA37" s="1">
        <v>9.8039215686274508E-2</v>
      </c>
      <c r="AB37" s="1">
        <v>0.23921568627450981</v>
      </c>
      <c r="AC37" s="1">
        <v>0.10196078431372549</v>
      </c>
      <c r="AD37" s="1">
        <v>0.10588235294117647</v>
      </c>
      <c r="AE37" s="1">
        <v>9.8039215686274508E-2</v>
      </c>
      <c r="AF37" s="1">
        <v>0.10588235294117647</v>
      </c>
      <c r="AG37" s="1">
        <v>0.23921568627450981</v>
      </c>
      <c r="AH37" s="1">
        <f t="shared" si="1"/>
        <v>0.24705882352941178</v>
      </c>
      <c r="AI37" s="16">
        <f t="shared" si="2"/>
        <v>36.6</v>
      </c>
      <c r="AJ37" s="1">
        <f t="shared" si="3"/>
        <v>0.1992647058823529</v>
      </c>
      <c r="AK37" s="27">
        <f t="shared" si="4"/>
        <v>9.0686274509803919E-2</v>
      </c>
      <c r="AN37" s="1">
        <f t="shared" si="10"/>
        <v>9.0686274509803919E-2</v>
      </c>
    </row>
    <row r="38" spans="1:40">
      <c r="A38" s="2">
        <f>A37+Calculations!$B$4</f>
        <v>37.6</v>
      </c>
      <c r="B38" s="1">
        <v>0.23137254901960785</v>
      </c>
      <c r="C38" s="1">
        <v>0.23921568627450981</v>
      </c>
      <c r="D38" s="1">
        <v>0.23137254901960785</v>
      </c>
      <c r="E38" s="1">
        <v>0.23921568627450981</v>
      </c>
      <c r="F38" s="1">
        <v>0.23921568627450981</v>
      </c>
      <c r="G38" s="1">
        <v>0.23921568627450981</v>
      </c>
      <c r="H38" s="1">
        <v>0.23529411764705882</v>
      </c>
      <c r="I38" s="1">
        <v>0.22352941176470589</v>
      </c>
      <c r="J38" s="1">
        <v>9.0196078431372548E-2</v>
      </c>
      <c r="K38" s="1">
        <v>0.23137254901960785</v>
      </c>
      <c r="L38" s="1">
        <v>0.23137254901960785</v>
      </c>
      <c r="M38" s="1">
        <v>0.23137254901960785</v>
      </c>
      <c r="N38" s="1">
        <v>0.22352941176470589</v>
      </c>
      <c r="O38" s="1">
        <v>0.22745098039215686</v>
      </c>
      <c r="P38" s="1">
        <v>0.24313725490196078</v>
      </c>
      <c r="Q38" s="1">
        <v>0.23529411764705882</v>
      </c>
      <c r="R38" s="1">
        <v>8.2352941176470587E-2</v>
      </c>
      <c r="S38" s="1">
        <v>0.23529411764705882</v>
      </c>
      <c r="T38" s="1">
        <v>0.22352941176470589</v>
      </c>
      <c r="U38" s="1">
        <v>0.23137254901960785</v>
      </c>
      <c r="V38" s="1">
        <v>0.23137254901960785</v>
      </c>
      <c r="W38" s="1">
        <v>0.23137254901960785</v>
      </c>
      <c r="X38" s="1">
        <v>9.8039215686274508E-2</v>
      </c>
      <c r="Y38" s="1">
        <v>8.6274509803921567E-2</v>
      </c>
      <c r="Z38" s="1">
        <v>0.23529411764705882</v>
      </c>
      <c r="AA38" s="1">
        <v>9.0196078431372548E-2</v>
      </c>
      <c r="AB38" s="1">
        <v>0.23921568627450981</v>
      </c>
      <c r="AC38" s="1">
        <v>9.8039215686274508E-2</v>
      </c>
      <c r="AD38" s="1">
        <v>9.8039215686274508E-2</v>
      </c>
      <c r="AE38" s="1">
        <v>9.0196078431372548E-2</v>
      </c>
      <c r="AF38" s="1">
        <v>9.8039215686274508E-2</v>
      </c>
      <c r="AG38" s="1">
        <v>0.23529411764705882</v>
      </c>
      <c r="AH38" s="1">
        <f t="shared" si="1"/>
        <v>0.24313725490196078</v>
      </c>
      <c r="AI38" s="16">
        <f t="shared" si="2"/>
        <v>37.6</v>
      </c>
      <c r="AJ38" s="1">
        <f t="shared" si="3"/>
        <v>0.19362745098039211</v>
      </c>
      <c r="AK38" s="27">
        <f t="shared" si="4"/>
        <v>8.5049019607843127E-2</v>
      </c>
      <c r="AN38" s="1">
        <f t="shared" si="10"/>
        <v>8.5049019607843127E-2</v>
      </c>
    </row>
    <row r="39" spans="1:40">
      <c r="A39" s="2">
        <f>A38+Calculations!$B$4</f>
        <v>38.6</v>
      </c>
      <c r="B39" s="1">
        <v>0.23137254901960785</v>
      </c>
      <c r="C39" s="1">
        <v>0.22745098039215686</v>
      </c>
      <c r="D39" s="1">
        <v>0.22352941176470589</v>
      </c>
      <c r="E39" s="1">
        <v>0.23137254901960785</v>
      </c>
      <c r="F39" s="1">
        <v>0.23921568627450981</v>
      </c>
      <c r="G39" s="1">
        <v>0.23137254901960785</v>
      </c>
      <c r="H39" s="1">
        <v>0.23137254901960785</v>
      </c>
      <c r="I39" s="1">
        <v>0.21568627450980393</v>
      </c>
      <c r="J39" s="1">
        <v>8.2352941176470587E-2</v>
      </c>
      <c r="K39" s="1">
        <v>0.22352941176470589</v>
      </c>
      <c r="L39" s="1">
        <v>0.22745098039215686</v>
      </c>
      <c r="M39" s="1">
        <v>0.22745098039215686</v>
      </c>
      <c r="N39" s="1">
        <v>0.22352941176470589</v>
      </c>
      <c r="O39" s="1">
        <v>0.22352941176470589</v>
      </c>
      <c r="P39" s="1">
        <v>0.23529411764705882</v>
      </c>
      <c r="Q39" s="1">
        <v>0.23137254901960785</v>
      </c>
      <c r="R39" s="1">
        <v>8.2352941176470587E-2</v>
      </c>
      <c r="S39" s="1">
        <v>0.23137254901960785</v>
      </c>
      <c r="T39" s="1">
        <v>0.2196078431372549</v>
      </c>
      <c r="U39" s="1">
        <v>0.22352941176470589</v>
      </c>
      <c r="V39" s="1">
        <v>0.22352941176470589</v>
      </c>
      <c r="W39" s="1">
        <v>0.23137254901960785</v>
      </c>
      <c r="X39" s="1">
        <v>9.0196078431372548E-2</v>
      </c>
      <c r="Y39" s="1">
        <v>8.2352941176470587E-2</v>
      </c>
      <c r="Z39" s="1">
        <v>0.23529411764705882</v>
      </c>
      <c r="AA39" s="1">
        <v>8.6274509803921567E-2</v>
      </c>
      <c r="AB39" s="1">
        <v>0.23137254901960785</v>
      </c>
      <c r="AC39" s="1">
        <v>9.0196078431372548E-2</v>
      </c>
      <c r="AD39" s="1">
        <v>9.8039215686274508E-2</v>
      </c>
      <c r="AE39" s="1">
        <v>8.2352941176470587E-2</v>
      </c>
      <c r="AF39" s="1">
        <v>9.0196078431372548E-2</v>
      </c>
      <c r="AG39" s="1">
        <v>0.23137254901960785</v>
      </c>
      <c r="AH39" s="1">
        <f t="shared" si="1"/>
        <v>0.23921568627450981</v>
      </c>
      <c r="AI39" s="16">
        <f t="shared" si="2"/>
        <v>38.6</v>
      </c>
      <c r="AJ39" s="1">
        <f t="shared" si="3"/>
        <v>0.18860294117647056</v>
      </c>
      <c r="AK39" s="27">
        <f t="shared" si="4"/>
        <v>8.0024509803921576E-2</v>
      </c>
      <c r="AN39" s="1">
        <f t="shared" si="10"/>
        <v>8.0024509803921576E-2</v>
      </c>
    </row>
    <row r="40" spans="1:40">
      <c r="A40" s="2">
        <f>A39+Calculations!$B$4</f>
        <v>39.6</v>
      </c>
      <c r="B40" s="1">
        <v>0.22352941176470589</v>
      </c>
      <c r="C40" s="1">
        <v>0.22352941176470589</v>
      </c>
      <c r="D40" s="1">
        <v>0.22352941176470589</v>
      </c>
      <c r="E40" s="1">
        <v>0.23137254901960785</v>
      </c>
      <c r="F40" s="1">
        <v>0.23137254901960785</v>
      </c>
      <c r="G40" s="1">
        <v>0.22745098039215686</v>
      </c>
      <c r="H40" s="1">
        <v>0.22352941176470589</v>
      </c>
      <c r="I40" s="1">
        <v>0.21176470588235294</v>
      </c>
      <c r="J40" s="1">
        <v>7.4509803921568626E-2</v>
      </c>
      <c r="K40" s="1">
        <v>0.2196078431372549</v>
      </c>
      <c r="L40" s="1">
        <v>0.22352941176470589</v>
      </c>
      <c r="M40" s="1">
        <v>0.22352941176470589</v>
      </c>
      <c r="N40" s="1">
        <v>0.21568627450980393</v>
      </c>
      <c r="O40" s="1">
        <v>0.21176470588235294</v>
      </c>
      <c r="P40" s="1">
        <v>0.23137254901960785</v>
      </c>
      <c r="Q40" s="1">
        <v>0.22352941176470589</v>
      </c>
      <c r="R40" s="1">
        <v>7.4509803921568626E-2</v>
      </c>
      <c r="S40" s="1">
        <v>0.22352941176470589</v>
      </c>
      <c r="T40" s="1">
        <v>0.22352941176470589</v>
      </c>
      <c r="U40" s="1">
        <v>0.22352941176470589</v>
      </c>
      <c r="V40" s="1">
        <v>0.2196078431372549</v>
      </c>
      <c r="W40" s="1">
        <v>0.22352941176470589</v>
      </c>
      <c r="X40" s="1">
        <v>8.6274509803921567E-2</v>
      </c>
      <c r="Y40" s="1">
        <v>7.8431372549019607E-2</v>
      </c>
      <c r="Z40" s="1">
        <v>0.22745098039215686</v>
      </c>
      <c r="AA40" s="1">
        <v>8.2352941176470587E-2</v>
      </c>
      <c r="AB40" s="1">
        <v>0.22745098039215686</v>
      </c>
      <c r="AC40" s="1">
        <v>8.2352941176470587E-2</v>
      </c>
      <c r="AD40" s="1">
        <v>9.0196078431372548E-2</v>
      </c>
      <c r="AE40" s="1">
        <v>8.2352941176470587E-2</v>
      </c>
      <c r="AF40" s="1">
        <v>8.2352941176470587E-2</v>
      </c>
      <c r="AG40" s="1">
        <v>0.23137254901960785</v>
      </c>
      <c r="AH40" s="1">
        <f t="shared" si="1"/>
        <v>0.23137254901960785</v>
      </c>
      <c r="AI40" s="16">
        <f t="shared" si="2"/>
        <v>39.6</v>
      </c>
      <c r="AJ40" s="1">
        <f t="shared" si="3"/>
        <v>0.18370098039215685</v>
      </c>
      <c r="AK40" s="27">
        <f t="shared" si="4"/>
        <v>7.5122549019607868E-2</v>
      </c>
      <c r="AN40" s="1">
        <f t="shared" si="10"/>
        <v>7.5122549019607868E-2</v>
      </c>
    </row>
    <row r="41" spans="1:40">
      <c r="A41" s="2">
        <f>A40+Calculations!$B$4</f>
        <v>40.6</v>
      </c>
      <c r="B41" s="1">
        <v>0.2196078431372549</v>
      </c>
      <c r="C41" s="1">
        <v>0.22352941176470589</v>
      </c>
      <c r="D41" s="1">
        <v>0.22352941176470589</v>
      </c>
      <c r="E41" s="1">
        <v>0.22352941176470589</v>
      </c>
      <c r="F41" s="1">
        <v>0.22352941176470589</v>
      </c>
      <c r="G41" s="1">
        <v>0.22352941176470589</v>
      </c>
      <c r="H41" s="1">
        <v>0.21568627450980393</v>
      </c>
      <c r="I41" s="1">
        <v>0.20784313725490197</v>
      </c>
      <c r="J41" s="1">
        <v>7.4509803921568626E-2</v>
      </c>
      <c r="K41" s="1">
        <v>0.21568627450980393</v>
      </c>
      <c r="L41" s="1">
        <v>0.21568627450980393</v>
      </c>
      <c r="M41" s="1">
        <v>0.22352941176470589</v>
      </c>
      <c r="N41" s="1">
        <v>0.20784313725490197</v>
      </c>
      <c r="O41" s="1">
        <v>0.20784313725490197</v>
      </c>
      <c r="P41" s="1">
        <v>0.22352941176470589</v>
      </c>
      <c r="Q41" s="1">
        <v>0.21568627450980393</v>
      </c>
      <c r="R41" s="1">
        <v>7.0588235294117646E-2</v>
      </c>
      <c r="S41" s="1">
        <v>0.2196078431372549</v>
      </c>
      <c r="T41" s="1">
        <v>0.21568627450980393</v>
      </c>
      <c r="U41" s="1">
        <v>0.22352941176470589</v>
      </c>
      <c r="V41" s="1">
        <v>0.21568627450980393</v>
      </c>
      <c r="W41" s="1">
        <v>0.22352941176470589</v>
      </c>
      <c r="X41" s="1">
        <v>8.2352941176470587E-2</v>
      </c>
      <c r="Y41" s="1">
        <v>7.4509803921568626E-2</v>
      </c>
      <c r="Z41" s="1">
        <v>0.22352941176470589</v>
      </c>
      <c r="AA41" s="1">
        <v>8.2352941176470587E-2</v>
      </c>
      <c r="AB41" s="1">
        <v>0.22352941176470589</v>
      </c>
      <c r="AC41" s="1">
        <v>8.2352941176470587E-2</v>
      </c>
      <c r="AD41" s="1">
        <v>8.2352941176470587E-2</v>
      </c>
      <c r="AE41" s="1">
        <v>7.4509803921568626E-2</v>
      </c>
      <c r="AF41" s="1">
        <v>7.4509803921568626E-2</v>
      </c>
      <c r="AG41" s="1">
        <v>0.22352941176470589</v>
      </c>
      <c r="AH41" s="1">
        <f t="shared" si="1"/>
        <v>0.22352941176470589</v>
      </c>
      <c r="AI41" s="16">
        <f t="shared" si="2"/>
        <v>40.6</v>
      </c>
      <c r="AJ41" s="1">
        <f t="shared" si="3"/>
        <v>0.17928921568627451</v>
      </c>
      <c r="AK41" s="27">
        <f t="shared" si="4"/>
        <v>7.071078431372553E-2</v>
      </c>
      <c r="AN41" s="1">
        <f t="shared" si="10"/>
        <v>7.071078431372553E-2</v>
      </c>
    </row>
    <row r="42" spans="1:40">
      <c r="A42" s="2">
        <f>A41+Calculations!$B$4</f>
        <v>41.6</v>
      </c>
      <c r="B42" s="1">
        <v>0.21568627450980393</v>
      </c>
      <c r="C42" s="1">
        <v>0.21568627450980393</v>
      </c>
      <c r="D42" s="1">
        <v>0.21568627450980393</v>
      </c>
      <c r="E42" s="1">
        <v>0.2196078431372549</v>
      </c>
      <c r="F42" s="1">
        <v>0.21568627450980393</v>
      </c>
      <c r="G42" s="1">
        <v>0.22352941176470589</v>
      </c>
      <c r="H42" s="1">
        <v>0.21176470588235294</v>
      </c>
      <c r="I42" s="1">
        <v>0.20784313725490197</v>
      </c>
      <c r="J42" s="1">
        <v>6.6666666666666666E-2</v>
      </c>
      <c r="K42" s="1">
        <v>0.20784313725490197</v>
      </c>
      <c r="L42" s="1">
        <v>0.21568627450980393</v>
      </c>
      <c r="M42" s="1">
        <v>0.21568627450980393</v>
      </c>
      <c r="N42" s="1">
        <v>0.20784313725490197</v>
      </c>
      <c r="O42" s="1">
        <v>0.20392156862745098</v>
      </c>
      <c r="P42" s="1">
        <v>0.21568627450980393</v>
      </c>
      <c r="Q42" s="1">
        <v>0.20784313725490197</v>
      </c>
      <c r="R42" s="1">
        <v>6.6666666666666666E-2</v>
      </c>
      <c r="S42" s="1">
        <v>0.21176470588235294</v>
      </c>
      <c r="T42" s="1">
        <v>0.20784313725490197</v>
      </c>
      <c r="U42" s="1">
        <v>0.21568627450980393</v>
      </c>
      <c r="V42" s="1">
        <v>0.21176470588235294</v>
      </c>
      <c r="W42" s="1">
        <v>0.22352941176470589</v>
      </c>
      <c r="X42" s="1">
        <v>7.8431372549019607E-2</v>
      </c>
      <c r="Y42" s="1">
        <v>6.6666666666666666E-2</v>
      </c>
      <c r="Z42" s="1">
        <v>0.22352941176470589</v>
      </c>
      <c r="AA42" s="1">
        <v>7.4509803921568626E-2</v>
      </c>
      <c r="AB42" s="1">
        <v>0.21568627450980393</v>
      </c>
      <c r="AC42" s="1">
        <v>7.0588235294117646E-2</v>
      </c>
      <c r="AD42" s="1">
        <v>7.4509803921568626E-2</v>
      </c>
      <c r="AE42" s="1">
        <v>6.6666666666666666E-2</v>
      </c>
      <c r="AF42" s="1">
        <v>7.4509803921568626E-2</v>
      </c>
      <c r="AG42" s="1">
        <v>0.21568627450980393</v>
      </c>
      <c r="AH42" s="1">
        <f t="shared" si="1"/>
        <v>0.22352941176470589</v>
      </c>
      <c r="AI42" s="16">
        <f t="shared" si="2"/>
        <v>41.6</v>
      </c>
      <c r="AJ42" s="1">
        <f t="shared" si="3"/>
        <v>0.1738970588235294</v>
      </c>
      <c r="AK42" s="27">
        <f t="shared" si="4"/>
        <v>6.5318627450980424E-2</v>
      </c>
      <c r="AN42" s="1">
        <f t="shared" si="10"/>
        <v>6.5318627450980424E-2</v>
      </c>
    </row>
    <row r="43" spans="1:40">
      <c r="A43" s="2">
        <f>A42+Calculations!$B$4</f>
        <v>42.6</v>
      </c>
      <c r="B43" s="1">
        <v>0.21568627450980393</v>
      </c>
      <c r="C43" s="1">
        <v>0.21568627450980393</v>
      </c>
      <c r="D43" s="1">
        <v>0.20784313725490197</v>
      </c>
      <c r="E43" s="1">
        <v>0.2196078431372549</v>
      </c>
      <c r="F43" s="1">
        <v>0.21568627450980393</v>
      </c>
      <c r="G43" s="1">
        <v>0.21568627450980393</v>
      </c>
      <c r="H43" s="1">
        <v>0.21176470588235294</v>
      </c>
      <c r="I43" s="1">
        <v>0.2</v>
      </c>
      <c r="J43" s="1">
        <v>6.6666666666666666E-2</v>
      </c>
      <c r="K43" s="1">
        <v>0.20784313725490197</v>
      </c>
      <c r="L43" s="1">
        <v>0.20784313725490197</v>
      </c>
      <c r="M43" s="1">
        <v>0.20784313725490197</v>
      </c>
      <c r="N43" s="1">
        <v>0.20392156862745098</v>
      </c>
      <c r="O43" s="1">
        <v>0.2</v>
      </c>
      <c r="P43" s="1">
        <v>0.21568627450980393</v>
      </c>
      <c r="Q43" s="1">
        <v>0.20784313725490197</v>
      </c>
      <c r="R43" s="1">
        <v>6.6666666666666666E-2</v>
      </c>
      <c r="S43" s="1">
        <v>0.21176470588235294</v>
      </c>
      <c r="T43" s="1">
        <v>0.20784313725490197</v>
      </c>
      <c r="U43" s="1">
        <v>0.20784313725490197</v>
      </c>
      <c r="V43" s="1">
        <v>0.20784313725490197</v>
      </c>
      <c r="W43" s="1">
        <v>0.21568627450980393</v>
      </c>
      <c r="X43" s="1">
        <v>6.6666666666666666E-2</v>
      </c>
      <c r="Y43" s="1">
        <v>6.6666666666666666E-2</v>
      </c>
      <c r="Z43" s="1">
        <v>0.21568627450980393</v>
      </c>
      <c r="AA43" s="1">
        <v>7.0588235294117646E-2</v>
      </c>
      <c r="AB43" s="1">
        <v>0.20784313725490197</v>
      </c>
      <c r="AC43" s="1">
        <v>6.6666666666666666E-2</v>
      </c>
      <c r="AD43" s="1">
        <v>7.4509803921568626E-2</v>
      </c>
      <c r="AE43" s="1">
        <v>6.6666666666666666E-2</v>
      </c>
      <c r="AF43" s="1">
        <v>6.6666666666666666E-2</v>
      </c>
      <c r="AG43" s="1">
        <v>0.21176470588235294</v>
      </c>
      <c r="AH43" s="1">
        <f t="shared" si="1"/>
        <v>0.2196078431372549</v>
      </c>
      <c r="AI43" s="16">
        <f t="shared" si="2"/>
        <v>42.6</v>
      </c>
      <c r="AJ43" s="1">
        <f t="shared" si="3"/>
        <v>0.17034313725490197</v>
      </c>
      <c r="AK43" s="27">
        <f t="shared" si="4"/>
        <v>6.1764705882352985E-2</v>
      </c>
      <c r="AN43" s="1">
        <f t="shared" si="10"/>
        <v>6.1764705882352985E-2</v>
      </c>
    </row>
    <row r="44" spans="1:40">
      <c r="A44" s="2">
        <f>A43+Calculations!$B$4</f>
        <v>43.6</v>
      </c>
      <c r="B44" s="1">
        <v>0.20784313725490197</v>
      </c>
      <c r="C44" s="1">
        <v>0.21176470588235294</v>
      </c>
      <c r="D44" s="1">
        <v>0.2</v>
      </c>
      <c r="E44" s="1">
        <v>0.20784313725490197</v>
      </c>
      <c r="F44" s="1">
        <v>0.20784313725490197</v>
      </c>
      <c r="G44" s="1">
        <v>0.20784313725490197</v>
      </c>
      <c r="H44" s="1">
        <v>0.2</v>
      </c>
      <c r="I44" s="1">
        <v>0.2</v>
      </c>
      <c r="J44" s="1">
        <v>5.8823529411764705E-2</v>
      </c>
      <c r="K44" s="1">
        <v>0.20784313725490197</v>
      </c>
      <c r="L44" s="1">
        <v>0.20784313725490197</v>
      </c>
      <c r="M44" s="1">
        <v>0.20784313725490197</v>
      </c>
      <c r="N44" s="1">
        <v>0.20392156862745098</v>
      </c>
      <c r="O44" s="1">
        <v>0.2</v>
      </c>
      <c r="P44" s="1">
        <v>0.20784313725490197</v>
      </c>
      <c r="Q44" s="1">
        <v>0.20784313725490197</v>
      </c>
      <c r="R44" s="1">
        <v>5.8823529411764705E-2</v>
      </c>
      <c r="S44" s="1">
        <v>0.20784313725490197</v>
      </c>
      <c r="T44" s="1">
        <v>0.20784313725490197</v>
      </c>
      <c r="U44" s="1">
        <v>0.20784313725490197</v>
      </c>
      <c r="V44" s="1">
        <v>0.20784313725490197</v>
      </c>
      <c r="W44" s="1">
        <v>0.21568627450980393</v>
      </c>
      <c r="X44" s="1">
        <v>6.6666666666666666E-2</v>
      </c>
      <c r="Y44" s="1">
        <v>5.8823529411764705E-2</v>
      </c>
      <c r="Z44" s="1">
        <v>0.21568627450980393</v>
      </c>
      <c r="AA44" s="1">
        <v>5.8823529411764705E-2</v>
      </c>
      <c r="AB44" s="1">
        <v>0.20392156862745098</v>
      </c>
      <c r="AC44" s="1">
        <v>7.0588235294117646E-2</v>
      </c>
      <c r="AD44" s="1">
        <v>6.6666666666666666E-2</v>
      </c>
      <c r="AE44" s="1">
        <v>6.6666666666666666E-2</v>
      </c>
      <c r="AF44" s="1">
        <v>6.6666666666666666E-2</v>
      </c>
      <c r="AG44" s="1">
        <v>0.21176470588235294</v>
      </c>
      <c r="AH44" s="1">
        <f t="shared" si="1"/>
        <v>0.21568627450980393</v>
      </c>
      <c r="AI44" s="16">
        <f t="shared" si="2"/>
        <v>43.6</v>
      </c>
      <c r="AJ44" s="1">
        <f t="shared" si="3"/>
        <v>0.1667892156862745</v>
      </c>
      <c r="AK44" s="27">
        <f t="shared" si="4"/>
        <v>5.8210784313725519E-2</v>
      </c>
      <c r="AN44" s="1">
        <f t="shared" si="10"/>
        <v>5.8210784313725519E-2</v>
      </c>
    </row>
    <row r="45" spans="1:40">
      <c r="A45" s="2">
        <f>A44+Calculations!$B$4</f>
        <v>44.6</v>
      </c>
      <c r="B45" s="1">
        <v>0.20392156862745098</v>
      </c>
      <c r="C45" s="1">
        <v>0.2</v>
      </c>
      <c r="D45" s="1">
        <v>0.2</v>
      </c>
      <c r="E45" s="1">
        <v>0.2</v>
      </c>
      <c r="F45" s="1">
        <v>0.20784313725490197</v>
      </c>
      <c r="G45" s="1">
        <v>0.20784313725490197</v>
      </c>
      <c r="H45" s="1">
        <v>0.2</v>
      </c>
      <c r="I45" s="1">
        <v>0.2</v>
      </c>
      <c r="J45" s="1">
        <v>5.8823529411764705E-2</v>
      </c>
      <c r="K45" s="1">
        <v>0.20784313725490197</v>
      </c>
      <c r="L45" s="1">
        <v>0.2</v>
      </c>
      <c r="M45" s="1">
        <v>0.20392156862745098</v>
      </c>
      <c r="N45" s="1">
        <v>0.19215686274509805</v>
      </c>
      <c r="O45" s="1">
        <v>0.2</v>
      </c>
      <c r="P45" s="1">
        <v>0.2</v>
      </c>
      <c r="Q45" s="1">
        <v>0.2</v>
      </c>
      <c r="R45" s="1">
        <v>5.8823529411764705E-2</v>
      </c>
      <c r="S45" s="1">
        <v>0.20784313725490197</v>
      </c>
      <c r="T45" s="1">
        <v>0.2</v>
      </c>
      <c r="U45" s="1">
        <v>0.2</v>
      </c>
      <c r="V45" s="1">
        <v>0.2</v>
      </c>
      <c r="W45" s="1">
        <v>0.21176470588235294</v>
      </c>
      <c r="X45" s="1">
        <v>5.8823529411764705E-2</v>
      </c>
      <c r="Y45" s="1">
        <v>6.2745098039215685E-2</v>
      </c>
      <c r="Z45" s="1">
        <v>0.21176470588235294</v>
      </c>
      <c r="AA45" s="1">
        <v>6.2745098039215685E-2</v>
      </c>
      <c r="AB45" s="1">
        <v>0.20392156862745098</v>
      </c>
      <c r="AC45" s="1">
        <v>5.8823529411764705E-2</v>
      </c>
      <c r="AD45" s="1">
        <v>6.6666666666666666E-2</v>
      </c>
      <c r="AE45" s="1">
        <v>5.8823529411764705E-2</v>
      </c>
      <c r="AF45" s="1">
        <v>5.8823529411764705E-2</v>
      </c>
      <c r="AG45" s="1">
        <v>0.20784313725490197</v>
      </c>
      <c r="AH45" s="1">
        <f t="shared" si="1"/>
        <v>0.21176470588235294</v>
      </c>
      <c r="AI45" s="16">
        <f t="shared" si="2"/>
        <v>44.6</v>
      </c>
      <c r="AJ45" s="1">
        <f t="shared" si="3"/>
        <v>0.16286764705882353</v>
      </c>
      <c r="AK45" s="27">
        <f t="shared" si="4"/>
        <v>5.4289215686274553E-2</v>
      </c>
      <c r="AN45" s="1">
        <f t="shared" si="10"/>
        <v>5.4289215686274553E-2</v>
      </c>
    </row>
    <row r="46" spans="1:40">
      <c r="A46" s="2">
        <f>A45+Calculations!$B$4</f>
        <v>45.6</v>
      </c>
      <c r="B46" s="1">
        <v>0.2</v>
      </c>
      <c r="C46" s="1">
        <v>0.2</v>
      </c>
      <c r="D46" s="1">
        <v>0.19215686274509805</v>
      </c>
      <c r="E46" s="1">
        <v>0.2</v>
      </c>
      <c r="F46" s="1">
        <v>0.2</v>
      </c>
      <c r="G46" s="1">
        <v>0.20392156862745098</v>
      </c>
      <c r="H46" s="1">
        <v>0.19215686274509805</v>
      </c>
      <c r="I46" s="1">
        <v>0.2</v>
      </c>
      <c r="J46" s="1">
        <v>5.0980392156862744E-2</v>
      </c>
      <c r="K46" s="1">
        <v>0.2</v>
      </c>
      <c r="L46" s="1">
        <v>0.2</v>
      </c>
      <c r="M46" s="1">
        <v>0.2</v>
      </c>
      <c r="N46" s="1">
        <v>0.19215686274509805</v>
      </c>
      <c r="O46" s="1">
        <v>0.19215686274509805</v>
      </c>
      <c r="P46" s="1">
        <v>0.2</v>
      </c>
      <c r="Q46" s="1">
        <v>0.2</v>
      </c>
      <c r="R46" s="1">
        <v>5.4901960784313725E-2</v>
      </c>
      <c r="S46" s="1">
        <v>0.20392156862745098</v>
      </c>
      <c r="T46" s="1">
        <v>0.19215686274509805</v>
      </c>
      <c r="U46" s="1">
        <v>0.2</v>
      </c>
      <c r="V46" s="1">
        <v>0.19607843137254902</v>
      </c>
      <c r="W46" s="1">
        <v>0.20784313725490197</v>
      </c>
      <c r="X46" s="1">
        <v>5.8823529411764705E-2</v>
      </c>
      <c r="Y46" s="1">
        <v>5.8823529411764705E-2</v>
      </c>
      <c r="Z46" s="1">
        <v>0.20784313725490197</v>
      </c>
      <c r="AA46" s="1">
        <v>5.8823529411764705E-2</v>
      </c>
      <c r="AB46" s="1">
        <v>0.2</v>
      </c>
      <c r="AC46" s="1">
        <v>5.8823529411764705E-2</v>
      </c>
      <c r="AD46" s="1">
        <v>6.2745098039215685E-2</v>
      </c>
      <c r="AE46" s="1">
        <v>5.4901960784313725E-2</v>
      </c>
      <c r="AF46" s="1">
        <v>5.8823529411764705E-2</v>
      </c>
      <c r="AG46" s="1">
        <v>0.2</v>
      </c>
      <c r="AH46" s="1">
        <f t="shared" si="1"/>
        <v>0.20784313725490197</v>
      </c>
      <c r="AI46" s="16">
        <f t="shared" si="2"/>
        <v>45.6</v>
      </c>
      <c r="AJ46" s="1">
        <f t="shared" si="3"/>
        <v>0.1593137254901961</v>
      </c>
      <c r="AK46" s="27">
        <f t="shared" si="4"/>
        <v>5.0735294117647114E-2</v>
      </c>
      <c r="AN46" s="1">
        <f t="shared" si="10"/>
        <v>5.0735294117647114E-2</v>
      </c>
    </row>
    <row r="47" spans="1:40">
      <c r="A47" s="2">
        <f>A46+Calculations!$B$4</f>
        <v>46.6</v>
      </c>
      <c r="B47" s="1">
        <v>0.19215686274509805</v>
      </c>
      <c r="C47" s="1">
        <v>0.2</v>
      </c>
      <c r="D47" s="1">
        <v>0.19607843137254902</v>
      </c>
      <c r="E47" s="1">
        <v>0.19607843137254902</v>
      </c>
      <c r="F47" s="1">
        <v>0.19215686274509805</v>
      </c>
      <c r="G47" s="1">
        <v>0.19607843137254902</v>
      </c>
      <c r="H47" s="1">
        <v>0.18431372549019609</v>
      </c>
      <c r="I47" s="1">
        <v>0.19215686274509805</v>
      </c>
      <c r="J47" s="1">
        <v>5.4901960784313725E-2</v>
      </c>
      <c r="K47" s="1">
        <v>0.19215686274509805</v>
      </c>
      <c r="L47" s="1">
        <v>0.19215686274509805</v>
      </c>
      <c r="M47" s="1">
        <v>0.2</v>
      </c>
      <c r="N47" s="1">
        <v>0.18431372549019609</v>
      </c>
      <c r="O47" s="1">
        <v>0.19215686274509805</v>
      </c>
      <c r="P47" s="1">
        <v>0.19215686274509805</v>
      </c>
      <c r="Q47" s="1">
        <v>0.2</v>
      </c>
      <c r="R47" s="1">
        <v>5.0980392156862744E-2</v>
      </c>
      <c r="S47" s="1">
        <v>0.2</v>
      </c>
      <c r="T47" s="1">
        <v>0.19215686274509805</v>
      </c>
      <c r="U47" s="1">
        <v>0.19215686274509805</v>
      </c>
      <c r="V47" s="1">
        <v>0.19215686274509805</v>
      </c>
      <c r="W47" s="1">
        <v>0.20784313725490197</v>
      </c>
      <c r="X47" s="1">
        <v>5.4901960784313725E-2</v>
      </c>
      <c r="Y47" s="1">
        <v>5.0980392156862744E-2</v>
      </c>
      <c r="Z47" s="1">
        <v>0.20784313725490197</v>
      </c>
      <c r="AA47" s="1">
        <v>5.4901960784313725E-2</v>
      </c>
      <c r="AB47" s="1">
        <v>0.19215686274509805</v>
      </c>
      <c r="AC47" s="1">
        <v>5.4901960784313725E-2</v>
      </c>
      <c r="AD47" s="1">
        <v>5.8823529411764705E-2</v>
      </c>
      <c r="AE47" s="1">
        <v>5.4901960784313725E-2</v>
      </c>
      <c r="AF47" s="1">
        <v>5.4901960784313725E-2</v>
      </c>
      <c r="AG47" s="1">
        <v>0.19215686274509805</v>
      </c>
      <c r="AH47" s="1">
        <f t="shared" si="1"/>
        <v>0.20784313725490197</v>
      </c>
      <c r="AI47" s="16">
        <f t="shared" si="2"/>
        <v>46.6</v>
      </c>
      <c r="AJ47" s="1">
        <f t="shared" si="3"/>
        <v>0.15526960784313729</v>
      </c>
      <c r="AK47" s="27">
        <f t="shared" si="4"/>
        <v>4.6691176470588305E-2</v>
      </c>
      <c r="AN47" s="1">
        <f t="shared" si="10"/>
        <v>4.6691176470588305E-2</v>
      </c>
    </row>
    <row r="48" spans="1:40">
      <c r="A48" s="2">
        <f>A47+Calculations!$B$4</f>
        <v>47.6</v>
      </c>
      <c r="B48" s="1">
        <v>0.19215686274509805</v>
      </c>
      <c r="C48" s="1">
        <v>0.19215686274509805</v>
      </c>
      <c r="D48" s="1">
        <v>0.2</v>
      </c>
      <c r="E48" s="1">
        <v>0.19607843137254902</v>
      </c>
      <c r="F48" s="1">
        <v>0.19215686274509805</v>
      </c>
      <c r="G48" s="1">
        <v>0.19607843137254902</v>
      </c>
      <c r="H48" s="1">
        <v>0.18431372549019609</v>
      </c>
      <c r="I48" s="1">
        <v>0.19215686274509805</v>
      </c>
      <c r="J48" s="1">
        <v>4.3137254901960784E-2</v>
      </c>
      <c r="K48" s="1">
        <v>0.19215686274509805</v>
      </c>
      <c r="L48" s="1">
        <v>0.19215686274509805</v>
      </c>
      <c r="M48" s="1">
        <v>0.19215686274509805</v>
      </c>
      <c r="N48" s="1">
        <v>0.18823529411764706</v>
      </c>
      <c r="O48" s="1">
        <v>0.18431372549019609</v>
      </c>
      <c r="P48" s="1">
        <v>0.19607843137254902</v>
      </c>
      <c r="Q48" s="1">
        <v>0.19215686274509805</v>
      </c>
      <c r="R48" s="1">
        <v>5.0980392156862744E-2</v>
      </c>
      <c r="S48" s="1">
        <v>0.19607843137254902</v>
      </c>
      <c r="T48" s="1">
        <v>0.19215686274509805</v>
      </c>
      <c r="U48" s="1">
        <v>0.19215686274509805</v>
      </c>
      <c r="V48" s="1">
        <v>0.19215686274509805</v>
      </c>
      <c r="W48" s="1">
        <v>0.2</v>
      </c>
      <c r="X48" s="1">
        <v>5.0980392156862744E-2</v>
      </c>
      <c r="Y48" s="1">
        <v>4.7058823529411764E-2</v>
      </c>
      <c r="Z48" s="1">
        <v>0.19215686274509805</v>
      </c>
      <c r="AA48" s="1">
        <v>4.7058823529411764E-2</v>
      </c>
      <c r="AB48" s="1">
        <v>0.19607843137254902</v>
      </c>
      <c r="AC48" s="1">
        <v>5.0980392156862744E-2</v>
      </c>
      <c r="AD48" s="1">
        <v>5.8823529411764705E-2</v>
      </c>
      <c r="AE48" s="1">
        <v>5.0980392156862744E-2</v>
      </c>
      <c r="AF48" s="1">
        <v>5.0980392156862744E-2</v>
      </c>
      <c r="AG48" s="1">
        <v>0.19215686274509805</v>
      </c>
      <c r="AH48" s="1">
        <f t="shared" si="1"/>
        <v>0.2</v>
      </c>
      <c r="AI48" s="16">
        <f t="shared" si="2"/>
        <v>47.6</v>
      </c>
      <c r="AJ48" s="1">
        <f t="shared" si="3"/>
        <v>0.15269607843137259</v>
      </c>
      <c r="AK48" s="27">
        <f t="shared" si="4"/>
        <v>4.4117647058823609E-2</v>
      </c>
      <c r="AN48" s="1">
        <f t="shared" si="10"/>
        <v>4.4117647058823609E-2</v>
      </c>
    </row>
    <row r="49" spans="1:40">
      <c r="A49" s="2">
        <f>A48+Calculations!$B$4</f>
        <v>48.6</v>
      </c>
      <c r="B49" s="1">
        <v>0.19215686274509805</v>
      </c>
      <c r="C49" s="1">
        <v>0.19215686274509805</v>
      </c>
      <c r="D49" s="1">
        <v>0.19215686274509805</v>
      </c>
      <c r="E49" s="1">
        <v>0.19215686274509805</v>
      </c>
      <c r="F49" s="1">
        <v>0.18823529411764706</v>
      </c>
      <c r="G49" s="1">
        <v>0.19215686274509805</v>
      </c>
      <c r="H49" s="1">
        <v>0.18431372549019609</v>
      </c>
      <c r="I49" s="1">
        <v>0.19215686274509805</v>
      </c>
      <c r="J49" s="1">
        <v>4.3137254901960784E-2</v>
      </c>
      <c r="K49" s="1">
        <v>0.19215686274509805</v>
      </c>
      <c r="L49" s="1">
        <v>0.18431372549019609</v>
      </c>
      <c r="M49" s="1">
        <v>0.19215686274509805</v>
      </c>
      <c r="N49" s="1">
        <v>0.18431372549019609</v>
      </c>
      <c r="O49" s="1">
        <v>0.18431372549019609</v>
      </c>
      <c r="P49" s="1">
        <v>0.19215686274509805</v>
      </c>
      <c r="Q49" s="1">
        <v>0.19607843137254902</v>
      </c>
      <c r="R49" s="1">
        <v>4.3137254901960784E-2</v>
      </c>
      <c r="S49" s="1">
        <v>0.19215686274509805</v>
      </c>
      <c r="T49" s="1">
        <v>0.19607843137254902</v>
      </c>
      <c r="U49" s="1">
        <v>0.19607843137254902</v>
      </c>
      <c r="V49" s="1">
        <v>0.19607843137254902</v>
      </c>
      <c r="W49" s="1">
        <v>0.2</v>
      </c>
      <c r="X49" s="1">
        <v>4.3137254901960784E-2</v>
      </c>
      <c r="Y49" s="1">
        <v>4.7058823529411764E-2</v>
      </c>
      <c r="Z49" s="1">
        <v>0.19215686274509805</v>
      </c>
      <c r="AA49" s="1">
        <v>4.3137254901960784E-2</v>
      </c>
      <c r="AB49" s="1">
        <v>0.19215686274509805</v>
      </c>
      <c r="AC49" s="1">
        <v>5.0980392156862744E-2</v>
      </c>
      <c r="AD49" s="1">
        <v>5.0980392156862744E-2</v>
      </c>
      <c r="AE49" s="1">
        <v>4.3137254901960784E-2</v>
      </c>
      <c r="AF49" s="1">
        <v>5.0980392156862744E-2</v>
      </c>
      <c r="AG49" s="1">
        <v>0.19215686274509805</v>
      </c>
      <c r="AH49" s="1">
        <f t="shared" si="1"/>
        <v>0.2</v>
      </c>
      <c r="AI49" s="16">
        <f t="shared" si="2"/>
        <v>48.6</v>
      </c>
      <c r="AJ49" s="1">
        <f t="shared" si="3"/>
        <v>0.15073529411764711</v>
      </c>
      <c r="AK49" s="27">
        <f t="shared" si="4"/>
        <v>4.2156862745098125E-2</v>
      </c>
      <c r="AN49" s="1">
        <f t="shared" si="10"/>
        <v>4.2156862745098125E-2</v>
      </c>
    </row>
    <row r="50" spans="1:40">
      <c r="A50" s="2">
        <f>A49+Calculations!$B$4</f>
        <v>49.6</v>
      </c>
      <c r="B50" s="1">
        <v>0.18823529411764706</v>
      </c>
      <c r="C50" s="1">
        <v>0.18431372549019609</v>
      </c>
      <c r="D50" s="1">
        <v>0.19215686274509805</v>
      </c>
      <c r="E50" s="1">
        <v>0.19607843137254902</v>
      </c>
      <c r="F50" s="1">
        <v>0.18431372549019609</v>
      </c>
      <c r="G50" s="1">
        <v>0.19215686274509805</v>
      </c>
      <c r="H50" s="1">
        <v>0.18431372549019609</v>
      </c>
      <c r="I50" s="1">
        <v>0.18431372549019609</v>
      </c>
      <c r="J50" s="1">
        <v>4.3137254901960784E-2</v>
      </c>
      <c r="K50" s="1">
        <v>0.18823529411764706</v>
      </c>
      <c r="L50" s="1">
        <v>0.18431372549019609</v>
      </c>
      <c r="M50" s="1">
        <v>0.19215686274509805</v>
      </c>
      <c r="N50" s="1">
        <v>0.18431372549019609</v>
      </c>
      <c r="O50" s="1">
        <v>0.18431372549019609</v>
      </c>
      <c r="P50" s="1">
        <v>0.18431372549019609</v>
      </c>
      <c r="Q50" s="1">
        <v>0.18823529411764706</v>
      </c>
      <c r="R50" s="1">
        <v>3.9215686274509803E-2</v>
      </c>
      <c r="S50" s="1">
        <v>0.18823529411764706</v>
      </c>
      <c r="T50" s="1">
        <v>0.19215686274509805</v>
      </c>
      <c r="U50" s="1">
        <v>0.18431372549019609</v>
      </c>
      <c r="V50" s="1">
        <v>0.18431372549019609</v>
      </c>
      <c r="W50" s="1">
        <v>0.19215686274509805</v>
      </c>
      <c r="X50" s="1">
        <v>4.3137254901960784E-2</v>
      </c>
      <c r="Y50" s="1">
        <v>4.3137254901960784E-2</v>
      </c>
      <c r="Z50" s="1">
        <v>0.19215686274509805</v>
      </c>
      <c r="AA50" s="1">
        <v>4.7058823529411764E-2</v>
      </c>
      <c r="AB50" s="1">
        <v>0.19215686274509805</v>
      </c>
      <c r="AC50" s="1">
        <v>5.0980392156862744E-2</v>
      </c>
      <c r="AD50" s="1">
        <v>5.4901960784313725E-2</v>
      </c>
      <c r="AE50" s="1">
        <v>5.0980392156862744E-2</v>
      </c>
      <c r="AF50" s="1">
        <v>5.0980392156862744E-2</v>
      </c>
      <c r="AG50" s="1">
        <v>0.19215686274509805</v>
      </c>
      <c r="AH50" s="1">
        <f t="shared" si="1"/>
        <v>0.19607843137254902</v>
      </c>
      <c r="AI50" s="16">
        <f t="shared" si="2"/>
        <v>49.6</v>
      </c>
      <c r="AJ50" s="1">
        <f t="shared" si="3"/>
        <v>0.14852941176470591</v>
      </c>
      <c r="AK50" s="27">
        <f t="shared" si="4"/>
        <v>3.9950980392156929E-2</v>
      </c>
      <c r="AN50" s="1">
        <f t="shared" si="10"/>
        <v>3.9950980392156929E-2</v>
      </c>
    </row>
    <row r="51" spans="1:40">
      <c r="A51" s="2">
        <f>A50+Calculations!$B$4</f>
        <v>50.6</v>
      </c>
      <c r="B51" s="1">
        <v>0.18431372549019609</v>
      </c>
      <c r="C51" s="1">
        <v>0.18431372549019609</v>
      </c>
      <c r="D51" s="1">
        <v>0.18823529411764706</v>
      </c>
      <c r="E51" s="1">
        <v>0.18823529411764706</v>
      </c>
      <c r="F51" s="1">
        <v>0.18823529411764706</v>
      </c>
      <c r="G51" s="1">
        <v>0.19215686274509805</v>
      </c>
      <c r="H51" s="1">
        <v>0.18431372549019609</v>
      </c>
      <c r="I51" s="1">
        <v>0.18431372549019609</v>
      </c>
      <c r="J51" s="1">
        <v>4.3137254901960784E-2</v>
      </c>
      <c r="K51" s="1">
        <v>0.18823529411764706</v>
      </c>
      <c r="L51" s="1">
        <v>0.18431372549019609</v>
      </c>
      <c r="M51" s="1">
        <v>0.19215686274509805</v>
      </c>
      <c r="N51" s="1">
        <v>0.17647058823529413</v>
      </c>
      <c r="O51" s="1">
        <v>0.18431372549019609</v>
      </c>
      <c r="P51" s="1">
        <v>0.18431372549019609</v>
      </c>
      <c r="Q51" s="1">
        <v>0.18431372549019609</v>
      </c>
      <c r="R51" s="1">
        <v>4.3137254901960784E-2</v>
      </c>
      <c r="S51" s="1">
        <v>0.18431372549019609</v>
      </c>
      <c r="T51" s="1">
        <v>0.18431372549019609</v>
      </c>
      <c r="U51" s="1">
        <v>0.18431372549019609</v>
      </c>
      <c r="V51" s="1">
        <v>0.18823529411764706</v>
      </c>
      <c r="W51" s="1">
        <v>0.19215686274509805</v>
      </c>
      <c r="X51" s="1">
        <v>4.3137254901960784E-2</v>
      </c>
      <c r="Y51" s="1">
        <v>3.9215686274509803E-2</v>
      </c>
      <c r="Z51" s="1">
        <v>0.19215686274509805</v>
      </c>
      <c r="AA51" s="1">
        <v>4.3137254901960784E-2</v>
      </c>
      <c r="AB51" s="1">
        <v>0.19215686274509805</v>
      </c>
      <c r="AC51" s="1">
        <v>5.0980392156862744E-2</v>
      </c>
      <c r="AD51" s="1">
        <v>4.3137254901960784E-2</v>
      </c>
      <c r="AE51" s="1">
        <v>4.3137254901960784E-2</v>
      </c>
      <c r="AF51" s="1">
        <v>4.3137254901960784E-2</v>
      </c>
      <c r="AG51" s="1">
        <v>0.19215686274509805</v>
      </c>
      <c r="AH51" s="1">
        <f t="shared" si="1"/>
        <v>0.19215686274509805</v>
      </c>
      <c r="AI51" s="16">
        <f t="shared" si="2"/>
        <v>50.6</v>
      </c>
      <c r="AJ51" s="1">
        <f t="shared" si="3"/>
        <v>0.14656862745098043</v>
      </c>
      <c r="AK51" s="27">
        <f t="shared" si="4"/>
        <v>3.7990196078431446E-2</v>
      </c>
      <c r="AN51" s="1">
        <f t="shared" si="10"/>
        <v>3.7990196078431446E-2</v>
      </c>
    </row>
    <row r="52" spans="1:40">
      <c r="A52" s="2">
        <f>A51+Calculations!$B$4</f>
        <v>51.6</v>
      </c>
      <c r="B52" s="1">
        <v>0.18823529411764706</v>
      </c>
      <c r="C52" s="1">
        <v>0.1803921568627451</v>
      </c>
      <c r="D52" s="1">
        <v>0.18823529411764706</v>
      </c>
      <c r="E52" s="1">
        <v>0.18431372549019609</v>
      </c>
      <c r="F52" s="1">
        <v>0.18431372549019609</v>
      </c>
      <c r="G52" s="1">
        <v>0.18431372549019609</v>
      </c>
      <c r="H52" s="1">
        <v>0.17647058823529413</v>
      </c>
      <c r="I52" s="1">
        <v>0.18431372549019609</v>
      </c>
      <c r="J52" s="1">
        <v>4.3137254901960784E-2</v>
      </c>
      <c r="K52" s="1">
        <v>0.18431372549019609</v>
      </c>
      <c r="L52" s="1">
        <v>0.18431372549019609</v>
      </c>
      <c r="M52" s="1">
        <v>0.18431372549019609</v>
      </c>
      <c r="N52" s="1">
        <v>0.17254901960784313</v>
      </c>
      <c r="O52" s="1">
        <v>0.17647058823529413</v>
      </c>
      <c r="P52" s="1">
        <v>0.18431372549019609</v>
      </c>
      <c r="Q52" s="1">
        <v>0.18431372549019609</v>
      </c>
      <c r="R52" s="1">
        <v>4.3137254901960784E-2</v>
      </c>
      <c r="S52" s="1">
        <v>0.1803921568627451</v>
      </c>
      <c r="T52" s="1">
        <v>0.1803921568627451</v>
      </c>
      <c r="U52" s="1">
        <v>0.1803921568627451</v>
      </c>
      <c r="V52" s="1">
        <v>0.18431372549019609</v>
      </c>
      <c r="W52" s="1">
        <v>0.19215686274509805</v>
      </c>
      <c r="X52" s="1">
        <v>3.5294117647058823E-2</v>
      </c>
      <c r="Y52" s="1">
        <v>3.5294117647058823E-2</v>
      </c>
      <c r="Z52" s="1">
        <v>0.19215686274509805</v>
      </c>
      <c r="AA52" s="1">
        <v>4.3137254901960784E-2</v>
      </c>
      <c r="AB52" s="1">
        <v>0.18431372549019609</v>
      </c>
      <c r="AC52" s="1">
        <v>4.3137254901960784E-2</v>
      </c>
      <c r="AD52" s="1">
        <v>4.3137254901960784E-2</v>
      </c>
      <c r="AE52" s="1">
        <v>4.3137254901960784E-2</v>
      </c>
      <c r="AF52" s="1">
        <v>4.3137254901960784E-2</v>
      </c>
      <c r="AG52" s="1">
        <v>0.19215686274509805</v>
      </c>
      <c r="AH52" s="1">
        <f t="shared" si="1"/>
        <v>0.19215686274509805</v>
      </c>
      <c r="AI52" s="16">
        <f t="shared" si="2"/>
        <v>51.6</v>
      </c>
      <c r="AJ52" s="1">
        <f t="shared" si="3"/>
        <v>0.14374999999999996</v>
      </c>
      <c r="AK52" s="27">
        <f t="shared" si="4"/>
        <v>3.517156862745098E-2</v>
      </c>
      <c r="AN52" s="1">
        <f t="shared" si="10"/>
        <v>3.517156862745098E-2</v>
      </c>
    </row>
    <row r="53" spans="1:40">
      <c r="A53" s="2">
        <f>A52+Calculations!$B$4</f>
        <v>52.6</v>
      </c>
      <c r="B53" s="1">
        <v>0.18431372549019609</v>
      </c>
      <c r="C53" s="1">
        <v>0.1803921568627451</v>
      </c>
      <c r="D53" s="1">
        <v>0.19215686274509805</v>
      </c>
      <c r="E53" s="1">
        <v>0.18431372549019609</v>
      </c>
      <c r="F53" s="1">
        <v>0.1803921568627451</v>
      </c>
      <c r="G53" s="1">
        <v>0.18431372549019609</v>
      </c>
      <c r="H53" s="1">
        <v>0.17647058823529413</v>
      </c>
      <c r="I53" s="1">
        <v>0.18431372549019609</v>
      </c>
      <c r="J53" s="1">
        <v>4.3137254901960784E-2</v>
      </c>
      <c r="K53" s="1">
        <v>0.18431372549019609</v>
      </c>
      <c r="L53" s="1">
        <v>0.18431372549019609</v>
      </c>
      <c r="M53" s="1">
        <v>0.18431372549019609</v>
      </c>
      <c r="N53" s="1">
        <v>0.16862745098039217</v>
      </c>
      <c r="O53" s="1">
        <v>0.17647058823529413</v>
      </c>
      <c r="P53" s="1">
        <v>0.18431372549019609</v>
      </c>
      <c r="Q53" s="1">
        <v>0.18431372549019609</v>
      </c>
      <c r="R53" s="1">
        <v>3.9215686274509803E-2</v>
      </c>
      <c r="S53" s="1">
        <v>0.17647058823529413</v>
      </c>
      <c r="T53" s="1">
        <v>0.1803921568627451</v>
      </c>
      <c r="U53" s="1">
        <v>0.18431372549019609</v>
      </c>
      <c r="V53" s="1">
        <v>0.1803921568627451</v>
      </c>
      <c r="W53" s="1">
        <v>0.18823529411764706</v>
      </c>
      <c r="X53" s="1">
        <v>3.5294117647058823E-2</v>
      </c>
      <c r="Y53" s="1">
        <v>3.5294117647058823E-2</v>
      </c>
      <c r="Z53" s="1">
        <v>0.18431372549019609</v>
      </c>
      <c r="AA53" s="1">
        <v>4.3137254901960784E-2</v>
      </c>
      <c r="AB53" s="1">
        <v>0.18431372549019609</v>
      </c>
      <c r="AC53" s="1">
        <v>3.5294117647058823E-2</v>
      </c>
      <c r="AD53" s="1">
        <v>4.3137254901960784E-2</v>
      </c>
      <c r="AE53" s="1">
        <v>3.5294117647058823E-2</v>
      </c>
      <c r="AF53" s="1">
        <v>4.3137254901960784E-2</v>
      </c>
      <c r="AG53" s="1">
        <v>0.18823529411764706</v>
      </c>
      <c r="AH53" s="1">
        <f t="shared" si="1"/>
        <v>0.19215686274509805</v>
      </c>
      <c r="AI53" s="16">
        <f t="shared" si="2"/>
        <v>52.6</v>
      </c>
      <c r="AJ53" s="1">
        <f t="shared" si="3"/>
        <v>0.14227941176470585</v>
      </c>
      <c r="AK53" s="27">
        <f t="shared" si="4"/>
        <v>3.3700980392156868E-2</v>
      </c>
      <c r="AN53" s="1">
        <f t="shared" si="10"/>
        <v>3.3700980392156868E-2</v>
      </c>
    </row>
    <row r="54" spans="1:40">
      <c r="A54" s="2">
        <f>A53+Calculations!$B$4</f>
        <v>53.6</v>
      </c>
      <c r="B54" s="1">
        <v>0.17647058823529413</v>
      </c>
      <c r="C54" s="1">
        <v>0.17647058823529413</v>
      </c>
      <c r="D54" s="1">
        <v>0.18431372549019609</v>
      </c>
      <c r="E54" s="1">
        <v>0.1803921568627451</v>
      </c>
      <c r="F54" s="1">
        <v>0.17647058823529413</v>
      </c>
      <c r="G54" s="1">
        <v>0.18431372549019609</v>
      </c>
      <c r="H54" s="1">
        <v>0.17647058823529413</v>
      </c>
      <c r="I54" s="1">
        <v>0.1803921568627451</v>
      </c>
      <c r="J54" s="1">
        <v>3.5294117647058823E-2</v>
      </c>
      <c r="K54" s="1">
        <v>0.18431372549019609</v>
      </c>
      <c r="L54" s="1">
        <v>0.18431372549019609</v>
      </c>
      <c r="M54" s="1">
        <v>0.17647058823529413</v>
      </c>
      <c r="N54" s="1">
        <v>0.16862745098039217</v>
      </c>
      <c r="O54" s="1">
        <v>0.16862745098039217</v>
      </c>
      <c r="P54" s="1">
        <v>0.17647058823529413</v>
      </c>
      <c r="Q54" s="1">
        <v>0.18431372549019609</v>
      </c>
      <c r="R54" s="1">
        <v>3.1372549019607843E-2</v>
      </c>
      <c r="S54" s="1">
        <v>0.17647058823529413</v>
      </c>
      <c r="T54" s="1">
        <v>0.18431372549019609</v>
      </c>
      <c r="U54" s="1">
        <v>0.17647058823529413</v>
      </c>
      <c r="V54" s="1">
        <v>0.17647058823529413</v>
      </c>
      <c r="W54" s="1">
        <v>0.1803921568627451</v>
      </c>
      <c r="X54" s="1">
        <v>3.9215686274509803E-2</v>
      </c>
      <c r="Y54" s="1">
        <v>3.9215686274509803E-2</v>
      </c>
      <c r="Z54" s="1">
        <v>0.18823529411764706</v>
      </c>
      <c r="AA54" s="1">
        <v>4.3137254901960784E-2</v>
      </c>
      <c r="AB54" s="1">
        <v>0.18431372549019609</v>
      </c>
      <c r="AC54" s="1">
        <v>3.5294117647058823E-2</v>
      </c>
      <c r="AD54" s="1">
        <v>3.5294117647058823E-2</v>
      </c>
      <c r="AE54" s="1">
        <v>3.5294117647058823E-2</v>
      </c>
      <c r="AF54" s="1">
        <v>4.3137254901960784E-2</v>
      </c>
      <c r="AG54" s="1">
        <v>0.1803921568627451</v>
      </c>
      <c r="AH54" s="1">
        <f t="shared" si="1"/>
        <v>0.18823529411764706</v>
      </c>
      <c r="AI54" s="16">
        <f t="shared" si="2"/>
        <v>53.6</v>
      </c>
      <c r="AJ54" s="1">
        <f t="shared" si="3"/>
        <v>0.13946078431372544</v>
      </c>
      <c r="AK54" s="27">
        <f t="shared" si="4"/>
        <v>3.0882352941176458E-2</v>
      </c>
      <c r="AN54" s="1">
        <f t="shared" si="10"/>
        <v>3.0882352941176458E-2</v>
      </c>
    </row>
    <row r="55" spans="1:40">
      <c r="A55" s="2">
        <f>A54+Calculations!$B$4</f>
        <v>54.6</v>
      </c>
      <c r="B55" s="1">
        <v>0.17647058823529413</v>
      </c>
      <c r="C55" s="1">
        <v>0.17647058823529413</v>
      </c>
      <c r="D55" s="1">
        <v>0.18431372549019609</v>
      </c>
      <c r="E55" s="1">
        <v>0.17647058823529413</v>
      </c>
      <c r="F55" s="1">
        <v>0.17647058823529413</v>
      </c>
      <c r="G55" s="1">
        <v>0.1803921568627451</v>
      </c>
      <c r="H55" s="1">
        <v>0.17254901960784313</v>
      </c>
      <c r="I55" s="1">
        <v>0.1803921568627451</v>
      </c>
      <c r="J55" s="1">
        <v>4.3137254901960784E-2</v>
      </c>
      <c r="K55" s="1">
        <v>0.17647058823529413</v>
      </c>
      <c r="L55" s="1">
        <v>0.17647058823529413</v>
      </c>
      <c r="M55" s="1">
        <v>0.18431372549019609</v>
      </c>
      <c r="N55" s="1">
        <v>0.16862745098039217</v>
      </c>
      <c r="O55" s="1">
        <v>0.17254901960784313</v>
      </c>
      <c r="P55" s="1">
        <v>0.1803921568627451</v>
      </c>
      <c r="Q55" s="1">
        <v>0.17647058823529413</v>
      </c>
      <c r="R55" s="1">
        <v>4.3137254901960784E-2</v>
      </c>
      <c r="S55" s="1">
        <v>0.17254901960784313</v>
      </c>
      <c r="T55" s="1">
        <v>0.18431372549019609</v>
      </c>
      <c r="U55" s="1">
        <v>0.17647058823529413</v>
      </c>
      <c r="V55" s="1">
        <v>0.17647058823529413</v>
      </c>
      <c r="W55" s="1">
        <v>0.18431372549019609</v>
      </c>
      <c r="X55" s="1">
        <v>3.5294117647058823E-2</v>
      </c>
      <c r="Y55" s="1">
        <v>2.7450980392156862E-2</v>
      </c>
      <c r="Z55" s="1">
        <v>0.18431372549019609</v>
      </c>
      <c r="AA55" s="1">
        <v>3.9215686274509803E-2</v>
      </c>
      <c r="AB55" s="1">
        <v>0.1803921568627451</v>
      </c>
      <c r="AC55" s="1">
        <v>3.5294117647058823E-2</v>
      </c>
      <c r="AD55" s="1">
        <v>3.5294117647058823E-2</v>
      </c>
      <c r="AE55" s="1">
        <v>3.1372549019607843E-2</v>
      </c>
      <c r="AF55" s="1">
        <v>3.9215686274509803E-2</v>
      </c>
      <c r="AG55" s="1">
        <v>0.17647058823529413</v>
      </c>
      <c r="AH55" s="1">
        <f t="shared" si="1"/>
        <v>0.18431372549019609</v>
      </c>
      <c r="AI55" s="16">
        <f t="shared" si="2"/>
        <v>54.6</v>
      </c>
      <c r="AJ55" s="1">
        <f t="shared" si="3"/>
        <v>0.13823529411764704</v>
      </c>
      <c r="AK55" s="27">
        <f t="shared" si="4"/>
        <v>2.9656862745098059E-2</v>
      </c>
      <c r="AN55" s="1">
        <f t="shared" si="10"/>
        <v>2.9656862745098059E-2</v>
      </c>
    </row>
    <row r="56" spans="1:40">
      <c r="A56" s="2">
        <f>A55+Calculations!$B$4</f>
        <v>55.6</v>
      </c>
      <c r="B56" s="1">
        <v>0.17647058823529413</v>
      </c>
      <c r="C56" s="1">
        <v>0.17647058823529413</v>
      </c>
      <c r="D56" s="1">
        <v>0.1803921568627451</v>
      </c>
      <c r="E56" s="1">
        <v>0.16862745098039217</v>
      </c>
      <c r="F56" s="1">
        <v>0.17647058823529413</v>
      </c>
      <c r="G56" s="1">
        <v>0.1803921568627451</v>
      </c>
      <c r="H56" s="1">
        <v>0.16862745098039217</v>
      </c>
      <c r="I56" s="1">
        <v>0.17647058823529413</v>
      </c>
      <c r="J56" s="1">
        <v>3.5294117647058823E-2</v>
      </c>
      <c r="K56" s="1">
        <v>0.17647058823529413</v>
      </c>
      <c r="L56" s="1">
        <v>0.17647058823529413</v>
      </c>
      <c r="M56" s="1">
        <v>0.17647058823529413</v>
      </c>
      <c r="N56" s="1">
        <v>0.16862745098039217</v>
      </c>
      <c r="O56" s="1">
        <v>0.17647058823529413</v>
      </c>
      <c r="P56" s="1">
        <v>0.17647058823529413</v>
      </c>
      <c r="Q56" s="1">
        <v>0.17647058823529413</v>
      </c>
      <c r="R56" s="1">
        <v>3.5294117647058823E-2</v>
      </c>
      <c r="S56" s="1">
        <v>0.17254901960784313</v>
      </c>
      <c r="T56" s="1">
        <v>0.18431372549019609</v>
      </c>
      <c r="U56" s="1">
        <v>0.17647058823529413</v>
      </c>
      <c r="V56" s="1">
        <v>0.17647058823529413</v>
      </c>
      <c r="W56" s="1">
        <v>0.17647058823529413</v>
      </c>
      <c r="X56" s="1">
        <v>3.5294117647058823E-2</v>
      </c>
      <c r="Y56" s="1">
        <v>3.1372549019607843E-2</v>
      </c>
      <c r="Z56" s="1">
        <v>0.17647058823529413</v>
      </c>
      <c r="AA56" s="1">
        <v>2.7450980392156862E-2</v>
      </c>
      <c r="AB56" s="1">
        <v>0.17647058823529413</v>
      </c>
      <c r="AC56" s="1">
        <v>3.1372549019607843E-2</v>
      </c>
      <c r="AD56" s="1">
        <v>3.5294117647058823E-2</v>
      </c>
      <c r="AE56" s="1">
        <v>2.7450980392156862E-2</v>
      </c>
      <c r="AF56" s="1">
        <v>3.5294117647058823E-2</v>
      </c>
      <c r="AG56" s="1">
        <v>0.17254901960784313</v>
      </c>
      <c r="AH56" s="1">
        <f t="shared" si="1"/>
        <v>0.18431372549019609</v>
      </c>
      <c r="AI56" s="16">
        <f t="shared" si="2"/>
        <v>55.6</v>
      </c>
      <c r="AJ56" s="1">
        <f t="shared" si="3"/>
        <v>0.13553921568627447</v>
      </c>
      <c r="AK56" s="27">
        <f t="shared" si="4"/>
        <v>2.6960784313725492E-2</v>
      </c>
      <c r="AN56" s="1">
        <f t="shared" si="10"/>
        <v>2.6960784313725492E-2</v>
      </c>
    </row>
    <row r="57" spans="1:40">
      <c r="A57" s="2">
        <f>A56+Calculations!$B$4</f>
        <v>56.6</v>
      </c>
      <c r="B57" s="1">
        <v>0.17254901960784313</v>
      </c>
      <c r="C57" s="1">
        <v>0.17254901960784313</v>
      </c>
      <c r="D57" s="1">
        <v>0.1803921568627451</v>
      </c>
      <c r="E57" s="1">
        <v>0.17647058823529413</v>
      </c>
      <c r="F57" s="1">
        <v>0.1803921568627451</v>
      </c>
      <c r="G57" s="1">
        <v>0.17647058823529413</v>
      </c>
      <c r="H57" s="1">
        <v>0.16862745098039217</v>
      </c>
      <c r="I57" s="1">
        <v>0.17647058823529413</v>
      </c>
      <c r="J57" s="1">
        <v>4.3137254901960784E-2</v>
      </c>
      <c r="K57" s="1">
        <v>0.16862745098039217</v>
      </c>
      <c r="L57" s="1">
        <v>0.17254901960784313</v>
      </c>
      <c r="M57" s="1">
        <v>0.17647058823529413</v>
      </c>
      <c r="N57" s="1">
        <v>0.17254901960784313</v>
      </c>
      <c r="O57" s="1">
        <v>0.17647058823529413</v>
      </c>
      <c r="P57" s="1">
        <v>0.16862745098039217</v>
      </c>
      <c r="Q57" s="1">
        <v>0.17647058823529413</v>
      </c>
      <c r="R57" s="1">
        <v>2.7450980392156862E-2</v>
      </c>
      <c r="S57" s="1">
        <v>0.16862745098039217</v>
      </c>
      <c r="T57" s="1">
        <v>0.17647058823529413</v>
      </c>
      <c r="U57" s="1">
        <v>0.18431372549019609</v>
      </c>
      <c r="V57" s="1">
        <v>0.16862745098039217</v>
      </c>
      <c r="W57" s="1">
        <v>0.1803921568627451</v>
      </c>
      <c r="X57" s="1">
        <v>3.5294117647058823E-2</v>
      </c>
      <c r="Y57" s="1">
        <v>3.1372549019607843E-2</v>
      </c>
      <c r="Z57" s="1">
        <v>0.16862745098039217</v>
      </c>
      <c r="AA57" s="1">
        <v>3.5294117647058823E-2</v>
      </c>
      <c r="AB57" s="1">
        <v>0.17254901960784313</v>
      </c>
      <c r="AC57" s="1">
        <v>3.1372549019607843E-2</v>
      </c>
      <c r="AD57" s="1">
        <v>3.5294117647058823E-2</v>
      </c>
      <c r="AE57" s="1">
        <v>2.7450980392156862E-2</v>
      </c>
      <c r="AF57" s="1">
        <v>2.7450980392156862E-2</v>
      </c>
      <c r="AG57" s="1">
        <v>0.17647058823529413</v>
      </c>
      <c r="AH57" s="1">
        <f t="shared" si="1"/>
        <v>0.18431372549019609</v>
      </c>
      <c r="AI57" s="16">
        <f t="shared" si="2"/>
        <v>56.6</v>
      </c>
      <c r="AJ57" s="1">
        <f t="shared" si="3"/>
        <v>0.1345588235294117</v>
      </c>
      <c r="AK57" s="27">
        <f t="shared" si="4"/>
        <v>2.5980392156862722E-2</v>
      </c>
      <c r="AN57" s="1">
        <f t="shared" si="10"/>
        <v>2.5980392156862722E-2</v>
      </c>
    </row>
    <row r="58" spans="1:40">
      <c r="A58" s="2">
        <f>A57+Calculations!$B$4</f>
        <v>57.6</v>
      </c>
      <c r="B58" s="1">
        <v>0.16862745098039217</v>
      </c>
      <c r="C58" s="1">
        <v>0.17254901960784313</v>
      </c>
      <c r="D58" s="1">
        <v>0.17647058823529413</v>
      </c>
      <c r="E58" s="1">
        <v>0.17254901960784313</v>
      </c>
      <c r="F58" s="1">
        <v>0.17647058823529413</v>
      </c>
      <c r="G58" s="1">
        <v>0.17647058823529413</v>
      </c>
      <c r="H58" s="1">
        <v>0.16078431372549021</v>
      </c>
      <c r="I58" s="1">
        <v>0.16862745098039217</v>
      </c>
      <c r="J58" s="1">
        <v>3.5294117647058823E-2</v>
      </c>
      <c r="K58" s="1">
        <v>0.17254901960784313</v>
      </c>
      <c r="L58" s="1">
        <v>0.17647058823529413</v>
      </c>
      <c r="M58" s="1">
        <v>0.17647058823529413</v>
      </c>
      <c r="N58" s="1">
        <v>0.16862745098039217</v>
      </c>
      <c r="O58" s="1">
        <v>0.17647058823529413</v>
      </c>
      <c r="P58" s="1">
        <v>0.17254901960784313</v>
      </c>
      <c r="Q58" s="1">
        <v>0.16862745098039217</v>
      </c>
      <c r="R58" s="1">
        <v>2.7450980392156862E-2</v>
      </c>
      <c r="S58" s="1">
        <v>0.16862745098039217</v>
      </c>
      <c r="T58" s="1">
        <v>0.17647058823529413</v>
      </c>
      <c r="U58" s="1">
        <v>0.16862745098039217</v>
      </c>
      <c r="V58" s="1">
        <v>0.17647058823529413</v>
      </c>
      <c r="W58" s="1">
        <v>0.17647058823529413</v>
      </c>
      <c r="X58" s="1">
        <v>2.7450980392156862E-2</v>
      </c>
      <c r="Y58" s="1">
        <v>2.3529411764705882E-2</v>
      </c>
      <c r="Z58" s="1">
        <v>0.16862745098039217</v>
      </c>
      <c r="AA58" s="1">
        <v>3.5294117647058823E-2</v>
      </c>
      <c r="AB58" s="1">
        <v>0.17647058823529413</v>
      </c>
      <c r="AC58" s="1">
        <v>2.7450980392156862E-2</v>
      </c>
      <c r="AD58" s="1">
        <v>3.5294117647058823E-2</v>
      </c>
      <c r="AE58" s="1">
        <v>3.1372549019607843E-2</v>
      </c>
      <c r="AF58" s="1">
        <v>2.7450980392156862E-2</v>
      </c>
      <c r="AG58" s="1">
        <v>0.17647058823529413</v>
      </c>
      <c r="AH58" s="1">
        <f t="shared" si="1"/>
        <v>0.17647058823529413</v>
      </c>
      <c r="AI58" s="16">
        <f t="shared" si="2"/>
        <v>57.6</v>
      </c>
      <c r="AJ58" s="1">
        <f t="shared" si="3"/>
        <v>0.13259803921568622</v>
      </c>
      <c r="AK58" s="27">
        <f t="shared" si="4"/>
        <v>2.4019607843137239E-2</v>
      </c>
      <c r="AN58" s="1">
        <f t="shared" si="10"/>
        <v>2.4019607843137239E-2</v>
      </c>
    </row>
    <row r="59" spans="1:40">
      <c r="A59" s="2">
        <f>A58+Calculations!$B$4</f>
        <v>58.6</v>
      </c>
      <c r="B59" s="1">
        <v>0.16470588235294117</v>
      </c>
      <c r="C59" s="1">
        <v>0.16862745098039217</v>
      </c>
      <c r="D59" s="1">
        <v>0.17647058823529413</v>
      </c>
      <c r="E59" s="1">
        <v>0.16862745098039217</v>
      </c>
      <c r="F59" s="1">
        <v>0.17647058823529413</v>
      </c>
      <c r="G59" s="1">
        <v>0.17254901960784313</v>
      </c>
      <c r="H59" s="1">
        <v>0.16078431372549021</v>
      </c>
      <c r="I59" s="1">
        <v>0.16862745098039217</v>
      </c>
      <c r="J59" s="1">
        <v>3.5294117647058823E-2</v>
      </c>
      <c r="K59" s="1">
        <v>0.16862745098039217</v>
      </c>
      <c r="L59" s="1">
        <v>0.16862745098039217</v>
      </c>
      <c r="M59" s="1">
        <v>0.17647058823529413</v>
      </c>
      <c r="N59" s="1">
        <v>0.16862745098039217</v>
      </c>
      <c r="O59" s="1">
        <v>0.17647058823529413</v>
      </c>
      <c r="P59" s="1">
        <v>0.16862745098039217</v>
      </c>
      <c r="Q59" s="1">
        <v>0.17647058823529413</v>
      </c>
      <c r="R59" s="1">
        <v>3.1372549019607843E-2</v>
      </c>
      <c r="S59" s="1">
        <v>0.17647058823529413</v>
      </c>
      <c r="T59" s="1">
        <v>0.16862745098039217</v>
      </c>
      <c r="U59" s="1">
        <v>0.16078431372549021</v>
      </c>
      <c r="V59" s="1">
        <v>0.16862745098039217</v>
      </c>
      <c r="W59" s="1">
        <v>0.17647058823529413</v>
      </c>
      <c r="X59" s="1">
        <v>2.7450980392156862E-2</v>
      </c>
      <c r="Y59" s="1">
        <v>2.7450980392156862E-2</v>
      </c>
      <c r="Z59" s="1">
        <v>0.16862745098039217</v>
      </c>
      <c r="AA59" s="1">
        <v>3.5294117647058823E-2</v>
      </c>
      <c r="AB59" s="1">
        <v>0.17647058823529413</v>
      </c>
      <c r="AC59" s="1">
        <v>2.3529411764705882E-2</v>
      </c>
      <c r="AD59" s="1">
        <v>3.5294117647058823E-2</v>
      </c>
      <c r="AE59" s="1">
        <v>2.7450980392156862E-2</v>
      </c>
      <c r="AF59" s="1">
        <v>2.7450980392156862E-2</v>
      </c>
      <c r="AG59" s="1">
        <v>0.17647058823529413</v>
      </c>
      <c r="AH59" s="1">
        <f t="shared" si="1"/>
        <v>0.17647058823529413</v>
      </c>
      <c r="AI59" s="16">
        <f t="shared" si="2"/>
        <v>58.6</v>
      </c>
      <c r="AJ59" s="1">
        <f t="shared" si="3"/>
        <v>0.13137254901960779</v>
      </c>
      <c r="AK59" s="27">
        <f t="shared" si="4"/>
        <v>2.2794117647058812E-2</v>
      </c>
      <c r="AN59" s="1">
        <f t="shared" si="10"/>
        <v>2.2794117647058812E-2</v>
      </c>
    </row>
    <row r="60" spans="1:40">
      <c r="A60" s="2">
        <f>A59+Calculations!$B$4</f>
        <v>59.6</v>
      </c>
      <c r="B60" s="1">
        <v>0.16078431372549021</v>
      </c>
      <c r="C60" s="1">
        <v>0.16862745098039217</v>
      </c>
      <c r="D60" s="1">
        <v>0.17647058823529413</v>
      </c>
      <c r="E60" s="1">
        <v>0.17647058823529413</v>
      </c>
      <c r="F60" s="1">
        <v>0.16862745098039217</v>
      </c>
      <c r="G60" s="1">
        <v>0.16862745098039217</v>
      </c>
      <c r="H60" s="1">
        <v>0.16078431372549021</v>
      </c>
      <c r="I60" s="1">
        <v>0.16862745098039217</v>
      </c>
      <c r="J60" s="1">
        <v>3.1372549019607843E-2</v>
      </c>
      <c r="K60" s="1">
        <v>0.16862745098039217</v>
      </c>
      <c r="L60" s="1">
        <v>0.16862745098039217</v>
      </c>
      <c r="M60" s="1">
        <v>0.16862745098039217</v>
      </c>
      <c r="N60" s="1">
        <v>0.16862745098039217</v>
      </c>
      <c r="O60" s="1">
        <v>0.16862745098039217</v>
      </c>
      <c r="P60" s="1">
        <v>0.16078431372549021</v>
      </c>
      <c r="Q60" s="1">
        <v>0.17647058823529413</v>
      </c>
      <c r="R60" s="1">
        <v>2.7450980392156862E-2</v>
      </c>
      <c r="S60" s="1">
        <v>0.16862745098039217</v>
      </c>
      <c r="T60" s="1">
        <v>0.16862745098039217</v>
      </c>
      <c r="U60" s="1">
        <v>0.16862745098039217</v>
      </c>
      <c r="V60" s="1">
        <v>0.17254901960784313</v>
      </c>
      <c r="W60" s="1">
        <v>0.16862745098039217</v>
      </c>
      <c r="X60" s="1">
        <v>2.7450980392156862E-2</v>
      </c>
      <c r="Y60" s="1">
        <v>2.7450980392156862E-2</v>
      </c>
      <c r="Z60" s="1">
        <v>0.16862745098039217</v>
      </c>
      <c r="AA60" s="1">
        <v>3.5294117647058823E-2</v>
      </c>
      <c r="AB60" s="1">
        <v>0.17647058823529413</v>
      </c>
      <c r="AC60" s="1">
        <v>2.3529411764705882E-2</v>
      </c>
      <c r="AD60" s="1">
        <v>3.5294117647058823E-2</v>
      </c>
      <c r="AE60" s="1">
        <v>1.9607843137254902E-2</v>
      </c>
      <c r="AF60" s="1">
        <v>3.5294117647058823E-2</v>
      </c>
      <c r="AG60" s="1">
        <v>0.17647058823529413</v>
      </c>
      <c r="AH60" s="1">
        <f t="shared" si="1"/>
        <v>0.17647058823529413</v>
      </c>
      <c r="AI60" s="16">
        <f t="shared" si="2"/>
        <v>59.6</v>
      </c>
      <c r="AJ60" s="1">
        <f t="shared" si="3"/>
        <v>0.13002450980392152</v>
      </c>
      <c r="AK60" s="27">
        <f t="shared" si="4"/>
        <v>2.1446078431372542E-2</v>
      </c>
      <c r="AN60" s="1">
        <f t="shared" si="10"/>
        <v>2.1446078431372542E-2</v>
      </c>
    </row>
    <row r="61" spans="1:40">
      <c r="A61" s="2">
        <f>A60+Calculations!$B$4</f>
        <v>60.6</v>
      </c>
      <c r="B61" s="1">
        <v>0.16862745098039217</v>
      </c>
      <c r="C61" s="1">
        <v>0.16862745098039217</v>
      </c>
      <c r="D61" s="1">
        <v>0.16862745098039217</v>
      </c>
      <c r="E61" s="1">
        <v>0.16862745098039217</v>
      </c>
      <c r="F61" s="1">
        <v>0.16862745098039217</v>
      </c>
      <c r="G61" s="1">
        <v>0.16862745098039217</v>
      </c>
      <c r="H61" s="1">
        <v>0.16078431372549021</v>
      </c>
      <c r="I61" s="1">
        <v>0.16862745098039217</v>
      </c>
      <c r="J61" s="1">
        <v>3.1372549019607843E-2</v>
      </c>
      <c r="K61" s="1">
        <v>0.16862745098039217</v>
      </c>
      <c r="L61" s="1">
        <v>0.16862745098039217</v>
      </c>
      <c r="M61" s="1">
        <v>0.16862745098039217</v>
      </c>
      <c r="N61" s="1">
        <v>0.16078431372549021</v>
      </c>
      <c r="O61" s="1">
        <v>0.17254901960784313</v>
      </c>
      <c r="P61" s="1">
        <v>0.16078431372549021</v>
      </c>
      <c r="Q61" s="1">
        <v>0.16862745098039217</v>
      </c>
      <c r="R61" s="1">
        <v>2.7450980392156862E-2</v>
      </c>
      <c r="S61" s="1">
        <v>0.16862745098039217</v>
      </c>
      <c r="T61" s="1">
        <v>0.16862745098039217</v>
      </c>
      <c r="U61" s="1">
        <v>0.16862745098039217</v>
      </c>
      <c r="V61" s="1">
        <v>0.17254901960784313</v>
      </c>
      <c r="W61" s="1">
        <v>0.16862745098039217</v>
      </c>
      <c r="X61" s="1">
        <v>1.9607843137254902E-2</v>
      </c>
      <c r="Y61" s="1">
        <v>2.7450980392156862E-2</v>
      </c>
      <c r="Z61" s="1">
        <v>0.16078431372549021</v>
      </c>
      <c r="AA61" s="1">
        <v>3.1372549019607843E-2</v>
      </c>
      <c r="AB61" s="1">
        <v>0.16862745098039217</v>
      </c>
      <c r="AC61" s="1">
        <v>1.9607843137254902E-2</v>
      </c>
      <c r="AD61" s="1">
        <v>3.5294117647058823E-2</v>
      </c>
      <c r="AE61" s="1">
        <v>1.9607843137254902E-2</v>
      </c>
      <c r="AF61" s="1">
        <v>2.3529411764705882E-2</v>
      </c>
      <c r="AG61" s="1">
        <v>0.17254901960784313</v>
      </c>
      <c r="AH61" s="1">
        <f t="shared" si="1"/>
        <v>0.17254901960784313</v>
      </c>
      <c r="AI61" s="16">
        <f t="shared" si="2"/>
        <v>60.6</v>
      </c>
      <c r="AJ61" s="1">
        <f t="shared" si="3"/>
        <v>0.1279411764705882</v>
      </c>
      <c r="AK61" s="27">
        <f t="shared" si="4"/>
        <v>1.9362745098039216E-2</v>
      </c>
      <c r="AN61" s="1">
        <f t="shared" si="10"/>
        <v>1.9362745098039216E-2</v>
      </c>
    </row>
    <row r="62" spans="1:40">
      <c r="A62" s="2">
        <f>A61+Calculations!$B$4</f>
        <v>61.6</v>
      </c>
      <c r="B62" s="1">
        <v>0.16078431372549021</v>
      </c>
      <c r="C62" s="1">
        <v>0.16862745098039217</v>
      </c>
      <c r="D62" s="1">
        <v>0.16862745098039217</v>
      </c>
      <c r="E62" s="1">
        <v>0.16862745098039217</v>
      </c>
      <c r="F62" s="1">
        <v>0.16470588235294117</v>
      </c>
      <c r="G62" s="1">
        <v>0.16862745098039217</v>
      </c>
      <c r="H62" s="1">
        <v>0.15294117647058825</v>
      </c>
      <c r="I62" s="1">
        <v>0.16078431372549021</v>
      </c>
      <c r="J62" s="1">
        <v>2.7450980392156862E-2</v>
      </c>
      <c r="K62" s="1">
        <v>0.16862745098039217</v>
      </c>
      <c r="L62" s="1">
        <v>0.16078431372549021</v>
      </c>
      <c r="M62" s="1">
        <v>0.16862745098039217</v>
      </c>
      <c r="N62" s="1">
        <v>0.16078431372549021</v>
      </c>
      <c r="O62" s="1">
        <v>0.16078431372549021</v>
      </c>
      <c r="P62" s="1">
        <v>0.16078431372549021</v>
      </c>
      <c r="Q62" s="1">
        <v>0.16862745098039217</v>
      </c>
      <c r="R62" s="1">
        <v>1.9607843137254902E-2</v>
      </c>
      <c r="S62" s="1">
        <v>0.16862745098039217</v>
      </c>
      <c r="T62" s="1">
        <v>0.17254901960784313</v>
      </c>
      <c r="U62" s="1">
        <v>0.16078431372549021</v>
      </c>
      <c r="V62" s="1">
        <v>0.16470588235294117</v>
      </c>
      <c r="W62" s="1">
        <v>0.16862745098039217</v>
      </c>
      <c r="X62" s="1">
        <v>1.9607843137254902E-2</v>
      </c>
      <c r="Y62" s="1">
        <v>1.9607843137254902E-2</v>
      </c>
      <c r="Z62" s="1">
        <v>0.16078431372549021</v>
      </c>
      <c r="AA62" s="1">
        <v>2.7450980392156862E-2</v>
      </c>
      <c r="AB62" s="1">
        <v>0.16862745098039217</v>
      </c>
      <c r="AC62" s="1">
        <v>1.9607843137254902E-2</v>
      </c>
      <c r="AD62" s="1">
        <v>2.7450980392156862E-2</v>
      </c>
      <c r="AE62" s="1">
        <v>1.9607843137254902E-2</v>
      </c>
      <c r="AF62" s="1">
        <v>1.9607843137254902E-2</v>
      </c>
      <c r="AG62" s="1">
        <v>0.17647058823529413</v>
      </c>
      <c r="AH62" s="1">
        <f t="shared" si="1"/>
        <v>0.17647058823529413</v>
      </c>
      <c r="AI62" s="16">
        <f t="shared" si="2"/>
        <v>61.6</v>
      </c>
      <c r="AJ62" s="1">
        <f t="shared" si="3"/>
        <v>0.12512254901960779</v>
      </c>
      <c r="AK62" s="27">
        <f t="shared" si="4"/>
        <v>1.6544117647058806E-2</v>
      </c>
      <c r="AN62" s="1">
        <f t="shared" si="10"/>
        <v>1.6544117647058806E-2</v>
      </c>
    </row>
    <row r="63" spans="1:40">
      <c r="A63" s="2">
        <f>A62+Calculations!$B$4</f>
        <v>62.6</v>
      </c>
      <c r="B63" s="1">
        <v>0.16078431372549021</v>
      </c>
      <c r="C63" s="1">
        <v>0.16862745098039217</v>
      </c>
      <c r="D63" s="1">
        <v>0.16862745098039217</v>
      </c>
      <c r="E63" s="1">
        <v>0.16862745098039217</v>
      </c>
      <c r="F63" s="1">
        <v>0.16078431372549021</v>
      </c>
      <c r="G63" s="1">
        <v>0.16862745098039217</v>
      </c>
      <c r="H63" s="1">
        <v>0.15294117647058825</v>
      </c>
      <c r="I63" s="1">
        <v>0.16470588235294117</v>
      </c>
      <c r="J63" s="1">
        <v>1.9607843137254902E-2</v>
      </c>
      <c r="K63" s="1">
        <v>0.16078431372549021</v>
      </c>
      <c r="L63" s="1">
        <v>0.16862745098039217</v>
      </c>
      <c r="M63" s="1">
        <v>0.16862745098039217</v>
      </c>
      <c r="N63" s="1">
        <v>0.15686274509803921</v>
      </c>
      <c r="O63" s="1">
        <v>0.16078431372549021</v>
      </c>
      <c r="P63" s="1">
        <v>0.16470588235294117</v>
      </c>
      <c r="Q63" s="1">
        <v>0.16470588235294117</v>
      </c>
      <c r="R63" s="1">
        <v>1.9607843137254902E-2</v>
      </c>
      <c r="S63" s="1">
        <v>0.16862745098039217</v>
      </c>
      <c r="T63" s="1">
        <v>0.16862745098039217</v>
      </c>
      <c r="U63" s="1">
        <v>0.16078431372549021</v>
      </c>
      <c r="V63" s="1">
        <v>0.16078431372549021</v>
      </c>
      <c r="W63" s="1">
        <v>0.16862745098039217</v>
      </c>
      <c r="X63" s="1">
        <v>1.9607843137254902E-2</v>
      </c>
      <c r="Y63" s="1">
        <v>1.9607843137254902E-2</v>
      </c>
      <c r="Z63" s="1">
        <v>0.16470588235294117</v>
      </c>
      <c r="AA63" s="1">
        <v>2.7450980392156862E-2</v>
      </c>
      <c r="AB63" s="1">
        <v>0.16862745098039217</v>
      </c>
      <c r="AC63" s="1">
        <v>1.9607843137254902E-2</v>
      </c>
      <c r="AD63" s="1">
        <v>2.7450980392156862E-2</v>
      </c>
      <c r="AE63" s="1">
        <v>1.9607843137254902E-2</v>
      </c>
      <c r="AF63" s="1">
        <v>1.9607843137254902E-2</v>
      </c>
      <c r="AG63" s="1">
        <v>0.16862745098039217</v>
      </c>
      <c r="AH63" s="1">
        <f t="shared" si="1"/>
        <v>0.16862745098039217</v>
      </c>
      <c r="AI63" s="16">
        <f t="shared" si="2"/>
        <v>62.6</v>
      </c>
      <c r="AJ63" s="1">
        <f t="shared" si="3"/>
        <v>0.12438725490196072</v>
      </c>
      <c r="AK63" s="27">
        <f t="shared" si="4"/>
        <v>1.5808823529411736E-2</v>
      </c>
      <c r="AN63" s="1">
        <f t="shared" si="10"/>
        <v>1.5808823529411736E-2</v>
      </c>
    </row>
    <row r="64" spans="1:40">
      <c r="A64" s="2">
        <f>A63+Calculations!$B$4</f>
        <v>63.6</v>
      </c>
      <c r="B64" s="1">
        <v>0.16078431372549021</v>
      </c>
      <c r="C64" s="1">
        <v>0.16862745098039217</v>
      </c>
      <c r="D64" s="1">
        <v>0.16078431372549021</v>
      </c>
      <c r="E64" s="1">
        <v>0.16862745098039217</v>
      </c>
      <c r="F64" s="1">
        <v>0.16078431372549021</v>
      </c>
      <c r="G64" s="1">
        <v>0.16862745098039217</v>
      </c>
      <c r="H64" s="1">
        <v>0.16078431372549021</v>
      </c>
      <c r="I64" s="1">
        <v>0.16078431372549021</v>
      </c>
      <c r="J64" s="1">
        <v>2.3529411764705882E-2</v>
      </c>
      <c r="K64" s="1">
        <v>0.16862745098039217</v>
      </c>
      <c r="L64" s="1">
        <v>0.16862745098039217</v>
      </c>
      <c r="M64" s="1">
        <v>0.16862745098039217</v>
      </c>
      <c r="N64" s="1">
        <v>0.16078431372549021</v>
      </c>
      <c r="O64" s="1">
        <v>0.16078431372549021</v>
      </c>
      <c r="P64" s="1">
        <v>0.16078431372549021</v>
      </c>
      <c r="Q64" s="1">
        <v>0.16862745098039217</v>
      </c>
      <c r="R64" s="1">
        <v>3.1372549019607843E-2</v>
      </c>
      <c r="S64" s="1">
        <v>0.16862745098039217</v>
      </c>
      <c r="T64" s="1">
        <v>0.16078431372549021</v>
      </c>
      <c r="U64" s="1">
        <v>0.16078431372549021</v>
      </c>
      <c r="V64" s="1">
        <v>0.16470588235294117</v>
      </c>
      <c r="W64" s="1">
        <v>0.16862745098039217</v>
      </c>
      <c r="X64" s="1">
        <v>1.9607843137254902E-2</v>
      </c>
      <c r="Y64" s="1">
        <v>1.9607843137254902E-2</v>
      </c>
      <c r="Z64" s="1">
        <v>0.16078431372549021</v>
      </c>
      <c r="AA64" s="1">
        <v>3.1372549019607843E-2</v>
      </c>
      <c r="AB64" s="1">
        <v>0.16862745098039217</v>
      </c>
      <c r="AC64" s="1">
        <v>1.5686274509803921E-2</v>
      </c>
      <c r="AD64" s="1">
        <v>1.9607843137254902E-2</v>
      </c>
      <c r="AE64" s="1">
        <v>1.9607843137254902E-2</v>
      </c>
      <c r="AF64" s="1">
        <v>1.9607843137254902E-2</v>
      </c>
      <c r="AG64" s="1">
        <v>0.16862745098039217</v>
      </c>
      <c r="AH64" s="1">
        <f t="shared" si="1"/>
        <v>0.16862745098039217</v>
      </c>
      <c r="AI64" s="16">
        <f t="shared" si="2"/>
        <v>63.6</v>
      </c>
      <c r="AJ64" s="1">
        <f t="shared" si="3"/>
        <v>0.12463235294117642</v>
      </c>
      <c r="AK64" s="27">
        <f t="shared" si="4"/>
        <v>1.6053921568627436E-2</v>
      </c>
      <c r="AN64" s="1">
        <f t="shared" si="10"/>
        <v>1.6053921568627436E-2</v>
      </c>
    </row>
    <row r="65" spans="1:40">
      <c r="A65" s="2">
        <f>A64+Calculations!$B$4</f>
        <v>64.599999999999994</v>
      </c>
      <c r="B65" s="1">
        <v>0.16078431372549021</v>
      </c>
      <c r="C65" s="1">
        <v>0.16862745098039217</v>
      </c>
      <c r="D65" s="1">
        <v>0.16862745098039217</v>
      </c>
      <c r="E65" s="1">
        <v>0.16862745098039217</v>
      </c>
      <c r="F65" s="1">
        <v>0.16078431372549021</v>
      </c>
      <c r="G65" s="1">
        <v>0.16862745098039217</v>
      </c>
      <c r="H65" s="1">
        <v>0.16078431372549021</v>
      </c>
      <c r="I65" s="1">
        <v>0.16078431372549021</v>
      </c>
      <c r="J65" s="1">
        <v>1.5686274509803921E-2</v>
      </c>
      <c r="K65" s="1">
        <v>0.16862745098039217</v>
      </c>
      <c r="L65" s="1">
        <v>0.16862745098039217</v>
      </c>
      <c r="M65" s="1">
        <v>0.16862745098039217</v>
      </c>
      <c r="N65" s="1">
        <v>0.16078431372549021</v>
      </c>
      <c r="O65" s="1">
        <v>0.16078431372549021</v>
      </c>
      <c r="P65" s="1">
        <v>0.16078431372549021</v>
      </c>
      <c r="Q65" s="1">
        <v>0.16078431372549021</v>
      </c>
      <c r="R65" s="1">
        <v>1.9607843137254902E-2</v>
      </c>
      <c r="S65" s="1">
        <v>0.17254901960784313</v>
      </c>
      <c r="T65" s="1">
        <v>0.16078431372549021</v>
      </c>
      <c r="U65" s="1">
        <v>0.16078431372549021</v>
      </c>
      <c r="V65" s="1">
        <v>0.16862745098039217</v>
      </c>
      <c r="W65" s="1">
        <v>0.16862745098039217</v>
      </c>
      <c r="X65" s="1">
        <v>1.9607843137254902E-2</v>
      </c>
      <c r="Y65" s="1">
        <v>1.9607843137254902E-2</v>
      </c>
      <c r="Z65" s="1">
        <v>0.16078431372549021</v>
      </c>
      <c r="AA65" s="1">
        <v>2.7450980392156862E-2</v>
      </c>
      <c r="AB65" s="1">
        <v>0.16862745098039217</v>
      </c>
      <c r="AC65" s="1">
        <v>1.1764705882352941E-2</v>
      </c>
      <c r="AD65" s="1">
        <v>2.7450980392156862E-2</v>
      </c>
      <c r="AE65" s="1">
        <v>1.9607843137254902E-2</v>
      </c>
      <c r="AF65" s="1">
        <v>1.9607843137254902E-2</v>
      </c>
      <c r="AG65" s="1">
        <v>0.16862745098039217</v>
      </c>
      <c r="AH65" s="1">
        <f t="shared" si="1"/>
        <v>0.17254901960784313</v>
      </c>
      <c r="AI65" s="16">
        <f t="shared" si="2"/>
        <v>64.599999999999994</v>
      </c>
      <c r="AJ65" s="1">
        <f t="shared" si="3"/>
        <v>0.12426470588235289</v>
      </c>
      <c r="AK65" s="27">
        <f t="shared" si="4"/>
        <v>1.5686274509803907E-2</v>
      </c>
      <c r="AN65" s="1">
        <f t="shared" si="10"/>
        <v>1.5686274509803907E-2</v>
      </c>
    </row>
    <row r="66" spans="1:40">
      <c r="A66" s="2">
        <f>A65+Calculations!$B$4</f>
        <v>65.599999999999994</v>
      </c>
      <c r="B66" s="1">
        <v>0.15294117647058825</v>
      </c>
      <c r="C66" s="1">
        <v>0.16470588235294117</v>
      </c>
      <c r="D66" s="1">
        <v>0.16078431372549021</v>
      </c>
      <c r="E66" s="1">
        <v>0.16862745098039217</v>
      </c>
      <c r="F66" s="1">
        <v>0.16078431372549021</v>
      </c>
      <c r="G66" s="1">
        <v>0.16470588235294117</v>
      </c>
      <c r="H66" s="1">
        <v>0.16078431372549021</v>
      </c>
      <c r="I66" s="1">
        <v>0.16078431372549021</v>
      </c>
      <c r="J66" s="1">
        <v>1.5686274509803921E-2</v>
      </c>
      <c r="K66" s="1">
        <v>0.16862745098039217</v>
      </c>
      <c r="L66" s="1">
        <v>0.16078431372549021</v>
      </c>
      <c r="M66" s="1">
        <v>0.16078431372549021</v>
      </c>
      <c r="N66" s="1">
        <v>0.16078431372549021</v>
      </c>
      <c r="O66" s="1">
        <v>0.16078431372549021</v>
      </c>
      <c r="P66" s="1">
        <v>0.16078431372549021</v>
      </c>
      <c r="Q66" s="1">
        <v>0.16078431372549021</v>
      </c>
      <c r="R66" s="1">
        <v>1.9607843137254902E-2</v>
      </c>
      <c r="S66" s="1">
        <v>0.16862745098039217</v>
      </c>
      <c r="T66" s="1">
        <v>0.16078431372549021</v>
      </c>
      <c r="U66" s="1">
        <v>0.15686274509803921</v>
      </c>
      <c r="V66" s="1">
        <v>0.16470588235294117</v>
      </c>
      <c r="W66" s="1">
        <v>0.17254901960784313</v>
      </c>
      <c r="X66" s="1">
        <v>1.9607843137254902E-2</v>
      </c>
      <c r="Y66" s="1">
        <v>1.9607843137254902E-2</v>
      </c>
      <c r="Z66" s="1">
        <v>0.16078431372549021</v>
      </c>
      <c r="AA66" s="1">
        <v>1.9607843137254902E-2</v>
      </c>
      <c r="AB66" s="1">
        <v>0.16470588235294117</v>
      </c>
      <c r="AC66" s="1">
        <v>1.1764705882352941E-2</v>
      </c>
      <c r="AD66" s="1">
        <v>2.7450980392156862E-2</v>
      </c>
      <c r="AE66" s="1">
        <v>1.9607843137254902E-2</v>
      </c>
      <c r="AF66" s="1">
        <v>1.5686274509803921E-2</v>
      </c>
      <c r="AG66" s="1">
        <v>0.16862745098039217</v>
      </c>
      <c r="AH66" s="1">
        <f t="shared" si="1"/>
        <v>0.17254901960784313</v>
      </c>
      <c r="AI66" s="16">
        <f t="shared" si="2"/>
        <v>65.599999999999994</v>
      </c>
      <c r="AJ66" s="1">
        <f t="shared" si="3"/>
        <v>0.12230392156862741</v>
      </c>
      <c r="AK66" s="27">
        <f t="shared" si="4"/>
        <v>1.3725490196078424E-2</v>
      </c>
      <c r="AN66" s="1">
        <f t="shared" si="10"/>
        <v>1.3725490196078424E-2</v>
      </c>
    </row>
    <row r="67" spans="1:40">
      <c r="A67" s="2">
        <f>A66+Calculations!$B$4</f>
        <v>66.599999999999994</v>
      </c>
      <c r="B67" s="1">
        <v>0.15294117647058825</v>
      </c>
      <c r="C67" s="1">
        <v>0.16078431372549021</v>
      </c>
      <c r="D67" s="1">
        <v>0.16470588235294117</v>
      </c>
      <c r="E67" s="1">
        <v>0.16470588235294117</v>
      </c>
      <c r="F67" s="1">
        <v>0.16078431372549021</v>
      </c>
      <c r="G67" s="1">
        <v>0.16078431372549021</v>
      </c>
      <c r="H67" s="1">
        <v>0.15686274509803921</v>
      </c>
      <c r="I67" s="1">
        <v>0.16862745098039217</v>
      </c>
      <c r="J67" s="1">
        <v>1.9607843137254902E-2</v>
      </c>
      <c r="K67" s="1">
        <v>0.16862745098039217</v>
      </c>
      <c r="L67" s="1">
        <v>0.16470588235294117</v>
      </c>
      <c r="M67" s="1">
        <v>0.16470588235294117</v>
      </c>
      <c r="N67" s="1">
        <v>0.15294117647058825</v>
      </c>
      <c r="O67" s="1">
        <v>0.16078431372549021</v>
      </c>
      <c r="P67" s="1">
        <v>0.16078431372549021</v>
      </c>
      <c r="Q67" s="1">
        <v>0.16078431372549021</v>
      </c>
      <c r="R67" s="1">
        <v>1.9607843137254902E-2</v>
      </c>
      <c r="S67" s="1">
        <v>0.16862745098039217</v>
      </c>
      <c r="T67" s="1">
        <v>0.16078431372549021</v>
      </c>
      <c r="U67" s="1">
        <v>0.15294117647058825</v>
      </c>
      <c r="V67" s="1">
        <v>0.16078431372549021</v>
      </c>
      <c r="W67" s="1">
        <v>0.16862745098039217</v>
      </c>
      <c r="X67" s="1">
        <v>1.9607843137254902E-2</v>
      </c>
      <c r="Y67" s="1">
        <v>1.9607843137254902E-2</v>
      </c>
      <c r="Z67" s="1">
        <v>0.16078431372549021</v>
      </c>
      <c r="AA67" s="1">
        <v>1.9607843137254902E-2</v>
      </c>
      <c r="AB67" s="1">
        <v>0.16078431372549021</v>
      </c>
      <c r="AC67" s="1">
        <v>1.1764705882352941E-2</v>
      </c>
      <c r="AD67" s="1">
        <v>1.9607843137254902E-2</v>
      </c>
      <c r="AE67" s="1">
        <v>1.1764705882352941E-2</v>
      </c>
      <c r="AF67" s="1">
        <v>1.9607843137254902E-2</v>
      </c>
      <c r="AG67" s="1">
        <v>0.16862745098039217</v>
      </c>
      <c r="AH67" s="1">
        <f t="shared" ref="AH67:AH82" si="13">MAX(B67:AG67)</f>
        <v>0.16862745098039217</v>
      </c>
      <c r="AI67" s="16">
        <f t="shared" ref="AI67:AI82" si="14">A67</f>
        <v>66.599999999999994</v>
      </c>
      <c r="AJ67" s="1">
        <f t="shared" ref="AJ67:AJ82" si="15">AVERAGE(B67:AG67)</f>
        <v>0.12144607843137249</v>
      </c>
      <c r="AK67" s="27">
        <f t="shared" ref="AK67:AK82" si="16">AJ67-AK$1</f>
        <v>1.2867647058823511E-2</v>
      </c>
      <c r="AN67" s="1">
        <f t="shared" si="10"/>
        <v>1.2867647058823511E-2</v>
      </c>
    </row>
    <row r="68" spans="1:40">
      <c r="A68" s="2">
        <f>A67+Calculations!$B$4</f>
        <v>67.599999999999994</v>
      </c>
      <c r="B68" s="1">
        <v>0.15686274509803921</v>
      </c>
      <c r="C68" s="1">
        <v>0.16470588235294117</v>
      </c>
      <c r="D68" s="1">
        <v>0.16078431372549021</v>
      </c>
      <c r="E68" s="1">
        <v>0.16078431372549021</v>
      </c>
      <c r="F68" s="1">
        <v>0.15686274509803921</v>
      </c>
      <c r="G68" s="1">
        <v>0.15686274509803921</v>
      </c>
      <c r="H68" s="1">
        <v>0.15294117647058825</v>
      </c>
      <c r="I68" s="1">
        <v>0.16078431372549021</v>
      </c>
      <c r="J68" s="1">
        <v>1.5686274509803921E-2</v>
      </c>
      <c r="K68" s="1">
        <v>0.16078431372549021</v>
      </c>
      <c r="L68" s="1">
        <v>0.16078431372549021</v>
      </c>
      <c r="M68" s="1">
        <v>0.16078431372549021</v>
      </c>
      <c r="N68" s="1">
        <v>0.15686274509803921</v>
      </c>
      <c r="O68" s="1">
        <v>0.16862745098039217</v>
      </c>
      <c r="P68" s="1">
        <v>0.16078431372549021</v>
      </c>
      <c r="Q68" s="1">
        <v>0.16078431372549021</v>
      </c>
      <c r="R68" s="1">
        <v>2.7450980392156862E-2</v>
      </c>
      <c r="S68" s="1">
        <v>0.16862745098039217</v>
      </c>
      <c r="T68" s="1">
        <v>0.16470588235294117</v>
      </c>
      <c r="U68" s="1">
        <v>0.16078431372549021</v>
      </c>
      <c r="V68" s="1">
        <v>0.16078431372549021</v>
      </c>
      <c r="W68" s="1">
        <v>0.16078431372549021</v>
      </c>
      <c r="X68" s="1">
        <v>1.9607843137254902E-2</v>
      </c>
      <c r="Y68" s="1">
        <v>1.5686274509803921E-2</v>
      </c>
      <c r="Z68" s="1">
        <v>0.16078431372549021</v>
      </c>
      <c r="AA68" s="1">
        <v>2.3529411764705882E-2</v>
      </c>
      <c r="AB68" s="1">
        <v>0.16078431372549021</v>
      </c>
      <c r="AC68" s="1">
        <v>1.1764705882352941E-2</v>
      </c>
      <c r="AD68" s="1">
        <v>1.9607843137254902E-2</v>
      </c>
      <c r="AE68" s="1">
        <v>1.5686274509803921E-2</v>
      </c>
      <c r="AF68" s="1">
        <v>1.9607843137254902E-2</v>
      </c>
      <c r="AG68" s="1">
        <v>0.16862745098039217</v>
      </c>
      <c r="AH68" s="1">
        <f t="shared" si="13"/>
        <v>0.16862745098039217</v>
      </c>
      <c r="AI68" s="16">
        <f t="shared" si="14"/>
        <v>67.599999999999994</v>
      </c>
      <c r="AJ68" s="1">
        <f t="shared" si="15"/>
        <v>0.12107843137254896</v>
      </c>
      <c r="AK68" s="27">
        <f t="shared" si="16"/>
        <v>1.2499999999999983E-2</v>
      </c>
      <c r="AN68" s="1">
        <f t="shared" si="10"/>
        <v>1.2499999999999983E-2</v>
      </c>
    </row>
    <row r="69" spans="1:40">
      <c r="A69" s="2">
        <f>A68+Calculations!$B$4</f>
        <v>68.599999999999994</v>
      </c>
      <c r="B69" s="1">
        <v>0.16470588235294117</v>
      </c>
      <c r="C69" s="1">
        <v>0.16078431372549021</v>
      </c>
      <c r="D69" s="1">
        <v>0.16078431372549021</v>
      </c>
      <c r="E69" s="1">
        <v>0.16078431372549021</v>
      </c>
      <c r="F69" s="1">
        <v>0.15294117647058825</v>
      </c>
      <c r="G69" s="1">
        <v>0.15294117647058825</v>
      </c>
      <c r="H69" s="1">
        <v>0.15294117647058825</v>
      </c>
      <c r="I69" s="1">
        <v>0.16078431372549021</v>
      </c>
      <c r="J69" s="1">
        <v>1.5686274509803921E-2</v>
      </c>
      <c r="K69" s="1">
        <v>0.16078431372549021</v>
      </c>
      <c r="L69" s="1">
        <v>0.16078431372549021</v>
      </c>
      <c r="M69" s="1">
        <v>0.16078431372549021</v>
      </c>
      <c r="N69" s="1">
        <v>0.15686274509803921</v>
      </c>
      <c r="O69" s="1">
        <v>0.16078431372549021</v>
      </c>
      <c r="P69" s="1">
        <v>0.16078431372549021</v>
      </c>
      <c r="Q69" s="1">
        <v>0.16078431372549021</v>
      </c>
      <c r="R69" s="1">
        <v>2.7450980392156862E-2</v>
      </c>
      <c r="S69" s="1">
        <v>0.16078431372549021</v>
      </c>
      <c r="T69" s="1">
        <v>0.15294117647058825</v>
      </c>
      <c r="U69" s="1">
        <v>0.15294117647058825</v>
      </c>
      <c r="V69" s="1">
        <v>0.16078431372549021</v>
      </c>
      <c r="W69" s="1">
        <v>0.16862745098039217</v>
      </c>
      <c r="X69" s="1">
        <v>1.9607843137254902E-2</v>
      </c>
      <c r="Y69" s="1">
        <v>1.1764705882352941E-2</v>
      </c>
      <c r="Z69" s="1">
        <v>0.16078431372549021</v>
      </c>
      <c r="AA69" s="1">
        <v>1.1764705882352941E-2</v>
      </c>
      <c r="AB69" s="1">
        <v>0.16862745098039217</v>
      </c>
      <c r="AC69" s="1">
        <v>1.1764705882352941E-2</v>
      </c>
      <c r="AD69" s="1">
        <v>1.1764705882352941E-2</v>
      </c>
      <c r="AE69" s="1">
        <v>1.9607843137254902E-2</v>
      </c>
      <c r="AF69" s="1">
        <v>1.9607843137254902E-2</v>
      </c>
      <c r="AG69" s="1">
        <v>0.16078431372549021</v>
      </c>
      <c r="AH69" s="1">
        <f t="shared" si="13"/>
        <v>0.16862745098039217</v>
      </c>
      <c r="AI69" s="16">
        <f t="shared" si="14"/>
        <v>68.599999999999994</v>
      </c>
      <c r="AJ69" s="1">
        <f t="shared" si="15"/>
        <v>0.11948529411764701</v>
      </c>
      <c r="AK69" s="27">
        <f t="shared" si="16"/>
        <v>1.0906862745098028E-2</v>
      </c>
      <c r="AN69" s="1">
        <f t="shared" si="10"/>
        <v>1.0906862745098028E-2</v>
      </c>
    </row>
    <row r="70" spans="1:40">
      <c r="A70" s="2">
        <f>A69+Calculations!$B$4</f>
        <v>69.599999999999994</v>
      </c>
      <c r="B70" s="1">
        <v>0.16078431372549021</v>
      </c>
      <c r="C70" s="1">
        <v>0.16078431372549021</v>
      </c>
      <c r="D70" s="1">
        <v>0.16078431372549021</v>
      </c>
      <c r="E70" s="1">
        <v>0.15294117647058825</v>
      </c>
      <c r="F70" s="1">
        <v>0.15294117647058825</v>
      </c>
      <c r="G70" s="1">
        <v>0.16078431372549021</v>
      </c>
      <c r="H70" s="1">
        <v>0.15294117647058825</v>
      </c>
      <c r="I70" s="1">
        <v>0.16078431372549021</v>
      </c>
      <c r="J70" s="1">
        <v>1.9607843137254902E-2</v>
      </c>
      <c r="K70" s="1">
        <v>0.16078431372549021</v>
      </c>
      <c r="L70" s="1">
        <v>0.16862745098039217</v>
      </c>
      <c r="M70" s="1">
        <v>0.16078431372549021</v>
      </c>
      <c r="N70" s="1">
        <v>0.16078431372549021</v>
      </c>
      <c r="O70" s="1">
        <v>0.16078431372549021</v>
      </c>
      <c r="P70" s="1">
        <v>0.15294117647058825</v>
      </c>
      <c r="Q70" s="1">
        <v>0.16078431372549021</v>
      </c>
      <c r="R70" s="1">
        <v>2.3529411764705882E-2</v>
      </c>
      <c r="S70" s="1">
        <v>0.16078431372549021</v>
      </c>
      <c r="T70" s="1">
        <v>0.15294117647058825</v>
      </c>
      <c r="U70" s="1">
        <v>0.15294117647058825</v>
      </c>
      <c r="V70" s="1">
        <v>0.16470588235294117</v>
      </c>
      <c r="W70" s="1">
        <v>0.16078431372549021</v>
      </c>
      <c r="X70" s="1">
        <v>1.9607843137254902E-2</v>
      </c>
      <c r="Y70" s="1">
        <v>1.1764705882352941E-2</v>
      </c>
      <c r="Z70" s="1">
        <v>0.16078431372549021</v>
      </c>
      <c r="AA70" s="1">
        <v>1.9607843137254902E-2</v>
      </c>
      <c r="AB70" s="1">
        <v>0.16078431372549021</v>
      </c>
      <c r="AC70" s="1">
        <v>1.1764705882352941E-2</v>
      </c>
      <c r="AD70" s="1">
        <v>1.1764705882352941E-2</v>
      </c>
      <c r="AE70" s="1">
        <v>1.9607843137254902E-2</v>
      </c>
      <c r="AF70" s="1">
        <v>1.9607843137254902E-2</v>
      </c>
      <c r="AG70" s="1">
        <v>0.16078431372549021</v>
      </c>
      <c r="AH70" s="1">
        <f t="shared" si="13"/>
        <v>0.16862745098039217</v>
      </c>
      <c r="AI70" s="16">
        <f t="shared" si="14"/>
        <v>69.599999999999994</v>
      </c>
      <c r="AJ70" s="1">
        <f t="shared" si="15"/>
        <v>0.11936274509803918</v>
      </c>
      <c r="AK70" s="27">
        <f t="shared" si="16"/>
        <v>1.0784313725490199E-2</v>
      </c>
      <c r="AN70" s="1">
        <f t="shared" si="10"/>
        <v>1.0784313725490199E-2</v>
      </c>
    </row>
    <row r="71" spans="1:40">
      <c r="A71" s="2">
        <f>A70+Calculations!$B$4</f>
        <v>70.599999999999994</v>
      </c>
      <c r="B71" s="1">
        <v>0.16078431372549021</v>
      </c>
      <c r="C71" s="1">
        <v>0.16078431372549021</v>
      </c>
      <c r="D71" s="1">
        <v>0.15686274509803921</v>
      </c>
      <c r="E71" s="1">
        <v>0.15686274509803921</v>
      </c>
      <c r="F71" s="1">
        <v>0.15294117647058825</v>
      </c>
      <c r="G71" s="1">
        <v>0.15686274509803921</v>
      </c>
      <c r="H71" s="1">
        <v>0.15294117647058825</v>
      </c>
      <c r="I71" s="1">
        <v>0.15686274509803921</v>
      </c>
      <c r="J71" s="1">
        <v>1.9607843137254902E-2</v>
      </c>
      <c r="K71" s="1">
        <v>0.15686274509803921</v>
      </c>
      <c r="L71" s="1">
        <v>0.16078431372549021</v>
      </c>
      <c r="M71" s="1">
        <v>0.15294117647058825</v>
      </c>
      <c r="N71" s="1">
        <v>0.15294117647058825</v>
      </c>
      <c r="O71" s="1">
        <v>0.16470588235294117</v>
      </c>
      <c r="P71" s="1">
        <v>0.16078431372549021</v>
      </c>
      <c r="Q71" s="1">
        <v>0.16078431372549021</v>
      </c>
      <c r="R71" s="1">
        <v>2.7450980392156862E-2</v>
      </c>
      <c r="S71" s="1">
        <v>0.16078431372549021</v>
      </c>
      <c r="T71" s="1">
        <v>0.16078431372549021</v>
      </c>
      <c r="U71" s="1">
        <v>0.15294117647058825</v>
      </c>
      <c r="V71" s="1">
        <v>0.16078431372549021</v>
      </c>
      <c r="W71" s="1">
        <v>0.16078431372549021</v>
      </c>
      <c r="X71" s="1">
        <v>1.9607843137254902E-2</v>
      </c>
      <c r="Y71" s="1">
        <v>1.1764705882352941E-2</v>
      </c>
      <c r="Z71" s="1">
        <v>0.16078431372549021</v>
      </c>
      <c r="AA71" s="1">
        <v>1.9607843137254902E-2</v>
      </c>
      <c r="AB71" s="1">
        <v>0.16078431372549021</v>
      </c>
      <c r="AC71" s="1">
        <v>1.1764705882352941E-2</v>
      </c>
      <c r="AD71" s="1">
        <v>1.1764705882352941E-2</v>
      </c>
      <c r="AE71" s="1">
        <v>1.9607843137254902E-2</v>
      </c>
      <c r="AF71" s="1">
        <v>1.9607843137254902E-2</v>
      </c>
      <c r="AG71" s="1">
        <v>0.16078431372549021</v>
      </c>
      <c r="AH71" s="1">
        <f t="shared" si="13"/>
        <v>0.16470588235294117</v>
      </c>
      <c r="AI71" s="16">
        <f t="shared" si="14"/>
        <v>70.599999999999994</v>
      </c>
      <c r="AJ71" s="1">
        <f t="shared" si="15"/>
        <v>0.11887254901960778</v>
      </c>
      <c r="AK71" s="27">
        <f t="shared" si="16"/>
        <v>1.0294117647058801E-2</v>
      </c>
      <c r="AN71" s="1">
        <f t="shared" si="10"/>
        <v>1.0294117647058801E-2</v>
      </c>
    </row>
    <row r="72" spans="1:40">
      <c r="A72" s="2">
        <f>A71+Calculations!$B$4</f>
        <v>71.599999999999994</v>
      </c>
      <c r="B72" s="1">
        <v>0.15686274509803921</v>
      </c>
      <c r="C72" s="1">
        <v>0.15686274509803921</v>
      </c>
      <c r="D72" s="1">
        <v>0.15686274509803921</v>
      </c>
      <c r="E72" s="1">
        <v>0.15686274509803921</v>
      </c>
      <c r="F72" s="1">
        <v>0.15294117647058825</v>
      </c>
      <c r="G72" s="1">
        <v>0.14901960784313725</v>
      </c>
      <c r="H72" s="1">
        <v>0.15294117647058825</v>
      </c>
      <c r="I72" s="1">
        <v>0.15294117647058825</v>
      </c>
      <c r="J72" s="1">
        <v>1.1764705882352941E-2</v>
      </c>
      <c r="K72" s="1">
        <v>0.15294117647058825</v>
      </c>
      <c r="L72" s="1">
        <v>0.16078431372549021</v>
      </c>
      <c r="M72" s="1">
        <v>0.15294117647058825</v>
      </c>
      <c r="N72" s="1">
        <v>0.15686274509803921</v>
      </c>
      <c r="O72" s="1">
        <v>0.16862745098039217</v>
      </c>
      <c r="P72" s="1">
        <v>0.15294117647058825</v>
      </c>
      <c r="Q72" s="1">
        <v>0.16078431372549021</v>
      </c>
      <c r="R72" s="1">
        <v>1.9607843137254902E-2</v>
      </c>
      <c r="S72" s="1">
        <v>0.16078431372549021</v>
      </c>
      <c r="T72" s="1">
        <v>0.15294117647058825</v>
      </c>
      <c r="U72" s="1">
        <v>0.14901960784313725</v>
      </c>
      <c r="V72" s="1">
        <v>0.15294117647058825</v>
      </c>
      <c r="W72" s="1">
        <v>0.16078431372549021</v>
      </c>
      <c r="X72" s="1">
        <v>1.9607843137254902E-2</v>
      </c>
      <c r="Y72" s="1">
        <v>1.1764705882352941E-2</v>
      </c>
      <c r="Z72" s="1">
        <v>0.15686274509803921</v>
      </c>
      <c r="AA72" s="1">
        <v>1.9607843137254902E-2</v>
      </c>
      <c r="AB72" s="1">
        <v>0.16078431372549021</v>
      </c>
      <c r="AC72" s="1">
        <v>1.1764705882352941E-2</v>
      </c>
      <c r="AD72" s="1">
        <v>1.5686274509803921E-2</v>
      </c>
      <c r="AE72" s="1">
        <v>1.1764705882352941E-2</v>
      </c>
      <c r="AF72" s="1">
        <v>1.9607843137254902E-2</v>
      </c>
      <c r="AG72" s="1">
        <v>0.16078431372549021</v>
      </c>
      <c r="AH72" s="1">
        <f t="shared" si="13"/>
        <v>0.16862745098039217</v>
      </c>
      <c r="AI72" s="16">
        <f t="shared" si="14"/>
        <v>71.599999999999994</v>
      </c>
      <c r="AJ72" s="1">
        <f t="shared" si="15"/>
        <v>0.11678921568627446</v>
      </c>
      <c r="AK72" s="27">
        <f t="shared" si="16"/>
        <v>8.2107843137254749E-3</v>
      </c>
      <c r="AN72" s="1">
        <f t="shared" si="10"/>
        <v>8.2107843137254749E-3</v>
      </c>
    </row>
    <row r="73" spans="1:40">
      <c r="A73" s="2">
        <f>A72+Calculations!$B$4</f>
        <v>72.599999999999994</v>
      </c>
      <c r="B73" s="1">
        <v>0.16078431372549021</v>
      </c>
      <c r="C73" s="1">
        <v>0.15686274509803921</v>
      </c>
      <c r="D73" s="1">
        <v>0.15294117647058825</v>
      </c>
      <c r="E73" s="1">
        <v>0.15294117647058825</v>
      </c>
      <c r="F73" s="1">
        <v>0.15294117647058825</v>
      </c>
      <c r="G73" s="1">
        <v>0.15294117647058825</v>
      </c>
      <c r="H73" s="1">
        <v>0.15294117647058825</v>
      </c>
      <c r="I73" s="1">
        <v>0.15294117647058825</v>
      </c>
      <c r="J73" s="1">
        <v>1.1764705882352941E-2</v>
      </c>
      <c r="K73" s="1">
        <v>0.16078431372549021</v>
      </c>
      <c r="L73" s="1">
        <v>0.15686274509803921</v>
      </c>
      <c r="M73" s="1">
        <v>0.15294117647058825</v>
      </c>
      <c r="N73" s="1">
        <v>0.15294117647058825</v>
      </c>
      <c r="O73" s="1">
        <v>0.16078431372549021</v>
      </c>
      <c r="P73" s="1">
        <v>0.15294117647058825</v>
      </c>
      <c r="Q73" s="1">
        <v>0.16078431372549021</v>
      </c>
      <c r="R73" s="1">
        <v>1.9607843137254902E-2</v>
      </c>
      <c r="S73" s="1">
        <v>0.16078431372549021</v>
      </c>
      <c r="T73" s="1">
        <v>0.16078431372549021</v>
      </c>
      <c r="U73" s="1">
        <v>0.15294117647058825</v>
      </c>
      <c r="V73" s="1">
        <v>0.16078431372549021</v>
      </c>
      <c r="W73" s="1">
        <v>0.16078431372549021</v>
      </c>
      <c r="X73" s="1">
        <v>1.1764705882352941E-2</v>
      </c>
      <c r="Y73" s="1">
        <v>1.5686274509803921E-2</v>
      </c>
      <c r="Z73" s="1">
        <v>0.16078431372549021</v>
      </c>
      <c r="AA73" s="1">
        <v>1.9607843137254902E-2</v>
      </c>
      <c r="AB73" s="1">
        <v>0.16078431372549021</v>
      </c>
      <c r="AC73" s="1">
        <v>1.1764705882352941E-2</v>
      </c>
      <c r="AD73" s="1">
        <v>1.5686274509803921E-2</v>
      </c>
      <c r="AE73" s="1">
        <v>1.1764705882352941E-2</v>
      </c>
      <c r="AF73" s="1">
        <v>1.5686274509803921E-2</v>
      </c>
      <c r="AG73" s="1">
        <v>0.16078431372549021</v>
      </c>
      <c r="AH73" s="1">
        <f t="shared" si="13"/>
        <v>0.16078431372549021</v>
      </c>
      <c r="AI73" s="16">
        <f t="shared" si="14"/>
        <v>72.599999999999994</v>
      </c>
      <c r="AJ73" s="1">
        <f t="shared" si="15"/>
        <v>0.11703431372549014</v>
      </c>
      <c r="AK73" s="27">
        <f t="shared" si="16"/>
        <v>8.4558823529411603E-3</v>
      </c>
      <c r="AN73" s="1">
        <f t="shared" si="10"/>
        <v>8.4558823529411603E-3</v>
      </c>
    </row>
    <row r="74" spans="1:40">
      <c r="A74" s="2">
        <f>A73+Calculations!$B$4</f>
        <v>73.599999999999994</v>
      </c>
      <c r="B74" s="1">
        <v>0.16078431372549021</v>
      </c>
      <c r="C74" s="1">
        <v>0.15686274509803921</v>
      </c>
      <c r="D74" s="1">
        <v>0.15294117647058825</v>
      </c>
      <c r="E74" s="1">
        <v>0.15294117647058825</v>
      </c>
      <c r="F74" s="1">
        <v>0.15294117647058825</v>
      </c>
      <c r="G74" s="1">
        <v>0.14901960784313725</v>
      </c>
      <c r="H74" s="1">
        <v>0.14509803921568629</v>
      </c>
      <c r="I74" s="1">
        <v>0.16078431372549021</v>
      </c>
      <c r="J74" s="1">
        <v>3.9215686274509803E-3</v>
      </c>
      <c r="K74" s="1">
        <v>0.15294117647058825</v>
      </c>
      <c r="L74" s="1">
        <v>0.16078431372549021</v>
      </c>
      <c r="M74" s="1">
        <v>0.15294117647058825</v>
      </c>
      <c r="N74" s="1">
        <v>0.15294117647058825</v>
      </c>
      <c r="O74" s="1">
        <v>0.16470588235294117</v>
      </c>
      <c r="P74" s="1">
        <v>0.15294117647058825</v>
      </c>
      <c r="Q74" s="1">
        <v>0.16078431372549021</v>
      </c>
      <c r="R74" s="1">
        <v>1.5686274509803921E-2</v>
      </c>
      <c r="S74" s="1">
        <v>0.16078431372549021</v>
      </c>
      <c r="T74" s="1">
        <v>0.15294117647058825</v>
      </c>
      <c r="U74" s="1">
        <v>0.15294117647058825</v>
      </c>
      <c r="V74" s="1">
        <v>0.16078431372549021</v>
      </c>
      <c r="W74" s="1">
        <v>0.15686274509803921</v>
      </c>
      <c r="X74" s="1">
        <v>7.8431372549019607E-3</v>
      </c>
      <c r="Y74" s="1">
        <v>1.9607843137254902E-2</v>
      </c>
      <c r="Z74" s="1">
        <v>0.16078431372549021</v>
      </c>
      <c r="AA74" s="1">
        <v>1.9607843137254902E-2</v>
      </c>
      <c r="AB74" s="1">
        <v>0.16078431372549021</v>
      </c>
      <c r="AC74" s="1">
        <v>1.1764705882352941E-2</v>
      </c>
      <c r="AD74" s="1">
        <v>1.9607843137254902E-2</v>
      </c>
      <c r="AE74" s="1">
        <v>1.1764705882352941E-2</v>
      </c>
      <c r="AF74" s="1">
        <v>1.1764705882352941E-2</v>
      </c>
      <c r="AG74" s="1">
        <v>0.16078431372549021</v>
      </c>
      <c r="AH74" s="1">
        <f t="shared" si="13"/>
        <v>0.16470588235294117</v>
      </c>
      <c r="AI74" s="16">
        <f t="shared" si="14"/>
        <v>73.599999999999994</v>
      </c>
      <c r="AJ74" s="1">
        <f t="shared" si="15"/>
        <v>0.11617647058823524</v>
      </c>
      <c r="AK74" s="27">
        <f t="shared" si="16"/>
        <v>7.5980392156862614E-3</v>
      </c>
      <c r="AN74" s="1">
        <f t="shared" si="10"/>
        <v>7.5980392156862614E-3</v>
      </c>
    </row>
    <row r="75" spans="1:40">
      <c r="A75" s="2">
        <f>A74+Calculations!$B$4</f>
        <v>74.599999999999994</v>
      </c>
      <c r="B75" s="1">
        <v>0.16078431372549021</v>
      </c>
      <c r="C75" s="1">
        <v>0.15686274509803921</v>
      </c>
      <c r="D75" s="1">
        <v>0.15294117647058825</v>
      </c>
      <c r="E75" s="1">
        <v>0.15294117647058825</v>
      </c>
      <c r="F75" s="1">
        <v>0.15294117647058825</v>
      </c>
      <c r="G75" s="1">
        <v>0.14509803921568629</v>
      </c>
      <c r="H75" s="1">
        <v>0.14509803921568629</v>
      </c>
      <c r="I75" s="1">
        <v>0.16078431372549021</v>
      </c>
      <c r="J75" s="1">
        <v>1.1764705882352941E-2</v>
      </c>
      <c r="K75" s="1">
        <v>0.15294117647058825</v>
      </c>
      <c r="L75" s="1">
        <v>0.15294117647058825</v>
      </c>
      <c r="M75" s="1">
        <v>0.14509803921568629</v>
      </c>
      <c r="N75" s="1">
        <v>0.15294117647058825</v>
      </c>
      <c r="O75" s="1">
        <v>0.16078431372549021</v>
      </c>
      <c r="P75" s="1">
        <v>0.15294117647058825</v>
      </c>
      <c r="Q75" s="1">
        <v>0.16078431372549021</v>
      </c>
      <c r="R75" s="1">
        <v>1.1764705882352941E-2</v>
      </c>
      <c r="S75" s="1">
        <v>0.15294117647058825</v>
      </c>
      <c r="T75" s="1">
        <v>0.15686274509803921</v>
      </c>
      <c r="U75" s="1">
        <v>0.15294117647058825</v>
      </c>
      <c r="V75" s="1">
        <v>0.15686274509803921</v>
      </c>
      <c r="W75" s="1">
        <v>0.16078431372549021</v>
      </c>
      <c r="X75" s="1">
        <v>1.1764705882352941E-2</v>
      </c>
      <c r="Y75" s="1">
        <v>1.1764705882352941E-2</v>
      </c>
      <c r="Z75" s="1">
        <v>0.16078431372549021</v>
      </c>
      <c r="AA75" s="1">
        <v>1.9607843137254902E-2</v>
      </c>
      <c r="AB75" s="1">
        <v>0.15686274509803921</v>
      </c>
      <c r="AC75" s="1">
        <v>1.1764705882352941E-2</v>
      </c>
      <c r="AD75" s="1">
        <v>1.1764705882352941E-2</v>
      </c>
      <c r="AE75" s="1">
        <v>1.1764705882352941E-2</v>
      </c>
      <c r="AF75" s="1">
        <v>1.5686274509803921E-2</v>
      </c>
      <c r="AG75" s="1">
        <v>0.16470588235294117</v>
      </c>
      <c r="AH75" s="1">
        <f t="shared" si="13"/>
        <v>0.16470588235294117</v>
      </c>
      <c r="AI75" s="16">
        <f t="shared" si="14"/>
        <v>74.599999999999994</v>
      </c>
      <c r="AJ75" s="1">
        <f t="shared" si="15"/>
        <v>0.11519607843137249</v>
      </c>
      <c r="AK75" s="27">
        <f t="shared" si="16"/>
        <v>6.6176470588235059E-3</v>
      </c>
      <c r="AN75" s="1">
        <f t="shared" si="10"/>
        <v>6.6176470588235059E-3</v>
      </c>
    </row>
    <row r="76" spans="1:40">
      <c r="A76" s="2">
        <f>A75+Calculations!$B$4</f>
        <v>75.599999999999994</v>
      </c>
      <c r="B76" s="1">
        <v>0.16078431372549021</v>
      </c>
      <c r="C76" s="1">
        <v>0.15294117647058825</v>
      </c>
      <c r="D76" s="1">
        <v>0.14901960784313725</v>
      </c>
      <c r="E76" s="1">
        <v>0.15294117647058825</v>
      </c>
      <c r="F76" s="1">
        <v>0.15294117647058825</v>
      </c>
      <c r="G76" s="1">
        <v>0.15294117647058825</v>
      </c>
      <c r="H76" s="1">
        <v>0.14509803921568629</v>
      </c>
      <c r="I76" s="1">
        <v>0.15686274509803921</v>
      </c>
      <c r="J76" s="1">
        <v>7.8431372549019607E-3</v>
      </c>
      <c r="K76" s="1">
        <v>0.15294117647058825</v>
      </c>
      <c r="L76" s="1">
        <v>0.15294117647058825</v>
      </c>
      <c r="M76" s="1">
        <v>0.14509803921568629</v>
      </c>
      <c r="N76" s="1">
        <v>0.15294117647058825</v>
      </c>
      <c r="O76" s="1">
        <v>0.15686274509803921</v>
      </c>
      <c r="P76" s="1">
        <v>0.15686274509803921</v>
      </c>
      <c r="Q76" s="1">
        <v>0.15294117647058825</v>
      </c>
      <c r="R76" s="1">
        <v>1.5686274509803921E-2</v>
      </c>
      <c r="S76" s="1">
        <v>0.15686274509803921</v>
      </c>
      <c r="T76" s="1">
        <v>0.16078431372549021</v>
      </c>
      <c r="U76" s="1">
        <v>0.15294117647058825</v>
      </c>
      <c r="V76" s="1">
        <v>0.15294117647058825</v>
      </c>
      <c r="W76" s="1">
        <v>0.16078431372549021</v>
      </c>
      <c r="X76" s="1">
        <v>1.9607843137254902E-2</v>
      </c>
      <c r="Y76" s="1">
        <v>1.9607843137254902E-2</v>
      </c>
      <c r="Z76" s="1">
        <v>0.15294117647058825</v>
      </c>
      <c r="AA76" s="1">
        <v>1.9607843137254902E-2</v>
      </c>
      <c r="AB76" s="1">
        <v>0.15294117647058825</v>
      </c>
      <c r="AC76" s="1">
        <v>1.1764705882352941E-2</v>
      </c>
      <c r="AD76" s="1">
        <v>1.5686274509803921E-2</v>
      </c>
      <c r="AE76" s="1">
        <v>1.5686274509803921E-2</v>
      </c>
      <c r="AF76" s="1">
        <v>3.9215686274509803E-3</v>
      </c>
      <c r="AG76" s="1">
        <v>0.16078431372549021</v>
      </c>
      <c r="AH76" s="1">
        <f t="shared" si="13"/>
        <v>0.16078431372549021</v>
      </c>
      <c r="AI76" s="16">
        <f t="shared" si="14"/>
        <v>75.599999999999994</v>
      </c>
      <c r="AJ76" s="1">
        <f t="shared" si="15"/>
        <v>0.11482843137254896</v>
      </c>
      <c r="AK76" s="27">
        <f t="shared" si="16"/>
        <v>6.2499999999999778E-3</v>
      </c>
      <c r="AN76" s="1">
        <f t="shared" si="10"/>
        <v>6.2499999999999778E-3</v>
      </c>
    </row>
    <row r="77" spans="1:40">
      <c r="A77" s="2">
        <f>A76+Calculations!$B$4</f>
        <v>76.599999999999994</v>
      </c>
      <c r="B77" s="1">
        <v>0.15686274509803921</v>
      </c>
      <c r="C77" s="1">
        <v>0.15294117647058825</v>
      </c>
      <c r="D77" s="1">
        <v>0.15294117647058825</v>
      </c>
      <c r="E77" s="1">
        <v>0.15294117647058825</v>
      </c>
      <c r="F77" s="1">
        <v>0.15294117647058825</v>
      </c>
      <c r="G77" s="1">
        <v>0.14509803921568629</v>
      </c>
      <c r="H77" s="1">
        <v>0.14509803921568629</v>
      </c>
      <c r="I77" s="1">
        <v>0.15294117647058825</v>
      </c>
      <c r="J77" s="1">
        <v>3.9215686274509803E-3</v>
      </c>
      <c r="K77" s="1">
        <v>0.15294117647058825</v>
      </c>
      <c r="L77" s="1">
        <v>0.15294117647058825</v>
      </c>
      <c r="M77" s="1">
        <v>0.15294117647058825</v>
      </c>
      <c r="N77" s="1">
        <v>0.15294117647058825</v>
      </c>
      <c r="O77" s="1">
        <v>0.15294117647058825</v>
      </c>
      <c r="P77" s="1">
        <v>0.15294117647058825</v>
      </c>
      <c r="Q77" s="1">
        <v>0.15294117647058825</v>
      </c>
      <c r="R77" s="1">
        <v>1.5686274509803921E-2</v>
      </c>
      <c r="S77" s="1">
        <v>0.16078431372549021</v>
      </c>
      <c r="T77" s="1">
        <v>0.15294117647058825</v>
      </c>
      <c r="U77" s="1">
        <v>0.15294117647058825</v>
      </c>
      <c r="V77" s="1">
        <v>0.14509803921568629</v>
      </c>
      <c r="W77" s="1">
        <v>0.15294117647058825</v>
      </c>
      <c r="X77" s="1">
        <v>1.5686274509803921E-2</v>
      </c>
      <c r="Y77" s="1">
        <v>1.1764705882352941E-2</v>
      </c>
      <c r="Z77" s="1">
        <v>0.15294117647058825</v>
      </c>
      <c r="AA77" s="1">
        <v>1.9607843137254902E-2</v>
      </c>
      <c r="AB77" s="1">
        <v>0.15686274509803921</v>
      </c>
      <c r="AC77" s="1">
        <v>1.1764705882352941E-2</v>
      </c>
      <c r="AD77" s="1">
        <v>1.9607843137254902E-2</v>
      </c>
      <c r="AE77" s="1">
        <v>1.5686274509803921E-2</v>
      </c>
      <c r="AF77" s="1">
        <v>1.1764705882352941E-2</v>
      </c>
      <c r="AG77" s="1">
        <v>0.15294117647058825</v>
      </c>
      <c r="AH77" s="1">
        <f t="shared" si="13"/>
        <v>0.16078431372549021</v>
      </c>
      <c r="AI77" s="16">
        <f t="shared" si="14"/>
        <v>76.599999999999994</v>
      </c>
      <c r="AJ77" s="1">
        <f t="shared" si="15"/>
        <v>0.11360294117647053</v>
      </c>
      <c r="AK77" s="27">
        <f t="shared" si="16"/>
        <v>5.0245098039215508E-3</v>
      </c>
      <c r="AN77" s="1">
        <f t="shared" ref="AN77:AN82" si="17">AK77</f>
        <v>5.0245098039215508E-3</v>
      </c>
    </row>
    <row r="78" spans="1:40">
      <c r="A78" s="2">
        <f>A77+Calculations!$B$4</f>
        <v>77.599999999999994</v>
      </c>
      <c r="B78" s="1">
        <v>0.15294117647058825</v>
      </c>
      <c r="C78" s="1">
        <v>0.15294117647058825</v>
      </c>
      <c r="D78" s="1">
        <v>0.14901960784313725</v>
      </c>
      <c r="E78" s="1">
        <v>0.14901960784313725</v>
      </c>
      <c r="F78" s="1">
        <v>0.15294117647058825</v>
      </c>
      <c r="G78" s="1">
        <v>0.14509803921568629</v>
      </c>
      <c r="H78" s="1">
        <v>0.14509803921568629</v>
      </c>
      <c r="I78" s="1">
        <v>0.15294117647058825</v>
      </c>
      <c r="J78" s="1">
        <v>3.9215686274509803E-3</v>
      </c>
      <c r="K78" s="1">
        <v>0.15294117647058825</v>
      </c>
      <c r="L78" s="1">
        <v>0.15294117647058825</v>
      </c>
      <c r="M78" s="1">
        <v>0.15294117647058825</v>
      </c>
      <c r="N78" s="1">
        <v>0.14509803921568629</v>
      </c>
      <c r="O78" s="1">
        <v>0.15686274509803921</v>
      </c>
      <c r="P78" s="1">
        <v>0.15294117647058825</v>
      </c>
      <c r="Q78" s="1">
        <v>0.15294117647058825</v>
      </c>
      <c r="R78" s="1">
        <v>1.1764705882352941E-2</v>
      </c>
      <c r="S78" s="1">
        <v>0.15294117647058825</v>
      </c>
      <c r="T78" s="1">
        <v>0.14901960784313725</v>
      </c>
      <c r="U78" s="1">
        <v>0.15294117647058825</v>
      </c>
      <c r="V78" s="1">
        <v>0.14509803921568629</v>
      </c>
      <c r="W78" s="1">
        <v>0.16078431372549021</v>
      </c>
      <c r="X78" s="1">
        <v>1.9607843137254902E-2</v>
      </c>
      <c r="Y78" s="1">
        <v>1.1764705882352941E-2</v>
      </c>
      <c r="Z78" s="1">
        <v>0.15294117647058825</v>
      </c>
      <c r="AA78" s="1">
        <v>1.9607843137254902E-2</v>
      </c>
      <c r="AB78" s="1">
        <v>0.15686274509803921</v>
      </c>
      <c r="AC78" s="1">
        <v>1.1764705882352941E-2</v>
      </c>
      <c r="AD78" s="1">
        <v>1.5686274509803921E-2</v>
      </c>
      <c r="AE78" s="1">
        <v>7.8431372549019607E-3</v>
      </c>
      <c r="AF78" s="1">
        <v>1.1764705882352941E-2</v>
      </c>
      <c r="AG78" s="1">
        <v>0.14901960784313725</v>
      </c>
      <c r="AH78" s="1">
        <f t="shared" si="13"/>
        <v>0.16078431372549021</v>
      </c>
      <c r="AI78" s="16">
        <f t="shared" si="14"/>
        <v>77.599999999999994</v>
      </c>
      <c r="AJ78" s="1">
        <f t="shared" si="15"/>
        <v>0.11249999999999995</v>
      </c>
      <c r="AK78" s="27">
        <f t="shared" si="16"/>
        <v>3.9215686274509665E-3</v>
      </c>
      <c r="AN78" s="1">
        <f t="shared" si="17"/>
        <v>3.9215686274509665E-3</v>
      </c>
    </row>
    <row r="79" spans="1:40">
      <c r="A79" s="2">
        <f>A78+Calculations!$B$4</f>
        <v>78.599999999999994</v>
      </c>
      <c r="B79" s="1">
        <v>0.15294117647058825</v>
      </c>
      <c r="C79" s="1">
        <v>0.14509803921568629</v>
      </c>
      <c r="D79" s="1">
        <v>0.14509803921568629</v>
      </c>
      <c r="E79" s="1">
        <v>0.14901960784313725</v>
      </c>
      <c r="F79" s="1">
        <v>0.14901960784313725</v>
      </c>
      <c r="G79" s="1">
        <v>0.14509803921568629</v>
      </c>
      <c r="H79" s="1">
        <v>0.14509803921568629</v>
      </c>
      <c r="I79" s="1">
        <v>0.15294117647058825</v>
      </c>
      <c r="J79" s="1">
        <v>7.8431372549019607E-3</v>
      </c>
      <c r="K79" s="1">
        <v>0.14509803921568629</v>
      </c>
      <c r="L79" s="1">
        <v>0.14509803921568629</v>
      </c>
      <c r="M79" s="1">
        <v>0.15294117647058825</v>
      </c>
      <c r="N79" s="1">
        <v>0.15294117647058825</v>
      </c>
      <c r="O79" s="1">
        <v>0.15294117647058825</v>
      </c>
      <c r="P79" s="1">
        <v>0.14509803921568629</v>
      </c>
      <c r="Q79" s="1">
        <v>0.15294117647058825</v>
      </c>
      <c r="R79" s="1">
        <v>1.1764705882352941E-2</v>
      </c>
      <c r="S79" s="1">
        <v>0.15294117647058825</v>
      </c>
      <c r="T79" s="1">
        <v>0.15294117647058825</v>
      </c>
      <c r="U79" s="1">
        <v>0.15294117647058825</v>
      </c>
      <c r="V79" s="1">
        <v>0.15686274509803921</v>
      </c>
      <c r="W79" s="1">
        <v>0.15294117647058825</v>
      </c>
      <c r="X79" s="1">
        <v>1.9607843137254902E-2</v>
      </c>
      <c r="Y79" s="1">
        <v>1.1764705882352941E-2</v>
      </c>
      <c r="Z79" s="1">
        <v>0.15294117647058825</v>
      </c>
      <c r="AA79" s="1">
        <v>1.5686274509803921E-2</v>
      </c>
      <c r="AB79" s="1">
        <v>0.15686274509803921</v>
      </c>
      <c r="AC79" s="1">
        <v>1.1764705882352941E-2</v>
      </c>
      <c r="AD79" s="1">
        <v>1.9607843137254902E-2</v>
      </c>
      <c r="AE79" s="1">
        <v>1.1764705882352941E-2</v>
      </c>
      <c r="AF79" s="1">
        <v>7.8431372549019607E-3</v>
      </c>
      <c r="AG79" s="1">
        <v>0.15686274509803921</v>
      </c>
      <c r="AH79" s="1">
        <f t="shared" si="13"/>
        <v>0.15686274509803921</v>
      </c>
      <c r="AI79" s="16">
        <f t="shared" si="14"/>
        <v>78.599999999999994</v>
      </c>
      <c r="AJ79" s="1">
        <f t="shared" si="15"/>
        <v>0.11200980392156858</v>
      </c>
      <c r="AK79" s="27">
        <f t="shared" si="16"/>
        <v>3.4313725490195957E-3</v>
      </c>
      <c r="AN79" s="1">
        <f t="shared" si="17"/>
        <v>3.4313725490195957E-3</v>
      </c>
    </row>
    <row r="80" spans="1:40">
      <c r="A80" s="2">
        <f>A79+Calculations!$B$4</f>
        <v>79.599999999999994</v>
      </c>
      <c r="B80" s="1">
        <v>0.14901960784313725</v>
      </c>
      <c r="C80" s="1">
        <v>0.15294117647058825</v>
      </c>
      <c r="D80" s="1">
        <v>0.14509803921568629</v>
      </c>
      <c r="E80" s="1">
        <v>0.15294117647058825</v>
      </c>
      <c r="F80" s="1">
        <v>0.14901960784313725</v>
      </c>
      <c r="G80" s="1">
        <v>0.15294117647058825</v>
      </c>
      <c r="H80" s="1">
        <v>0.14509803921568629</v>
      </c>
      <c r="I80" s="1">
        <v>0.14509803921568629</v>
      </c>
      <c r="J80" s="1">
        <v>3.9215686274509803E-3</v>
      </c>
      <c r="K80" s="1">
        <v>0.14509803921568629</v>
      </c>
      <c r="L80" s="1">
        <v>0.14509803921568629</v>
      </c>
      <c r="M80" s="1">
        <v>0.14901960784313725</v>
      </c>
      <c r="N80" s="1">
        <v>0.15294117647058825</v>
      </c>
      <c r="O80" s="1">
        <v>0.15294117647058825</v>
      </c>
      <c r="P80" s="1">
        <v>0.14509803921568629</v>
      </c>
      <c r="Q80" s="1">
        <v>0.14901960784313725</v>
      </c>
      <c r="R80" s="1">
        <v>1.1764705882352941E-2</v>
      </c>
      <c r="S80" s="1">
        <v>0.15294117647058825</v>
      </c>
      <c r="T80" s="1">
        <v>0.15294117647058825</v>
      </c>
      <c r="U80" s="1">
        <v>0.14509803921568629</v>
      </c>
      <c r="V80" s="1">
        <v>0.15294117647058825</v>
      </c>
      <c r="W80" s="1">
        <v>0.15294117647058825</v>
      </c>
      <c r="X80" s="1">
        <v>1.9607843137254902E-2</v>
      </c>
      <c r="Y80" s="1">
        <v>1.1764705882352941E-2</v>
      </c>
      <c r="Z80" s="1">
        <v>0.14901960784313725</v>
      </c>
      <c r="AA80" s="1">
        <v>1.1764705882352941E-2</v>
      </c>
      <c r="AB80" s="1">
        <v>0.16078431372549021</v>
      </c>
      <c r="AC80" s="1">
        <v>1.1764705882352941E-2</v>
      </c>
      <c r="AD80" s="1">
        <v>1.9607843137254902E-2</v>
      </c>
      <c r="AE80" s="1">
        <v>1.1764705882352941E-2</v>
      </c>
      <c r="AF80" s="1">
        <v>7.8431372549019607E-3</v>
      </c>
      <c r="AG80" s="1">
        <v>0.15294117647058825</v>
      </c>
      <c r="AH80" s="1">
        <f t="shared" si="13"/>
        <v>0.16078431372549021</v>
      </c>
      <c r="AI80" s="16">
        <f t="shared" si="14"/>
        <v>79.599999999999994</v>
      </c>
      <c r="AJ80" s="1">
        <f t="shared" si="15"/>
        <v>0.11127450980392152</v>
      </c>
      <c r="AK80" s="27">
        <f t="shared" si="16"/>
        <v>2.6960784313725394E-3</v>
      </c>
      <c r="AN80" s="1">
        <f t="shared" si="17"/>
        <v>2.6960784313725394E-3</v>
      </c>
    </row>
    <row r="81" spans="1:40">
      <c r="A81" s="2">
        <f>A80+Calculations!$B$4</f>
        <v>80.599999999999994</v>
      </c>
      <c r="B81" s="1">
        <v>0.15294117647058825</v>
      </c>
      <c r="C81" s="1">
        <v>0.14901960784313725</v>
      </c>
      <c r="D81" s="1">
        <v>0.14509803921568629</v>
      </c>
      <c r="E81" s="1">
        <v>0.14901960784313725</v>
      </c>
      <c r="F81" s="1">
        <v>0.14509803921568629</v>
      </c>
      <c r="G81" s="1">
        <v>0.14509803921568629</v>
      </c>
      <c r="H81" s="1">
        <v>0.14509803921568629</v>
      </c>
      <c r="I81" s="1">
        <v>0.15294117647058825</v>
      </c>
      <c r="J81" s="1">
        <v>3.9215686274509803E-3</v>
      </c>
      <c r="K81" s="1">
        <v>0.15294117647058825</v>
      </c>
      <c r="L81" s="1">
        <v>0.14509803921568629</v>
      </c>
      <c r="M81" s="1">
        <v>0.14509803921568629</v>
      </c>
      <c r="N81" s="1">
        <v>0.14901960784313725</v>
      </c>
      <c r="O81" s="1">
        <v>0.15294117647058825</v>
      </c>
      <c r="P81" s="1">
        <v>0.14509803921568629</v>
      </c>
      <c r="Q81" s="1">
        <v>0.14509803921568629</v>
      </c>
      <c r="R81" s="1">
        <v>3.9215686274509803E-3</v>
      </c>
      <c r="S81" s="1">
        <v>0.15294117647058825</v>
      </c>
      <c r="T81" s="1">
        <v>0.15294117647058825</v>
      </c>
      <c r="U81" s="1">
        <v>0.15294117647058825</v>
      </c>
      <c r="V81" s="1">
        <v>0.15294117647058825</v>
      </c>
      <c r="W81" s="1">
        <v>0.16078431372549021</v>
      </c>
      <c r="X81" s="1">
        <v>1.9607843137254902E-2</v>
      </c>
      <c r="Y81" s="1">
        <v>1.1764705882352941E-2</v>
      </c>
      <c r="Z81" s="1">
        <v>0.14509803921568629</v>
      </c>
      <c r="AA81" s="1">
        <v>1.1764705882352941E-2</v>
      </c>
      <c r="AB81" s="1">
        <v>0.15294117647058825</v>
      </c>
      <c r="AC81" s="1">
        <v>1.1764705882352941E-2</v>
      </c>
      <c r="AD81" s="1">
        <v>1.1764705882352941E-2</v>
      </c>
      <c r="AE81" s="1">
        <v>1.1764705882352941E-2</v>
      </c>
      <c r="AF81" s="1">
        <v>3.9215686274509803E-3</v>
      </c>
      <c r="AG81" s="1">
        <v>0.14901960784313725</v>
      </c>
      <c r="AH81" s="1">
        <f t="shared" si="13"/>
        <v>0.16078431372549021</v>
      </c>
      <c r="AI81" s="16">
        <f t="shared" si="14"/>
        <v>80.599999999999994</v>
      </c>
      <c r="AJ81" s="1">
        <f t="shared" si="15"/>
        <v>0.11029411764705878</v>
      </c>
      <c r="AK81" s="27">
        <f t="shared" si="16"/>
        <v>1.7156862745097978E-3</v>
      </c>
      <c r="AN81" s="1">
        <f t="shared" si="17"/>
        <v>1.7156862745097978E-3</v>
      </c>
    </row>
    <row r="82" spans="1:40">
      <c r="A82" s="2">
        <f>A81+Calculations!$B$4</f>
        <v>81.599999999999994</v>
      </c>
      <c r="B82" s="1">
        <v>0.15294117647058825</v>
      </c>
      <c r="C82" s="1">
        <v>0.14509803921568629</v>
      </c>
      <c r="D82" s="1">
        <v>0.14509803921568629</v>
      </c>
      <c r="E82" s="1">
        <v>0.14509803921568629</v>
      </c>
      <c r="F82" s="1">
        <v>0.15294117647058825</v>
      </c>
      <c r="G82" s="1">
        <v>0.14509803921568629</v>
      </c>
      <c r="H82" s="1">
        <v>0.14509803921568629</v>
      </c>
      <c r="I82" s="1">
        <v>0.14509803921568629</v>
      </c>
      <c r="J82" s="1">
        <v>3.9215686274509803E-3</v>
      </c>
      <c r="K82" s="1">
        <v>0.14509803921568629</v>
      </c>
      <c r="L82" s="1">
        <v>0.14509803921568629</v>
      </c>
      <c r="M82" s="1">
        <v>0.14509803921568629</v>
      </c>
      <c r="N82" s="1">
        <v>0.14509803921568629</v>
      </c>
      <c r="O82" s="1">
        <v>0.14509803921568629</v>
      </c>
      <c r="P82" s="1">
        <v>0.14509803921568629</v>
      </c>
      <c r="Q82" s="1">
        <v>0.14509803921568629</v>
      </c>
      <c r="R82" s="1">
        <v>3.9215686274509803E-3</v>
      </c>
      <c r="S82" s="1">
        <v>0.14509803921568629</v>
      </c>
      <c r="T82" s="1">
        <v>0.14509803921568629</v>
      </c>
      <c r="U82" s="1">
        <v>0.14509803921568629</v>
      </c>
      <c r="V82" s="1">
        <v>0.14901960784313725</v>
      </c>
      <c r="W82" s="1">
        <v>0.15686274509803921</v>
      </c>
      <c r="X82" s="1">
        <v>1.9607843137254902E-2</v>
      </c>
      <c r="Y82" s="1">
        <v>1.1764705882352941E-2</v>
      </c>
      <c r="Z82" s="1">
        <v>0.15294117647058825</v>
      </c>
      <c r="AA82" s="1">
        <v>1.1764705882352941E-2</v>
      </c>
      <c r="AB82" s="1">
        <v>0.15294117647058825</v>
      </c>
      <c r="AC82" s="1">
        <v>1.1764705882352941E-2</v>
      </c>
      <c r="AD82" s="1">
        <v>1.1764705882352941E-2</v>
      </c>
      <c r="AE82" s="1">
        <v>1.1764705882352941E-2</v>
      </c>
      <c r="AF82" s="1">
        <v>0</v>
      </c>
      <c r="AG82" s="1">
        <v>0.14901960784313725</v>
      </c>
      <c r="AH82" s="1">
        <f t="shared" si="13"/>
        <v>0.15686274509803921</v>
      </c>
      <c r="AI82" s="16">
        <f t="shared" si="14"/>
        <v>81.599999999999994</v>
      </c>
      <c r="AJ82" s="1">
        <f t="shared" si="15"/>
        <v>0.10857843137254898</v>
      </c>
      <c r="AK82" s="27">
        <f t="shared" si="16"/>
        <v>0</v>
      </c>
      <c r="AN82" s="1">
        <f t="shared" si="17"/>
        <v>0</v>
      </c>
    </row>
    <row r="83" spans="1:40" s="17" customFormat="1">
      <c r="A83" s="34" t="s">
        <v>20</v>
      </c>
      <c r="B83" s="1">
        <v>0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0</v>
      </c>
      <c r="AD83" s="1">
        <v>0</v>
      </c>
      <c r="AE83" s="1">
        <v>0</v>
      </c>
      <c r="AF83" s="1">
        <v>0</v>
      </c>
      <c r="AG83" s="1">
        <v>0</v>
      </c>
    </row>
    <row r="84" spans="1:40" s="17" customFormat="1">
      <c r="A84" s="16" t="s">
        <v>40</v>
      </c>
      <c r="B84" s="1">
        <v>0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</row>
    <row r="85" spans="1:40" s="17" customFormat="1">
      <c r="A85" s="16" t="s">
        <v>21</v>
      </c>
      <c r="B85" s="1">
        <v>4.6745098039215692E-2</v>
      </c>
      <c r="C85" s="1">
        <v>4.7098039215686276E-2</v>
      </c>
      <c r="D85" s="1">
        <v>4.6823529411764708E-2</v>
      </c>
      <c r="E85" s="1">
        <v>4.686274509803922E-2</v>
      </c>
      <c r="F85" s="1">
        <v>4.6901960784313725E-2</v>
      </c>
      <c r="G85" s="1">
        <v>4.6823529411764708E-2</v>
      </c>
      <c r="H85" s="1">
        <v>4.6784313725490197E-2</v>
      </c>
      <c r="I85" s="1">
        <v>4.7098039215686276E-2</v>
      </c>
      <c r="J85" s="1">
        <v>4.7254901960784315E-2</v>
      </c>
      <c r="K85" s="1">
        <v>4.686274509803922E-2</v>
      </c>
      <c r="L85" s="1">
        <v>4.7137254901960787E-2</v>
      </c>
      <c r="M85" s="1">
        <v>4.6823529411764708E-2</v>
      </c>
      <c r="N85" s="1">
        <v>4.686274509803922E-2</v>
      </c>
      <c r="O85" s="1">
        <v>4.7137254901960787E-2</v>
      </c>
      <c r="P85" s="1">
        <v>4.7098039215686276E-2</v>
      </c>
      <c r="Q85" s="1">
        <v>4.7019607843137259E-2</v>
      </c>
      <c r="R85" s="1">
        <v>4.7176470588235292E-2</v>
      </c>
      <c r="S85" s="1">
        <v>4.7058823529411764E-2</v>
      </c>
      <c r="T85" s="1">
        <v>4.7254901960784315E-2</v>
      </c>
      <c r="U85" s="1">
        <v>4.7098039215686276E-2</v>
      </c>
      <c r="V85" s="1">
        <v>4.7098039215686276E-2</v>
      </c>
      <c r="W85" s="1">
        <v>4.7098039215686276E-2</v>
      </c>
      <c r="X85" s="1">
        <v>4.7176470588235292E-2</v>
      </c>
      <c r="Y85" s="1">
        <v>4.7098039215686276E-2</v>
      </c>
      <c r="Z85" s="1">
        <v>4.7137254901960787E-2</v>
      </c>
      <c r="AA85" s="1">
        <v>4.7176470588235292E-2</v>
      </c>
      <c r="AB85" s="1">
        <v>4.7058823529411764E-2</v>
      </c>
      <c r="AC85" s="1">
        <v>4.7254901960784315E-2</v>
      </c>
      <c r="AD85" s="1">
        <v>4.7254901960784315E-2</v>
      </c>
      <c r="AE85" s="1">
        <v>4.7176470588235292E-2</v>
      </c>
      <c r="AF85" s="1">
        <v>4.7137254901960787E-2</v>
      </c>
      <c r="AG85" s="1">
        <v>4.7137254901960787E-2</v>
      </c>
    </row>
    <row r="86" spans="1:40" s="17" customFormat="1">
      <c r="A86" s="16" t="s">
        <v>39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v>0</v>
      </c>
    </row>
    <row r="87" spans="1:40" ht="15.75" thickBot="1">
      <c r="A87" s="16" t="s">
        <v>41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</row>
    <row r="88" spans="1:40">
      <c r="A88" s="35" t="s">
        <v>44</v>
      </c>
      <c r="B88" s="31" t="str">
        <f>DEC2HEX(B83*128+192,2)</f>
        <v>C0</v>
      </c>
      <c r="C88" s="31" t="str">
        <f t="shared" ref="C88:AG88" si="18">DEC2HEX(C83*128+192,2)</f>
        <v>C0</v>
      </c>
      <c r="D88" s="31" t="str">
        <f t="shared" si="18"/>
        <v>C0</v>
      </c>
      <c r="E88" s="31" t="str">
        <f t="shared" si="18"/>
        <v>C0</v>
      </c>
      <c r="F88" s="31" t="str">
        <f t="shared" si="18"/>
        <v>C0</v>
      </c>
      <c r="G88" s="31" t="str">
        <f t="shared" si="18"/>
        <v>C0</v>
      </c>
      <c r="H88" s="31" t="str">
        <f t="shared" si="18"/>
        <v>C0</v>
      </c>
      <c r="I88" s="31" t="str">
        <f t="shared" si="18"/>
        <v>C0</v>
      </c>
      <c r="J88" s="31" t="str">
        <f t="shared" si="18"/>
        <v>C0</v>
      </c>
      <c r="K88" s="31" t="str">
        <f t="shared" si="18"/>
        <v>C0</v>
      </c>
      <c r="L88" s="31" t="str">
        <f t="shared" si="18"/>
        <v>C0</v>
      </c>
      <c r="M88" s="31" t="str">
        <f t="shared" si="18"/>
        <v>C0</v>
      </c>
      <c r="N88" s="31" t="str">
        <f t="shared" si="18"/>
        <v>C0</v>
      </c>
      <c r="O88" s="31" t="str">
        <f t="shared" si="18"/>
        <v>C0</v>
      </c>
      <c r="P88" s="31" t="str">
        <f t="shared" si="18"/>
        <v>C0</v>
      </c>
      <c r="Q88" s="31" t="str">
        <f t="shared" si="18"/>
        <v>C0</v>
      </c>
      <c r="R88" s="31" t="str">
        <f t="shared" si="18"/>
        <v>C0</v>
      </c>
      <c r="S88" s="31" t="str">
        <f t="shared" si="18"/>
        <v>C0</v>
      </c>
      <c r="T88" s="31" t="str">
        <f t="shared" si="18"/>
        <v>C0</v>
      </c>
      <c r="U88" s="31" t="str">
        <f t="shared" si="18"/>
        <v>C0</v>
      </c>
      <c r="V88" s="31" t="str">
        <f t="shared" si="18"/>
        <v>C0</v>
      </c>
      <c r="W88" s="31" t="str">
        <f t="shared" si="18"/>
        <v>C0</v>
      </c>
      <c r="X88" s="31" t="str">
        <f t="shared" si="18"/>
        <v>C0</v>
      </c>
      <c r="Y88" s="31" t="str">
        <f t="shared" si="18"/>
        <v>C0</v>
      </c>
      <c r="Z88" s="31" t="str">
        <f t="shared" si="18"/>
        <v>C0</v>
      </c>
      <c r="AA88" s="31" t="str">
        <f t="shared" si="18"/>
        <v>C0</v>
      </c>
      <c r="AB88" s="31" t="str">
        <f t="shared" si="18"/>
        <v>C0</v>
      </c>
      <c r="AC88" s="31" t="str">
        <f t="shared" si="18"/>
        <v>C0</v>
      </c>
      <c r="AD88" s="31" t="str">
        <f t="shared" si="18"/>
        <v>C0</v>
      </c>
      <c r="AE88" s="31" t="str">
        <f t="shared" si="18"/>
        <v>C0</v>
      </c>
      <c r="AF88" s="31" t="str">
        <f t="shared" si="18"/>
        <v>C0</v>
      </c>
      <c r="AG88" s="32" t="str">
        <f t="shared" si="18"/>
        <v>C0</v>
      </c>
    </row>
    <row r="89" spans="1:40">
      <c r="A89" s="36" t="s">
        <v>42</v>
      </c>
      <c r="B89" s="20">
        <f>(B86-B84)/(B85-B87)/1000</f>
        <v>0</v>
      </c>
      <c r="C89" s="20">
        <f t="shared" ref="C89:AG89" si="19">(C86-C84)/(C85-C87)/1000</f>
        <v>0</v>
      </c>
      <c r="D89" s="20">
        <f t="shared" si="19"/>
        <v>0</v>
      </c>
      <c r="E89" s="20">
        <f t="shared" si="19"/>
        <v>0</v>
      </c>
      <c r="F89" s="20">
        <f t="shared" si="19"/>
        <v>0</v>
      </c>
      <c r="G89" s="20">
        <f t="shared" si="19"/>
        <v>0</v>
      </c>
      <c r="H89" s="20">
        <f t="shared" si="19"/>
        <v>0</v>
      </c>
      <c r="I89" s="20">
        <f t="shared" si="19"/>
        <v>0</v>
      </c>
      <c r="J89" s="20">
        <f t="shared" si="19"/>
        <v>0</v>
      </c>
      <c r="K89" s="20">
        <f t="shared" si="19"/>
        <v>0</v>
      </c>
      <c r="L89" s="20">
        <f t="shared" si="19"/>
        <v>0</v>
      </c>
      <c r="M89" s="20">
        <f t="shared" si="19"/>
        <v>0</v>
      </c>
      <c r="N89" s="20">
        <f t="shared" si="19"/>
        <v>0</v>
      </c>
      <c r="O89" s="20">
        <f t="shared" si="19"/>
        <v>0</v>
      </c>
      <c r="P89" s="20">
        <f t="shared" si="19"/>
        <v>0</v>
      </c>
      <c r="Q89" s="20">
        <f t="shared" si="19"/>
        <v>0</v>
      </c>
      <c r="R89" s="20">
        <f t="shared" si="19"/>
        <v>0</v>
      </c>
      <c r="S89" s="20">
        <f t="shared" si="19"/>
        <v>0</v>
      </c>
      <c r="T89" s="20">
        <f t="shared" si="19"/>
        <v>0</v>
      </c>
      <c r="U89" s="20">
        <f t="shared" si="19"/>
        <v>0</v>
      </c>
      <c r="V89" s="20">
        <f t="shared" si="19"/>
        <v>0</v>
      </c>
      <c r="W89" s="20">
        <f t="shared" si="19"/>
        <v>0</v>
      </c>
      <c r="X89" s="20">
        <f t="shared" si="19"/>
        <v>0</v>
      </c>
      <c r="Y89" s="20">
        <f t="shared" si="19"/>
        <v>0</v>
      </c>
      <c r="Z89" s="20">
        <f t="shared" si="19"/>
        <v>0</v>
      </c>
      <c r="AA89" s="20">
        <f t="shared" si="19"/>
        <v>0</v>
      </c>
      <c r="AB89" s="20">
        <f t="shared" si="19"/>
        <v>0</v>
      </c>
      <c r="AC89" s="20">
        <f t="shared" si="19"/>
        <v>0</v>
      </c>
      <c r="AD89" s="20">
        <f t="shared" si="19"/>
        <v>0</v>
      </c>
      <c r="AE89" s="20">
        <f t="shared" si="19"/>
        <v>0</v>
      </c>
      <c r="AF89" s="20">
        <f t="shared" si="19"/>
        <v>0</v>
      </c>
      <c r="AG89" s="37">
        <f t="shared" si="19"/>
        <v>0</v>
      </c>
    </row>
    <row r="90" spans="1:40" ht="15.75" thickBot="1">
      <c r="A90" s="38" t="s">
        <v>43</v>
      </c>
      <c r="B90" s="39">
        <f>B89*15</f>
        <v>0</v>
      </c>
      <c r="C90" s="39">
        <f t="shared" ref="C90:AG90" si="20">C89*15</f>
        <v>0</v>
      </c>
      <c r="D90" s="39">
        <f t="shared" si="20"/>
        <v>0</v>
      </c>
      <c r="E90" s="39">
        <f t="shared" si="20"/>
        <v>0</v>
      </c>
      <c r="F90" s="39">
        <f t="shared" si="20"/>
        <v>0</v>
      </c>
      <c r="G90" s="39">
        <f t="shared" si="20"/>
        <v>0</v>
      </c>
      <c r="H90" s="39">
        <f t="shared" si="20"/>
        <v>0</v>
      </c>
      <c r="I90" s="39">
        <f t="shared" si="20"/>
        <v>0</v>
      </c>
      <c r="J90" s="39">
        <f t="shared" si="20"/>
        <v>0</v>
      </c>
      <c r="K90" s="39">
        <f t="shared" si="20"/>
        <v>0</v>
      </c>
      <c r="L90" s="39">
        <f t="shared" si="20"/>
        <v>0</v>
      </c>
      <c r="M90" s="39">
        <f t="shared" si="20"/>
        <v>0</v>
      </c>
      <c r="N90" s="39">
        <f t="shared" si="20"/>
        <v>0</v>
      </c>
      <c r="O90" s="39">
        <f t="shared" si="20"/>
        <v>0</v>
      </c>
      <c r="P90" s="39">
        <f t="shared" si="20"/>
        <v>0</v>
      </c>
      <c r="Q90" s="39">
        <f t="shared" si="20"/>
        <v>0</v>
      </c>
      <c r="R90" s="39">
        <f t="shared" si="20"/>
        <v>0</v>
      </c>
      <c r="S90" s="39">
        <f t="shared" si="20"/>
        <v>0</v>
      </c>
      <c r="T90" s="39">
        <f t="shared" si="20"/>
        <v>0</v>
      </c>
      <c r="U90" s="39">
        <f t="shared" si="20"/>
        <v>0</v>
      </c>
      <c r="V90" s="39">
        <f t="shared" si="20"/>
        <v>0</v>
      </c>
      <c r="W90" s="39">
        <f t="shared" si="20"/>
        <v>0</v>
      </c>
      <c r="X90" s="39">
        <f t="shared" si="20"/>
        <v>0</v>
      </c>
      <c r="Y90" s="39">
        <f t="shared" si="20"/>
        <v>0</v>
      </c>
      <c r="Z90" s="39">
        <f t="shared" si="20"/>
        <v>0</v>
      </c>
      <c r="AA90" s="39">
        <f t="shared" si="20"/>
        <v>0</v>
      </c>
      <c r="AB90" s="39">
        <f t="shared" si="20"/>
        <v>0</v>
      </c>
      <c r="AC90" s="39">
        <f t="shared" si="20"/>
        <v>0</v>
      </c>
      <c r="AD90" s="39">
        <f t="shared" si="20"/>
        <v>0</v>
      </c>
      <c r="AE90" s="39">
        <f t="shared" si="20"/>
        <v>0</v>
      </c>
      <c r="AF90" s="39">
        <f t="shared" si="20"/>
        <v>0</v>
      </c>
      <c r="AG90" s="40">
        <f t="shared" si="20"/>
        <v>0</v>
      </c>
    </row>
    <row r="91" spans="1:40">
      <c r="A91" s="2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40">
      <c r="A92" s="2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40">
      <c r="A93" s="2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40">
      <c r="A94" s="2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40">
      <c r="A95" s="2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40">
      <c r="A96" s="2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>
      <c r="A97" s="2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>
      <c r="A98" s="2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>
      <c r="A99" s="2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>
      <c r="A100" s="2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>
      <c r="A101" s="2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>
      <c r="A102" s="2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>
      <c r="A103" s="2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>
      <c r="A104" s="2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>
      <c r="A105" s="2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>
      <c r="A106" s="2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>
      <c r="A107" s="2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>
      <c r="A108" s="2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>
      <c r="A109" s="2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>
      <c r="A110" s="2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>
      <c r="A111" s="2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>
      <c r="A112" s="2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>
      <c r="A113" s="2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>
      <c r="A114" s="2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>
      <c r="A115" s="2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>
      <c r="A116" s="2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>
      <c r="A117" s="2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>
      <c r="A118" s="2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>
      <c r="A119" s="2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>
      <c r="A120" s="2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>
      <c r="A121" s="2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>
      <c r="A122" s="2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>
      <c r="A123" s="2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>
      <c r="A124" s="2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>
      <c r="A125" s="2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>
      <c r="A126" s="2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>
      <c r="A127" s="2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>
      <c r="A128" s="2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>
      <c r="A129" s="2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>
      <c r="A130" s="2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>
      <c r="A131" s="2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>
      <c r="A132" s="2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>
      <c r="A133" s="2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>
      <c r="A134" s="2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>
      <c r="A135" s="2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>
      <c r="A136" s="2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>
      <c r="A137" s="2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>
      <c r="A138" s="2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>
      <c r="A139" s="2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>
      <c r="A140" s="2"/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>
      <c r="A141" s="2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>
      <c r="A142" s="2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>
      <c r="A143" s="2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>
      <c r="A144" s="2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>
      <c r="A145" s="2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>
      <c r="A146" s="2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>
      <c r="A147" s="2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>
      <c r="A148" s="2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>
      <c r="A149" s="2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>
      <c r="A150" s="2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>
      <c r="A151" s="2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>
      <c r="A152" s="2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>
      <c r="A153" s="2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>
      <c r="A154" s="2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>
      <c r="A155" s="2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>
      <c r="A156" s="2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>
      <c r="A157" s="2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>
      <c r="A158" s="2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>
      <c r="A159" s="2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>
      <c r="A160" s="2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>
      <c r="A161" s="2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>
      <c r="A162" s="2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>
      <c r="A163" s="2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>
      <c r="A164" s="2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>
      <c r="A165" s="2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>
      <c r="A166" s="2"/>
      <c r="B166" s="1"/>
      <c r="C166" s="1"/>
      <c r="D166" s="1"/>
      <c r="E166" s="1"/>
      <c r="F166" s="1"/>
      <c r="G166" s="1"/>
      <c r="H166" s="1"/>
      <c r="I166" s="1"/>
      <c r="J166" s="1"/>
      <c r="K166" s="1"/>
    </row>
  </sheetData>
  <mergeCells count="6">
    <mergeCell ref="AS5:AU5"/>
    <mergeCell ref="AP3:AQ3"/>
    <mergeCell ref="AP2:AV2"/>
    <mergeCell ref="AP4:AQ4"/>
    <mergeCell ref="AS3:AU3"/>
    <mergeCell ref="AS4:AU4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AG166"/>
  <sheetViews>
    <sheetView zoomScale="80" zoomScaleNormal="80" workbookViewId="0">
      <pane xSplit="9420" ySplit="6045" topLeftCell="AD86"/>
      <selection activeCell="B2" sqref="B2:AG87"/>
      <selection pane="topRight" activeCell="AB19" sqref="AB19"/>
      <selection pane="bottomLeft" activeCell="A88" sqref="A88:AG90"/>
      <selection pane="bottomRight" activeCell="AG90" sqref="B90:AG90"/>
    </sheetView>
  </sheetViews>
  <sheetFormatPr defaultRowHeight="15"/>
  <cols>
    <col min="1" max="1" width="10.85546875" bestFit="1" customWidth="1"/>
    <col min="2" max="33" width="7.7109375" customWidth="1"/>
  </cols>
  <sheetData>
    <row r="1" spans="1:33">
      <c r="A1" s="17" t="s">
        <v>32</v>
      </c>
      <c r="B1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3">
      <c r="A2" s="2">
        <f>Calculations!B3</f>
        <v>1.6</v>
      </c>
      <c r="B2" s="1">
        <v>0.999</v>
      </c>
      <c r="C2" s="1">
        <v>0.999</v>
      </c>
      <c r="D2" s="1">
        <v>0.999</v>
      </c>
      <c r="E2" s="1">
        <v>0.999</v>
      </c>
      <c r="F2" s="1">
        <v>0.999</v>
      </c>
      <c r="G2" s="1">
        <v>0.999</v>
      </c>
      <c r="H2" s="1">
        <v>0.999</v>
      </c>
      <c r="I2" s="1">
        <v>0.999</v>
      </c>
      <c r="J2" s="1">
        <v>0.999</v>
      </c>
      <c r="K2" s="1">
        <v>0.999</v>
      </c>
      <c r="L2" s="1">
        <v>0.999</v>
      </c>
      <c r="M2" s="1">
        <v>0.999</v>
      </c>
      <c r="N2" s="1">
        <v>0.999</v>
      </c>
      <c r="O2" s="1">
        <v>0.999</v>
      </c>
      <c r="P2" s="1">
        <v>0.999</v>
      </c>
      <c r="Q2" s="1">
        <v>0.999</v>
      </c>
      <c r="R2" s="1">
        <v>0.999</v>
      </c>
      <c r="S2" s="1">
        <v>0.999</v>
      </c>
      <c r="T2" s="1">
        <v>0.999</v>
      </c>
      <c r="U2" s="1">
        <v>0.999</v>
      </c>
      <c r="V2" s="1">
        <v>0.999</v>
      </c>
      <c r="W2" s="1">
        <v>0.999</v>
      </c>
      <c r="X2" s="1">
        <v>0.999</v>
      </c>
      <c r="Y2" s="1">
        <v>0.999</v>
      </c>
      <c r="Z2" s="1">
        <v>0.999</v>
      </c>
      <c r="AA2" s="1">
        <v>0.999</v>
      </c>
      <c r="AB2" s="1">
        <v>0.999</v>
      </c>
      <c r="AC2" s="1">
        <v>0.999</v>
      </c>
      <c r="AD2" s="1">
        <v>0.999</v>
      </c>
      <c r="AE2" s="1">
        <v>0.999</v>
      </c>
      <c r="AF2" s="1">
        <v>0.999</v>
      </c>
      <c r="AG2" s="1">
        <v>0.999</v>
      </c>
    </row>
    <row r="3" spans="1:33">
      <c r="A3" s="2">
        <f>A2+Calculations!$B$4</f>
        <v>2.6</v>
      </c>
      <c r="B3" s="1">
        <v>0.999</v>
      </c>
      <c r="C3" s="1">
        <v>0.999</v>
      </c>
      <c r="D3" s="1">
        <v>0.999</v>
      </c>
      <c r="E3" s="1">
        <v>0.999</v>
      </c>
      <c r="F3" s="1">
        <v>0.999</v>
      </c>
      <c r="G3" s="1">
        <v>0.999</v>
      </c>
      <c r="H3" s="1">
        <v>0.999</v>
      </c>
      <c r="I3" s="1">
        <v>0.999</v>
      </c>
      <c r="J3" s="1">
        <v>0.999</v>
      </c>
      <c r="K3" s="1">
        <v>0.999</v>
      </c>
      <c r="L3" s="1">
        <v>0.999</v>
      </c>
      <c r="M3" s="1">
        <v>0.999</v>
      </c>
      <c r="N3" s="1">
        <v>0.999</v>
      </c>
      <c r="O3" s="1">
        <v>0.999</v>
      </c>
      <c r="P3" s="1">
        <v>0.999</v>
      </c>
      <c r="Q3" s="1">
        <v>0.999</v>
      </c>
      <c r="R3" s="1">
        <v>0.999</v>
      </c>
      <c r="S3" s="1">
        <v>0.999</v>
      </c>
      <c r="T3" s="1">
        <v>0.999</v>
      </c>
      <c r="U3" s="1">
        <v>0.999</v>
      </c>
      <c r="V3" s="1">
        <v>0.999</v>
      </c>
      <c r="W3" s="1">
        <v>0.999</v>
      </c>
      <c r="X3" s="1">
        <v>0.999</v>
      </c>
      <c r="Y3" s="1">
        <v>0.999</v>
      </c>
      <c r="Z3" s="1">
        <v>0.999</v>
      </c>
      <c r="AA3" s="1">
        <v>0.999</v>
      </c>
      <c r="AB3" s="1">
        <v>0.999</v>
      </c>
      <c r="AC3" s="1">
        <v>0.999</v>
      </c>
      <c r="AD3" s="1">
        <v>0.999</v>
      </c>
      <c r="AE3" s="1">
        <v>0.999</v>
      </c>
      <c r="AF3" s="1">
        <v>0.999</v>
      </c>
      <c r="AG3" s="1">
        <v>0.999</v>
      </c>
    </row>
    <row r="4" spans="1:33">
      <c r="A4" s="2">
        <f>A3+Calculations!$B$4</f>
        <v>3.6</v>
      </c>
      <c r="B4" s="1">
        <v>0.999</v>
      </c>
      <c r="C4" s="1">
        <v>0.999</v>
      </c>
      <c r="D4" s="1">
        <v>0.999</v>
      </c>
      <c r="E4" s="1">
        <v>0.999</v>
      </c>
      <c r="F4" s="1">
        <v>0.999</v>
      </c>
      <c r="G4" s="1">
        <v>0.999</v>
      </c>
      <c r="H4" s="1">
        <v>0.999</v>
      </c>
      <c r="I4" s="1">
        <v>0.999</v>
      </c>
      <c r="J4" s="1">
        <v>0.999</v>
      </c>
      <c r="K4" s="1">
        <v>0.999</v>
      </c>
      <c r="L4" s="1">
        <v>0.999</v>
      </c>
      <c r="M4" s="1">
        <v>0.999</v>
      </c>
      <c r="N4" s="1">
        <v>0.999</v>
      </c>
      <c r="O4" s="1">
        <v>0.999</v>
      </c>
      <c r="P4" s="1">
        <v>0.999</v>
      </c>
      <c r="Q4" s="1">
        <v>0.999</v>
      </c>
      <c r="R4" s="1">
        <v>0.999</v>
      </c>
      <c r="S4" s="1">
        <v>0.999</v>
      </c>
      <c r="T4" s="1">
        <v>0.999</v>
      </c>
      <c r="U4" s="1">
        <v>0.999</v>
      </c>
      <c r="V4" s="1">
        <v>0.999</v>
      </c>
      <c r="W4" s="1">
        <v>0.999</v>
      </c>
      <c r="X4" s="1">
        <v>0.999</v>
      </c>
      <c r="Y4" s="1">
        <v>0.999</v>
      </c>
      <c r="Z4" s="1">
        <v>0.999</v>
      </c>
      <c r="AA4" s="1">
        <v>0.999</v>
      </c>
      <c r="AB4" s="1">
        <v>0.999</v>
      </c>
      <c r="AC4" s="1">
        <v>0.999</v>
      </c>
      <c r="AD4" s="1">
        <v>0.999</v>
      </c>
      <c r="AE4" s="1">
        <v>0.999</v>
      </c>
      <c r="AF4" s="1">
        <v>0.999</v>
      </c>
      <c r="AG4" s="1">
        <v>0.999</v>
      </c>
    </row>
    <row r="5" spans="1:33">
      <c r="A5" s="2">
        <f>A4+Calculations!$B$4</f>
        <v>4.5999999999999996</v>
      </c>
      <c r="B5" s="1">
        <v>0.999</v>
      </c>
      <c r="C5" s="1">
        <v>0.999</v>
      </c>
      <c r="D5" s="1">
        <v>0.999</v>
      </c>
      <c r="E5" s="1">
        <v>0.999</v>
      </c>
      <c r="F5" s="1">
        <v>0.999</v>
      </c>
      <c r="G5" s="1">
        <v>0.999</v>
      </c>
      <c r="H5" s="1">
        <v>0.999</v>
      </c>
      <c r="I5" s="1">
        <v>0.999</v>
      </c>
      <c r="J5" s="1">
        <v>0.999</v>
      </c>
      <c r="K5" s="1">
        <v>0.999</v>
      </c>
      <c r="L5" s="1">
        <v>0.999</v>
      </c>
      <c r="M5" s="1">
        <v>0.999</v>
      </c>
      <c r="N5" s="1">
        <v>0.999</v>
      </c>
      <c r="O5" s="1">
        <v>0.999</v>
      </c>
      <c r="P5" s="1">
        <v>0.999</v>
      </c>
      <c r="Q5" s="1">
        <v>0.999</v>
      </c>
      <c r="R5" s="1">
        <v>0.999</v>
      </c>
      <c r="S5" s="1">
        <v>0.999</v>
      </c>
      <c r="T5" s="1">
        <v>0.999</v>
      </c>
      <c r="U5" s="1">
        <v>0.999</v>
      </c>
      <c r="V5" s="1">
        <v>0.999</v>
      </c>
      <c r="W5" s="1">
        <v>0.999</v>
      </c>
      <c r="X5" s="1">
        <v>0.999</v>
      </c>
      <c r="Y5" s="1">
        <v>0.999</v>
      </c>
      <c r="Z5" s="1">
        <v>0.999</v>
      </c>
      <c r="AA5" s="1">
        <v>0.999</v>
      </c>
      <c r="AB5" s="1">
        <v>0.999</v>
      </c>
      <c r="AC5" s="1">
        <v>0.999</v>
      </c>
      <c r="AD5" s="1">
        <v>0.999</v>
      </c>
      <c r="AE5" s="1">
        <v>0.999</v>
      </c>
      <c r="AF5" s="1">
        <v>0.999</v>
      </c>
      <c r="AG5" s="1">
        <v>0.999</v>
      </c>
    </row>
    <row r="6" spans="1:33">
      <c r="A6" s="2">
        <f>A5+Calculations!$B$4</f>
        <v>5.6</v>
      </c>
      <c r="B6" s="1">
        <v>0.999</v>
      </c>
      <c r="C6" s="1">
        <v>0.999</v>
      </c>
      <c r="D6" s="1">
        <v>0.999</v>
      </c>
      <c r="E6" s="1">
        <v>0.999</v>
      </c>
      <c r="F6" s="1">
        <v>0.999</v>
      </c>
      <c r="G6" s="1">
        <v>0.999</v>
      </c>
      <c r="H6" s="1">
        <v>0.999</v>
      </c>
      <c r="I6" s="1">
        <v>0.999</v>
      </c>
      <c r="J6" s="1">
        <v>0.999</v>
      </c>
      <c r="K6" s="1">
        <v>0.999</v>
      </c>
      <c r="L6" s="1">
        <v>0.999</v>
      </c>
      <c r="M6" s="1">
        <v>0.999</v>
      </c>
      <c r="N6" s="1">
        <v>0.999</v>
      </c>
      <c r="O6" s="1">
        <v>0.999</v>
      </c>
      <c r="P6" s="1">
        <v>0.999</v>
      </c>
      <c r="Q6" s="1">
        <v>0.999</v>
      </c>
      <c r="R6" s="1">
        <v>0.999</v>
      </c>
      <c r="S6" s="1">
        <v>0.999</v>
      </c>
      <c r="T6" s="1">
        <v>0.999</v>
      </c>
      <c r="U6" s="1">
        <v>0.999</v>
      </c>
      <c r="V6" s="1">
        <v>0.999</v>
      </c>
      <c r="W6" s="1">
        <v>0.999</v>
      </c>
      <c r="X6" s="1">
        <v>0.999</v>
      </c>
      <c r="Y6" s="1">
        <v>0.999</v>
      </c>
      <c r="Z6" s="1">
        <v>0.999</v>
      </c>
      <c r="AA6" s="1">
        <v>0.999</v>
      </c>
      <c r="AB6" s="1">
        <v>0.999</v>
      </c>
      <c r="AC6" s="1">
        <v>0.999</v>
      </c>
      <c r="AD6" s="1">
        <v>0.999</v>
      </c>
      <c r="AE6" s="1">
        <v>0.999</v>
      </c>
      <c r="AF6" s="1">
        <v>0.999</v>
      </c>
      <c r="AG6" s="1">
        <v>0.999</v>
      </c>
    </row>
    <row r="7" spans="1:33">
      <c r="A7" s="2">
        <f>A6+Calculations!$B$4</f>
        <v>6.6</v>
      </c>
      <c r="B7" s="1">
        <v>0.999</v>
      </c>
      <c r="C7" s="1">
        <v>0.999</v>
      </c>
      <c r="D7" s="1">
        <v>0.999</v>
      </c>
      <c r="E7" s="1">
        <v>0.999</v>
      </c>
      <c r="F7" s="1">
        <v>0.999</v>
      </c>
      <c r="G7" s="1">
        <v>0.999</v>
      </c>
      <c r="H7" s="1">
        <v>0.999</v>
      </c>
      <c r="I7" s="1">
        <v>0.999</v>
      </c>
      <c r="J7" s="1">
        <v>0.999</v>
      </c>
      <c r="K7" s="1">
        <v>0.999</v>
      </c>
      <c r="L7" s="1">
        <v>0.999</v>
      </c>
      <c r="M7" s="1">
        <v>0.999</v>
      </c>
      <c r="N7" s="1">
        <v>0.999</v>
      </c>
      <c r="O7" s="1">
        <v>0.999</v>
      </c>
      <c r="P7" s="1">
        <v>0.999</v>
      </c>
      <c r="Q7" s="1">
        <v>0.999</v>
      </c>
      <c r="R7" s="1">
        <v>0.999</v>
      </c>
      <c r="S7" s="1">
        <v>0.999</v>
      </c>
      <c r="T7" s="1">
        <v>0.999</v>
      </c>
      <c r="U7" s="1">
        <v>0.999</v>
      </c>
      <c r="V7" s="1">
        <v>0.999</v>
      </c>
      <c r="W7" s="1">
        <v>0.999</v>
      </c>
      <c r="X7" s="1">
        <v>0.999</v>
      </c>
      <c r="Y7" s="1">
        <v>0.999</v>
      </c>
      <c r="Z7" s="1">
        <v>0.999</v>
      </c>
      <c r="AA7" s="1">
        <v>0.999</v>
      </c>
      <c r="AB7" s="1">
        <v>0.999</v>
      </c>
      <c r="AC7" s="1">
        <v>0.999</v>
      </c>
      <c r="AD7" s="1">
        <v>0.999</v>
      </c>
      <c r="AE7" s="1">
        <v>0.999</v>
      </c>
      <c r="AF7" s="1">
        <v>0.999</v>
      </c>
      <c r="AG7" s="1">
        <v>0.999</v>
      </c>
    </row>
    <row r="8" spans="1:33">
      <c r="A8" s="2">
        <f>A7+Calculations!$B$4</f>
        <v>7.6</v>
      </c>
      <c r="B8" s="1">
        <v>0.999</v>
      </c>
      <c r="C8" s="1">
        <v>0.999</v>
      </c>
      <c r="D8" s="1">
        <v>0.999</v>
      </c>
      <c r="E8" s="1">
        <v>0.999</v>
      </c>
      <c r="F8" s="1">
        <v>0.999</v>
      </c>
      <c r="G8" s="1">
        <v>0.999</v>
      </c>
      <c r="H8" s="1">
        <v>0.999</v>
      </c>
      <c r="I8" s="1">
        <v>0.999</v>
      </c>
      <c r="J8" s="1">
        <v>0.999</v>
      </c>
      <c r="K8" s="1">
        <v>0.999</v>
      </c>
      <c r="L8" s="1">
        <v>0.999</v>
      </c>
      <c r="M8" s="1">
        <v>0.999</v>
      </c>
      <c r="N8" s="1">
        <v>0.999</v>
      </c>
      <c r="O8" s="1">
        <v>0.999</v>
      </c>
      <c r="P8" s="1">
        <v>0.999</v>
      </c>
      <c r="Q8" s="1">
        <v>0.999</v>
      </c>
      <c r="R8" s="1">
        <v>0.999</v>
      </c>
      <c r="S8" s="1">
        <v>0.999</v>
      </c>
      <c r="T8" s="1">
        <v>0.999</v>
      </c>
      <c r="U8" s="1">
        <v>0.999</v>
      </c>
      <c r="V8" s="1">
        <v>0.999</v>
      </c>
      <c r="W8" s="1">
        <v>0.999</v>
      </c>
      <c r="X8" s="1">
        <v>0.999</v>
      </c>
      <c r="Y8" s="1">
        <v>0.999</v>
      </c>
      <c r="Z8" s="1">
        <v>0.999</v>
      </c>
      <c r="AA8" s="1">
        <v>0.999</v>
      </c>
      <c r="AB8" s="1">
        <v>0.999</v>
      </c>
      <c r="AC8" s="1">
        <v>0.999</v>
      </c>
      <c r="AD8" s="1">
        <v>0.999</v>
      </c>
      <c r="AE8" s="1">
        <v>0.999</v>
      </c>
      <c r="AF8" s="1">
        <v>0.999</v>
      </c>
      <c r="AG8" s="1">
        <v>0.999</v>
      </c>
    </row>
    <row r="9" spans="1:33">
      <c r="A9" s="2">
        <f>A8+Calculations!$B$4</f>
        <v>8.6</v>
      </c>
      <c r="B9" s="1">
        <v>0.999</v>
      </c>
      <c r="C9" s="1">
        <v>0.999</v>
      </c>
      <c r="D9" s="1">
        <v>0.999</v>
      </c>
      <c r="E9" s="1">
        <v>0.999</v>
      </c>
      <c r="F9" s="1">
        <v>0.999</v>
      </c>
      <c r="G9" s="1">
        <v>0.999</v>
      </c>
      <c r="H9" s="1">
        <v>0.999</v>
      </c>
      <c r="I9" s="1">
        <v>0.999</v>
      </c>
      <c r="J9" s="1">
        <v>0.999</v>
      </c>
      <c r="K9" s="1">
        <v>0.999</v>
      </c>
      <c r="L9" s="1">
        <v>0.999</v>
      </c>
      <c r="M9" s="1">
        <v>0.999</v>
      </c>
      <c r="N9" s="1">
        <v>0.999</v>
      </c>
      <c r="O9" s="1">
        <v>0.999</v>
      </c>
      <c r="P9" s="1">
        <v>0.999</v>
      </c>
      <c r="Q9" s="1">
        <v>0.999</v>
      </c>
      <c r="R9" s="1">
        <v>0.999</v>
      </c>
      <c r="S9" s="1">
        <v>0.999</v>
      </c>
      <c r="T9" s="1">
        <v>0.999</v>
      </c>
      <c r="U9" s="1">
        <v>0.999</v>
      </c>
      <c r="V9" s="1">
        <v>0.999</v>
      </c>
      <c r="W9" s="1">
        <v>0.999</v>
      </c>
      <c r="X9" s="1">
        <v>0.999</v>
      </c>
      <c r="Y9" s="1">
        <v>0.999</v>
      </c>
      <c r="Z9" s="1">
        <v>0.999</v>
      </c>
      <c r="AA9" s="1">
        <v>0.999</v>
      </c>
      <c r="AB9" s="1">
        <v>0.999</v>
      </c>
      <c r="AC9" s="1">
        <v>0.999</v>
      </c>
      <c r="AD9" s="1">
        <v>0.999</v>
      </c>
      <c r="AE9" s="1">
        <v>0.999</v>
      </c>
      <c r="AF9" s="1">
        <v>0.999</v>
      </c>
      <c r="AG9" s="1">
        <v>0.999</v>
      </c>
    </row>
    <row r="10" spans="1:33">
      <c r="A10" s="2">
        <f>A9+Calculations!$B$4</f>
        <v>9.6</v>
      </c>
      <c r="B10" s="1">
        <v>0.999</v>
      </c>
      <c r="C10" s="1">
        <v>0.999</v>
      </c>
      <c r="D10" s="1">
        <v>0.999</v>
      </c>
      <c r="E10" s="1">
        <v>0.999</v>
      </c>
      <c r="F10" s="1">
        <v>0.999</v>
      </c>
      <c r="G10" s="1">
        <v>0.999</v>
      </c>
      <c r="H10" s="1">
        <v>0.999</v>
      </c>
      <c r="I10" s="1">
        <v>0.999</v>
      </c>
      <c r="J10" s="1">
        <v>0.999</v>
      </c>
      <c r="K10" s="1">
        <v>0.999</v>
      </c>
      <c r="L10" s="1">
        <v>0.999</v>
      </c>
      <c r="M10" s="1">
        <v>0.999</v>
      </c>
      <c r="N10" s="1">
        <v>0.999</v>
      </c>
      <c r="O10" s="1">
        <v>0.999</v>
      </c>
      <c r="P10" s="1">
        <v>0.999</v>
      </c>
      <c r="Q10" s="1">
        <v>0.999</v>
      </c>
      <c r="R10" s="1">
        <v>0.999</v>
      </c>
      <c r="S10" s="1">
        <v>0.999</v>
      </c>
      <c r="T10" s="1">
        <v>0.999</v>
      </c>
      <c r="U10" s="1">
        <v>0.999</v>
      </c>
      <c r="V10" s="1">
        <v>0.999</v>
      </c>
      <c r="W10" s="1">
        <v>0.999</v>
      </c>
      <c r="X10" s="1">
        <v>0.999</v>
      </c>
      <c r="Y10" s="1">
        <v>0.999</v>
      </c>
      <c r="Z10" s="1">
        <v>0.999</v>
      </c>
      <c r="AA10" s="1">
        <v>0.999</v>
      </c>
      <c r="AB10" s="1">
        <v>0.999</v>
      </c>
      <c r="AC10" s="1">
        <v>0.999</v>
      </c>
      <c r="AD10" s="1">
        <v>0.999</v>
      </c>
      <c r="AE10" s="1">
        <v>0.999</v>
      </c>
      <c r="AF10" s="1">
        <v>0.999</v>
      </c>
      <c r="AG10" s="1">
        <v>0.999</v>
      </c>
    </row>
    <row r="11" spans="1:33">
      <c r="A11" s="2">
        <f>A10+Calculations!$B$4</f>
        <v>10.6</v>
      </c>
      <c r="B11" s="1">
        <v>0.999</v>
      </c>
      <c r="C11" s="1">
        <v>0.999</v>
      </c>
      <c r="D11" s="1">
        <v>0.999</v>
      </c>
      <c r="E11" s="1">
        <v>0.999</v>
      </c>
      <c r="F11" s="1">
        <v>0.999</v>
      </c>
      <c r="G11" s="1">
        <v>0.999</v>
      </c>
      <c r="H11" s="1">
        <v>0.999</v>
      </c>
      <c r="I11" s="1">
        <v>0.999</v>
      </c>
      <c r="J11" s="1">
        <v>0.999</v>
      </c>
      <c r="K11" s="1">
        <v>0.999</v>
      </c>
      <c r="L11" s="1">
        <v>0.999</v>
      </c>
      <c r="M11" s="1">
        <v>0.999</v>
      </c>
      <c r="N11" s="1">
        <v>0.999</v>
      </c>
      <c r="O11" s="1">
        <v>0.999</v>
      </c>
      <c r="P11" s="1">
        <v>0.999</v>
      </c>
      <c r="Q11" s="1">
        <v>0.999</v>
      </c>
      <c r="R11" s="1">
        <v>0.999</v>
      </c>
      <c r="S11" s="1">
        <v>0.999</v>
      </c>
      <c r="T11" s="1">
        <v>0.999</v>
      </c>
      <c r="U11" s="1">
        <v>0.999</v>
      </c>
      <c r="V11" s="1">
        <v>0.999</v>
      </c>
      <c r="W11" s="1">
        <v>0.999</v>
      </c>
      <c r="X11" s="1">
        <v>0.999</v>
      </c>
      <c r="Y11" s="1">
        <v>0.999</v>
      </c>
      <c r="Z11" s="1">
        <v>0.999</v>
      </c>
      <c r="AA11" s="1">
        <v>0.999</v>
      </c>
      <c r="AB11" s="1">
        <v>0.999</v>
      </c>
      <c r="AC11" s="1">
        <v>0.999</v>
      </c>
      <c r="AD11" s="1">
        <v>0.999</v>
      </c>
      <c r="AE11" s="1">
        <v>0.999</v>
      </c>
      <c r="AF11" s="1">
        <v>0.999</v>
      </c>
      <c r="AG11" s="1">
        <v>0.999</v>
      </c>
    </row>
    <row r="12" spans="1:33">
      <c r="A12" s="2">
        <f>A11+Calculations!$B$4</f>
        <v>11.6</v>
      </c>
      <c r="B12" s="1">
        <v>0.999</v>
      </c>
      <c r="C12" s="1">
        <v>0.999</v>
      </c>
      <c r="D12" s="1">
        <v>0.999</v>
      </c>
      <c r="E12" s="1">
        <v>0.999</v>
      </c>
      <c r="F12" s="1">
        <v>0.999</v>
      </c>
      <c r="G12" s="1">
        <v>0.999</v>
      </c>
      <c r="H12" s="1">
        <v>0.999</v>
      </c>
      <c r="I12" s="1">
        <v>0.999</v>
      </c>
      <c r="J12" s="1">
        <v>0.999</v>
      </c>
      <c r="K12" s="1">
        <v>0.999</v>
      </c>
      <c r="L12" s="1">
        <v>0.999</v>
      </c>
      <c r="M12" s="1">
        <v>0.999</v>
      </c>
      <c r="N12" s="1">
        <v>0.999</v>
      </c>
      <c r="O12" s="1">
        <v>0.999</v>
      </c>
      <c r="P12" s="1">
        <v>0.999</v>
      </c>
      <c r="Q12" s="1">
        <v>0.999</v>
      </c>
      <c r="R12" s="1">
        <v>0.999</v>
      </c>
      <c r="S12" s="1">
        <v>0.999</v>
      </c>
      <c r="T12" s="1">
        <v>0.999</v>
      </c>
      <c r="U12" s="1">
        <v>0.999</v>
      </c>
      <c r="V12" s="1">
        <v>0.999</v>
      </c>
      <c r="W12" s="1">
        <v>0.999</v>
      </c>
      <c r="X12" s="1">
        <v>0.999</v>
      </c>
      <c r="Y12" s="1">
        <v>0.999</v>
      </c>
      <c r="Z12" s="1">
        <v>0.999</v>
      </c>
      <c r="AA12" s="1">
        <v>0.999</v>
      </c>
      <c r="AB12" s="1">
        <v>0.999</v>
      </c>
      <c r="AC12" s="1">
        <v>0.999</v>
      </c>
      <c r="AD12" s="1">
        <v>0.999</v>
      </c>
      <c r="AE12" s="1">
        <v>0.999</v>
      </c>
      <c r="AF12" s="1">
        <v>0.999</v>
      </c>
      <c r="AG12" s="1">
        <v>0.999</v>
      </c>
    </row>
    <row r="13" spans="1:33">
      <c r="A13" s="2">
        <f>A12+Calculations!$B$4</f>
        <v>12.6</v>
      </c>
      <c r="B13" s="1">
        <v>0.999</v>
      </c>
      <c r="C13" s="1">
        <v>0.999</v>
      </c>
      <c r="D13" s="1">
        <v>0.999</v>
      </c>
      <c r="E13" s="1">
        <v>0.999</v>
      </c>
      <c r="F13" s="1">
        <v>0.999</v>
      </c>
      <c r="G13" s="1">
        <v>0.999</v>
      </c>
      <c r="H13" s="1">
        <v>0.999</v>
      </c>
      <c r="I13" s="1">
        <v>0.999</v>
      </c>
      <c r="J13" s="1">
        <v>0.999</v>
      </c>
      <c r="K13" s="1">
        <v>0.999</v>
      </c>
      <c r="L13" s="1">
        <v>0.999</v>
      </c>
      <c r="M13" s="1">
        <v>0.999</v>
      </c>
      <c r="N13" s="1">
        <v>0.999</v>
      </c>
      <c r="O13" s="1">
        <v>0.999</v>
      </c>
      <c r="P13" s="1">
        <v>0.999</v>
      </c>
      <c r="Q13" s="1">
        <v>0.999</v>
      </c>
      <c r="R13" s="1">
        <v>0.999</v>
      </c>
      <c r="S13" s="1">
        <v>0.999</v>
      </c>
      <c r="T13" s="1">
        <v>0.999</v>
      </c>
      <c r="U13" s="1">
        <v>0.999</v>
      </c>
      <c r="V13" s="1">
        <v>0.999</v>
      </c>
      <c r="W13" s="1">
        <v>0.999</v>
      </c>
      <c r="X13" s="1">
        <v>0.999</v>
      </c>
      <c r="Y13" s="1">
        <v>0.999</v>
      </c>
      <c r="Z13" s="1">
        <v>0.999</v>
      </c>
      <c r="AA13" s="1">
        <v>0.999</v>
      </c>
      <c r="AB13" s="1">
        <v>0.999</v>
      </c>
      <c r="AC13" s="1">
        <v>0.999</v>
      </c>
      <c r="AD13" s="1">
        <v>0.999</v>
      </c>
      <c r="AE13" s="1">
        <v>0.999</v>
      </c>
      <c r="AF13" s="1">
        <v>0.999</v>
      </c>
      <c r="AG13" s="1">
        <v>0.999</v>
      </c>
    </row>
    <row r="14" spans="1:33">
      <c r="A14" s="2">
        <f>A13+Calculations!$B$4</f>
        <v>13.6</v>
      </c>
      <c r="B14" s="1">
        <v>0.999</v>
      </c>
      <c r="C14" s="1">
        <v>0.999</v>
      </c>
      <c r="D14" s="1">
        <v>0.999</v>
      </c>
      <c r="E14" s="1">
        <v>0.999</v>
      </c>
      <c r="F14" s="1">
        <v>0.999</v>
      </c>
      <c r="G14" s="1">
        <v>0.999</v>
      </c>
      <c r="H14" s="1">
        <v>0.999</v>
      </c>
      <c r="I14" s="1">
        <v>0.999</v>
      </c>
      <c r="J14" s="1">
        <v>0.999</v>
      </c>
      <c r="K14" s="1">
        <v>0.999</v>
      </c>
      <c r="L14" s="1">
        <v>0.999</v>
      </c>
      <c r="M14" s="1">
        <v>0.999</v>
      </c>
      <c r="N14" s="1">
        <v>0.999</v>
      </c>
      <c r="O14" s="1">
        <v>0.999</v>
      </c>
      <c r="P14" s="1">
        <v>0.999</v>
      </c>
      <c r="Q14" s="1">
        <v>0.999</v>
      </c>
      <c r="R14" s="1">
        <v>0.999</v>
      </c>
      <c r="S14" s="1">
        <v>0.999</v>
      </c>
      <c r="T14" s="1">
        <v>0.999</v>
      </c>
      <c r="U14" s="1">
        <v>0.999</v>
      </c>
      <c r="V14" s="1">
        <v>0.999</v>
      </c>
      <c r="W14" s="1">
        <v>0.999</v>
      </c>
      <c r="X14" s="1">
        <v>0.999</v>
      </c>
      <c r="Y14" s="1">
        <v>0.999</v>
      </c>
      <c r="Z14" s="1">
        <v>0.999</v>
      </c>
      <c r="AA14" s="1">
        <v>0.999</v>
      </c>
      <c r="AB14" s="1">
        <v>0.999</v>
      </c>
      <c r="AC14" s="1">
        <v>0.999</v>
      </c>
      <c r="AD14" s="1">
        <v>0.999</v>
      </c>
      <c r="AE14" s="1">
        <v>0.999</v>
      </c>
      <c r="AF14" s="1">
        <v>0.999</v>
      </c>
      <c r="AG14" s="1">
        <v>0.999</v>
      </c>
    </row>
    <row r="15" spans="1:33">
      <c r="A15" s="2">
        <f>A14+Calculations!$B$4</f>
        <v>14.6</v>
      </c>
      <c r="B15" s="1">
        <v>0.999</v>
      </c>
      <c r="C15" s="1">
        <v>0.999</v>
      </c>
      <c r="D15" s="1">
        <v>0.999</v>
      </c>
      <c r="E15" s="1">
        <v>0.999</v>
      </c>
      <c r="F15" s="1">
        <v>0.999</v>
      </c>
      <c r="G15" s="1">
        <v>0.999</v>
      </c>
      <c r="H15" s="1">
        <v>0.999</v>
      </c>
      <c r="I15" s="1">
        <v>0.999</v>
      </c>
      <c r="J15" s="1">
        <v>0.999</v>
      </c>
      <c r="K15" s="1">
        <v>0.999</v>
      </c>
      <c r="L15" s="1">
        <v>0.999</v>
      </c>
      <c r="M15" s="1">
        <v>0.999</v>
      </c>
      <c r="N15" s="1">
        <v>0.999</v>
      </c>
      <c r="O15" s="1">
        <v>0.999</v>
      </c>
      <c r="P15" s="1">
        <v>0.999</v>
      </c>
      <c r="Q15" s="1">
        <v>0.999</v>
      </c>
      <c r="R15" s="1">
        <v>0.999</v>
      </c>
      <c r="S15" s="1">
        <v>0.999</v>
      </c>
      <c r="T15" s="1">
        <v>0.999</v>
      </c>
      <c r="U15" s="1">
        <v>0.999</v>
      </c>
      <c r="V15" s="1">
        <v>0.999</v>
      </c>
      <c r="W15" s="1">
        <v>0.999</v>
      </c>
      <c r="X15" s="1">
        <v>0.999</v>
      </c>
      <c r="Y15" s="1">
        <v>0.999</v>
      </c>
      <c r="Z15" s="1">
        <v>0.999</v>
      </c>
      <c r="AA15" s="1">
        <v>0.999</v>
      </c>
      <c r="AB15" s="1">
        <v>0.999</v>
      </c>
      <c r="AC15" s="1">
        <v>0.999</v>
      </c>
      <c r="AD15" s="1">
        <v>0.999</v>
      </c>
      <c r="AE15" s="1">
        <v>0.999</v>
      </c>
      <c r="AF15" s="1">
        <v>0.999</v>
      </c>
      <c r="AG15" s="1">
        <v>0.999</v>
      </c>
    </row>
    <row r="16" spans="1:33">
      <c r="A16" s="2">
        <f>A15+Calculations!$B$4</f>
        <v>15.6</v>
      </c>
      <c r="B16" s="1">
        <v>0.94509803921568625</v>
      </c>
      <c r="C16" s="1">
        <v>0.96470588235294119</v>
      </c>
      <c r="D16" s="1">
        <v>0.95686274509803926</v>
      </c>
      <c r="E16" s="1">
        <v>0.96078431372549022</v>
      </c>
      <c r="F16" s="1">
        <v>0.94901960784313721</v>
      </c>
      <c r="G16" s="1">
        <v>0.95294117647058818</v>
      </c>
      <c r="H16" s="1">
        <v>0.94117647058823528</v>
      </c>
      <c r="I16" s="1">
        <v>0.94117647058823528</v>
      </c>
      <c r="J16" s="1">
        <v>0.94117647058823528</v>
      </c>
      <c r="K16" s="1">
        <v>0.93725490196078431</v>
      </c>
      <c r="L16" s="1">
        <v>0.94509803921568625</v>
      </c>
      <c r="M16" s="1">
        <v>0.93333333333333335</v>
      </c>
      <c r="N16" s="1">
        <v>0.93333333333333335</v>
      </c>
      <c r="O16" s="1">
        <v>0.94509803921568625</v>
      </c>
      <c r="P16" s="1">
        <v>0.94509803921568625</v>
      </c>
      <c r="Q16" s="1">
        <v>0.93725490196078431</v>
      </c>
      <c r="R16" s="1">
        <v>0.92941176470588238</v>
      </c>
      <c r="S16" s="1">
        <v>0.93333333333333335</v>
      </c>
      <c r="T16" s="1">
        <v>0.93333333333333335</v>
      </c>
      <c r="U16" s="1">
        <v>0.94117647058823528</v>
      </c>
      <c r="V16" s="1">
        <v>0.92941176470588238</v>
      </c>
      <c r="W16" s="1">
        <v>0.94509803921568625</v>
      </c>
      <c r="X16" s="1">
        <v>0.94117647058823528</v>
      </c>
      <c r="Y16" s="1">
        <v>0.94117647058823528</v>
      </c>
      <c r="Z16" s="1">
        <v>0.94117647058823528</v>
      </c>
      <c r="AA16" s="1">
        <v>0.94117647058823528</v>
      </c>
      <c r="AB16" s="1">
        <v>0.94117647058823528</v>
      </c>
      <c r="AC16" s="1">
        <v>0.93725490196078431</v>
      </c>
      <c r="AD16" s="1">
        <v>0.93725490196078431</v>
      </c>
      <c r="AE16" s="1">
        <v>0.94117647058823528</v>
      </c>
      <c r="AF16" s="1">
        <v>0.95294117647058818</v>
      </c>
      <c r="AG16" s="1">
        <v>0.94509803921568625</v>
      </c>
    </row>
    <row r="17" spans="1:33">
      <c r="A17" s="2">
        <f>A16+Calculations!$B$4</f>
        <v>16.600000000000001</v>
      </c>
      <c r="B17" s="1">
        <v>0.85490196078431369</v>
      </c>
      <c r="C17" s="1">
        <v>0.87450980392156863</v>
      </c>
      <c r="D17" s="1">
        <v>0.86274509803921573</v>
      </c>
      <c r="E17" s="1">
        <v>0.86274509803921573</v>
      </c>
      <c r="F17" s="1">
        <v>0.85882352941176465</v>
      </c>
      <c r="G17" s="1">
        <v>0.85882352941176465</v>
      </c>
      <c r="H17" s="1">
        <v>0.83921568627450982</v>
      </c>
      <c r="I17" s="1">
        <v>0.84705882352941175</v>
      </c>
      <c r="J17" s="1">
        <v>0.83921568627450982</v>
      </c>
      <c r="K17" s="1">
        <v>0.85098039215686272</v>
      </c>
      <c r="L17" s="1">
        <v>0.85490196078431369</v>
      </c>
      <c r="M17" s="1">
        <v>0.83529411764705885</v>
      </c>
      <c r="N17" s="1">
        <v>0.83921568627450982</v>
      </c>
      <c r="O17" s="1">
        <v>0.85098039215686272</v>
      </c>
      <c r="P17" s="1">
        <v>0.85490196078431369</v>
      </c>
      <c r="Q17" s="1">
        <v>0.86274509803921573</v>
      </c>
      <c r="R17" s="1">
        <v>0.83529411764705885</v>
      </c>
      <c r="S17" s="1">
        <v>0.84313725490196079</v>
      </c>
      <c r="T17" s="1">
        <v>0.83529411764705885</v>
      </c>
      <c r="U17" s="1">
        <v>0.84705882352941175</v>
      </c>
      <c r="V17" s="1">
        <v>0.83529411764705885</v>
      </c>
      <c r="W17" s="1">
        <v>0.85098039215686272</v>
      </c>
      <c r="X17" s="1">
        <v>0.84313725490196079</v>
      </c>
      <c r="Y17" s="1">
        <v>0.84705882352941175</v>
      </c>
      <c r="Z17" s="1">
        <v>0.8666666666666667</v>
      </c>
      <c r="AA17" s="1">
        <v>0.85098039215686272</v>
      </c>
      <c r="AB17" s="1">
        <v>0.84705882352941175</v>
      </c>
      <c r="AC17" s="1">
        <v>0.83921568627450982</v>
      </c>
      <c r="AD17" s="1">
        <v>0.84313725490196079</v>
      </c>
      <c r="AE17" s="1">
        <v>0.84313725490196079</v>
      </c>
      <c r="AF17" s="1">
        <v>0.85490196078431369</v>
      </c>
      <c r="AG17" s="1">
        <v>0.83921568627450982</v>
      </c>
    </row>
    <row r="18" spans="1:33">
      <c r="A18" s="2">
        <f>A17+Calculations!$B$4</f>
        <v>17.600000000000001</v>
      </c>
      <c r="B18" s="1">
        <v>0.7686274509803922</v>
      </c>
      <c r="C18" s="1">
        <v>0.78431372549019607</v>
      </c>
      <c r="D18" s="1">
        <v>0.77647058823529413</v>
      </c>
      <c r="E18" s="1">
        <v>0.7686274509803922</v>
      </c>
      <c r="F18" s="1">
        <v>0.7686274509803922</v>
      </c>
      <c r="G18" s="1">
        <v>0.7686274509803922</v>
      </c>
      <c r="H18" s="1">
        <v>0.75294117647058822</v>
      </c>
      <c r="I18" s="1">
        <v>0.76078431372549016</v>
      </c>
      <c r="J18" s="1">
        <v>0.75294117647058822</v>
      </c>
      <c r="K18" s="1">
        <v>0.7686274509803922</v>
      </c>
      <c r="L18" s="1">
        <v>0.77647058823529413</v>
      </c>
      <c r="M18" s="1">
        <v>0.75294117647058822</v>
      </c>
      <c r="N18" s="1">
        <v>0.74509803921568629</v>
      </c>
      <c r="O18" s="1">
        <v>0.75686274509803919</v>
      </c>
      <c r="P18" s="1">
        <v>0.76078431372549016</v>
      </c>
      <c r="Q18" s="1">
        <v>0.75294117647058822</v>
      </c>
      <c r="R18" s="1">
        <v>0.74117647058823533</v>
      </c>
      <c r="S18" s="1">
        <v>0.75294117647058822</v>
      </c>
      <c r="T18" s="1">
        <v>0.75686274509803919</v>
      </c>
      <c r="U18" s="1">
        <v>0.75686274509803919</v>
      </c>
      <c r="V18" s="1">
        <v>0.75294117647058822</v>
      </c>
      <c r="W18" s="1">
        <v>0.76470588235294112</v>
      </c>
      <c r="X18" s="1">
        <v>0.75686274509803919</v>
      </c>
      <c r="Y18" s="1">
        <v>0.75294117647058822</v>
      </c>
      <c r="Z18" s="1">
        <v>0.7686274509803922</v>
      </c>
      <c r="AA18" s="1">
        <v>0.7686274509803922</v>
      </c>
      <c r="AB18" s="1">
        <v>0.75294117647058822</v>
      </c>
      <c r="AC18" s="1">
        <v>0.76078431372549016</v>
      </c>
      <c r="AD18" s="1">
        <v>0.76078431372549016</v>
      </c>
      <c r="AE18" s="1">
        <v>0.75686274509803919</v>
      </c>
      <c r="AF18" s="1">
        <v>0.77254901960784317</v>
      </c>
      <c r="AG18" s="1">
        <v>0.75686274509803919</v>
      </c>
    </row>
    <row r="19" spans="1:33">
      <c r="A19" s="2">
        <f>A18+Calculations!$B$4</f>
        <v>18.600000000000001</v>
      </c>
      <c r="B19" s="1">
        <v>0.69019607843137254</v>
      </c>
      <c r="C19" s="1">
        <v>0.69803921568627447</v>
      </c>
      <c r="D19" s="1">
        <v>0.69019607843137254</v>
      </c>
      <c r="E19" s="1">
        <v>0.69803921568627447</v>
      </c>
      <c r="F19" s="1">
        <v>0.68627450980392157</v>
      </c>
      <c r="G19" s="1">
        <v>0.68627450980392157</v>
      </c>
      <c r="H19" s="1">
        <v>0.67450980392156867</v>
      </c>
      <c r="I19" s="1">
        <v>0.68235294117647061</v>
      </c>
      <c r="J19" s="1">
        <v>0.67450980392156867</v>
      </c>
      <c r="K19" s="1">
        <v>0.69019607843137254</v>
      </c>
      <c r="L19" s="1">
        <v>0.69019607843137254</v>
      </c>
      <c r="M19" s="1">
        <v>0.6705882352941176</v>
      </c>
      <c r="N19" s="1">
        <v>0.6705882352941176</v>
      </c>
      <c r="O19" s="1">
        <v>0.67450980392156867</v>
      </c>
      <c r="P19" s="1">
        <v>0.68627450980392157</v>
      </c>
      <c r="Q19" s="1">
        <v>0.67843137254901964</v>
      </c>
      <c r="R19" s="1">
        <v>0.66666666666666663</v>
      </c>
      <c r="S19" s="1">
        <v>0.6705882352941176</v>
      </c>
      <c r="T19" s="1">
        <v>0.66274509803921566</v>
      </c>
      <c r="U19" s="1">
        <v>0.68235294117647061</v>
      </c>
      <c r="V19" s="1">
        <v>0.67843137254901964</v>
      </c>
      <c r="W19" s="1">
        <v>0.68235294117647061</v>
      </c>
      <c r="X19" s="1">
        <v>0.6705882352941176</v>
      </c>
      <c r="Y19" s="1">
        <v>0.67843137254901964</v>
      </c>
      <c r="Z19" s="1">
        <v>0.67843137254901964</v>
      </c>
      <c r="AA19" s="1">
        <v>0.67843137254901964</v>
      </c>
      <c r="AB19" s="1">
        <v>0.68235294117647061</v>
      </c>
      <c r="AC19" s="1">
        <v>0.68235294117647061</v>
      </c>
      <c r="AD19" s="1">
        <v>0.67450980392156867</v>
      </c>
      <c r="AE19" s="1">
        <v>0.68235294117647061</v>
      </c>
      <c r="AF19" s="1">
        <v>0.69803921568627447</v>
      </c>
      <c r="AG19" s="1">
        <v>0.68235294117647061</v>
      </c>
    </row>
    <row r="20" spans="1:33">
      <c r="A20" s="2">
        <f>A19+Calculations!$B$4</f>
        <v>19.600000000000001</v>
      </c>
      <c r="B20" s="1">
        <v>0.62352941176470589</v>
      </c>
      <c r="C20" s="1">
        <v>0.63137254901960782</v>
      </c>
      <c r="D20" s="1">
        <v>0.62745098039215685</v>
      </c>
      <c r="E20" s="1">
        <v>0.62745098039215685</v>
      </c>
      <c r="F20" s="1">
        <v>0.62352941176470589</v>
      </c>
      <c r="G20" s="1">
        <v>0.62352941176470589</v>
      </c>
      <c r="H20" s="1">
        <v>0.59607843137254901</v>
      </c>
      <c r="I20" s="1">
        <v>0.61176470588235299</v>
      </c>
      <c r="J20" s="1">
        <v>0.60392156862745094</v>
      </c>
      <c r="K20" s="1">
        <v>0.61568627450980395</v>
      </c>
      <c r="L20" s="1">
        <v>0.62352941176470589</v>
      </c>
      <c r="M20" s="1">
        <v>0.60392156862745094</v>
      </c>
      <c r="N20" s="1">
        <v>0.60392156862745094</v>
      </c>
      <c r="O20" s="1">
        <v>0.60784313725490191</v>
      </c>
      <c r="P20" s="1">
        <v>0.61568627450980395</v>
      </c>
      <c r="Q20" s="1">
        <v>0.60784313725490191</v>
      </c>
      <c r="R20" s="1">
        <v>0.6</v>
      </c>
      <c r="S20" s="1">
        <v>0.60784313725490191</v>
      </c>
      <c r="T20" s="1">
        <v>0.59215686274509804</v>
      </c>
      <c r="U20" s="1">
        <v>0.61176470588235299</v>
      </c>
      <c r="V20" s="1">
        <v>0.60784313725490191</v>
      </c>
      <c r="W20" s="1">
        <v>0.61176470588235299</v>
      </c>
      <c r="X20" s="1">
        <v>0.6</v>
      </c>
      <c r="Y20" s="1">
        <v>0.61176470588235299</v>
      </c>
      <c r="Z20" s="1">
        <v>0.61960784313725492</v>
      </c>
      <c r="AA20" s="1">
        <v>0.60784313725490191</v>
      </c>
      <c r="AB20" s="1">
        <v>0.61176470588235299</v>
      </c>
      <c r="AC20" s="1">
        <v>0.60392156862745094</v>
      </c>
      <c r="AD20" s="1">
        <v>0.60784313725490191</v>
      </c>
      <c r="AE20" s="1">
        <v>0.60784313725490191</v>
      </c>
      <c r="AF20" s="1">
        <v>0.62745098039215685</v>
      </c>
      <c r="AG20" s="1">
        <v>0.60784313725490191</v>
      </c>
    </row>
    <row r="21" spans="1:33">
      <c r="A21" s="2">
        <f>A20+Calculations!$B$4</f>
        <v>20.6</v>
      </c>
      <c r="B21" s="1">
        <v>0.56862745098039214</v>
      </c>
      <c r="C21" s="1">
        <v>0.5725490196078431</v>
      </c>
      <c r="D21" s="1">
        <v>0.57647058823529407</v>
      </c>
      <c r="E21" s="1">
        <v>0.56862745098039214</v>
      </c>
      <c r="F21" s="1">
        <v>0.5725490196078431</v>
      </c>
      <c r="G21" s="1">
        <v>0.56862745098039214</v>
      </c>
      <c r="H21" s="1">
        <v>0.5607843137254902</v>
      </c>
      <c r="I21" s="1">
        <v>0.5490196078431373</v>
      </c>
      <c r="J21" s="1">
        <v>0.55294117647058827</v>
      </c>
      <c r="K21" s="1">
        <v>0.55294117647058827</v>
      </c>
      <c r="L21" s="1">
        <v>0.56862745098039214</v>
      </c>
      <c r="M21" s="1">
        <v>0.54509803921568623</v>
      </c>
      <c r="N21" s="1">
        <v>0.54509803921568623</v>
      </c>
      <c r="O21" s="1">
        <v>0.54509803921568623</v>
      </c>
      <c r="P21" s="1">
        <v>0.55294117647058827</v>
      </c>
      <c r="Q21" s="1">
        <v>0.55294117647058827</v>
      </c>
      <c r="R21" s="1">
        <v>0.54509803921568623</v>
      </c>
      <c r="S21" s="1">
        <v>0.54509803921568623</v>
      </c>
      <c r="T21" s="1">
        <v>0.54509803921568623</v>
      </c>
      <c r="U21" s="1">
        <v>0.55294117647058827</v>
      </c>
      <c r="V21" s="1">
        <v>0.55686274509803924</v>
      </c>
      <c r="W21" s="1">
        <v>0.5607843137254902</v>
      </c>
      <c r="X21" s="1">
        <v>0.5607843137254902</v>
      </c>
      <c r="Y21" s="1">
        <v>0.55294117647058827</v>
      </c>
      <c r="Z21" s="1">
        <v>0.56470588235294117</v>
      </c>
      <c r="AA21" s="1">
        <v>0.54509803921568623</v>
      </c>
      <c r="AB21" s="1">
        <v>0.5607843137254902</v>
      </c>
      <c r="AC21" s="1">
        <v>0.54509803921568623</v>
      </c>
      <c r="AD21" s="1">
        <v>0.55686274509803924</v>
      </c>
      <c r="AE21" s="1">
        <v>0.55294117647058827</v>
      </c>
      <c r="AF21" s="1">
        <v>0.5607843137254902</v>
      </c>
      <c r="AG21" s="1">
        <v>0.54509803921568623</v>
      </c>
    </row>
    <row r="22" spans="1:33">
      <c r="A22" s="2">
        <f>A21+Calculations!$B$4</f>
        <v>21.6</v>
      </c>
      <c r="B22" s="1">
        <v>0.52156862745098043</v>
      </c>
      <c r="C22" s="1">
        <v>0.52941176470588236</v>
      </c>
      <c r="D22" s="1">
        <v>0.52941176470588236</v>
      </c>
      <c r="E22" s="1">
        <v>0.52156862745098043</v>
      </c>
      <c r="F22" s="1">
        <v>0.52941176470588236</v>
      </c>
      <c r="G22" s="1">
        <v>0.51764705882352946</v>
      </c>
      <c r="H22" s="1">
        <v>0.50980392156862742</v>
      </c>
      <c r="I22" s="1">
        <v>0.49803921568627452</v>
      </c>
      <c r="J22" s="1">
        <v>0.49803921568627452</v>
      </c>
      <c r="K22" s="1">
        <v>0.51764705882352946</v>
      </c>
      <c r="L22" s="1">
        <v>0.52156862745098043</v>
      </c>
      <c r="M22" s="1">
        <v>0.49803921568627452</v>
      </c>
      <c r="N22" s="1">
        <v>0.50196078431372548</v>
      </c>
      <c r="O22" s="1">
        <v>0.50196078431372548</v>
      </c>
      <c r="P22" s="1">
        <v>0.50980392156862742</v>
      </c>
      <c r="Q22" s="1">
        <v>0.51372549019607838</v>
      </c>
      <c r="R22" s="1">
        <v>0.49803921568627452</v>
      </c>
      <c r="S22" s="1">
        <v>0.50196078431372548</v>
      </c>
      <c r="T22" s="1">
        <v>0.49803921568627452</v>
      </c>
      <c r="U22" s="1">
        <v>0.50980392156862742</v>
      </c>
      <c r="V22" s="1">
        <v>0.51372549019607838</v>
      </c>
      <c r="W22" s="1">
        <v>0.50588235294117645</v>
      </c>
      <c r="X22" s="1">
        <v>0.50588235294117645</v>
      </c>
      <c r="Y22" s="1">
        <v>0.50196078431372548</v>
      </c>
      <c r="Z22" s="1">
        <v>0.50980392156862742</v>
      </c>
      <c r="AA22" s="1">
        <v>0.50196078431372548</v>
      </c>
      <c r="AB22" s="1">
        <v>0.51372549019607838</v>
      </c>
      <c r="AC22" s="1">
        <v>0.50196078431372548</v>
      </c>
      <c r="AD22" s="1">
        <v>0.50588235294117645</v>
      </c>
      <c r="AE22" s="1">
        <v>0.50196078431372548</v>
      </c>
      <c r="AF22" s="1">
        <v>0.51764705882352946</v>
      </c>
      <c r="AG22" s="1">
        <v>0.50588235294117645</v>
      </c>
    </row>
    <row r="23" spans="1:33">
      <c r="A23" s="2">
        <f>A22+Calculations!$B$4</f>
        <v>22.6</v>
      </c>
      <c r="B23" s="1">
        <v>0.4823529411764706</v>
      </c>
      <c r="C23" s="1">
        <v>0.47843137254901963</v>
      </c>
      <c r="D23" s="1">
        <v>0.47450980392156861</v>
      </c>
      <c r="E23" s="1">
        <v>0.47450980392156861</v>
      </c>
      <c r="F23" s="1">
        <v>0.4823529411764706</v>
      </c>
      <c r="G23" s="1">
        <v>0.47450980392156861</v>
      </c>
      <c r="H23" s="1">
        <v>0.45882352941176469</v>
      </c>
      <c r="I23" s="1">
        <v>0.45882352941176469</v>
      </c>
      <c r="J23" s="1">
        <v>0.45882352941176469</v>
      </c>
      <c r="K23" s="1">
        <v>0.47058823529411764</v>
      </c>
      <c r="L23" s="1">
        <v>0.47843137254901963</v>
      </c>
      <c r="M23" s="1">
        <v>0.45490196078431372</v>
      </c>
      <c r="N23" s="1">
        <v>0.45882352941176469</v>
      </c>
      <c r="O23" s="1">
        <v>0.46274509803921571</v>
      </c>
      <c r="P23" s="1">
        <v>0.47058823529411764</v>
      </c>
      <c r="Q23" s="1">
        <v>0.47058823529411764</v>
      </c>
      <c r="R23" s="1">
        <v>0.45490196078431372</v>
      </c>
      <c r="S23" s="1">
        <v>0.46274509803921571</v>
      </c>
      <c r="T23" s="1">
        <v>0.45490196078431372</v>
      </c>
      <c r="U23" s="1">
        <v>0.46666666666666667</v>
      </c>
      <c r="V23" s="1">
        <v>0.46274509803921571</v>
      </c>
      <c r="W23" s="1">
        <v>0.46666666666666667</v>
      </c>
      <c r="X23" s="1">
        <v>0.47450980392156861</v>
      </c>
      <c r="Y23" s="1">
        <v>0.47450980392156861</v>
      </c>
      <c r="Z23" s="1">
        <v>0.47450980392156861</v>
      </c>
      <c r="AA23" s="1">
        <v>0.45882352941176469</v>
      </c>
      <c r="AB23" s="1">
        <v>0.46666666666666667</v>
      </c>
      <c r="AC23" s="1">
        <v>0.47058823529411764</v>
      </c>
      <c r="AD23" s="1">
        <v>0.46274509803921571</v>
      </c>
      <c r="AE23" s="1">
        <v>0.46274509803921571</v>
      </c>
      <c r="AF23" s="1">
        <v>0.47450980392156861</v>
      </c>
      <c r="AG23" s="1">
        <v>0.46274509803921571</v>
      </c>
    </row>
    <row r="24" spans="1:33">
      <c r="A24" s="2">
        <f>A23+Calculations!$B$4</f>
        <v>23.6</v>
      </c>
      <c r="B24" s="1">
        <v>0.44313725490196076</v>
      </c>
      <c r="C24" s="1">
        <v>0.44313725490196076</v>
      </c>
      <c r="D24" s="1">
        <v>0.43529411764705883</v>
      </c>
      <c r="E24" s="1">
        <v>0.4392156862745098</v>
      </c>
      <c r="F24" s="1">
        <v>0.43529411764705883</v>
      </c>
      <c r="G24" s="1">
        <v>0.42745098039215684</v>
      </c>
      <c r="H24" s="1">
        <v>0.41960784313725491</v>
      </c>
      <c r="I24" s="1">
        <v>0.41568627450980394</v>
      </c>
      <c r="J24" s="1">
        <v>0.41960784313725491</v>
      </c>
      <c r="K24" s="1">
        <v>0.43529411764705883</v>
      </c>
      <c r="L24" s="1">
        <v>0.43529411764705883</v>
      </c>
      <c r="M24" s="1">
        <v>0.41568627450980394</v>
      </c>
      <c r="N24" s="1">
        <v>0.41960784313725491</v>
      </c>
      <c r="O24" s="1">
        <v>0.41960784313725491</v>
      </c>
      <c r="P24" s="1">
        <v>0.43137254901960786</v>
      </c>
      <c r="Q24" s="1">
        <v>0.4392156862745098</v>
      </c>
      <c r="R24" s="1">
        <v>0.42352941176470588</v>
      </c>
      <c r="S24" s="1">
        <v>0.41960784313725491</v>
      </c>
      <c r="T24" s="1">
        <v>0.41176470588235292</v>
      </c>
      <c r="U24" s="1">
        <v>0.42352941176470588</v>
      </c>
      <c r="V24" s="1">
        <v>0.4392156862745098</v>
      </c>
      <c r="W24" s="1">
        <v>0.42745098039215684</v>
      </c>
      <c r="X24" s="1">
        <v>0.42352941176470588</v>
      </c>
      <c r="Y24" s="1">
        <v>0.42745098039215684</v>
      </c>
      <c r="Z24" s="1">
        <v>0.43529411764705883</v>
      </c>
      <c r="AA24" s="1">
        <v>0.41960784313725491</v>
      </c>
      <c r="AB24" s="1">
        <v>0.42352941176470588</v>
      </c>
      <c r="AC24" s="1">
        <v>0.41568627450980394</v>
      </c>
      <c r="AD24" s="1">
        <v>0.41960784313725491</v>
      </c>
      <c r="AE24" s="1">
        <v>0.42352941176470588</v>
      </c>
      <c r="AF24" s="1">
        <v>0.43137254901960786</v>
      </c>
      <c r="AG24" s="1">
        <v>0.41568627450980394</v>
      </c>
    </row>
    <row r="25" spans="1:33">
      <c r="A25" s="2">
        <f>A24+Calculations!$B$4</f>
        <v>24.6</v>
      </c>
      <c r="B25" s="1">
        <v>0.4</v>
      </c>
      <c r="C25" s="1">
        <v>0.40392156862745099</v>
      </c>
      <c r="D25" s="1">
        <v>0.40392156862745099</v>
      </c>
      <c r="E25" s="1">
        <v>0.40784313725490196</v>
      </c>
      <c r="F25" s="1">
        <v>0.41568627450980394</v>
      </c>
      <c r="G25" s="1">
        <v>0.40784313725490196</v>
      </c>
      <c r="H25" s="1">
        <v>0.396078431372549</v>
      </c>
      <c r="I25" s="1">
        <v>0.3843137254901961</v>
      </c>
      <c r="J25" s="1">
        <v>0.38823529411764707</v>
      </c>
      <c r="K25" s="1">
        <v>0.38823529411764707</v>
      </c>
      <c r="L25" s="1">
        <v>0.396078431372549</v>
      </c>
      <c r="M25" s="1">
        <v>0.38823529411764707</v>
      </c>
      <c r="N25" s="1">
        <v>0.3843137254901961</v>
      </c>
      <c r="O25" s="1">
        <v>0.38823529411764707</v>
      </c>
      <c r="P25" s="1">
        <v>0.396078431372549</v>
      </c>
      <c r="Q25" s="1">
        <v>0.41176470588235292</v>
      </c>
      <c r="R25" s="1">
        <v>0.39215686274509803</v>
      </c>
      <c r="S25" s="1">
        <v>0.38823529411764707</v>
      </c>
      <c r="T25" s="1">
        <v>0.4</v>
      </c>
      <c r="U25" s="1">
        <v>0.396078431372549</v>
      </c>
      <c r="V25" s="1">
        <v>0.396078431372549</v>
      </c>
      <c r="W25" s="1">
        <v>0.3843137254901961</v>
      </c>
      <c r="X25" s="1">
        <v>0.38823529411764707</v>
      </c>
      <c r="Y25" s="1">
        <v>0.39215686274509803</v>
      </c>
      <c r="Z25" s="1">
        <v>0.4</v>
      </c>
      <c r="AA25" s="1">
        <v>0.3843137254901961</v>
      </c>
      <c r="AB25" s="1">
        <v>0.396078431372549</v>
      </c>
      <c r="AC25" s="1">
        <v>0.38823529411764707</v>
      </c>
      <c r="AD25" s="1">
        <v>0.39215686274509803</v>
      </c>
      <c r="AE25" s="1">
        <v>0.39215686274509803</v>
      </c>
      <c r="AF25" s="1">
        <v>0.40784313725490196</v>
      </c>
      <c r="AG25" s="1">
        <v>0.396078431372549</v>
      </c>
    </row>
    <row r="26" spans="1:33">
      <c r="A26" s="2">
        <f>A25+Calculations!$B$4</f>
        <v>25.6</v>
      </c>
      <c r="B26" s="1">
        <v>0.38039215686274508</v>
      </c>
      <c r="C26" s="1">
        <v>0.38823529411764707</v>
      </c>
      <c r="D26" s="1">
        <v>0.37647058823529411</v>
      </c>
      <c r="E26" s="1">
        <v>0.37254901960784315</v>
      </c>
      <c r="F26" s="1">
        <v>0.38039215686274508</v>
      </c>
      <c r="G26" s="1">
        <v>0.34901960784313724</v>
      </c>
      <c r="H26" s="1">
        <v>0.36862745098039218</v>
      </c>
      <c r="I26" s="1">
        <v>0.35294117647058826</v>
      </c>
      <c r="J26" s="1">
        <v>0.35686274509803922</v>
      </c>
      <c r="K26" s="1">
        <v>0.35294117647058826</v>
      </c>
      <c r="L26" s="1">
        <v>0.36862745098039218</v>
      </c>
      <c r="M26" s="1">
        <v>0.35294117647058826</v>
      </c>
      <c r="N26" s="1">
        <v>0.35686274509803922</v>
      </c>
      <c r="O26" s="1">
        <v>0.35686274509803922</v>
      </c>
      <c r="P26" s="1">
        <v>0.36862745098039218</v>
      </c>
      <c r="Q26" s="1">
        <v>0.37254901960784315</v>
      </c>
      <c r="R26" s="1">
        <v>0.34901960784313724</v>
      </c>
      <c r="S26" s="1">
        <v>0.36470588235294116</v>
      </c>
      <c r="T26" s="1">
        <v>0.35294117647058826</v>
      </c>
      <c r="U26" s="1">
        <v>0.36470588235294116</v>
      </c>
      <c r="V26" s="1">
        <v>0.36470588235294116</v>
      </c>
      <c r="W26" s="1">
        <v>0.35294117647058826</v>
      </c>
      <c r="X26" s="1">
        <v>0.36078431372549019</v>
      </c>
      <c r="Y26" s="1">
        <v>0.35686274509803922</v>
      </c>
      <c r="Z26" s="1">
        <v>0.36862745098039218</v>
      </c>
      <c r="AA26" s="1">
        <v>0.35294117647058826</v>
      </c>
      <c r="AB26" s="1">
        <v>0.36862745098039218</v>
      </c>
      <c r="AC26" s="1">
        <v>0.35294117647058826</v>
      </c>
      <c r="AD26" s="1">
        <v>0.36078431372549019</v>
      </c>
      <c r="AE26" s="1">
        <v>0.36078431372549019</v>
      </c>
      <c r="AF26" s="1">
        <v>0.37647058823529411</v>
      </c>
      <c r="AG26" s="1">
        <v>0.36078431372549019</v>
      </c>
    </row>
    <row r="27" spans="1:33">
      <c r="A27" s="2">
        <f>A26+Calculations!$B$4</f>
        <v>26.6</v>
      </c>
      <c r="B27" s="1">
        <v>0.34509803921568627</v>
      </c>
      <c r="C27" s="1">
        <v>0.35294117647058826</v>
      </c>
      <c r="D27" s="1">
        <v>0.34509803921568627</v>
      </c>
      <c r="E27" s="1">
        <v>0.34901960784313724</v>
      </c>
      <c r="F27" s="1">
        <v>0.34509803921568627</v>
      </c>
      <c r="G27" s="1">
        <v>0.32156862745098042</v>
      </c>
      <c r="H27" s="1">
        <v>0.33333333333333331</v>
      </c>
      <c r="I27" s="1">
        <v>0.32156862745098042</v>
      </c>
      <c r="J27" s="1">
        <v>0.32941176470588235</v>
      </c>
      <c r="K27" s="1">
        <v>0.32549019607843138</v>
      </c>
      <c r="L27" s="1">
        <v>0.35294117647058826</v>
      </c>
      <c r="M27" s="1">
        <v>0.31764705882352939</v>
      </c>
      <c r="N27" s="1">
        <v>0.32941176470588235</v>
      </c>
      <c r="O27" s="1">
        <v>0.32156862745098042</v>
      </c>
      <c r="P27" s="1">
        <v>0.3411764705882353</v>
      </c>
      <c r="Q27" s="1">
        <v>0.33725490196078434</v>
      </c>
      <c r="R27" s="1">
        <v>0.32156862745098042</v>
      </c>
      <c r="S27" s="1">
        <v>0.33333333333333331</v>
      </c>
      <c r="T27" s="1">
        <v>0.32156862745098042</v>
      </c>
      <c r="U27" s="1">
        <v>0.33725490196078434</v>
      </c>
      <c r="V27" s="1">
        <v>0.33725490196078434</v>
      </c>
      <c r="W27" s="1">
        <v>0.32941176470588235</v>
      </c>
      <c r="X27" s="1">
        <v>0.33333333333333331</v>
      </c>
      <c r="Y27" s="1">
        <v>0.32941176470588235</v>
      </c>
      <c r="Z27" s="1">
        <v>0.34509803921568627</v>
      </c>
      <c r="AA27" s="1">
        <v>0.33333333333333331</v>
      </c>
      <c r="AB27" s="1">
        <v>0.33725490196078434</v>
      </c>
      <c r="AC27" s="1">
        <v>0.33725490196078434</v>
      </c>
      <c r="AD27" s="1">
        <v>0.33725490196078434</v>
      </c>
      <c r="AE27" s="1">
        <v>0.32941176470588235</v>
      </c>
      <c r="AF27" s="1">
        <v>0.33725490196078434</v>
      </c>
      <c r="AG27" s="1">
        <v>0.33725490196078434</v>
      </c>
    </row>
    <row r="28" spans="1:33">
      <c r="A28" s="2">
        <f>A27+Calculations!$B$4</f>
        <v>27.6</v>
      </c>
      <c r="B28" s="1">
        <v>0.32156862745098042</v>
      </c>
      <c r="C28" s="1">
        <v>0.32941176470588235</v>
      </c>
      <c r="D28" s="1">
        <v>0.31372549019607843</v>
      </c>
      <c r="E28" s="1">
        <v>0.32156862745098042</v>
      </c>
      <c r="F28" s="1">
        <v>0.32549019607843138</v>
      </c>
      <c r="G28" s="1">
        <v>0.31372549019607843</v>
      </c>
      <c r="H28" s="1">
        <v>0.30980392156862746</v>
      </c>
      <c r="I28" s="1">
        <v>0.29803921568627451</v>
      </c>
      <c r="J28" s="1">
        <v>0.30588235294117649</v>
      </c>
      <c r="K28" s="1">
        <v>0.29019607843137257</v>
      </c>
      <c r="L28" s="1">
        <v>0.31764705882352939</v>
      </c>
      <c r="M28" s="1">
        <v>0.29019607843137257</v>
      </c>
      <c r="N28" s="1">
        <v>0.30588235294117649</v>
      </c>
      <c r="O28" s="1">
        <v>0.29411764705882354</v>
      </c>
      <c r="P28" s="1">
        <v>0.31764705882352939</v>
      </c>
      <c r="Q28" s="1">
        <v>0.31372549019607843</v>
      </c>
      <c r="R28" s="1">
        <v>0.29411764705882354</v>
      </c>
      <c r="S28" s="1">
        <v>0.30196078431372547</v>
      </c>
      <c r="T28" s="1">
        <v>0.29803921568627451</v>
      </c>
      <c r="U28" s="1">
        <v>0.31372549019607843</v>
      </c>
      <c r="V28" s="1">
        <v>0.30588235294117649</v>
      </c>
      <c r="W28" s="1">
        <v>0.30588235294117649</v>
      </c>
      <c r="X28" s="1">
        <v>0.30196078431372547</v>
      </c>
      <c r="Y28" s="1">
        <v>0.31372549019607843</v>
      </c>
      <c r="Z28" s="1">
        <v>0.31372549019607843</v>
      </c>
      <c r="AA28" s="1">
        <v>0.29803921568627451</v>
      </c>
      <c r="AB28" s="1">
        <v>0.31372549019607843</v>
      </c>
      <c r="AC28" s="1">
        <v>0.30196078431372547</v>
      </c>
      <c r="AD28" s="1">
        <v>0.30588235294117649</v>
      </c>
      <c r="AE28" s="1">
        <v>0.30196078431372547</v>
      </c>
      <c r="AF28" s="1">
        <v>0.32156862745098042</v>
      </c>
      <c r="AG28" s="1">
        <v>0.30588235294117649</v>
      </c>
    </row>
    <row r="29" spans="1:33">
      <c r="A29" s="2">
        <f>A28+Calculations!$B$4</f>
        <v>28.6</v>
      </c>
      <c r="B29" s="1">
        <v>0.30588235294117649</v>
      </c>
      <c r="C29" s="1">
        <v>0.30588235294117649</v>
      </c>
      <c r="D29" s="1">
        <v>0.29411764705882354</v>
      </c>
      <c r="E29" s="1">
        <v>0.30196078431372547</v>
      </c>
      <c r="F29" s="1">
        <v>0.31372549019607843</v>
      </c>
      <c r="G29" s="1">
        <v>0.29803921568627451</v>
      </c>
      <c r="H29" s="1">
        <v>0.28235294117647058</v>
      </c>
      <c r="I29" s="1">
        <v>0.28235294117647058</v>
      </c>
      <c r="J29" s="1">
        <v>0.28235294117647058</v>
      </c>
      <c r="K29" s="1">
        <v>0.28235294117647058</v>
      </c>
      <c r="L29" s="1">
        <v>0.30588235294117649</v>
      </c>
      <c r="M29" s="1">
        <v>0.27058823529411763</v>
      </c>
      <c r="N29" s="1">
        <v>0.29019607843137257</v>
      </c>
      <c r="O29" s="1">
        <v>0.27843137254901962</v>
      </c>
      <c r="P29" s="1">
        <v>0.30196078431372547</v>
      </c>
      <c r="Q29" s="1">
        <v>0.30980392156862746</v>
      </c>
      <c r="R29" s="1">
        <v>0.28235294117647058</v>
      </c>
      <c r="S29" s="1">
        <v>0.28235294117647058</v>
      </c>
      <c r="T29" s="1">
        <v>0.27450980392156865</v>
      </c>
      <c r="U29" s="1">
        <v>0.29019607843137257</v>
      </c>
      <c r="V29" s="1">
        <v>0.29411764705882354</v>
      </c>
      <c r="W29" s="1">
        <v>0.29019607843137257</v>
      </c>
      <c r="X29" s="1">
        <v>0.28235294117647058</v>
      </c>
      <c r="Y29" s="1">
        <v>0.29019607843137257</v>
      </c>
      <c r="Z29" s="1">
        <v>0.30588235294117649</v>
      </c>
      <c r="AA29" s="1">
        <v>0.28235294117647058</v>
      </c>
      <c r="AB29" s="1">
        <v>0.29019607843137257</v>
      </c>
      <c r="AC29" s="1">
        <v>0.29411764705882354</v>
      </c>
      <c r="AD29" s="1">
        <v>0.30196078431372547</v>
      </c>
      <c r="AE29" s="1">
        <v>0.28627450980392155</v>
      </c>
      <c r="AF29" s="1">
        <v>0.29803921568627451</v>
      </c>
      <c r="AG29" s="1">
        <v>0.29803921568627451</v>
      </c>
    </row>
    <row r="30" spans="1:33">
      <c r="A30" s="2">
        <f>A29+Calculations!$B$4</f>
        <v>29.6</v>
      </c>
      <c r="B30" s="1">
        <v>0.28235294117647058</v>
      </c>
      <c r="C30" s="1">
        <v>0.29019607843137257</v>
      </c>
      <c r="D30" s="1">
        <v>0.29019607843137257</v>
      </c>
      <c r="E30" s="1">
        <v>0.29411764705882354</v>
      </c>
      <c r="F30" s="1">
        <v>0.29019607843137257</v>
      </c>
      <c r="G30" s="1">
        <v>0.27450980392156865</v>
      </c>
      <c r="H30" s="1">
        <v>0.25882352941176473</v>
      </c>
      <c r="I30" s="1">
        <v>0.26666666666666666</v>
      </c>
      <c r="J30" s="1">
        <v>0.26666666666666666</v>
      </c>
      <c r="K30" s="1">
        <v>0.27058823529411763</v>
      </c>
      <c r="L30" s="1">
        <v>0.27843137254901962</v>
      </c>
      <c r="M30" s="1">
        <v>0.25490196078431371</v>
      </c>
      <c r="N30" s="1">
        <v>0.2627450980392157</v>
      </c>
      <c r="O30" s="1">
        <v>0.26666666666666666</v>
      </c>
      <c r="P30" s="1">
        <v>0.28235294117647058</v>
      </c>
      <c r="Q30" s="1">
        <v>0.29019607843137257</v>
      </c>
      <c r="R30" s="1">
        <v>0.25882352941176473</v>
      </c>
      <c r="S30" s="1">
        <v>0.26666666666666666</v>
      </c>
      <c r="T30" s="1">
        <v>0.24705882352941178</v>
      </c>
      <c r="U30" s="1">
        <v>0.27450980392156865</v>
      </c>
      <c r="V30" s="1">
        <v>0.27450980392156865</v>
      </c>
      <c r="W30" s="1">
        <v>0.27450980392156865</v>
      </c>
      <c r="X30" s="1">
        <v>0.28235294117647058</v>
      </c>
      <c r="Y30" s="1">
        <v>0.26666666666666666</v>
      </c>
      <c r="Z30" s="1">
        <v>0.27450980392156865</v>
      </c>
      <c r="AA30" s="1">
        <v>0.2627450980392157</v>
      </c>
      <c r="AB30" s="1">
        <v>0.27450980392156865</v>
      </c>
      <c r="AC30" s="1">
        <v>0.27843137254901962</v>
      </c>
      <c r="AD30" s="1">
        <v>0.26666666666666666</v>
      </c>
      <c r="AE30" s="1">
        <v>0.27450980392156865</v>
      </c>
      <c r="AF30" s="1">
        <v>0.27843137254901962</v>
      </c>
      <c r="AG30" s="1">
        <v>0.27450980392156865</v>
      </c>
    </row>
    <row r="31" spans="1:33">
      <c r="A31" s="2">
        <f>A30+Calculations!$B$4</f>
        <v>30.6</v>
      </c>
      <c r="B31" s="1">
        <v>0.25882352941176473</v>
      </c>
      <c r="C31" s="1">
        <v>0.26666666666666666</v>
      </c>
      <c r="D31" s="1">
        <v>0.27450980392156865</v>
      </c>
      <c r="E31" s="1">
        <v>0.27450980392156865</v>
      </c>
      <c r="F31" s="1">
        <v>0.27450980392156865</v>
      </c>
      <c r="G31" s="1">
        <v>0.25882352941176473</v>
      </c>
      <c r="H31" s="1">
        <v>0.24313725490196078</v>
      </c>
      <c r="I31" s="1">
        <v>0.24705882352941178</v>
      </c>
      <c r="J31" s="1">
        <v>0.24705882352941178</v>
      </c>
      <c r="K31" s="1">
        <v>0.2627450980392157</v>
      </c>
      <c r="L31" s="1">
        <v>0.25098039215686274</v>
      </c>
      <c r="M31" s="1">
        <v>0.24313725490196078</v>
      </c>
      <c r="N31" s="1">
        <v>0.25098039215686274</v>
      </c>
      <c r="O31" s="1">
        <v>0.24705882352941178</v>
      </c>
      <c r="P31" s="1">
        <v>0.2627450980392157</v>
      </c>
      <c r="Q31" s="1">
        <v>0.27058823529411763</v>
      </c>
      <c r="R31" s="1">
        <v>0.23921568627450981</v>
      </c>
      <c r="S31" s="1">
        <v>0.25882352941176473</v>
      </c>
      <c r="T31" s="1">
        <v>0.24313725490196078</v>
      </c>
      <c r="U31" s="1">
        <v>0.25098039215686274</v>
      </c>
      <c r="V31" s="1">
        <v>0.25490196078431371</v>
      </c>
      <c r="W31" s="1">
        <v>0.25098039215686274</v>
      </c>
      <c r="X31" s="1">
        <v>0.2627450980392157</v>
      </c>
      <c r="Y31" s="1">
        <v>0.24313725490196078</v>
      </c>
      <c r="Z31" s="1">
        <v>0.27058823529411763</v>
      </c>
      <c r="AA31" s="1">
        <v>0.24705882352941178</v>
      </c>
      <c r="AB31" s="1">
        <v>0.26666666666666666</v>
      </c>
      <c r="AC31" s="1">
        <v>0.25882352941176473</v>
      </c>
      <c r="AD31" s="1">
        <v>0.25490196078431371</v>
      </c>
      <c r="AE31" s="1">
        <v>0.25098039215686274</v>
      </c>
      <c r="AF31" s="1">
        <v>0.25882352941176473</v>
      </c>
      <c r="AG31" s="1">
        <v>0.25882352941176473</v>
      </c>
    </row>
    <row r="32" spans="1:33">
      <c r="A32" s="2">
        <f>A31+Calculations!$B$4</f>
        <v>31.6</v>
      </c>
      <c r="B32" s="1">
        <v>0.24705882352941178</v>
      </c>
      <c r="C32" s="1">
        <v>0.25098039215686274</v>
      </c>
      <c r="D32" s="1">
        <v>0.26666666666666666</v>
      </c>
      <c r="E32" s="1">
        <v>0.2627450980392157</v>
      </c>
      <c r="F32" s="1">
        <v>0.25882352941176473</v>
      </c>
      <c r="G32" s="1">
        <v>0.25098039215686274</v>
      </c>
      <c r="H32" s="1">
        <v>0.22745098039215686</v>
      </c>
      <c r="I32" s="1">
        <v>0.23137254901960785</v>
      </c>
      <c r="J32" s="1">
        <v>0.23137254901960785</v>
      </c>
      <c r="K32" s="1">
        <v>0.23921568627450981</v>
      </c>
      <c r="L32" s="1">
        <v>0.23921568627450981</v>
      </c>
      <c r="M32" s="1">
        <v>0.22352941176470589</v>
      </c>
      <c r="N32" s="1">
        <v>0.23137254901960785</v>
      </c>
      <c r="O32" s="1">
        <v>0.23137254901960785</v>
      </c>
      <c r="P32" s="1">
        <v>0.24313725490196078</v>
      </c>
      <c r="Q32" s="1">
        <v>0.25882352941176473</v>
      </c>
      <c r="R32" s="1">
        <v>0.22352941176470589</v>
      </c>
      <c r="S32" s="1">
        <v>0.23921568627450981</v>
      </c>
      <c r="T32" s="1">
        <v>0.21568627450980393</v>
      </c>
      <c r="U32" s="1">
        <v>0.23529411764705882</v>
      </c>
      <c r="V32" s="1">
        <v>0.23529411764705882</v>
      </c>
      <c r="W32" s="1">
        <v>0.22352941176470589</v>
      </c>
      <c r="X32" s="1">
        <v>0.23529411764705882</v>
      </c>
      <c r="Y32" s="1">
        <v>0.23137254901960785</v>
      </c>
      <c r="Z32" s="1">
        <v>0.25882352941176473</v>
      </c>
      <c r="AA32" s="1">
        <v>0.23529411764705882</v>
      </c>
      <c r="AB32" s="1">
        <v>0.23137254901960785</v>
      </c>
      <c r="AC32" s="1">
        <v>0.22745098039215686</v>
      </c>
      <c r="AD32" s="1">
        <v>0.23529411764705882</v>
      </c>
      <c r="AE32" s="1">
        <v>0.23921568627450981</v>
      </c>
      <c r="AF32" s="1">
        <v>0.24313725490196078</v>
      </c>
      <c r="AG32" s="1">
        <v>0.24313725490196078</v>
      </c>
    </row>
    <row r="33" spans="1:33">
      <c r="A33" s="2">
        <f>A32+Calculations!$B$4</f>
        <v>32.6</v>
      </c>
      <c r="B33" s="1">
        <v>0.23137254901960785</v>
      </c>
      <c r="C33" s="1">
        <v>0.23529411764705882</v>
      </c>
      <c r="D33" s="1">
        <v>0.24313725490196078</v>
      </c>
      <c r="E33" s="1">
        <v>0.24705882352941178</v>
      </c>
      <c r="F33" s="1">
        <v>0.24313725490196078</v>
      </c>
      <c r="G33" s="1">
        <v>0.23921568627450981</v>
      </c>
      <c r="H33" s="1">
        <v>0.21568627450980393</v>
      </c>
      <c r="I33" s="1">
        <v>0.21568627450980393</v>
      </c>
      <c r="J33" s="1">
        <v>0.22352941176470589</v>
      </c>
      <c r="K33" s="1">
        <v>0.21568627450980393</v>
      </c>
      <c r="L33" s="1">
        <v>0.22745098039215686</v>
      </c>
      <c r="M33" s="1">
        <v>0.21176470588235294</v>
      </c>
      <c r="N33" s="1">
        <v>0.21176470588235294</v>
      </c>
      <c r="O33" s="1">
        <v>0.21176470588235294</v>
      </c>
      <c r="P33" s="1">
        <v>0.23137254901960785</v>
      </c>
      <c r="Q33" s="1">
        <v>0.22745098039215686</v>
      </c>
      <c r="R33" s="1">
        <v>0.20784313725490197</v>
      </c>
      <c r="S33" s="1">
        <v>0.22352941176470589</v>
      </c>
      <c r="T33" s="1">
        <v>0.2</v>
      </c>
      <c r="U33" s="1">
        <v>0.21568627450980393</v>
      </c>
      <c r="V33" s="1">
        <v>0.2196078431372549</v>
      </c>
      <c r="W33" s="1">
        <v>0.22745098039215686</v>
      </c>
      <c r="X33" s="1">
        <v>0.22745098039215686</v>
      </c>
      <c r="Y33" s="1">
        <v>0.21568627450980393</v>
      </c>
      <c r="Z33" s="1">
        <v>0.24313725490196078</v>
      </c>
      <c r="AA33" s="1">
        <v>0.22352941176470589</v>
      </c>
      <c r="AB33" s="1">
        <v>0.2196078431372549</v>
      </c>
      <c r="AC33" s="1">
        <v>0.22745098039215686</v>
      </c>
      <c r="AD33" s="1">
        <v>0.21568627450980393</v>
      </c>
      <c r="AE33" s="1">
        <v>0.2196078431372549</v>
      </c>
      <c r="AF33" s="1">
        <v>0.22745098039215686</v>
      </c>
      <c r="AG33" s="1">
        <v>0.22352941176470589</v>
      </c>
    </row>
    <row r="34" spans="1:33">
      <c r="A34" s="2">
        <f>A33+Calculations!$B$4</f>
        <v>33.6</v>
      </c>
      <c r="B34" s="1">
        <v>0.2196078431372549</v>
      </c>
      <c r="C34" s="1">
        <v>0.2196078431372549</v>
      </c>
      <c r="D34" s="1">
        <v>0.22745098039215686</v>
      </c>
      <c r="E34" s="1">
        <v>0.23921568627450981</v>
      </c>
      <c r="F34" s="1">
        <v>0.23529411764705882</v>
      </c>
      <c r="G34" s="1">
        <v>0.22745098039215686</v>
      </c>
      <c r="H34" s="1">
        <v>0.20392156862745098</v>
      </c>
      <c r="I34" s="1">
        <v>0.2</v>
      </c>
      <c r="J34" s="1">
        <v>0.20784313725490197</v>
      </c>
      <c r="K34" s="1">
        <v>0.21568627450980393</v>
      </c>
      <c r="L34" s="1">
        <v>0.22352941176470589</v>
      </c>
      <c r="M34" s="1">
        <v>0.19607843137254902</v>
      </c>
      <c r="N34" s="1">
        <v>0.19607843137254902</v>
      </c>
      <c r="O34" s="1">
        <v>0.20392156862745098</v>
      </c>
      <c r="P34" s="1">
        <v>0.21568627450980393</v>
      </c>
      <c r="Q34" s="1">
        <v>0.21176470588235294</v>
      </c>
      <c r="R34" s="1">
        <v>0.2</v>
      </c>
      <c r="S34" s="1">
        <v>0.20784313725490197</v>
      </c>
      <c r="T34" s="1">
        <v>0.18431372549019609</v>
      </c>
      <c r="U34" s="1">
        <v>0.20392156862745098</v>
      </c>
      <c r="V34" s="1">
        <v>0.2</v>
      </c>
      <c r="W34" s="1">
        <v>0.20392156862745098</v>
      </c>
      <c r="X34" s="1">
        <v>0.21568627450980393</v>
      </c>
      <c r="Y34" s="1">
        <v>0.2</v>
      </c>
      <c r="Z34" s="1">
        <v>0.22745098039215686</v>
      </c>
      <c r="AA34" s="1">
        <v>0.2196078431372549</v>
      </c>
      <c r="AB34" s="1">
        <v>0.2</v>
      </c>
      <c r="AC34" s="1">
        <v>0.2196078431372549</v>
      </c>
      <c r="AD34" s="1">
        <v>0.20784313725490197</v>
      </c>
      <c r="AE34" s="1">
        <v>0.21568627450980393</v>
      </c>
      <c r="AF34" s="1">
        <v>0.2196078431372549</v>
      </c>
      <c r="AG34" s="1">
        <v>0.20784313725490197</v>
      </c>
    </row>
    <row r="35" spans="1:33">
      <c r="A35" s="2">
        <f>A34+Calculations!$B$4</f>
        <v>34.6</v>
      </c>
      <c r="B35" s="1">
        <v>0.21176470588235294</v>
      </c>
      <c r="C35" s="1">
        <v>0.20392156862745098</v>
      </c>
      <c r="D35" s="1">
        <v>0.21568627450980393</v>
      </c>
      <c r="E35" s="1">
        <v>0.2196078431372549</v>
      </c>
      <c r="F35" s="1">
        <v>0.22352941176470589</v>
      </c>
      <c r="G35" s="1">
        <v>0.2</v>
      </c>
      <c r="H35" s="1">
        <v>0.19215686274509805</v>
      </c>
      <c r="I35" s="1">
        <v>0.1803921568627451</v>
      </c>
      <c r="J35" s="1">
        <v>0.19215686274509805</v>
      </c>
      <c r="K35" s="1">
        <v>0.18431372549019609</v>
      </c>
      <c r="L35" s="1">
        <v>0.19215686274509805</v>
      </c>
      <c r="M35" s="1">
        <v>0.18431372549019609</v>
      </c>
      <c r="N35" s="1">
        <v>0.18431372549019609</v>
      </c>
      <c r="O35" s="1">
        <v>0.19215686274509805</v>
      </c>
      <c r="P35" s="1">
        <v>0.2</v>
      </c>
      <c r="Q35" s="1">
        <v>0.20784313725490197</v>
      </c>
      <c r="R35" s="1">
        <v>0.18431372549019609</v>
      </c>
      <c r="S35" s="1">
        <v>0.19215686274509805</v>
      </c>
      <c r="T35" s="1">
        <v>0.1803921568627451</v>
      </c>
      <c r="U35" s="1">
        <v>0.19215686274509805</v>
      </c>
      <c r="V35" s="1">
        <v>0.18431372549019609</v>
      </c>
      <c r="W35" s="1">
        <v>0.18431372549019609</v>
      </c>
      <c r="X35" s="1">
        <v>0.20392156862745098</v>
      </c>
      <c r="Y35" s="1">
        <v>0.18823529411764706</v>
      </c>
      <c r="Z35" s="1">
        <v>0.21176470588235294</v>
      </c>
      <c r="AA35" s="1">
        <v>0.19215686274509805</v>
      </c>
      <c r="AB35" s="1">
        <v>0.2</v>
      </c>
      <c r="AC35" s="1">
        <v>0.21176470588235294</v>
      </c>
      <c r="AD35" s="1">
        <v>0.2</v>
      </c>
      <c r="AE35" s="1">
        <v>0.18431372549019609</v>
      </c>
      <c r="AF35" s="1">
        <v>0.20784313725490197</v>
      </c>
      <c r="AG35" s="1">
        <v>0.2</v>
      </c>
    </row>
    <row r="36" spans="1:33">
      <c r="A36" s="2">
        <f>A35+Calculations!$B$4</f>
        <v>35.6</v>
      </c>
      <c r="B36" s="1">
        <v>0.2</v>
      </c>
      <c r="C36" s="1">
        <v>0.19607843137254902</v>
      </c>
      <c r="D36" s="1">
        <v>0.20392156862745098</v>
      </c>
      <c r="E36" s="1">
        <v>0.20392156862745098</v>
      </c>
      <c r="F36" s="1">
        <v>0.20392156862745098</v>
      </c>
      <c r="G36" s="1">
        <v>0.20392156862745098</v>
      </c>
      <c r="H36" s="1">
        <v>0.17647058823529413</v>
      </c>
      <c r="I36" s="1">
        <v>0.16862745098039217</v>
      </c>
      <c r="J36" s="1">
        <v>0.18431372549019609</v>
      </c>
      <c r="K36" s="1">
        <v>0.18431372549019609</v>
      </c>
      <c r="L36" s="1">
        <v>0.19215686274509805</v>
      </c>
      <c r="M36" s="1">
        <v>0.16862745098039217</v>
      </c>
      <c r="N36" s="1">
        <v>0.16862745098039217</v>
      </c>
      <c r="O36" s="1">
        <v>0.1803921568627451</v>
      </c>
      <c r="P36" s="1">
        <v>0.19215686274509805</v>
      </c>
      <c r="Q36" s="1">
        <v>0.18431372549019609</v>
      </c>
      <c r="R36" s="1">
        <v>0.17647058823529413</v>
      </c>
      <c r="S36" s="1">
        <v>0.17647058823529413</v>
      </c>
      <c r="T36" s="1">
        <v>0.1803921568627451</v>
      </c>
      <c r="U36" s="1">
        <v>0.18431372549019609</v>
      </c>
      <c r="V36" s="1">
        <v>0.17647058823529413</v>
      </c>
      <c r="W36" s="1">
        <v>0.18823529411764706</v>
      </c>
      <c r="X36" s="1">
        <v>0.18431372549019609</v>
      </c>
      <c r="Y36" s="1">
        <v>0.17647058823529413</v>
      </c>
      <c r="Z36" s="1">
        <v>0.18431372549019609</v>
      </c>
      <c r="AA36" s="1">
        <v>0.18823529411764706</v>
      </c>
      <c r="AB36" s="1">
        <v>0.18823529411764706</v>
      </c>
      <c r="AC36" s="1">
        <v>0.2</v>
      </c>
      <c r="AD36" s="1">
        <v>0.18431372549019609</v>
      </c>
      <c r="AE36" s="1">
        <v>0.17254901960784313</v>
      </c>
      <c r="AF36" s="1">
        <v>0.2</v>
      </c>
      <c r="AG36" s="1">
        <v>0.18823529411764706</v>
      </c>
    </row>
    <row r="37" spans="1:33">
      <c r="A37" s="2">
        <f>A36+Calculations!$B$4</f>
        <v>36.6</v>
      </c>
      <c r="B37" s="1">
        <v>0.18431372549019609</v>
      </c>
      <c r="C37" s="1">
        <v>0.18431372549019609</v>
      </c>
      <c r="D37" s="1">
        <v>0.18823529411764706</v>
      </c>
      <c r="E37" s="1">
        <v>0.19215686274509805</v>
      </c>
      <c r="F37" s="1">
        <v>0.19607843137254902</v>
      </c>
      <c r="G37" s="1">
        <v>0.19607843137254902</v>
      </c>
      <c r="H37" s="1">
        <v>0.17647058823529413</v>
      </c>
      <c r="I37" s="1">
        <v>0.16078431372549021</v>
      </c>
      <c r="J37" s="1">
        <v>0.17647058823529413</v>
      </c>
      <c r="K37" s="1">
        <v>0.16862745098039217</v>
      </c>
      <c r="L37" s="1">
        <v>0.1803921568627451</v>
      </c>
      <c r="M37" s="1">
        <v>0.16862745098039217</v>
      </c>
      <c r="N37" s="1">
        <v>0.16078431372549021</v>
      </c>
      <c r="O37" s="1">
        <v>0.16862745098039217</v>
      </c>
      <c r="P37" s="1">
        <v>0.18431372549019609</v>
      </c>
      <c r="Q37" s="1">
        <v>0.17647058823529413</v>
      </c>
      <c r="R37" s="1">
        <v>0.16078431372549021</v>
      </c>
      <c r="S37" s="1">
        <v>0.16862745098039217</v>
      </c>
      <c r="T37" s="1">
        <v>0.16470588235294117</v>
      </c>
      <c r="U37" s="1">
        <v>0.17647058823529413</v>
      </c>
      <c r="V37" s="1">
        <v>0.16862745098039217</v>
      </c>
      <c r="W37" s="1">
        <v>0.17254901960784313</v>
      </c>
      <c r="X37" s="1">
        <v>0.16862745098039217</v>
      </c>
      <c r="Y37" s="1">
        <v>0.16078431372549021</v>
      </c>
      <c r="Z37" s="1">
        <v>0.17254901960784313</v>
      </c>
      <c r="AA37" s="1">
        <v>0.16862745098039217</v>
      </c>
      <c r="AB37" s="1">
        <v>0.17254901960784313</v>
      </c>
      <c r="AC37" s="1">
        <v>0.18823529411764706</v>
      </c>
      <c r="AD37" s="1">
        <v>0.1803921568627451</v>
      </c>
      <c r="AE37" s="1">
        <v>0.16862745098039217</v>
      </c>
      <c r="AF37" s="1">
        <v>0.18823529411764706</v>
      </c>
      <c r="AG37" s="1">
        <v>0.17647058823529413</v>
      </c>
    </row>
    <row r="38" spans="1:33">
      <c r="A38" s="2">
        <f>A37+Calculations!$B$4</f>
        <v>37.6</v>
      </c>
      <c r="B38" s="1">
        <v>0.16862745098039217</v>
      </c>
      <c r="C38" s="1">
        <v>0.17647058823529413</v>
      </c>
      <c r="D38" s="1">
        <v>0.1803921568627451</v>
      </c>
      <c r="E38" s="1">
        <v>0.18431372549019609</v>
      </c>
      <c r="F38" s="1">
        <v>0.18431372549019609</v>
      </c>
      <c r="G38" s="1">
        <v>0.18431372549019609</v>
      </c>
      <c r="H38" s="1">
        <v>0.16470588235294117</v>
      </c>
      <c r="I38" s="1">
        <v>0.14901960784313725</v>
      </c>
      <c r="J38" s="1">
        <v>0.16078431372549021</v>
      </c>
      <c r="K38" s="1">
        <v>0.15294117647058825</v>
      </c>
      <c r="L38" s="1">
        <v>0.17254901960784313</v>
      </c>
      <c r="M38" s="1">
        <v>0.16078431372549021</v>
      </c>
      <c r="N38" s="1">
        <v>0.15686274509803921</v>
      </c>
      <c r="O38" s="1">
        <v>0.16078431372549021</v>
      </c>
      <c r="P38" s="1">
        <v>0.17647058823529413</v>
      </c>
      <c r="Q38" s="1">
        <v>0.16862745098039217</v>
      </c>
      <c r="R38" s="1">
        <v>0.15294117647058825</v>
      </c>
      <c r="S38" s="1">
        <v>0.16078431372549021</v>
      </c>
      <c r="T38" s="1">
        <v>0.15294117647058825</v>
      </c>
      <c r="U38" s="1">
        <v>0.16470588235294117</v>
      </c>
      <c r="V38" s="1">
        <v>0.16078431372549021</v>
      </c>
      <c r="W38" s="1">
        <v>0.16078431372549021</v>
      </c>
      <c r="X38" s="1">
        <v>0.16078431372549021</v>
      </c>
      <c r="Y38" s="1">
        <v>0.15294117647058825</v>
      </c>
      <c r="Z38" s="1">
        <v>0.17254901960784313</v>
      </c>
      <c r="AA38" s="1">
        <v>0.16470588235294117</v>
      </c>
      <c r="AB38" s="1">
        <v>0.16862745098039217</v>
      </c>
      <c r="AC38" s="1">
        <v>0.17647058823529413</v>
      </c>
      <c r="AD38" s="1">
        <v>0.18431372549019609</v>
      </c>
      <c r="AE38" s="1">
        <v>0.15294117647058825</v>
      </c>
      <c r="AF38" s="1">
        <v>0.17647058823529413</v>
      </c>
      <c r="AG38" s="1">
        <v>0.15686274509803921</v>
      </c>
    </row>
    <row r="39" spans="1:33">
      <c r="A39" s="2">
        <f>A38+Calculations!$B$4</f>
        <v>38.6</v>
      </c>
      <c r="B39" s="1">
        <v>0.16078431372549021</v>
      </c>
      <c r="C39" s="1">
        <v>0.16470588235294117</v>
      </c>
      <c r="D39" s="1">
        <v>0.16470588235294117</v>
      </c>
      <c r="E39" s="1">
        <v>0.1803921568627451</v>
      </c>
      <c r="F39" s="1">
        <v>0.18431372549019609</v>
      </c>
      <c r="G39" s="1">
        <v>0.17647058823529413</v>
      </c>
      <c r="H39" s="1">
        <v>0.15686274509803921</v>
      </c>
      <c r="I39" s="1">
        <v>0.13725490196078433</v>
      </c>
      <c r="J39" s="1">
        <v>0.14901960784313725</v>
      </c>
      <c r="K39" s="1">
        <v>0.15294117647058825</v>
      </c>
      <c r="L39" s="1">
        <v>0.16470588235294117</v>
      </c>
      <c r="M39" s="1">
        <v>0.15294117647058825</v>
      </c>
      <c r="N39" s="1">
        <v>0.14509803921568629</v>
      </c>
      <c r="O39" s="1">
        <v>0.14509803921568629</v>
      </c>
      <c r="P39" s="1">
        <v>0.16470588235294117</v>
      </c>
      <c r="Q39" s="1">
        <v>0.16862745098039217</v>
      </c>
      <c r="R39" s="1">
        <v>0.14509803921568629</v>
      </c>
      <c r="S39" s="1">
        <v>0.15294117647058825</v>
      </c>
      <c r="T39" s="1">
        <v>0.14509803921568629</v>
      </c>
      <c r="U39" s="1">
        <v>0.15294117647058825</v>
      </c>
      <c r="V39" s="1">
        <v>0.14509803921568629</v>
      </c>
      <c r="W39" s="1">
        <v>0.15294117647058825</v>
      </c>
      <c r="X39" s="1">
        <v>0.15294117647058825</v>
      </c>
      <c r="Y39" s="1">
        <v>0.14509803921568629</v>
      </c>
      <c r="Z39" s="1">
        <v>0.15294117647058825</v>
      </c>
      <c r="AA39" s="1">
        <v>0.15294117647058825</v>
      </c>
      <c r="AB39" s="1">
        <v>0.15686274509803921</v>
      </c>
      <c r="AC39" s="1">
        <v>0.16078431372549021</v>
      </c>
      <c r="AD39" s="1">
        <v>0.16078431372549021</v>
      </c>
      <c r="AE39" s="1">
        <v>0.14509803921568629</v>
      </c>
      <c r="AF39" s="1">
        <v>0.16862745098039217</v>
      </c>
      <c r="AG39" s="1">
        <v>0.16078431372549021</v>
      </c>
    </row>
    <row r="40" spans="1:33">
      <c r="A40" s="2">
        <f>A39+Calculations!$B$4</f>
        <v>39.6</v>
      </c>
      <c r="B40" s="1">
        <v>0.15294117647058825</v>
      </c>
      <c r="C40" s="1">
        <v>0.16078431372549021</v>
      </c>
      <c r="D40" s="1">
        <v>0.15686274509803921</v>
      </c>
      <c r="E40" s="1">
        <v>0.16862745098039217</v>
      </c>
      <c r="F40" s="1">
        <v>0.16862745098039217</v>
      </c>
      <c r="G40" s="1">
        <v>0.16078431372549021</v>
      </c>
      <c r="H40" s="1">
        <v>0.14509803921568629</v>
      </c>
      <c r="I40" s="1">
        <v>0.12941176470588237</v>
      </c>
      <c r="J40" s="1">
        <v>0.13725490196078433</v>
      </c>
      <c r="K40" s="1">
        <v>0.14117647058823529</v>
      </c>
      <c r="L40" s="1">
        <v>0.16470588235294117</v>
      </c>
      <c r="M40" s="1">
        <v>0.14509803921568629</v>
      </c>
      <c r="N40" s="1">
        <v>0.14509803921568629</v>
      </c>
      <c r="O40" s="1">
        <v>0.13725490196078433</v>
      </c>
      <c r="P40" s="1">
        <v>0.15294117647058825</v>
      </c>
      <c r="Q40" s="1">
        <v>0.14509803921568629</v>
      </c>
      <c r="R40" s="1">
        <v>0.13725490196078433</v>
      </c>
      <c r="S40" s="1">
        <v>0.15294117647058825</v>
      </c>
      <c r="T40" s="1">
        <v>0.14117647058823529</v>
      </c>
      <c r="U40" s="1">
        <v>0.14509803921568629</v>
      </c>
      <c r="V40" s="1">
        <v>0.13725490196078433</v>
      </c>
      <c r="W40" s="1">
        <v>0.15294117647058825</v>
      </c>
      <c r="X40" s="1">
        <v>0.15686274509803921</v>
      </c>
      <c r="Y40" s="1">
        <v>0.14117647058823529</v>
      </c>
      <c r="Z40" s="1">
        <v>0.15294117647058825</v>
      </c>
      <c r="AA40" s="1">
        <v>0.14509803921568629</v>
      </c>
      <c r="AB40" s="1">
        <v>0.15294117647058825</v>
      </c>
      <c r="AC40" s="1">
        <v>0.14901960784313725</v>
      </c>
      <c r="AD40" s="1">
        <v>0.15294117647058825</v>
      </c>
      <c r="AE40" s="1">
        <v>0.14901960784313725</v>
      </c>
      <c r="AF40" s="1">
        <v>0.15686274509803921</v>
      </c>
      <c r="AG40" s="1">
        <v>0.14117647058823529</v>
      </c>
    </row>
    <row r="41" spans="1:33">
      <c r="A41" s="2">
        <f>A40+Calculations!$B$4</f>
        <v>40.6</v>
      </c>
      <c r="B41" s="1">
        <v>0.14509803921568629</v>
      </c>
      <c r="C41" s="1">
        <v>0.16078431372549021</v>
      </c>
      <c r="D41" s="1">
        <v>0.15294117647058825</v>
      </c>
      <c r="E41" s="1">
        <v>0.16470588235294117</v>
      </c>
      <c r="F41" s="1">
        <v>0.16078431372549021</v>
      </c>
      <c r="G41" s="1">
        <v>0.16078431372549021</v>
      </c>
      <c r="H41" s="1">
        <v>0.13725490196078433</v>
      </c>
      <c r="I41" s="1">
        <v>0.12549019607843137</v>
      </c>
      <c r="J41" s="1">
        <v>0.13725490196078433</v>
      </c>
      <c r="K41" s="1">
        <v>0.12941176470588237</v>
      </c>
      <c r="L41" s="1">
        <v>0.14901960784313725</v>
      </c>
      <c r="M41" s="1">
        <v>0.14117647058823529</v>
      </c>
      <c r="N41" s="1">
        <v>0.12941176470588237</v>
      </c>
      <c r="O41" s="1">
        <v>0.12941176470588237</v>
      </c>
      <c r="P41" s="1">
        <v>0.14509803921568629</v>
      </c>
      <c r="Q41" s="1">
        <v>0.13725490196078433</v>
      </c>
      <c r="R41" s="1">
        <v>0.12941176470588237</v>
      </c>
      <c r="S41" s="1">
        <v>0.14117647058823529</v>
      </c>
      <c r="T41" s="1">
        <v>0.12941176470588237</v>
      </c>
      <c r="U41" s="1">
        <v>0.14509803921568629</v>
      </c>
      <c r="V41" s="1">
        <v>0.13725490196078433</v>
      </c>
      <c r="W41" s="1">
        <v>0.14509803921568629</v>
      </c>
      <c r="X41" s="1">
        <v>0.13725490196078433</v>
      </c>
      <c r="Y41" s="1">
        <v>0.13333333333333333</v>
      </c>
      <c r="Z41" s="1">
        <v>0.14509803921568629</v>
      </c>
      <c r="AA41" s="1">
        <v>0.14117647058823529</v>
      </c>
      <c r="AB41" s="1">
        <v>0.14509803921568629</v>
      </c>
      <c r="AC41" s="1">
        <v>0.14509803921568629</v>
      </c>
      <c r="AD41" s="1">
        <v>0.14509803921568629</v>
      </c>
      <c r="AE41" s="1">
        <v>0.12549019607843137</v>
      </c>
      <c r="AF41" s="1">
        <v>0.14509803921568629</v>
      </c>
      <c r="AG41" s="1">
        <v>0.12941176470588237</v>
      </c>
    </row>
    <row r="42" spans="1:33">
      <c r="A42" s="2">
        <f>A41+Calculations!$B$4</f>
        <v>41.6</v>
      </c>
      <c r="B42" s="1">
        <v>0.14509803921568629</v>
      </c>
      <c r="C42" s="1">
        <v>0.14901960784313725</v>
      </c>
      <c r="D42" s="1">
        <v>0.14117647058823529</v>
      </c>
      <c r="E42" s="1">
        <v>0.14509803921568629</v>
      </c>
      <c r="F42" s="1">
        <v>0.15294117647058825</v>
      </c>
      <c r="G42" s="1">
        <v>0.16078431372549021</v>
      </c>
      <c r="H42" s="1">
        <v>0.12941176470588237</v>
      </c>
      <c r="I42" s="1">
        <v>0.12156862745098039</v>
      </c>
      <c r="J42" s="1">
        <v>0.12156862745098039</v>
      </c>
      <c r="K42" s="1">
        <v>0.12549019607843137</v>
      </c>
      <c r="L42" s="1">
        <v>0.14509803921568629</v>
      </c>
      <c r="M42" s="1">
        <v>0.13333333333333333</v>
      </c>
      <c r="N42" s="1">
        <v>0.12156862745098039</v>
      </c>
      <c r="O42" s="1">
        <v>0.11764705882352941</v>
      </c>
      <c r="P42" s="1">
        <v>0.13725490196078433</v>
      </c>
      <c r="Q42" s="1">
        <v>0.12941176470588237</v>
      </c>
      <c r="R42" s="1">
        <v>0.12941176470588237</v>
      </c>
      <c r="S42" s="1">
        <v>0.12941176470588237</v>
      </c>
      <c r="T42" s="1">
        <v>0.12156862745098039</v>
      </c>
      <c r="U42" s="1">
        <v>0.13333333333333333</v>
      </c>
      <c r="V42" s="1">
        <v>0.12941176470588237</v>
      </c>
      <c r="W42" s="1">
        <v>0.14509803921568629</v>
      </c>
      <c r="X42" s="1">
        <v>0.14509803921568629</v>
      </c>
      <c r="Y42" s="1">
        <v>0.12941176470588237</v>
      </c>
      <c r="Z42" s="1">
        <v>0.13725490196078433</v>
      </c>
      <c r="AA42" s="1">
        <v>0.13333333333333333</v>
      </c>
      <c r="AB42" s="1">
        <v>0.13725490196078433</v>
      </c>
      <c r="AC42" s="1">
        <v>0.12156862745098039</v>
      </c>
      <c r="AD42" s="1">
        <v>0.13333333333333333</v>
      </c>
      <c r="AE42" s="1">
        <v>0.12156862745098039</v>
      </c>
      <c r="AF42" s="1">
        <v>0.13725490196078433</v>
      </c>
      <c r="AG42" s="1">
        <v>0.12156862745098039</v>
      </c>
    </row>
    <row r="43" spans="1:33">
      <c r="A43" s="2">
        <f>A42+Calculations!$B$4</f>
        <v>42.6</v>
      </c>
      <c r="B43" s="1">
        <v>0.13725490196078433</v>
      </c>
      <c r="C43" s="1">
        <v>0.14117647058823529</v>
      </c>
      <c r="D43" s="1">
        <v>0.13725490196078433</v>
      </c>
      <c r="E43" s="1">
        <v>0.13725490196078433</v>
      </c>
      <c r="F43" s="1">
        <v>0.14509803921568629</v>
      </c>
      <c r="G43" s="1">
        <v>0.14901960784313725</v>
      </c>
      <c r="H43" s="1">
        <v>0.11764705882352941</v>
      </c>
      <c r="I43" s="1">
        <v>0.11372549019607843</v>
      </c>
      <c r="J43" s="1">
        <v>0.12156862745098039</v>
      </c>
      <c r="K43" s="1">
        <v>0.11764705882352941</v>
      </c>
      <c r="L43" s="1">
        <v>0.13725490196078433</v>
      </c>
      <c r="M43" s="1">
        <v>0.12156862745098039</v>
      </c>
      <c r="N43" s="1">
        <v>0.12156862745098039</v>
      </c>
      <c r="O43" s="1">
        <v>0.11372549019607843</v>
      </c>
      <c r="P43" s="1">
        <v>0.12941176470588237</v>
      </c>
      <c r="Q43" s="1">
        <v>0.12941176470588237</v>
      </c>
      <c r="R43" s="1">
        <v>0.11372549019607843</v>
      </c>
      <c r="S43" s="1">
        <v>0.12549019607843137</v>
      </c>
      <c r="T43" s="1">
        <v>0.12156862745098039</v>
      </c>
      <c r="U43" s="1">
        <v>0.12156862745098039</v>
      </c>
      <c r="V43" s="1">
        <v>0.12156862745098039</v>
      </c>
      <c r="W43" s="1">
        <v>0.13333333333333333</v>
      </c>
      <c r="X43" s="1">
        <v>0.12941176470588237</v>
      </c>
      <c r="Y43" s="1">
        <v>0.12156862745098039</v>
      </c>
      <c r="Z43" s="1">
        <v>0.12941176470588237</v>
      </c>
      <c r="AA43" s="1">
        <v>0.12156862745098039</v>
      </c>
      <c r="AB43" s="1">
        <v>0.12941176470588237</v>
      </c>
      <c r="AC43" s="1">
        <v>0.11372549019607843</v>
      </c>
      <c r="AD43" s="1">
        <v>0.13333333333333333</v>
      </c>
      <c r="AE43" s="1">
        <v>0.11372549019607843</v>
      </c>
      <c r="AF43" s="1">
        <v>0.12941176470588237</v>
      </c>
      <c r="AG43" s="1">
        <v>0.12156862745098039</v>
      </c>
    </row>
    <row r="44" spans="1:33">
      <c r="A44" s="2">
        <f>A43+Calculations!$B$4</f>
        <v>43.6</v>
      </c>
      <c r="B44" s="1">
        <v>0.12941176470588237</v>
      </c>
      <c r="C44" s="1">
        <v>0.13333333333333333</v>
      </c>
      <c r="D44" s="1">
        <v>0.12549019607843137</v>
      </c>
      <c r="E44" s="1">
        <v>0.13333333333333333</v>
      </c>
      <c r="F44" s="1">
        <v>0.13725490196078433</v>
      </c>
      <c r="G44" s="1">
        <v>0.14117647058823529</v>
      </c>
      <c r="H44" s="1">
        <v>0.10980392156862745</v>
      </c>
      <c r="I44" s="1">
        <v>0.10980392156862745</v>
      </c>
      <c r="J44" s="1">
        <v>0.11372549019607843</v>
      </c>
      <c r="K44" s="1">
        <v>0.11372549019607843</v>
      </c>
      <c r="L44" s="1">
        <v>0.12941176470588237</v>
      </c>
      <c r="M44" s="1">
        <v>0.11372549019607843</v>
      </c>
      <c r="N44" s="1">
        <v>0.10588235294117647</v>
      </c>
      <c r="O44" s="1">
        <v>0.10980392156862745</v>
      </c>
      <c r="P44" s="1">
        <v>0.11372549019607843</v>
      </c>
      <c r="Q44" s="1">
        <v>0.11764705882352941</v>
      </c>
      <c r="R44" s="1">
        <v>0.11372549019607843</v>
      </c>
      <c r="S44" s="1">
        <v>0.12156862745098039</v>
      </c>
      <c r="T44" s="1">
        <v>0.10588235294117647</v>
      </c>
      <c r="U44" s="1">
        <v>0.12156862745098039</v>
      </c>
      <c r="V44" s="1">
        <v>0.11764705882352941</v>
      </c>
      <c r="W44" s="1">
        <v>0.13333333333333333</v>
      </c>
      <c r="X44" s="1">
        <v>0.12549019607843137</v>
      </c>
      <c r="Y44" s="1">
        <v>0.11372549019607843</v>
      </c>
      <c r="Z44" s="1">
        <v>0.12156862745098039</v>
      </c>
      <c r="AA44" s="1">
        <v>0.11372549019607843</v>
      </c>
      <c r="AB44" s="1">
        <v>0.12156862745098039</v>
      </c>
      <c r="AC44" s="1">
        <v>0.12156862745098039</v>
      </c>
      <c r="AD44" s="1">
        <v>0.12549019607843137</v>
      </c>
      <c r="AE44" s="1">
        <v>0.11372549019607843</v>
      </c>
      <c r="AF44" s="1">
        <v>0.12941176470588237</v>
      </c>
      <c r="AG44" s="1">
        <v>0.12549019607843137</v>
      </c>
    </row>
    <row r="45" spans="1:33">
      <c r="A45" s="2">
        <f>A44+Calculations!$B$4</f>
        <v>44.6</v>
      </c>
      <c r="B45" s="1">
        <v>0.12156862745098039</v>
      </c>
      <c r="C45" s="1">
        <v>0.12941176470588237</v>
      </c>
      <c r="D45" s="1">
        <v>0.12156862745098039</v>
      </c>
      <c r="E45" s="1">
        <v>0.12156862745098039</v>
      </c>
      <c r="F45" s="1">
        <v>0.13333333333333333</v>
      </c>
      <c r="G45" s="1">
        <v>0.13725490196078433</v>
      </c>
      <c r="H45" s="1">
        <v>0.10196078431372549</v>
      </c>
      <c r="I45" s="1">
        <v>0.10588235294117647</v>
      </c>
      <c r="J45" s="1">
        <v>0.11372549019607843</v>
      </c>
      <c r="K45" s="1">
        <v>0.12156862745098039</v>
      </c>
      <c r="L45" s="1">
        <v>0.12549019607843137</v>
      </c>
      <c r="M45" s="1">
        <v>0.11372549019607843</v>
      </c>
      <c r="N45" s="1">
        <v>9.8039215686274508E-2</v>
      </c>
      <c r="O45" s="1">
        <v>0.10196078431372549</v>
      </c>
      <c r="P45" s="1">
        <v>0.10588235294117647</v>
      </c>
      <c r="Q45" s="1">
        <v>0.10980392156862745</v>
      </c>
      <c r="R45" s="1">
        <v>0.11372549019607843</v>
      </c>
      <c r="S45" s="1">
        <v>0.11764705882352941</v>
      </c>
      <c r="T45" s="1">
        <v>0.10196078431372549</v>
      </c>
      <c r="U45" s="1">
        <v>0.11372549019607843</v>
      </c>
      <c r="V45" s="1">
        <v>0.11764705882352941</v>
      </c>
      <c r="W45" s="1">
        <v>0.12941176470588237</v>
      </c>
      <c r="X45" s="1">
        <v>0.11372549019607843</v>
      </c>
      <c r="Y45" s="1">
        <v>0.10980392156862745</v>
      </c>
      <c r="Z45" s="1">
        <v>0.12941176470588237</v>
      </c>
      <c r="AA45" s="1">
        <v>0.10980392156862745</v>
      </c>
      <c r="AB45" s="1">
        <v>0.10980392156862745</v>
      </c>
      <c r="AC45" s="1">
        <v>0.10588235294117647</v>
      </c>
      <c r="AD45" s="1">
        <v>0.11764705882352941</v>
      </c>
      <c r="AE45" s="1">
        <v>0.10980392156862745</v>
      </c>
      <c r="AF45" s="1">
        <v>0.11372549019607843</v>
      </c>
      <c r="AG45" s="1">
        <v>0.11372549019607843</v>
      </c>
    </row>
    <row r="46" spans="1:33">
      <c r="A46" s="2">
        <f>A45+Calculations!$B$4</f>
        <v>45.6</v>
      </c>
      <c r="B46" s="1">
        <v>0.11372549019607843</v>
      </c>
      <c r="C46" s="1">
        <v>0.11764705882352941</v>
      </c>
      <c r="D46" s="1">
        <v>0.11372549019607843</v>
      </c>
      <c r="E46" s="1">
        <v>0.12156862745098039</v>
      </c>
      <c r="F46" s="1">
        <v>0.12156862745098039</v>
      </c>
      <c r="G46" s="1">
        <v>0.11764705882352941</v>
      </c>
      <c r="H46" s="1">
        <v>0.10196078431372549</v>
      </c>
      <c r="I46" s="1">
        <v>0.10588235294117647</v>
      </c>
      <c r="J46" s="1">
        <v>9.8039215686274508E-2</v>
      </c>
      <c r="K46" s="1">
        <v>0.10588235294117647</v>
      </c>
      <c r="L46" s="1">
        <v>0.11372549019607843</v>
      </c>
      <c r="M46" s="1">
        <v>0.11372549019607843</v>
      </c>
      <c r="N46" s="1">
        <v>9.8039215686274508E-2</v>
      </c>
      <c r="O46" s="1">
        <v>9.4117647058823528E-2</v>
      </c>
      <c r="P46" s="1">
        <v>0.10588235294117647</v>
      </c>
      <c r="Q46" s="1">
        <v>0.10588235294117647</v>
      </c>
      <c r="R46" s="1">
        <v>0.10980392156862745</v>
      </c>
      <c r="S46" s="1">
        <v>0.10588235294117647</v>
      </c>
      <c r="T46" s="1">
        <v>0.10588235294117647</v>
      </c>
      <c r="U46" s="1">
        <v>9.8039215686274508E-2</v>
      </c>
      <c r="V46" s="1">
        <v>0.10196078431372549</v>
      </c>
      <c r="W46" s="1">
        <v>0.12549019607843137</v>
      </c>
      <c r="X46" s="1">
        <v>0.10196078431372549</v>
      </c>
      <c r="Y46" s="1">
        <v>0.10588235294117647</v>
      </c>
      <c r="Z46" s="1">
        <v>0.10588235294117647</v>
      </c>
      <c r="AA46" s="1">
        <v>0.12156862745098039</v>
      </c>
      <c r="AB46" s="1">
        <v>0.10588235294117647</v>
      </c>
      <c r="AC46" s="1">
        <v>0.10588235294117647</v>
      </c>
      <c r="AD46" s="1">
        <v>0.11372549019607843</v>
      </c>
      <c r="AE46" s="1">
        <v>0.10588235294117647</v>
      </c>
      <c r="AF46" s="1">
        <v>9.8039215686274508E-2</v>
      </c>
      <c r="AG46" s="1">
        <v>0.11372549019607843</v>
      </c>
    </row>
    <row r="47" spans="1:33">
      <c r="A47" s="2">
        <f>A46+Calculations!$B$4</f>
        <v>46.6</v>
      </c>
      <c r="B47" s="1">
        <v>0.10588235294117647</v>
      </c>
      <c r="C47" s="1">
        <v>0.11372549019607843</v>
      </c>
      <c r="D47" s="1">
        <v>0.11372549019607843</v>
      </c>
      <c r="E47" s="1">
        <v>0.10980392156862745</v>
      </c>
      <c r="F47" s="1">
        <v>0.11372549019607843</v>
      </c>
      <c r="G47" s="1">
        <v>0.11372549019607843</v>
      </c>
      <c r="H47" s="1">
        <v>9.0196078431372548E-2</v>
      </c>
      <c r="I47" s="1">
        <v>9.8039215686274508E-2</v>
      </c>
      <c r="J47" s="1">
        <v>9.8039215686274508E-2</v>
      </c>
      <c r="K47" s="1">
        <v>9.8039215686274508E-2</v>
      </c>
      <c r="L47" s="1">
        <v>0.10588235294117647</v>
      </c>
      <c r="M47" s="1">
        <v>0.10980392156862745</v>
      </c>
      <c r="N47" s="1">
        <v>9.0196078431372548E-2</v>
      </c>
      <c r="O47" s="1">
        <v>9.4117647058823528E-2</v>
      </c>
      <c r="P47" s="1">
        <v>9.8039215686274508E-2</v>
      </c>
      <c r="Q47" s="1">
        <v>0.10196078431372549</v>
      </c>
      <c r="R47" s="1">
        <v>9.4117647058823528E-2</v>
      </c>
      <c r="S47" s="1">
        <v>0.10588235294117647</v>
      </c>
      <c r="T47" s="1">
        <v>0.10196078431372549</v>
      </c>
      <c r="U47" s="1">
        <v>9.8039215686274508E-2</v>
      </c>
      <c r="V47" s="1">
        <v>0.10196078431372549</v>
      </c>
      <c r="W47" s="1">
        <v>0.12156862745098039</v>
      </c>
      <c r="X47" s="1">
        <v>9.8039215686274508E-2</v>
      </c>
      <c r="Y47" s="1">
        <v>9.8039215686274508E-2</v>
      </c>
      <c r="Z47" s="1">
        <v>0.11372549019607843</v>
      </c>
      <c r="AA47" s="1">
        <v>9.4117647058823528E-2</v>
      </c>
      <c r="AB47" s="1">
        <v>0.10588235294117647</v>
      </c>
      <c r="AC47" s="1">
        <v>0.10196078431372549</v>
      </c>
      <c r="AD47" s="1">
        <v>0.10980392156862745</v>
      </c>
      <c r="AE47" s="1">
        <v>9.8039215686274508E-2</v>
      </c>
      <c r="AF47" s="1">
        <v>0.10588235294117647</v>
      </c>
      <c r="AG47" s="1">
        <v>0.10588235294117647</v>
      </c>
    </row>
    <row r="48" spans="1:33">
      <c r="A48" s="2">
        <f>A47+Calculations!$B$4</f>
        <v>47.6</v>
      </c>
      <c r="B48" s="1">
        <v>0.10980392156862745</v>
      </c>
      <c r="C48" s="1">
        <v>0.10588235294117647</v>
      </c>
      <c r="D48" s="1">
        <v>9.8039215686274508E-2</v>
      </c>
      <c r="E48" s="1">
        <v>0.10588235294117647</v>
      </c>
      <c r="F48" s="1">
        <v>0.10588235294117647</v>
      </c>
      <c r="G48" s="1">
        <v>9.8039215686274508E-2</v>
      </c>
      <c r="H48" s="1">
        <v>8.6274509803921567E-2</v>
      </c>
      <c r="I48" s="1">
        <v>9.8039215686274508E-2</v>
      </c>
      <c r="J48" s="1">
        <v>9.0196078431372548E-2</v>
      </c>
      <c r="K48" s="1">
        <v>9.0196078431372548E-2</v>
      </c>
      <c r="L48" s="1">
        <v>0.10588235294117647</v>
      </c>
      <c r="M48" s="1">
        <v>0.10588235294117647</v>
      </c>
      <c r="N48" s="1">
        <v>8.6274509803921567E-2</v>
      </c>
      <c r="O48" s="1">
        <v>8.6274509803921567E-2</v>
      </c>
      <c r="P48" s="1">
        <v>9.4117647058823528E-2</v>
      </c>
      <c r="Q48" s="1">
        <v>9.8039215686274508E-2</v>
      </c>
      <c r="R48" s="1">
        <v>8.2352941176470587E-2</v>
      </c>
      <c r="S48" s="1">
        <v>9.8039215686274508E-2</v>
      </c>
      <c r="T48" s="1">
        <v>9.4117647058823528E-2</v>
      </c>
      <c r="U48" s="1">
        <v>9.8039215686274508E-2</v>
      </c>
      <c r="V48" s="1">
        <v>9.4117647058823528E-2</v>
      </c>
      <c r="W48" s="1">
        <v>0.11372549019607843</v>
      </c>
      <c r="X48" s="1">
        <v>9.4117647058823528E-2</v>
      </c>
      <c r="Y48" s="1">
        <v>9.0196078431372548E-2</v>
      </c>
      <c r="Z48" s="1">
        <v>0.10588235294117647</v>
      </c>
      <c r="AA48" s="1">
        <v>9.0196078431372548E-2</v>
      </c>
      <c r="AB48" s="1">
        <v>0.10196078431372549</v>
      </c>
      <c r="AC48" s="1">
        <v>9.8039215686274508E-2</v>
      </c>
      <c r="AD48" s="1">
        <v>0.10196078431372549</v>
      </c>
      <c r="AE48" s="1">
        <v>9.0196078431372548E-2</v>
      </c>
      <c r="AF48" s="1">
        <v>0.10588235294117647</v>
      </c>
      <c r="AG48" s="1">
        <v>0.10588235294117647</v>
      </c>
    </row>
    <row r="49" spans="1:33">
      <c r="A49" s="2">
        <f>A48+Calculations!$B$4</f>
        <v>48.6</v>
      </c>
      <c r="B49" s="1">
        <v>9.8039215686274508E-2</v>
      </c>
      <c r="C49" s="1">
        <v>9.8039215686274508E-2</v>
      </c>
      <c r="D49" s="1">
        <v>0.10588235294117647</v>
      </c>
      <c r="E49" s="1">
        <v>0.10980392156862745</v>
      </c>
      <c r="F49" s="1">
        <v>0.10196078431372549</v>
      </c>
      <c r="G49" s="1">
        <v>9.0196078431372548E-2</v>
      </c>
      <c r="H49" s="1">
        <v>8.2352941176470587E-2</v>
      </c>
      <c r="I49" s="1">
        <v>9.0196078431372548E-2</v>
      </c>
      <c r="J49" s="1">
        <v>8.6274509803921567E-2</v>
      </c>
      <c r="K49" s="1">
        <v>9.0196078431372548E-2</v>
      </c>
      <c r="L49" s="1">
        <v>9.8039215686274508E-2</v>
      </c>
      <c r="M49" s="1">
        <v>9.4117647058823528E-2</v>
      </c>
      <c r="N49" s="1">
        <v>8.2352941176470587E-2</v>
      </c>
      <c r="O49" s="1">
        <v>7.8431372549019607E-2</v>
      </c>
      <c r="P49" s="1">
        <v>9.4117647058823528E-2</v>
      </c>
      <c r="Q49" s="1">
        <v>9.8039215686274508E-2</v>
      </c>
      <c r="R49" s="1">
        <v>8.2352941176470587E-2</v>
      </c>
      <c r="S49" s="1">
        <v>9.4117647058823528E-2</v>
      </c>
      <c r="T49" s="1">
        <v>9.8039215686274508E-2</v>
      </c>
      <c r="U49" s="1">
        <v>9.8039215686274508E-2</v>
      </c>
      <c r="V49" s="1">
        <v>9.8039215686274508E-2</v>
      </c>
      <c r="W49" s="1">
        <v>0.10980392156862745</v>
      </c>
      <c r="X49" s="1">
        <v>8.2352941176470587E-2</v>
      </c>
      <c r="Y49" s="1">
        <v>9.0196078431372548E-2</v>
      </c>
      <c r="Z49" s="1">
        <v>9.8039215686274508E-2</v>
      </c>
      <c r="AA49" s="1">
        <v>8.2352941176470587E-2</v>
      </c>
      <c r="AB49" s="1">
        <v>0.10196078431372549</v>
      </c>
      <c r="AC49" s="1">
        <v>9.8039215686274508E-2</v>
      </c>
      <c r="AD49" s="1">
        <v>9.0196078431372548E-2</v>
      </c>
      <c r="AE49" s="1">
        <v>8.6274509803921567E-2</v>
      </c>
      <c r="AF49" s="1">
        <v>9.8039215686274508E-2</v>
      </c>
      <c r="AG49" s="1">
        <v>9.8039215686274508E-2</v>
      </c>
    </row>
    <row r="50" spans="1:33">
      <c r="A50" s="2">
        <f>A49+Calculations!$B$4</f>
        <v>49.6</v>
      </c>
      <c r="B50" s="1">
        <v>9.0196078431372548E-2</v>
      </c>
      <c r="C50" s="1">
        <v>9.8039215686274508E-2</v>
      </c>
      <c r="D50" s="1">
        <v>9.8039215686274508E-2</v>
      </c>
      <c r="E50" s="1">
        <v>9.8039215686274508E-2</v>
      </c>
      <c r="F50" s="1">
        <v>9.8039215686274508E-2</v>
      </c>
      <c r="G50" s="1">
        <v>9.4117647058823528E-2</v>
      </c>
      <c r="H50" s="1">
        <v>8.2352941176470587E-2</v>
      </c>
      <c r="I50" s="1">
        <v>8.6274509803921567E-2</v>
      </c>
      <c r="J50" s="1">
        <v>9.0196078431372548E-2</v>
      </c>
      <c r="K50" s="1">
        <v>9.0196078431372548E-2</v>
      </c>
      <c r="L50" s="1">
        <v>0.10196078431372549</v>
      </c>
      <c r="M50" s="1">
        <v>9.4117647058823528E-2</v>
      </c>
      <c r="N50" s="1">
        <v>7.8431372549019607E-2</v>
      </c>
      <c r="O50" s="1">
        <v>8.2352941176470587E-2</v>
      </c>
      <c r="P50" s="1">
        <v>8.6274509803921567E-2</v>
      </c>
      <c r="Q50" s="1">
        <v>9.0196078431372548E-2</v>
      </c>
      <c r="R50" s="1">
        <v>7.4509803921568626E-2</v>
      </c>
      <c r="S50" s="1">
        <v>8.6274509803921567E-2</v>
      </c>
      <c r="T50" s="1">
        <v>9.0196078431372548E-2</v>
      </c>
      <c r="U50" s="1">
        <v>8.6274509803921567E-2</v>
      </c>
      <c r="V50" s="1">
        <v>8.6274509803921567E-2</v>
      </c>
      <c r="W50" s="1">
        <v>0.10196078431372549</v>
      </c>
      <c r="X50" s="1">
        <v>8.6274509803921567E-2</v>
      </c>
      <c r="Y50" s="1">
        <v>9.0196078431372548E-2</v>
      </c>
      <c r="Z50" s="1">
        <v>8.2352941176470587E-2</v>
      </c>
      <c r="AA50" s="1">
        <v>8.6274509803921567E-2</v>
      </c>
      <c r="AB50" s="1">
        <v>9.0196078431372548E-2</v>
      </c>
      <c r="AC50" s="1">
        <v>8.2352941176470587E-2</v>
      </c>
      <c r="AD50" s="1">
        <v>9.8039215686274508E-2</v>
      </c>
      <c r="AE50" s="1">
        <v>9.0196078431372548E-2</v>
      </c>
      <c r="AF50" s="1">
        <v>9.0196078431372548E-2</v>
      </c>
      <c r="AG50" s="1">
        <v>0.10588235294117647</v>
      </c>
    </row>
    <row r="51" spans="1:33">
      <c r="A51" s="2">
        <f>A50+Calculations!$B$4</f>
        <v>50.6</v>
      </c>
      <c r="B51" s="1">
        <v>9.0196078431372548E-2</v>
      </c>
      <c r="C51" s="1">
        <v>9.4117647058823528E-2</v>
      </c>
      <c r="D51" s="1">
        <v>0.10196078431372549</v>
      </c>
      <c r="E51" s="1">
        <v>0.10196078431372549</v>
      </c>
      <c r="F51" s="1">
        <v>9.8039215686274508E-2</v>
      </c>
      <c r="G51" s="1">
        <v>0.10588235294117647</v>
      </c>
      <c r="H51" s="1">
        <v>8.2352941176470587E-2</v>
      </c>
      <c r="I51" s="1">
        <v>8.2352941176470587E-2</v>
      </c>
      <c r="J51" s="1">
        <v>8.2352941176470587E-2</v>
      </c>
      <c r="K51" s="1">
        <v>9.0196078431372548E-2</v>
      </c>
      <c r="L51" s="1">
        <v>9.0196078431372548E-2</v>
      </c>
      <c r="M51" s="1">
        <v>9.0196078431372548E-2</v>
      </c>
      <c r="N51" s="1">
        <v>7.0588235294117646E-2</v>
      </c>
      <c r="O51" s="1">
        <v>7.8431372549019607E-2</v>
      </c>
      <c r="P51" s="1">
        <v>8.2352941176470587E-2</v>
      </c>
      <c r="Q51" s="1">
        <v>8.6274509803921567E-2</v>
      </c>
      <c r="R51" s="1">
        <v>7.8431372549019607E-2</v>
      </c>
      <c r="S51" s="1">
        <v>8.2352941176470587E-2</v>
      </c>
      <c r="T51" s="1">
        <v>8.2352941176470587E-2</v>
      </c>
      <c r="U51" s="1">
        <v>7.8431372549019607E-2</v>
      </c>
      <c r="V51" s="1">
        <v>9.0196078431372548E-2</v>
      </c>
      <c r="W51" s="1">
        <v>9.0196078431372548E-2</v>
      </c>
      <c r="X51" s="1">
        <v>7.8431372549019607E-2</v>
      </c>
      <c r="Y51" s="1">
        <v>8.2352941176470587E-2</v>
      </c>
      <c r="Z51" s="1">
        <v>9.4117647058823528E-2</v>
      </c>
      <c r="AA51" s="1">
        <v>7.4509803921568626E-2</v>
      </c>
      <c r="AB51" s="1">
        <v>9.0196078431372548E-2</v>
      </c>
      <c r="AC51" s="1">
        <v>9.0196078431372548E-2</v>
      </c>
      <c r="AD51" s="1">
        <v>8.2352941176470587E-2</v>
      </c>
      <c r="AE51" s="1">
        <v>8.2352941176470587E-2</v>
      </c>
      <c r="AF51" s="1">
        <v>7.8431372549019607E-2</v>
      </c>
      <c r="AG51" s="1">
        <v>9.8039215686274508E-2</v>
      </c>
    </row>
    <row r="52" spans="1:33">
      <c r="A52" s="2">
        <f>A51+Calculations!$B$4</f>
        <v>51.6</v>
      </c>
      <c r="B52" s="1">
        <v>8.2352941176470587E-2</v>
      </c>
      <c r="C52" s="1">
        <v>9.0196078431372548E-2</v>
      </c>
      <c r="D52" s="1">
        <v>9.8039215686274508E-2</v>
      </c>
      <c r="E52" s="1">
        <v>9.8039215686274508E-2</v>
      </c>
      <c r="F52" s="1">
        <v>9.0196078431372548E-2</v>
      </c>
      <c r="G52" s="1">
        <v>8.2352941176470587E-2</v>
      </c>
      <c r="H52" s="1">
        <v>6.6666666666666666E-2</v>
      </c>
      <c r="I52" s="1">
        <v>8.2352941176470587E-2</v>
      </c>
      <c r="J52" s="1">
        <v>9.4117647058823528E-2</v>
      </c>
      <c r="K52" s="1">
        <v>7.8431372549019607E-2</v>
      </c>
      <c r="L52" s="1">
        <v>9.4117647058823528E-2</v>
      </c>
      <c r="M52" s="1">
        <v>8.2352941176470587E-2</v>
      </c>
      <c r="N52" s="1">
        <v>6.6666666666666666E-2</v>
      </c>
      <c r="O52" s="1">
        <v>7.0588235294117646E-2</v>
      </c>
      <c r="P52" s="1">
        <v>8.2352941176470587E-2</v>
      </c>
      <c r="Q52" s="1">
        <v>8.2352941176470587E-2</v>
      </c>
      <c r="R52" s="1">
        <v>9.0196078431372548E-2</v>
      </c>
      <c r="S52" s="1">
        <v>7.4509803921568626E-2</v>
      </c>
      <c r="T52" s="1">
        <v>7.0588235294117646E-2</v>
      </c>
      <c r="U52" s="1">
        <v>7.4509803921568626E-2</v>
      </c>
      <c r="V52" s="1">
        <v>7.4509803921568626E-2</v>
      </c>
      <c r="W52" s="1">
        <v>9.4117647058823528E-2</v>
      </c>
      <c r="X52" s="1">
        <v>7.4509803921568626E-2</v>
      </c>
      <c r="Y52" s="1">
        <v>7.4509803921568626E-2</v>
      </c>
      <c r="Z52" s="1">
        <v>8.2352941176470587E-2</v>
      </c>
      <c r="AA52" s="1">
        <v>7.4509803921568626E-2</v>
      </c>
      <c r="AB52" s="1">
        <v>8.2352941176470587E-2</v>
      </c>
      <c r="AC52" s="1">
        <v>7.8431372549019607E-2</v>
      </c>
      <c r="AD52" s="1">
        <v>9.4117647058823528E-2</v>
      </c>
      <c r="AE52" s="1">
        <v>8.2352941176470587E-2</v>
      </c>
      <c r="AF52" s="1">
        <v>8.2352941176470587E-2</v>
      </c>
      <c r="AG52" s="1">
        <v>9.8039215686274508E-2</v>
      </c>
    </row>
    <row r="53" spans="1:33">
      <c r="A53" s="2">
        <f>A52+Calculations!$B$4</f>
        <v>52.6</v>
      </c>
      <c r="B53" s="1">
        <v>7.8431372549019607E-2</v>
      </c>
      <c r="C53" s="1">
        <v>9.0196078431372548E-2</v>
      </c>
      <c r="D53" s="1">
        <v>0.10588235294117647</v>
      </c>
      <c r="E53" s="1">
        <v>7.4509803921568626E-2</v>
      </c>
      <c r="F53" s="1">
        <v>9.0196078431372548E-2</v>
      </c>
      <c r="G53" s="1">
        <v>9.8039215686274508E-2</v>
      </c>
      <c r="H53" s="1">
        <v>6.6666666666666666E-2</v>
      </c>
      <c r="I53" s="1">
        <v>8.2352941176470587E-2</v>
      </c>
      <c r="J53" s="1">
        <v>9.4117647058823528E-2</v>
      </c>
      <c r="K53" s="1">
        <v>8.6274509803921567E-2</v>
      </c>
      <c r="L53" s="1">
        <v>8.6274509803921567E-2</v>
      </c>
      <c r="M53" s="1">
        <v>8.2352941176470587E-2</v>
      </c>
      <c r="N53" s="1">
        <v>6.2745098039215685E-2</v>
      </c>
      <c r="O53" s="1">
        <v>7.0588235294117646E-2</v>
      </c>
      <c r="P53" s="1">
        <v>7.8431372549019607E-2</v>
      </c>
      <c r="Q53" s="1">
        <v>8.2352941176470587E-2</v>
      </c>
      <c r="R53" s="1">
        <v>7.4509803921568626E-2</v>
      </c>
      <c r="S53" s="1">
        <v>7.0588235294117646E-2</v>
      </c>
      <c r="T53" s="1">
        <v>7.4509803921568626E-2</v>
      </c>
      <c r="U53" s="1">
        <v>8.2352941176470587E-2</v>
      </c>
      <c r="V53" s="1">
        <v>6.6666666666666666E-2</v>
      </c>
      <c r="W53" s="1">
        <v>9.0196078431372548E-2</v>
      </c>
      <c r="X53" s="1">
        <v>7.0588235294117646E-2</v>
      </c>
      <c r="Y53" s="1">
        <v>7.0588235294117646E-2</v>
      </c>
      <c r="Z53" s="1">
        <v>8.2352941176470587E-2</v>
      </c>
      <c r="AA53" s="1">
        <v>7.8431372549019607E-2</v>
      </c>
      <c r="AB53" s="1">
        <v>8.2352941176470587E-2</v>
      </c>
      <c r="AC53" s="1">
        <v>7.8431372549019607E-2</v>
      </c>
      <c r="AD53" s="1">
        <v>9.0196078431372548E-2</v>
      </c>
      <c r="AE53" s="1">
        <v>7.0588235294117646E-2</v>
      </c>
      <c r="AF53" s="1">
        <v>6.6666666666666666E-2</v>
      </c>
      <c r="AG53" s="1">
        <v>7.4509803921568626E-2</v>
      </c>
    </row>
    <row r="54" spans="1:33">
      <c r="A54" s="2">
        <f>A53+Calculations!$B$4</f>
        <v>53.6</v>
      </c>
      <c r="B54" s="1">
        <v>7.4509803921568626E-2</v>
      </c>
      <c r="C54" s="1">
        <v>8.2352941176470587E-2</v>
      </c>
      <c r="D54" s="1">
        <v>9.8039215686274508E-2</v>
      </c>
      <c r="E54" s="1">
        <v>9.0196078431372548E-2</v>
      </c>
      <c r="F54" s="1">
        <v>9.0196078431372548E-2</v>
      </c>
      <c r="G54" s="1">
        <v>9.4117647058823528E-2</v>
      </c>
      <c r="H54" s="1">
        <v>7.4509803921568626E-2</v>
      </c>
      <c r="I54" s="1">
        <v>8.6274509803921567E-2</v>
      </c>
      <c r="J54" s="1">
        <v>9.0196078431372548E-2</v>
      </c>
      <c r="K54" s="1">
        <v>7.4509803921568626E-2</v>
      </c>
      <c r="L54" s="1">
        <v>9.0196078431372548E-2</v>
      </c>
      <c r="M54" s="1">
        <v>7.4509803921568626E-2</v>
      </c>
      <c r="N54" s="1">
        <v>6.2745098039215685E-2</v>
      </c>
      <c r="O54" s="1">
        <v>6.6666666666666666E-2</v>
      </c>
      <c r="P54" s="1">
        <v>7.4509803921568626E-2</v>
      </c>
      <c r="Q54" s="1">
        <v>8.2352941176470587E-2</v>
      </c>
      <c r="R54" s="1">
        <v>6.6666666666666666E-2</v>
      </c>
      <c r="S54" s="1">
        <v>7.0588235294117646E-2</v>
      </c>
      <c r="T54" s="1">
        <v>7.8431372549019607E-2</v>
      </c>
      <c r="U54" s="1">
        <v>7.0588235294117646E-2</v>
      </c>
      <c r="V54" s="1">
        <v>7.0588235294117646E-2</v>
      </c>
      <c r="W54" s="1">
        <v>8.2352941176470587E-2</v>
      </c>
      <c r="X54" s="1">
        <v>7.8431372549019607E-2</v>
      </c>
      <c r="Y54" s="1">
        <v>6.6666666666666666E-2</v>
      </c>
      <c r="Z54" s="1">
        <v>8.2352941176470587E-2</v>
      </c>
      <c r="AA54" s="1">
        <v>7.8431372549019607E-2</v>
      </c>
      <c r="AB54" s="1">
        <v>7.0588235294117646E-2</v>
      </c>
      <c r="AC54" s="1">
        <v>7.0588235294117646E-2</v>
      </c>
      <c r="AD54" s="1">
        <v>7.4509803921568626E-2</v>
      </c>
      <c r="AE54" s="1">
        <v>7.0588235294117646E-2</v>
      </c>
      <c r="AF54" s="1">
        <v>7.4509803921568626E-2</v>
      </c>
      <c r="AG54" s="1">
        <v>8.2352941176470587E-2</v>
      </c>
    </row>
    <row r="55" spans="1:33">
      <c r="A55" s="2">
        <f>A54+Calculations!$B$4</f>
        <v>54.6</v>
      </c>
      <c r="B55" s="1">
        <v>8.2352941176470587E-2</v>
      </c>
      <c r="C55" s="1">
        <v>8.2352941176470587E-2</v>
      </c>
      <c r="D55" s="1">
        <v>9.0196078431372548E-2</v>
      </c>
      <c r="E55" s="1">
        <v>8.2352941176470587E-2</v>
      </c>
      <c r="F55" s="1">
        <v>8.2352941176470587E-2</v>
      </c>
      <c r="G55" s="1">
        <v>7.8431372549019607E-2</v>
      </c>
      <c r="H55" s="1">
        <v>6.6666666666666666E-2</v>
      </c>
      <c r="I55" s="1">
        <v>7.0588235294117646E-2</v>
      </c>
      <c r="J55" s="1">
        <v>9.8039215686274508E-2</v>
      </c>
      <c r="K55" s="1">
        <v>7.4509803921568626E-2</v>
      </c>
      <c r="L55" s="1">
        <v>9.0196078431372548E-2</v>
      </c>
      <c r="M55" s="1">
        <v>8.6274509803921567E-2</v>
      </c>
      <c r="N55" s="1">
        <v>6.6666666666666666E-2</v>
      </c>
      <c r="O55" s="1">
        <v>7.0588235294117646E-2</v>
      </c>
      <c r="P55" s="1">
        <v>7.4509803921568626E-2</v>
      </c>
      <c r="Q55" s="1">
        <v>7.4509803921568626E-2</v>
      </c>
      <c r="R55" s="1">
        <v>8.2352941176470587E-2</v>
      </c>
      <c r="S55" s="1">
        <v>6.6666666666666666E-2</v>
      </c>
      <c r="T55" s="1">
        <v>8.2352941176470587E-2</v>
      </c>
      <c r="U55" s="1">
        <v>6.6666666666666666E-2</v>
      </c>
      <c r="V55" s="1">
        <v>7.0588235294117646E-2</v>
      </c>
      <c r="W55" s="1">
        <v>8.2352941176470587E-2</v>
      </c>
      <c r="X55" s="1">
        <v>7.4509803921568626E-2</v>
      </c>
      <c r="Y55" s="1">
        <v>6.6666666666666666E-2</v>
      </c>
      <c r="Z55" s="1">
        <v>7.4509803921568626E-2</v>
      </c>
      <c r="AA55" s="1">
        <v>8.2352941176470587E-2</v>
      </c>
      <c r="AB55" s="1">
        <v>7.4509803921568626E-2</v>
      </c>
      <c r="AC55" s="1">
        <v>7.0588235294117646E-2</v>
      </c>
      <c r="AD55" s="1">
        <v>7.0588235294117646E-2</v>
      </c>
      <c r="AE55" s="1">
        <v>5.8823529411764705E-2</v>
      </c>
      <c r="AF55" s="1">
        <v>7.0588235294117646E-2</v>
      </c>
      <c r="AG55" s="1">
        <v>8.2352941176470587E-2</v>
      </c>
    </row>
    <row r="56" spans="1:33">
      <c r="A56" s="2">
        <f>A55+Calculations!$B$4</f>
        <v>55.6</v>
      </c>
      <c r="B56" s="1">
        <v>7.4509803921568626E-2</v>
      </c>
      <c r="C56" s="1">
        <v>7.8431372549019607E-2</v>
      </c>
      <c r="D56" s="1">
        <v>8.2352941176470587E-2</v>
      </c>
      <c r="E56" s="1">
        <v>7.0588235294117646E-2</v>
      </c>
      <c r="F56" s="1">
        <v>8.2352941176470587E-2</v>
      </c>
      <c r="G56" s="1">
        <v>7.0588235294117646E-2</v>
      </c>
      <c r="H56" s="1">
        <v>5.8823529411764705E-2</v>
      </c>
      <c r="I56" s="1">
        <v>7.4509803921568626E-2</v>
      </c>
      <c r="J56" s="1">
        <v>6.6666666666666666E-2</v>
      </c>
      <c r="K56" s="1">
        <v>7.8431372549019607E-2</v>
      </c>
      <c r="L56" s="1">
        <v>8.2352941176470587E-2</v>
      </c>
      <c r="M56" s="1">
        <v>7.0588235294117646E-2</v>
      </c>
      <c r="N56" s="1">
        <v>5.4901960784313725E-2</v>
      </c>
      <c r="O56" s="1">
        <v>6.6666666666666666E-2</v>
      </c>
      <c r="P56" s="1">
        <v>6.6666666666666666E-2</v>
      </c>
      <c r="Q56" s="1">
        <v>7.0588235294117646E-2</v>
      </c>
      <c r="R56" s="1">
        <v>7.4509803921568626E-2</v>
      </c>
      <c r="S56" s="1">
        <v>8.2352941176470587E-2</v>
      </c>
      <c r="T56" s="1">
        <v>8.2352941176470587E-2</v>
      </c>
      <c r="U56" s="1">
        <v>6.6666666666666666E-2</v>
      </c>
      <c r="V56" s="1">
        <v>6.2745098039215685E-2</v>
      </c>
      <c r="W56" s="1">
        <v>7.4509803921568626E-2</v>
      </c>
      <c r="X56" s="1">
        <v>5.8823529411764705E-2</v>
      </c>
      <c r="Y56" s="1">
        <v>5.4901960784313725E-2</v>
      </c>
      <c r="Z56" s="1">
        <v>7.0588235294117646E-2</v>
      </c>
      <c r="AA56" s="1">
        <v>7.4509803921568626E-2</v>
      </c>
      <c r="AB56" s="1">
        <v>7.4509803921568626E-2</v>
      </c>
      <c r="AC56" s="1">
        <v>7.0588235294117646E-2</v>
      </c>
      <c r="AD56" s="1">
        <v>7.0588235294117646E-2</v>
      </c>
      <c r="AE56" s="1">
        <v>5.8823529411764705E-2</v>
      </c>
      <c r="AF56" s="1">
        <v>7.0588235294117646E-2</v>
      </c>
      <c r="AG56" s="1">
        <v>8.2352941176470587E-2</v>
      </c>
    </row>
    <row r="57" spans="1:33">
      <c r="A57" s="2">
        <f>A56+Calculations!$B$4</f>
        <v>56.6</v>
      </c>
      <c r="B57" s="1">
        <v>7.4509803921568626E-2</v>
      </c>
      <c r="C57" s="1">
        <v>7.4509803921568626E-2</v>
      </c>
      <c r="D57" s="1">
        <v>8.2352941176470587E-2</v>
      </c>
      <c r="E57" s="1">
        <v>6.6666666666666666E-2</v>
      </c>
      <c r="F57" s="1">
        <v>7.0588235294117646E-2</v>
      </c>
      <c r="G57" s="1">
        <v>9.0196078431372548E-2</v>
      </c>
      <c r="H57" s="1">
        <v>6.6666666666666666E-2</v>
      </c>
      <c r="I57" s="1">
        <v>6.6666666666666666E-2</v>
      </c>
      <c r="J57" s="1">
        <v>7.4509803921568626E-2</v>
      </c>
      <c r="K57" s="1">
        <v>6.6666666666666666E-2</v>
      </c>
      <c r="L57" s="1">
        <v>6.6666666666666666E-2</v>
      </c>
      <c r="M57" s="1">
        <v>6.6666666666666666E-2</v>
      </c>
      <c r="N57" s="1">
        <v>5.4901960784313725E-2</v>
      </c>
      <c r="O57" s="1">
        <v>6.2745098039215685E-2</v>
      </c>
      <c r="P57" s="1">
        <v>6.6666666666666666E-2</v>
      </c>
      <c r="Q57" s="1">
        <v>6.6666666666666666E-2</v>
      </c>
      <c r="R57" s="1">
        <v>6.6666666666666666E-2</v>
      </c>
      <c r="S57" s="1">
        <v>6.6666666666666666E-2</v>
      </c>
      <c r="T57" s="1">
        <v>7.8431372549019607E-2</v>
      </c>
      <c r="U57" s="1">
        <v>6.6666666666666666E-2</v>
      </c>
      <c r="V57" s="1">
        <v>6.2745098039215685E-2</v>
      </c>
      <c r="W57" s="1">
        <v>6.2745098039215685E-2</v>
      </c>
      <c r="X57" s="1">
        <v>5.4901960784313725E-2</v>
      </c>
      <c r="Y57" s="1">
        <v>5.4901960784313725E-2</v>
      </c>
      <c r="Z57" s="1">
        <v>5.8823529411764705E-2</v>
      </c>
      <c r="AA57" s="1">
        <v>5.8823529411764705E-2</v>
      </c>
      <c r="AB57" s="1">
        <v>6.6666666666666666E-2</v>
      </c>
      <c r="AC57" s="1">
        <v>7.4509803921568626E-2</v>
      </c>
      <c r="AD57" s="1">
        <v>7.4509803921568626E-2</v>
      </c>
      <c r="AE57" s="1">
        <v>6.6666666666666666E-2</v>
      </c>
      <c r="AF57" s="1">
        <v>5.0980392156862744E-2</v>
      </c>
      <c r="AG57" s="1">
        <v>8.2352941176470587E-2</v>
      </c>
    </row>
    <row r="58" spans="1:33">
      <c r="A58" s="2">
        <f>A57+Calculations!$B$4</f>
        <v>57.6</v>
      </c>
      <c r="B58" s="1">
        <v>6.2745098039215685E-2</v>
      </c>
      <c r="C58" s="1">
        <v>7.0588235294117646E-2</v>
      </c>
      <c r="D58" s="1">
        <v>8.2352941176470587E-2</v>
      </c>
      <c r="E58" s="1">
        <v>7.4509803921568626E-2</v>
      </c>
      <c r="F58" s="1">
        <v>7.8431372549019607E-2</v>
      </c>
      <c r="G58" s="1">
        <v>6.2745098039215685E-2</v>
      </c>
      <c r="H58" s="1">
        <v>5.4901960784313725E-2</v>
      </c>
      <c r="I58" s="1">
        <v>7.4509803921568626E-2</v>
      </c>
      <c r="J58" s="1">
        <v>7.8431372549019607E-2</v>
      </c>
      <c r="K58" s="1">
        <v>6.6666666666666666E-2</v>
      </c>
      <c r="L58" s="1">
        <v>6.2745098039215685E-2</v>
      </c>
      <c r="M58" s="1">
        <v>7.8431372549019607E-2</v>
      </c>
      <c r="N58" s="1">
        <v>6.6666666666666666E-2</v>
      </c>
      <c r="O58" s="1">
        <v>7.8431372549019607E-2</v>
      </c>
      <c r="P58" s="1">
        <v>6.2745098039215685E-2</v>
      </c>
      <c r="Q58" s="1">
        <v>6.6666666666666666E-2</v>
      </c>
      <c r="R58" s="1">
        <v>5.8823529411764705E-2</v>
      </c>
      <c r="S58" s="1">
        <v>5.4901960784313725E-2</v>
      </c>
      <c r="T58" s="1">
        <v>7.0588235294117646E-2</v>
      </c>
      <c r="U58" s="1">
        <v>5.8823529411764705E-2</v>
      </c>
      <c r="V58" s="1">
        <v>5.8823529411764705E-2</v>
      </c>
      <c r="W58" s="1">
        <v>6.6666666666666666E-2</v>
      </c>
      <c r="X58" s="1">
        <v>5.8823529411764705E-2</v>
      </c>
      <c r="Y58" s="1">
        <v>5.4901960784313725E-2</v>
      </c>
      <c r="Z58" s="1">
        <v>5.8823529411764705E-2</v>
      </c>
      <c r="AA58" s="1">
        <v>5.8823529411764705E-2</v>
      </c>
      <c r="AB58" s="1">
        <v>6.6666666666666666E-2</v>
      </c>
      <c r="AC58" s="1">
        <v>6.2745098039215685E-2</v>
      </c>
      <c r="AD58" s="1">
        <v>6.2745098039215685E-2</v>
      </c>
      <c r="AE58" s="1">
        <v>5.4901960784313725E-2</v>
      </c>
      <c r="AF58" s="1">
        <v>5.8823529411764705E-2</v>
      </c>
      <c r="AG58" s="1">
        <v>6.6666666666666666E-2</v>
      </c>
    </row>
    <row r="59" spans="1:33">
      <c r="A59" s="2">
        <f>A58+Calculations!$B$4</f>
        <v>58.6</v>
      </c>
      <c r="B59" s="1">
        <v>5.8823529411764705E-2</v>
      </c>
      <c r="C59" s="1">
        <v>5.8823529411764705E-2</v>
      </c>
      <c r="D59" s="1">
        <v>6.2745098039215685E-2</v>
      </c>
      <c r="E59" s="1">
        <v>7.0588235294117646E-2</v>
      </c>
      <c r="F59" s="1">
        <v>8.2352941176470587E-2</v>
      </c>
      <c r="G59" s="1">
        <v>6.6666666666666666E-2</v>
      </c>
      <c r="H59" s="1">
        <v>4.7058823529411764E-2</v>
      </c>
      <c r="I59" s="1">
        <v>6.2745098039215685E-2</v>
      </c>
      <c r="J59" s="1">
        <v>8.2352941176470587E-2</v>
      </c>
      <c r="K59" s="1">
        <v>5.8823529411764705E-2</v>
      </c>
      <c r="L59" s="1">
        <v>5.0980392156862744E-2</v>
      </c>
      <c r="M59" s="1">
        <v>6.6666666666666666E-2</v>
      </c>
      <c r="N59" s="1">
        <v>7.0588235294117646E-2</v>
      </c>
      <c r="O59" s="1">
        <v>7.4509803921568626E-2</v>
      </c>
      <c r="P59" s="1">
        <v>5.8823529411764705E-2</v>
      </c>
      <c r="Q59" s="1">
        <v>5.8823529411764705E-2</v>
      </c>
      <c r="R59" s="1">
        <v>6.6666666666666666E-2</v>
      </c>
      <c r="S59" s="1">
        <v>7.4509803921568626E-2</v>
      </c>
      <c r="T59" s="1">
        <v>4.7058823529411764E-2</v>
      </c>
      <c r="U59" s="1">
        <v>6.2745098039215685E-2</v>
      </c>
      <c r="V59" s="1">
        <v>6.2745098039215685E-2</v>
      </c>
      <c r="W59" s="1">
        <v>5.4901960784313725E-2</v>
      </c>
      <c r="X59" s="1">
        <v>5.4901960784313725E-2</v>
      </c>
      <c r="Y59" s="1">
        <v>5.0980392156862744E-2</v>
      </c>
      <c r="Z59" s="1">
        <v>4.3137254901960784E-2</v>
      </c>
      <c r="AA59" s="1">
        <v>7.4509803921568626E-2</v>
      </c>
      <c r="AB59" s="1">
        <v>7.4509803921568626E-2</v>
      </c>
      <c r="AC59" s="1">
        <v>6.2745098039215685E-2</v>
      </c>
      <c r="AD59" s="1">
        <v>7.4509803921568626E-2</v>
      </c>
      <c r="AE59" s="1">
        <v>6.6666666666666666E-2</v>
      </c>
      <c r="AF59" s="1">
        <v>6.2745098039215685E-2</v>
      </c>
      <c r="AG59" s="1">
        <v>5.4901960784313725E-2</v>
      </c>
    </row>
    <row r="60" spans="1:33">
      <c r="A60" s="2">
        <f>A59+Calculations!$B$4</f>
        <v>59.6</v>
      </c>
      <c r="B60" s="1">
        <v>5.0980392156862744E-2</v>
      </c>
      <c r="C60" s="1">
        <v>6.6666666666666666E-2</v>
      </c>
      <c r="D60" s="1">
        <v>8.2352941176470587E-2</v>
      </c>
      <c r="E60" s="1">
        <v>5.0980392156862744E-2</v>
      </c>
      <c r="F60" s="1">
        <v>7.4509803921568626E-2</v>
      </c>
      <c r="G60" s="1">
        <v>7.4509803921568626E-2</v>
      </c>
      <c r="H60" s="1">
        <v>3.9215686274509803E-2</v>
      </c>
      <c r="I60" s="1">
        <v>5.8823529411764705E-2</v>
      </c>
      <c r="J60" s="1">
        <v>7.0588235294117646E-2</v>
      </c>
      <c r="K60" s="1">
        <v>5.8823529411764705E-2</v>
      </c>
      <c r="L60" s="1">
        <v>5.0980392156862744E-2</v>
      </c>
      <c r="M60" s="1">
        <v>7.4509803921568626E-2</v>
      </c>
      <c r="N60" s="1">
        <v>6.6666666666666666E-2</v>
      </c>
      <c r="O60" s="1">
        <v>6.6666666666666666E-2</v>
      </c>
      <c r="P60" s="1">
        <v>5.4901960784313725E-2</v>
      </c>
      <c r="Q60" s="1">
        <v>6.2745098039215685E-2</v>
      </c>
      <c r="R60" s="1">
        <v>5.8823529411764705E-2</v>
      </c>
      <c r="S60" s="1">
        <v>6.6666666666666666E-2</v>
      </c>
      <c r="T60" s="1">
        <v>4.7058823529411764E-2</v>
      </c>
      <c r="U60" s="1">
        <v>4.3137254901960784E-2</v>
      </c>
      <c r="V60" s="1">
        <v>6.2745098039215685E-2</v>
      </c>
      <c r="W60" s="1">
        <v>5.4901960784313725E-2</v>
      </c>
      <c r="X60" s="1">
        <v>5.4901960784313725E-2</v>
      </c>
      <c r="Y60" s="1">
        <v>5.0980392156862744E-2</v>
      </c>
      <c r="Z60" s="1">
        <v>5.0980392156862744E-2</v>
      </c>
      <c r="AA60" s="1">
        <v>7.4509803921568626E-2</v>
      </c>
      <c r="AB60" s="1">
        <v>6.6666666666666666E-2</v>
      </c>
      <c r="AC60" s="1">
        <v>5.0980392156862744E-2</v>
      </c>
      <c r="AD60" s="1">
        <v>5.8823529411764705E-2</v>
      </c>
      <c r="AE60" s="1">
        <v>4.7058823529411764E-2</v>
      </c>
      <c r="AF60" s="1">
        <v>5.8823529411764705E-2</v>
      </c>
      <c r="AG60" s="1">
        <v>6.6666666666666666E-2</v>
      </c>
    </row>
    <row r="61" spans="1:33">
      <c r="A61" s="2">
        <f>A60+Calculations!$B$4</f>
        <v>60.6</v>
      </c>
      <c r="B61" s="1">
        <v>4.7058823529411764E-2</v>
      </c>
      <c r="C61" s="1">
        <v>6.2745098039215685E-2</v>
      </c>
      <c r="D61" s="1">
        <v>7.4509803921568626E-2</v>
      </c>
      <c r="E61" s="1">
        <v>6.2745098039215685E-2</v>
      </c>
      <c r="F61" s="1">
        <v>5.0980392156862744E-2</v>
      </c>
      <c r="G61" s="1">
        <v>5.4901960784313725E-2</v>
      </c>
      <c r="H61" s="1">
        <v>5.8823529411764705E-2</v>
      </c>
      <c r="I61" s="1">
        <v>5.8823529411764705E-2</v>
      </c>
      <c r="J61" s="1">
        <v>7.4509803921568626E-2</v>
      </c>
      <c r="K61" s="1">
        <v>5.8823529411764705E-2</v>
      </c>
      <c r="L61" s="1">
        <v>4.7058823529411764E-2</v>
      </c>
      <c r="M61" s="1">
        <v>5.4901960784313725E-2</v>
      </c>
      <c r="N61" s="1">
        <v>5.4901960784313725E-2</v>
      </c>
      <c r="O61" s="1">
        <v>5.8823529411764705E-2</v>
      </c>
      <c r="P61" s="1">
        <v>5.4901960784313725E-2</v>
      </c>
      <c r="Q61" s="1">
        <v>5.4901960784313725E-2</v>
      </c>
      <c r="R61" s="1">
        <v>6.6666666666666666E-2</v>
      </c>
      <c r="S61" s="1">
        <v>6.6666666666666666E-2</v>
      </c>
      <c r="T61" s="1">
        <v>6.2745098039215685E-2</v>
      </c>
      <c r="U61" s="1">
        <v>4.3137254901960784E-2</v>
      </c>
      <c r="V61" s="1">
        <v>5.8823529411764705E-2</v>
      </c>
      <c r="W61" s="1">
        <v>6.6666666666666666E-2</v>
      </c>
      <c r="X61" s="1">
        <v>5.8823529411764705E-2</v>
      </c>
      <c r="Y61" s="1">
        <v>5.4901960784313725E-2</v>
      </c>
      <c r="Z61" s="1">
        <v>4.7058823529411764E-2</v>
      </c>
      <c r="AA61" s="1">
        <v>6.6666666666666666E-2</v>
      </c>
      <c r="AB61" s="1">
        <v>6.6666666666666666E-2</v>
      </c>
      <c r="AC61" s="1">
        <v>4.7058823529411764E-2</v>
      </c>
      <c r="AD61" s="1">
        <v>7.4509803921568626E-2</v>
      </c>
      <c r="AE61" s="1">
        <v>4.3137254901960784E-2</v>
      </c>
      <c r="AF61" s="1">
        <v>5.4901960784313725E-2</v>
      </c>
      <c r="AG61" s="1">
        <v>6.6666666666666666E-2</v>
      </c>
    </row>
    <row r="62" spans="1:33">
      <c r="A62" s="2">
        <f>A61+Calculations!$B$4</f>
        <v>61.6</v>
      </c>
      <c r="B62" s="1">
        <v>5.0980392156862744E-2</v>
      </c>
      <c r="C62" s="1">
        <v>6.6666666666666666E-2</v>
      </c>
      <c r="D62" s="1">
        <v>7.4509803921568626E-2</v>
      </c>
      <c r="E62" s="1">
        <v>6.6666666666666666E-2</v>
      </c>
      <c r="F62" s="1">
        <v>6.6666666666666666E-2</v>
      </c>
      <c r="G62" s="1">
        <v>5.4901960784313725E-2</v>
      </c>
      <c r="H62" s="1">
        <v>3.9215686274509803E-2</v>
      </c>
      <c r="I62" s="1">
        <v>5.8823529411764705E-2</v>
      </c>
      <c r="J62" s="1">
        <v>7.4509803921568626E-2</v>
      </c>
      <c r="K62" s="1">
        <v>6.6666666666666666E-2</v>
      </c>
      <c r="L62" s="1">
        <v>6.2745098039215685E-2</v>
      </c>
      <c r="M62" s="1">
        <v>6.6666666666666666E-2</v>
      </c>
      <c r="N62" s="1">
        <v>4.3137254901960784E-2</v>
      </c>
      <c r="O62" s="1">
        <v>5.8823529411764705E-2</v>
      </c>
      <c r="P62" s="1">
        <v>5.0980392156862744E-2</v>
      </c>
      <c r="Q62" s="1">
        <v>5.4901960784313725E-2</v>
      </c>
      <c r="R62" s="1">
        <v>5.8823529411764705E-2</v>
      </c>
      <c r="S62" s="1">
        <v>6.6666666666666666E-2</v>
      </c>
      <c r="T62" s="1">
        <v>6.6666666666666666E-2</v>
      </c>
      <c r="U62" s="1">
        <v>5.0980392156862744E-2</v>
      </c>
      <c r="V62" s="1">
        <v>5.0980392156862744E-2</v>
      </c>
      <c r="W62" s="1">
        <v>6.2745098039215685E-2</v>
      </c>
      <c r="X62" s="1">
        <v>5.0980392156862744E-2</v>
      </c>
      <c r="Y62" s="1">
        <v>4.3137254901960784E-2</v>
      </c>
      <c r="Z62" s="1">
        <v>5.4901960784313725E-2</v>
      </c>
      <c r="AA62" s="1">
        <v>5.8823529411764705E-2</v>
      </c>
      <c r="AB62" s="1">
        <v>6.6666666666666666E-2</v>
      </c>
      <c r="AC62" s="1">
        <v>4.3137254901960784E-2</v>
      </c>
      <c r="AD62" s="1">
        <v>5.4901960784313725E-2</v>
      </c>
      <c r="AE62" s="1">
        <v>4.7058823529411764E-2</v>
      </c>
      <c r="AF62" s="1">
        <v>5.0980392156862744E-2</v>
      </c>
      <c r="AG62" s="1">
        <v>5.8823529411764705E-2</v>
      </c>
    </row>
    <row r="63" spans="1:33">
      <c r="A63" s="2">
        <f>A62+Calculations!$B$4</f>
        <v>62.6</v>
      </c>
      <c r="B63" s="1">
        <v>5.0980392156862744E-2</v>
      </c>
      <c r="C63" s="1">
        <v>6.6666666666666666E-2</v>
      </c>
      <c r="D63" s="1">
        <v>6.6666666666666666E-2</v>
      </c>
      <c r="E63" s="1">
        <v>4.7058823529411764E-2</v>
      </c>
      <c r="F63" s="1">
        <v>5.4901960784313725E-2</v>
      </c>
      <c r="G63" s="1">
        <v>4.7058823529411764E-2</v>
      </c>
      <c r="H63" s="1">
        <v>3.9215686274509803E-2</v>
      </c>
      <c r="I63" s="1">
        <v>5.4901960784313725E-2</v>
      </c>
      <c r="J63" s="1">
        <v>4.7058823529411764E-2</v>
      </c>
      <c r="K63" s="1">
        <v>5.0980392156862744E-2</v>
      </c>
      <c r="L63" s="1">
        <v>4.3137254901960784E-2</v>
      </c>
      <c r="M63" s="1">
        <v>5.8823529411764705E-2</v>
      </c>
      <c r="N63" s="1">
        <v>3.9215686274509803E-2</v>
      </c>
      <c r="O63" s="1">
        <v>4.3137254901960784E-2</v>
      </c>
      <c r="P63" s="1">
        <v>4.7058823529411764E-2</v>
      </c>
      <c r="Q63" s="1">
        <v>5.8823529411764705E-2</v>
      </c>
      <c r="R63" s="1">
        <v>4.3137254901960784E-2</v>
      </c>
      <c r="S63" s="1">
        <v>6.2745098039215685E-2</v>
      </c>
      <c r="T63" s="1">
        <v>5.8823529411764705E-2</v>
      </c>
      <c r="U63" s="1">
        <v>3.1372549019607843E-2</v>
      </c>
      <c r="V63" s="1">
        <v>5.0980392156862744E-2</v>
      </c>
      <c r="W63" s="1">
        <v>4.3137254901960784E-2</v>
      </c>
      <c r="X63" s="1">
        <v>3.9215686274509803E-2</v>
      </c>
      <c r="Y63" s="1">
        <v>4.3137254901960784E-2</v>
      </c>
      <c r="Z63" s="1">
        <v>4.3137254901960784E-2</v>
      </c>
      <c r="AA63" s="1">
        <v>4.7058823529411764E-2</v>
      </c>
      <c r="AB63" s="1">
        <v>5.4901960784313725E-2</v>
      </c>
      <c r="AC63" s="1">
        <v>4.3137254901960784E-2</v>
      </c>
      <c r="AD63" s="1">
        <v>5.0980392156862744E-2</v>
      </c>
      <c r="AE63" s="1">
        <v>4.3137254901960784E-2</v>
      </c>
      <c r="AF63" s="1">
        <v>3.9215686274509803E-2</v>
      </c>
      <c r="AG63" s="1">
        <v>6.6666666666666666E-2</v>
      </c>
    </row>
    <row r="64" spans="1:33">
      <c r="A64" s="2">
        <f>A63+Calculations!$B$4</f>
        <v>63.6</v>
      </c>
      <c r="B64" s="1">
        <v>5.0980392156862744E-2</v>
      </c>
      <c r="C64" s="1">
        <v>6.2745098039215685E-2</v>
      </c>
      <c r="D64" s="1">
        <v>6.2745098039215685E-2</v>
      </c>
      <c r="E64" s="1">
        <v>5.0980392156862744E-2</v>
      </c>
      <c r="F64" s="1">
        <v>5.8823529411764705E-2</v>
      </c>
      <c r="G64" s="1">
        <v>5.0980392156862744E-2</v>
      </c>
      <c r="H64" s="1">
        <v>4.3137254901960784E-2</v>
      </c>
      <c r="I64" s="1">
        <v>4.7058823529411764E-2</v>
      </c>
      <c r="J64" s="1">
        <v>4.7058823529411764E-2</v>
      </c>
      <c r="K64" s="1">
        <v>6.2745098039215685E-2</v>
      </c>
      <c r="L64" s="1">
        <v>6.6666666666666666E-2</v>
      </c>
      <c r="M64" s="1">
        <v>5.0980392156862744E-2</v>
      </c>
      <c r="N64" s="1">
        <v>5.4901960784313725E-2</v>
      </c>
      <c r="O64" s="1">
        <v>5.8823529411764705E-2</v>
      </c>
      <c r="P64" s="1">
        <v>5.0980392156862744E-2</v>
      </c>
      <c r="Q64" s="1">
        <v>5.0980392156862744E-2</v>
      </c>
      <c r="R64" s="1">
        <v>5.8823529411764705E-2</v>
      </c>
      <c r="S64" s="1">
        <v>6.6666666666666666E-2</v>
      </c>
      <c r="T64" s="1">
        <v>5.0980392156862744E-2</v>
      </c>
      <c r="U64" s="1">
        <v>3.9215686274509803E-2</v>
      </c>
      <c r="V64" s="1">
        <v>4.7058823529411764E-2</v>
      </c>
      <c r="W64" s="1">
        <v>5.0980392156862744E-2</v>
      </c>
      <c r="X64" s="1">
        <v>5.0980392156862744E-2</v>
      </c>
      <c r="Y64" s="1">
        <v>4.3137254901960784E-2</v>
      </c>
      <c r="Z64" s="1">
        <v>4.3137254901960784E-2</v>
      </c>
      <c r="AA64" s="1">
        <v>4.7058823529411764E-2</v>
      </c>
      <c r="AB64" s="1">
        <v>5.4901960784313725E-2</v>
      </c>
      <c r="AC64" s="1">
        <v>3.9215686274509803E-2</v>
      </c>
      <c r="AD64" s="1">
        <v>4.7058823529411764E-2</v>
      </c>
      <c r="AE64" s="1">
        <v>4.3137254901960784E-2</v>
      </c>
      <c r="AF64" s="1">
        <v>5.0980392156862744E-2</v>
      </c>
      <c r="AG64" s="1">
        <v>4.7058823529411764E-2</v>
      </c>
    </row>
    <row r="65" spans="1:33">
      <c r="A65" s="2">
        <f>A64+Calculations!$B$4</f>
        <v>64.599999999999994</v>
      </c>
      <c r="B65" s="1">
        <v>5.0980392156862744E-2</v>
      </c>
      <c r="C65" s="1">
        <v>6.6666666666666666E-2</v>
      </c>
      <c r="D65" s="1">
        <v>6.2745098039215685E-2</v>
      </c>
      <c r="E65" s="1">
        <v>6.6666666666666666E-2</v>
      </c>
      <c r="F65" s="1">
        <v>5.8823529411764705E-2</v>
      </c>
      <c r="G65" s="1">
        <v>4.3137254901960784E-2</v>
      </c>
      <c r="H65" s="1">
        <v>4.3137254901960784E-2</v>
      </c>
      <c r="I65" s="1">
        <v>4.3137254901960784E-2</v>
      </c>
      <c r="J65" s="1">
        <v>3.9215686274509803E-2</v>
      </c>
      <c r="K65" s="1">
        <v>6.2745098039215685E-2</v>
      </c>
      <c r="L65" s="1">
        <v>6.6666666666666666E-2</v>
      </c>
      <c r="M65" s="1">
        <v>5.0980392156862744E-2</v>
      </c>
      <c r="N65" s="1">
        <v>4.3137254901960784E-2</v>
      </c>
      <c r="O65" s="1">
        <v>4.7058823529411764E-2</v>
      </c>
      <c r="P65" s="1">
        <v>4.3137254901960784E-2</v>
      </c>
      <c r="Q65" s="1">
        <v>4.7058823529411764E-2</v>
      </c>
      <c r="R65" s="1">
        <v>4.7058823529411764E-2</v>
      </c>
      <c r="S65" s="1">
        <v>6.6666666666666666E-2</v>
      </c>
      <c r="T65" s="1">
        <v>3.5294117647058823E-2</v>
      </c>
      <c r="U65" s="1">
        <v>3.9215686274509803E-2</v>
      </c>
      <c r="V65" s="1">
        <v>4.7058823529411764E-2</v>
      </c>
      <c r="W65" s="1">
        <v>5.8823529411764705E-2</v>
      </c>
      <c r="X65" s="1">
        <v>4.3137254901960784E-2</v>
      </c>
      <c r="Y65" s="1">
        <v>4.3137254901960784E-2</v>
      </c>
      <c r="Z65" s="1">
        <v>3.9215686274509803E-2</v>
      </c>
      <c r="AA65" s="1">
        <v>5.4901960784313725E-2</v>
      </c>
      <c r="AB65" s="1">
        <v>5.8823529411764705E-2</v>
      </c>
      <c r="AC65" s="1">
        <v>3.5294117647058823E-2</v>
      </c>
      <c r="AD65" s="1">
        <v>4.7058823529411764E-2</v>
      </c>
      <c r="AE65" s="1">
        <v>3.9215686274509803E-2</v>
      </c>
      <c r="AF65" s="1">
        <v>4.7058823529411764E-2</v>
      </c>
      <c r="AG65" s="1">
        <v>4.3137254901960784E-2</v>
      </c>
    </row>
    <row r="66" spans="1:33">
      <c r="A66" s="2">
        <f>A65+Calculations!$B$4</f>
        <v>65.599999999999994</v>
      </c>
      <c r="B66" s="1">
        <v>4.7058823529411764E-2</v>
      </c>
      <c r="C66" s="1">
        <v>6.6666666666666666E-2</v>
      </c>
      <c r="D66" s="1">
        <v>4.7058823529411764E-2</v>
      </c>
      <c r="E66" s="1">
        <v>4.7058823529411764E-2</v>
      </c>
      <c r="F66" s="1">
        <v>3.9215686274509803E-2</v>
      </c>
      <c r="G66" s="1">
        <v>3.9215686274509803E-2</v>
      </c>
      <c r="H66" s="1">
        <v>3.9215686274509803E-2</v>
      </c>
      <c r="I66" s="1">
        <v>4.7058823529411764E-2</v>
      </c>
      <c r="J66" s="1">
        <v>3.9215686274509803E-2</v>
      </c>
      <c r="K66" s="1">
        <v>6.2745098039215685E-2</v>
      </c>
      <c r="L66" s="1">
        <v>5.8823529411764705E-2</v>
      </c>
      <c r="M66" s="1">
        <v>4.7058823529411764E-2</v>
      </c>
      <c r="N66" s="1">
        <v>4.7058823529411764E-2</v>
      </c>
      <c r="O66" s="1">
        <v>4.3137254901960784E-2</v>
      </c>
      <c r="P66" s="1">
        <v>4.3137254901960784E-2</v>
      </c>
      <c r="Q66" s="1">
        <v>4.3137254901960784E-2</v>
      </c>
      <c r="R66" s="1">
        <v>4.3137254901960784E-2</v>
      </c>
      <c r="S66" s="1">
        <v>5.8823529411764705E-2</v>
      </c>
      <c r="T66" s="1">
        <v>4.3137254901960784E-2</v>
      </c>
      <c r="U66" s="1">
        <v>3.9215686274509803E-2</v>
      </c>
      <c r="V66" s="1">
        <v>4.3137254901960784E-2</v>
      </c>
      <c r="W66" s="1">
        <v>5.8823529411764705E-2</v>
      </c>
      <c r="X66" s="1">
        <v>5.0980392156862744E-2</v>
      </c>
      <c r="Y66" s="1">
        <v>3.5294117647058823E-2</v>
      </c>
      <c r="Z66" s="1">
        <v>4.7058823529411764E-2</v>
      </c>
      <c r="AA66" s="1">
        <v>4.7058823529411764E-2</v>
      </c>
      <c r="AB66" s="1">
        <v>5.0980392156862744E-2</v>
      </c>
      <c r="AC66" s="1">
        <v>3.1372549019607843E-2</v>
      </c>
      <c r="AD66" s="1">
        <v>5.0980392156862744E-2</v>
      </c>
      <c r="AE66" s="1">
        <v>4.7058823529411764E-2</v>
      </c>
      <c r="AF66" s="1">
        <v>3.5294117647058823E-2</v>
      </c>
      <c r="AG66" s="1">
        <v>5.0980392156862744E-2</v>
      </c>
    </row>
    <row r="67" spans="1:33">
      <c r="A67" s="2">
        <f>A66+Calculations!$B$4</f>
        <v>66.599999999999994</v>
      </c>
      <c r="B67" s="1">
        <v>4.3137254901960784E-2</v>
      </c>
      <c r="C67" s="1">
        <v>5.4901960784313725E-2</v>
      </c>
      <c r="D67" s="1">
        <v>5.8823529411764705E-2</v>
      </c>
      <c r="E67" s="1">
        <v>4.7058823529411764E-2</v>
      </c>
      <c r="F67" s="1">
        <v>5.0980392156862744E-2</v>
      </c>
      <c r="G67" s="1">
        <v>3.5294117647058823E-2</v>
      </c>
      <c r="H67" s="1">
        <v>3.5294117647058823E-2</v>
      </c>
      <c r="I67" s="1">
        <v>5.0980392156862744E-2</v>
      </c>
      <c r="J67" s="1">
        <v>4.7058823529411764E-2</v>
      </c>
      <c r="K67" s="1">
        <v>5.8823529411764705E-2</v>
      </c>
      <c r="L67" s="1">
        <v>6.2745098039215685E-2</v>
      </c>
      <c r="M67" s="1">
        <v>5.0980392156862744E-2</v>
      </c>
      <c r="N67" s="1">
        <v>3.5294117647058823E-2</v>
      </c>
      <c r="O67" s="1">
        <v>3.9215686274509803E-2</v>
      </c>
      <c r="P67" s="1">
        <v>4.7058823529411764E-2</v>
      </c>
      <c r="Q67" s="1">
        <v>3.9215686274509803E-2</v>
      </c>
      <c r="R67" s="1">
        <v>5.0980392156862744E-2</v>
      </c>
      <c r="S67" s="1">
        <v>6.6666666666666666E-2</v>
      </c>
      <c r="T67" s="1">
        <v>3.5294117647058823E-2</v>
      </c>
      <c r="U67" s="1">
        <v>3.5294117647058823E-2</v>
      </c>
      <c r="V67" s="1">
        <v>4.3137254901960784E-2</v>
      </c>
      <c r="W67" s="1">
        <v>4.7058823529411764E-2</v>
      </c>
      <c r="X67" s="1">
        <v>4.3137254901960784E-2</v>
      </c>
      <c r="Y67" s="1">
        <v>3.9215686274509803E-2</v>
      </c>
      <c r="Z67" s="1">
        <v>5.0980392156862744E-2</v>
      </c>
      <c r="AA67" s="1">
        <v>3.9215686274509803E-2</v>
      </c>
      <c r="AB67" s="1">
        <v>4.7058823529411764E-2</v>
      </c>
      <c r="AC67" s="1">
        <v>3.1372549019607843E-2</v>
      </c>
      <c r="AD67" s="1">
        <v>3.9215686274509803E-2</v>
      </c>
      <c r="AE67" s="1">
        <v>3.9215686274509803E-2</v>
      </c>
      <c r="AF67" s="1">
        <v>3.9215686274509803E-2</v>
      </c>
      <c r="AG67" s="1">
        <v>4.3137254901960784E-2</v>
      </c>
    </row>
    <row r="68" spans="1:33">
      <c r="A68" s="2">
        <f>A67+Calculations!$B$4</f>
        <v>67.599999999999994</v>
      </c>
      <c r="B68" s="1">
        <v>4.3137254901960784E-2</v>
      </c>
      <c r="C68" s="1">
        <v>5.4901960784313725E-2</v>
      </c>
      <c r="D68" s="1">
        <v>5.8823529411764705E-2</v>
      </c>
      <c r="E68" s="1">
        <v>5.4901960784313725E-2</v>
      </c>
      <c r="F68" s="1">
        <v>4.3137254901960784E-2</v>
      </c>
      <c r="G68" s="1">
        <v>3.9215686274509803E-2</v>
      </c>
      <c r="H68" s="1">
        <v>3.5294117647058823E-2</v>
      </c>
      <c r="I68" s="1">
        <v>3.9215686274509803E-2</v>
      </c>
      <c r="J68" s="1">
        <v>5.0980392156862744E-2</v>
      </c>
      <c r="K68" s="1">
        <v>5.8823529411764705E-2</v>
      </c>
      <c r="L68" s="1">
        <v>4.3137254901960784E-2</v>
      </c>
      <c r="M68" s="1">
        <v>4.3137254901960784E-2</v>
      </c>
      <c r="N68" s="1">
        <v>3.5294117647058823E-2</v>
      </c>
      <c r="O68" s="1">
        <v>5.0980392156862744E-2</v>
      </c>
      <c r="P68" s="1">
        <v>3.9215686274509803E-2</v>
      </c>
      <c r="Q68" s="1">
        <v>4.7058823529411764E-2</v>
      </c>
      <c r="R68" s="1">
        <v>5.8823529411764705E-2</v>
      </c>
      <c r="S68" s="1">
        <v>5.8823529411764705E-2</v>
      </c>
      <c r="T68" s="1">
        <v>3.9215686274509803E-2</v>
      </c>
      <c r="U68" s="1">
        <v>3.9215686274509803E-2</v>
      </c>
      <c r="V68" s="1">
        <v>5.0980392156862744E-2</v>
      </c>
      <c r="W68" s="1">
        <v>5.0980392156862744E-2</v>
      </c>
      <c r="X68" s="1">
        <v>3.9215686274509803E-2</v>
      </c>
      <c r="Y68" s="1">
        <v>3.1372549019607843E-2</v>
      </c>
      <c r="Z68" s="1">
        <v>4.3137254901960784E-2</v>
      </c>
      <c r="AA68" s="1">
        <v>5.0980392156862744E-2</v>
      </c>
      <c r="AB68" s="1">
        <v>4.7058823529411764E-2</v>
      </c>
      <c r="AC68" s="1">
        <v>3.9215686274509803E-2</v>
      </c>
      <c r="AD68" s="1">
        <v>4.3137254901960784E-2</v>
      </c>
      <c r="AE68" s="1">
        <v>3.5294117647058823E-2</v>
      </c>
      <c r="AF68" s="1">
        <v>3.5294117647058823E-2</v>
      </c>
      <c r="AG68" s="1">
        <v>5.0980392156862744E-2</v>
      </c>
    </row>
    <row r="69" spans="1:33">
      <c r="A69" s="2">
        <f>A68+Calculations!$B$4</f>
        <v>68.599999999999994</v>
      </c>
      <c r="B69" s="1">
        <v>4.7058823529411764E-2</v>
      </c>
      <c r="C69" s="1">
        <v>5.0980392156862744E-2</v>
      </c>
      <c r="D69" s="1">
        <v>5.8823529411764705E-2</v>
      </c>
      <c r="E69" s="1">
        <v>5.0980392156862744E-2</v>
      </c>
      <c r="F69" s="1">
        <v>4.3137254901960784E-2</v>
      </c>
      <c r="G69" s="1">
        <v>2.7450980392156862E-2</v>
      </c>
      <c r="H69" s="1">
        <v>3.5294117647058823E-2</v>
      </c>
      <c r="I69" s="1">
        <v>3.9215686274509803E-2</v>
      </c>
      <c r="J69" s="1">
        <v>3.5294117647058823E-2</v>
      </c>
      <c r="K69" s="1">
        <v>3.9215686274509803E-2</v>
      </c>
      <c r="L69" s="1">
        <v>6.6666666666666666E-2</v>
      </c>
      <c r="M69" s="1">
        <v>3.9215686274509803E-2</v>
      </c>
      <c r="N69" s="1">
        <v>3.5294117647058823E-2</v>
      </c>
      <c r="O69" s="1">
        <v>4.3137254901960784E-2</v>
      </c>
      <c r="P69" s="1">
        <v>4.7058823529411764E-2</v>
      </c>
      <c r="Q69" s="1">
        <v>4.3137254901960784E-2</v>
      </c>
      <c r="R69" s="1">
        <v>5.4901960784313725E-2</v>
      </c>
      <c r="S69" s="1">
        <v>5.0980392156862744E-2</v>
      </c>
      <c r="T69" s="1">
        <v>2.7450980392156862E-2</v>
      </c>
      <c r="U69" s="1">
        <v>3.1372549019607843E-2</v>
      </c>
      <c r="V69" s="1">
        <v>3.9215686274509803E-2</v>
      </c>
      <c r="W69" s="1">
        <v>5.4901960784313725E-2</v>
      </c>
      <c r="X69" s="1">
        <v>4.3137254901960784E-2</v>
      </c>
      <c r="Y69" s="1">
        <v>3.1372549019607843E-2</v>
      </c>
      <c r="Z69" s="1">
        <v>3.5294117647058823E-2</v>
      </c>
      <c r="AA69" s="1">
        <v>4.7058823529411764E-2</v>
      </c>
      <c r="AB69" s="1">
        <v>4.3137254901960784E-2</v>
      </c>
      <c r="AC69" s="1">
        <v>3.5294117647058823E-2</v>
      </c>
      <c r="AD69" s="1">
        <v>3.9215686274509803E-2</v>
      </c>
      <c r="AE69" s="1">
        <v>3.5294117647058823E-2</v>
      </c>
      <c r="AF69" s="1">
        <v>4.3137254901960784E-2</v>
      </c>
      <c r="AG69" s="1">
        <v>5.0980392156862744E-2</v>
      </c>
    </row>
    <row r="70" spans="1:33">
      <c r="A70" s="2">
        <f>A69+Calculations!$B$4</f>
        <v>69.599999999999994</v>
      </c>
      <c r="B70" s="1">
        <v>5.0980392156862744E-2</v>
      </c>
      <c r="C70" s="1">
        <v>5.0980392156862744E-2</v>
      </c>
      <c r="D70" s="1">
        <v>5.0980392156862744E-2</v>
      </c>
      <c r="E70" s="1">
        <v>2.7450980392156862E-2</v>
      </c>
      <c r="F70" s="1">
        <v>4.3137254901960784E-2</v>
      </c>
      <c r="G70" s="1">
        <v>3.5294117647058823E-2</v>
      </c>
      <c r="H70" s="1">
        <v>3.5294117647058823E-2</v>
      </c>
      <c r="I70" s="1">
        <v>4.3137254901960784E-2</v>
      </c>
      <c r="J70" s="1">
        <v>4.3137254901960784E-2</v>
      </c>
      <c r="K70" s="1">
        <v>5.0980392156862744E-2</v>
      </c>
      <c r="L70" s="1">
        <v>5.8823529411764705E-2</v>
      </c>
      <c r="M70" s="1">
        <v>4.7058823529411764E-2</v>
      </c>
      <c r="N70" s="1">
        <v>4.3137254901960784E-2</v>
      </c>
      <c r="O70" s="1">
        <v>5.0980392156862744E-2</v>
      </c>
      <c r="P70" s="1">
        <v>3.9215686274509803E-2</v>
      </c>
      <c r="Q70" s="1">
        <v>3.9215686274509803E-2</v>
      </c>
      <c r="R70" s="1">
        <v>5.0980392156862744E-2</v>
      </c>
      <c r="S70" s="1">
        <v>3.9215686274509803E-2</v>
      </c>
      <c r="T70" s="1">
        <v>3.5294117647058823E-2</v>
      </c>
      <c r="U70" s="1">
        <v>3.1372549019607843E-2</v>
      </c>
      <c r="V70" s="1">
        <v>3.9215686274509803E-2</v>
      </c>
      <c r="W70" s="1">
        <v>3.9215686274509803E-2</v>
      </c>
      <c r="X70" s="1">
        <v>4.3137254901960784E-2</v>
      </c>
      <c r="Y70" s="1">
        <v>3.1372549019607843E-2</v>
      </c>
      <c r="Z70" s="1">
        <v>3.9215686274509803E-2</v>
      </c>
      <c r="AA70" s="1">
        <v>3.9215686274509803E-2</v>
      </c>
      <c r="AB70" s="1">
        <v>5.0980392156862744E-2</v>
      </c>
      <c r="AC70" s="1">
        <v>3.1372549019607843E-2</v>
      </c>
      <c r="AD70" s="1">
        <v>3.5294117647058823E-2</v>
      </c>
      <c r="AE70" s="1">
        <v>3.1372549019607843E-2</v>
      </c>
      <c r="AF70" s="1">
        <v>4.7058823529411764E-2</v>
      </c>
      <c r="AG70" s="1">
        <v>4.3137254901960784E-2</v>
      </c>
    </row>
    <row r="71" spans="1:33">
      <c r="A71" s="2">
        <f>A70+Calculations!$B$4</f>
        <v>70.599999999999994</v>
      </c>
      <c r="B71" s="1">
        <v>4.3137254901960784E-2</v>
      </c>
      <c r="C71" s="1">
        <v>5.0980392156862744E-2</v>
      </c>
      <c r="D71" s="1">
        <v>5.0980392156862744E-2</v>
      </c>
      <c r="E71" s="1">
        <v>2.7450980392156862E-2</v>
      </c>
      <c r="F71" s="1">
        <v>3.5294117647058823E-2</v>
      </c>
      <c r="G71" s="1">
        <v>2.7450980392156862E-2</v>
      </c>
      <c r="H71" s="1">
        <v>3.1372549019607843E-2</v>
      </c>
      <c r="I71" s="1">
        <v>3.5294117647058823E-2</v>
      </c>
      <c r="J71" s="1">
        <v>5.4901960784313725E-2</v>
      </c>
      <c r="K71" s="1">
        <v>4.7058823529411764E-2</v>
      </c>
      <c r="L71" s="1">
        <v>5.0980392156862744E-2</v>
      </c>
      <c r="M71" s="1">
        <v>3.5294117647058823E-2</v>
      </c>
      <c r="N71" s="1">
        <v>3.9215686274509803E-2</v>
      </c>
      <c r="O71" s="1">
        <v>5.0980392156862744E-2</v>
      </c>
      <c r="P71" s="1">
        <v>4.3137254901960784E-2</v>
      </c>
      <c r="Q71" s="1">
        <v>5.0980392156862744E-2</v>
      </c>
      <c r="R71" s="1">
        <v>5.0980392156862744E-2</v>
      </c>
      <c r="S71" s="1">
        <v>4.3137254901960784E-2</v>
      </c>
      <c r="T71" s="1">
        <v>3.5294117647058823E-2</v>
      </c>
      <c r="U71" s="1">
        <v>2.7450980392156862E-2</v>
      </c>
      <c r="V71" s="1">
        <v>5.0980392156862744E-2</v>
      </c>
      <c r="W71" s="1">
        <v>4.3137254901960784E-2</v>
      </c>
      <c r="X71" s="1">
        <v>4.7058823529411764E-2</v>
      </c>
      <c r="Y71" s="1">
        <v>2.7450980392156862E-2</v>
      </c>
      <c r="Z71" s="1">
        <v>2.3529411764705882E-2</v>
      </c>
      <c r="AA71" s="1">
        <v>5.0980392156862744E-2</v>
      </c>
      <c r="AB71" s="1">
        <v>4.3137254901960784E-2</v>
      </c>
      <c r="AC71" s="1">
        <v>3.9215686274509803E-2</v>
      </c>
      <c r="AD71" s="1">
        <v>3.1372549019607843E-2</v>
      </c>
      <c r="AE71" s="1">
        <v>3.5294117647058823E-2</v>
      </c>
      <c r="AF71" s="1">
        <v>4.3137254901960784E-2</v>
      </c>
      <c r="AG71" s="1">
        <v>4.7058823529411764E-2</v>
      </c>
    </row>
    <row r="72" spans="1:33">
      <c r="A72" s="2">
        <f>A71+Calculations!$B$4</f>
        <v>71.599999999999994</v>
      </c>
      <c r="B72" s="1">
        <v>5.0980392156862744E-2</v>
      </c>
      <c r="C72" s="1">
        <v>5.0980392156862744E-2</v>
      </c>
      <c r="D72" s="1">
        <v>4.3137254901960784E-2</v>
      </c>
      <c r="E72" s="1">
        <v>3.5294117647058823E-2</v>
      </c>
      <c r="F72" s="1">
        <v>4.7058823529411764E-2</v>
      </c>
      <c r="G72" s="1">
        <v>2.3529411764705882E-2</v>
      </c>
      <c r="H72" s="1">
        <v>2.7450980392156862E-2</v>
      </c>
      <c r="I72" s="1">
        <v>3.5294117647058823E-2</v>
      </c>
      <c r="J72" s="1">
        <v>3.5294117647058823E-2</v>
      </c>
      <c r="K72" s="1">
        <v>5.0980392156862744E-2</v>
      </c>
      <c r="L72" s="1">
        <v>5.4901960784313725E-2</v>
      </c>
      <c r="M72" s="1">
        <v>3.1372549019607843E-2</v>
      </c>
      <c r="N72" s="1">
        <v>3.9215686274509803E-2</v>
      </c>
      <c r="O72" s="1">
        <v>5.0980392156862744E-2</v>
      </c>
      <c r="P72" s="1">
        <v>4.3137254901960784E-2</v>
      </c>
      <c r="Q72" s="1">
        <v>4.7058823529411764E-2</v>
      </c>
      <c r="R72" s="1">
        <v>5.0980392156862744E-2</v>
      </c>
      <c r="S72" s="1">
        <v>3.5294117647058823E-2</v>
      </c>
      <c r="T72" s="1">
        <v>4.3137254901960784E-2</v>
      </c>
      <c r="U72" s="1">
        <v>1.9607843137254902E-2</v>
      </c>
      <c r="V72" s="1">
        <v>3.1372549019607843E-2</v>
      </c>
      <c r="W72" s="1">
        <v>3.9215686274509803E-2</v>
      </c>
      <c r="X72" s="1">
        <v>5.0980392156862744E-2</v>
      </c>
      <c r="Y72" s="1">
        <v>2.3529411764705882E-2</v>
      </c>
      <c r="Z72" s="1">
        <v>3.5294117647058823E-2</v>
      </c>
      <c r="AA72" s="1">
        <v>5.0980392156862744E-2</v>
      </c>
      <c r="AB72" s="1">
        <v>4.7058823529411764E-2</v>
      </c>
      <c r="AC72" s="1">
        <v>3.9215686274509803E-2</v>
      </c>
      <c r="AD72" s="1">
        <v>3.5294117647058823E-2</v>
      </c>
      <c r="AE72" s="1">
        <v>3.5294117647058823E-2</v>
      </c>
      <c r="AF72" s="1">
        <v>4.3137254901960784E-2</v>
      </c>
      <c r="AG72" s="1">
        <v>4.3137254901960784E-2</v>
      </c>
    </row>
    <row r="73" spans="1:33">
      <c r="A73" s="2">
        <f>A72+Calculations!$B$4</f>
        <v>72.599999999999994</v>
      </c>
      <c r="B73" s="1">
        <v>5.0980392156862744E-2</v>
      </c>
      <c r="C73" s="1">
        <v>5.0980392156862744E-2</v>
      </c>
      <c r="D73" s="1">
        <v>4.3137254901960784E-2</v>
      </c>
      <c r="E73" s="1">
        <v>5.0980392156862744E-2</v>
      </c>
      <c r="F73" s="1">
        <v>4.3137254901960784E-2</v>
      </c>
      <c r="G73" s="1">
        <v>3.1372549019607843E-2</v>
      </c>
      <c r="H73" s="1">
        <v>2.7450980392156862E-2</v>
      </c>
      <c r="I73" s="1">
        <v>3.5294117647058823E-2</v>
      </c>
      <c r="J73" s="1">
        <v>4.3137254901960784E-2</v>
      </c>
      <c r="K73" s="1">
        <v>5.0980392156862744E-2</v>
      </c>
      <c r="L73" s="1">
        <v>5.0980392156862744E-2</v>
      </c>
      <c r="M73" s="1">
        <v>4.3137254901960784E-2</v>
      </c>
      <c r="N73" s="1">
        <v>3.5294117647058823E-2</v>
      </c>
      <c r="O73" s="1">
        <v>3.9215686274509803E-2</v>
      </c>
      <c r="P73" s="1">
        <v>3.9215686274509803E-2</v>
      </c>
      <c r="Q73" s="1">
        <v>4.3137254901960784E-2</v>
      </c>
      <c r="R73" s="1">
        <v>3.9215686274509803E-2</v>
      </c>
      <c r="S73" s="1">
        <v>3.5294117647058823E-2</v>
      </c>
      <c r="T73" s="1">
        <v>2.7450980392156862E-2</v>
      </c>
      <c r="U73" s="1">
        <v>2.7450980392156862E-2</v>
      </c>
      <c r="V73" s="1">
        <v>3.1372549019607843E-2</v>
      </c>
      <c r="W73" s="1">
        <v>3.9215686274509803E-2</v>
      </c>
      <c r="X73" s="1">
        <v>4.3137254901960784E-2</v>
      </c>
      <c r="Y73" s="1">
        <v>3.9215686274509803E-2</v>
      </c>
      <c r="Z73" s="1">
        <v>3.5294117647058823E-2</v>
      </c>
      <c r="AA73" s="1">
        <v>5.0980392156862744E-2</v>
      </c>
      <c r="AB73" s="1">
        <v>4.7058823529411764E-2</v>
      </c>
      <c r="AC73" s="1">
        <v>3.1372549019607843E-2</v>
      </c>
      <c r="AD73" s="1">
        <v>2.7450980392156862E-2</v>
      </c>
      <c r="AE73" s="1">
        <v>3.1372549019607843E-2</v>
      </c>
      <c r="AF73" s="1">
        <v>4.3137254901960784E-2</v>
      </c>
      <c r="AG73" s="1">
        <v>5.0980392156862744E-2</v>
      </c>
    </row>
    <row r="74" spans="1:33">
      <c r="A74" s="2">
        <f>A73+Calculations!$B$4</f>
        <v>73.599999999999994</v>
      </c>
      <c r="B74" s="1">
        <v>5.0980392156862744E-2</v>
      </c>
      <c r="C74" s="1">
        <v>4.7058823529411764E-2</v>
      </c>
      <c r="D74" s="1">
        <v>4.3137254901960784E-2</v>
      </c>
      <c r="E74" s="1">
        <v>3.5294117647058823E-2</v>
      </c>
      <c r="F74" s="1">
        <v>4.7058823529411764E-2</v>
      </c>
      <c r="G74" s="1">
        <v>2.3529411764705882E-2</v>
      </c>
      <c r="H74" s="1">
        <v>2.3529411764705882E-2</v>
      </c>
      <c r="I74" s="1">
        <v>4.3137254901960784E-2</v>
      </c>
      <c r="J74" s="1">
        <v>1.9607843137254902E-2</v>
      </c>
      <c r="K74" s="1">
        <v>3.9215686274509803E-2</v>
      </c>
      <c r="L74" s="1">
        <v>5.0980392156862744E-2</v>
      </c>
      <c r="M74" s="1">
        <v>3.1372549019607843E-2</v>
      </c>
      <c r="N74" s="1">
        <v>3.9215686274509803E-2</v>
      </c>
      <c r="O74" s="1">
        <v>4.7058823529411764E-2</v>
      </c>
      <c r="P74" s="1">
        <v>3.9215686274509803E-2</v>
      </c>
      <c r="Q74" s="1">
        <v>4.3137254901960784E-2</v>
      </c>
      <c r="R74" s="1">
        <v>3.1372549019607843E-2</v>
      </c>
      <c r="S74" s="1">
        <v>5.0980392156862744E-2</v>
      </c>
      <c r="T74" s="1">
        <v>2.7450980392156862E-2</v>
      </c>
      <c r="U74" s="1">
        <v>2.3529411764705882E-2</v>
      </c>
      <c r="V74" s="1">
        <v>4.3137254901960784E-2</v>
      </c>
      <c r="W74" s="1">
        <v>3.9215686274509803E-2</v>
      </c>
      <c r="X74" s="1">
        <v>3.1372549019607843E-2</v>
      </c>
      <c r="Y74" s="1">
        <v>3.1372549019607843E-2</v>
      </c>
      <c r="Z74" s="1">
        <v>3.5294117647058823E-2</v>
      </c>
      <c r="AA74" s="1">
        <v>3.9215686274509803E-2</v>
      </c>
      <c r="AB74" s="1">
        <v>4.3137254901960784E-2</v>
      </c>
      <c r="AC74" s="1">
        <v>3.1372549019607843E-2</v>
      </c>
      <c r="AD74" s="1">
        <v>3.1372549019607843E-2</v>
      </c>
      <c r="AE74" s="1">
        <v>2.3529411764705882E-2</v>
      </c>
      <c r="AF74" s="1">
        <v>4.3137254901960784E-2</v>
      </c>
      <c r="AG74" s="1">
        <v>5.0980392156862744E-2</v>
      </c>
    </row>
    <row r="75" spans="1:33">
      <c r="A75" s="2">
        <f>A74+Calculations!$B$4</f>
        <v>74.599999999999994</v>
      </c>
      <c r="B75" s="1">
        <v>4.7058823529411764E-2</v>
      </c>
      <c r="C75" s="1">
        <v>5.0980392156862744E-2</v>
      </c>
      <c r="D75" s="1">
        <v>4.3137254901960784E-2</v>
      </c>
      <c r="E75" s="1">
        <v>3.5294117647058823E-2</v>
      </c>
      <c r="F75" s="1">
        <v>4.3137254901960784E-2</v>
      </c>
      <c r="G75" s="1">
        <v>2.3529411764705882E-2</v>
      </c>
      <c r="H75" s="1">
        <v>1.5686274509803921E-2</v>
      </c>
      <c r="I75" s="1">
        <v>4.3137254901960784E-2</v>
      </c>
      <c r="J75" s="1">
        <v>1.9607843137254902E-2</v>
      </c>
      <c r="K75" s="1">
        <v>3.1372549019607843E-2</v>
      </c>
      <c r="L75" s="1">
        <v>5.0980392156862744E-2</v>
      </c>
      <c r="M75" s="1">
        <v>3.1372549019607843E-2</v>
      </c>
      <c r="N75" s="1">
        <v>2.7450980392156862E-2</v>
      </c>
      <c r="O75" s="1">
        <v>3.1372549019607843E-2</v>
      </c>
      <c r="P75" s="1">
        <v>3.1372549019607843E-2</v>
      </c>
      <c r="Q75" s="1">
        <v>3.5294117647058823E-2</v>
      </c>
      <c r="R75" s="1">
        <v>4.3137254901960784E-2</v>
      </c>
      <c r="S75" s="1">
        <v>3.1372549019607843E-2</v>
      </c>
      <c r="T75" s="1">
        <v>3.5294117647058823E-2</v>
      </c>
      <c r="U75" s="1">
        <v>2.3529411764705882E-2</v>
      </c>
      <c r="V75" s="1">
        <v>3.9215686274509803E-2</v>
      </c>
      <c r="W75" s="1">
        <v>3.1372549019607843E-2</v>
      </c>
      <c r="X75" s="1">
        <v>3.5294117647058823E-2</v>
      </c>
      <c r="Y75" s="1">
        <v>3.5294117647058823E-2</v>
      </c>
      <c r="Z75" s="1">
        <v>3.9215686274509803E-2</v>
      </c>
      <c r="AA75" s="1">
        <v>4.7058823529411764E-2</v>
      </c>
      <c r="AB75" s="1">
        <v>4.3137254901960784E-2</v>
      </c>
      <c r="AC75" s="1">
        <v>3.1372549019607843E-2</v>
      </c>
      <c r="AD75" s="1">
        <v>2.7450980392156862E-2</v>
      </c>
      <c r="AE75" s="1">
        <v>2.3529411764705882E-2</v>
      </c>
      <c r="AF75" s="1">
        <v>3.5294117647058823E-2</v>
      </c>
      <c r="AG75" s="1">
        <v>5.0980392156862744E-2</v>
      </c>
    </row>
    <row r="76" spans="1:33">
      <c r="A76" s="2">
        <f>A75+Calculations!$B$4</f>
        <v>75.599999999999994</v>
      </c>
      <c r="B76" s="1">
        <v>4.7058823529411764E-2</v>
      </c>
      <c r="C76" s="1">
        <v>4.3137254901960784E-2</v>
      </c>
      <c r="D76" s="1">
        <v>3.5294117647058823E-2</v>
      </c>
      <c r="E76" s="1">
        <v>4.3137254901960784E-2</v>
      </c>
      <c r="F76" s="1">
        <v>2.3529411764705882E-2</v>
      </c>
      <c r="G76" s="1">
        <v>2.3529411764705882E-2</v>
      </c>
      <c r="H76" s="1">
        <v>1.5686274509803921E-2</v>
      </c>
      <c r="I76" s="1">
        <v>3.9215686274509803E-2</v>
      </c>
      <c r="J76" s="1">
        <v>2.3529411764705882E-2</v>
      </c>
      <c r="K76" s="1">
        <v>3.9215686274509803E-2</v>
      </c>
      <c r="L76" s="1">
        <v>4.3137254901960784E-2</v>
      </c>
      <c r="M76" s="1">
        <v>2.7450980392156862E-2</v>
      </c>
      <c r="N76" s="1">
        <v>3.1372549019607843E-2</v>
      </c>
      <c r="O76" s="1">
        <v>2.3529411764705882E-2</v>
      </c>
      <c r="P76" s="1">
        <v>3.1372549019607843E-2</v>
      </c>
      <c r="Q76" s="1">
        <v>2.3529411764705882E-2</v>
      </c>
      <c r="R76" s="1">
        <v>3.9215686274509803E-2</v>
      </c>
      <c r="S76" s="1">
        <v>3.5294117647058823E-2</v>
      </c>
      <c r="T76" s="1">
        <v>4.3137254901960784E-2</v>
      </c>
      <c r="U76" s="1">
        <v>2.3529411764705882E-2</v>
      </c>
      <c r="V76" s="1">
        <v>2.3529411764705882E-2</v>
      </c>
      <c r="W76" s="1">
        <v>3.1372549019607843E-2</v>
      </c>
      <c r="X76" s="1">
        <v>4.3137254901960784E-2</v>
      </c>
      <c r="Y76" s="1">
        <v>3.9215686274509803E-2</v>
      </c>
      <c r="Z76" s="1">
        <v>2.7450980392156862E-2</v>
      </c>
      <c r="AA76" s="1">
        <v>3.5294117647058823E-2</v>
      </c>
      <c r="AB76" s="1">
        <v>4.3137254901960784E-2</v>
      </c>
      <c r="AC76" s="1">
        <v>3.1372549019607843E-2</v>
      </c>
      <c r="AD76" s="1">
        <v>3.1372549019607843E-2</v>
      </c>
      <c r="AE76" s="1">
        <v>3.5294117647058823E-2</v>
      </c>
      <c r="AF76" s="1">
        <v>3.5294117647058823E-2</v>
      </c>
      <c r="AG76" s="1">
        <v>4.3137254901960784E-2</v>
      </c>
    </row>
    <row r="77" spans="1:33">
      <c r="A77" s="2">
        <f>A76+Calculations!$B$4</f>
        <v>76.599999999999994</v>
      </c>
      <c r="B77" s="1">
        <v>5.0980392156862744E-2</v>
      </c>
      <c r="C77" s="1">
        <v>4.3137254901960784E-2</v>
      </c>
      <c r="D77" s="1">
        <v>3.5294117647058823E-2</v>
      </c>
      <c r="E77" s="1">
        <v>3.1372549019607843E-2</v>
      </c>
      <c r="F77" s="1">
        <v>4.3137254901960784E-2</v>
      </c>
      <c r="G77" s="1">
        <v>1.5686274509803921E-2</v>
      </c>
      <c r="H77" s="1">
        <v>1.9607843137254902E-2</v>
      </c>
      <c r="I77" s="1">
        <v>3.1372549019607843E-2</v>
      </c>
      <c r="J77" s="1">
        <v>1.9607843137254902E-2</v>
      </c>
      <c r="K77" s="1">
        <v>1.9607843137254902E-2</v>
      </c>
      <c r="L77" s="1">
        <v>4.3137254901960784E-2</v>
      </c>
      <c r="M77" s="1">
        <v>2.7450980392156862E-2</v>
      </c>
      <c r="N77" s="1">
        <v>3.5294117647058823E-2</v>
      </c>
      <c r="O77" s="1">
        <v>2.3529411764705882E-2</v>
      </c>
      <c r="P77" s="1">
        <v>3.1372549019607843E-2</v>
      </c>
      <c r="Q77" s="1">
        <v>2.7450980392156862E-2</v>
      </c>
      <c r="R77" s="1">
        <v>2.7450980392156862E-2</v>
      </c>
      <c r="S77" s="1">
        <v>4.3137254901960784E-2</v>
      </c>
      <c r="T77" s="1">
        <v>2.7450980392156862E-2</v>
      </c>
      <c r="U77" s="1">
        <v>2.3529411764705882E-2</v>
      </c>
      <c r="V77" s="1">
        <v>1.9607843137254902E-2</v>
      </c>
      <c r="W77" s="1">
        <v>3.1372549019607843E-2</v>
      </c>
      <c r="X77" s="1">
        <v>3.5294117647058823E-2</v>
      </c>
      <c r="Y77" s="1">
        <v>3.5294117647058823E-2</v>
      </c>
      <c r="Z77" s="1">
        <v>3.1372549019607843E-2</v>
      </c>
      <c r="AA77" s="1">
        <v>4.3137254901960784E-2</v>
      </c>
      <c r="AB77" s="1">
        <v>4.3137254901960784E-2</v>
      </c>
      <c r="AC77" s="1">
        <v>2.3529411764705882E-2</v>
      </c>
      <c r="AD77" s="1">
        <v>2.7450980392156862E-2</v>
      </c>
      <c r="AE77" s="1">
        <v>2.3529411764705882E-2</v>
      </c>
      <c r="AF77" s="1">
        <v>3.1372549019607843E-2</v>
      </c>
      <c r="AG77" s="1">
        <v>4.3137254901960784E-2</v>
      </c>
    </row>
    <row r="78" spans="1:33">
      <c r="A78" s="2">
        <f>A77+Calculations!$B$4</f>
        <v>77.599999999999994</v>
      </c>
      <c r="B78" s="1">
        <v>4.3137254901960784E-2</v>
      </c>
      <c r="C78" s="1">
        <v>4.3137254901960784E-2</v>
      </c>
      <c r="D78" s="1">
        <v>3.5294117647058823E-2</v>
      </c>
      <c r="E78" s="1">
        <v>1.9607843137254902E-2</v>
      </c>
      <c r="F78" s="1">
        <v>4.3137254901960784E-2</v>
      </c>
      <c r="G78" s="1">
        <v>2.7450980392156862E-2</v>
      </c>
      <c r="H78" s="1">
        <v>1.5686274509803921E-2</v>
      </c>
      <c r="I78" s="1">
        <v>2.7450980392156862E-2</v>
      </c>
      <c r="J78" s="1">
        <v>1.5686274509803921E-2</v>
      </c>
      <c r="K78" s="1">
        <v>2.7450980392156862E-2</v>
      </c>
      <c r="L78" s="1">
        <v>4.3137254901960784E-2</v>
      </c>
      <c r="M78" s="1">
        <v>3.1372549019607843E-2</v>
      </c>
      <c r="N78" s="1">
        <v>2.3529411764705882E-2</v>
      </c>
      <c r="O78" s="1">
        <v>2.3529411764705882E-2</v>
      </c>
      <c r="P78" s="1">
        <v>2.3529411764705882E-2</v>
      </c>
      <c r="Q78" s="1">
        <v>3.5294117647058823E-2</v>
      </c>
      <c r="R78" s="1">
        <v>3.9215686274509803E-2</v>
      </c>
      <c r="S78" s="1">
        <v>3.5294117647058823E-2</v>
      </c>
      <c r="T78" s="1">
        <v>3.5294117647058823E-2</v>
      </c>
      <c r="U78" s="1">
        <v>3.9215686274509803E-2</v>
      </c>
      <c r="V78" s="1">
        <v>1.9607843137254902E-2</v>
      </c>
      <c r="W78" s="1">
        <v>2.3529411764705882E-2</v>
      </c>
      <c r="X78" s="1">
        <v>4.3137254901960784E-2</v>
      </c>
      <c r="Y78" s="1">
        <v>3.5294117647058823E-2</v>
      </c>
      <c r="Z78" s="1">
        <v>3.5294117647058823E-2</v>
      </c>
      <c r="AA78" s="1">
        <v>3.1372549019607843E-2</v>
      </c>
      <c r="AB78" s="1">
        <v>4.3137254901960784E-2</v>
      </c>
      <c r="AC78" s="1">
        <v>2.3529411764705882E-2</v>
      </c>
      <c r="AD78" s="1">
        <v>3.1372549019607843E-2</v>
      </c>
      <c r="AE78" s="1">
        <v>1.9607843137254902E-2</v>
      </c>
      <c r="AF78" s="1">
        <v>3.5294117647058823E-2</v>
      </c>
      <c r="AG78" s="1">
        <v>3.5294117647058823E-2</v>
      </c>
    </row>
    <row r="79" spans="1:33">
      <c r="A79" s="2">
        <f>A78+Calculations!$B$4</f>
        <v>78.599999999999994</v>
      </c>
      <c r="B79" s="1">
        <v>3.5294117647058823E-2</v>
      </c>
      <c r="C79" s="1">
        <v>3.5294117647058823E-2</v>
      </c>
      <c r="D79" s="1">
        <v>3.1372549019607843E-2</v>
      </c>
      <c r="E79" s="1">
        <v>2.3529411764705882E-2</v>
      </c>
      <c r="F79" s="1">
        <v>3.5294117647058823E-2</v>
      </c>
      <c r="G79" s="1">
        <v>1.9607843137254902E-2</v>
      </c>
      <c r="H79" s="1">
        <v>1.5686274509803921E-2</v>
      </c>
      <c r="I79" s="1">
        <v>2.7450980392156862E-2</v>
      </c>
      <c r="J79" s="1">
        <v>3.5294117647058823E-2</v>
      </c>
      <c r="K79" s="1">
        <v>2.3529411764705882E-2</v>
      </c>
      <c r="L79" s="1">
        <v>1.5686274509803921E-2</v>
      </c>
      <c r="M79" s="1">
        <v>2.7450980392156862E-2</v>
      </c>
      <c r="N79" s="1">
        <v>2.7450980392156862E-2</v>
      </c>
      <c r="O79" s="1">
        <v>2.7450980392156862E-2</v>
      </c>
      <c r="P79" s="1">
        <v>1.5686274509803921E-2</v>
      </c>
      <c r="Q79" s="1">
        <v>2.3529411764705882E-2</v>
      </c>
      <c r="R79" s="1">
        <v>3.1372549019607843E-2</v>
      </c>
      <c r="S79" s="1">
        <v>2.7450980392156862E-2</v>
      </c>
      <c r="T79" s="1">
        <v>2.3529411764705882E-2</v>
      </c>
      <c r="U79" s="1">
        <v>3.5294117647058823E-2</v>
      </c>
      <c r="V79" s="1">
        <v>2.3529411764705882E-2</v>
      </c>
      <c r="W79" s="1">
        <v>2.3529411764705882E-2</v>
      </c>
      <c r="X79" s="1">
        <v>4.3137254901960784E-2</v>
      </c>
      <c r="Y79" s="1">
        <v>2.3529411764705882E-2</v>
      </c>
      <c r="Z79" s="1">
        <v>2.3529411764705882E-2</v>
      </c>
      <c r="AA79" s="1">
        <v>2.3529411764705882E-2</v>
      </c>
      <c r="AB79" s="1">
        <v>4.3137254901960784E-2</v>
      </c>
      <c r="AC79" s="1">
        <v>2.3529411764705882E-2</v>
      </c>
      <c r="AD79" s="1">
        <v>3.5294117647058823E-2</v>
      </c>
      <c r="AE79" s="1">
        <v>1.9607843137254902E-2</v>
      </c>
      <c r="AF79" s="1">
        <v>2.7450980392156862E-2</v>
      </c>
      <c r="AG79" s="1">
        <v>4.3137254901960784E-2</v>
      </c>
    </row>
    <row r="80" spans="1:33">
      <c r="A80" s="2">
        <f>A79+Calculations!$B$4</f>
        <v>79.599999999999994</v>
      </c>
      <c r="B80" s="1">
        <v>3.5294117647058823E-2</v>
      </c>
      <c r="C80" s="1">
        <v>3.5294117647058823E-2</v>
      </c>
      <c r="D80" s="1">
        <v>3.5294117647058823E-2</v>
      </c>
      <c r="E80" s="1">
        <v>1.9607843137254902E-2</v>
      </c>
      <c r="F80" s="1">
        <v>3.1372549019607843E-2</v>
      </c>
      <c r="G80" s="1">
        <v>1.9607843137254902E-2</v>
      </c>
      <c r="H80" s="1">
        <v>1.1764705882352941E-2</v>
      </c>
      <c r="I80" s="1">
        <v>2.3529411764705882E-2</v>
      </c>
      <c r="J80" s="1">
        <v>1.9607843137254902E-2</v>
      </c>
      <c r="K80" s="1">
        <v>2.3529411764705882E-2</v>
      </c>
      <c r="L80" s="1">
        <v>1.9607843137254902E-2</v>
      </c>
      <c r="M80" s="1">
        <v>2.7450980392156862E-2</v>
      </c>
      <c r="N80" s="1">
        <v>3.5294117647058823E-2</v>
      </c>
      <c r="O80" s="1">
        <v>2.3529411764705882E-2</v>
      </c>
      <c r="P80" s="1">
        <v>1.5686274509803921E-2</v>
      </c>
      <c r="Q80" s="1">
        <v>2.3529411764705882E-2</v>
      </c>
      <c r="R80" s="1">
        <v>3.1372549019607843E-2</v>
      </c>
      <c r="S80" s="1">
        <v>2.3529411764705882E-2</v>
      </c>
      <c r="T80" s="1">
        <v>2.7450980392156862E-2</v>
      </c>
      <c r="U80" s="1">
        <v>2.3529411764705882E-2</v>
      </c>
      <c r="V80" s="1">
        <v>1.9607843137254902E-2</v>
      </c>
      <c r="W80" s="1">
        <v>4.3137254901960784E-2</v>
      </c>
      <c r="X80" s="1">
        <v>3.9215686274509803E-2</v>
      </c>
      <c r="Y80" s="1">
        <v>3.1372549019607843E-2</v>
      </c>
      <c r="Z80" s="1">
        <v>1.5686274509803921E-2</v>
      </c>
      <c r="AA80" s="1">
        <v>2.3529411764705882E-2</v>
      </c>
      <c r="AB80" s="1">
        <v>4.3137254901960784E-2</v>
      </c>
      <c r="AC80" s="1">
        <v>2.3529411764705882E-2</v>
      </c>
      <c r="AD80" s="1">
        <v>2.7450980392156862E-2</v>
      </c>
      <c r="AE80" s="1">
        <v>2.7450980392156862E-2</v>
      </c>
      <c r="AF80" s="1">
        <v>2.7450980392156862E-2</v>
      </c>
      <c r="AG80" s="1">
        <v>4.3137254901960784E-2</v>
      </c>
    </row>
    <row r="81" spans="1:33">
      <c r="A81" s="2">
        <f>A80+Calculations!$B$4</f>
        <v>80.599999999999994</v>
      </c>
      <c r="B81" s="1">
        <v>3.5294117647058823E-2</v>
      </c>
      <c r="C81" s="1">
        <v>3.5294117647058823E-2</v>
      </c>
      <c r="D81" s="1">
        <v>2.3529411764705882E-2</v>
      </c>
      <c r="E81" s="1">
        <v>2.3529411764705882E-2</v>
      </c>
      <c r="F81" s="1">
        <v>3.5294117647058823E-2</v>
      </c>
      <c r="G81" s="1">
        <v>1.5686274509803921E-2</v>
      </c>
      <c r="H81" s="1">
        <v>1.5686274509803921E-2</v>
      </c>
      <c r="I81" s="1">
        <v>2.7450980392156862E-2</v>
      </c>
      <c r="J81" s="1">
        <v>3.1372549019607843E-2</v>
      </c>
      <c r="K81" s="1">
        <v>2.3529411764705882E-2</v>
      </c>
      <c r="L81" s="1">
        <v>3.5294117647058823E-2</v>
      </c>
      <c r="M81" s="1">
        <v>2.3529411764705882E-2</v>
      </c>
      <c r="N81" s="1">
        <v>2.7450980392156862E-2</v>
      </c>
      <c r="O81" s="1">
        <v>2.7450980392156862E-2</v>
      </c>
      <c r="P81" s="1">
        <v>1.9607843137254902E-2</v>
      </c>
      <c r="Q81" s="1">
        <v>2.3529411764705882E-2</v>
      </c>
      <c r="R81" s="1">
        <v>2.3529411764705882E-2</v>
      </c>
      <c r="S81" s="1">
        <v>2.3529411764705882E-2</v>
      </c>
      <c r="T81" s="1">
        <v>2.3529411764705882E-2</v>
      </c>
      <c r="U81" s="1">
        <v>2.3529411764705882E-2</v>
      </c>
      <c r="V81" s="1">
        <v>2.7450980392156862E-2</v>
      </c>
      <c r="W81" s="1">
        <v>3.1372549019607843E-2</v>
      </c>
      <c r="X81" s="1">
        <v>4.3137254901960784E-2</v>
      </c>
      <c r="Y81" s="1">
        <v>2.3529411764705882E-2</v>
      </c>
      <c r="Z81" s="1">
        <v>1.5686274509803921E-2</v>
      </c>
      <c r="AA81" s="1">
        <v>3.1372549019607843E-2</v>
      </c>
      <c r="AB81" s="1">
        <v>3.9215686274509803E-2</v>
      </c>
      <c r="AC81" s="1">
        <v>3.5294117647058823E-2</v>
      </c>
      <c r="AD81" s="1">
        <v>2.7450980392156862E-2</v>
      </c>
      <c r="AE81" s="1">
        <v>2.7450980392156862E-2</v>
      </c>
      <c r="AF81" s="1">
        <v>2.7450980392156862E-2</v>
      </c>
      <c r="AG81" s="1">
        <v>3.5294117647058823E-2</v>
      </c>
    </row>
    <row r="82" spans="1:33">
      <c r="A82" s="2">
        <f>A81+Calculations!$B$4</f>
        <v>81.599999999999994</v>
      </c>
      <c r="B82" s="1">
        <v>3.5294117647058823E-2</v>
      </c>
      <c r="C82" s="1">
        <v>2.7450980392156862E-2</v>
      </c>
      <c r="D82" s="1">
        <v>1.5686274509803921E-2</v>
      </c>
      <c r="E82" s="1">
        <v>3.1372549019607843E-2</v>
      </c>
      <c r="F82" s="1">
        <v>4.3137254901960784E-2</v>
      </c>
      <c r="G82" s="1">
        <v>1.5686274509803921E-2</v>
      </c>
      <c r="H82" s="1">
        <v>1.9607843137254902E-2</v>
      </c>
      <c r="I82" s="1">
        <v>1.9607843137254902E-2</v>
      </c>
      <c r="J82" s="1">
        <v>2.7450980392156862E-2</v>
      </c>
      <c r="K82" s="1">
        <v>1.9607843137254902E-2</v>
      </c>
      <c r="L82" s="1">
        <v>1.5686274509803921E-2</v>
      </c>
      <c r="M82" s="1">
        <v>1.9607843137254902E-2</v>
      </c>
      <c r="N82" s="1">
        <v>1.5686274509803921E-2</v>
      </c>
      <c r="O82" s="1">
        <v>1.9607843137254902E-2</v>
      </c>
      <c r="P82" s="1">
        <v>1.9607843137254902E-2</v>
      </c>
      <c r="Q82" s="1">
        <v>2.7450980392156862E-2</v>
      </c>
      <c r="R82" s="1">
        <v>2.3529411764705882E-2</v>
      </c>
      <c r="S82" s="1">
        <v>1.5686274509803921E-2</v>
      </c>
      <c r="T82" s="1">
        <v>1.9607843137254902E-2</v>
      </c>
      <c r="U82" s="1">
        <v>1.1764705882352941E-2</v>
      </c>
      <c r="V82" s="1">
        <v>3.5294117647058823E-2</v>
      </c>
      <c r="W82" s="1">
        <v>3.1372549019607843E-2</v>
      </c>
      <c r="X82" s="1">
        <v>4.3137254901960784E-2</v>
      </c>
      <c r="Y82" s="1">
        <v>3.1372549019607843E-2</v>
      </c>
      <c r="Z82" s="1">
        <v>2.7450980392156862E-2</v>
      </c>
      <c r="AA82" s="1">
        <v>2.7450980392156862E-2</v>
      </c>
      <c r="AB82" s="1">
        <v>3.5294117647058823E-2</v>
      </c>
      <c r="AC82" s="1">
        <v>2.3529411764705882E-2</v>
      </c>
      <c r="AD82" s="1">
        <v>3.5294117647058823E-2</v>
      </c>
      <c r="AE82" s="1">
        <v>1.9607843137254902E-2</v>
      </c>
      <c r="AF82" s="1">
        <v>2.7450980392156862E-2</v>
      </c>
      <c r="AG82" s="1">
        <v>3.5294117647058823E-2</v>
      </c>
    </row>
    <row r="83" spans="1:33" s="17" customFormat="1">
      <c r="A83" s="34" t="s">
        <v>20</v>
      </c>
      <c r="B83" s="1">
        <v>0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0</v>
      </c>
      <c r="AD83" s="1">
        <v>0</v>
      </c>
      <c r="AE83" s="1">
        <v>0</v>
      </c>
      <c r="AF83" s="1">
        <v>0</v>
      </c>
      <c r="AG83" s="1">
        <v>0</v>
      </c>
    </row>
    <row r="84" spans="1:33" s="17" customFormat="1">
      <c r="A84" s="16" t="s">
        <v>40</v>
      </c>
      <c r="B84" s="1">
        <v>0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</row>
    <row r="85" spans="1:33" s="17" customFormat="1">
      <c r="A85" s="16" t="s">
        <v>21</v>
      </c>
      <c r="B85" s="1">
        <v>3.8274509803921573E-2</v>
      </c>
      <c r="C85" s="1">
        <v>3.8431372549019606E-2</v>
      </c>
      <c r="D85" s="1">
        <v>3.8274509803921573E-2</v>
      </c>
      <c r="E85" s="1">
        <v>3.835294117647059E-2</v>
      </c>
      <c r="F85" s="1">
        <v>3.835294117647059E-2</v>
      </c>
      <c r="G85" s="1">
        <v>3.835294117647059E-2</v>
      </c>
      <c r="H85" s="1">
        <v>3.8235294117647062E-2</v>
      </c>
      <c r="I85" s="1">
        <v>3.8235294117647062E-2</v>
      </c>
      <c r="J85" s="1">
        <v>3.8313725490196078E-2</v>
      </c>
      <c r="K85" s="1">
        <v>3.8117647058823527E-2</v>
      </c>
      <c r="L85" s="1">
        <v>3.8274509803921573E-2</v>
      </c>
      <c r="M85" s="1">
        <v>3.8156862745098039E-2</v>
      </c>
      <c r="N85" s="1">
        <v>3.8117647058823527E-2</v>
      </c>
      <c r="O85" s="1">
        <v>3.8235294117647062E-2</v>
      </c>
      <c r="P85" s="1">
        <v>3.819607843137255E-2</v>
      </c>
      <c r="Q85" s="1">
        <v>3.8156862745098039E-2</v>
      </c>
      <c r="R85" s="1">
        <v>3.8313725490196078E-2</v>
      </c>
      <c r="S85" s="1">
        <v>3.819607843137255E-2</v>
      </c>
      <c r="T85" s="1">
        <v>3.8274509803921573E-2</v>
      </c>
      <c r="U85" s="1">
        <v>3.819607843137255E-2</v>
      </c>
      <c r="V85" s="1">
        <v>3.8156862745098039E-2</v>
      </c>
      <c r="W85" s="1">
        <v>3.819607843137255E-2</v>
      </c>
      <c r="X85" s="1">
        <v>3.8274509803921573E-2</v>
      </c>
      <c r="Y85" s="1">
        <v>3.835294117647059E-2</v>
      </c>
      <c r="Z85" s="1">
        <v>3.819607843137255E-2</v>
      </c>
      <c r="AA85" s="1">
        <v>3.8274509803921573E-2</v>
      </c>
      <c r="AB85" s="1">
        <v>3.8156862745098039E-2</v>
      </c>
      <c r="AC85" s="1">
        <v>3.835294117647059E-2</v>
      </c>
      <c r="AD85" s="1">
        <v>3.8235294117647062E-2</v>
      </c>
      <c r="AE85" s="1">
        <v>3.835294117647059E-2</v>
      </c>
      <c r="AF85" s="1">
        <v>3.819607843137255E-2</v>
      </c>
      <c r="AG85" s="1">
        <v>3.835294117647059E-2</v>
      </c>
    </row>
    <row r="86" spans="1:33" s="17" customFormat="1">
      <c r="A86" s="16" t="s">
        <v>39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v>0</v>
      </c>
    </row>
    <row r="87" spans="1:33" ht="15.75" thickBot="1">
      <c r="A87" s="16" t="s">
        <v>41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</row>
    <row r="88" spans="1:33">
      <c r="A88" s="35" t="s">
        <v>44</v>
      </c>
      <c r="B88" s="31" t="str">
        <f>DEC2HEX(B83*128+192,2)</f>
        <v>C0</v>
      </c>
      <c r="C88" s="31" t="str">
        <f t="shared" ref="C88:AG88" si="1">DEC2HEX(C83*128+192,2)</f>
        <v>C0</v>
      </c>
      <c r="D88" s="31" t="str">
        <f t="shared" si="1"/>
        <v>C0</v>
      </c>
      <c r="E88" s="31" t="str">
        <f t="shared" si="1"/>
        <v>C0</v>
      </c>
      <c r="F88" s="31" t="str">
        <f t="shared" si="1"/>
        <v>C0</v>
      </c>
      <c r="G88" s="31" t="str">
        <f t="shared" si="1"/>
        <v>C0</v>
      </c>
      <c r="H88" s="31" t="str">
        <f t="shared" si="1"/>
        <v>C0</v>
      </c>
      <c r="I88" s="31" t="str">
        <f t="shared" si="1"/>
        <v>C0</v>
      </c>
      <c r="J88" s="31" t="str">
        <f t="shared" si="1"/>
        <v>C0</v>
      </c>
      <c r="K88" s="31" t="str">
        <f t="shared" si="1"/>
        <v>C0</v>
      </c>
      <c r="L88" s="31" t="str">
        <f t="shared" si="1"/>
        <v>C0</v>
      </c>
      <c r="M88" s="31" t="str">
        <f t="shared" si="1"/>
        <v>C0</v>
      </c>
      <c r="N88" s="31" t="str">
        <f t="shared" si="1"/>
        <v>C0</v>
      </c>
      <c r="O88" s="31" t="str">
        <f t="shared" si="1"/>
        <v>C0</v>
      </c>
      <c r="P88" s="31" t="str">
        <f t="shared" si="1"/>
        <v>C0</v>
      </c>
      <c r="Q88" s="31" t="str">
        <f t="shared" si="1"/>
        <v>C0</v>
      </c>
      <c r="R88" s="31" t="str">
        <f t="shared" si="1"/>
        <v>C0</v>
      </c>
      <c r="S88" s="31" t="str">
        <f t="shared" si="1"/>
        <v>C0</v>
      </c>
      <c r="T88" s="31" t="str">
        <f t="shared" si="1"/>
        <v>C0</v>
      </c>
      <c r="U88" s="31" t="str">
        <f t="shared" si="1"/>
        <v>C0</v>
      </c>
      <c r="V88" s="31" t="str">
        <f t="shared" si="1"/>
        <v>C0</v>
      </c>
      <c r="W88" s="31" t="str">
        <f t="shared" si="1"/>
        <v>C0</v>
      </c>
      <c r="X88" s="31" t="str">
        <f t="shared" si="1"/>
        <v>C0</v>
      </c>
      <c r="Y88" s="31" t="str">
        <f t="shared" si="1"/>
        <v>C0</v>
      </c>
      <c r="Z88" s="31" t="str">
        <f t="shared" si="1"/>
        <v>C0</v>
      </c>
      <c r="AA88" s="31" t="str">
        <f t="shared" si="1"/>
        <v>C0</v>
      </c>
      <c r="AB88" s="31" t="str">
        <f t="shared" si="1"/>
        <v>C0</v>
      </c>
      <c r="AC88" s="31" t="str">
        <f t="shared" si="1"/>
        <v>C0</v>
      </c>
      <c r="AD88" s="31" t="str">
        <f t="shared" si="1"/>
        <v>C0</v>
      </c>
      <c r="AE88" s="31" t="str">
        <f t="shared" si="1"/>
        <v>C0</v>
      </c>
      <c r="AF88" s="31" t="str">
        <f t="shared" si="1"/>
        <v>C0</v>
      </c>
      <c r="AG88" s="32" t="str">
        <f t="shared" si="1"/>
        <v>C0</v>
      </c>
    </row>
    <row r="89" spans="1:33">
      <c r="A89" s="36" t="s">
        <v>42</v>
      </c>
      <c r="B89" s="20">
        <f>(B86-B84)/(B85-B87)/1000</f>
        <v>0</v>
      </c>
      <c r="C89" s="20">
        <f t="shared" ref="C89:AG89" si="2">(C86-C84)/(C85-C87)/1000</f>
        <v>0</v>
      </c>
      <c r="D89" s="20">
        <f t="shared" si="2"/>
        <v>0</v>
      </c>
      <c r="E89" s="20">
        <f t="shared" si="2"/>
        <v>0</v>
      </c>
      <c r="F89" s="20">
        <f t="shared" si="2"/>
        <v>0</v>
      </c>
      <c r="G89" s="20">
        <f t="shared" si="2"/>
        <v>0</v>
      </c>
      <c r="H89" s="20">
        <f t="shared" si="2"/>
        <v>0</v>
      </c>
      <c r="I89" s="20">
        <f t="shared" si="2"/>
        <v>0</v>
      </c>
      <c r="J89" s="20">
        <f t="shared" si="2"/>
        <v>0</v>
      </c>
      <c r="K89" s="20">
        <f t="shared" si="2"/>
        <v>0</v>
      </c>
      <c r="L89" s="20">
        <f t="shared" si="2"/>
        <v>0</v>
      </c>
      <c r="M89" s="20">
        <f t="shared" si="2"/>
        <v>0</v>
      </c>
      <c r="N89" s="20">
        <f t="shared" si="2"/>
        <v>0</v>
      </c>
      <c r="O89" s="20">
        <f t="shared" si="2"/>
        <v>0</v>
      </c>
      <c r="P89" s="20">
        <f t="shared" si="2"/>
        <v>0</v>
      </c>
      <c r="Q89" s="20">
        <f t="shared" si="2"/>
        <v>0</v>
      </c>
      <c r="R89" s="20">
        <f t="shared" si="2"/>
        <v>0</v>
      </c>
      <c r="S89" s="20">
        <f t="shared" si="2"/>
        <v>0</v>
      </c>
      <c r="T89" s="20">
        <f t="shared" si="2"/>
        <v>0</v>
      </c>
      <c r="U89" s="20">
        <f t="shared" si="2"/>
        <v>0</v>
      </c>
      <c r="V89" s="20">
        <f t="shared" si="2"/>
        <v>0</v>
      </c>
      <c r="W89" s="20">
        <f t="shared" si="2"/>
        <v>0</v>
      </c>
      <c r="X89" s="20">
        <f t="shared" si="2"/>
        <v>0</v>
      </c>
      <c r="Y89" s="20">
        <f t="shared" si="2"/>
        <v>0</v>
      </c>
      <c r="Z89" s="20">
        <f t="shared" si="2"/>
        <v>0</v>
      </c>
      <c r="AA89" s="20">
        <f t="shared" si="2"/>
        <v>0</v>
      </c>
      <c r="AB89" s="20">
        <f t="shared" si="2"/>
        <v>0</v>
      </c>
      <c r="AC89" s="20">
        <f t="shared" si="2"/>
        <v>0</v>
      </c>
      <c r="AD89" s="20">
        <f t="shared" si="2"/>
        <v>0</v>
      </c>
      <c r="AE89" s="20">
        <f t="shared" si="2"/>
        <v>0</v>
      </c>
      <c r="AF89" s="20">
        <f t="shared" si="2"/>
        <v>0</v>
      </c>
      <c r="AG89" s="37">
        <f t="shared" si="2"/>
        <v>0</v>
      </c>
    </row>
    <row r="90" spans="1:33" ht="15.75" thickBot="1">
      <c r="A90" s="38" t="s">
        <v>43</v>
      </c>
      <c r="B90" s="39">
        <f>B89*15</f>
        <v>0</v>
      </c>
      <c r="C90" s="39">
        <f t="shared" ref="C90:AG90" si="3">C89*15</f>
        <v>0</v>
      </c>
      <c r="D90" s="39">
        <f t="shared" si="3"/>
        <v>0</v>
      </c>
      <c r="E90" s="39">
        <f t="shared" si="3"/>
        <v>0</v>
      </c>
      <c r="F90" s="39">
        <f t="shared" si="3"/>
        <v>0</v>
      </c>
      <c r="G90" s="39">
        <f t="shared" si="3"/>
        <v>0</v>
      </c>
      <c r="H90" s="39">
        <f t="shared" si="3"/>
        <v>0</v>
      </c>
      <c r="I90" s="39">
        <f t="shared" si="3"/>
        <v>0</v>
      </c>
      <c r="J90" s="39">
        <f t="shared" si="3"/>
        <v>0</v>
      </c>
      <c r="K90" s="39">
        <f t="shared" si="3"/>
        <v>0</v>
      </c>
      <c r="L90" s="39">
        <f t="shared" si="3"/>
        <v>0</v>
      </c>
      <c r="M90" s="39">
        <f t="shared" si="3"/>
        <v>0</v>
      </c>
      <c r="N90" s="39">
        <f t="shared" si="3"/>
        <v>0</v>
      </c>
      <c r="O90" s="39">
        <f t="shared" si="3"/>
        <v>0</v>
      </c>
      <c r="P90" s="39">
        <f t="shared" si="3"/>
        <v>0</v>
      </c>
      <c r="Q90" s="39">
        <f t="shared" si="3"/>
        <v>0</v>
      </c>
      <c r="R90" s="39">
        <f t="shared" si="3"/>
        <v>0</v>
      </c>
      <c r="S90" s="39">
        <f t="shared" si="3"/>
        <v>0</v>
      </c>
      <c r="T90" s="39">
        <f t="shared" si="3"/>
        <v>0</v>
      </c>
      <c r="U90" s="39">
        <f t="shared" si="3"/>
        <v>0</v>
      </c>
      <c r="V90" s="39">
        <f t="shared" si="3"/>
        <v>0</v>
      </c>
      <c r="W90" s="39">
        <f t="shared" si="3"/>
        <v>0</v>
      </c>
      <c r="X90" s="39">
        <f t="shared" si="3"/>
        <v>0</v>
      </c>
      <c r="Y90" s="39">
        <f t="shared" si="3"/>
        <v>0</v>
      </c>
      <c r="Z90" s="39">
        <f t="shared" si="3"/>
        <v>0</v>
      </c>
      <c r="AA90" s="39">
        <f t="shared" si="3"/>
        <v>0</v>
      </c>
      <c r="AB90" s="39">
        <f t="shared" si="3"/>
        <v>0</v>
      </c>
      <c r="AC90" s="39">
        <f t="shared" si="3"/>
        <v>0</v>
      </c>
      <c r="AD90" s="39">
        <f t="shared" si="3"/>
        <v>0</v>
      </c>
      <c r="AE90" s="39">
        <f t="shared" si="3"/>
        <v>0</v>
      </c>
      <c r="AF90" s="39">
        <f t="shared" si="3"/>
        <v>0</v>
      </c>
      <c r="AG90" s="40">
        <f t="shared" si="3"/>
        <v>0</v>
      </c>
    </row>
    <row r="91" spans="1:33">
      <c r="A91" s="2"/>
    </row>
    <row r="92" spans="1:33">
      <c r="A92" s="2"/>
    </row>
    <row r="93" spans="1:33">
      <c r="A93" s="2"/>
    </row>
    <row r="94" spans="1:33">
      <c r="A94" s="2"/>
    </row>
    <row r="95" spans="1:33">
      <c r="A95" s="2"/>
    </row>
    <row r="96" spans="1:33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AG166"/>
  <sheetViews>
    <sheetView zoomScale="80" zoomScaleNormal="80" workbookViewId="0">
      <pane xSplit="9420" ySplit="4965" topLeftCell="AD83"/>
      <selection activeCell="B2" sqref="B2:AG87"/>
      <selection pane="topRight" activeCell="Z3" sqref="Z3"/>
      <selection pane="bottomLeft" activeCell="A88" sqref="A88:AG90"/>
      <selection pane="bottomRight" activeCell="AG90" sqref="AG90"/>
    </sheetView>
  </sheetViews>
  <sheetFormatPr defaultRowHeight="15"/>
  <cols>
    <col min="1" max="1" width="10.85546875" style="17" bestFit="1" customWidth="1"/>
    <col min="2" max="33" width="7.7109375" style="17" customWidth="1"/>
    <col min="34" max="16384" width="9.140625" style="17"/>
  </cols>
  <sheetData>
    <row r="1" spans="1:33">
      <c r="A1" s="17" t="s">
        <v>31</v>
      </c>
      <c r="B1" s="17">
        <v>0</v>
      </c>
      <c r="C1" s="17">
        <f>B1+1</f>
        <v>1</v>
      </c>
      <c r="D1" s="17">
        <f t="shared" ref="D1:AG1" si="0">C1+1</f>
        <v>2</v>
      </c>
      <c r="E1" s="17">
        <f t="shared" si="0"/>
        <v>3</v>
      </c>
      <c r="F1" s="17">
        <f t="shared" si="0"/>
        <v>4</v>
      </c>
      <c r="G1" s="17">
        <f t="shared" si="0"/>
        <v>5</v>
      </c>
      <c r="H1" s="17">
        <f t="shared" si="0"/>
        <v>6</v>
      </c>
      <c r="I1" s="17">
        <f t="shared" si="0"/>
        <v>7</v>
      </c>
      <c r="J1" s="17">
        <f t="shared" si="0"/>
        <v>8</v>
      </c>
      <c r="K1" s="17">
        <f t="shared" si="0"/>
        <v>9</v>
      </c>
      <c r="L1" s="17">
        <f t="shared" si="0"/>
        <v>10</v>
      </c>
      <c r="M1" s="17">
        <f t="shared" si="0"/>
        <v>11</v>
      </c>
      <c r="N1" s="17">
        <f t="shared" si="0"/>
        <v>12</v>
      </c>
      <c r="O1" s="17">
        <f t="shared" si="0"/>
        <v>13</v>
      </c>
      <c r="P1" s="17">
        <f t="shared" si="0"/>
        <v>14</v>
      </c>
      <c r="Q1" s="17">
        <f t="shared" si="0"/>
        <v>15</v>
      </c>
      <c r="R1" s="17">
        <f t="shared" si="0"/>
        <v>16</v>
      </c>
      <c r="S1" s="17">
        <f t="shared" si="0"/>
        <v>17</v>
      </c>
      <c r="T1" s="17">
        <f t="shared" si="0"/>
        <v>18</v>
      </c>
      <c r="U1" s="17">
        <f t="shared" si="0"/>
        <v>19</v>
      </c>
      <c r="V1" s="17">
        <f t="shared" si="0"/>
        <v>20</v>
      </c>
      <c r="W1" s="17">
        <f t="shared" si="0"/>
        <v>21</v>
      </c>
      <c r="X1" s="17">
        <f t="shared" si="0"/>
        <v>22</v>
      </c>
      <c r="Y1" s="17">
        <f t="shared" si="0"/>
        <v>23</v>
      </c>
      <c r="Z1" s="17">
        <f t="shared" si="0"/>
        <v>24</v>
      </c>
      <c r="AA1" s="17">
        <f t="shared" si="0"/>
        <v>25</v>
      </c>
      <c r="AB1" s="17">
        <f t="shared" si="0"/>
        <v>26</v>
      </c>
      <c r="AC1" s="17">
        <f t="shared" si="0"/>
        <v>27</v>
      </c>
      <c r="AD1" s="17">
        <f t="shared" si="0"/>
        <v>28</v>
      </c>
      <c r="AE1" s="17">
        <f t="shared" si="0"/>
        <v>29</v>
      </c>
      <c r="AF1" s="17">
        <f t="shared" si="0"/>
        <v>30</v>
      </c>
      <c r="AG1" s="17">
        <f t="shared" si="0"/>
        <v>31</v>
      </c>
    </row>
    <row r="2" spans="1:33">
      <c r="A2" s="16">
        <f>Calculations!B3</f>
        <v>1.6</v>
      </c>
      <c r="B2" s="1">
        <v>0.999</v>
      </c>
      <c r="C2" s="1">
        <v>0.999</v>
      </c>
      <c r="D2" s="1">
        <v>0.999</v>
      </c>
      <c r="E2" s="1">
        <v>0.999</v>
      </c>
      <c r="F2" s="1">
        <v>0.999</v>
      </c>
      <c r="G2" s="1">
        <v>0.999</v>
      </c>
      <c r="H2" s="1">
        <v>0.999</v>
      </c>
      <c r="I2" s="1">
        <v>0.999</v>
      </c>
      <c r="J2" s="1">
        <v>0.999</v>
      </c>
      <c r="K2" s="1">
        <v>0.999</v>
      </c>
      <c r="L2" s="1">
        <v>0.999</v>
      </c>
      <c r="M2" s="1">
        <v>0.999</v>
      </c>
      <c r="N2" s="1">
        <v>0.999</v>
      </c>
      <c r="O2" s="1">
        <v>0.999</v>
      </c>
      <c r="P2" s="1">
        <v>0.999</v>
      </c>
      <c r="Q2" s="1">
        <v>0.999</v>
      </c>
      <c r="R2" s="1">
        <v>0.999</v>
      </c>
      <c r="S2" s="1">
        <v>0.999</v>
      </c>
      <c r="T2" s="1">
        <v>0.999</v>
      </c>
      <c r="U2" s="1">
        <v>0.999</v>
      </c>
      <c r="V2" s="1">
        <v>0.999</v>
      </c>
      <c r="W2" s="1">
        <v>0.999</v>
      </c>
      <c r="X2" s="1">
        <v>0.999</v>
      </c>
      <c r="Y2" s="1">
        <v>0.999</v>
      </c>
      <c r="Z2" s="1">
        <v>0.999</v>
      </c>
      <c r="AA2" s="1">
        <v>0.999</v>
      </c>
      <c r="AB2" s="1">
        <v>0.999</v>
      </c>
      <c r="AC2" s="1">
        <v>0.999</v>
      </c>
      <c r="AD2" s="1">
        <v>0.999</v>
      </c>
      <c r="AE2" s="1">
        <v>0.999</v>
      </c>
      <c r="AF2" s="1">
        <v>0.999</v>
      </c>
      <c r="AG2" s="1">
        <v>0.999</v>
      </c>
    </row>
    <row r="3" spans="1:33">
      <c r="A3" s="16">
        <f>A2+Calculations!$B$4</f>
        <v>2.6</v>
      </c>
      <c r="B3" s="1">
        <v>0.999</v>
      </c>
      <c r="C3" s="1">
        <v>0.999</v>
      </c>
      <c r="D3" s="1">
        <v>0.999</v>
      </c>
      <c r="E3" s="1">
        <v>0.999</v>
      </c>
      <c r="F3" s="1">
        <v>0.999</v>
      </c>
      <c r="G3" s="1">
        <v>0.999</v>
      </c>
      <c r="H3" s="1">
        <v>0.999</v>
      </c>
      <c r="I3" s="1">
        <v>0.999</v>
      </c>
      <c r="J3" s="1">
        <v>0.999</v>
      </c>
      <c r="K3" s="1">
        <v>0.999</v>
      </c>
      <c r="L3" s="1">
        <v>0.999</v>
      </c>
      <c r="M3" s="1">
        <v>0.999</v>
      </c>
      <c r="N3" s="1">
        <v>0.999</v>
      </c>
      <c r="O3" s="1">
        <v>0.999</v>
      </c>
      <c r="P3" s="1">
        <v>0.999</v>
      </c>
      <c r="Q3" s="1">
        <v>0.999</v>
      </c>
      <c r="R3" s="1">
        <v>0.999</v>
      </c>
      <c r="S3" s="1">
        <v>0.999</v>
      </c>
      <c r="T3" s="1">
        <v>0.999</v>
      </c>
      <c r="U3" s="1">
        <v>0.999</v>
      </c>
      <c r="V3" s="1">
        <v>0.999</v>
      </c>
      <c r="W3" s="1">
        <v>0.999</v>
      </c>
      <c r="X3" s="1">
        <v>0.999</v>
      </c>
      <c r="Y3" s="1">
        <v>0.999</v>
      </c>
      <c r="Z3" s="1">
        <v>0.999</v>
      </c>
      <c r="AA3" s="1">
        <v>0.999</v>
      </c>
      <c r="AB3" s="1">
        <v>0.999</v>
      </c>
      <c r="AC3" s="1">
        <v>0.999</v>
      </c>
      <c r="AD3" s="1">
        <v>0.999</v>
      </c>
      <c r="AE3" s="1">
        <v>0.999</v>
      </c>
      <c r="AF3" s="1">
        <v>0.999</v>
      </c>
      <c r="AG3" s="1">
        <v>0.999</v>
      </c>
    </row>
    <row r="4" spans="1:33">
      <c r="A4" s="16">
        <f>A3+Calculations!$B$4</f>
        <v>3.6</v>
      </c>
      <c r="B4" s="1">
        <v>0.999</v>
      </c>
      <c r="C4" s="1">
        <v>0.999</v>
      </c>
      <c r="D4" s="1">
        <v>0.999</v>
      </c>
      <c r="E4" s="1">
        <v>0.999</v>
      </c>
      <c r="F4" s="1">
        <v>0.999</v>
      </c>
      <c r="G4" s="1">
        <v>0.999</v>
      </c>
      <c r="H4" s="1">
        <v>0.999</v>
      </c>
      <c r="I4" s="1">
        <v>0.999</v>
      </c>
      <c r="J4" s="1">
        <v>0.999</v>
      </c>
      <c r="K4" s="1">
        <v>0.999</v>
      </c>
      <c r="L4" s="1">
        <v>0.999</v>
      </c>
      <c r="M4" s="1">
        <v>0.999</v>
      </c>
      <c r="N4" s="1">
        <v>0.999</v>
      </c>
      <c r="O4" s="1">
        <v>0.999</v>
      </c>
      <c r="P4" s="1">
        <v>0.999</v>
      </c>
      <c r="Q4" s="1">
        <v>0.999</v>
      </c>
      <c r="R4" s="1">
        <v>0.999</v>
      </c>
      <c r="S4" s="1">
        <v>0.999</v>
      </c>
      <c r="T4" s="1">
        <v>0.999</v>
      </c>
      <c r="U4" s="1">
        <v>0.999</v>
      </c>
      <c r="V4" s="1">
        <v>0.999</v>
      </c>
      <c r="W4" s="1">
        <v>0.999</v>
      </c>
      <c r="X4" s="1">
        <v>0.999</v>
      </c>
      <c r="Y4" s="1">
        <v>0.999</v>
      </c>
      <c r="Z4" s="1">
        <v>0.999</v>
      </c>
      <c r="AA4" s="1">
        <v>0.999</v>
      </c>
      <c r="AB4" s="1">
        <v>0.999</v>
      </c>
      <c r="AC4" s="1">
        <v>0.999</v>
      </c>
      <c r="AD4" s="1">
        <v>0.999</v>
      </c>
      <c r="AE4" s="1">
        <v>0.999</v>
      </c>
      <c r="AF4" s="1">
        <v>0.999</v>
      </c>
      <c r="AG4" s="1">
        <v>0.999</v>
      </c>
    </row>
    <row r="5" spans="1:33">
      <c r="A5" s="16">
        <f>A4+Calculations!$B$4</f>
        <v>4.5999999999999996</v>
      </c>
      <c r="B5" s="1">
        <v>0.999</v>
      </c>
      <c r="C5" s="1">
        <v>0.999</v>
      </c>
      <c r="D5" s="1">
        <v>0.999</v>
      </c>
      <c r="E5" s="1">
        <v>0.999</v>
      </c>
      <c r="F5" s="1">
        <v>0.999</v>
      </c>
      <c r="G5" s="1">
        <v>0.999</v>
      </c>
      <c r="H5" s="1">
        <v>0.999</v>
      </c>
      <c r="I5" s="1">
        <v>0.999</v>
      </c>
      <c r="J5" s="1">
        <v>0.999</v>
      </c>
      <c r="K5" s="1">
        <v>0.999</v>
      </c>
      <c r="L5" s="1">
        <v>0.999</v>
      </c>
      <c r="M5" s="1">
        <v>0.999</v>
      </c>
      <c r="N5" s="1">
        <v>0.999</v>
      </c>
      <c r="O5" s="1">
        <v>0.999</v>
      </c>
      <c r="P5" s="1">
        <v>0.999</v>
      </c>
      <c r="Q5" s="1">
        <v>0.999</v>
      </c>
      <c r="R5" s="1">
        <v>0.999</v>
      </c>
      <c r="S5" s="1">
        <v>0.999</v>
      </c>
      <c r="T5" s="1">
        <v>0.999</v>
      </c>
      <c r="U5" s="1">
        <v>0.999</v>
      </c>
      <c r="V5" s="1">
        <v>0.999</v>
      </c>
      <c r="W5" s="1">
        <v>0.999</v>
      </c>
      <c r="X5" s="1">
        <v>0.999</v>
      </c>
      <c r="Y5" s="1">
        <v>0.999</v>
      </c>
      <c r="Z5" s="1">
        <v>0.999</v>
      </c>
      <c r="AA5" s="1">
        <v>0.999</v>
      </c>
      <c r="AB5" s="1">
        <v>0.999</v>
      </c>
      <c r="AC5" s="1">
        <v>0.999</v>
      </c>
      <c r="AD5" s="1">
        <v>0.999</v>
      </c>
      <c r="AE5" s="1">
        <v>0.999</v>
      </c>
      <c r="AF5" s="1">
        <v>0.999</v>
      </c>
      <c r="AG5" s="1">
        <v>0.999</v>
      </c>
    </row>
    <row r="6" spans="1:33">
      <c r="A6" s="16">
        <f>A5+Calculations!$B$4</f>
        <v>5.6</v>
      </c>
      <c r="B6" s="1">
        <v>0.999</v>
      </c>
      <c r="C6" s="1">
        <v>0.999</v>
      </c>
      <c r="D6" s="1">
        <v>0.999</v>
      </c>
      <c r="E6" s="1">
        <v>0.999</v>
      </c>
      <c r="F6" s="1">
        <v>0.999</v>
      </c>
      <c r="G6" s="1">
        <v>0.999</v>
      </c>
      <c r="H6" s="1">
        <v>0.999</v>
      </c>
      <c r="I6" s="1">
        <v>0.999</v>
      </c>
      <c r="J6" s="1">
        <v>0.999</v>
      </c>
      <c r="K6" s="1">
        <v>0.999</v>
      </c>
      <c r="L6" s="1">
        <v>0.999</v>
      </c>
      <c r="M6" s="1">
        <v>0.999</v>
      </c>
      <c r="N6" s="1">
        <v>0.999</v>
      </c>
      <c r="O6" s="1">
        <v>0.999</v>
      </c>
      <c r="P6" s="1">
        <v>0.999</v>
      </c>
      <c r="Q6" s="1">
        <v>0.999</v>
      </c>
      <c r="R6" s="1">
        <v>0.999</v>
      </c>
      <c r="S6" s="1">
        <v>0.999</v>
      </c>
      <c r="T6" s="1">
        <v>0.999</v>
      </c>
      <c r="U6" s="1">
        <v>0.999</v>
      </c>
      <c r="V6" s="1">
        <v>0.999</v>
      </c>
      <c r="W6" s="1">
        <v>0.999</v>
      </c>
      <c r="X6" s="1">
        <v>0.999</v>
      </c>
      <c r="Y6" s="1">
        <v>0.999</v>
      </c>
      <c r="Z6" s="1">
        <v>0.999</v>
      </c>
      <c r="AA6" s="1">
        <v>0.999</v>
      </c>
      <c r="AB6" s="1">
        <v>0.999</v>
      </c>
      <c r="AC6" s="1">
        <v>0.999</v>
      </c>
      <c r="AD6" s="1">
        <v>0.999</v>
      </c>
      <c r="AE6" s="1">
        <v>0.999</v>
      </c>
      <c r="AF6" s="1">
        <v>0.999</v>
      </c>
      <c r="AG6" s="1">
        <v>0.999</v>
      </c>
    </row>
    <row r="7" spans="1:33">
      <c r="A7" s="16">
        <f>A6+Calculations!$B$4</f>
        <v>6.6</v>
      </c>
      <c r="B7" s="1">
        <v>0.999</v>
      </c>
      <c r="C7" s="1">
        <v>0.999</v>
      </c>
      <c r="D7" s="1">
        <v>0.999</v>
      </c>
      <c r="E7" s="1">
        <v>0.999</v>
      </c>
      <c r="F7" s="1">
        <v>0.999</v>
      </c>
      <c r="G7" s="1">
        <v>0.999</v>
      </c>
      <c r="H7" s="1">
        <v>0.999</v>
      </c>
      <c r="I7" s="1">
        <v>0.999</v>
      </c>
      <c r="J7" s="1">
        <v>0.999</v>
      </c>
      <c r="K7" s="1">
        <v>0.999</v>
      </c>
      <c r="L7" s="1">
        <v>0.999</v>
      </c>
      <c r="M7" s="1">
        <v>0.999</v>
      </c>
      <c r="N7" s="1">
        <v>0.999</v>
      </c>
      <c r="O7" s="1">
        <v>0.999</v>
      </c>
      <c r="P7" s="1">
        <v>0.999</v>
      </c>
      <c r="Q7" s="1">
        <v>0.999</v>
      </c>
      <c r="R7" s="1">
        <v>0.999</v>
      </c>
      <c r="S7" s="1">
        <v>0.999</v>
      </c>
      <c r="T7" s="1">
        <v>0.999</v>
      </c>
      <c r="U7" s="1">
        <v>0.999</v>
      </c>
      <c r="V7" s="1">
        <v>0.999</v>
      </c>
      <c r="W7" s="1">
        <v>0.999</v>
      </c>
      <c r="X7" s="1">
        <v>0.999</v>
      </c>
      <c r="Y7" s="1">
        <v>0.999</v>
      </c>
      <c r="Z7" s="1">
        <v>0.999</v>
      </c>
      <c r="AA7" s="1">
        <v>0.999</v>
      </c>
      <c r="AB7" s="1">
        <v>0.999</v>
      </c>
      <c r="AC7" s="1">
        <v>0.999</v>
      </c>
      <c r="AD7" s="1">
        <v>0.999</v>
      </c>
      <c r="AE7" s="1">
        <v>0.999</v>
      </c>
      <c r="AF7" s="1">
        <v>0.999</v>
      </c>
      <c r="AG7" s="1">
        <v>0.999</v>
      </c>
    </row>
    <row r="8" spans="1:33">
      <c r="A8" s="16">
        <f>A7+Calculations!$B$4</f>
        <v>7.6</v>
      </c>
      <c r="B8" s="1">
        <v>0.999</v>
      </c>
      <c r="C8" s="1">
        <v>0.999</v>
      </c>
      <c r="D8" s="1">
        <v>0.999</v>
      </c>
      <c r="E8" s="1">
        <v>0.999</v>
      </c>
      <c r="F8" s="1">
        <v>0.999</v>
      </c>
      <c r="G8" s="1">
        <v>0.999</v>
      </c>
      <c r="H8" s="1">
        <v>0.999</v>
      </c>
      <c r="I8" s="1">
        <v>0.999</v>
      </c>
      <c r="J8" s="1">
        <v>0.999</v>
      </c>
      <c r="K8" s="1">
        <v>0.999</v>
      </c>
      <c r="L8" s="1">
        <v>0.999</v>
      </c>
      <c r="M8" s="1">
        <v>0.999</v>
      </c>
      <c r="N8" s="17">
        <v>0.999</v>
      </c>
      <c r="O8" s="1">
        <v>0.999</v>
      </c>
      <c r="P8" s="1">
        <v>0.999</v>
      </c>
      <c r="Q8" s="1">
        <v>0.999</v>
      </c>
      <c r="R8" s="1">
        <v>0.999</v>
      </c>
      <c r="S8" s="1">
        <v>0.999</v>
      </c>
      <c r="T8" s="1">
        <v>0.999</v>
      </c>
      <c r="U8" s="1">
        <v>0.999</v>
      </c>
      <c r="V8" s="1">
        <v>0.999</v>
      </c>
      <c r="W8" s="1">
        <v>0.999</v>
      </c>
      <c r="X8" s="1">
        <v>0.999</v>
      </c>
      <c r="Y8" s="1">
        <v>0.999</v>
      </c>
      <c r="Z8" s="1">
        <v>0.999</v>
      </c>
      <c r="AA8" s="1">
        <v>0.999</v>
      </c>
      <c r="AB8" s="1">
        <v>0.999</v>
      </c>
      <c r="AC8" s="1">
        <v>0.999</v>
      </c>
      <c r="AD8" s="1">
        <v>0.999</v>
      </c>
      <c r="AE8" s="1">
        <v>0.999</v>
      </c>
      <c r="AF8" s="1">
        <v>0.999</v>
      </c>
      <c r="AG8" s="1">
        <v>0.999</v>
      </c>
    </row>
    <row r="9" spans="1:33">
      <c r="A9" s="16">
        <f>A8+Calculations!$B$4</f>
        <v>8.6</v>
      </c>
      <c r="B9" s="1">
        <v>0.999</v>
      </c>
      <c r="C9" s="1">
        <v>0.999</v>
      </c>
      <c r="D9" s="1">
        <v>0.999</v>
      </c>
      <c r="E9" s="1">
        <v>0.999</v>
      </c>
      <c r="F9" s="1">
        <v>0.999</v>
      </c>
      <c r="G9" s="1">
        <v>0.999</v>
      </c>
      <c r="H9" s="1">
        <v>0.999</v>
      </c>
      <c r="I9" s="1">
        <v>0.999</v>
      </c>
      <c r="J9" s="1">
        <v>0.999</v>
      </c>
      <c r="K9" s="1">
        <v>0.999</v>
      </c>
      <c r="L9" s="1">
        <v>0.999</v>
      </c>
      <c r="M9" s="1">
        <v>0.999</v>
      </c>
      <c r="N9" s="1">
        <v>0.999</v>
      </c>
      <c r="O9" s="1">
        <v>0.999</v>
      </c>
      <c r="P9" s="1">
        <v>0.999</v>
      </c>
      <c r="Q9" s="1">
        <v>0.999</v>
      </c>
      <c r="R9" s="1">
        <v>0.999</v>
      </c>
      <c r="S9" s="1">
        <v>0.999</v>
      </c>
      <c r="T9" s="1">
        <v>0.999</v>
      </c>
      <c r="U9" s="1">
        <v>0.999</v>
      </c>
      <c r="V9" s="1">
        <v>0.999</v>
      </c>
      <c r="W9" s="1">
        <v>0.999</v>
      </c>
      <c r="X9" s="1">
        <v>0.999</v>
      </c>
      <c r="Y9" s="1">
        <v>0.999</v>
      </c>
      <c r="Z9" s="1">
        <v>0.999</v>
      </c>
      <c r="AA9" s="1">
        <v>0.999</v>
      </c>
      <c r="AB9" s="1">
        <v>0.999</v>
      </c>
      <c r="AC9" s="1">
        <v>0.999</v>
      </c>
      <c r="AD9" s="1">
        <v>0.999</v>
      </c>
      <c r="AE9" s="1">
        <v>0.999</v>
      </c>
      <c r="AF9" s="1">
        <v>0.999</v>
      </c>
      <c r="AG9" s="1">
        <v>0.999</v>
      </c>
    </row>
    <row r="10" spans="1:33">
      <c r="A10" s="16">
        <f>A9+Calculations!$B$4</f>
        <v>9.6</v>
      </c>
      <c r="B10" s="1">
        <v>0.999</v>
      </c>
      <c r="C10" s="1">
        <v>0.999</v>
      </c>
      <c r="D10" s="1">
        <v>0.999</v>
      </c>
      <c r="E10" s="1">
        <v>0.999</v>
      </c>
      <c r="F10" s="1">
        <v>0.999</v>
      </c>
      <c r="G10" s="1">
        <v>0.999</v>
      </c>
      <c r="H10" s="1">
        <v>0.999</v>
      </c>
      <c r="I10" s="1">
        <v>0.999</v>
      </c>
      <c r="J10" s="1">
        <v>0.999</v>
      </c>
      <c r="K10" s="1">
        <v>0.999</v>
      </c>
      <c r="L10" s="1">
        <v>0.999</v>
      </c>
      <c r="M10" s="1">
        <v>0.999</v>
      </c>
      <c r="N10" s="1">
        <v>0.999</v>
      </c>
      <c r="O10" s="1">
        <v>0.999</v>
      </c>
      <c r="P10" s="1">
        <v>0.999</v>
      </c>
      <c r="Q10" s="1">
        <v>0.999</v>
      </c>
      <c r="R10" s="1">
        <v>0.999</v>
      </c>
      <c r="S10" s="1">
        <v>0.999</v>
      </c>
      <c r="T10" s="1">
        <v>0.999</v>
      </c>
      <c r="U10" s="1">
        <v>0.999</v>
      </c>
      <c r="V10" s="1">
        <v>0.999</v>
      </c>
      <c r="W10" s="1">
        <v>0.999</v>
      </c>
      <c r="X10" s="1">
        <v>0.999</v>
      </c>
      <c r="Y10" s="1">
        <v>0.999</v>
      </c>
      <c r="Z10" s="1">
        <v>0.999</v>
      </c>
      <c r="AA10" s="1">
        <v>0.999</v>
      </c>
      <c r="AB10" s="1">
        <v>0.999</v>
      </c>
      <c r="AC10" s="1">
        <v>0.999</v>
      </c>
      <c r="AD10" s="1">
        <v>0.999</v>
      </c>
      <c r="AE10" s="1">
        <v>0.999</v>
      </c>
      <c r="AF10" s="1">
        <v>0.999</v>
      </c>
      <c r="AG10" s="1">
        <v>0.999</v>
      </c>
    </row>
    <row r="11" spans="1:33">
      <c r="A11" s="16">
        <f>A10+Calculations!$B$4</f>
        <v>10.6</v>
      </c>
      <c r="B11" s="1">
        <v>0.999</v>
      </c>
      <c r="C11" s="1">
        <v>0.999</v>
      </c>
      <c r="D11" s="1">
        <v>0.999</v>
      </c>
      <c r="E11" s="1">
        <v>0.999</v>
      </c>
      <c r="F11" s="1">
        <v>0.999</v>
      </c>
      <c r="G11" s="1">
        <v>0.999</v>
      </c>
      <c r="H11" s="1">
        <v>0.999</v>
      </c>
      <c r="I11" s="1">
        <v>0.999</v>
      </c>
      <c r="J11" s="1">
        <v>0.999</v>
      </c>
      <c r="K11" s="1">
        <v>0.999</v>
      </c>
      <c r="L11" s="1">
        <v>0.999</v>
      </c>
      <c r="M11" s="1">
        <v>0.999</v>
      </c>
      <c r="N11" s="1">
        <v>0.999</v>
      </c>
      <c r="O11" s="1">
        <v>0.999</v>
      </c>
      <c r="P11" s="1">
        <v>0.999</v>
      </c>
      <c r="Q11" s="1">
        <v>0.999</v>
      </c>
      <c r="R11" s="1">
        <v>0.999</v>
      </c>
      <c r="S11" s="1">
        <v>0.999</v>
      </c>
      <c r="T11" s="1">
        <v>0.999</v>
      </c>
      <c r="U11" s="1">
        <v>0.999</v>
      </c>
      <c r="V11" s="1">
        <v>0.999</v>
      </c>
      <c r="W11" s="1">
        <v>0.999</v>
      </c>
      <c r="X11" s="1">
        <v>0.999</v>
      </c>
      <c r="Y11" s="1">
        <v>0.999</v>
      </c>
      <c r="Z11" s="1">
        <v>0.999</v>
      </c>
      <c r="AA11" s="1">
        <v>0.999</v>
      </c>
      <c r="AB11" s="1">
        <v>0.999</v>
      </c>
      <c r="AC11" s="1">
        <v>0.999</v>
      </c>
      <c r="AD11" s="1">
        <v>0.999</v>
      </c>
      <c r="AE11" s="1">
        <v>0.999</v>
      </c>
      <c r="AF11" s="1">
        <v>0.999</v>
      </c>
      <c r="AG11" s="1">
        <v>0.999</v>
      </c>
    </row>
    <row r="12" spans="1:33">
      <c r="A12" s="16">
        <f>A11+Calculations!$B$4</f>
        <v>11.6</v>
      </c>
      <c r="B12" s="1">
        <v>0.999</v>
      </c>
      <c r="C12" s="1">
        <v>0.999</v>
      </c>
      <c r="D12" s="1">
        <v>0.999</v>
      </c>
      <c r="E12" s="1">
        <v>0.999</v>
      </c>
      <c r="F12" s="1">
        <v>0.999</v>
      </c>
      <c r="G12" s="1">
        <v>0.999</v>
      </c>
      <c r="H12" s="1">
        <v>0.999</v>
      </c>
      <c r="I12" s="1">
        <v>0.999</v>
      </c>
      <c r="J12" s="1">
        <v>0.999</v>
      </c>
      <c r="K12" s="1">
        <v>0.999</v>
      </c>
      <c r="L12" s="1">
        <v>0.999</v>
      </c>
      <c r="M12" s="1">
        <v>0.999</v>
      </c>
      <c r="N12" s="1">
        <v>0.999</v>
      </c>
      <c r="O12" s="1">
        <v>0.999</v>
      </c>
      <c r="P12" s="1">
        <v>0.999</v>
      </c>
      <c r="Q12" s="1">
        <v>0.999</v>
      </c>
      <c r="R12" s="1">
        <v>0.999</v>
      </c>
      <c r="S12" s="1">
        <v>0.999</v>
      </c>
      <c r="T12" s="1">
        <v>0.999</v>
      </c>
      <c r="U12" s="1">
        <v>0.999</v>
      </c>
      <c r="V12" s="1">
        <v>0.999</v>
      </c>
      <c r="W12" s="1">
        <v>0.999</v>
      </c>
      <c r="X12" s="1">
        <v>0.999</v>
      </c>
      <c r="Y12" s="1">
        <v>0.999</v>
      </c>
      <c r="Z12" s="1">
        <v>0.999</v>
      </c>
      <c r="AA12" s="1">
        <v>0.999</v>
      </c>
      <c r="AB12" s="1">
        <v>0.999</v>
      </c>
      <c r="AC12" s="1">
        <v>0.999</v>
      </c>
      <c r="AD12" s="1">
        <v>0.999</v>
      </c>
      <c r="AE12" s="1">
        <v>0.999</v>
      </c>
      <c r="AF12" s="1">
        <v>0.999</v>
      </c>
      <c r="AG12" s="1">
        <v>0.999</v>
      </c>
    </row>
    <row r="13" spans="1:33">
      <c r="A13" s="16">
        <f>A12+Calculations!$B$4</f>
        <v>12.6</v>
      </c>
      <c r="B13" s="1">
        <v>0.999</v>
      </c>
      <c r="C13" s="1">
        <v>0.999</v>
      </c>
      <c r="D13" s="1">
        <v>0.999</v>
      </c>
      <c r="E13" s="1">
        <v>0.999</v>
      </c>
      <c r="F13" s="1">
        <v>0.999</v>
      </c>
      <c r="G13" s="1">
        <v>0.999</v>
      </c>
      <c r="H13" s="1">
        <v>0.999</v>
      </c>
      <c r="I13" s="1">
        <v>0.999</v>
      </c>
      <c r="J13" s="1">
        <v>0.999</v>
      </c>
      <c r="K13" s="1">
        <v>0.999</v>
      </c>
      <c r="L13" s="1">
        <v>0.999</v>
      </c>
      <c r="M13" s="1">
        <v>0.999</v>
      </c>
      <c r="N13" s="1">
        <v>0.999</v>
      </c>
      <c r="O13" s="1">
        <v>0.999</v>
      </c>
      <c r="P13" s="1">
        <v>0.999</v>
      </c>
      <c r="Q13" s="1">
        <v>0.999</v>
      </c>
      <c r="R13" s="1">
        <v>0.999</v>
      </c>
      <c r="S13" s="1">
        <v>0.999</v>
      </c>
      <c r="T13" s="1">
        <v>0.999</v>
      </c>
      <c r="U13" s="1">
        <v>0.999</v>
      </c>
      <c r="V13" s="1">
        <v>0.999</v>
      </c>
      <c r="W13" s="1">
        <v>0.999</v>
      </c>
      <c r="X13" s="1">
        <v>0.999</v>
      </c>
      <c r="Y13" s="1">
        <v>0.999</v>
      </c>
      <c r="Z13" s="1">
        <v>0.999</v>
      </c>
      <c r="AA13" s="1">
        <v>0.999</v>
      </c>
      <c r="AB13" s="1">
        <v>0.999</v>
      </c>
      <c r="AC13" s="1">
        <v>0.999</v>
      </c>
      <c r="AD13" s="1">
        <v>0.999</v>
      </c>
      <c r="AE13" s="1">
        <v>0.999</v>
      </c>
      <c r="AF13" s="1">
        <v>0.999</v>
      </c>
      <c r="AG13" s="1">
        <v>0.999</v>
      </c>
    </row>
    <row r="14" spans="1:33">
      <c r="A14" s="16">
        <f>A13+Calculations!$B$4</f>
        <v>13.6</v>
      </c>
      <c r="B14" s="1">
        <v>0.92549019607843142</v>
      </c>
      <c r="C14" s="1">
        <v>0.93725490196078431</v>
      </c>
      <c r="D14" s="1">
        <v>0.92941176470588238</v>
      </c>
      <c r="E14" s="1">
        <v>0.93333333333333335</v>
      </c>
      <c r="F14" s="1">
        <v>0.92941176470588238</v>
      </c>
      <c r="G14" s="1">
        <v>0.92941176470588238</v>
      </c>
      <c r="H14" s="1">
        <v>0.92941176470588238</v>
      </c>
      <c r="I14" s="1">
        <v>0.92941176470588238</v>
      </c>
      <c r="J14" s="1">
        <v>0.92549019607843142</v>
      </c>
      <c r="K14" s="1">
        <v>0.92549019607843142</v>
      </c>
      <c r="L14" s="1">
        <v>0.92941176470588238</v>
      </c>
      <c r="M14" s="1">
        <v>0.91764705882352937</v>
      </c>
      <c r="N14" s="1">
        <v>0.92549019607843142</v>
      </c>
      <c r="O14" s="1">
        <v>0.93333333333333335</v>
      </c>
      <c r="P14" s="1">
        <v>0.93333333333333335</v>
      </c>
      <c r="Q14" s="1">
        <v>0.92941176470588238</v>
      </c>
      <c r="R14" s="1">
        <v>0.92156862745098034</v>
      </c>
      <c r="S14" s="1">
        <v>0.92549019607843142</v>
      </c>
      <c r="T14" s="1">
        <v>0.92941176470588238</v>
      </c>
      <c r="U14" s="1">
        <v>0.92549019607843142</v>
      </c>
      <c r="V14" s="1">
        <v>0.92549019607843142</v>
      </c>
      <c r="W14" s="1">
        <v>0.92156862745098034</v>
      </c>
      <c r="X14" s="1">
        <v>0.92549019607843142</v>
      </c>
      <c r="Y14" s="1">
        <v>0.93333333333333335</v>
      </c>
      <c r="Z14" s="1">
        <v>0.92941176470588238</v>
      </c>
      <c r="AA14" s="1">
        <v>0.93725490196078431</v>
      </c>
      <c r="AB14" s="1">
        <v>0.92941176470588238</v>
      </c>
      <c r="AC14" s="1">
        <v>0.92549019607843142</v>
      </c>
      <c r="AD14" s="1">
        <v>0.92941176470588238</v>
      </c>
      <c r="AE14" s="1">
        <v>0.92941176470588238</v>
      </c>
      <c r="AF14" s="1">
        <v>0.94117647058823528</v>
      </c>
      <c r="AG14" s="1">
        <v>0.92941176470588238</v>
      </c>
    </row>
    <row r="15" spans="1:33">
      <c r="A15" s="16">
        <f>A14+Calculations!$B$4</f>
        <v>14.6</v>
      </c>
      <c r="B15" s="1">
        <v>0.81960784313725488</v>
      </c>
      <c r="C15" s="1">
        <v>0.82745098039215681</v>
      </c>
      <c r="D15" s="1">
        <v>0.81960784313725488</v>
      </c>
      <c r="E15" s="1">
        <v>0.82745098039215681</v>
      </c>
      <c r="F15" s="1">
        <v>0.81960784313725488</v>
      </c>
      <c r="G15" s="1">
        <v>0.81960784313725488</v>
      </c>
      <c r="H15" s="1">
        <v>0.81960784313725488</v>
      </c>
      <c r="I15" s="1">
        <v>0.82352941176470584</v>
      </c>
      <c r="J15" s="1">
        <v>0.81960784313725488</v>
      </c>
      <c r="K15" s="1">
        <v>0.81568627450980391</v>
      </c>
      <c r="L15" s="1">
        <v>0.81960784313725488</v>
      </c>
      <c r="M15" s="1">
        <v>0.80784313725490198</v>
      </c>
      <c r="N15" s="1">
        <v>0.81176470588235294</v>
      </c>
      <c r="O15" s="1">
        <v>0.82745098039215681</v>
      </c>
      <c r="P15" s="1">
        <v>0.81960784313725488</v>
      </c>
      <c r="Q15" s="1">
        <v>0.81960784313725488</v>
      </c>
      <c r="R15" s="1">
        <v>0.81568627450980391</v>
      </c>
      <c r="S15" s="1">
        <v>0.81960784313725488</v>
      </c>
      <c r="T15" s="1">
        <v>0.81176470588235294</v>
      </c>
      <c r="U15" s="1">
        <v>0.81960784313725488</v>
      </c>
      <c r="V15" s="1">
        <v>0.81568627450980391</v>
      </c>
      <c r="W15" s="1">
        <v>0.81960784313725488</v>
      </c>
      <c r="X15" s="1">
        <v>0.81960784313725488</v>
      </c>
      <c r="Y15" s="1">
        <v>0.82745098039215681</v>
      </c>
      <c r="Z15" s="1">
        <v>0.82745098039215681</v>
      </c>
      <c r="AA15" s="1">
        <v>0.81960784313725488</v>
      </c>
      <c r="AB15" s="1">
        <v>0.81960784313725488</v>
      </c>
      <c r="AC15" s="1">
        <v>0.81960784313725488</v>
      </c>
      <c r="AD15" s="1">
        <v>0.81960784313725488</v>
      </c>
      <c r="AE15" s="1">
        <v>0.81960784313725488</v>
      </c>
      <c r="AF15" s="1">
        <v>0.83529411764705885</v>
      </c>
      <c r="AG15" s="1">
        <v>0.81960784313725488</v>
      </c>
    </row>
    <row r="16" spans="1:33">
      <c r="A16" s="16">
        <f>A15+Calculations!$B$4</f>
        <v>15.6</v>
      </c>
      <c r="B16" s="1">
        <v>0.72941176470588232</v>
      </c>
      <c r="C16" s="1">
        <v>0.74117647058823533</v>
      </c>
      <c r="D16" s="1">
        <v>0.73725490196078436</v>
      </c>
      <c r="E16" s="1">
        <v>0.73725490196078436</v>
      </c>
      <c r="F16" s="1">
        <v>0.73333333333333328</v>
      </c>
      <c r="G16" s="1">
        <v>0.73725490196078436</v>
      </c>
      <c r="H16" s="1">
        <v>0.72941176470588232</v>
      </c>
      <c r="I16" s="1">
        <v>0.73725490196078436</v>
      </c>
      <c r="J16" s="1">
        <v>0.73333333333333328</v>
      </c>
      <c r="K16" s="1">
        <v>0.73333333333333328</v>
      </c>
      <c r="L16" s="1">
        <v>0.73333333333333328</v>
      </c>
      <c r="M16" s="1">
        <v>0.73333333333333328</v>
      </c>
      <c r="N16" s="1">
        <v>0.72941176470588232</v>
      </c>
      <c r="O16" s="1">
        <v>0.74117647058823533</v>
      </c>
      <c r="P16" s="1">
        <v>0.74117647058823533</v>
      </c>
      <c r="Q16" s="1">
        <v>0.73333333333333328</v>
      </c>
      <c r="R16" s="1">
        <v>0.73333333333333328</v>
      </c>
      <c r="S16" s="1">
        <v>0.73333333333333328</v>
      </c>
      <c r="T16" s="1">
        <v>0.73333333333333328</v>
      </c>
      <c r="U16" s="1">
        <v>0.73725490196078436</v>
      </c>
      <c r="V16" s="1">
        <v>0.72941176470588232</v>
      </c>
      <c r="W16" s="1">
        <v>0.72941176470588232</v>
      </c>
      <c r="X16" s="1">
        <v>0.73725490196078436</v>
      </c>
      <c r="Y16" s="1">
        <v>0.73725490196078436</v>
      </c>
      <c r="Z16" s="1">
        <v>0.73725490196078436</v>
      </c>
      <c r="AA16" s="1">
        <v>0.73333333333333328</v>
      </c>
      <c r="AB16" s="1">
        <v>0.72941176470588232</v>
      </c>
      <c r="AC16" s="1">
        <v>0.73333333333333328</v>
      </c>
      <c r="AD16" s="1">
        <v>0.74117647058823533</v>
      </c>
      <c r="AE16" s="1">
        <v>0.74117647058823533</v>
      </c>
      <c r="AF16" s="1">
        <v>0.74509803921568629</v>
      </c>
      <c r="AG16" s="1">
        <v>0.72941176470588232</v>
      </c>
    </row>
    <row r="17" spans="1:33">
      <c r="A17" s="16">
        <f>A16+Calculations!$B$4</f>
        <v>16.600000000000001</v>
      </c>
      <c r="B17" s="1">
        <v>0.66666666666666663</v>
      </c>
      <c r="C17" s="1">
        <v>0.67450980392156867</v>
      </c>
      <c r="D17" s="1">
        <v>0.66666666666666663</v>
      </c>
      <c r="E17" s="1">
        <v>0.66666666666666663</v>
      </c>
      <c r="F17" s="1">
        <v>0.66666666666666663</v>
      </c>
      <c r="G17" s="1">
        <v>0.66666666666666663</v>
      </c>
      <c r="H17" s="1">
        <v>0.6588235294117647</v>
      </c>
      <c r="I17" s="1">
        <v>0.66274509803921566</v>
      </c>
      <c r="J17" s="1">
        <v>0.6588235294117647</v>
      </c>
      <c r="K17" s="1">
        <v>0.6588235294117647</v>
      </c>
      <c r="L17" s="1">
        <v>0.6588235294117647</v>
      </c>
      <c r="M17" s="1">
        <v>0.6588235294117647</v>
      </c>
      <c r="N17" s="1">
        <v>0.6588235294117647</v>
      </c>
      <c r="O17" s="1">
        <v>0.66666666666666663</v>
      </c>
      <c r="P17" s="1">
        <v>0.67450980392156867</v>
      </c>
      <c r="Q17" s="1">
        <v>0.66666666666666663</v>
      </c>
      <c r="R17" s="1">
        <v>0.66274509803921566</v>
      </c>
      <c r="S17" s="1">
        <v>0.66666666666666663</v>
      </c>
      <c r="T17" s="1">
        <v>0.6588235294117647</v>
      </c>
      <c r="U17" s="1">
        <v>0.66666666666666663</v>
      </c>
      <c r="V17" s="1">
        <v>0.6588235294117647</v>
      </c>
      <c r="W17" s="1">
        <v>0.6588235294117647</v>
      </c>
      <c r="X17" s="1">
        <v>0.66666666666666663</v>
      </c>
      <c r="Y17" s="1">
        <v>0.66666666666666663</v>
      </c>
      <c r="Z17" s="1">
        <v>0.67450980392156867</v>
      </c>
      <c r="AA17" s="1">
        <v>0.66666666666666663</v>
      </c>
      <c r="AB17" s="1">
        <v>0.6588235294117647</v>
      </c>
      <c r="AC17" s="1">
        <v>0.66666666666666663</v>
      </c>
      <c r="AD17" s="1">
        <v>0.67450980392156867</v>
      </c>
      <c r="AE17" s="1">
        <v>0.6705882352941176</v>
      </c>
      <c r="AF17" s="1">
        <v>0.67450980392156867</v>
      </c>
      <c r="AG17" s="1">
        <v>0.6588235294117647</v>
      </c>
    </row>
    <row r="18" spans="1:33">
      <c r="A18" s="16">
        <f>A17+Calculations!$B$4</f>
        <v>17.600000000000001</v>
      </c>
      <c r="B18" s="1">
        <v>0.60392156862745094</v>
      </c>
      <c r="C18" s="1">
        <v>0.61176470588235299</v>
      </c>
      <c r="D18" s="1">
        <v>0.60784313725490191</v>
      </c>
      <c r="E18" s="1">
        <v>0.60392156862745094</v>
      </c>
      <c r="F18" s="1">
        <v>0.60392156862745094</v>
      </c>
      <c r="G18" s="1">
        <v>0.60392156862745094</v>
      </c>
      <c r="H18" s="1">
        <v>0.60392156862745094</v>
      </c>
      <c r="I18" s="1">
        <v>0.60392156862745094</v>
      </c>
      <c r="J18" s="1">
        <v>0.60392156862745094</v>
      </c>
      <c r="K18" s="1">
        <v>0.6</v>
      </c>
      <c r="L18" s="1">
        <v>0.60392156862745094</v>
      </c>
      <c r="M18" s="1">
        <v>0.6</v>
      </c>
      <c r="N18" s="1">
        <v>0.59607843137254901</v>
      </c>
      <c r="O18" s="1">
        <v>0.60392156862745094</v>
      </c>
      <c r="P18" s="1">
        <v>0.61176470588235299</v>
      </c>
      <c r="Q18" s="1">
        <v>0.60392156862745094</v>
      </c>
      <c r="R18" s="1">
        <v>0.59607843137254901</v>
      </c>
      <c r="S18" s="1">
        <v>0.60392156862745094</v>
      </c>
      <c r="T18" s="1">
        <v>0.60392156862745094</v>
      </c>
      <c r="U18" s="1">
        <v>0.60784313725490191</v>
      </c>
      <c r="V18" s="1">
        <v>0.60392156862745094</v>
      </c>
      <c r="W18" s="1">
        <v>0.61176470588235299</v>
      </c>
      <c r="X18" s="1">
        <v>0.60392156862745094</v>
      </c>
      <c r="Y18" s="1">
        <v>0.61176470588235299</v>
      </c>
      <c r="Z18" s="1">
        <v>0.60784313725490191</v>
      </c>
      <c r="AA18" s="1">
        <v>0.60784313725490191</v>
      </c>
      <c r="AB18" s="1">
        <v>0.60392156862745094</v>
      </c>
      <c r="AC18" s="1">
        <v>0.61176470588235299</v>
      </c>
      <c r="AD18" s="1">
        <v>0.60784313725490191</v>
      </c>
      <c r="AE18" s="1">
        <v>0.60784313725490191</v>
      </c>
      <c r="AF18" s="1">
        <v>0.62352941176470589</v>
      </c>
      <c r="AG18" s="1">
        <v>0.6</v>
      </c>
    </row>
    <row r="19" spans="1:33">
      <c r="A19" s="16">
        <f>A18+Calculations!$B$4</f>
        <v>18.600000000000001</v>
      </c>
      <c r="B19" s="1">
        <v>0.55294117647058827</v>
      </c>
      <c r="C19" s="1">
        <v>0.55294117647058827</v>
      </c>
      <c r="D19" s="1">
        <v>0.55294117647058827</v>
      </c>
      <c r="E19" s="1">
        <v>0.55294117647058827</v>
      </c>
      <c r="F19" s="1">
        <v>0.54509803921568623</v>
      </c>
      <c r="G19" s="1">
        <v>0.54509803921568623</v>
      </c>
      <c r="H19" s="1">
        <v>0.54117647058823526</v>
      </c>
      <c r="I19" s="1">
        <v>0.55294117647058827</v>
      </c>
      <c r="J19" s="1">
        <v>0.54509803921568623</v>
      </c>
      <c r="K19" s="1">
        <v>0.54509803921568623</v>
      </c>
      <c r="L19" s="1">
        <v>0.5490196078431373</v>
      </c>
      <c r="M19" s="1">
        <v>0.54117647058823526</v>
      </c>
      <c r="N19" s="1">
        <v>0.54117647058823526</v>
      </c>
      <c r="O19" s="1">
        <v>0.5490196078431373</v>
      </c>
      <c r="P19" s="1">
        <v>0.55686274509803924</v>
      </c>
      <c r="Q19" s="1">
        <v>0.5490196078431373</v>
      </c>
      <c r="R19" s="1">
        <v>0.54117647058823526</v>
      </c>
      <c r="S19" s="1">
        <v>0.5490196078431373</v>
      </c>
      <c r="T19" s="1">
        <v>0.53725490196078429</v>
      </c>
      <c r="U19" s="1">
        <v>0.5490196078431373</v>
      </c>
      <c r="V19" s="1">
        <v>0.5490196078431373</v>
      </c>
      <c r="W19" s="1">
        <v>0.5490196078431373</v>
      </c>
      <c r="X19" s="1">
        <v>0.5490196078431373</v>
      </c>
      <c r="Y19" s="1">
        <v>0.55294117647058827</v>
      </c>
      <c r="Z19" s="1">
        <v>0.5490196078431373</v>
      </c>
      <c r="AA19" s="1">
        <v>0.55294117647058827</v>
      </c>
      <c r="AB19" s="1">
        <v>0.5490196078431373</v>
      </c>
      <c r="AC19" s="1">
        <v>0.55686274509803924</v>
      </c>
      <c r="AD19" s="1">
        <v>0.5490196078431373</v>
      </c>
      <c r="AE19" s="1">
        <v>0.5490196078431373</v>
      </c>
      <c r="AF19" s="1">
        <v>0.5607843137254902</v>
      </c>
      <c r="AG19" s="1">
        <v>0.5490196078431373</v>
      </c>
    </row>
    <row r="20" spans="1:33">
      <c r="A20" s="16">
        <f>A19+Calculations!$B$4</f>
        <v>19.600000000000001</v>
      </c>
      <c r="B20" s="1">
        <v>0.50588235294117645</v>
      </c>
      <c r="C20" s="1">
        <v>0.50588235294117645</v>
      </c>
      <c r="D20" s="1">
        <v>0.50588235294117645</v>
      </c>
      <c r="E20" s="1">
        <v>0.50588235294117645</v>
      </c>
      <c r="F20" s="1">
        <v>0.50196078431372548</v>
      </c>
      <c r="G20" s="1">
        <v>0.50196078431372548</v>
      </c>
      <c r="H20" s="1">
        <v>0.49803921568627452</v>
      </c>
      <c r="I20" s="1">
        <v>0.50588235294117645</v>
      </c>
      <c r="J20" s="1">
        <v>0.49803921568627452</v>
      </c>
      <c r="K20" s="1">
        <v>0.49803921568627452</v>
      </c>
      <c r="L20" s="1">
        <v>0.50588235294117645</v>
      </c>
      <c r="M20" s="1">
        <v>0.49803921568627452</v>
      </c>
      <c r="N20" s="1">
        <v>0.49803921568627452</v>
      </c>
      <c r="O20" s="1">
        <v>0.50196078431372548</v>
      </c>
      <c r="P20" s="1">
        <v>0.50980392156862742</v>
      </c>
      <c r="Q20" s="1">
        <v>0.50196078431372548</v>
      </c>
      <c r="R20" s="1">
        <v>0.49803921568627452</v>
      </c>
      <c r="S20" s="1">
        <v>0.49803921568627452</v>
      </c>
      <c r="T20" s="1">
        <v>0.49019607843137253</v>
      </c>
      <c r="U20" s="1">
        <v>0.50588235294117645</v>
      </c>
      <c r="V20" s="1">
        <v>0.50588235294117645</v>
      </c>
      <c r="W20" s="1">
        <v>0.49803921568627452</v>
      </c>
      <c r="X20" s="1">
        <v>0.50196078431372548</v>
      </c>
      <c r="Y20" s="1">
        <v>0.50588235294117645</v>
      </c>
      <c r="Z20" s="1">
        <v>0.50196078431372548</v>
      </c>
      <c r="AA20" s="1">
        <v>0.50196078431372548</v>
      </c>
      <c r="AB20" s="1">
        <v>0.50588235294117645</v>
      </c>
      <c r="AC20" s="1">
        <v>0.50196078431372548</v>
      </c>
      <c r="AD20" s="1">
        <v>0.50196078431372548</v>
      </c>
      <c r="AE20" s="1">
        <v>0.50588235294117645</v>
      </c>
      <c r="AF20" s="1">
        <v>0.51372549019607838</v>
      </c>
      <c r="AG20" s="1">
        <v>0.49803921568627452</v>
      </c>
    </row>
    <row r="21" spans="1:33">
      <c r="A21" s="16">
        <f>A20+Calculations!$B$4</f>
        <v>20.6</v>
      </c>
      <c r="B21" s="1">
        <v>0.46666666666666667</v>
      </c>
      <c r="C21" s="1">
        <v>0.46666666666666667</v>
      </c>
      <c r="D21" s="1">
        <v>0.46666666666666667</v>
      </c>
      <c r="E21" s="1">
        <v>0.46666666666666667</v>
      </c>
      <c r="F21" s="1">
        <v>0.46666666666666667</v>
      </c>
      <c r="G21" s="1">
        <v>0.46666666666666667</v>
      </c>
      <c r="H21" s="1">
        <v>0.46274509803921571</v>
      </c>
      <c r="I21" s="1">
        <v>0.46666666666666667</v>
      </c>
      <c r="J21" s="1">
        <v>0.45882352941176469</v>
      </c>
      <c r="K21" s="1">
        <v>0.45882352941176469</v>
      </c>
      <c r="L21" s="1">
        <v>0.46666666666666667</v>
      </c>
      <c r="M21" s="1">
        <v>0.45882352941176469</v>
      </c>
      <c r="N21" s="1">
        <v>0.45882352941176469</v>
      </c>
      <c r="O21" s="1">
        <v>0.45882352941176469</v>
      </c>
      <c r="P21" s="1">
        <v>0.47058823529411764</v>
      </c>
      <c r="Q21" s="1">
        <v>0.46666666666666667</v>
      </c>
      <c r="R21" s="1">
        <v>0.46666666666666667</v>
      </c>
      <c r="S21" s="1">
        <v>0.45882352941176469</v>
      </c>
      <c r="T21" s="1">
        <v>0.45882352941176469</v>
      </c>
      <c r="U21" s="1">
        <v>0.46666666666666667</v>
      </c>
      <c r="V21" s="1">
        <v>0.46666666666666667</v>
      </c>
      <c r="W21" s="1">
        <v>0.46666666666666667</v>
      </c>
      <c r="X21" s="1">
        <v>0.46666666666666667</v>
      </c>
      <c r="Y21" s="1">
        <v>0.46274509803921571</v>
      </c>
      <c r="Z21" s="1">
        <v>0.47058823529411764</v>
      </c>
      <c r="AA21" s="1">
        <v>0.46666666666666667</v>
      </c>
      <c r="AB21" s="1">
        <v>0.46666666666666667</v>
      </c>
      <c r="AC21" s="1">
        <v>0.46274509803921571</v>
      </c>
      <c r="AD21" s="1">
        <v>0.47058823529411764</v>
      </c>
      <c r="AE21" s="1">
        <v>0.46666666666666667</v>
      </c>
      <c r="AF21" s="1">
        <v>0.47450980392156861</v>
      </c>
      <c r="AG21" s="1">
        <v>0.46666666666666667</v>
      </c>
    </row>
    <row r="22" spans="1:33">
      <c r="A22" s="16">
        <f>A21+Calculations!$B$4</f>
        <v>21.6</v>
      </c>
      <c r="B22" s="1">
        <v>0.43529411764705883</v>
      </c>
      <c r="C22" s="1">
        <v>0.43529411764705883</v>
      </c>
      <c r="D22" s="1">
        <v>0.43529411764705883</v>
      </c>
      <c r="E22" s="1">
        <v>0.43137254901960786</v>
      </c>
      <c r="F22" s="1">
        <v>0.43529411764705883</v>
      </c>
      <c r="G22" s="1">
        <v>0.43137254901960786</v>
      </c>
      <c r="H22" s="1">
        <v>0.43137254901960786</v>
      </c>
      <c r="I22" s="1">
        <v>0.42745098039215684</v>
      </c>
      <c r="J22" s="1">
        <v>0.42745098039215684</v>
      </c>
      <c r="K22" s="1">
        <v>0.42745098039215684</v>
      </c>
      <c r="L22" s="1">
        <v>0.42352941176470588</v>
      </c>
      <c r="M22" s="1">
        <v>0.42352941176470588</v>
      </c>
      <c r="N22" s="1">
        <v>0.42745098039215684</v>
      </c>
      <c r="O22" s="1">
        <v>0.42745098039215684</v>
      </c>
      <c r="P22" s="1">
        <v>0.43137254901960786</v>
      </c>
      <c r="Q22" s="1">
        <v>0.43137254901960786</v>
      </c>
      <c r="R22" s="1">
        <v>0.42352941176470588</v>
      </c>
      <c r="S22" s="1">
        <v>0.43529411764705883</v>
      </c>
      <c r="T22" s="1">
        <v>0.42352941176470588</v>
      </c>
      <c r="U22" s="1">
        <v>0.43529411764705883</v>
      </c>
      <c r="V22" s="1">
        <v>0.43529411764705883</v>
      </c>
      <c r="W22" s="1">
        <v>0.42745098039215684</v>
      </c>
      <c r="X22" s="1">
        <v>0.43137254901960786</v>
      </c>
      <c r="Y22" s="1">
        <v>0.43529411764705883</v>
      </c>
      <c r="Z22" s="1">
        <v>0.4392156862745098</v>
      </c>
      <c r="AA22" s="1">
        <v>0.43137254901960786</v>
      </c>
      <c r="AB22" s="1">
        <v>0.43529411764705883</v>
      </c>
      <c r="AC22" s="1">
        <v>0.43137254901960786</v>
      </c>
      <c r="AD22" s="1">
        <v>0.43529411764705883</v>
      </c>
      <c r="AE22" s="1">
        <v>0.42745098039215684</v>
      </c>
      <c r="AF22" s="1">
        <v>0.43529411764705883</v>
      </c>
      <c r="AG22" s="1">
        <v>0.42745098039215684</v>
      </c>
    </row>
    <row r="23" spans="1:33">
      <c r="A23" s="16">
        <f>A22+Calculations!$B$4</f>
        <v>22.6</v>
      </c>
      <c r="B23" s="1">
        <v>0.40392156862745099</v>
      </c>
      <c r="C23" s="1">
        <v>0.40392156862745099</v>
      </c>
      <c r="D23" s="1">
        <v>0.40392156862745099</v>
      </c>
      <c r="E23" s="1">
        <v>0.40392156862745099</v>
      </c>
      <c r="F23" s="1">
        <v>0.40392156862745099</v>
      </c>
      <c r="G23" s="1">
        <v>0.4</v>
      </c>
      <c r="H23" s="1">
        <v>0.40392156862745099</v>
      </c>
      <c r="I23" s="1">
        <v>0.396078431372549</v>
      </c>
      <c r="J23" s="1">
        <v>0.40392156862745099</v>
      </c>
      <c r="K23" s="1">
        <v>0.396078431372549</v>
      </c>
      <c r="L23" s="1">
        <v>0.40392156862745099</v>
      </c>
      <c r="M23" s="1">
        <v>0.396078431372549</v>
      </c>
      <c r="N23" s="1">
        <v>0.396078431372549</v>
      </c>
      <c r="O23" s="1">
        <v>0.4</v>
      </c>
      <c r="P23" s="1">
        <v>0.40784313725490196</v>
      </c>
      <c r="Q23" s="1">
        <v>0.40392156862745099</v>
      </c>
      <c r="R23" s="1">
        <v>0.40392156862745099</v>
      </c>
      <c r="S23" s="1">
        <v>0.40784313725490196</v>
      </c>
      <c r="T23" s="1">
        <v>0.396078431372549</v>
      </c>
      <c r="U23" s="1">
        <v>0.40392156862745099</v>
      </c>
      <c r="V23" s="1">
        <v>0.40392156862745099</v>
      </c>
      <c r="W23" s="1">
        <v>0.40392156862745099</v>
      </c>
      <c r="X23" s="1">
        <v>0.40784313725490196</v>
      </c>
      <c r="Y23" s="1">
        <v>0.40784313725490196</v>
      </c>
      <c r="Z23" s="1">
        <v>0.41176470588235292</v>
      </c>
      <c r="AA23" s="1">
        <v>0.40392156862745099</v>
      </c>
      <c r="AB23" s="1">
        <v>0.40392156862745099</v>
      </c>
      <c r="AC23" s="1">
        <v>0.40784313725490196</v>
      </c>
      <c r="AD23" s="1">
        <v>0.40392156862745099</v>
      </c>
      <c r="AE23" s="1">
        <v>0.40392156862745099</v>
      </c>
      <c r="AF23" s="1">
        <v>0.41176470588235292</v>
      </c>
      <c r="AG23" s="1">
        <v>0.39215686274509803</v>
      </c>
    </row>
    <row r="24" spans="1:33">
      <c r="A24" s="16">
        <f>A23+Calculations!$B$4</f>
        <v>23.6</v>
      </c>
      <c r="B24" s="1">
        <v>0.37647058823529411</v>
      </c>
      <c r="C24" s="1">
        <v>0.37254901960784315</v>
      </c>
      <c r="D24" s="1">
        <v>0.37647058823529411</v>
      </c>
      <c r="E24" s="1">
        <v>0.37647058823529411</v>
      </c>
      <c r="F24" s="1">
        <v>0.37647058823529411</v>
      </c>
      <c r="G24" s="1">
        <v>0.37254901960784315</v>
      </c>
      <c r="H24" s="1">
        <v>0.37254901960784315</v>
      </c>
      <c r="I24" s="1">
        <v>0.36862745098039218</v>
      </c>
      <c r="J24" s="1">
        <v>0.36862745098039218</v>
      </c>
      <c r="K24" s="1">
        <v>0.37647058823529411</v>
      </c>
      <c r="L24" s="1">
        <v>0.37647058823529411</v>
      </c>
      <c r="M24" s="1">
        <v>0.36862745098039218</v>
      </c>
      <c r="N24" s="1">
        <v>0.37254901960784315</v>
      </c>
      <c r="O24" s="1">
        <v>0.37647058823529411</v>
      </c>
      <c r="P24" s="1">
        <v>0.38823529411764707</v>
      </c>
      <c r="Q24" s="1">
        <v>0.37647058823529411</v>
      </c>
      <c r="R24" s="1">
        <v>0.37254901960784315</v>
      </c>
      <c r="S24" s="1">
        <v>0.36862745098039218</v>
      </c>
      <c r="T24" s="1">
        <v>0.37254901960784315</v>
      </c>
      <c r="U24" s="1">
        <v>0.38039215686274508</v>
      </c>
      <c r="V24" s="1">
        <v>0.3843137254901961</v>
      </c>
      <c r="W24" s="1">
        <v>0.36470588235294116</v>
      </c>
      <c r="X24" s="1">
        <v>0.37647058823529411</v>
      </c>
      <c r="Y24" s="1">
        <v>0.38039215686274508</v>
      </c>
      <c r="Z24" s="1">
        <v>0.37647058823529411</v>
      </c>
      <c r="AA24" s="1">
        <v>0.38039215686274508</v>
      </c>
      <c r="AB24" s="1">
        <v>0.37254901960784315</v>
      </c>
      <c r="AC24" s="1">
        <v>0.37647058823529411</v>
      </c>
      <c r="AD24" s="1">
        <v>0.37254901960784315</v>
      </c>
      <c r="AE24" s="1">
        <v>0.36862745098039218</v>
      </c>
      <c r="AF24" s="1">
        <v>0.38039215686274508</v>
      </c>
      <c r="AG24" s="1">
        <v>0.37254901960784315</v>
      </c>
    </row>
    <row r="25" spans="1:33">
      <c r="A25" s="16">
        <f>A24+Calculations!$B$4</f>
        <v>24.6</v>
      </c>
      <c r="B25" s="1">
        <v>0.34901960784313724</v>
      </c>
      <c r="C25" s="1">
        <v>0.35294117647058826</v>
      </c>
      <c r="D25" s="1">
        <v>0.34901960784313724</v>
      </c>
      <c r="E25" s="1">
        <v>0.35294117647058826</v>
      </c>
      <c r="F25" s="1">
        <v>0.35294117647058826</v>
      </c>
      <c r="G25" s="1">
        <v>0.34901960784313724</v>
      </c>
      <c r="H25" s="1">
        <v>0.34901960784313724</v>
      </c>
      <c r="I25" s="1">
        <v>0.35686274509803922</v>
      </c>
      <c r="J25" s="1">
        <v>0.35294117647058826</v>
      </c>
      <c r="K25" s="1">
        <v>0.34901960784313724</v>
      </c>
      <c r="L25" s="1">
        <v>0.34901960784313724</v>
      </c>
      <c r="M25" s="1">
        <v>0.35294117647058826</v>
      </c>
      <c r="N25" s="1">
        <v>0.35294117647058826</v>
      </c>
      <c r="O25" s="1">
        <v>0.35294117647058826</v>
      </c>
      <c r="P25" s="1">
        <v>0.36078431372549019</v>
      </c>
      <c r="Q25" s="1">
        <v>0.35686274509803922</v>
      </c>
      <c r="R25" s="1">
        <v>0.35686274509803922</v>
      </c>
      <c r="S25" s="1">
        <v>0.35686274509803922</v>
      </c>
      <c r="T25" s="1">
        <v>0.34901960784313724</v>
      </c>
      <c r="U25" s="1">
        <v>0.35686274509803922</v>
      </c>
      <c r="V25" s="1">
        <v>0.36078431372549019</v>
      </c>
      <c r="W25" s="1">
        <v>0.35294117647058826</v>
      </c>
      <c r="X25" s="1">
        <v>0.35294117647058826</v>
      </c>
      <c r="Y25" s="1">
        <v>0.36078431372549019</v>
      </c>
      <c r="Z25" s="1">
        <v>0.35686274509803922</v>
      </c>
      <c r="AA25" s="1">
        <v>0.35686274509803922</v>
      </c>
      <c r="AB25" s="1">
        <v>0.35294117647058826</v>
      </c>
      <c r="AC25" s="1">
        <v>0.34901960784313724</v>
      </c>
      <c r="AD25" s="1">
        <v>0.35294117647058826</v>
      </c>
      <c r="AE25" s="1">
        <v>0.35294117647058826</v>
      </c>
      <c r="AF25" s="1">
        <v>0.36862745098039218</v>
      </c>
      <c r="AG25" s="1">
        <v>0.3411764705882353</v>
      </c>
    </row>
    <row r="26" spans="1:33">
      <c r="A26" s="16">
        <f>A25+Calculations!$B$4</f>
        <v>25.6</v>
      </c>
      <c r="B26" s="1">
        <v>0.32941176470588235</v>
      </c>
      <c r="C26" s="1">
        <v>0.33725490196078434</v>
      </c>
      <c r="D26" s="1">
        <v>0.32941176470588235</v>
      </c>
      <c r="E26" s="1">
        <v>0.32941176470588235</v>
      </c>
      <c r="F26" s="1">
        <v>0.32941176470588235</v>
      </c>
      <c r="G26" s="1">
        <v>0.32549019607843138</v>
      </c>
      <c r="H26" s="1">
        <v>0.33333333333333331</v>
      </c>
      <c r="I26" s="1">
        <v>0.32156862745098042</v>
      </c>
      <c r="J26" s="1">
        <v>0.32549019607843138</v>
      </c>
      <c r="K26" s="1">
        <v>0.33333333333333331</v>
      </c>
      <c r="L26" s="1">
        <v>0.33333333333333331</v>
      </c>
      <c r="M26" s="1">
        <v>0.32941176470588235</v>
      </c>
      <c r="N26" s="1">
        <v>0.32549019607843138</v>
      </c>
      <c r="O26" s="1">
        <v>0.32941176470588235</v>
      </c>
      <c r="P26" s="1">
        <v>0.3411764705882353</v>
      </c>
      <c r="Q26" s="1">
        <v>0.33725490196078434</v>
      </c>
      <c r="R26" s="1">
        <v>0.32941176470588235</v>
      </c>
      <c r="S26" s="1">
        <v>0.33725490196078434</v>
      </c>
      <c r="T26" s="1">
        <v>0.32156862745098042</v>
      </c>
      <c r="U26" s="1">
        <v>0.33333333333333331</v>
      </c>
      <c r="V26" s="1">
        <v>0.33725490196078434</v>
      </c>
      <c r="W26" s="1">
        <v>0.33333333333333331</v>
      </c>
      <c r="X26" s="1">
        <v>0.33725490196078434</v>
      </c>
      <c r="Y26" s="1">
        <v>0.33725490196078434</v>
      </c>
      <c r="Z26" s="1">
        <v>0.33725490196078434</v>
      </c>
      <c r="AA26" s="1">
        <v>0.32549019607843138</v>
      </c>
      <c r="AB26" s="1">
        <v>0.33333333333333331</v>
      </c>
      <c r="AC26" s="1">
        <v>0.32941176470588235</v>
      </c>
      <c r="AD26" s="1">
        <v>0.33333333333333331</v>
      </c>
      <c r="AE26" s="1">
        <v>0.32941176470588235</v>
      </c>
      <c r="AF26" s="1">
        <v>0.33725490196078434</v>
      </c>
      <c r="AG26" s="1">
        <v>0.32549019607843138</v>
      </c>
    </row>
    <row r="27" spans="1:33">
      <c r="A27" s="16">
        <f>A26+Calculations!$B$4</f>
        <v>26.6</v>
      </c>
      <c r="B27" s="1">
        <v>0.30980392156862746</v>
      </c>
      <c r="C27" s="1">
        <v>0.31764705882352939</v>
      </c>
      <c r="D27" s="1">
        <v>0.30980392156862746</v>
      </c>
      <c r="E27" s="1">
        <v>0.31372549019607843</v>
      </c>
      <c r="F27" s="1">
        <v>0.31372549019607843</v>
      </c>
      <c r="G27" s="1">
        <v>0.30196078431372547</v>
      </c>
      <c r="H27" s="1">
        <v>0.31372549019607843</v>
      </c>
      <c r="I27" s="1">
        <v>0.30980392156862746</v>
      </c>
      <c r="J27" s="1">
        <v>0.30980392156862746</v>
      </c>
      <c r="K27" s="1">
        <v>0.30196078431372547</v>
      </c>
      <c r="L27" s="1">
        <v>0.31372549019607843</v>
      </c>
      <c r="M27" s="1">
        <v>0.30588235294117649</v>
      </c>
      <c r="N27" s="1">
        <v>0.30588235294117649</v>
      </c>
      <c r="O27" s="1">
        <v>0.30196078431372547</v>
      </c>
      <c r="P27" s="1">
        <v>0.31764705882352939</v>
      </c>
      <c r="Q27" s="1">
        <v>0.31764705882352939</v>
      </c>
      <c r="R27" s="1">
        <v>0.30588235294117649</v>
      </c>
      <c r="S27" s="1">
        <v>0.31372549019607843</v>
      </c>
      <c r="T27" s="1">
        <v>0.29803921568627451</v>
      </c>
      <c r="U27" s="1">
        <v>0.31764705882352939</v>
      </c>
      <c r="V27" s="1">
        <v>0.31372549019607843</v>
      </c>
      <c r="W27" s="1">
        <v>0.30980392156862746</v>
      </c>
      <c r="X27" s="1">
        <v>0.30980392156862746</v>
      </c>
      <c r="Y27" s="1">
        <v>0.30980392156862746</v>
      </c>
      <c r="Z27" s="1">
        <v>0.32156862745098042</v>
      </c>
      <c r="AA27" s="1">
        <v>0.31372549019607843</v>
      </c>
      <c r="AB27" s="1">
        <v>0.30980392156862746</v>
      </c>
      <c r="AC27" s="1">
        <v>0.30980392156862746</v>
      </c>
      <c r="AD27" s="1">
        <v>0.31764705882352939</v>
      </c>
      <c r="AE27" s="1">
        <v>0.30980392156862746</v>
      </c>
      <c r="AF27" s="1">
        <v>0.31372549019607843</v>
      </c>
      <c r="AG27" s="1">
        <v>0.31372549019607843</v>
      </c>
    </row>
    <row r="28" spans="1:33">
      <c r="A28" s="16">
        <f>A27+Calculations!$B$4</f>
        <v>27.6</v>
      </c>
      <c r="B28" s="1">
        <v>0.29019607843137257</v>
      </c>
      <c r="C28" s="1">
        <v>0.29803921568627451</v>
      </c>
      <c r="D28" s="1">
        <v>0.29411764705882354</v>
      </c>
      <c r="E28" s="1">
        <v>0.29411764705882354</v>
      </c>
      <c r="F28" s="1">
        <v>0.29803921568627451</v>
      </c>
      <c r="G28" s="1">
        <v>0.28627450980392155</v>
      </c>
      <c r="H28" s="1">
        <v>0.29803921568627451</v>
      </c>
      <c r="I28" s="1">
        <v>0.29019607843137257</v>
      </c>
      <c r="J28" s="1">
        <v>0.29019607843137257</v>
      </c>
      <c r="K28" s="1">
        <v>0.28235294117647058</v>
      </c>
      <c r="L28" s="1">
        <v>0.29411764705882354</v>
      </c>
      <c r="M28" s="1">
        <v>0.28627450980392155</v>
      </c>
      <c r="N28" s="1">
        <v>0.29019607843137257</v>
      </c>
      <c r="O28" s="1">
        <v>0.28627450980392155</v>
      </c>
      <c r="P28" s="1">
        <v>0.30588235294117649</v>
      </c>
      <c r="Q28" s="1">
        <v>0.30588235294117649</v>
      </c>
      <c r="R28" s="1">
        <v>0.29019607843137257</v>
      </c>
      <c r="S28" s="1">
        <v>0.29411764705882354</v>
      </c>
      <c r="T28" s="1">
        <v>0.28235294117647058</v>
      </c>
      <c r="U28" s="1">
        <v>0.29803921568627451</v>
      </c>
      <c r="V28" s="1">
        <v>0.29803921568627451</v>
      </c>
      <c r="W28" s="1">
        <v>0.29411764705882354</v>
      </c>
      <c r="X28" s="1">
        <v>0.28627450980392155</v>
      </c>
      <c r="Y28" s="1">
        <v>0.29019607843137257</v>
      </c>
      <c r="Z28" s="1">
        <v>0.29803921568627451</v>
      </c>
      <c r="AA28" s="1">
        <v>0.29019607843137257</v>
      </c>
      <c r="AB28" s="1">
        <v>0.29019607843137257</v>
      </c>
      <c r="AC28" s="1">
        <v>0.29019607843137257</v>
      </c>
      <c r="AD28" s="1">
        <v>0.29411764705882354</v>
      </c>
      <c r="AE28" s="1">
        <v>0.29411764705882354</v>
      </c>
      <c r="AF28" s="1">
        <v>0.29803921568627451</v>
      </c>
      <c r="AG28" s="1">
        <v>0.29019607843137257</v>
      </c>
    </row>
    <row r="29" spans="1:33">
      <c r="A29" s="16">
        <f>A28+Calculations!$B$4</f>
        <v>28.6</v>
      </c>
      <c r="B29" s="1">
        <v>0.28235294117647058</v>
      </c>
      <c r="C29" s="1">
        <v>0.28235294117647058</v>
      </c>
      <c r="D29" s="1">
        <v>0.27843137254901962</v>
      </c>
      <c r="E29" s="1">
        <v>0.28235294117647058</v>
      </c>
      <c r="F29" s="1">
        <v>0.28627450980392155</v>
      </c>
      <c r="G29" s="1">
        <v>0.27450980392156865</v>
      </c>
      <c r="H29" s="1">
        <v>0.28235294117647058</v>
      </c>
      <c r="I29" s="1">
        <v>0.28235294117647058</v>
      </c>
      <c r="J29" s="1">
        <v>0.27450980392156865</v>
      </c>
      <c r="K29" s="1">
        <v>0.27450980392156865</v>
      </c>
      <c r="L29" s="1">
        <v>0.27843137254901962</v>
      </c>
      <c r="M29" s="1">
        <v>0.27058823529411763</v>
      </c>
      <c r="N29" s="1">
        <v>0.27843137254901962</v>
      </c>
      <c r="O29" s="1">
        <v>0.27450980392156865</v>
      </c>
      <c r="P29" s="1">
        <v>0.29411764705882354</v>
      </c>
      <c r="Q29" s="1">
        <v>0.28627450980392155</v>
      </c>
      <c r="R29" s="1">
        <v>0.27843137254901962</v>
      </c>
      <c r="S29" s="1">
        <v>0.27843137254901962</v>
      </c>
      <c r="T29" s="1">
        <v>0.27450980392156865</v>
      </c>
      <c r="U29" s="1">
        <v>0.28235294117647058</v>
      </c>
      <c r="V29" s="1">
        <v>0.28627450980392155</v>
      </c>
      <c r="W29" s="1">
        <v>0.27450980392156865</v>
      </c>
      <c r="X29" s="1">
        <v>0.27843137254901962</v>
      </c>
      <c r="Y29" s="1">
        <v>0.27843137254901962</v>
      </c>
      <c r="Z29" s="1">
        <v>0.29019607843137257</v>
      </c>
      <c r="AA29" s="1">
        <v>0.28235294117647058</v>
      </c>
      <c r="AB29" s="1">
        <v>0.27450980392156865</v>
      </c>
      <c r="AC29" s="1">
        <v>0.28235294117647058</v>
      </c>
      <c r="AD29" s="1">
        <v>0.28235294117647058</v>
      </c>
      <c r="AE29" s="1">
        <v>0.28627450980392155</v>
      </c>
      <c r="AF29" s="1">
        <v>0.28235294117647058</v>
      </c>
      <c r="AG29" s="1">
        <v>0.28235294117647058</v>
      </c>
    </row>
    <row r="30" spans="1:33">
      <c r="A30" s="16">
        <f>A29+Calculations!$B$4</f>
        <v>29.6</v>
      </c>
      <c r="B30" s="1">
        <v>0.26666666666666666</v>
      </c>
      <c r="C30" s="1">
        <v>0.27450980392156865</v>
      </c>
      <c r="D30" s="1">
        <v>0.26666666666666666</v>
      </c>
      <c r="E30" s="1">
        <v>0.27450980392156865</v>
      </c>
      <c r="F30" s="1">
        <v>0.27450980392156865</v>
      </c>
      <c r="G30" s="1">
        <v>0.2627450980392157</v>
      </c>
      <c r="H30" s="1">
        <v>0.26666666666666666</v>
      </c>
      <c r="I30" s="1">
        <v>0.26666666666666666</v>
      </c>
      <c r="J30" s="1">
        <v>0.26666666666666666</v>
      </c>
      <c r="K30" s="1">
        <v>0.26666666666666666</v>
      </c>
      <c r="L30" s="1">
        <v>0.26666666666666666</v>
      </c>
      <c r="M30" s="1">
        <v>0.25882352941176473</v>
      </c>
      <c r="N30" s="1">
        <v>0.2627450980392157</v>
      </c>
      <c r="O30" s="1">
        <v>0.2627450980392157</v>
      </c>
      <c r="P30" s="1">
        <v>0.28235294117647058</v>
      </c>
      <c r="Q30" s="1">
        <v>0.28235294117647058</v>
      </c>
      <c r="R30" s="1">
        <v>0.2627450980392157</v>
      </c>
      <c r="S30" s="1">
        <v>0.26666666666666666</v>
      </c>
      <c r="T30" s="1">
        <v>0.25098039215686274</v>
      </c>
      <c r="U30" s="1">
        <v>0.27058823529411763</v>
      </c>
      <c r="V30" s="1">
        <v>0.27058823529411763</v>
      </c>
      <c r="W30" s="1">
        <v>0.26666666666666666</v>
      </c>
      <c r="X30" s="1">
        <v>0.27058823529411763</v>
      </c>
      <c r="Y30" s="1">
        <v>0.26666666666666666</v>
      </c>
      <c r="Z30" s="1">
        <v>0.27450980392156865</v>
      </c>
      <c r="AA30" s="1">
        <v>0.26666666666666666</v>
      </c>
      <c r="AB30" s="1">
        <v>0.26666666666666666</v>
      </c>
      <c r="AC30" s="1">
        <v>0.27058823529411763</v>
      </c>
      <c r="AD30" s="1">
        <v>0.26666666666666666</v>
      </c>
      <c r="AE30" s="1">
        <v>0.26666666666666666</v>
      </c>
      <c r="AF30" s="1">
        <v>0.27450980392156865</v>
      </c>
      <c r="AG30" s="1">
        <v>0.26666666666666666</v>
      </c>
    </row>
    <row r="31" spans="1:33">
      <c r="A31" s="16">
        <f>A30+Calculations!$B$4</f>
        <v>30.6</v>
      </c>
      <c r="B31" s="1">
        <v>0.25882352941176473</v>
      </c>
      <c r="C31" s="1">
        <v>0.25882352941176473</v>
      </c>
      <c r="D31" s="1">
        <v>0.25882352941176473</v>
      </c>
      <c r="E31" s="1">
        <v>0.25882352941176473</v>
      </c>
      <c r="F31" s="1">
        <v>0.25882352941176473</v>
      </c>
      <c r="G31" s="1">
        <v>0.25098039215686274</v>
      </c>
      <c r="H31" s="1">
        <v>0.25098039215686274</v>
      </c>
      <c r="I31" s="1">
        <v>0.25098039215686274</v>
      </c>
      <c r="J31" s="1">
        <v>0.25098039215686274</v>
      </c>
      <c r="K31" s="1">
        <v>0.25098039215686274</v>
      </c>
      <c r="L31" s="1">
        <v>0.25098039215686274</v>
      </c>
      <c r="M31" s="1">
        <v>0.25098039215686274</v>
      </c>
      <c r="N31" s="1">
        <v>0.25098039215686274</v>
      </c>
      <c r="O31" s="1">
        <v>0.25490196078431371</v>
      </c>
      <c r="P31" s="1">
        <v>0.26666666666666666</v>
      </c>
      <c r="Q31" s="1">
        <v>0.26666666666666666</v>
      </c>
      <c r="R31" s="1">
        <v>0.24705882352941178</v>
      </c>
      <c r="S31" s="1">
        <v>0.25882352941176473</v>
      </c>
      <c r="T31" s="1">
        <v>0.24313725490196078</v>
      </c>
      <c r="U31" s="1">
        <v>0.25490196078431371</v>
      </c>
      <c r="V31" s="1">
        <v>0.25490196078431371</v>
      </c>
      <c r="W31" s="1">
        <v>0.25098039215686274</v>
      </c>
      <c r="X31" s="1">
        <v>0.25882352941176473</v>
      </c>
      <c r="Y31" s="1">
        <v>0.25098039215686274</v>
      </c>
      <c r="Z31" s="1">
        <v>0.25882352941176473</v>
      </c>
      <c r="AA31" s="1">
        <v>0.25882352941176473</v>
      </c>
      <c r="AB31" s="1">
        <v>0.25882352941176473</v>
      </c>
      <c r="AC31" s="1">
        <v>0.25882352941176473</v>
      </c>
      <c r="AD31" s="1">
        <v>0.25882352941176473</v>
      </c>
      <c r="AE31" s="1">
        <v>0.25490196078431371</v>
      </c>
      <c r="AF31" s="1">
        <v>0.25882352941176473</v>
      </c>
      <c r="AG31" s="1">
        <v>0.25882352941176473</v>
      </c>
    </row>
    <row r="32" spans="1:33">
      <c r="A32" s="16">
        <f>A31+Calculations!$B$4</f>
        <v>31.6</v>
      </c>
      <c r="B32" s="1">
        <v>0.24313725490196078</v>
      </c>
      <c r="C32" s="1">
        <v>0.24313725490196078</v>
      </c>
      <c r="D32" s="1">
        <v>0.25098039215686274</v>
      </c>
      <c r="E32" s="1">
        <v>0.25098039215686274</v>
      </c>
      <c r="F32" s="1">
        <v>0.25098039215686274</v>
      </c>
      <c r="G32" s="1">
        <v>0.24705882352941178</v>
      </c>
      <c r="H32" s="1">
        <v>0.24313725490196078</v>
      </c>
      <c r="I32" s="1">
        <v>0.24313725490196078</v>
      </c>
      <c r="J32" s="1">
        <v>0.24313725490196078</v>
      </c>
      <c r="K32" s="1">
        <v>0.24313725490196078</v>
      </c>
      <c r="L32" s="1">
        <v>0.24313725490196078</v>
      </c>
      <c r="M32" s="1">
        <v>0.23921568627450981</v>
      </c>
      <c r="N32" s="1">
        <v>0.24313725490196078</v>
      </c>
      <c r="O32" s="1">
        <v>0.24313725490196078</v>
      </c>
      <c r="P32" s="1">
        <v>0.25098039215686274</v>
      </c>
      <c r="Q32" s="1">
        <v>0.25098039215686274</v>
      </c>
      <c r="R32" s="1">
        <v>0.24705882352941178</v>
      </c>
      <c r="S32" s="1">
        <v>0.24705882352941178</v>
      </c>
      <c r="T32" s="1">
        <v>0.22745098039215686</v>
      </c>
      <c r="U32" s="1">
        <v>0.24705882352941178</v>
      </c>
      <c r="V32" s="1">
        <v>0.24313725490196078</v>
      </c>
      <c r="W32" s="1">
        <v>0.24313725490196078</v>
      </c>
      <c r="X32" s="1">
        <v>0.24313725490196078</v>
      </c>
      <c r="Y32" s="1">
        <v>0.24313725490196078</v>
      </c>
      <c r="Z32" s="1">
        <v>0.25490196078431371</v>
      </c>
      <c r="AA32" s="1">
        <v>0.24705882352941178</v>
      </c>
      <c r="AB32" s="1">
        <v>0.24313725490196078</v>
      </c>
      <c r="AC32" s="1">
        <v>0.24705882352941178</v>
      </c>
      <c r="AD32" s="1">
        <v>0.24705882352941178</v>
      </c>
      <c r="AE32" s="1">
        <v>0.24313725490196078</v>
      </c>
      <c r="AF32" s="1">
        <v>0.24705882352941178</v>
      </c>
      <c r="AG32" s="1">
        <v>0.25098039215686274</v>
      </c>
    </row>
    <row r="33" spans="1:33">
      <c r="A33" s="16">
        <f>A32+Calculations!$B$4</f>
        <v>32.6</v>
      </c>
      <c r="B33" s="1">
        <v>0.23529411764705882</v>
      </c>
      <c r="C33" s="1">
        <v>0.23137254901960785</v>
      </c>
      <c r="D33" s="1">
        <v>0.24313725490196078</v>
      </c>
      <c r="E33" s="1">
        <v>0.24705882352941178</v>
      </c>
      <c r="F33" s="1">
        <v>0.23529411764705882</v>
      </c>
      <c r="G33" s="1">
        <v>0.24313725490196078</v>
      </c>
      <c r="H33" s="1">
        <v>0.22745098039215686</v>
      </c>
      <c r="I33" s="1">
        <v>0.22745098039215686</v>
      </c>
      <c r="J33" s="1">
        <v>0.23529411764705882</v>
      </c>
      <c r="K33" s="1">
        <v>0.22745098039215686</v>
      </c>
      <c r="L33" s="1">
        <v>0.23137254901960785</v>
      </c>
      <c r="M33" s="1">
        <v>0.22745098039215686</v>
      </c>
      <c r="N33" s="1">
        <v>0.22745098039215686</v>
      </c>
      <c r="O33" s="1">
        <v>0.22352941176470589</v>
      </c>
      <c r="P33" s="1">
        <v>0.24313725490196078</v>
      </c>
      <c r="Q33" s="1">
        <v>0.24313725490196078</v>
      </c>
      <c r="R33" s="1">
        <v>0.23529411764705882</v>
      </c>
      <c r="S33" s="1">
        <v>0.23921568627450981</v>
      </c>
      <c r="T33" s="1">
        <v>0.22745098039215686</v>
      </c>
      <c r="U33" s="1">
        <v>0.23137254901960785</v>
      </c>
      <c r="V33" s="1">
        <v>0.23137254901960785</v>
      </c>
      <c r="W33" s="1">
        <v>0.23529411764705882</v>
      </c>
      <c r="X33" s="1">
        <v>0.23921568627450981</v>
      </c>
      <c r="Y33" s="1">
        <v>0.22745098039215686</v>
      </c>
      <c r="Z33" s="1">
        <v>0.25098039215686274</v>
      </c>
      <c r="AA33" s="1">
        <v>0.23921568627450981</v>
      </c>
      <c r="AB33" s="1">
        <v>0.23529411764705882</v>
      </c>
      <c r="AC33" s="1">
        <v>0.22745098039215686</v>
      </c>
      <c r="AD33" s="1">
        <v>0.23921568627450981</v>
      </c>
      <c r="AE33" s="1">
        <v>0.23529411764705882</v>
      </c>
      <c r="AF33" s="1">
        <v>0.23529411764705882</v>
      </c>
      <c r="AG33" s="1">
        <v>0.23529411764705882</v>
      </c>
    </row>
    <row r="34" spans="1:33">
      <c r="A34" s="16">
        <f>A33+Calculations!$B$4</f>
        <v>33.6</v>
      </c>
      <c r="B34" s="1">
        <v>0.22745098039215686</v>
      </c>
      <c r="C34" s="1">
        <v>0.2196078431372549</v>
      </c>
      <c r="D34" s="1">
        <v>0.22745098039215686</v>
      </c>
      <c r="E34" s="1">
        <v>0.23529411764705882</v>
      </c>
      <c r="F34" s="1">
        <v>0.23529411764705882</v>
      </c>
      <c r="G34" s="1">
        <v>0.22745098039215686</v>
      </c>
      <c r="H34" s="1">
        <v>0.2196078431372549</v>
      </c>
      <c r="I34" s="1">
        <v>0.22352941176470589</v>
      </c>
      <c r="J34" s="1">
        <v>0.22745098039215686</v>
      </c>
      <c r="K34" s="1">
        <v>0.2196078431372549</v>
      </c>
      <c r="L34" s="1">
        <v>0.2196078431372549</v>
      </c>
      <c r="M34" s="1">
        <v>0.2196078431372549</v>
      </c>
      <c r="N34" s="1">
        <v>0.2196078431372549</v>
      </c>
      <c r="O34" s="1">
        <v>0.2196078431372549</v>
      </c>
      <c r="P34" s="1">
        <v>0.23137254901960785</v>
      </c>
      <c r="Q34" s="1">
        <v>0.22745098039215686</v>
      </c>
      <c r="R34" s="1">
        <v>0.2196078431372549</v>
      </c>
      <c r="S34" s="1">
        <v>0.22745098039215686</v>
      </c>
      <c r="T34" s="1">
        <v>0.21176470588235294</v>
      </c>
      <c r="U34" s="1">
        <v>0.2196078431372549</v>
      </c>
      <c r="V34" s="1">
        <v>0.2196078431372549</v>
      </c>
      <c r="W34" s="1">
        <v>0.2196078431372549</v>
      </c>
      <c r="X34" s="1">
        <v>0.22745098039215686</v>
      </c>
      <c r="Y34" s="1">
        <v>0.2196078431372549</v>
      </c>
      <c r="Z34" s="1">
        <v>0.23921568627450981</v>
      </c>
      <c r="AA34" s="1">
        <v>0.22745098039215686</v>
      </c>
      <c r="AB34" s="1">
        <v>0.22745098039215686</v>
      </c>
      <c r="AC34" s="1">
        <v>0.2196078431372549</v>
      </c>
      <c r="AD34" s="1">
        <v>0.22745098039215686</v>
      </c>
      <c r="AE34" s="1">
        <v>0.22745098039215686</v>
      </c>
      <c r="AF34" s="1">
        <v>0.22745098039215686</v>
      </c>
      <c r="AG34" s="1">
        <v>0.22745098039215686</v>
      </c>
    </row>
    <row r="35" spans="1:33">
      <c r="A35" s="16">
        <f>A34+Calculations!$B$4</f>
        <v>34.6</v>
      </c>
      <c r="B35" s="1">
        <v>0.2196078431372549</v>
      </c>
      <c r="C35" s="1">
        <v>0.21176470588235294</v>
      </c>
      <c r="D35" s="1">
        <v>0.2196078431372549</v>
      </c>
      <c r="E35" s="1">
        <v>0.2196078431372549</v>
      </c>
      <c r="F35" s="1">
        <v>0.23137254901960785</v>
      </c>
      <c r="G35" s="1">
        <v>0.2196078431372549</v>
      </c>
      <c r="H35" s="1">
        <v>0.21568627450980393</v>
      </c>
      <c r="I35" s="1">
        <v>0.20392156862745098</v>
      </c>
      <c r="J35" s="1">
        <v>0.21568627450980393</v>
      </c>
      <c r="K35" s="1">
        <v>0.21176470588235294</v>
      </c>
      <c r="L35" s="1">
        <v>0.21176470588235294</v>
      </c>
      <c r="M35" s="1">
        <v>0.21568627450980393</v>
      </c>
      <c r="N35" s="1">
        <v>0.20784313725490197</v>
      </c>
      <c r="O35" s="1">
        <v>0.21568627450980393</v>
      </c>
      <c r="P35" s="1">
        <v>0.2196078431372549</v>
      </c>
      <c r="Q35" s="1">
        <v>0.2196078431372549</v>
      </c>
      <c r="R35" s="1">
        <v>0.20784313725490197</v>
      </c>
      <c r="S35" s="1">
        <v>0.22352941176470589</v>
      </c>
      <c r="T35" s="1">
        <v>0.20392156862745098</v>
      </c>
      <c r="U35" s="1">
        <v>0.2196078431372549</v>
      </c>
      <c r="V35" s="1">
        <v>0.21176470588235294</v>
      </c>
      <c r="W35" s="1">
        <v>0.21176470588235294</v>
      </c>
      <c r="X35" s="1">
        <v>0.2196078431372549</v>
      </c>
      <c r="Y35" s="1">
        <v>0.21176470588235294</v>
      </c>
      <c r="Z35" s="1">
        <v>0.22745098039215686</v>
      </c>
      <c r="AA35" s="1">
        <v>0.2196078431372549</v>
      </c>
      <c r="AB35" s="1">
        <v>0.21568627450980393</v>
      </c>
      <c r="AC35" s="1">
        <v>0.2196078431372549</v>
      </c>
      <c r="AD35" s="1">
        <v>0.22745098039215686</v>
      </c>
      <c r="AE35" s="1">
        <v>0.21176470588235294</v>
      </c>
      <c r="AF35" s="1">
        <v>0.21176470588235294</v>
      </c>
      <c r="AG35" s="1">
        <v>0.21176470588235294</v>
      </c>
    </row>
    <row r="36" spans="1:33">
      <c r="A36" s="16">
        <f>A35+Calculations!$B$4</f>
        <v>35.6</v>
      </c>
      <c r="B36" s="1">
        <v>0.21176470588235294</v>
      </c>
      <c r="C36" s="1">
        <v>0.20392156862745098</v>
      </c>
      <c r="D36" s="1">
        <v>0.21176470588235294</v>
      </c>
      <c r="E36" s="1">
        <v>0.21176470588235294</v>
      </c>
      <c r="F36" s="1">
        <v>0.21568627450980393</v>
      </c>
      <c r="G36" s="1">
        <v>0.21176470588235294</v>
      </c>
      <c r="H36" s="1">
        <v>0.20784313725490197</v>
      </c>
      <c r="I36" s="1">
        <v>0.2</v>
      </c>
      <c r="J36" s="1">
        <v>0.21176470588235294</v>
      </c>
      <c r="K36" s="1">
        <v>0.20392156862745098</v>
      </c>
      <c r="L36" s="1">
        <v>0.20392156862745098</v>
      </c>
      <c r="M36" s="1">
        <v>0.19607843137254902</v>
      </c>
      <c r="N36" s="1">
        <v>0.19607843137254902</v>
      </c>
      <c r="O36" s="1">
        <v>0.20784313725490197</v>
      </c>
      <c r="P36" s="1">
        <v>0.21176470588235294</v>
      </c>
      <c r="Q36" s="1">
        <v>0.21176470588235294</v>
      </c>
      <c r="R36" s="1">
        <v>0.20392156862745098</v>
      </c>
      <c r="S36" s="1">
        <v>0.20392156862745098</v>
      </c>
      <c r="T36" s="1">
        <v>0.20392156862745098</v>
      </c>
      <c r="U36" s="1">
        <v>0.20784313725490197</v>
      </c>
      <c r="V36" s="1">
        <v>0.20392156862745098</v>
      </c>
      <c r="W36" s="1">
        <v>0.20392156862745098</v>
      </c>
      <c r="X36" s="1">
        <v>0.21176470588235294</v>
      </c>
      <c r="Y36" s="1">
        <v>0.20392156862745098</v>
      </c>
      <c r="Z36" s="1">
        <v>0.21568627450980393</v>
      </c>
      <c r="AA36" s="1">
        <v>0.21568627450980393</v>
      </c>
      <c r="AB36" s="1">
        <v>0.21176470588235294</v>
      </c>
      <c r="AC36" s="1">
        <v>0.2196078431372549</v>
      </c>
      <c r="AD36" s="1">
        <v>0.21568627450980393</v>
      </c>
      <c r="AE36" s="1">
        <v>0.20392156862745098</v>
      </c>
      <c r="AF36" s="1">
        <v>0.21176470588235294</v>
      </c>
      <c r="AG36" s="1">
        <v>0.20784313725490197</v>
      </c>
    </row>
    <row r="37" spans="1:33">
      <c r="A37" s="16">
        <f>A36+Calculations!$B$4</f>
        <v>36.6</v>
      </c>
      <c r="B37" s="1">
        <v>0.20392156862745098</v>
      </c>
      <c r="C37" s="1">
        <v>0.19607843137254902</v>
      </c>
      <c r="D37" s="1">
        <v>0.20392156862745098</v>
      </c>
      <c r="E37" s="1">
        <v>0.20392156862745098</v>
      </c>
      <c r="F37" s="1">
        <v>0.20392156862745098</v>
      </c>
      <c r="G37" s="1">
        <v>0.20392156862745098</v>
      </c>
      <c r="H37" s="1">
        <v>0.20392156862745098</v>
      </c>
      <c r="I37" s="1">
        <v>0.19215686274509805</v>
      </c>
      <c r="J37" s="1">
        <v>0.19607843137254902</v>
      </c>
      <c r="K37" s="1">
        <v>0.19607843137254902</v>
      </c>
      <c r="L37" s="1">
        <v>0.19607843137254902</v>
      </c>
      <c r="M37" s="1">
        <v>0.19607843137254902</v>
      </c>
      <c r="N37" s="1">
        <v>0.19215686274509805</v>
      </c>
      <c r="O37" s="1">
        <v>0.20392156862745098</v>
      </c>
      <c r="P37" s="1">
        <v>0.20784313725490197</v>
      </c>
      <c r="Q37" s="1">
        <v>0.20392156862745098</v>
      </c>
      <c r="R37" s="1">
        <v>0.19607843137254902</v>
      </c>
      <c r="S37" s="1">
        <v>0.2</v>
      </c>
      <c r="T37" s="1">
        <v>0.19607843137254902</v>
      </c>
      <c r="U37" s="1">
        <v>0.2</v>
      </c>
      <c r="V37" s="1">
        <v>0.19607843137254902</v>
      </c>
      <c r="W37" s="1">
        <v>0.19607843137254902</v>
      </c>
      <c r="X37" s="1">
        <v>0.20392156862745098</v>
      </c>
      <c r="Y37" s="1">
        <v>0.19607843137254902</v>
      </c>
      <c r="Z37" s="1">
        <v>0.20392156862745098</v>
      </c>
      <c r="AA37" s="1">
        <v>0.20392156862745098</v>
      </c>
      <c r="AB37" s="1">
        <v>0.20392156862745098</v>
      </c>
      <c r="AC37" s="1">
        <v>0.20392156862745098</v>
      </c>
      <c r="AD37" s="1">
        <v>0.21176470588235294</v>
      </c>
      <c r="AE37" s="1">
        <v>0.20392156862745098</v>
      </c>
      <c r="AF37" s="1">
        <v>0.20392156862745098</v>
      </c>
      <c r="AG37" s="1">
        <v>0.19607843137254902</v>
      </c>
    </row>
    <row r="38" spans="1:33">
      <c r="A38" s="16">
        <f>A37+Calculations!$B$4</f>
        <v>37.6</v>
      </c>
      <c r="B38" s="1">
        <v>0.18823529411764706</v>
      </c>
      <c r="C38" s="1">
        <v>0.19607843137254902</v>
      </c>
      <c r="D38" s="1">
        <v>0.19607843137254902</v>
      </c>
      <c r="E38" s="1">
        <v>0.2</v>
      </c>
      <c r="F38" s="1">
        <v>0.19607843137254902</v>
      </c>
      <c r="G38" s="1">
        <v>0.19607843137254902</v>
      </c>
      <c r="H38" s="1">
        <v>0.19607843137254902</v>
      </c>
      <c r="I38" s="1">
        <v>0.18823529411764706</v>
      </c>
      <c r="J38" s="1">
        <v>0.19607843137254902</v>
      </c>
      <c r="K38" s="1">
        <v>0.18823529411764706</v>
      </c>
      <c r="L38" s="1">
        <v>0.18823529411764706</v>
      </c>
      <c r="M38" s="1">
        <v>0.2</v>
      </c>
      <c r="N38" s="1">
        <v>0.18823529411764706</v>
      </c>
      <c r="O38" s="1">
        <v>0.19215686274509805</v>
      </c>
      <c r="P38" s="1">
        <v>0.20784313725490197</v>
      </c>
      <c r="Q38" s="1">
        <v>0.19607843137254902</v>
      </c>
      <c r="R38" s="1">
        <v>0.18823529411764706</v>
      </c>
      <c r="S38" s="1">
        <v>0.2</v>
      </c>
      <c r="T38" s="1">
        <v>0.18823529411764706</v>
      </c>
      <c r="U38" s="1">
        <v>0.19607843137254902</v>
      </c>
      <c r="V38" s="1">
        <v>0.19607843137254902</v>
      </c>
      <c r="W38" s="1">
        <v>0.19607843137254902</v>
      </c>
      <c r="X38" s="1">
        <v>0.2</v>
      </c>
      <c r="Y38" s="1">
        <v>0.19607843137254902</v>
      </c>
      <c r="Z38" s="1">
        <v>0.18823529411764706</v>
      </c>
      <c r="AA38" s="1">
        <v>0.2</v>
      </c>
      <c r="AB38" s="1">
        <v>0.19607843137254902</v>
      </c>
      <c r="AC38" s="1">
        <v>0.19607843137254902</v>
      </c>
      <c r="AD38" s="1">
        <v>0.2</v>
      </c>
      <c r="AE38" s="1">
        <v>0.18823529411764706</v>
      </c>
      <c r="AF38" s="1">
        <v>0.2</v>
      </c>
      <c r="AG38" s="1">
        <v>0.19607843137254902</v>
      </c>
    </row>
    <row r="39" spans="1:33">
      <c r="A39" s="16">
        <f>A38+Calculations!$B$4</f>
        <v>38.6</v>
      </c>
      <c r="B39" s="1">
        <v>0.18823529411764706</v>
      </c>
      <c r="C39" s="1">
        <v>0.18823529411764706</v>
      </c>
      <c r="D39" s="1">
        <v>0.19215686274509805</v>
      </c>
      <c r="E39" s="1">
        <v>0.19607843137254902</v>
      </c>
      <c r="F39" s="1">
        <v>0.19607843137254902</v>
      </c>
      <c r="G39" s="1">
        <v>0.19607843137254902</v>
      </c>
      <c r="H39" s="1">
        <v>0.18823529411764706</v>
      </c>
      <c r="I39" s="1">
        <v>0.18431372549019609</v>
      </c>
      <c r="J39" s="1">
        <v>0.18431372549019609</v>
      </c>
      <c r="K39" s="1">
        <v>0.18823529411764706</v>
      </c>
      <c r="L39" s="1">
        <v>0.18431372549019609</v>
      </c>
      <c r="M39" s="1">
        <v>0.19215686274509805</v>
      </c>
      <c r="N39" s="1">
        <v>0.1803921568627451</v>
      </c>
      <c r="O39" s="1">
        <v>0.18431372549019609</v>
      </c>
      <c r="P39" s="1">
        <v>0.2</v>
      </c>
      <c r="Q39" s="1">
        <v>0.19607843137254902</v>
      </c>
      <c r="R39" s="1">
        <v>0.18823529411764706</v>
      </c>
      <c r="S39" s="1">
        <v>0.19607843137254902</v>
      </c>
      <c r="T39" s="1">
        <v>0.1803921568627451</v>
      </c>
      <c r="U39" s="1">
        <v>0.18431372549019609</v>
      </c>
      <c r="V39" s="1">
        <v>0.1803921568627451</v>
      </c>
      <c r="W39" s="1">
        <v>0.18431372549019609</v>
      </c>
      <c r="X39" s="1">
        <v>0.2</v>
      </c>
      <c r="Y39" s="1">
        <v>0.1803921568627451</v>
      </c>
      <c r="Z39" s="1">
        <v>0.18823529411764706</v>
      </c>
      <c r="AA39" s="1">
        <v>0.18823529411764706</v>
      </c>
      <c r="AB39" s="1">
        <v>0.19215686274509805</v>
      </c>
      <c r="AC39" s="1">
        <v>0.19215686274509805</v>
      </c>
      <c r="AD39" s="1">
        <v>0.19607843137254902</v>
      </c>
      <c r="AE39" s="1">
        <v>0.18431372549019609</v>
      </c>
      <c r="AF39" s="1">
        <v>0.18823529411764706</v>
      </c>
      <c r="AG39" s="1">
        <v>0.18823529411764706</v>
      </c>
    </row>
    <row r="40" spans="1:33">
      <c r="A40" s="16">
        <f>A39+Calculations!$B$4</f>
        <v>39.6</v>
      </c>
      <c r="B40" s="1">
        <v>0.1803921568627451</v>
      </c>
      <c r="C40" s="1">
        <v>0.1803921568627451</v>
      </c>
      <c r="D40" s="1">
        <v>0.1803921568627451</v>
      </c>
      <c r="E40" s="1">
        <v>0.19215686274509805</v>
      </c>
      <c r="F40" s="1">
        <v>0.18823529411764706</v>
      </c>
      <c r="G40" s="1">
        <v>0.18823529411764706</v>
      </c>
      <c r="H40" s="1">
        <v>0.18431372549019609</v>
      </c>
      <c r="I40" s="1">
        <v>0.17647058823529413</v>
      </c>
      <c r="J40" s="1">
        <v>0.1803921568627451</v>
      </c>
      <c r="K40" s="1">
        <v>0.1803921568627451</v>
      </c>
      <c r="L40" s="1">
        <v>0.1803921568627451</v>
      </c>
      <c r="M40" s="1">
        <v>0.1803921568627451</v>
      </c>
      <c r="N40" s="1">
        <v>0.17647058823529413</v>
      </c>
      <c r="O40" s="1">
        <v>0.17254901960784313</v>
      </c>
      <c r="P40" s="1">
        <v>0.19607843137254902</v>
      </c>
      <c r="Q40" s="1">
        <v>0.1803921568627451</v>
      </c>
      <c r="R40" s="1">
        <v>0.1803921568627451</v>
      </c>
      <c r="S40" s="1">
        <v>0.19607843137254902</v>
      </c>
      <c r="T40" s="1">
        <v>0.1803921568627451</v>
      </c>
      <c r="U40" s="1">
        <v>0.1803921568627451</v>
      </c>
      <c r="V40" s="1">
        <v>0.1803921568627451</v>
      </c>
      <c r="W40" s="1">
        <v>0.18431372549019609</v>
      </c>
      <c r="X40" s="1">
        <v>0.18823529411764706</v>
      </c>
      <c r="Y40" s="1">
        <v>0.1803921568627451</v>
      </c>
      <c r="Z40" s="1">
        <v>0.18431372549019609</v>
      </c>
      <c r="AA40" s="1">
        <v>0.18823529411764706</v>
      </c>
      <c r="AB40" s="1">
        <v>0.18823529411764706</v>
      </c>
      <c r="AC40" s="1">
        <v>0.1803921568627451</v>
      </c>
      <c r="AD40" s="1">
        <v>0.18823529411764706</v>
      </c>
      <c r="AE40" s="1">
        <v>0.1803921568627451</v>
      </c>
      <c r="AF40" s="1">
        <v>0.1803921568627451</v>
      </c>
      <c r="AG40" s="1">
        <v>0.18823529411764706</v>
      </c>
    </row>
    <row r="41" spans="1:33">
      <c r="A41" s="16">
        <f>A40+Calculations!$B$4</f>
        <v>40.6</v>
      </c>
      <c r="B41" s="1">
        <v>0.17254901960784313</v>
      </c>
      <c r="C41" s="1">
        <v>0.1803921568627451</v>
      </c>
      <c r="D41" s="1">
        <v>0.17647058823529413</v>
      </c>
      <c r="E41" s="1">
        <v>0.18823529411764706</v>
      </c>
      <c r="F41" s="1">
        <v>0.1803921568627451</v>
      </c>
      <c r="G41" s="1">
        <v>0.1803921568627451</v>
      </c>
      <c r="H41" s="1">
        <v>0.17647058823529413</v>
      </c>
      <c r="I41" s="1">
        <v>0.16470588235294117</v>
      </c>
      <c r="J41" s="1">
        <v>0.1803921568627451</v>
      </c>
      <c r="K41" s="1">
        <v>0.17254901960784313</v>
      </c>
      <c r="L41" s="1">
        <v>0.17254901960784313</v>
      </c>
      <c r="M41" s="1">
        <v>0.1803921568627451</v>
      </c>
      <c r="N41" s="1">
        <v>0.17254901960784313</v>
      </c>
      <c r="O41" s="1">
        <v>0.17254901960784313</v>
      </c>
      <c r="P41" s="1">
        <v>0.18823529411764706</v>
      </c>
      <c r="Q41" s="1">
        <v>0.1803921568627451</v>
      </c>
      <c r="R41" s="1">
        <v>0.17647058823529413</v>
      </c>
      <c r="S41" s="1">
        <v>0.1803921568627451</v>
      </c>
      <c r="T41" s="1">
        <v>0.16862745098039217</v>
      </c>
      <c r="U41" s="1">
        <v>0.18823529411764706</v>
      </c>
      <c r="V41" s="1">
        <v>0.17647058823529413</v>
      </c>
      <c r="W41" s="1">
        <v>0.1803921568627451</v>
      </c>
      <c r="X41" s="1">
        <v>0.17647058823529413</v>
      </c>
      <c r="Y41" s="1">
        <v>0.17254901960784313</v>
      </c>
      <c r="Z41" s="1">
        <v>0.1803921568627451</v>
      </c>
      <c r="AA41" s="1">
        <v>0.1803921568627451</v>
      </c>
      <c r="AB41" s="1">
        <v>0.17647058823529413</v>
      </c>
      <c r="AC41" s="1">
        <v>0.1803921568627451</v>
      </c>
      <c r="AD41" s="1">
        <v>0.17647058823529413</v>
      </c>
      <c r="AE41" s="1">
        <v>0.17647058823529413</v>
      </c>
      <c r="AF41" s="1">
        <v>0.17254901960784313</v>
      </c>
      <c r="AG41" s="1">
        <v>0.1803921568627451</v>
      </c>
    </row>
    <row r="42" spans="1:33">
      <c r="A42" s="16">
        <f>A41+Calculations!$B$4</f>
        <v>41.6</v>
      </c>
      <c r="B42" s="1">
        <v>0.17254901960784313</v>
      </c>
      <c r="C42" s="1">
        <v>0.17254901960784313</v>
      </c>
      <c r="D42" s="1">
        <v>0.17254901960784313</v>
      </c>
      <c r="E42" s="1">
        <v>0.1803921568627451</v>
      </c>
      <c r="F42" s="1">
        <v>0.17647058823529413</v>
      </c>
      <c r="G42" s="1">
        <v>0.1803921568627451</v>
      </c>
      <c r="H42" s="1">
        <v>0.16862745098039217</v>
      </c>
      <c r="I42" s="1">
        <v>0.16862745098039217</v>
      </c>
      <c r="J42" s="1">
        <v>0.17254901960784313</v>
      </c>
      <c r="K42" s="1">
        <v>0.16862745098039217</v>
      </c>
      <c r="L42" s="1">
        <v>0.16862745098039217</v>
      </c>
      <c r="M42" s="1">
        <v>0.1803921568627451</v>
      </c>
      <c r="N42" s="1">
        <v>0.16470588235294117</v>
      </c>
      <c r="O42" s="1">
        <v>0.16470588235294117</v>
      </c>
      <c r="P42" s="1">
        <v>0.1803921568627451</v>
      </c>
      <c r="Q42" s="1">
        <v>0.17254901960784313</v>
      </c>
      <c r="R42" s="1">
        <v>0.17254901960784313</v>
      </c>
      <c r="S42" s="1">
        <v>0.17254901960784313</v>
      </c>
      <c r="T42" s="1">
        <v>0.16470588235294117</v>
      </c>
      <c r="U42" s="1">
        <v>0.1803921568627451</v>
      </c>
      <c r="V42" s="1">
        <v>0.17254901960784313</v>
      </c>
      <c r="W42" s="1">
        <v>0.17254901960784313</v>
      </c>
      <c r="X42" s="1">
        <v>0.17647058823529413</v>
      </c>
      <c r="Y42" s="1">
        <v>0.1803921568627451</v>
      </c>
      <c r="Z42" s="1">
        <v>0.1803921568627451</v>
      </c>
      <c r="AA42" s="1">
        <v>0.17254901960784313</v>
      </c>
      <c r="AB42" s="1">
        <v>0.17647058823529413</v>
      </c>
      <c r="AC42" s="1">
        <v>0.16862745098039217</v>
      </c>
      <c r="AD42" s="1">
        <v>0.17254901960784313</v>
      </c>
      <c r="AE42" s="1">
        <v>0.17254901960784313</v>
      </c>
      <c r="AF42" s="1">
        <v>0.16470588235294117</v>
      </c>
      <c r="AG42" s="1">
        <v>0.17254901960784313</v>
      </c>
    </row>
    <row r="43" spans="1:33">
      <c r="A43" s="16">
        <f>A42+Calculations!$B$4</f>
        <v>42.6</v>
      </c>
      <c r="B43" s="1">
        <v>0.16470588235294117</v>
      </c>
      <c r="C43" s="1">
        <v>0.17254901960784313</v>
      </c>
      <c r="D43" s="1">
        <v>0.16470588235294117</v>
      </c>
      <c r="E43" s="1">
        <v>0.17254901960784313</v>
      </c>
      <c r="F43" s="1">
        <v>0.17254901960784313</v>
      </c>
      <c r="G43" s="1">
        <v>0.17254901960784313</v>
      </c>
      <c r="H43" s="1">
        <v>0.16470588235294117</v>
      </c>
      <c r="I43" s="1">
        <v>0.16078431372549021</v>
      </c>
      <c r="J43" s="1">
        <v>0.16470588235294117</v>
      </c>
      <c r="K43" s="1">
        <v>0.16470588235294117</v>
      </c>
      <c r="L43" s="1">
        <v>0.16470588235294117</v>
      </c>
      <c r="M43" s="1">
        <v>0.16862745098039217</v>
      </c>
      <c r="N43" s="1">
        <v>0.16078431372549021</v>
      </c>
      <c r="O43" s="1">
        <v>0.16470588235294117</v>
      </c>
      <c r="P43" s="1">
        <v>0.16862745098039217</v>
      </c>
      <c r="Q43" s="1">
        <v>0.17254901960784313</v>
      </c>
      <c r="R43" s="1">
        <v>0.16470588235294117</v>
      </c>
      <c r="S43" s="1">
        <v>0.17254901960784313</v>
      </c>
      <c r="T43" s="1">
        <v>0.16078431372549021</v>
      </c>
      <c r="U43" s="1">
        <v>0.17254901960784313</v>
      </c>
      <c r="V43" s="1">
        <v>0.16862745098039217</v>
      </c>
      <c r="W43" s="1">
        <v>0.17254901960784313</v>
      </c>
      <c r="X43" s="1">
        <v>0.16862745098039217</v>
      </c>
      <c r="Y43" s="1">
        <v>0.16470588235294117</v>
      </c>
      <c r="Z43" s="1">
        <v>0.17254901960784313</v>
      </c>
      <c r="AA43" s="1">
        <v>0.16862745098039217</v>
      </c>
      <c r="AB43" s="1">
        <v>0.16862745098039217</v>
      </c>
      <c r="AC43" s="1">
        <v>0.15686274509803921</v>
      </c>
      <c r="AD43" s="1">
        <v>0.17254901960784313</v>
      </c>
      <c r="AE43" s="1">
        <v>0.16862745098039217</v>
      </c>
      <c r="AF43" s="1">
        <v>0.16470588235294117</v>
      </c>
      <c r="AG43" s="1">
        <v>0.16470588235294117</v>
      </c>
    </row>
    <row r="44" spans="1:33">
      <c r="A44" s="16">
        <f>A43+Calculations!$B$4</f>
        <v>43.6</v>
      </c>
      <c r="B44" s="1">
        <v>0.16470588235294117</v>
      </c>
      <c r="C44" s="1">
        <v>0.16470588235294117</v>
      </c>
      <c r="D44" s="1">
        <v>0.15686274509803921</v>
      </c>
      <c r="E44" s="1">
        <v>0.16470588235294117</v>
      </c>
      <c r="F44" s="1">
        <v>0.16470588235294117</v>
      </c>
      <c r="G44" s="1">
        <v>0.16470588235294117</v>
      </c>
      <c r="H44" s="1">
        <v>0.16078431372549021</v>
      </c>
      <c r="I44" s="1">
        <v>0.15686274509803921</v>
      </c>
      <c r="J44" s="1">
        <v>0.15686274509803921</v>
      </c>
      <c r="K44" s="1">
        <v>0.16470588235294117</v>
      </c>
      <c r="L44" s="1">
        <v>0.15686274509803921</v>
      </c>
      <c r="M44" s="1">
        <v>0.16470588235294117</v>
      </c>
      <c r="N44" s="1">
        <v>0.15686274509803921</v>
      </c>
      <c r="O44" s="1">
        <v>0.17254901960784313</v>
      </c>
      <c r="P44" s="1">
        <v>0.16470588235294117</v>
      </c>
      <c r="Q44" s="1">
        <v>0.16470588235294117</v>
      </c>
      <c r="R44" s="1">
        <v>0.16470588235294117</v>
      </c>
      <c r="S44" s="1">
        <v>0.17254901960784313</v>
      </c>
      <c r="T44" s="1">
        <v>0.16078431372549021</v>
      </c>
      <c r="U44" s="1">
        <v>0.17254901960784313</v>
      </c>
      <c r="V44" s="1">
        <v>0.16470588235294117</v>
      </c>
      <c r="W44" s="1">
        <v>0.16470588235294117</v>
      </c>
      <c r="X44" s="1">
        <v>0.16470588235294117</v>
      </c>
      <c r="Y44" s="1">
        <v>0.16078431372549021</v>
      </c>
      <c r="Z44" s="1">
        <v>0.17254901960784313</v>
      </c>
      <c r="AA44" s="1">
        <v>0.16078431372549021</v>
      </c>
      <c r="AB44" s="1">
        <v>0.16470588235294117</v>
      </c>
      <c r="AC44" s="1">
        <v>0.16470588235294117</v>
      </c>
      <c r="AD44" s="1">
        <v>0.16470588235294117</v>
      </c>
      <c r="AE44" s="1">
        <v>0.16470588235294117</v>
      </c>
      <c r="AF44" s="1">
        <v>0.15686274509803921</v>
      </c>
      <c r="AG44" s="1">
        <v>0.16078431372549021</v>
      </c>
    </row>
    <row r="45" spans="1:33">
      <c r="A45" s="16">
        <f>A44+Calculations!$B$4</f>
        <v>44.6</v>
      </c>
      <c r="B45" s="1">
        <v>0.15686274509803921</v>
      </c>
      <c r="C45" s="1">
        <v>0.15686274509803921</v>
      </c>
      <c r="D45" s="1">
        <v>0.15294117647058825</v>
      </c>
      <c r="E45" s="1">
        <v>0.15686274509803921</v>
      </c>
      <c r="F45" s="1">
        <v>0.16470588235294117</v>
      </c>
      <c r="G45" s="1">
        <v>0.16470588235294117</v>
      </c>
      <c r="H45" s="1">
        <v>0.15686274509803921</v>
      </c>
      <c r="I45" s="1">
        <v>0.15686274509803921</v>
      </c>
      <c r="J45" s="1">
        <v>0.15686274509803921</v>
      </c>
      <c r="K45" s="1">
        <v>0.16470588235294117</v>
      </c>
      <c r="L45" s="1">
        <v>0.16078431372549021</v>
      </c>
      <c r="M45" s="1">
        <v>0.16470588235294117</v>
      </c>
      <c r="N45" s="1">
        <v>0.15294117647058825</v>
      </c>
      <c r="O45" s="1">
        <v>0.15294117647058825</v>
      </c>
      <c r="P45" s="1">
        <v>0.15686274509803921</v>
      </c>
      <c r="Q45" s="1">
        <v>0.15686274509803921</v>
      </c>
      <c r="R45" s="1">
        <v>0.15686274509803921</v>
      </c>
      <c r="S45" s="1">
        <v>0.16470588235294117</v>
      </c>
      <c r="T45" s="1">
        <v>0.15294117647058825</v>
      </c>
      <c r="U45" s="1">
        <v>0.16470588235294117</v>
      </c>
      <c r="V45" s="1">
        <v>0.16470588235294117</v>
      </c>
      <c r="W45" s="1">
        <v>0.16862745098039217</v>
      </c>
      <c r="X45" s="1">
        <v>0.16078431372549021</v>
      </c>
      <c r="Y45" s="1">
        <v>0.16078431372549021</v>
      </c>
      <c r="Z45" s="1">
        <v>0.16470588235294117</v>
      </c>
      <c r="AA45" s="1">
        <v>0.16078431372549021</v>
      </c>
      <c r="AB45" s="1">
        <v>0.15686274509803921</v>
      </c>
      <c r="AC45" s="1">
        <v>0.14901960784313725</v>
      </c>
      <c r="AD45" s="1">
        <v>0.16078431372549021</v>
      </c>
      <c r="AE45" s="1">
        <v>0.16470588235294117</v>
      </c>
      <c r="AF45" s="1">
        <v>0.15686274509803921</v>
      </c>
      <c r="AG45" s="1">
        <v>0.16078431372549021</v>
      </c>
    </row>
    <row r="46" spans="1:33">
      <c r="A46" s="16">
        <f>A45+Calculations!$B$4</f>
        <v>45.6</v>
      </c>
      <c r="B46" s="1">
        <v>0.15294117647058825</v>
      </c>
      <c r="C46" s="1">
        <v>0.15294117647058825</v>
      </c>
      <c r="D46" s="1">
        <v>0.14901960784313725</v>
      </c>
      <c r="E46" s="1">
        <v>0.15686274509803921</v>
      </c>
      <c r="F46" s="1">
        <v>0.15686274509803921</v>
      </c>
      <c r="G46" s="1">
        <v>0.15686274509803921</v>
      </c>
      <c r="H46" s="1">
        <v>0.14901960784313725</v>
      </c>
      <c r="I46" s="1">
        <v>0.15686274509803921</v>
      </c>
      <c r="J46" s="1">
        <v>0.14901960784313725</v>
      </c>
      <c r="K46" s="1">
        <v>0.15686274509803921</v>
      </c>
      <c r="L46" s="1">
        <v>0.14901960784313725</v>
      </c>
      <c r="M46" s="1">
        <v>0.15686274509803921</v>
      </c>
      <c r="N46" s="1">
        <v>0.14901960784313725</v>
      </c>
      <c r="O46" s="1">
        <v>0.14901960784313725</v>
      </c>
      <c r="P46" s="1">
        <v>0.15686274509803921</v>
      </c>
      <c r="Q46" s="1">
        <v>0.15686274509803921</v>
      </c>
      <c r="R46" s="1">
        <v>0.14901960784313725</v>
      </c>
      <c r="S46" s="1">
        <v>0.15686274509803921</v>
      </c>
      <c r="T46" s="1">
        <v>0.15294117647058825</v>
      </c>
      <c r="U46" s="1">
        <v>0.14901960784313725</v>
      </c>
      <c r="V46" s="1">
        <v>0.15294117647058825</v>
      </c>
      <c r="W46" s="1">
        <v>0.15686274509803921</v>
      </c>
      <c r="X46" s="1">
        <v>0.15686274509803921</v>
      </c>
      <c r="Y46" s="1">
        <v>0.16078431372549021</v>
      </c>
      <c r="Z46" s="1">
        <v>0.15686274509803921</v>
      </c>
      <c r="AA46" s="1">
        <v>0.15294117647058825</v>
      </c>
      <c r="AB46" s="1">
        <v>0.15294117647058825</v>
      </c>
      <c r="AC46" s="1">
        <v>0.14901960784313725</v>
      </c>
      <c r="AD46" s="1">
        <v>0.15686274509803921</v>
      </c>
      <c r="AE46" s="1">
        <v>0.15686274509803921</v>
      </c>
      <c r="AF46" s="1">
        <v>0.14901960784313725</v>
      </c>
      <c r="AG46" s="1">
        <v>0.15686274509803921</v>
      </c>
    </row>
    <row r="47" spans="1:33">
      <c r="A47" s="16">
        <f>A46+Calculations!$B$4</f>
        <v>46.6</v>
      </c>
      <c r="B47" s="1">
        <v>0.14509803921568629</v>
      </c>
      <c r="C47" s="1">
        <v>0.14901960784313725</v>
      </c>
      <c r="D47" s="1">
        <v>0.14901960784313725</v>
      </c>
      <c r="E47" s="1">
        <v>0.14901960784313725</v>
      </c>
      <c r="F47" s="1">
        <v>0.14901960784313725</v>
      </c>
      <c r="G47" s="1">
        <v>0.14901960784313725</v>
      </c>
      <c r="H47" s="1">
        <v>0.14901960784313725</v>
      </c>
      <c r="I47" s="1">
        <v>0.14901960784313725</v>
      </c>
      <c r="J47" s="1">
        <v>0.14901960784313725</v>
      </c>
      <c r="K47" s="1">
        <v>0.14901960784313725</v>
      </c>
      <c r="L47" s="1">
        <v>0.14901960784313725</v>
      </c>
      <c r="M47" s="1">
        <v>0.15686274509803921</v>
      </c>
      <c r="N47" s="1">
        <v>0.14901960784313725</v>
      </c>
      <c r="O47" s="1">
        <v>0.14509803921568629</v>
      </c>
      <c r="P47" s="1">
        <v>0.14901960784313725</v>
      </c>
      <c r="Q47" s="1">
        <v>0.15686274509803921</v>
      </c>
      <c r="R47" s="1">
        <v>0.14901960784313725</v>
      </c>
      <c r="S47" s="1">
        <v>0.15686274509803921</v>
      </c>
      <c r="T47" s="1">
        <v>0.14117647058823529</v>
      </c>
      <c r="U47" s="1">
        <v>0.14901960784313725</v>
      </c>
      <c r="V47" s="1">
        <v>0.14901960784313725</v>
      </c>
      <c r="W47" s="1">
        <v>0.16078431372549021</v>
      </c>
      <c r="X47" s="1">
        <v>0.15294117647058825</v>
      </c>
      <c r="Y47" s="1">
        <v>0.15686274509803921</v>
      </c>
      <c r="Z47" s="1">
        <v>0.15294117647058825</v>
      </c>
      <c r="AA47" s="1">
        <v>0.14901960784313725</v>
      </c>
      <c r="AB47" s="1">
        <v>0.14901960784313725</v>
      </c>
      <c r="AC47" s="1">
        <v>0.14901960784313725</v>
      </c>
      <c r="AD47" s="1">
        <v>0.15686274509803921</v>
      </c>
      <c r="AE47" s="1">
        <v>0.14901960784313725</v>
      </c>
      <c r="AF47" s="1">
        <v>0.14901960784313725</v>
      </c>
      <c r="AG47" s="1">
        <v>0.14901960784313725</v>
      </c>
    </row>
    <row r="48" spans="1:33">
      <c r="A48" s="16">
        <f>A47+Calculations!$B$4</f>
        <v>47.6</v>
      </c>
      <c r="B48" s="1">
        <v>0.14509803921568629</v>
      </c>
      <c r="C48" s="1">
        <v>0.14509803921568629</v>
      </c>
      <c r="D48" s="1">
        <v>0.15294117647058825</v>
      </c>
      <c r="E48" s="1">
        <v>0.14901960784313725</v>
      </c>
      <c r="F48" s="1">
        <v>0.14509803921568629</v>
      </c>
      <c r="G48" s="1">
        <v>0.14901960784313725</v>
      </c>
      <c r="H48" s="1">
        <v>0.14117647058823529</v>
      </c>
      <c r="I48" s="1">
        <v>0.15294117647058825</v>
      </c>
      <c r="J48" s="1">
        <v>0.14117647058823529</v>
      </c>
      <c r="K48" s="1">
        <v>0.14901960784313725</v>
      </c>
      <c r="L48" s="1">
        <v>0.14117647058823529</v>
      </c>
      <c r="M48" s="1">
        <v>0.14901960784313725</v>
      </c>
      <c r="N48" s="1">
        <v>0.14117647058823529</v>
      </c>
      <c r="O48" s="1">
        <v>0.14117647058823529</v>
      </c>
      <c r="P48" s="1">
        <v>0.14901960784313725</v>
      </c>
      <c r="Q48" s="1">
        <v>0.14901960784313725</v>
      </c>
      <c r="R48" s="1">
        <v>0.14509803921568629</v>
      </c>
      <c r="S48" s="1">
        <v>0.15686274509803921</v>
      </c>
      <c r="T48" s="1">
        <v>0.14509803921568629</v>
      </c>
      <c r="U48" s="1">
        <v>0.14901960784313725</v>
      </c>
      <c r="V48" s="1">
        <v>0.14901960784313725</v>
      </c>
      <c r="W48" s="1">
        <v>0.15294117647058825</v>
      </c>
      <c r="X48" s="1">
        <v>0.14509803921568629</v>
      </c>
      <c r="Y48" s="1">
        <v>0.14901960784313725</v>
      </c>
      <c r="Z48" s="1">
        <v>0.14901960784313725</v>
      </c>
      <c r="AA48" s="1">
        <v>0.14509803921568629</v>
      </c>
      <c r="AB48" s="1">
        <v>0.14117647058823529</v>
      </c>
      <c r="AC48" s="1">
        <v>0.14509803921568629</v>
      </c>
      <c r="AD48" s="1">
        <v>0.15686274509803921</v>
      </c>
      <c r="AE48" s="1">
        <v>0.14901960784313725</v>
      </c>
      <c r="AF48" s="1">
        <v>0.14901960784313725</v>
      </c>
      <c r="AG48" s="1">
        <v>0.14117647058823529</v>
      </c>
    </row>
    <row r="49" spans="1:33">
      <c r="A49" s="16">
        <f>A48+Calculations!$B$4</f>
        <v>48.6</v>
      </c>
      <c r="B49" s="1">
        <v>0.14117647058823529</v>
      </c>
      <c r="C49" s="1">
        <v>0.13725490196078433</v>
      </c>
      <c r="D49" s="1">
        <v>0.14117647058823529</v>
      </c>
      <c r="E49" s="1">
        <v>0.14509803921568629</v>
      </c>
      <c r="F49" s="1">
        <v>0.14509803921568629</v>
      </c>
      <c r="G49" s="1">
        <v>0.14117647058823529</v>
      </c>
      <c r="H49" s="1">
        <v>0.13333333333333333</v>
      </c>
      <c r="I49" s="1">
        <v>0.14117647058823529</v>
      </c>
      <c r="J49" s="1">
        <v>0.14117647058823529</v>
      </c>
      <c r="K49" s="1">
        <v>0.14901960784313725</v>
      </c>
      <c r="L49" s="1">
        <v>0.13725490196078433</v>
      </c>
      <c r="M49" s="1">
        <v>0.14901960784313725</v>
      </c>
      <c r="N49" s="1">
        <v>0.14117647058823529</v>
      </c>
      <c r="O49" s="1">
        <v>0.14117647058823529</v>
      </c>
      <c r="P49" s="1">
        <v>0.14901960784313725</v>
      </c>
      <c r="Q49" s="1">
        <v>0.14901960784313725</v>
      </c>
      <c r="R49" s="1">
        <v>0.14117647058823529</v>
      </c>
      <c r="S49" s="1">
        <v>0.14901960784313725</v>
      </c>
      <c r="T49" s="1">
        <v>0.14901960784313725</v>
      </c>
      <c r="U49" s="1">
        <v>0.14901960784313725</v>
      </c>
      <c r="V49" s="1">
        <v>0.14117647058823529</v>
      </c>
      <c r="W49" s="1">
        <v>0.14901960784313725</v>
      </c>
      <c r="X49" s="1">
        <v>0.14117647058823529</v>
      </c>
      <c r="Y49" s="1">
        <v>0.14117647058823529</v>
      </c>
      <c r="Z49" s="1">
        <v>0.14509803921568629</v>
      </c>
      <c r="AA49" s="1">
        <v>0.14509803921568629</v>
      </c>
      <c r="AB49" s="1">
        <v>0.14117647058823529</v>
      </c>
      <c r="AC49" s="1">
        <v>0.13725490196078433</v>
      </c>
      <c r="AD49" s="1">
        <v>0.15686274509803921</v>
      </c>
      <c r="AE49" s="1">
        <v>0.14901960784313725</v>
      </c>
      <c r="AF49" s="1">
        <v>0.14117647058823529</v>
      </c>
      <c r="AG49" s="1">
        <v>0.14117647058823529</v>
      </c>
    </row>
    <row r="50" spans="1:33">
      <c r="A50" s="16">
        <f>A49+Calculations!$B$4</f>
        <v>49.6</v>
      </c>
      <c r="B50" s="1">
        <v>0.14117647058823529</v>
      </c>
      <c r="C50" s="1">
        <v>0.14117647058823529</v>
      </c>
      <c r="D50" s="1">
        <v>0.14509803921568629</v>
      </c>
      <c r="E50" s="1">
        <v>0.14117647058823529</v>
      </c>
      <c r="F50" s="1">
        <v>0.13725490196078433</v>
      </c>
      <c r="G50" s="1">
        <v>0.14117647058823529</v>
      </c>
      <c r="H50" s="1">
        <v>0.14117647058823529</v>
      </c>
      <c r="I50" s="1">
        <v>0.14117647058823529</v>
      </c>
      <c r="J50" s="1">
        <v>0.14117647058823529</v>
      </c>
      <c r="K50" s="1">
        <v>0.14117647058823529</v>
      </c>
      <c r="L50" s="1">
        <v>0.13725490196078433</v>
      </c>
      <c r="M50" s="1">
        <v>0.14901960784313725</v>
      </c>
      <c r="N50" s="1">
        <v>0.14117647058823529</v>
      </c>
      <c r="O50" s="1">
        <v>0.13725490196078433</v>
      </c>
      <c r="P50" s="1">
        <v>0.14117647058823529</v>
      </c>
      <c r="Q50" s="1">
        <v>0.14509803921568629</v>
      </c>
      <c r="R50" s="1">
        <v>0.14117647058823529</v>
      </c>
      <c r="S50" s="1">
        <v>0.14117647058823529</v>
      </c>
      <c r="T50" s="1">
        <v>0.14117647058823529</v>
      </c>
      <c r="U50" s="1">
        <v>0.14117647058823529</v>
      </c>
      <c r="V50" s="1">
        <v>0.14117647058823529</v>
      </c>
      <c r="W50" s="1">
        <v>0.14509803921568629</v>
      </c>
      <c r="X50" s="1">
        <v>0.13725490196078433</v>
      </c>
      <c r="Y50" s="1">
        <v>0.14117647058823529</v>
      </c>
      <c r="Z50" s="1">
        <v>0.14901960784313725</v>
      </c>
      <c r="AA50" s="1">
        <v>0.14117647058823529</v>
      </c>
      <c r="AB50" s="1">
        <v>0.14117647058823529</v>
      </c>
      <c r="AC50" s="1">
        <v>0.14117647058823529</v>
      </c>
      <c r="AD50" s="1">
        <v>0.14901960784313725</v>
      </c>
      <c r="AE50" s="1">
        <v>0.14117647058823529</v>
      </c>
      <c r="AF50" s="1">
        <v>0.14117647058823529</v>
      </c>
      <c r="AG50" s="1">
        <v>0.14117647058823529</v>
      </c>
    </row>
    <row r="51" spans="1:33">
      <c r="A51" s="16">
        <f>A50+Calculations!$B$4</f>
        <v>50.6</v>
      </c>
      <c r="B51" s="1">
        <v>0.13333333333333333</v>
      </c>
      <c r="C51" s="1">
        <v>0.14117647058823529</v>
      </c>
      <c r="D51" s="1">
        <v>0.14117647058823529</v>
      </c>
      <c r="E51" s="1">
        <v>0.14117647058823529</v>
      </c>
      <c r="F51" s="1">
        <v>0.13725490196078433</v>
      </c>
      <c r="G51" s="1">
        <v>0.14901960784313725</v>
      </c>
      <c r="H51" s="1">
        <v>0.13333333333333333</v>
      </c>
      <c r="I51" s="1">
        <v>0.14117647058823529</v>
      </c>
      <c r="J51" s="1">
        <v>0.14117647058823529</v>
      </c>
      <c r="K51" s="1">
        <v>0.14901960784313725</v>
      </c>
      <c r="L51" s="1">
        <v>0.13725490196078433</v>
      </c>
      <c r="M51" s="1">
        <v>0.14509803921568629</v>
      </c>
      <c r="N51" s="1">
        <v>0.13333333333333333</v>
      </c>
      <c r="O51" s="1">
        <v>0.13333333333333333</v>
      </c>
      <c r="P51" s="1">
        <v>0.14117647058823529</v>
      </c>
      <c r="Q51" s="1">
        <v>0.14117647058823529</v>
      </c>
      <c r="R51" s="1">
        <v>0.13333333333333333</v>
      </c>
      <c r="S51" s="1">
        <v>0.13333333333333333</v>
      </c>
      <c r="T51" s="1">
        <v>0.14117647058823529</v>
      </c>
      <c r="U51" s="1">
        <v>0.13333333333333333</v>
      </c>
      <c r="V51" s="1">
        <v>0.14509803921568629</v>
      </c>
      <c r="W51" s="1">
        <v>0.14117647058823529</v>
      </c>
      <c r="X51" s="1">
        <v>0.14117647058823529</v>
      </c>
      <c r="Y51" s="1">
        <v>0.13333333333333333</v>
      </c>
      <c r="Z51" s="1">
        <v>0.14117647058823529</v>
      </c>
      <c r="AA51" s="1">
        <v>0.13725490196078433</v>
      </c>
      <c r="AB51" s="1">
        <v>0.14117647058823529</v>
      </c>
      <c r="AC51" s="1">
        <v>0.13725490196078433</v>
      </c>
      <c r="AD51" s="1">
        <v>0.14117647058823529</v>
      </c>
      <c r="AE51" s="1">
        <v>0.14117647058823529</v>
      </c>
      <c r="AF51" s="1">
        <v>0.13333333333333333</v>
      </c>
      <c r="AG51" s="1">
        <v>0.14117647058823529</v>
      </c>
    </row>
    <row r="52" spans="1:33">
      <c r="A52" s="16">
        <f>A51+Calculations!$B$4</f>
        <v>51.6</v>
      </c>
      <c r="B52" s="1">
        <v>0.12941176470588237</v>
      </c>
      <c r="C52" s="1">
        <v>0.13333333333333333</v>
      </c>
      <c r="D52" s="1">
        <v>0.13725490196078433</v>
      </c>
      <c r="E52" s="1">
        <v>0.14117647058823529</v>
      </c>
      <c r="F52" s="1">
        <v>0.13333333333333333</v>
      </c>
      <c r="G52" s="1">
        <v>0.14117647058823529</v>
      </c>
      <c r="H52" s="1">
        <v>0.13333333333333333</v>
      </c>
      <c r="I52" s="1">
        <v>0.14117647058823529</v>
      </c>
      <c r="J52" s="1">
        <v>0.13333333333333333</v>
      </c>
      <c r="K52" s="1">
        <v>0.13725490196078433</v>
      </c>
      <c r="L52" s="1">
        <v>0.13333333333333333</v>
      </c>
      <c r="M52" s="1">
        <v>0.13333333333333333</v>
      </c>
      <c r="N52" s="1">
        <v>0.13333333333333333</v>
      </c>
      <c r="O52" s="1">
        <v>0.12549019607843137</v>
      </c>
      <c r="P52" s="1">
        <v>0.14117647058823529</v>
      </c>
      <c r="Q52" s="1">
        <v>0.14901960784313725</v>
      </c>
      <c r="R52" s="1">
        <v>0.13725490196078433</v>
      </c>
      <c r="S52" s="1">
        <v>0.13725490196078433</v>
      </c>
      <c r="T52" s="1">
        <v>0.13333333333333333</v>
      </c>
      <c r="U52" s="1">
        <v>0.14117647058823529</v>
      </c>
      <c r="V52" s="1">
        <v>0.13333333333333333</v>
      </c>
      <c r="W52" s="1">
        <v>0.14117647058823529</v>
      </c>
      <c r="X52" s="1">
        <v>0.13333333333333333</v>
      </c>
      <c r="Y52" s="1">
        <v>0.13725490196078433</v>
      </c>
      <c r="Z52" s="1">
        <v>0.13333333333333333</v>
      </c>
      <c r="AA52" s="1">
        <v>0.14117647058823529</v>
      </c>
      <c r="AB52" s="1">
        <v>0.13333333333333333</v>
      </c>
      <c r="AC52" s="1">
        <v>0.13725490196078433</v>
      </c>
      <c r="AD52" s="1">
        <v>0.14509803921568629</v>
      </c>
      <c r="AE52" s="1">
        <v>0.14117647058823529</v>
      </c>
      <c r="AF52" s="1">
        <v>0.13725490196078433</v>
      </c>
      <c r="AG52" s="1">
        <v>0.13725490196078433</v>
      </c>
    </row>
    <row r="53" spans="1:33">
      <c r="A53" s="16">
        <f>A52+Calculations!$B$4</f>
        <v>52.6</v>
      </c>
      <c r="B53" s="1">
        <v>0.13333333333333333</v>
      </c>
      <c r="C53" s="1">
        <v>0.12941176470588237</v>
      </c>
      <c r="D53" s="1">
        <v>0.14117647058823529</v>
      </c>
      <c r="E53" s="1">
        <v>0.13333333333333333</v>
      </c>
      <c r="F53" s="1">
        <v>0.13333333333333333</v>
      </c>
      <c r="G53" s="1">
        <v>0.14117647058823529</v>
      </c>
      <c r="H53" s="1">
        <v>0.13333333333333333</v>
      </c>
      <c r="I53" s="1">
        <v>0.13333333333333333</v>
      </c>
      <c r="J53" s="1">
        <v>0.13725490196078433</v>
      </c>
      <c r="K53" s="1">
        <v>0.13333333333333333</v>
      </c>
      <c r="L53" s="1">
        <v>0.13333333333333333</v>
      </c>
      <c r="M53" s="1">
        <v>0.14117647058823529</v>
      </c>
      <c r="N53" s="1">
        <v>0.12941176470588237</v>
      </c>
      <c r="O53" s="1">
        <v>0.12941176470588237</v>
      </c>
      <c r="P53" s="1">
        <v>0.13725490196078433</v>
      </c>
      <c r="Q53" s="1">
        <v>0.14117647058823529</v>
      </c>
      <c r="R53" s="1">
        <v>0.13725490196078433</v>
      </c>
      <c r="S53" s="1">
        <v>0.12941176470588237</v>
      </c>
      <c r="T53" s="1">
        <v>0.13333333333333333</v>
      </c>
      <c r="U53" s="1">
        <v>0.13333333333333333</v>
      </c>
      <c r="V53" s="1">
        <v>0.13333333333333333</v>
      </c>
      <c r="W53" s="1">
        <v>0.14117647058823529</v>
      </c>
      <c r="X53" s="1">
        <v>0.12941176470588237</v>
      </c>
      <c r="Y53" s="1">
        <v>0.13333333333333333</v>
      </c>
      <c r="Z53" s="1">
        <v>0.13725490196078433</v>
      </c>
      <c r="AA53" s="1">
        <v>0.13333333333333333</v>
      </c>
      <c r="AB53" s="1">
        <v>0.13333333333333333</v>
      </c>
      <c r="AC53" s="1">
        <v>0.13725490196078433</v>
      </c>
      <c r="AD53" s="1">
        <v>0.13333333333333333</v>
      </c>
      <c r="AE53" s="1">
        <v>0.13333333333333333</v>
      </c>
      <c r="AF53" s="1">
        <v>0.12941176470588237</v>
      </c>
      <c r="AG53" s="1">
        <v>0.14117647058823529</v>
      </c>
    </row>
    <row r="54" spans="1:33">
      <c r="A54" s="16">
        <f>A53+Calculations!$B$4</f>
        <v>53.6</v>
      </c>
      <c r="B54" s="1">
        <v>0.12549019607843137</v>
      </c>
      <c r="C54" s="1">
        <v>0.12941176470588237</v>
      </c>
      <c r="D54" s="1">
        <v>0.13725490196078433</v>
      </c>
      <c r="E54" s="1">
        <v>0.12549019607843137</v>
      </c>
      <c r="F54" s="1">
        <v>0.13333333333333333</v>
      </c>
      <c r="G54" s="1">
        <v>0.14117647058823529</v>
      </c>
      <c r="H54" s="1">
        <v>0.13333333333333333</v>
      </c>
      <c r="I54" s="1">
        <v>0.13333333333333333</v>
      </c>
      <c r="J54" s="1">
        <v>0.13333333333333333</v>
      </c>
      <c r="K54" s="1">
        <v>0.13333333333333333</v>
      </c>
      <c r="L54" s="1">
        <v>0.13725490196078433</v>
      </c>
      <c r="M54" s="1">
        <v>0.13333333333333333</v>
      </c>
      <c r="N54" s="1">
        <v>0.12549019607843137</v>
      </c>
      <c r="O54" s="1">
        <v>0.12549019607843137</v>
      </c>
      <c r="P54" s="1">
        <v>0.13333333333333333</v>
      </c>
      <c r="Q54" s="1">
        <v>0.13333333333333333</v>
      </c>
      <c r="R54" s="1">
        <v>0.13333333333333333</v>
      </c>
      <c r="S54" s="1">
        <v>0.13333333333333333</v>
      </c>
      <c r="T54" s="1">
        <v>0.14117647058823529</v>
      </c>
      <c r="U54" s="1">
        <v>0.13333333333333333</v>
      </c>
      <c r="V54" s="1">
        <v>0.13333333333333333</v>
      </c>
      <c r="W54" s="1">
        <v>0.13333333333333333</v>
      </c>
      <c r="X54" s="1">
        <v>0.12941176470588237</v>
      </c>
      <c r="Y54" s="1">
        <v>0.13333333333333333</v>
      </c>
      <c r="Z54" s="1">
        <v>0.12549019607843137</v>
      </c>
      <c r="AA54" s="1">
        <v>0.13333333333333333</v>
      </c>
      <c r="AB54" s="1">
        <v>0.13333333333333333</v>
      </c>
      <c r="AC54" s="1">
        <v>0.13333333333333333</v>
      </c>
      <c r="AD54" s="1">
        <v>0.13333333333333333</v>
      </c>
      <c r="AE54" s="1">
        <v>0.12941176470588237</v>
      </c>
      <c r="AF54" s="1">
        <v>0.12941176470588237</v>
      </c>
      <c r="AG54" s="1">
        <v>0.12549019607843137</v>
      </c>
    </row>
    <row r="55" spans="1:33">
      <c r="A55" s="16">
        <f>A54+Calculations!$B$4</f>
        <v>54.6</v>
      </c>
      <c r="B55" s="1">
        <v>0.12549019607843137</v>
      </c>
      <c r="C55" s="1">
        <v>0.12549019607843137</v>
      </c>
      <c r="D55" s="1">
        <v>0.13725490196078433</v>
      </c>
      <c r="E55" s="1">
        <v>0.12549019607843137</v>
      </c>
      <c r="F55" s="1">
        <v>0.12549019607843137</v>
      </c>
      <c r="G55" s="1">
        <v>0.12941176470588237</v>
      </c>
      <c r="H55" s="1">
        <v>0.12549019607843137</v>
      </c>
      <c r="I55" s="1">
        <v>0.13333333333333333</v>
      </c>
      <c r="J55" s="1">
        <v>0.13333333333333333</v>
      </c>
      <c r="K55" s="1">
        <v>0.13333333333333333</v>
      </c>
      <c r="L55" s="1">
        <v>0.12941176470588237</v>
      </c>
      <c r="M55" s="1">
        <v>0.13333333333333333</v>
      </c>
      <c r="N55" s="1">
        <v>0.12549019607843137</v>
      </c>
      <c r="O55" s="1">
        <v>0.12941176470588237</v>
      </c>
      <c r="P55" s="1">
        <v>0.13333333333333333</v>
      </c>
      <c r="Q55" s="1">
        <v>0.13333333333333333</v>
      </c>
      <c r="R55" s="1">
        <v>0.13333333333333333</v>
      </c>
      <c r="S55" s="1">
        <v>0.12549019607843137</v>
      </c>
      <c r="T55" s="1">
        <v>0.13333333333333333</v>
      </c>
      <c r="U55" s="1">
        <v>0.12941176470588237</v>
      </c>
      <c r="V55" s="1">
        <v>0.13333333333333333</v>
      </c>
      <c r="W55" s="1">
        <v>0.13333333333333333</v>
      </c>
      <c r="X55" s="1">
        <v>0.12156862745098039</v>
      </c>
      <c r="Y55" s="1">
        <v>0.12549019607843137</v>
      </c>
      <c r="Z55" s="1">
        <v>0.12549019607843137</v>
      </c>
      <c r="AA55" s="1">
        <v>0.12549019607843137</v>
      </c>
      <c r="AB55" s="1">
        <v>0.12549019607843137</v>
      </c>
      <c r="AC55" s="1">
        <v>0.13333333333333333</v>
      </c>
      <c r="AD55" s="1">
        <v>0.12941176470588237</v>
      </c>
      <c r="AE55" s="1">
        <v>0.12549019607843137</v>
      </c>
      <c r="AF55" s="1">
        <v>0.12549019607843137</v>
      </c>
      <c r="AG55" s="1">
        <v>0.12941176470588237</v>
      </c>
    </row>
    <row r="56" spans="1:33">
      <c r="A56" s="16">
        <f>A55+Calculations!$B$4</f>
        <v>55.6</v>
      </c>
      <c r="B56" s="1">
        <v>0.12549019607843137</v>
      </c>
      <c r="C56" s="1">
        <v>0.12156862745098039</v>
      </c>
      <c r="D56" s="1">
        <v>0.13333333333333333</v>
      </c>
      <c r="E56" s="1">
        <v>0.11764705882352941</v>
      </c>
      <c r="F56" s="1">
        <v>0.12549019607843137</v>
      </c>
      <c r="G56" s="1">
        <v>0.13333333333333333</v>
      </c>
      <c r="H56" s="1">
        <v>0.12156862745098039</v>
      </c>
      <c r="I56" s="1">
        <v>0.13333333333333333</v>
      </c>
      <c r="J56" s="1">
        <v>0.13333333333333333</v>
      </c>
      <c r="K56" s="1">
        <v>0.12941176470588237</v>
      </c>
      <c r="L56" s="1">
        <v>0.12549019607843137</v>
      </c>
      <c r="M56" s="1">
        <v>0.13333333333333333</v>
      </c>
      <c r="N56" s="1">
        <v>0.12549019607843137</v>
      </c>
      <c r="O56" s="1">
        <v>0.13333333333333333</v>
      </c>
      <c r="P56" s="1">
        <v>0.12941176470588237</v>
      </c>
      <c r="Q56" s="1">
        <v>0.13725490196078433</v>
      </c>
      <c r="R56" s="1">
        <v>0.12941176470588237</v>
      </c>
      <c r="S56" s="1">
        <v>0.12941176470588237</v>
      </c>
      <c r="T56" s="1">
        <v>0.12941176470588237</v>
      </c>
      <c r="U56" s="1">
        <v>0.12549019607843137</v>
      </c>
      <c r="V56" s="1">
        <v>0.12941176470588237</v>
      </c>
      <c r="W56" s="1">
        <v>0.12549019607843137</v>
      </c>
      <c r="X56" s="1">
        <v>0.12549019607843137</v>
      </c>
      <c r="Y56" s="1">
        <v>0.12549019607843137</v>
      </c>
      <c r="Z56" s="1">
        <v>0.11764705882352941</v>
      </c>
      <c r="AA56" s="1">
        <v>0.12549019607843137</v>
      </c>
      <c r="AB56" s="1">
        <v>0.12156862745098039</v>
      </c>
      <c r="AC56" s="1">
        <v>0.12549019607843137</v>
      </c>
      <c r="AD56" s="1">
        <v>0.13333333333333333</v>
      </c>
      <c r="AE56" s="1">
        <v>0.12549019607843137</v>
      </c>
      <c r="AF56" s="1">
        <v>0.12549019607843137</v>
      </c>
      <c r="AG56" s="1">
        <v>0.12549019607843137</v>
      </c>
    </row>
    <row r="57" spans="1:33">
      <c r="A57" s="16">
        <f>A56+Calculations!$B$4</f>
        <v>56.6</v>
      </c>
      <c r="B57" s="1">
        <v>0.12156862745098039</v>
      </c>
      <c r="C57" s="1">
        <v>0.12156862745098039</v>
      </c>
      <c r="D57" s="1">
        <v>0.12549019607843137</v>
      </c>
      <c r="E57" s="1">
        <v>0.12549019607843137</v>
      </c>
      <c r="F57" s="1">
        <v>0.12549019607843137</v>
      </c>
      <c r="G57" s="1">
        <v>0.13333333333333333</v>
      </c>
      <c r="H57" s="1">
        <v>0.11764705882352941</v>
      </c>
      <c r="I57" s="1">
        <v>0.12549019607843137</v>
      </c>
      <c r="J57" s="1">
        <v>0.13333333333333333</v>
      </c>
      <c r="K57" s="1">
        <v>0.13333333333333333</v>
      </c>
      <c r="L57" s="1">
        <v>0.12549019607843137</v>
      </c>
      <c r="M57" s="1">
        <v>0.13333333333333333</v>
      </c>
      <c r="N57" s="1">
        <v>0.12549019607843137</v>
      </c>
      <c r="O57" s="1">
        <v>0.12549019607843137</v>
      </c>
      <c r="P57" s="1">
        <v>0.13333333333333333</v>
      </c>
      <c r="Q57" s="1">
        <v>0.13333333333333333</v>
      </c>
      <c r="R57" s="1">
        <v>0.12549019607843137</v>
      </c>
      <c r="S57" s="1">
        <v>0.12549019607843137</v>
      </c>
      <c r="T57" s="1">
        <v>0.12549019607843137</v>
      </c>
      <c r="U57" s="1">
        <v>0.13333333333333333</v>
      </c>
      <c r="V57" s="1">
        <v>0.12549019607843137</v>
      </c>
      <c r="W57" s="1">
        <v>0.13333333333333333</v>
      </c>
      <c r="X57" s="1">
        <v>0.12549019607843137</v>
      </c>
      <c r="Y57" s="1">
        <v>0.12156862745098039</v>
      </c>
      <c r="Z57" s="1">
        <v>0.12549019607843137</v>
      </c>
      <c r="AA57" s="1">
        <v>0.12549019607843137</v>
      </c>
      <c r="AB57" s="1">
        <v>0.11764705882352941</v>
      </c>
      <c r="AC57" s="1">
        <v>0.12549019607843137</v>
      </c>
      <c r="AD57" s="1">
        <v>0.13333333333333333</v>
      </c>
      <c r="AE57" s="1">
        <v>0.12156862745098039</v>
      </c>
      <c r="AF57" s="1">
        <v>0.11764705882352941</v>
      </c>
      <c r="AG57" s="1">
        <v>0.12549019607843137</v>
      </c>
    </row>
    <row r="58" spans="1:33">
      <c r="A58" s="16">
        <f>A57+Calculations!$B$4</f>
        <v>57.6</v>
      </c>
      <c r="B58" s="1">
        <v>0.11764705882352941</v>
      </c>
      <c r="C58" s="1">
        <v>0.11764705882352941</v>
      </c>
      <c r="D58" s="1">
        <v>0.12549019607843137</v>
      </c>
      <c r="E58" s="1">
        <v>0.11764705882352941</v>
      </c>
      <c r="F58" s="1">
        <v>0.12156862745098039</v>
      </c>
      <c r="G58" s="1">
        <v>0.12549019607843137</v>
      </c>
      <c r="H58" s="1">
        <v>0.11764705882352941</v>
      </c>
      <c r="I58" s="1">
        <v>0.12549019607843137</v>
      </c>
      <c r="J58" s="1">
        <v>0.12549019607843137</v>
      </c>
      <c r="K58" s="1">
        <v>0.12941176470588237</v>
      </c>
      <c r="L58" s="1">
        <v>0.12549019607843137</v>
      </c>
      <c r="M58" s="1">
        <v>0.12549019607843137</v>
      </c>
      <c r="N58" s="1">
        <v>0.12549019607843137</v>
      </c>
      <c r="O58" s="1">
        <v>0.12941176470588237</v>
      </c>
      <c r="P58" s="1">
        <v>0.12549019607843137</v>
      </c>
      <c r="Q58" s="1">
        <v>0.12549019607843137</v>
      </c>
      <c r="R58" s="1">
        <v>0.12156862745098039</v>
      </c>
      <c r="S58" s="1">
        <v>0.11764705882352941</v>
      </c>
      <c r="T58" s="1">
        <v>0.11764705882352941</v>
      </c>
      <c r="U58" s="1">
        <v>0.12549019607843137</v>
      </c>
      <c r="V58" s="1">
        <v>0.12549019607843137</v>
      </c>
      <c r="W58" s="1">
        <v>0.12549019607843137</v>
      </c>
      <c r="X58" s="1">
        <v>0.11764705882352941</v>
      </c>
      <c r="Y58" s="1">
        <v>0.11764705882352941</v>
      </c>
      <c r="Z58" s="1">
        <v>0.11372549019607843</v>
      </c>
      <c r="AA58" s="1">
        <v>0.12156862745098039</v>
      </c>
      <c r="AB58" s="1">
        <v>0.12549019607843137</v>
      </c>
      <c r="AC58" s="1">
        <v>0.12549019607843137</v>
      </c>
      <c r="AD58" s="1">
        <v>0.12549019607843137</v>
      </c>
      <c r="AE58" s="1">
        <v>0.12549019607843137</v>
      </c>
      <c r="AF58" s="1">
        <v>0.11764705882352941</v>
      </c>
      <c r="AG58" s="1">
        <v>0.12549019607843137</v>
      </c>
    </row>
    <row r="59" spans="1:33">
      <c r="A59" s="16">
        <f>A58+Calculations!$B$4</f>
        <v>58.6</v>
      </c>
      <c r="B59" s="1">
        <v>0.11372549019607843</v>
      </c>
      <c r="C59" s="1">
        <v>0.11764705882352941</v>
      </c>
      <c r="D59" s="1">
        <v>0.12549019607843137</v>
      </c>
      <c r="E59" s="1">
        <v>0.12156862745098039</v>
      </c>
      <c r="F59" s="1">
        <v>0.12549019607843137</v>
      </c>
      <c r="G59" s="1">
        <v>0.12156862745098039</v>
      </c>
      <c r="H59" s="1">
        <v>0.10980392156862745</v>
      </c>
      <c r="I59" s="1">
        <v>0.12549019607843137</v>
      </c>
      <c r="J59" s="1">
        <v>0.12549019607843137</v>
      </c>
      <c r="K59" s="1">
        <v>0.12549019607843137</v>
      </c>
      <c r="L59" s="1">
        <v>0.11764705882352941</v>
      </c>
      <c r="M59" s="1">
        <v>0.13333333333333333</v>
      </c>
      <c r="N59" s="1">
        <v>0.11764705882352941</v>
      </c>
      <c r="O59" s="1">
        <v>0.12156862745098039</v>
      </c>
      <c r="P59" s="1">
        <v>0.12549019607843137</v>
      </c>
      <c r="Q59" s="1">
        <v>0.12941176470588237</v>
      </c>
      <c r="R59" s="1">
        <v>0.12549019607843137</v>
      </c>
      <c r="S59" s="1">
        <v>0.12156862745098039</v>
      </c>
      <c r="T59" s="1">
        <v>0.11764705882352941</v>
      </c>
      <c r="U59" s="1">
        <v>0.12156862745098039</v>
      </c>
      <c r="V59" s="1">
        <v>0.12941176470588237</v>
      </c>
      <c r="W59" s="1">
        <v>0.12549019607843137</v>
      </c>
      <c r="X59" s="1">
        <v>0.11372549019607843</v>
      </c>
      <c r="Y59" s="1">
        <v>0.10980392156862745</v>
      </c>
      <c r="Z59" s="1">
        <v>0.10980392156862745</v>
      </c>
      <c r="AA59" s="1">
        <v>0.12156862745098039</v>
      </c>
      <c r="AB59" s="1">
        <v>0.11764705882352941</v>
      </c>
      <c r="AC59" s="1">
        <v>0.11764705882352941</v>
      </c>
      <c r="AD59" s="1">
        <v>0.12941176470588237</v>
      </c>
      <c r="AE59" s="1">
        <v>0.11764705882352941</v>
      </c>
      <c r="AF59" s="1">
        <v>0.11372549019607843</v>
      </c>
      <c r="AG59" s="1">
        <v>0.12156862745098039</v>
      </c>
    </row>
    <row r="60" spans="1:33">
      <c r="A60" s="16">
        <f>A59+Calculations!$B$4</f>
        <v>59.6</v>
      </c>
      <c r="B60" s="1">
        <v>0.10980392156862745</v>
      </c>
      <c r="C60" s="1">
        <v>0.11764705882352941</v>
      </c>
      <c r="D60" s="1">
        <v>0.12549019607843137</v>
      </c>
      <c r="E60" s="1">
        <v>0.12156862745098039</v>
      </c>
      <c r="F60" s="1">
        <v>0.11764705882352941</v>
      </c>
      <c r="G60" s="1">
        <v>0.12156862745098039</v>
      </c>
      <c r="H60" s="1">
        <v>0.11372549019607843</v>
      </c>
      <c r="I60" s="1">
        <v>0.12156862745098039</v>
      </c>
      <c r="J60" s="1">
        <v>0.12156862745098039</v>
      </c>
      <c r="K60" s="1">
        <v>0.12549019607843137</v>
      </c>
      <c r="L60" s="1">
        <v>0.11764705882352941</v>
      </c>
      <c r="M60" s="1">
        <v>0.11764705882352941</v>
      </c>
      <c r="N60" s="1">
        <v>0.11764705882352941</v>
      </c>
      <c r="O60" s="1">
        <v>0.11764705882352941</v>
      </c>
      <c r="P60" s="1">
        <v>0.12156862745098039</v>
      </c>
      <c r="Q60" s="1">
        <v>0.13333333333333333</v>
      </c>
      <c r="R60" s="1">
        <v>0.12549019607843137</v>
      </c>
      <c r="S60" s="1">
        <v>0.11764705882352941</v>
      </c>
      <c r="T60" s="1">
        <v>0.11764705882352941</v>
      </c>
      <c r="U60" s="1">
        <v>0.11764705882352941</v>
      </c>
      <c r="V60" s="1">
        <v>0.12549019607843137</v>
      </c>
      <c r="W60" s="1">
        <v>0.12156862745098039</v>
      </c>
      <c r="X60" s="1">
        <v>0.12549019607843137</v>
      </c>
      <c r="Y60" s="1">
        <v>0.11764705882352941</v>
      </c>
      <c r="Z60" s="1">
        <v>0.10980392156862745</v>
      </c>
      <c r="AA60" s="1">
        <v>0.11764705882352941</v>
      </c>
      <c r="AB60" s="1">
        <v>0.11764705882352941</v>
      </c>
      <c r="AC60" s="1">
        <v>0.11764705882352941</v>
      </c>
      <c r="AD60" s="1">
        <v>0.12549019607843137</v>
      </c>
      <c r="AE60" s="1">
        <v>0.11764705882352941</v>
      </c>
      <c r="AF60" s="1">
        <v>0.11372549019607843</v>
      </c>
      <c r="AG60" s="1">
        <v>0.11764705882352941</v>
      </c>
    </row>
    <row r="61" spans="1:33">
      <c r="A61" s="16">
        <f>A60+Calculations!$B$4</f>
        <v>60.6</v>
      </c>
      <c r="B61" s="1">
        <v>0.11372549019607843</v>
      </c>
      <c r="C61" s="1">
        <v>0.11764705882352941</v>
      </c>
      <c r="D61" s="1">
        <v>0.12156862745098039</v>
      </c>
      <c r="E61" s="1">
        <v>0.12156862745098039</v>
      </c>
      <c r="F61" s="1">
        <v>0.11764705882352941</v>
      </c>
      <c r="G61" s="1">
        <v>0.12156862745098039</v>
      </c>
      <c r="H61" s="1">
        <v>0.10980392156862745</v>
      </c>
      <c r="I61" s="1">
        <v>0.11764705882352941</v>
      </c>
      <c r="J61" s="1">
        <v>0.12549019607843137</v>
      </c>
      <c r="K61" s="1">
        <v>0.12156862745098039</v>
      </c>
      <c r="L61" s="1">
        <v>0.11764705882352941</v>
      </c>
      <c r="M61" s="1">
        <v>0.12156862745098039</v>
      </c>
      <c r="N61" s="1">
        <v>0.11764705882352941</v>
      </c>
      <c r="O61" s="1">
        <v>0.12941176470588237</v>
      </c>
      <c r="P61" s="1">
        <v>0.11764705882352941</v>
      </c>
      <c r="Q61" s="1">
        <v>0.12549019607843137</v>
      </c>
      <c r="R61" s="1">
        <v>0.12549019607843137</v>
      </c>
      <c r="S61" s="1">
        <v>0.11764705882352941</v>
      </c>
      <c r="T61" s="1">
        <v>0.11372549019607843</v>
      </c>
      <c r="U61" s="1">
        <v>0.11372549019607843</v>
      </c>
      <c r="V61" s="1">
        <v>0.12156862745098039</v>
      </c>
      <c r="W61" s="1">
        <v>0.11764705882352941</v>
      </c>
      <c r="X61" s="1">
        <v>0.10980392156862745</v>
      </c>
      <c r="Y61" s="1">
        <v>0.12156862745098039</v>
      </c>
      <c r="Z61" s="1">
        <v>0.10980392156862745</v>
      </c>
      <c r="AA61" s="1">
        <v>0.11764705882352941</v>
      </c>
      <c r="AB61" s="1">
        <v>0.12549019607843137</v>
      </c>
      <c r="AC61" s="1">
        <v>0.10980392156862745</v>
      </c>
      <c r="AD61" s="1">
        <v>0.12549019607843137</v>
      </c>
      <c r="AE61" s="1">
        <v>0.11372549019607843</v>
      </c>
      <c r="AF61" s="1">
        <v>0.10980392156862745</v>
      </c>
      <c r="AG61" s="1">
        <v>0.11764705882352941</v>
      </c>
    </row>
    <row r="62" spans="1:33">
      <c r="A62" s="16">
        <f>A61+Calculations!$B$4</f>
        <v>61.6</v>
      </c>
      <c r="B62" s="1">
        <v>0.10980392156862745</v>
      </c>
      <c r="C62" s="1">
        <v>0.11764705882352941</v>
      </c>
      <c r="D62" s="1">
        <v>0.12156862745098039</v>
      </c>
      <c r="E62" s="1">
        <v>0.11764705882352941</v>
      </c>
      <c r="F62" s="1">
        <v>0.11372549019607843</v>
      </c>
      <c r="G62" s="1">
        <v>0.11764705882352941</v>
      </c>
      <c r="H62" s="1">
        <v>0.10980392156862745</v>
      </c>
      <c r="I62" s="1">
        <v>0.11764705882352941</v>
      </c>
      <c r="J62" s="1">
        <v>0.12156862745098039</v>
      </c>
      <c r="K62" s="1">
        <v>0.11764705882352941</v>
      </c>
      <c r="L62" s="1">
        <v>0.11764705882352941</v>
      </c>
      <c r="M62" s="1">
        <v>0.12549019607843137</v>
      </c>
      <c r="N62" s="1">
        <v>0.11372549019607843</v>
      </c>
      <c r="O62" s="1">
        <v>0.11372549019607843</v>
      </c>
      <c r="P62" s="1">
        <v>0.12156862745098039</v>
      </c>
      <c r="Q62" s="1">
        <v>0.11764705882352941</v>
      </c>
      <c r="R62" s="1">
        <v>0.10980392156862745</v>
      </c>
      <c r="S62" s="1">
        <v>0.11764705882352941</v>
      </c>
      <c r="T62" s="1">
        <v>0.11764705882352941</v>
      </c>
      <c r="U62" s="1">
        <v>0.10980392156862745</v>
      </c>
      <c r="V62" s="1">
        <v>0.11764705882352941</v>
      </c>
      <c r="W62" s="1">
        <v>0.11764705882352941</v>
      </c>
      <c r="X62" s="1">
        <v>0.10980392156862745</v>
      </c>
      <c r="Y62" s="1">
        <v>0.10980392156862745</v>
      </c>
      <c r="Z62" s="1">
        <v>0.10588235294117647</v>
      </c>
      <c r="AA62" s="1">
        <v>0.11372549019607843</v>
      </c>
      <c r="AB62" s="1">
        <v>0.11764705882352941</v>
      </c>
      <c r="AC62" s="1">
        <v>0.10980392156862745</v>
      </c>
      <c r="AD62" s="1">
        <v>0.12549019607843137</v>
      </c>
      <c r="AE62" s="1">
        <v>0.11372549019607843</v>
      </c>
      <c r="AF62" s="1">
        <v>0.10196078431372549</v>
      </c>
      <c r="AG62" s="1">
        <v>0.11764705882352941</v>
      </c>
    </row>
    <row r="63" spans="1:33">
      <c r="A63" s="16">
        <f>A62+Calculations!$B$4</f>
        <v>62.6</v>
      </c>
      <c r="B63" s="1">
        <v>0.10980392156862745</v>
      </c>
      <c r="C63" s="1">
        <v>0.11764705882352941</v>
      </c>
      <c r="D63" s="1">
        <v>0.11764705882352941</v>
      </c>
      <c r="E63" s="1">
        <v>0.10980392156862745</v>
      </c>
      <c r="F63" s="1">
        <v>0.10980392156862745</v>
      </c>
      <c r="G63" s="1">
        <v>0.11764705882352941</v>
      </c>
      <c r="H63" s="1">
        <v>0.10588235294117647</v>
      </c>
      <c r="I63" s="1">
        <v>0.11764705882352941</v>
      </c>
      <c r="J63" s="1">
        <v>0.11764705882352941</v>
      </c>
      <c r="K63" s="1">
        <v>0.11764705882352941</v>
      </c>
      <c r="L63" s="1">
        <v>0.11372549019607843</v>
      </c>
      <c r="M63" s="1">
        <v>0.12549019607843137</v>
      </c>
      <c r="N63" s="1">
        <v>0.11372549019607843</v>
      </c>
      <c r="O63" s="1">
        <v>0.11372549019607843</v>
      </c>
      <c r="P63" s="1">
        <v>0.11764705882352941</v>
      </c>
      <c r="Q63" s="1">
        <v>0.11764705882352941</v>
      </c>
      <c r="R63" s="1">
        <v>0.11764705882352941</v>
      </c>
      <c r="S63" s="1">
        <v>0.11764705882352941</v>
      </c>
      <c r="T63" s="1">
        <v>0.12156862745098039</v>
      </c>
      <c r="U63" s="1">
        <v>0.10980392156862745</v>
      </c>
      <c r="V63" s="1">
        <v>0.12156862745098039</v>
      </c>
      <c r="W63" s="1">
        <v>0.11764705882352941</v>
      </c>
      <c r="X63" s="1">
        <v>0.10980392156862745</v>
      </c>
      <c r="Y63" s="1">
        <v>0.10980392156862745</v>
      </c>
      <c r="Z63" s="1">
        <v>0.10980392156862745</v>
      </c>
      <c r="AA63" s="1">
        <v>0.11764705882352941</v>
      </c>
      <c r="AB63" s="1">
        <v>0.11372549019607843</v>
      </c>
      <c r="AC63" s="1">
        <v>0.10980392156862745</v>
      </c>
      <c r="AD63" s="1">
        <v>0.11764705882352941</v>
      </c>
      <c r="AE63" s="1">
        <v>0.10980392156862745</v>
      </c>
      <c r="AF63" s="1">
        <v>0.10196078431372549</v>
      </c>
      <c r="AG63" s="1">
        <v>0.11764705882352941</v>
      </c>
    </row>
    <row r="64" spans="1:33">
      <c r="A64" s="16">
        <f>A63+Calculations!$B$4</f>
        <v>63.6</v>
      </c>
      <c r="B64" s="1">
        <v>0.10588235294117647</v>
      </c>
      <c r="C64" s="1">
        <v>0.11372549019607843</v>
      </c>
      <c r="D64" s="1">
        <v>0.11764705882352941</v>
      </c>
      <c r="E64" s="1">
        <v>0.11764705882352941</v>
      </c>
      <c r="F64" s="1">
        <v>0.10980392156862745</v>
      </c>
      <c r="G64" s="1">
        <v>0.12156862745098039</v>
      </c>
      <c r="H64" s="1">
        <v>0.10980392156862745</v>
      </c>
      <c r="I64" s="1">
        <v>0.10980392156862745</v>
      </c>
      <c r="J64" s="1">
        <v>0.11764705882352941</v>
      </c>
      <c r="K64" s="1">
        <v>0.11764705882352941</v>
      </c>
      <c r="L64" s="1">
        <v>0.11764705882352941</v>
      </c>
      <c r="M64" s="1">
        <v>0.12549019607843137</v>
      </c>
      <c r="N64" s="1">
        <v>0.10980392156862745</v>
      </c>
      <c r="O64" s="1">
        <v>0.11764705882352941</v>
      </c>
      <c r="P64" s="1">
        <v>0.11372549019607843</v>
      </c>
      <c r="Q64" s="1">
        <v>0.12156862745098039</v>
      </c>
      <c r="R64" s="1">
        <v>0.11372549019607843</v>
      </c>
      <c r="S64" s="1">
        <v>0.11764705882352941</v>
      </c>
      <c r="T64" s="1">
        <v>0.11372549019607843</v>
      </c>
      <c r="U64" s="1">
        <v>0.10980392156862745</v>
      </c>
      <c r="V64" s="1">
        <v>0.11764705882352941</v>
      </c>
      <c r="W64" s="1">
        <v>0.11764705882352941</v>
      </c>
      <c r="X64" s="1">
        <v>0.11372549019607843</v>
      </c>
      <c r="Y64" s="1">
        <v>0.11764705882352941</v>
      </c>
      <c r="Z64" s="1">
        <v>0.10980392156862745</v>
      </c>
      <c r="AA64" s="1">
        <v>0.12156862745098039</v>
      </c>
      <c r="AB64" s="1">
        <v>0.11372549019607843</v>
      </c>
      <c r="AC64" s="1">
        <v>0.10196078431372549</v>
      </c>
      <c r="AD64" s="1">
        <v>0.11764705882352941</v>
      </c>
      <c r="AE64" s="1">
        <v>0.10980392156862745</v>
      </c>
      <c r="AF64" s="1">
        <v>0.10980392156862745</v>
      </c>
      <c r="AG64" s="1">
        <v>0.11372549019607843</v>
      </c>
    </row>
    <row r="65" spans="1:33">
      <c r="A65" s="16">
        <f>A64+Calculations!$B$4</f>
        <v>64.599999999999994</v>
      </c>
      <c r="B65" s="1">
        <v>0.10196078431372549</v>
      </c>
      <c r="C65" s="1">
        <v>0.11764705882352941</v>
      </c>
      <c r="D65" s="1">
        <v>0.11372549019607843</v>
      </c>
      <c r="E65" s="1">
        <v>0.10980392156862745</v>
      </c>
      <c r="F65" s="1">
        <v>0.10980392156862745</v>
      </c>
      <c r="G65" s="1">
        <v>0.10980392156862745</v>
      </c>
      <c r="H65" s="1">
        <v>0.10980392156862745</v>
      </c>
      <c r="I65" s="1">
        <v>0.10980392156862745</v>
      </c>
      <c r="J65" s="1">
        <v>0.11372549019607843</v>
      </c>
      <c r="K65" s="1">
        <v>0.11764705882352941</v>
      </c>
      <c r="L65" s="1">
        <v>0.11764705882352941</v>
      </c>
      <c r="M65" s="1">
        <v>0.11764705882352941</v>
      </c>
      <c r="N65" s="1">
        <v>0.10980392156862745</v>
      </c>
      <c r="O65" s="1">
        <v>0.10980392156862745</v>
      </c>
      <c r="P65" s="1">
        <v>0.10980392156862745</v>
      </c>
      <c r="Q65" s="1">
        <v>0.10980392156862745</v>
      </c>
      <c r="R65" s="1">
        <v>0.11764705882352941</v>
      </c>
      <c r="S65" s="1">
        <v>0.11764705882352941</v>
      </c>
      <c r="T65" s="1">
        <v>0.10980392156862745</v>
      </c>
      <c r="U65" s="1">
        <v>0.10980392156862745</v>
      </c>
      <c r="V65" s="1">
        <v>0.11372549019607843</v>
      </c>
      <c r="W65" s="1">
        <v>0.11764705882352941</v>
      </c>
      <c r="X65" s="1">
        <v>0.11372549019607843</v>
      </c>
      <c r="Y65" s="1">
        <v>0.11764705882352941</v>
      </c>
      <c r="Z65" s="1">
        <v>0.11764705882352941</v>
      </c>
      <c r="AA65" s="1">
        <v>0.11764705882352941</v>
      </c>
      <c r="AB65" s="1">
        <v>0.10980392156862745</v>
      </c>
      <c r="AC65" s="1">
        <v>0.10980392156862745</v>
      </c>
      <c r="AD65" s="1">
        <v>0.11764705882352941</v>
      </c>
      <c r="AE65" s="1">
        <v>0.11372549019607843</v>
      </c>
      <c r="AF65" s="1">
        <v>0.10980392156862745</v>
      </c>
      <c r="AG65" s="1">
        <v>0.11764705882352941</v>
      </c>
    </row>
    <row r="66" spans="1:33">
      <c r="A66" s="16">
        <f>A65+Calculations!$B$4</f>
        <v>65.599999999999994</v>
      </c>
      <c r="B66" s="1">
        <v>0.10196078431372549</v>
      </c>
      <c r="C66" s="1">
        <v>0.11764705882352941</v>
      </c>
      <c r="D66" s="1">
        <v>0.10980392156862745</v>
      </c>
      <c r="E66" s="1">
        <v>0.11764705882352941</v>
      </c>
      <c r="F66" s="1">
        <v>0.10588235294117647</v>
      </c>
      <c r="G66" s="1">
        <v>0.10980392156862745</v>
      </c>
      <c r="H66" s="1">
        <v>0.10980392156862745</v>
      </c>
      <c r="I66" s="1">
        <v>0.10980392156862745</v>
      </c>
      <c r="J66" s="1">
        <v>0.10980392156862745</v>
      </c>
      <c r="K66" s="1">
        <v>0.11764705882352941</v>
      </c>
      <c r="L66" s="1">
        <v>0.11372549019607843</v>
      </c>
      <c r="M66" s="1">
        <v>0.11372549019607843</v>
      </c>
      <c r="N66" s="1">
        <v>0.10980392156862745</v>
      </c>
      <c r="O66" s="1">
        <v>0.11372549019607843</v>
      </c>
      <c r="P66" s="1">
        <v>0.10980392156862745</v>
      </c>
      <c r="Q66" s="1">
        <v>0.10980392156862745</v>
      </c>
      <c r="R66" s="1">
        <v>0.10980392156862745</v>
      </c>
      <c r="S66" s="1">
        <v>0.11764705882352941</v>
      </c>
      <c r="T66" s="1">
        <v>0.10588235294117647</v>
      </c>
      <c r="U66" s="1">
        <v>0.10980392156862745</v>
      </c>
      <c r="V66" s="1">
        <v>0.10980392156862745</v>
      </c>
      <c r="W66" s="1">
        <v>0.11764705882352941</v>
      </c>
      <c r="X66" s="1">
        <v>0.10588235294117647</v>
      </c>
      <c r="Y66" s="1">
        <v>0.10980392156862745</v>
      </c>
      <c r="Z66" s="1">
        <v>0.10980392156862745</v>
      </c>
      <c r="AA66" s="1">
        <v>0.11372549019607843</v>
      </c>
      <c r="AB66" s="1">
        <v>0.10980392156862745</v>
      </c>
      <c r="AC66" s="1">
        <v>0.10196078431372549</v>
      </c>
      <c r="AD66" s="1">
        <v>0.11764705882352941</v>
      </c>
      <c r="AE66" s="1">
        <v>0.10980392156862745</v>
      </c>
      <c r="AF66" s="1">
        <v>0.10196078431372549</v>
      </c>
      <c r="AG66" s="1">
        <v>0.11764705882352941</v>
      </c>
    </row>
    <row r="67" spans="1:33">
      <c r="A67" s="16">
        <f>A66+Calculations!$B$4</f>
        <v>66.599999999999994</v>
      </c>
      <c r="B67" s="1">
        <v>0.10196078431372549</v>
      </c>
      <c r="C67" s="1">
        <v>0.10980392156862745</v>
      </c>
      <c r="D67" s="1">
        <v>0.10980392156862745</v>
      </c>
      <c r="E67" s="1">
        <v>0.11372549019607843</v>
      </c>
      <c r="F67" s="1">
        <v>0.10588235294117647</v>
      </c>
      <c r="G67" s="1">
        <v>0.10980392156862745</v>
      </c>
      <c r="H67" s="1">
        <v>0.10980392156862745</v>
      </c>
      <c r="I67" s="1">
        <v>0.11764705882352941</v>
      </c>
      <c r="J67" s="1">
        <v>0.11372549019607843</v>
      </c>
      <c r="K67" s="1">
        <v>0.11764705882352941</v>
      </c>
      <c r="L67" s="1">
        <v>0.10980392156862745</v>
      </c>
      <c r="M67" s="1">
        <v>0.10980392156862745</v>
      </c>
      <c r="N67" s="1">
        <v>0.10196078431372549</v>
      </c>
      <c r="O67" s="1">
        <v>0.10980392156862745</v>
      </c>
      <c r="P67" s="1">
        <v>0.11372549019607843</v>
      </c>
      <c r="Q67" s="1">
        <v>0.10980392156862745</v>
      </c>
      <c r="R67" s="1">
        <v>0.10980392156862745</v>
      </c>
      <c r="S67" s="1">
        <v>0.12156862745098039</v>
      </c>
      <c r="T67" s="1">
        <v>0.10196078431372549</v>
      </c>
      <c r="U67" s="1">
        <v>0.10980392156862745</v>
      </c>
      <c r="V67" s="1">
        <v>0.10980392156862745</v>
      </c>
      <c r="W67" s="1">
        <v>0.11764705882352941</v>
      </c>
      <c r="X67" s="1">
        <v>0.10980392156862745</v>
      </c>
      <c r="Y67" s="1">
        <v>0.10980392156862745</v>
      </c>
      <c r="Z67" s="1">
        <v>0.10588235294117647</v>
      </c>
      <c r="AA67" s="1">
        <v>0.11764705882352941</v>
      </c>
      <c r="AB67" s="1">
        <v>0.10980392156862745</v>
      </c>
      <c r="AC67" s="1">
        <v>0.10196078431372549</v>
      </c>
      <c r="AD67" s="1">
        <v>0.10980392156862745</v>
      </c>
      <c r="AE67" s="1">
        <v>0.10980392156862745</v>
      </c>
      <c r="AF67" s="1">
        <v>0.10980392156862745</v>
      </c>
      <c r="AG67" s="1">
        <v>0.10980392156862745</v>
      </c>
    </row>
    <row r="68" spans="1:33">
      <c r="A68" s="16">
        <f>A67+Calculations!$B$4</f>
        <v>67.599999999999994</v>
      </c>
      <c r="B68" s="1">
        <v>0.10196078431372549</v>
      </c>
      <c r="C68" s="1">
        <v>0.10980392156862745</v>
      </c>
      <c r="D68" s="1">
        <v>0.10980392156862745</v>
      </c>
      <c r="E68" s="1">
        <v>0.10980392156862745</v>
      </c>
      <c r="F68" s="1">
        <v>0.10588235294117647</v>
      </c>
      <c r="G68" s="1">
        <v>0.10980392156862745</v>
      </c>
      <c r="H68" s="1">
        <v>0.10196078431372549</v>
      </c>
      <c r="I68" s="1">
        <v>0.10980392156862745</v>
      </c>
      <c r="J68" s="1">
        <v>0.10980392156862745</v>
      </c>
      <c r="K68" s="1">
        <v>0.11372549019607843</v>
      </c>
      <c r="L68" s="1">
        <v>0.10980392156862745</v>
      </c>
      <c r="M68" s="1">
        <v>0.10980392156862745</v>
      </c>
      <c r="N68" s="1">
        <v>0.10980392156862745</v>
      </c>
      <c r="O68" s="1">
        <v>0.10980392156862745</v>
      </c>
      <c r="P68" s="1">
        <v>0.10980392156862745</v>
      </c>
      <c r="Q68" s="1">
        <v>0.10980392156862745</v>
      </c>
      <c r="R68" s="1">
        <v>0.11764705882352941</v>
      </c>
      <c r="S68" s="1">
        <v>0.10980392156862745</v>
      </c>
      <c r="T68" s="1">
        <v>0.10588235294117647</v>
      </c>
      <c r="U68" s="1">
        <v>0.10980392156862745</v>
      </c>
      <c r="V68" s="1">
        <v>0.10980392156862745</v>
      </c>
      <c r="W68" s="1">
        <v>0.10980392156862745</v>
      </c>
      <c r="X68" s="1">
        <v>0.10980392156862745</v>
      </c>
      <c r="Y68" s="1">
        <v>0.10980392156862745</v>
      </c>
      <c r="Z68" s="1">
        <v>0.10588235294117647</v>
      </c>
      <c r="AA68" s="1">
        <v>0.11764705882352941</v>
      </c>
      <c r="AB68" s="1">
        <v>0.10588235294117647</v>
      </c>
      <c r="AC68" s="1">
        <v>0.10588235294117647</v>
      </c>
      <c r="AD68" s="1">
        <v>0.11372549019607843</v>
      </c>
      <c r="AE68" s="1">
        <v>0.10196078431372549</v>
      </c>
      <c r="AF68" s="1">
        <v>0.10980392156862745</v>
      </c>
      <c r="AG68" s="1">
        <v>0.11372549019607843</v>
      </c>
    </row>
    <row r="69" spans="1:33">
      <c r="A69" s="16">
        <f>A68+Calculations!$B$4</f>
        <v>68.599999999999994</v>
      </c>
      <c r="B69" s="1">
        <v>0.10196078431372549</v>
      </c>
      <c r="C69" s="1">
        <v>0.10980392156862745</v>
      </c>
      <c r="D69" s="1">
        <v>0.10980392156862745</v>
      </c>
      <c r="E69" s="1">
        <v>0.10980392156862745</v>
      </c>
      <c r="F69" s="1">
        <v>0.10196078431372549</v>
      </c>
      <c r="G69" s="1">
        <v>0.10196078431372549</v>
      </c>
      <c r="H69" s="1">
        <v>0.10196078431372549</v>
      </c>
      <c r="I69" s="1">
        <v>0.10980392156862745</v>
      </c>
      <c r="J69" s="1">
        <v>0.10980392156862745</v>
      </c>
      <c r="K69" s="1">
        <v>0.10980392156862745</v>
      </c>
      <c r="L69" s="1">
        <v>0.10980392156862745</v>
      </c>
      <c r="M69" s="1">
        <v>0.10980392156862745</v>
      </c>
      <c r="N69" s="1">
        <v>0.10980392156862745</v>
      </c>
      <c r="O69" s="1">
        <v>0.10980392156862745</v>
      </c>
      <c r="P69" s="1">
        <v>0.10980392156862745</v>
      </c>
      <c r="Q69" s="1">
        <v>0.10980392156862745</v>
      </c>
      <c r="R69" s="1">
        <v>0.11764705882352941</v>
      </c>
      <c r="S69" s="1">
        <v>0.10980392156862745</v>
      </c>
      <c r="T69" s="1">
        <v>0.10196078431372549</v>
      </c>
      <c r="U69" s="1">
        <v>0.10196078431372549</v>
      </c>
      <c r="V69" s="1">
        <v>0.10980392156862745</v>
      </c>
      <c r="W69" s="1">
        <v>0.11372549019607843</v>
      </c>
      <c r="X69" s="1">
        <v>0.10588235294117647</v>
      </c>
      <c r="Y69" s="1">
        <v>0.10980392156862745</v>
      </c>
      <c r="Z69" s="1">
        <v>0.10980392156862745</v>
      </c>
      <c r="AA69" s="1">
        <v>0.11372549019607843</v>
      </c>
      <c r="AB69" s="1">
        <v>0.10980392156862745</v>
      </c>
      <c r="AC69" s="1">
        <v>0.10980392156862745</v>
      </c>
      <c r="AD69" s="1">
        <v>0.10588235294117647</v>
      </c>
      <c r="AE69" s="1">
        <v>0.10980392156862745</v>
      </c>
      <c r="AF69" s="1">
        <v>0.10588235294117647</v>
      </c>
      <c r="AG69" s="1">
        <v>0.10588235294117647</v>
      </c>
    </row>
    <row r="70" spans="1:33">
      <c r="A70" s="16">
        <f>A69+Calculations!$B$4</f>
        <v>69.599999999999994</v>
      </c>
      <c r="B70" s="1">
        <v>0.10588235294117647</v>
      </c>
      <c r="C70" s="1">
        <v>0.10588235294117647</v>
      </c>
      <c r="D70" s="1">
        <v>0.10588235294117647</v>
      </c>
      <c r="E70" s="1">
        <v>0.10588235294117647</v>
      </c>
      <c r="F70" s="1">
        <v>0.10196078431372549</v>
      </c>
      <c r="G70" s="1">
        <v>0.10588235294117647</v>
      </c>
      <c r="H70" s="1">
        <v>0.10588235294117647</v>
      </c>
      <c r="I70" s="1">
        <v>0.10980392156862745</v>
      </c>
      <c r="J70" s="1">
        <v>0.10980392156862745</v>
      </c>
      <c r="K70" s="1">
        <v>0.10588235294117647</v>
      </c>
      <c r="L70" s="1">
        <v>0.10980392156862745</v>
      </c>
      <c r="M70" s="1">
        <v>0.11764705882352941</v>
      </c>
      <c r="N70" s="1">
        <v>0.10980392156862745</v>
      </c>
      <c r="O70" s="1">
        <v>0.10980392156862745</v>
      </c>
      <c r="P70" s="1">
        <v>0.10588235294117647</v>
      </c>
      <c r="Q70" s="1">
        <v>0.10980392156862745</v>
      </c>
      <c r="R70" s="1">
        <v>0.11372549019607843</v>
      </c>
      <c r="S70" s="1">
        <v>0.11372549019607843</v>
      </c>
      <c r="T70" s="1">
        <v>0.10980392156862745</v>
      </c>
      <c r="U70" s="1">
        <v>0.10196078431372549</v>
      </c>
      <c r="V70" s="1">
        <v>0.10980392156862745</v>
      </c>
      <c r="W70" s="1">
        <v>0.11372549019607843</v>
      </c>
      <c r="X70" s="1">
        <v>0.10980392156862745</v>
      </c>
      <c r="Y70" s="1">
        <v>0.10980392156862745</v>
      </c>
      <c r="Z70" s="1">
        <v>0.10588235294117647</v>
      </c>
      <c r="AA70" s="1">
        <v>0.10980392156862745</v>
      </c>
      <c r="AB70" s="1">
        <v>0.10980392156862745</v>
      </c>
      <c r="AC70" s="1">
        <v>0.10196078431372549</v>
      </c>
      <c r="AD70" s="1">
        <v>0.10588235294117647</v>
      </c>
      <c r="AE70" s="1">
        <v>0.10980392156862745</v>
      </c>
      <c r="AF70" s="1">
        <v>0.10980392156862745</v>
      </c>
      <c r="AG70" s="1">
        <v>0.10980392156862745</v>
      </c>
    </row>
    <row r="71" spans="1:33">
      <c r="A71" s="16">
        <f>A70+Calculations!$B$4</f>
        <v>70.599999999999994</v>
      </c>
      <c r="B71" s="1">
        <v>0.10588235294117647</v>
      </c>
      <c r="C71" s="1">
        <v>0.10588235294117647</v>
      </c>
      <c r="D71" s="1">
        <v>0.10196078431372549</v>
      </c>
      <c r="E71" s="1">
        <v>0.10980392156862745</v>
      </c>
      <c r="F71" s="1">
        <v>9.8039215686274508E-2</v>
      </c>
      <c r="G71" s="1">
        <v>0.10588235294117647</v>
      </c>
      <c r="H71" s="1">
        <v>0.10196078431372549</v>
      </c>
      <c r="I71" s="1">
        <v>0.10980392156862745</v>
      </c>
      <c r="J71" s="1">
        <v>0.10980392156862745</v>
      </c>
      <c r="K71" s="1">
        <v>0.10196078431372549</v>
      </c>
      <c r="L71" s="1">
        <v>0.10980392156862745</v>
      </c>
      <c r="M71" s="1">
        <v>0.10588235294117647</v>
      </c>
      <c r="N71" s="1">
        <v>0.10980392156862745</v>
      </c>
      <c r="O71" s="1">
        <v>0.11372549019607843</v>
      </c>
      <c r="P71" s="1">
        <v>0.10980392156862745</v>
      </c>
      <c r="Q71" s="1">
        <v>0.10980392156862745</v>
      </c>
      <c r="R71" s="1">
        <v>0.10980392156862745</v>
      </c>
      <c r="S71" s="1">
        <v>0.10980392156862745</v>
      </c>
      <c r="T71" s="1">
        <v>0.10196078431372549</v>
      </c>
      <c r="U71" s="1">
        <v>0.10196078431372549</v>
      </c>
      <c r="V71" s="1">
        <v>0.10980392156862745</v>
      </c>
      <c r="W71" s="1">
        <v>0.10980392156862745</v>
      </c>
      <c r="X71" s="1">
        <v>0.10980392156862745</v>
      </c>
      <c r="Y71" s="1">
        <v>0.10196078431372549</v>
      </c>
      <c r="Z71" s="1">
        <v>0.10196078431372549</v>
      </c>
      <c r="AA71" s="1">
        <v>0.10980392156862745</v>
      </c>
      <c r="AB71" s="1">
        <v>0.10588235294117647</v>
      </c>
      <c r="AC71" s="1">
        <v>0.10196078431372549</v>
      </c>
      <c r="AD71" s="1">
        <v>0.10196078431372549</v>
      </c>
      <c r="AE71" s="1">
        <v>0.10196078431372549</v>
      </c>
      <c r="AF71" s="1">
        <v>0.10588235294117647</v>
      </c>
      <c r="AG71" s="1">
        <v>0.10196078431372549</v>
      </c>
    </row>
    <row r="72" spans="1:33">
      <c r="A72" s="16">
        <f>A71+Calculations!$B$4</f>
        <v>71.599999999999994</v>
      </c>
      <c r="B72" s="1">
        <v>0.10196078431372549</v>
      </c>
      <c r="C72" s="1">
        <v>0.10196078431372549</v>
      </c>
      <c r="D72" s="1">
        <v>0.10196078431372549</v>
      </c>
      <c r="E72" s="1">
        <v>0.10588235294117647</v>
      </c>
      <c r="F72" s="1">
        <v>0.10196078431372549</v>
      </c>
      <c r="G72" s="1">
        <v>0.10196078431372549</v>
      </c>
      <c r="H72" s="1">
        <v>0.10196078431372549</v>
      </c>
      <c r="I72" s="1">
        <v>0.10980392156862745</v>
      </c>
      <c r="J72" s="1">
        <v>0.10196078431372549</v>
      </c>
      <c r="K72" s="1">
        <v>0.10196078431372549</v>
      </c>
      <c r="L72" s="1">
        <v>0.10980392156862745</v>
      </c>
      <c r="M72" s="1">
        <v>0.10196078431372549</v>
      </c>
      <c r="N72" s="1">
        <v>0.10196078431372549</v>
      </c>
      <c r="O72" s="1">
        <v>0.11764705882352941</v>
      </c>
      <c r="P72" s="1">
        <v>0.10980392156862745</v>
      </c>
      <c r="Q72" s="1">
        <v>0.10980392156862745</v>
      </c>
      <c r="R72" s="1">
        <v>0.10980392156862745</v>
      </c>
      <c r="S72" s="1">
        <v>0.10980392156862745</v>
      </c>
      <c r="T72" s="1">
        <v>0.10196078431372549</v>
      </c>
      <c r="U72" s="1">
        <v>9.8039215686274508E-2</v>
      </c>
      <c r="V72" s="1">
        <v>0.10196078431372549</v>
      </c>
      <c r="W72" s="1">
        <v>0.10588235294117647</v>
      </c>
      <c r="X72" s="1">
        <v>0.10980392156862745</v>
      </c>
      <c r="Y72" s="1">
        <v>0.10196078431372549</v>
      </c>
      <c r="Z72" s="1">
        <v>0.10196078431372549</v>
      </c>
      <c r="AA72" s="1">
        <v>0.10980392156862745</v>
      </c>
      <c r="AB72" s="1">
        <v>0.10196078431372549</v>
      </c>
      <c r="AC72" s="1">
        <v>0.10588235294117647</v>
      </c>
      <c r="AD72" s="1">
        <v>0.10196078431372549</v>
      </c>
      <c r="AE72" s="1">
        <v>0.10196078431372549</v>
      </c>
      <c r="AF72" s="1">
        <v>0.10588235294117647</v>
      </c>
      <c r="AG72" s="1">
        <v>0.10196078431372549</v>
      </c>
    </row>
    <row r="73" spans="1:33">
      <c r="A73" s="16">
        <f>A72+Calculations!$B$4</f>
        <v>72.599999999999994</v>
      </c>
      <c r="B73" s="1">
        <v>0.10980392156862745</v>
      </c>
      <c r="C73" s="1">
        <v>0.10196078431372549</v>
      </c>
      <c r="D73" s="1">
        <v>0.10196078431372549</v>
      </c>
      <c r="E73" s="1">
        <v>0.10196078431372549</v>
      </c>
      <c r="F73" s="1">
        <v>9.4117647058823528E-2</v>
      </c>
      <c r="G73" s="1">
        <v>9.8039215686274508E-2</v>
      </c>
      <c r="H73" s="1">
        <v>0.10196078431372549</v>
      </c>
      <c r="I73" s="1">
        <v>0.10196078431372549</v>
      </c>
      <c r="J73" s="1">
        <v>0.10196078431372549</v>
      </c>
      <c r="K73" s="1">
        <v>0.10588235294117647</v>
      </c>
      <c r="L73" s="1">
        <v>0.10588235294117647</v>
      </c>
      <c r="M73" s="1">
        <v>0.10196078431372549</v>
      </c>
      <c r="N73" s="1">
        <v>0.10196078431372549</v>
      </c>
      <c r="O73" s="1">
        <v>0.10980392156862745</v>
      </c>
      <c r="P73" s="1">
        <v>0.10980392156862745</v>
      </c>
      <c r="Q73" s="1">
        <v>0.10980392156862745</v>
      </c>
      <c r="R73" s="1">
        <v>0.10980392156862745</v>
      </c>
      <c r="S73" s="1">
        <v>0.10980392156862745</v>
      </c>
      <c r="T73" s="1">
        <v>0.10980392156862745</v>
      </c>
      <c r="U73" s="1">
        <v>0.10196078431372549</v>
      </c>
      <c r="V73" s="1">
        <v>0.10980392156862745</v>
      </c>
      <c r="W73" s="1">
        <v>0.11372549019607843</v>
      </c>
      <c r="X73" s="1">
        <v>0.10196078431372549</v>
      </c>
      <c r="Y73" s="1">
        <v>0.10196078431372549</v>
      </c>
      <c r="Z73" s="1">
        <v>0.10196078431372549</v>
      </c>
      <c r="AA73" s="1">
        <v>0.10980392156862745</v>
      </c>
      <c r="AB73" s="1">
        <v>0.10588235294117647</v>
      </c>
      <c r="AC73" s="1">
        <v>0.10196078431372549</v>
      </c>
      <c r="AD73" s="1">
        <v>0.10588235294117647</v>
      </c>
      <c r="AE73" s="1">
        <v>0.10196078431372549</v>
      </c>
      <c r="AF73" s="1">
        <v>0.10196078431372549</v>
      </c>
      <c r="AG73" s="1">
        <v>0.10196078431372549</v>
      </c>
    </row>
    <row r="74" spans="1:33">
      <c r="A74" s="16">
        <f>A73+Calculations!$B$4</f>
        <v>73.599999999999994</v>
      </c>
      <c r="B74" s="1">
        <v>0.10588235294117647</v>
      </c>
      <c r="C74" s="1">
        <v>0.10196078431372549</v>
      </c>
      <c r="D74" s="1">
        <v>9.8039215686274508E-2</v>
      </c>
      <c r="E74" s="1">
        <v>0.10588235294117647</v>
      </c>
      <c r="F74" s="1">
        <v>0.10196078431372549</v>
      </c>
      <c r="G74" s="1">
        <v>9.4117647058823528E-2</v>
      </c>
      <c r="H74" s="1">
        <v>9.4117647058823528E-2</v>
      </c>
      <c r="I74" s="1">
        <v>0.10980392156862745</v>
      </c>
      <c r="J74" s="1">
        <v>9.4117647058823528E-2</v>
      </c>
      <c r="K74" s="1">
        <v>0.10196078431372549</v>
      </c>
      <c r="L74" s="1">
        <v>0.10588235294117647</v>
      </c>
      <c r="M74" s="1">
        <v>0.10196078431372549</v>
      </c>
      <c r="N74" s="1">
        <v>0.10980392156862745</v>
      </c>
      <c r="O74" s="1">
        <v>0.10980392156862745</v>
      </c>
      <c r="P74" s="1">
        <v>0.10196078431372549</v>
      </c>
      <c r="Q74" s="1">
        <v>0.11372549019607843</v>
      </c>
      <c r="R74" s="1">
        <v>0.10980392156862745</v>
      </c>
      <c r="S74" s="1">
        <v>0.11372549019607843</v>
      </c>
      <c r="T74" s="1">
        <v>0.10196078431372549</v>
      </c>
      <c r="U74" s="1">
        <v>0.10196078431372549</v>
      </c>
      <c r="V74" s="1">
        <v>0.10588235294117647</v>
      </c>
      <c r="W74" s="1">
        <v>0.10980392156862745</v>
      </c>
      <c r="X74" s="1">
        <v>9.4117647058823528E-2</v>
      </c>
      <c r="Y74" s="1">
        <v>0.10196078431372549</v>
      </c>
      <c r="Z74" s="1">
        <v>0.10196078431372549</v>
      </c>
      <c r="AA74" s="1">
        <v>0.10588235294117647</v>
      </c>
      <c r="AB74" s="1">
        <v>0.10196078431372549</v>
      </c>
      <c r="AC74" s="1">
        <v>0.10196078431372549</v>
      </c>
      <c r="AD74" s="1">
        <v>0.10196078431372549</v>
      </c>
      <c r="AE74" s="1">
        <v>0.10196078431372549</v>
      </c>
      <c r="AF74" s="1">
        <v>0.10196078431372549</v>
      </c>
      <c r="AG74" s="1">
        <v>0.10588235294117647</v>
      </c>
    </row>
    <row r="75" spans="1:33">
      <c r="A75" s="16">
        <f>A74+Calculations!$B$4</f>
        <v>74.599999999999994</v>
      </c>
      <c r="B75" s="1">
        <v>0.10196078431372549</v>
      </c>
      <c r="C75" s="1">
        <v>0.10588235294117647</v>
      </c>
      <c r="D75" s="1">
        <v>9.8039215686274508E-2</v>
      </c>
      <c r="E75" s="1">
        <v>9.8039215686274508E-2</v>
      </c>
      <c r="F75" s="1">
        <v>0.10196078431372549</v>
      </c>
      <c r="G75" s="1">
        <v>9.8039215686274508E-2</v>
      </c>
      <c r="H75" s="1">
        <v>9.4117647058823528E-2</v>
      </c>
      <c r="I75" s="1">
        <v>0.10980392156862745</v>
      </c>
      <c r="J75" s="1">
        <v>9.4117647058823528E-2</v>
      </c>
      <c r="K75" s="1">
        <v>9.4117647058823528E-2</v>
      </c>
      <c r="L75" s="1">
        <v>0.10196078431372549</v>
      </c>
      <c r="M75" s="1">
        <v>9.8039215686274508E-2</v>
      </c>
      <c r="N75" s="1">
        <v>0.10196078431372549</v>
      </c>
      <c r="O75" s="1">
        <v>0.10980392156862745</v>
      </c>
      <c r="P75" s="1">
        <v>0.10196078431372549</v>
      </c>
      <c r="Q75" s="1">
        <v>0.10980392156862745</v>
      </c>
      <c r="R75" s="1">
        <v>0.10588235294117647</v>
      </c>
      <c r="S75" s="1">
        <v>0.10980392156862745</v>
      </c>
      <c r="T75" s="1">
        <v>0.10980392156862745</v>
      </c>
      <c r="U75" s="1">
        <v>0.10196078431372549</v>
      </c>
      <c r="V75" s="1">
        <v>0.10196078431372549</v>
      </c>
      <c r="W75" s="1">
        <v>0.10588235294117647</v>
      </c>
      <c r="X75" s="1">
        <v>9.8039215686274508E-2</v>
      </c>
      <c r="Y75" s="1">
        <v>0.10980392156862745</v>
      </c>
      <c r="Z75" s="1">
        <v>0.10980392156862745</v>
      </c>
      <c r="AA75" s="1">
        <v>0.10980392156862745</v>
      </c>
      <c r="AB75" s="1">
        <v>0.10196078431372549</v>
      </c>
      <c r="AC75" s="1">
        <v>0.10980392156862745</v>
      </c>
      <c r="AD75" s="1">
        <v>0.10196078431372549</v>
      </c>
      <c r="AE75" s="1">
        <v>0.10980392156862745</v>
      </c>
      <c r="AF75" s="1">
        <v>0.10588235294117647</v>
      </c>
      <c r="AG75" s="1">
        <v>0.10980392156862745</v>
      </c>
    </row>
    <row r="76" spans="1:33">
      <c r="A76" s="16">
        <f>A75+Calculations!$B$4</f>
        <v>75.599999999999994</v>
      </c>
      <c r="B76" s="1">
        <v>0.10588235294117647</v>
      </c>
      <c r="C76" s="1">
        <v>0.10196078431372549</v>
      </c>
      <c r="D76" s="1">
        <v>9.4117647058823528E-2</v>
      </c>
      <c r="E76" s="1">
        <v>9.8039215686274508E-2</v>
      </c>
      <c r="F76" s="1">
        <v>9.8039215686274508E-2</v>
      </c>
      <c r="G76" s="1">
        <v>9.4117647058823528E-2</v>
      </c>
      <c r="H76" s="1">
        <v>9.4117647058823528E-2</v>
      </c>
      <c r="I76" s="1">
        <v>0.10588235294117647</v>
      </c>
      <c r="J76" s="1">
        <v>9.4117647058823528E-2</v>
      </c>
      <c r="K76" s="1">
        <v>0.10196078431372549</v>
      </c>
      <c r="L76" s="1">
        <v>0.10196078431372549</v>
      </c>
      <c r="M76" s="1">
        <v>9.4117647058823528E-2</v>
      </c>
      <c r="N76" s="1">
        <v>0.10196078431372549</v>
      </c>
      <c r="O76" s="1">
        <v>0.10196078431372549</v>
      </c>
      <c r="P76" s="1">
        <v>0.10196078431372549</v>
      </c>
      <c r="Q76" s="1">
        <v>0.10196078431372549</v>
      </c>
      <c r="R76" s="1">
        <v>0.10196078431372549</v>
      </c>
      <c r="S76" s="1">
        <v>0.10980392156862745</v>
      </c>
      <c r="T76" s="1">
        <v>0.10588235294117647</v>
      </c>
      <c r="U76" s="1">
        <v>9.4117647058823528E-2</v>
      </c>
      <c r="V76" s="1">
        <v>0.10196078431372549</v>
      </c>
      <c r="W76" s="1">
        <v>0.10980392156862745</v>
      </c>
      <c r="X76" s="1">
        <v>0.10588235294117647</v>
      </c>
      <c r="Y76" s="1">
        <v>0.10980392156862745</v>
      </c>
      <c r="Z76" s="1">
        <v>0.10196078431372549</v>
      </c>
      <c r="AA76" s="1">
        <v>0.10980392156862745</v>
      </c>
      <c r="AB76" s="1">
        <v>0.10196078431372549</v>
      </c>
      <c r="AC76" s="1">
        <v>0.10196078431372549</v>
      </c>
      <c r="AD76" s="1">
        <v>0.10196078431372549</v>
      </c>
      <c r="AE76" s="1">
        <v>9.8039215686274508E-2</v>
      </c>
      <c r="AF76" s="1">
        <v>0.10196078431372549</v>
      </c>
      <c r="AG76" s="1">
        <v>0.10196078431372549</v>
      </c>
    </row>
    <row r="77" spans="1:33">
      <c r="A77" s="16">
        <f>A76+Calculations!$B$4</f>
        <v>76.599999999999994</v>
      </c>
      <c r="B77" s="1">
        <v>0.10588235294117647</v>
      </c>
      <c r="C77" s="1">
        <v>0.10196078431372549</v>
      </c>
      <c r="D77" s="1">
        <v>9.8039215686274508E-2</v>
      </c>
      <c r="E77" s="1">
        <v>0.10196078431372549</v>
      </c>
      <c r="F77" s="1">
        <v>9.8039215686274508E-2</v>
      </c>
      <c r="G77" s="1">
        <v>9.0196078431372548E-2</v>
      </c>
      <c r="H77" s="1">
        <v>9.4117647058823528E-2</v>
      </c>
      <c r="I77" s="1">
        <v>0.10196078431372549</v>
      </c>
      <c r="J77" s="1">
        <v>9.8039215686274508E-2</v>
      </c>
      <c r="K77" s="1">
        <v>9.4117647058823528E-2</v>
      </c>
      <c r="L77" s="1">
        <v>0.10196078431372549</v>
      </c>
      <c r="M77" s="1">
        <v>0.10196078431372549</v>
      </c>
      <c r="N77" s="1">
        <v>0.10196078431372549</v>
      </c>
      <c r="O77" s="1">
        <v>0.10196078431372549</v>
      </c>
      <c r="P77" s="1">
        <v>0.10196078431372549</v>
      </c>
      <c r="Q77" s="1">
        <v>0.10196078431372549</v>
      </c>
      <c r="R77" s="1">
        <v>0.10196078431372549</v>
      </c>
      <c r="S77" s="1">
        <v>0.10980392156862745</v>
      </c>
      <c r="T77" s="1">
        <v>0.10196078431372549</v>
      </c>
      <c r="U77" s="1">
        <v>9.4117647058823528E-2</v>
      </c>
      <c r="V77" s="1">
        <v>9.8039215686274508E-2</v>
      </c>
      <c r="W77" s="1">
        <v>0.10588235294117647</v>
      </c>
      <c r="X77" s="1">
        <v>0.10588235294117647</v>
      </c>
      <c r="Y77" s="1">
        <v>0.10196078431372549</v>
      </c>
      <c r="Z77" s="1">
        <v>0.10196078431372549</v>
      </c>
      <c r="AA77" s="1">
        <v>0.10588235294117647</v>
      </c>
      <c r="AB77" s="1">
        <v>0.10196078431372549</v>
      </c>
      <c r="AC77" s="1">
        <v>0.10196078431372549</v>
      </c>
      <c r="AD77" s="1">
        <v>0.10588235294117647</v>
      </c>
      <c r="AE77" s="1">
        <v>9.4117647058823528E-2</v>
      </c>
      <c r="AF77" s="1">
        <v>9.0196078431372548E-2</v>
      </c>
      <c r="AG77" s="1">
        <v>9.8039215686274508E-2</v>
      </c>
    </row>
    <row r="78" spans="1:33">
      <c r="A78" s="16">
        <f>A77+Calculations!$B$4</f>
        <v>77.599999999999994</v>
      </c>
      <c r="B78" s="1">
        <v>0.10196078431372549</v>
      </c>
      <c r="C78" s="1">
        <v>9.8039215686274508E-2</v>
      </c>
      <c r="D78" s="1">
        <v>9.4117647058823528E-2</v>
      </c>
      <c r="E78" s="1">
        <v>9.4117647058823528E-2</v>
      </c>
      <c r="F78" s="1">
        <v>9.4117647058823528E-2</v>
      </c>
      <c r="G78" s="1">
        <v>9.4117647058823528E-2</v>
      </c>
      <c r="H78" s="1">
        <v>9.4117647058823528E-2</v>
      </c>
      <c r="I78" s="1">
        <v>0.10196078431372549</v>
      </c>
      <c r="J78" s="1">
        <v>9.4117647058823528E-2</v>
      </c>
      <c r="K78" s="1">
        <v>9.4117647058823528E-2</v>
      </c>
      <c r="L78" s="1">
        <v>9.8039215686274508E-2</v>
      </c>
      <c r="M78" s="1">
        <v>0.10196078431372549</v>
      </c>
      <c r="N78" s="1">
        <v>9.8039215686274508E-2</v>
      </c>
      <c r="O78" s="1">
        <v>0.10196078431372549</v>
      </c>
      <c r="P78" s="1">
        <v>9.4117647058823528E-2</v>
      </c>
      <c r="Q78" s="1">
        <v>9.8039215686274508E-2</v>
      </c>
      <c r="R78" s="1">
        <v>0.10196078431372549</v>
      </c>
      <c r="S78" s="1">
        <v>0.10980392156862745</v>
      </c>
      <c r="T78" s="1">
        <v>0.10196078431372549</v>
      </c>
      <c r="U78" s="1">
        <v>0.10588235294117647</v>
      </c>
      <c r="V78" s="1">
        <v>0.10196078431372549</v>
      </c>
      <c r="W78" s="1">
        <v>0.10196078431372549</v>
      </c>
      <c r="X78" s="1">
        <v>0.10980392156862745</v>
      </c>
      <c r="Y78" s="1">
        <v>0.10196078431372549</v>
      </c>
      <c r="Z78" s="1">
        <v>0.10196078431372549</v>
      </c>
      <c r="AA78" s="1">
        <v>0.10588235294117647</v>
      </c>
      <c r="AB78" s="1">
        <v>0.10196078431372549</v>
      </c>
      <c r="AC78" s="1">
        <v>0.10196078431372549</v>
      </c>
      <c r="AD78" s="1">
        <v>0.10196078431372549</v>
      </c>
      <c r="AE78" s="1">
        <v>0.10196078431372549</v>
      </c>
      <c r="AF78" s="1">
        <v>9.0196078431372548E-2</v>
      </c>
      <c r="AG78" s="1">
        <v>9.4117647058823528E-2</v>
      </c>
    </row>
    <row r="79" spans="1:33">
      <c r="A79" s="16">
        <f>A78+Calculations!$B$4</f>
        <v>78.599999999999994</v>
      </c>
      <c r="B79" s="1">
        <v>9.4117647058823528E-2</v>
      </c>
      <c r="C79" s="1">
        <v>9.4117647058823528E-2</v>
      </c>
      <c r="D79" s="1">
        <v>9.4117647058823528E-2</v>
      </c>
      <c r="E79" s="1">
        <v>9.8039215686274508E-2</v>
      </c>
      <c r="F79" s="1">
        <v>9.4117647058823528E-2</v>
      </c>
      <c r="G79" s="1">
        <v>8.6274509803921567E-2</v>
      </c>
      <c r="H79" s="1">
        <v>9.0196078431372548E-2</v>
      </c>
      <c r="I79" s="1">
        <v>0.10196078431372549</v>
      </c>
      <c r="J79" s="1">
        <v>9.4117647058823528E-2</v>
      </c>
      <c r="K79" s="1">
        <v>9.8039215686274508E-2</v>
      </c>
      <c r="L79" s="1">
        <v>9.4117647058823528E-2</v>
      </c>
      <c r="M79" s="1">
        <v>9.4117647058823528E-2</v>
      </c>
      <c r="N79" s="1">
        <v>0.10196078431372549</v>
      </c>
      <c r="O79" s="1">
        <v>0.10196078431372549</v>
      </c>
      <c r="P79" s="1">
        <v>9.4117647058823528E-2</v>
      </c>
      <c r="Q79" s="1">
        <v>0.10196078431372549</v>
      </c>
      <c r="R79" s="1">
        <v>0.10196078431372549</v>
      </c>
      <c r="S79" s="1">
        <v>0.10196078431372549</v>
      </c>
      <c r="T79" s="1">
        <v>0.10196078431372549</v>
      </c>
      <c r="U79" s="1">
        <v>0.10196078431372549</v>
      </c>
      <c r="V79" s="1">
        <v>0.10196078431372549</v>
      </c>
      <c r="W79" s="1">
        <v>9.8039215686274508E-2</v>
      </c>
      <c r="X79" s="1">
        <v>0.10196078431372549</v>
      </c>
      <c r="Y79" s="1">
        <v>0.10196078431372549</v>
      </c>
      <c r="Z79" s="1">
        <v>0.10196078431372549</v>
      </c>
      <c r="AA79" s="1">
        <v>0.10980392156862745</v>
      </c>
      <c r="AB79" s="1">
        <v>0.10196078431372549</v>
      </c>
      <c r="AC79" s="1">
        <v>0.10196078431372549</v>
      </c>
      <c r="AD79" s="1">
        <v>0.10980392156862745</v>
      </c>
      <c r="AE79" s="1">
        <v>9.8039215686274508E-2</v>
      </c>
      <c r="AF79" s="1">
        <v>9.4117647058823528E-2</v>
      </c>
      <c r="AG79" s="1">
        <v>9.8039215686274508E-2</v>
      </c>
    </row>
    <row r="80" spans="1:33">
      <c r="A80" s="16">
        <f>A79+Calculations!$B$4</f>
        <v>79.599999999999994</v>
      </c>
      <c r="B80" s="1">
        <v>9.4117647058823528E-2</v>
      </c>
      <c r="C80" s="1">
        <v>9.4117647058823528E-2</v>
      </c>
      <c r="D80" s="1">
        <v>9.4117647058823528E-2</v>
      </c>
      <c r="E80" s="1">
        <v>9.4117647058823528E-2</v>
      </c>
      <c r="F80" s="1">
        <v>9.4117647058823528E-2</v>
      </c>
      <c r="G80" s="1">
        <v>9.4117647058823528E-2</v>
      </c>
      <c r="H80" s="1">
        <v>9.4117647058823528E-2</v>
      </c>
      <c r="I80" s="1">
        <v>9.8039215686274508E-2</v>
      </c>
      <c r="J80" s="1">
        <v>9.4117647058823528E-2</v>
      </c>
      <c r="K80" s="1">
        <v>9.4117647058823528E-2</v>
      </c>
      <c r="L80" s="1">
        <v>9.4117647058823528E-2</v>
      </c>
      <c r="M80" s="1">
        <v>9.4117647058823528E-2</v>
      </c>
      <c r="N80" s="1">
        <v>0.10196078431372549</v>
      </c>
      <c r="O80" s="1">
        <v>0.10588235294117647</v>
      </c>
      <c r="P80" s="1">
        <v>9.4117647058823528E-2</v>
      </c>
      <c r="Q80" s="1">
        <v>0.10196078431372549</v>
      </c>
      <c r="R80" s="1">
        <v>0.10196078431372549</v>
      </c>
      <c r="S80" s="1">
        <v>0.10196078431372549</v>
      </c>
      <c r="T80" s="1">
        <v>0.10588235294117647</v>
      </c>
      <c r="U80" s="1">
        <v>0.10196078431372549</v>
      </c>
      <c r="V80" s="1">
        <v>9.8039215686274508E-2</v>
      </c>
      <c r="W80" s="1">
        <v>0.10196078431372549</v>
      </c>
      <c r="X80" s="1">
        <v>0.10588235294117647</v>
      </c>
      <c r="Y80" s="1">
        <v>0.10196078431372549</v>
      </c>
      <c r="Z80" s="1">
        <v>9.4117647058823528E-2</v>
      </c>
      <c r="AA80" s="1">
        <v>0.10588235294117647</v>
      </c>
      <c r="AB80" s="1">
        <v>0.10588235294117647</v>
      </c>
      <c r="AC80" s="1">
        <v>0.10196078431372549</v>
      </c>
      <c r="AD80" s="1">
        <v>0.10588235294117647</v>
      </c>
      <c r="AE80" s="1">
        <v>0.10196078431372549</v>
      </c>
      <c r="AF80" s="1">
        <v>8.6274509803921567E-2</v>
      </c>
      <c r="AG80" s="1">
        <v>9.4117647058823528E-2</v>
      </c>
    </row>
    <row r="81" spans="1:33">
      <c r="A81" s="16">
        <f>A80+Calculations!$B$4</f>
        <v>80.599999999999994</v>
      </c>
      <c r="B81" s="1">
        <v>9.4117647058823528E-2</v>
      </c>
      <c r="C81" s="1">
        <v>9.4117647058823528E-2</v>
      </c>
      <c r="D81" s="1">
        <v>9.4117647058823528E-2</v>
      </c>
      <c r="E81" s="1">
        <v>9.4117647058823528E-2</v>
      </c>
      <c r="F81" s="1">
        <v>9.4117647058823528E-2</v>
      </c>
      <c r="G81" s="1">
        <v>9.4117647058823528E-2</v>
      </c>
      <c r="H81" s="1">
        <v>8.6274509803921567E-2</v>
      </c>
      <c r="I81" s="1">
        <v>9.8039215686274508E-2</v>
      </c>
      <c r="J81" s="1">
        <v>9.4117647058823528E-2</v>
      </c>
      <c r="K81" s="1">
        <v>9.4117647058823528E-2</v>
      </c>
      <c r="L81" s="1">
        <v>9.4117647058823528E-2</v>
      </c>
      <c r="M81" s="1">
        <v>9.4117647058823528E-2</v>
      </c>
      <c r="N81" s="1">
        <v>0.10196078431372549</v>
      </c>
      <c r="O81" s="1">
        <v>0.10196078431372549</v>
      </c>
      <c r="P81" s="1">
        <v>9.4117647058823528E-2</v>
      </c>
      <c r="Q81" s="1">
        <v>9.4117647058823528E-2</v>
      </c>
      <c r="R81" s="1">
        <v>0.10196078431372549</v>
      </c>
      <c r="S81" s="1">
        <v>9.4117647058823528E-2</v>
      </c>
      <c r="T81" s="1">
        <v>0.10196078431372549</v>
      </c>
      <c r="U81" s="1">
        <v>9.4117647058823528E-2</v>
      </c>
      <c r="V81" s="1">
        <v>9.8039215686274508E-2</v>
      </c>
      <c r="W81" s="1">
        <v>0.10588235294117647</v>
      </c>
      <c r="X81" s="1">
        <v>0.10196078431372549</v>
      </c>
      <c r="Y81" s="1">
        <v>0.10196078431372549</v>
      </c>
      <c r="Z81" s="1">
        <v>9.4117647058823528E-2</v>
      </c>
      <c r="AA81" s="1">
        <v>0.10196078431372549</v>
      </c>
      <c r="AB81" s="1">
        <v>0.10196078431372549</v>
      </c>
      <c r="AC81" s="1">
        <v>0.10196078431372549</v>
      </c>
      <c r="AD81" s="1">
        <v>9.8039215686274508E-2</v>
      </c>
      <c r="AE81" s="1">
        <v>9.4117647058823528E-2</v>
      </c>
      <c r="AF81" s="1">
        <v>8.6274509803921567E-2</v>
      </c>
      <c r="AG81" s="1">
        <v>9.4117647058823528E-2</v>
      </c>
    </row>
    <row r="82" spans="1:33">
      <c r="A82" s="16">
        <f>A81+Calculations!$B$4</f>
        <v>81.599999999999994</v>
      </c>
      <c r="B82" s="1">
        <v>9.4117647058823528E-2</v>
      </c>
      <c r="C82" s="1">
        <v>9.4117647058823528E-2</v>
      </c>
      <c r="D82" s="1">
        <v>9.4117647058823528E-2</v>
      </c>
      <c r="E82" s="1">
        <v>9.4117647058823528E-2</v>
      </c>
      <c r="F82" s="1">
        <v>9.8039215686274508E-2</v>
      </c>
      <c r="G82" s="1">
        <v>9.4117647058823528E-2</v>
      </c>
      <c r="H82" s="1">
        <v>9.4117647058823528E-2</v>
      </c>
      <c r="I82" s="1">
        <v>9.8039215686274508E-2</v>
      </c>
      <c r="J82" s="1">
        <v>9.4117647058823528E-2</v>
      </c>
      <c r="K82" s="1">
        <v>9.4117647058823528E-2</v>
      </c>
      <c r="L82" s="1">
        <v>9.4117647058823528E-2</v>
      </c>
      <c r="M82" s="1">
        <v>9.4117647058823528E-2</v>
      </c>
      <c r="N82" s="1">
        <v>9.4117647058823528E-2</v>
      </c>
      <c r="O82" s="1">
        <v>9.4117647058823528E-2</v>
      </c>
      <c r="P82" s="1">
        <v>9.4117647058823528E-2</v>
      </c>
      <c r="Q82" s="1">
        <v>9.4117647058823528E-2</v>
      </c>
      <c r="R82" s="1">
        <v>0.10196078431372549</v>
      </c>
      <c r="S82" s="1">
        <v>9.4117647058823528E-2</v>
      </c>
      <c r="T82" s="1">
        <v>9.4117647058823528E-2</v>
      </c>
      <c r="U82" s="1">
        <v>9.4117647058823528E-2</v>
      </c>
      <c r="V82" s="1">
        <v>9.8039215686274508E-2</v>
      </c>
      <c r="W82" s="1">
        <v>0.10196078431372549</v>
      </c>
      <c r="X82" s="1">
        <v>0.10980392156862745</v>
      </c>
      <c r="Y82" s="1">
        <v>0.10196078431372549</v>
      </c>
      <c r="Z82" s="1">
        <v>9.4117647058823528E-2</v>
      </c>
      <c r="AA82" s="1">
        <v>0.10196078431372549</v>
      </c>
      <c r="AB82" s="1">
        <v>0.10196078431372549</v>
      </c>
      <c r="AC82" s="1">
        <v>0.10196078431372549</v>
      </c>
      <c r="AD82" s="1">
        <v>0.10196078431372549</v>
      </c>
      <c r="AE82" s="1">
        <v>9.4117647058823528E-2</v>
      </c>
      <c r="AF82" s="1">
        <v>8.2352941176470587E-2</v>
      </c>
      <c r="AG82" s="1">
        <v>9.4117647058823528E-2</v>
      </c>
    </row>
    <row r="83" spans="1:33">
      <c r="A83" s="34" t="s">
        <v>20</v>
      </c>
      <c r="B83" s="1">
        <v>0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0</v>
      </c>
      <c r="AD83" s="1">
        <v>0</v>
      </c>
      <c r="AE83" s="1">
        <v>0</v>
      </c>
      <c r="AF83" s="1">
        <v>0</v>
      </c>
      <c r="AG83" s="1">
        <v>0</v>
      </c>
    </row>
    <row r="84" spans="1:33">
      <c r="A84" s="16" t="s">
        <v>40</v>
      </c>
      <c r="B84" s="1">
        <v>0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</row>
    <row r="85" spans="1:33">
      <c r="A85" s="16" t="s">
        <v>21</v>
      </c>
      <c r="B85" s="1">
        <v>2.9725490196078432E-2</v>
      </c>
      <c r="C85" s="1">
        <v>2.9803921568627451E-2</v>
      </c>
      <c r="D85" s="1">
        <v>2.9803921568627451E-2</v>
      </c>
      <c r="E85" s="1">
        <v>2.9843137254901963E-2</v>
      </c>
      <c r="F85" s="1">
        <v>2.9803921568627451E-2</v>
      </c>
      <c r="G85" s="1">
        <v>2.9803921568627451E-2</v>
      </c>
      <c r="H85" s="1">
        <v>2.9803921568627451E-2</v>
      </c>
      <c r="I85" s="1">
        <v>2.9803921568627451E-2</v>
      </c>
      <c r="J85" s="1">
        <v>2.9882352941176471E-2</v>
      </c>
      <c r="K85" s="1">
        <v>2.9764705882352943E-2</v>
      </c>
      <c r="L85" s="1">
        <v>2.9803921568627451E-2</v>
      </c>
      <c r="M85" s="1">
        <v>2.9803921568627451E-2</v>
      </c>
      <c r="N85" s="1">
        <v>2.9803921568627451E-2</v>
      </c>
      <c r="O85" s="1">
        <v>2.9803921568627451E-2</v>
      </c>
      <c r="P85" s="1">
        <v>2.9803921568627451E-2</v>
      </c>
      <c r="Q85" s="1">
        <v>2.9803921568627451E-2</v>
      </c>
      <c r="R85" s="1">
        <v>2.9882352941176471E-2</v>
      </c>
      <c r="S85" s="1">
        <v>2.9882352941176471E-2</v>
      </c>
      <c r="T85" s="1">
        <v>2.9882352941176471E-2</v>
      </c>
      <c r="U85" s="1">
        <v>2.9843137254901963E-2</v>
      </c>
      <c r="V85" s="1">
        <v>2.9803921568627451E-2</v>
      </c>
      <c r="W85" s="1">
        <v>2.9882352941176471E-2</v>
      </c>
      <c r="X85" s="1">
        <v>2.9882352941176471E-2</v>
      </c>
      <c r="Y85" s="1">
        <v>2.9882352941176471E-2</v>
      </c>
      <c r="Z85" s="1">
        <v>2.9803921568627451E-2</v>
      </c>
      <c r="AA85" s="1">
        <v>2.9843137254901963E-2</v>
      </c>
      <c r="AB85" s="1">
        <v>2.9882352941176471E-2</v>
      </c>
      <c r="AC85" s="1">
        <v>2.9882352941176471E-2</v>
      </c>
      <c r="AD85" s="1">
        <v>2.9882352941176471E-2</v>
      </c>
      <c r="AE85" s="1">
        <v>2.9843137254901963E-2</v>
      </c>
      <c r="AF85" s="1">
        <v>2.9803921568627451E-2</v>
      </c>
      <c r="AG85" s="1">
        <v>2.9843137254901963E-2</v>
      </c>
    </row>
    <row r="86" spans="1:33">
      <c r="A86" s="16" t="s">
        <v>39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v>0</v>
      </c>
    </row>
    <row r="87" spans="1:33" ht="15.75" thickBot="1">
      <c r="A87" s="16" t="s">
        <v>41</v>
      </c>
      <c r="B87" s="17">
        <v>0</v>
      </c>
      <c r="C87" s="17">
        <v>0</v>
      </c>
      <c r="D87" s="17">
        <v>0</v>
      </c>
      <c r="E87" s="17">
        <v>0</v>
      </c>
      <c r="F87" s="17">
        <v>0</v>
      </c>
      <c r="G87" s="17">
        <v>0</v>
      </c>
      <c r="H87" s="17">
        <v>0</v>
      </c>
      <c r="I87" s="17">
        <v>0</v>
      </c>
      <c r="J87" s="17">
        <v>0</v>
      </c>
      <c r="K87" s="17">
        <v>0</v>
      </c>
      <c r="L87" s="17">
        <v>0</v>
      </c>
      <c r="M87" s="17">
        <v>0</v>
      </c>
      <c r="N87" s="17">
        <v>0</v>
      </c>
      <c r="O87" s="17">
        <v>0</v>
      </c>
      <c r="P87" s="17">
        <v>0</v>
      </c>
      <c r="Q87" s="17">
        <v>0</v>
      </c>
      <c r="R87" s="17">
        <v>0</v>
      </c>
      <c r="S87" s="17">
        <v>0</v>
      </c>
      <c r="T87" s="17">
        <v>0</v>
      </c>
      <c r="U87" s="17">
        <v>0</v>
      </c>
      <c r="V87" s="17">
        <v>0</v>
      </c>
      <c r="W87" s="17">
        <v>0</v>
      </c>
      <c r="X87" s="17">
        <v>0</v>
      </c>
      <c r="Y87" s="17">
        <v>0</v>
      </c>
      <c r="Z87" s="17">
        <v>0</v>
      </c>
      <c r="AA87" s="17">
        <v>0</v>
      </c>
      <c r="AB87" s="17">
        <v>0</v>
      </c>
      <c r="AC87" s="17">
        <v>0</v>
      </c>
      <c r="AD87" s="17">
        <v>0</v>
      </c>
      <c r="AE87" s="17">
        <v>0</v>
      </c>
      <c r="AF87" s="17">
        <v>0</v>
      </c>
      <c r="AG87" s="17">
        <v>0</v>
      </c>
    </row>
    <row r="88" spans="1:33">
      <c r="A88" s="35" t="s">
        <v>44</v>
      </c>
      <c r="B88" s="31" t="str">
        <f>DEC2HEX(B83*128+192,2)</f>
        <v>C0</v>
      </c>
      <c r="C88" s="31" t="str">
        <f t="shared" ref="C88:AG88" si="1">DEC2HEX(C83*128+192,2)</f>
        <v>C0</v>
      </c>
      <c r="D88" s="31" t="str">
        <f t="shared" si="1"/>
        <v>C0</v>
      </c>
      <c r="E88" s="31" t="str">
        <f t="shared" si="1"/>
        <v>C0</v>
      </c>
      <c r="F88" s="31" t="str">
        <f t="shared" si="1"/>
        <v>C0</v>
      </c>
      <c r="G88" s="31" t="str">
        <f t="shared" si="1"/>
        <v>C0</v>
      </c>
      <c r="H88" s="31" t="str">
        <f t="shared" si="1"/>
        <v>C0</v>
      </c>
      <c r="I88" s="31" t="str">
        <f t="shared" si="1"/>
        <v>C0</v>
      </c>
      <c r="J88" s="31" t="str">
        <f t="shared" si="1"/>
        <v>C0</v>
      </c>
      <c r="K88" s="31" t="str">
        <f t="shared" si="1"/>
        <v>C0</v>
      </c>
      <c r="L88" s="31" t="str">
        <f t="shared" si="1"/>
        <v>C0</v>
      </c>
      <c r="M88" s="31" t="str">
        <f t="shared" si="1"/>
        <v>C0</v>
      </c>
      <c r="N88" s="31" t="str">
        <f t="shared" si="1"/>
        <v>C0</v>
      </c>
      <c r="O88" s="31" t="str">
        <f t="shared" si="1"/>
        <v>C0</v>
      </c>
      <c r="P88" s="31" t="str">
        <f t="shared" si="1"/>
        <v>C0</v>
      </c>
      <c r="Q88" s="31" t="str">
        <f t="shared" si="1"/>
        <v>C0</v>
      </c>
      <c r="R88" s="31" t="str">
        <f t="shared" si="1"/>
        <v>C0</v>
      </c>
      <c r="S88" s="31" t="str">
        <f t="shared" si="1"/>
        <v>C0</v>
      </c>
      <c r="T88" s="31" t="str">
        <f t="shared" si="1"/>
        <v>C0</v>
      </c>
      <c r="U88" s="31" t="str">
        <f t="shared" si="1"/>
        <v>C0</v>
      </c>
      <c r="V88" s="31" t="str">
        <f t="shared" si="1"/>
        <v>C0</v>
      </c>
      <c r="W88" s="31" t="str">
        <f t="shared" si="1"/>
        <v>C0</v>
      </c>
      <c r="X88" s="31" t="str">
        <f t="shared" si="1"/>
        <v>C0</v>
      </c>
      <c r="Y88" s="31" t="str">
        <f t="shared" si="1"/>
        <v>C0</v>
      </c>
      <c r="Z88" s="31" t="str">
        <f t="shared" si="1"/>
        <v>C0</v>
      </c>
      <c r="AA88" s="31" t="str">
        <f t="shared" si="1"/>
        <v>C0</v>
      </c>
      <c r="AB88" s="31" t="str">
        <f t="shared" si="1"/>
        <v>C0</v>
      </c>
      <c r="AC88" s="31" t="str">
        <f t="shared" si="1"/>
        <v>C0</v>
      </c>
      <c r="AD88" s="31" t="str">
        <f t="shared" si="1"/>
        <v>C0</v>
      </c>
      <c r="AE88" s="31" t="str">
        <f t="shared" si="1"/>
        <v>C0</v>
      </c>
      <c r="AF88" s="31" t="str">
        <f t="shared" si="1"/>
        <v>C0</v>
      </c>
      <c r="AG88" s="32" t="str">
        <f t="shared" si="1"/>
        <v>C0</v>
      </c>
    </row>
    <row r="89" spans="1:33">
      <c r="A89" s="36" t="s">
        <v>42</v>
      </c>
      <c r="B89" s="20">
        <f>(B86-B84)/(B85-B87)/1000</f>
        <v>0</v>
      </c>
      <c r="C89" s="20">
        <f t="shared" ref="C89:AG89" si="2">(C86-C84)/(C85-C87)/1000</f>
        <v>0</v>
      </c>
      <c r="D89" s="20">
        <f t="shared" si="2"/>
        <v>0</v>
      </c>
      <c r="E89" s="20">
        <f t="shared" si="2"/>
        <v>0</v>
      </c>
      <c r="F89" s="20">
        <f t="shared" si="2"/>
        <v>0</v>
      </c>
      <c r="G89" s="20">
        <f t="shared" si="2"/>
        <v>0</v>
      </c>
      <c r="H89" s="20">
        <f t="shared" si="2"/>
        <v>0</v>
      </c>
      <c r="I89" s="20">
        <f t="shared" si="2"/>
        <v>0</v>
      </c>
      <c r="J89" s="20">
        <f t="shared" si="2"/>
        <v>0</v>
      </c>
      <c r="K89" s="20">
        <f t="shared" si="2"/>
        <v>0</v>
      </c>
      <c r="L89" s="20">
        <f t="shared" si="2"/>
        <v>0</v>
      </c>
      <c r="M89" s="20">
        <f t="shared" si="2"/>
        <v>0</v>
      </c>
      <c r="N89" s="20">
        <f t="shared" si="2"/>
        <v>0</v>
      </c>
      <c r="O89" s="20">
        <f t="shared" si="2"/>
        <v>0</v>
      </c>
      <c r="P89" s="20">
        <f t="shared" si="2"/>
        <v>0</v>
      </c>
      <c r="Q89" s="20">
        <f t="shared" si="2"/>
        <v>0</v>
      </c>
      <c r="R89" s="20">
        <f t="shared" si="2"/>
        <v>0</v>
      </c>
      <c r="S89" s="20">
        <f t="shared" si="2"/>
        <v>0</v>
      </c>
      <c r="T89" s="20">
        <f t="shared" si="2"/>
        <v>0</v>
      </c>
      <c r="U89" s="20">
        <f t="shared" si="2"/>
        <v>0</v>
      </c>
      <c r="V89" s="20">
        <f t="shared" si="2"/>
        <v>0</v>
      </c>
      <c r="W89" s="20">
        <f t="shared" si="2"/>
        <v>0</v>
      </c>
      <c r="X89" s="20">
        <f t="shared" si="2"/>
        <v>0</v>
      </c>
      <c r="Y89" s="20">
        <f t="shared" si="2"/>
        <v>0</v>
      </c>
      <c r="Z89" s="20">
        <f t="shared" si="2"/>
        <v>0</v>
      </c>
      <c r="AA89" s="20">
        <f t="shared" si="2"/>
        <v>0</v>
      </c>
      <c r="AB89" s="20">
        <f t="shared" si="2"/>
        <v>0</v>
      </c>
      <c r="AC89" s="20">
        <f t="shared" si="2"/>
        <v>0</v>
      </c>
      <c r="AD89" s="20">
        <f t="shared" si="2"/>
        <v>0</v>
      </c>
      <c r="AE89" s="20">
        <f t="shared" si="2"/>
        <v>0</v>
      </c>
      <c r="AF89" s="20">
        <f t="shared" si="2"/>
        <v>0</v>
      </c>
      <c r="AG89" s="37">
        <f t="shared" si="2"/>
        <v>0</v>
      </c>
    </row>
    <row r="90" spans="1:33" ht="15.75" thickBot="1">
      <c r="A90" s="38" t="s">
        <v>43</v>
      </c>
      <c r="B90" s="39">
        <f>B89*15</f>
        <v>0</v>
      </c>
      <c r="C90" s="39">
        <f t="shared" ref="C90:AG90" si="3">C89*15</f>
        <v>0</v>
      </c>
      <c r="D90" s="39">
        <f t="shared" si="3"/>
        <v>0</v>
      </c>
      <c r="E90" s="39">
        <f t="shared" si="3"/>
        <v>0</v>
      </c>
      <c r="F90" s="39">
        <f t="shared" si="3"/>
        <v>0</v>
      </c>
      <c r="G90" s="39">
        <f t="shared" si="3"/>
        <v>0</v>
      </c>
      <c r="H90" s="39">
        <f t="shared" si="3"/>
        <v>0</v>
      </c>
      <c r="I90" s="39">
        <f t="shared" si="3"/>
        <v>0</v>
      </c>
      <c r="J90" s="39">
        <f t="shared" si="3"/>
        <v>0</v>
      </c>
      <c r="K90" s="39">
        <f t="shared" si="3"/>
        <v>0</v>
      </c>
      <c r="L90" s="39">
        <f t="shared" si="3"/>
        <v>0</v>
      </c>
      <c r="M90" s="39">
        <f t="shared" si="3"/>
        <v>0</v>
      </c>
      <c r="N90" s="39">
        <f t="shared" si="3"/>
        <v>0</v>
      </c>
      <c r="O90" s="39">
        <f t="shared" si="3"/>
        <v>0</v>
      </c>
      <c r="P90" s="39">
        <f t="shared" si="3"/>
        <v>0</v>
      </c>
      <c r="Q90" s="39">
        <f t="shared" si="3"/>
        <v>0</v>
      </c>
      <c r="R90" s="39">
        <f t="shared" si="3"/>
        <v>0</v>
      </c>
      <c r="S90" s="39">
        <f t="shared" si="3"/>
        <v>0</v>
      </c>
      <c r="T90" s="39">
        <f t="shared" si="3"/>
        <v>0</v>
      </c>
      <c r="U90" s="39">
        <f t="shared" si="3"/>
        <v>0</v>
      </c>
      <c r="V90" s="39">
        <f t="shared" si="3"/>
        <v>0</v>
      </c>
      <c r="W90" s="39">
        <f t="shared" si="3"/>
        <v>0</v>
      </c>
      <c r="X90" s="39">
        <f t="shared" si="3"/>
        <v>0</v>
      </c>
      <c r="Y90" s="39">
        <f t="shared" si="3"/>
        <v>0</v>
      </c>
      <c r="Z90" s="39">
        <f t="shared" si="3"/>
        <v>0</v>
      </c>
      <c r="AA90" s="39">
        <f t="shared" si="3"/>
        <v>0</v>
      </c>
      <c r="AB90" s="39">
        <f t="shared" si="3"/>
        <v>0</v>
      </c>
      <c r="AC90" s="39">
        <f t="shared" si="3"/>
        <v>0</v>
      </c>
      <c r="AD90" s="39">
        <f t="shared" si="3"/>
        <v>0</v>
      </c>
      <c r="AE90" s="39">
        <f t="shared" si="3"/>
        <v>0</v>
      </c>
      <c r="AF90" s="39">
        <f t="shared" si="3"/>
        <v>0</v>
      </c>
      <c r="AG90" s="40">
        <f t="shared" si="3"/>
        <v>0</v>
      </c>
    </row>
    <row r="91" spans="1:33">
      <c r="A91" s="16"/>
    </row>
    <row r="92" spans="1:33">
      <c r="A92" s="16"/>
    </row>
    <row r="93" spans="1:33">
      <c r="A93" s="16"/>
    </row>
    <row r="94" spans="1:33">
      <c r="A94" s="16"/>
    </row>
    <row r="95" spans="1:33">
      <c r="A95" s="16"/>
    </row>
    <row r="96" spans="1:33">
      <c r="A96" s="16"/>
    </row>
    <row r="97" spans="1:1">
      <c r="A97" s="16"/>
    </row>
    <row r="98" spans="1:1">
      <c r="A98" s="16"/>
    </row>
    <row r="99" spans="1:1">
      <c r="A99" s="16"/>
    </row>
    <row r="100" spans="1:1">
      <c r="A100" s="16"/>
    </row>
    <row r="101" spans="1:1">
      <c r="A101" s="16"/>
    </row>
    <row r="102" spans="1:1">
      <c r="A102" s="16"/>
    </row>
    <row r="103" spans="1:1">
      <c r="A103" s="16"/>
    </row>
    <row r="104" spans="1:1">
      <c r="A104" s="16"/>
    </row>
    <row r="105" spans="1:1">
      <c r="A105" s="16"/>
    </row>
    <row r="106" spans="1:1">
      <c r="A106" s="16"/>
    </row>
    <row r="107" spans="1:1">
      <c r="A107" s="16"/>
    </row>
    <row r="108" spans="1:1">
      <c r="A108" s="16"/>
    </row>
    <row r="109" spans="1:1">
      <c r="A109" s="16"/>
    </row>
    <row r="110" spans="1:1">
      <c r="A110" s="16"/>
    </row>
    <row r="111" spans="1:1">
      <c r="A111" s="16"/>
    </row>
    <row r="112" spans="1:1">
      <c r="A112" s="16"/>
    </row>
    <row r="113" spans="1:1">
      <c r="A113" s="16"/>
    </row>
    <row r="114" spans="1:1">
      <c r="A114" s="16"/>
    </row>
    <row r="115" spans="1:1">
      <c r="A115" s="16"/>
    </row>
    <row r="116" spans="1:1">
      <c r="A116" s="16"/>
    </row>
    <row r="117" spans="1:1">
      <c r="A117" s="16"/>
    </row>
    <row r="118" spans="1:1">
      <c r="A118" s="16"/>
    </row>
    <row r="119" spans="1:1">
      <c r="A119" s="16"/>
    </row>
    <row r="120" spans="1:1">
      <c r="A120" s="16"/>
    </row>
    <row r="121" spans="1:1">
      <c r="A121" s="16"/>
    </row>
    <row r="122" spans="1:1">
      <c r="A122" s="16"/>
    </row>
    <row r="123" spans="1:1">
      <c r="A123" s="16"/>
    </row>
    <row r="124" spans="1:1">
      <c r="A124" s="16"/>
    </row>
    <row r="125" spans="1:1">
      <c r="A125" s="16"/>
    </row>
    <row r="126" spans="1:1">
      <c r="A126" s="16"/>
    </row>
    <row r="127" spans="1:1">
      <c r="A127" s="16"/>
    </row>
    <row r="128" spans="1:1">
      <c r="A128" s="16"/>
    </row>
    <row r="129" spans="1:1">
      <c r="A129" s="16"/>
    </row>
    <row r="130" spans="1:1">
      <c r="A130" s="16"/>
    </row>
    <row r="131" spans="1:1">
      <c r="A131" s="16"/>
    </row>
    <row r="132" spans="1:1">
      <c r="A132" s="16"/>
    </row>
    <row r="133" spans="1:1">
      <c r="A133" s="16"/>
    </row>
    <row r="134" spans="1:1">
      <c r="A134" s="16"/>
    </row>
    <row r="135" spans="1:1">
      <c r="A135" s="16"/>
    </row>
    <row r="136" spans="1:1">
      <c r="A136" s="16"/>
    </row>
    <row r="137" spans="1:1">
      <c r="A137" s="16"/>
    </row>
    <row r="138" spans="1:1">
      <c r="A138" s="16"/>
    </row>
    <row r="139" spans="1:1">
      <c r="A139" s="16"/>
    </row>
    <row r="140" spans="1:1">
      <c r="A140" s="16"/>
    </row>
    <row r="141" spans="1:1">
      <c r="A141" s="16"/>
    </row>
    <row r="142" spans="1:1">
      <c r="A142" s="16"/>
    </row>
    <row r="143" spans="1:1">
      <c r="A143" s="16"/>
    </row>
    <row r="144" spans="1:1">
      <c r="A144" s="16"/>
    </row>
    <row r="145" spans="1:1">
      <c r="A145" s="16"/>
    </row>
    <row r="146" spans="1:1">
      <c r="A146" s="16"/>
    </row>
    <row r="147" spans="1:1">
      <c r="A147" s="16"/>
    </row>
    <row r="148" spans="1:1">
      <c r="A148" s="16"/>
    </row>
    <row r="149" spans="1:1">
      <c r="A149" s="16"/>
    </row>
    <row r="150" spans="1:1">
      <c r="A150" s="16"/>
    </row>
    <row r="151" spans="1:1">
      <c r="A151" s="16"/>
    </row>
    <row r="152" spans="1:1">
      <c r="A152" s="16"/>
    </row>
    <row r="153" spans="1:1">
      <c r="A153" s="16"/>
    </row>
    <row r="154" spans="1:1">
      <c r="A154" s="16"/>
    </row>
    <row r="155" spans="1:1">
      <c r="A155" s="16"/>
    </row>
    <row r="156" spans="1:1">
      <c r="A156" s="16"/>
    </row>
    <row r="157" spans="1:1">
      <c r="A157" s="16"/>
    </row>
    <row r="158" spans="1:1">
      <c r="A158" s="16"/>
    </row>
    <row r="159" spans="1:1">
      <c r="A159" s="16"/>
    </row>
    <row r="160" spans="1:1">
      <c r="A160" s="16"/>
    </row>
    <row r="161" spans="1:1">
      <c r="A161" s="16"/>
    </row>
    <row r="162" spans="1:1">
      <c r="A162" s="16"/>
    </row>
    <row r="163" spans="1:1">
      <c r="A163" s="16"/>
    </row>
    <row r="164" spans="1:1">
      <c r="A164" s="16"/>
    </row>
    <row r="165" spans="1:1">
      <c r="A165" s="16"/>
    </row>
    <row r="166" spans="1:1">
      <c r="A166" s="16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0"/>
  <dimension ref="A1:AG166"/>
  <sheetViews>
    <sheetView zoomScale="80" zoomScaleNormal="80" workbookViewId="0">
      <pane xSplit="9420" ySplit="4770" topLeftCell="AD82"/>
      <selection activeCell="B2" sqref="B2:AG87"/>
      <selection pane="topRight" activeCell="Z3" sqref="Z3"/>
      <selection pane="bottomLeft" activeCell="A88" sqref="A88:AG90"/>
      <selection pane="bottomRight" activeCell="AG90" sqref="B90:AG90"/>
    </sheetView>
  </sheetViews>
  <sheetFormatPr defaultRowHeight="15"/>
  <cols>
    <col min="1" max="1" width="10.85546875" style="17" bestFit="1" customWidth="1"/>
    <col min="2" max="33" width="7.7109375" style="17" customWidth="1"/>
    <col min="34" max="16384" width="9.140625" style="17"/>
  </cols>
  <sheetData>
    <row r="1" spans="1:33">
      <c r="A1" s="17" t="s">
        <v>24</v>
      </c>
      <c r="B1" s="17">
        <v>0</v>
      </c>
      <c r="C1" s="17">
        <f>B1+1</f>
        <v>1</v>
      </c>
      <c r="D1" s="17">
        <f t="shared" ref="D1:AG1" si="0">C1+1</f>
        <v>2</v>
      </c>
      <c r="E1" s="17">
        <f t="shared" si="0"/>
        <v>3</v>
      </c>
      <c r="F1" s="17">
        <f t="shared" si="0"/>
        <v>4</v>
      </c>
      <c r="G1" s="17">
        <f t="shared" si="0"/>
        <v>5</v>
      </c>
      <c r="H1" s="17">
        <f t="shared" si="0"/>
        <v>6</v>
      </c>
      <c r="I1" s="17">
        <f t="shared" si="0"/>
        <v>7</v>
      </c>
      <c r="J1" s="17">
        <f t="shared" si="0"/>
        <v>8</v>
      </c>
      <c r="K1" s="17">
        <f t="shared" si="0"/>
        <v>9</v>
      </c>
      <c r="L1" s="17">
        <f t="shared" si="0"/>
        <v>10</v>
      </c>
      <c r="M1" s="17">
        <f t="shared" si="0"/>
        <v>11</v>
      </c>
      <c r="N1" s="17">
        <f t="shared" si="0"/>
        <v>12</v>
      </c>
      <c r="O1" s="17">
        <f t="shared" si="0"/>
        <v>13</v>
      </c>
      <c r="P1" s="17">
        <f t="shared" si="0"/>
        <v>14</v>
      </c>
      <c r="Q1" s="17">
        <f t="shared" si="0"/>
        <v>15</v>
      </c>
      <c r="R1" s="17">
        <f t="shared" si="0"/>
        <v>16</v>
      </c>
      <c r="S1" s="17">
        <f t="shared" si="0"/>
        <v>17</v>
      </c>
      <c r="T1" s="17">
        <f t="shared" si="0"/>
        <v>18</v>
      </c>
      <c r="U1" s="17">
        <f t="shared" si="0"/>
        <v>19</v>
      </c>
      <c r="V1" s="17">
        <f t="shared" si="0"/>
        <v>20</v>
      </c>
      <c r="W1" s="17">
        <f t="shared" si="0"/>
        <v>21</v>
      </c>
      <c r="X1" s="17">
        <f t="shared" si="0"/>
        <v>22</v>
      </c>
      <c r="Y1" s="17">
        <f t="shared" si="0"/>
        <v>23</v>
      </c>
      <c r="Z1" s="17">
        <f t="shared" si="0"/>
        <v>24</v>
      </c>
      <c r="AA1" s="17">
        <f t="shared" si="0"/>
        <v>25</v>
      </c>
      <c r="AB1" s="17">
        <f t="shared" si="0"/>
        <v>26</v>
      </c>
      <c r="AC1" s="17">
        <f t="shared" si="0"/>
        <v>27</v>
      </c>
      <c r="AD1" s="17">
        <f t="shared" si="0"/>
        <v>28</v>
      </c>
      <c r="AE1" s="17">
        <f t="shared" si="0"/>
        <v>29</v>
      </c>
      <c r="AF1" s="17">
        <f t="shared" si="0"/>
        <v>30</v>
      </c>
      <c r="AG1" s="17">
        <f t="shared" si="0"/>
        <v>31</v>
      </c>
    </row>
    <row r="2" spans="1:33">
      <c r="A2" s="16">
        <f>Calculations!B3</f>
        <v>1.6</v>
      </c>
      <c r="B2" s="1">
        <v>0.999</v>
      </c>
      <c r="C2" s="1">
        <v>0.999</v>
      </c>
      <c r="D2" s="1">
        <v>0.999</v>
      </c>
      <c r="E2" s="1">
        <v>0.999</v>
      </c>
      <c r="F2" s="1">
        <v>0.999</v>
      </c>
      <c r="G2" s="1">
        <v>0.999</v>
      </c>
      <c r="H2" s="1">
        <v>0.999</v>
      </c>
      <c r="I2" s="1">
        <v>0.999</v>
      </c>
      <c r="J2" s="1">
        <v>0.999</v>
      </c>
      <c r="K2" s="1">
        <v>0.999</v>
      </c>
      <c r="L2" s="1">
        <v>0.999</v>
      </c>
      <c r="M2" s="1">
        <v>0.999</v>
      </c>
      <c r="N2" s="1">
        <v>0.999</v>
      </c>
      <c r="O2" s="1">
        <v>0.999</v>
      </c>
      <c r="P2" s="1">
        <v>0.999</v>
      </c>
      <c r="Q2" s="1">
        <v>0.999</v>
      </c>
      <c r="R2" s="1">
        <v>0.999</v>
      </c>
      <c r="S2" s="1">
        <v>0.999</v>
      </c>
      <c r="T2" s="1">
        <v>0.999</v>
      </c>
      <c r="U2" s="1">
        <v>0.999</v>
      </c>
      <c r="V2" s="1">
        <v>0.999</v>
      </c>
      <c r="W2" s="1">
        <v>0.999</v>
      </c>
      <c r="X2" s="1">
        <v>0.999</v>
      </c>
      <c r="Y2" s="1">
        <v>0.999</v>
      </c>
      <c r="Z2" s="1">
        <v>0.999</v>
      </c>
      <c r="AA2" s="1">
        <v>0.999</v>
      </c>
      <c r="AB2" s="1">
        <v>0.999</v>
      </c>
      <c r="AC2" s="1">
        <v>0.999</v>
      </c>
      <c r="AD2" s="1">
        <v>0.999</v>
      </c>
      <c r="AE2" s="1">
        <v>0.999</v>
      </c>
      <c r="AF2" s="1">
        <v>0.999</v>
      </c>
      <c r="AG2" s="1">
        <v>0.999</v>
      </c>
    </row>
    <row r="3" spans="1:33">
      <c r="A3" s="16">
        <f>A2+Calculations!$B$4</f>
        <v>2.6</v>
      </c>
      <c r="B3" s="1">
        <v>0.999</v>
      </c>
      <c r="C3" s="1">
        <v>0.999</v>
      </c>
      <c r="D3" s="1">
        <v>0.999</v>
      </c>
      <c r="E3" s="1">
        <v>0.999</v>
      </c>
      <c r="F3" s="1">
        <v>0.999</v>
      </c>
      <c r="G3" s="1">
        <v>0.999</v>
      </c>
      <c r="H3" s="1">
        <v>0.999</v>
      </c>
      <c r="I3" s="1">
        <v>0.999</v>
      </c>
      <c r="J3" s="1">
        <v>0.999</v>
      </c>
      <c r="K3" s="1">
        <v>0.999</v>
      </c>
      <c r="L3" s="1">
        <v>0.999</v>
      </c>
      <c r="M3" s="1">
        <v>0.999</v>
      </c>
      <c r="N3" s="1">
        <v>0.999</v>
      </c>
      <c r="O3" s="1">
        <v>0.999</v>
      </c>
      <c r="P3" s="1">
        <v>0.999</v>
      </c>
      <c r="Q3" s="1">
        <v>0.999</v>
      </c>
      <c r="R3" s="1">
        <v>0.999</v>
      </c>
      <c r="S3" s="1">
        <v>0.999</v>
      </c>
      <c r="T3" s="1">
        <v>0.999</v>
      </c>
      <c r="U3" s="1">
        <v>0.999</v>
      </c>
      <c r="V3" s="1">
        <v>0.999</v>
      </c>
      <c r="W3" s="1">
        <v>0.999</v>
      </c>
      <c r="X3" s="1">
        <v>0.999</v>
      </c>
      <c r="Y3" s="1">
        <v>0.999</v>
      </c>
      <c r="Z3" s="1">
        <v>0.999</v>
      </c>
      <c r="AA3" s="1">
        <v>0.999</v>
      </c>
      <c r="AB3" s="1">
        <v>0.999</v>
      </c>
      <c r="AC3" s="1">
        <v>0.999</v>
      </c>
      <c r="AD3" s="1">
        <v>0.999</v>
      </c>
      <c r="AE3" s="1">
        <v>0.999</v>
      </c>
      <c r="AF3" s="1">
        <v>0.999</v>
      </c>
      <c r="AG3" s="1">
        <v>0.999</v>
      </c>
    </row>
    <row r="4" spans="1:33">
      <c r="A4" s="16">
        <f>A3+Calculations!$B$4</f>
        <v>3.6</v>
      </c>
      <c r="B4" s="1">
        <v>0.999</v>
      </c>
      <c r="C4" s="1">
        <v>0.999</v>
      </c>
      <c r="D4" s="1">
        <v>0.999</v>
      </c>
      <c r="E4" s="1">
        <v>0.999</v>
      </c>
      <c r="F4" s="1">
        <v>0.999</v>
      </c>
      <c r="G4" s="1">
        <v>0.999</v>
      </c>
      <c r="H4" s="1">
        <v>0.999</v>
      </c>
      <c r="I4" s="1">
        <v>0.999</v>
      </c>
      <c r="J4" s="1">
        <v>0.999</v>
      </c>
      <c r="K4" s="1">
        <v>0.999</v>
      </c>
      <c r="L4" s="1">
        <v>0.999</v>
      </c>
      <c r="M4" s="1">
        <v>0.999</v>
      </c>
      <c r="N4" s="1">
        <v>0.999</v>
      </c>
      <c r="O4" s="1">
        <v>0.999</v>
      </c>
      <c r="P4" s="1">
        <v>0.999</v>
      </c>
      <c r="Q4" s="1">
        <v>0.999</v>
      </c>
      <c r="R4" s="1">
        <v>0.999</v>
      </c>
      <c r="S4" s="1">
        <v>0.999</v>
      </c>
      <c r="T4" s="1">
        <v>0.999</v>
      </c>
      <c r="U4" s="1">
        <v>0.999</v>
      </c>
      <c r="V4" s="1">
        <v>0.999</v>
      </c>
      <c r="W4" s="1">
        <v>0.999</v>
      </c>
      <c r="X4" s="1">
        <v>0.999</v>
      </c>
      <c r="Y4" s="1">
        <v>0.999</v>
      </c>
      <c r="Z4" s="1">
        <v>0.999</v>
      </c>
      <c r="AA4" s="1">
        <v>0.999</v>
      </c>
      <c r="AB4" s="1">
        <v>0.999</v>
      </c>
      <c r="AC4" s="1">
        <v>0.999</v>
      </c>
      <c r="AD4" s="1">
        <v>0.999</v>
      </c>
      <c r="AE4" s="1">
        <v>0.999</v>
      </c>
      <c r="AF4" s="1">
        <v>0.999</v>
      </c>
      <c r="AG4" s="1">
        <v>0.999</v>
      </c>
    </row>
    <row r="5" spans="1:33">
      <c r="A5" s="16">
        <f>A4+Calculations!$B$4</f>
        <v>4.5999999999999996</v>
      </c>
      <c r="B5" s="1">
        <v>0.999</v>
      </c>
      <c r="C5" s="1">
        <v>0.999</v>
      </c>
      <c r="D5" s="1">
        <v>0.999</v>
      </c>
      <c r="E5" s="1">
        <v>0.999</v>
      </c>
      <c r="F5" s="1">
        <v>0.999</v>
      </c>
      <c r="G5" s="1">
        <v>0.999</v>
      </c>
      <c r="H5" s="1">
        <v>0.999</v>
      </c>
      <c r="I5" s="1">
        <v>0.999</v>
      </c>
      <c r="J5" s="1">
        <v>0.999</v>
      </c>
      <c r="K5" s="1">
        <v>0.999</v>
      </c>
      <c r="L5" s="1">
        <v>0.999</v>
      </c>
      <c r="M5" s="1">
        <v>0.999</v>
      </c>
      <c r="N5" s="1">
        <v>0.999</v>
      </c>
      <c r="O5" s="1">
        <v>0.999</v>
      </c>
      <c r="P5" s="1">
        <v>0.999</v>
      </c>
      <c r="Q5" s="1">
        <v>0.999</v>
      </c>
      <c r="R5" s="1">
        <v>0.999</v>
      </c>
      <c r="S5" s="1">
        <v>0.999</v>
      </c>
      <c r="T5" s="1">
        <v>0.999</v>
      </c>
      <c r="U5" s="1">
        <v>0.999</v>
      </c>
      <c r="V5" s="1">
        <v>0.999</v>
      </c>
      <c r="W5" s="1">
        <v>0.999</v>
      </c>
      <c r="X5" s="1">
        <v>0.999</v>
      </c>
      <c r="Y5" s="1">
        <v>0.999</v>
      </c>
      <c r="Z5" s="1">
        <v>0.999</v>
      </c>
      <c r="AA5" s="1">
        <v>0.999</v>
      </c>
      <c r="AB5" s="1">
        <v>0.999</v>
      </c>
      <c r="AC5" s="1">
        <v>0.999</v>
      </c>
      <c r="AD5" s="1">
        <v>0.999</v>
      </c>
      <c r="AE5" s="1">
        <v>0.999</v>
      </c>
      <c r="AF5" s="1">
        <v>0.999</v>
      </c>
      <c r="AG5" s="1">
        <v>0.999</v>
      </c>
    </row>
    <row r="6" spans="1:33">
      <c r="A6" s="16">
        <f>A5+Calculations!$B$4</f>
        <v>5.6</v>
      </c>
      <c r="B6" s="1">
        <v>0.999</v>
      </c>
      <c r="C6" s="1">
        <v>0.999</v>
      </c>
      <c r="D6" s="1">
        <v>0.999</v>
      </c>
      <c r="E6" s="1">
        <v>0.999</v>
      </c>
      <c r="F6" s="1">
        <v>0.999</v>
      </c>
      <c r="G6" s="1">
        <v>0.999</v>
      </c>
      <c r="H6" s="1">
        <v>0.999</v>
      </c>
      <c r="I6" s="1">
        <v>0.999</v>
      </c>
      <c r="J6" s="1">
        <v>0.999</v>
      </c>
      <c r="K6" s="1">
        <v>0.999</v>
      </c>
      <c r="L6" s="1">
        <v>0.999</v>
      </c>
      <c r="M6" s="1">
        <v>0.999</v>
      </c>
      <c r="N6" s="1">
        <v>0.999</v>
      </c>
      <c r="O6" s="1">
        <v>0.999</v>
      </c>
      <c r="P6" s="1">
        <v>0.999</v>
      </c>
      <c r="Q6" s="1">
        <v>0.999</v>
      </c>
      <c r="R6" s="1">
        <v>0.999</v>
      </c>
      <c r="S6" s="1">
        <v>0.999</v>
      </c>
      <c r="T6" s="1">
        <v>0.999</v>
      </c>
      <c r="U6" s="1">
        <v>0.999</v>
      </c>
      <c r="V6" s="1">
        <v>0.999</v>
      </c>
      <c r="W6" s="1">
        <v>0.999</v>
      </c>
      <c r="X6" s="1">
        <v>0.999</v>
      </c>
      <c r="Y6" s="1">
        <v>0.999</v>
      </c>
      <c r="Z6" s="1">
        <v>0.999</v>
      </c>
      <c r="AA6" s="1">
        <v>0.999</v>
      </c>
      <c r="AB6" s="1">
        <v>0.999</v>
      </c>
      <c r="AC6" s="1">
        <v>0.999</v>
      </c>
      <c r="AD6" s="1">
        <v>0.999</v>
      </c>
      <c r="AE6" s="1">
        <v>0.999</v>
      </c>
      <c r="AF6" s="1">
        <v>0.999</v>
      </c>
      <c r="AG6" s="1">
        <v>0.999</v>
      </c>
    </row>
    <row r="7" spans="1:33">
      <c r="A7" s="16">
        <f>A6+Calculations!$B$4</f>
        <v>6.6</v>
      </c>
      <c r="B7" s="1">
        <v>0.999</v>
      </c>
      <c r="C7" s="1">
        <v>0.999</v>
      </c>
      <c r="D7" s="1">
        <v>0.999</v>
      </c>
      <c r="E7" s="1">
        <v>0.999</v>
      </c>
      <c r="F7" s="1">
        <v>0.999</v>
      </c>
      <c r="G7" s="1">
        <v>0.999</v>
      </c>
      <c r="H7" s="1">
        <v>0.999</v>
      </c>
      <c r="I7" s="1">
        <v>0.999</v>
      </c>
      <c r="J7" s="1">
        <v>0.999</v>
      </c>
      <c r="K7" s="1">
        <v>0.999</v>
      </c>
      <c r="L7" s="1">
        <v>0.999</v>
      </c>
      <c r="M7" s="1">
        <v>0.999</v>
      </c>
      <c r="N7" s="1">
        <v>0.999</v>
      </c>
      <c r="O7" s="1">
        <v>0.999</v>
      </c>
      <c r="P7" s="17">
        <v>0.999</v>
      </c>
      <c r="Q7" s="1">
        <v>0.999</v>
      </c>
      <c r="R7" s="1">
        <v>0.999</v>
      </c>
      <c r="S7" s="1">
        <v>0.999</v>
      </c>
      <c r="T7" s="1">
        <v>0.999</v>
      </c>
      <c r="U7" s="1">
        <v>0.999</v>
      </c>
      <c r="V7" s="1">
        <v>0.999</v>
      </c>
      <c r="W7" s="1">
        <v>0.999</v>
      </c>
      <c r="X7" s="1">
        <v>0.999</v>
      </c>
      <c r="Y7" s="1">
        <v>0.999</v>
      </c>
      <c r="Z7" s="1">
        <v>0.999</v>
      </c>
      <c r="AA7" s="1">
        <v>0.999</v>
      </c>
      <c r="AB7" s="1">
        <v>0.999</v>
      </c>
      <c r="AC7" s="1">
        <v>0.999</v>
      </c>
      <c r="AD7" s="1">
        <v>0.999</v>
      </c>
      <c r="AE7" s="1">
        <v>0.999</v>
      </c>
      <c r="AF7" s="1">
        <v>0.999</v>
      </c>
      <c r="AG7" s="1">
        <v>0.999</v>
      </c>
    </row>
    <row r="8" spans="1:33">
      <c r="A8" s="16">
        <f>A7+Calculations!$B$4</f>
        <v>7.6</v>
      </c>
      <c r="B8" s="1">
        <v>0.999</v>
      </c>
      <c r="C8" s="1">
        <v>0.999</v>
      </c>
      <c r="D8" s="1">
        <v>0.999</v>
      </c>
      <c r="E8" s="1">
        <v>0.999</v>
      </c>
      <c r="F8" s="1">
        <v>0.999</v>
      </c>
      <c r="G8" s="1">
        <v>0.999</v>
      </c>
      <c r="H8" s="1">
        <v>0.999</v>
      </c>
      <c r="I8" s="1">
        <v>0.999</v>
      </c>
      <c r="J8" s="1">
        <v>0.999</v>
      </c>
      <c r="K8" s="1">
        <v>0.999</v>
      </c>
      <c r="L8" s="1">
        <v>0.999</v>
      </c>
      <c r="M8" s="1">
        <v>0.999</v>
      </c>
      <c r="N8" s="1">
        <v>0.999</v>
      </c>
      <c r="O8" s="1">
        <v>0.999</v>
      </c>
      <c r="P8" s="1">
        <v>0.999</v>
      </c>
      <c r="Q8" s="1">
        <v>0.999</v>
      </c>
      <c r="R8" s="1">
        <v>0.999</v>
      </c>
      <c r="S8" s="1">
        <v>0.999</v>
      </c>
      <c r="T8" s="1">
        <v>0.999</v>
      </c>
      <c r="U8" s="1">
        <v>0.999</v>
      </c>
      <c r="V8" s="1">
        <v>0.999</v>
      </c>
      <c r="W8" s="1">
        <v>0.999</v>
      </c>
      <c r="X8" s="1">
        <v>0.999</v>
      </c>
      <c r="Y8" s="1">
        <v>0.999</v>
      </c>
      <c r="Z8" s="1">
        <v>0.999</v>
      </c>
      <c r="AA8" s="1">
        <v>0.999</v>
      </c>
      <c r="AB8" s="1">
        <v>0.999</v>
      </c>
      <c r="AC8" s="1">
        <v>0.999</v>
      </c>
      <c r="AD8" s="1">
        <v>0.999</v>
      </c>
      <c r="AE8" s="1">
        <v>0.999</v>
      </c>
      <c r="AF8" s="1">
        <v>0.999</v>
      </c>
      <c r="AG8" s="1">
        <v>0.999</v>
      </c>
    </row>
    <row r="9" spans="1:33">
      <c r="A9" s="16">
        <f>A8+Calculations!$B$4</f>
        <v>8.6</v>
      </c>
      <c r="B9" s="1">
        <v>0.999</v>
      </c>
      <c r="C9" s="1">
        <v>0.999</v>
      </c>
      <c r="D9" s="1">
        <v>0.999</v>
      </c>
      <c r="E9" s="1">
        <v>0.999</v>
      </c>
      <c r="F9" s="1">
        <v>0.999</v>
      </c>
      <c r="G9" s="1">
        <v>0.999</v>
      </c>
      <c r="H9" s="1">
        <v>0.999</v>
      </c>
      <c r="I9" s="1">
        <v>0.999</v>
      </c>
      <c r="J9" s="1">
        <v>0.999</v>
      </c>
      <c r="K9" s="1">
        <v>0.999</v>
      </c>
      <c r="L9" s="1">
        <v>0.999</v>
      </c>
      <c r="M9" s="1">
        <v>0.999</v>
      </c>
      <c r="N9" s="1">
        <v>0.999</v>
      </c>
      <c r="O9" s="1">
        <v>0.999</v>
      </c>
      <c r="P9" s="1">
        <v>0.999</v>
      </c>
      <c r="Q9" s="1">
        <v>0.999</v>
      </c>
      <c r="R9" s="1">
        <v>0.999</v>
      </c>
      <c r="S9" s="1">
        <v>0.999</v>
      </c>
      <c r="T9" s="1">
        <v>0.999</v>
      </c>
      <c r="U9" s="1">
        <v>0.999</v>
      </c>
      <c r="V9" s="1">
        <v>0.999</v>
      </c>
      <c r="W9" s="1">
        <v>0.999</v>
      </c>
      <c r="X9" s="1">
        <v>0.999</v>
      </c>
      <c r="Y9" s="1">
        <v>0.999</v>
      </c>
      <c r="Z9" s="1">
        <v>0.999</v>
      </c>
      <c r="AA9" s="1">
        <v>0.999</v>
      </c>
      <c r="AB9" s="1">
        <v>0.999</v>
      </c>
      <c r="AC9" s="1">
        <v>0.999</v>
      </c>
      <c r="AD9" s="1">
        <v>0.999</v>
      </c>
      <c r="AE9" s="1">
        <v>0.999</v>
      </c>
      <c r="AF9" s="1">
        <v>0.999</v>
      </c>
      <c r="AG9" s="1">
        <v>0.999</v>
      </c>
    </row>
    <row r="10" spans="1:33">
      <c r="A10" s="16">
        <f>A9+Calculations!$B$4</f>
        <v>9.6</v>
      </c>
      <c r="B10" s="1">
        <v>0.999</v>
      </c>
      <c r="C10" s="1">
        <v>0.999</v>
      </c>
      <c r="D10" s="1">
        <v>0.999</v>
      </c>
      <c r="E10" s="1">
        <v>0.999</v>
      </c>
      <c r="F10" s="1">
        <v>0.999</v>
      </c>
      <c r="G10" s="1">
        <v>0.999</v>
      </c>
      <c r="H10" s="1">
        <v>0.999</v>
      </c>
      <c r="I10" s="1">
        <v>0.999</v>
      </c>
      <c r="J10" s="1">
        <v>0.999</v>
      </c>
      <c r="K10" s="1">
        <v>0.999</v>
      </c>
      <c r="L10" s="1">
        <v>0.999</v>
      </c>
      <c r="M10" s="1">
        <v>0.999</v>
      </c>
      <c r="N10" s="1">
        <v>0.999</v>
      </c>
      <c r="O10" s="1">
        <v>0.999</v>
      </c>
      <c r="P10" s="1">
        <v>0.999</v>
      </c>
      <c r="Q10" s="1">
        <v>0.999</v>
      </c>
      <c r="R10" s="1">
        <v>0.999</v>
      </c>
      <c r="S10" s="1">
        <v>0.999</v>
      </c>
      <c r="T10" s="1">
        <v>0.999</v>
      </c>
      <c r="U10" s="1">
        <v>0.999</v>
      </c>
      <c r="V10" s="1">
        <v>0.999</v>
      </c>
      <c r="W10" s="1">
        <v>0.999</v>
      </c>
      <c r="X10" s="1">
        <v>0.999</v>
      </c>
      <c r="Y10" s="1">
        <v>0.999</v>
      </c>
      <c r="Z10" s="1">
        <v>0.999</v>
      </c>
      <c r="AA10" s="1">
        <v>0.999</v>
      </c>
      <c r="AB10" s="1">
        <v>0.999</v>
      </c>
      <c r="AC10" s="1">
        <v>0.999</v>
      </c>
      <c r="AD10" s="1">
        <v>0.999</v>
      </c>
      <c r="AE10" s="1">
        <v>0.999</v>
      </c>
      <c r="AF10" s="1">
        <v>0.999</v>
      </c>
      <c r="AG10" s="1">
        <v>0.999</v>
      </c>
    </row>
    <row r="11" spans="1:33">
      <c r="A11" s="16">
        <f>A10+Calculations!$B$4</f>
        <v>10.6</v>
      </c>
      <c r="B11" s="1">
        <v>0.999</v>
      </c>
      <c r="C11" s="1">
        <v>0.999</v>
      </c>
      <c r="D11" s="1">
        <v>0.999</v>
      </c>
      <c r="E11" s="1">
        <v>0.999</v>
      </c>
      <c r="F11" s="1">
        <v>0.999</v>
      </c>
      <c r="G11" s="1">
        <v>0.999</v>
      </c>
      <c r="H11" s="1">
        <v>0.999</v>
      </c>
      <c r="I11" s="1">
        <v>0.999</v>
      </c>
      <c r="J11" s="1">
        <v>0.999</v>
      </c>
      <c r="K11" s="1">
        <v>0.999</v>
      </c>
      <c r="L11" s="1">
        <v>0.999</v>
      </c>
      <c r="M11" s="1">
        <v>0.999</v>
      </c>
      <c r="N11" s="1">
        <v>0.999</v>
      </c>
      <c r="O11" s="1">
        <v>0.999</v>
      </c>
      <c r="P11" s="1">
        <v>0.999</v>
      </c>
      <c r="Q11" s="1">
        <v>0.999</v>
      </c>
      <c r="R11" s="1">
        <v>0.999</v>
      </c>
      <c r="S11" s="1">
        <v>0.999</v>
      </c>
      <c r="T11" s="1">
        <v>0.999</v>
      </c>
      <c r="U11" s="1">
        <v>0.999</v>
      </c>
      <c r="V11" s="1">
        <v>0.999</v>
      </c>
      <c r="W11" s="1">
        <v>0.999</v>
      </c>
      <c r="X11" s="1">
        <v>0.999</v>
      </c>
      <c r="Y11" s="1">
        <v>0.999</v>
      </c>
      <c r="Z11" s="1">
        <v>0.999</v>
      </c>
      <c r="AA11" s="1">
        <v>0.999</v>
      </c>
      <c r="AB11" s="1">
        <v>0.999</v>
      </c>
      <c r="AC11" s="1">
        <v>0.999</v>
      </c>
      <c r="AD11" s="1">
        <v>0.999</v>
      </c>
      <c r="AE11" s="1">
        <v>0.999</v>
      </c>
      <c r="AF11" s="1">
        <v>0.999</v>
      </c>
      <c r="AG11" s="1">
        <v>0.999</v>
      </c>
    </row>
    <row r="12" spans="1:33">
      <c r="A12" s="16">
        <f>A11+Calculations!$B$4</f>
        <v>11.6</v>
      </c>
      <c r="B12" s="1">
        <v>0.999</v>
      </c>
      <c r="C12" s="1">
        <v>0.999</v>
      </c>
      <c r="D12" s="1">
        <v>0.999</v>
      </c>
      <c r="E12" s="1">
        <v>0.999</v>
      </c>
      <c r="F12" s="1">
        <v>0.999</v>
      </c>
      <c r="G12" s="1">
        <v>0.999</v>
      </c>
      <c r="H12" s="1">
        <v>0.999</v>
      </c>
      <c r="I12" s="1">
        <v>0.999</v>
      </c>
      <c r="J12" s="1">
        <v>0.96862745098039216</v>
      </c>
      <c r="K12" s="1">
        <v>0.999</v>
      </c>
      <c r="L12" s="1">
        <v>0.999</v>
      </c>
      <c r="M12" s="1">
        <v>0.999</v>
      </c>
      <c r="N12" s="1">
        <v>0.999</v>
      </c>
      <c r="O12" s="1">
        <v>0.999</v>
      </c>
      <c r="P12" s="1">
        <v>0.999</v>
      </c>
      <c r="Q12" s="1">
        <v>0.999</v>
      </c>
      <c r="R12" s="1">
        <v>0.96078431372549022</v>
      </c>
      <c r="S12" s="1">
        <v>0.999</v>
      </c>
      <c r="T12" s="1">
        <v>0.999</v>
      </c>
      <c r="U12" s="1">
        <v>0.999</v>
      </c>
      <c r="V12" s="1">
        <v>0.999</v>
      </c>
      <c r="W12" s="1">
        <v>0.999</v>
      </c>
      <c r="X12" s="1">
        <v>0.96078431372549022</v>
      </c>
      <c r="Y12" s="1">
        <v>0.96862745098039216</v>
      </c>
      <c r="Z12" s="1">
        <v>0.999</v>
      </c>
      <c r="AA12" s="1">
        <v>0.96078431372549022</v>
      </c>
      <c r="AB12" s="1">
        <v>0.999</v>
      </c>
      <c r="AC12" s="1">
        <v>0.96862745098039216</v>
      </c>
      <c r="AD12" s="1">
        <v>0.96862745098039216</v>
      </c>
      <c r="AE12" s="1">
        <v>0.96470588235294119</v>
      </c>
      <c r="AF12" s="1">
        <v>0.97254901960784312</v>
      </c>
      <c r="AG12" s="1">
        <v>0.999</v>
      </c>
    </row>
    <row r="13" spans="1:33">
      <c r="A13" s="16">
        <f>A12+Calculations!$B$4</f>
        <v>12.6</v>
      </c>
      <c r="B13" s="1">
        <v>0.97254901960784312</v>
      </c>
      <c r="C13" s="1">
        <v>0.98039215686274506</v>
      </c>
      <c r="D13" s="1">
        <v>0.97647058823529409</v>
      </c>
      <c r="E13" s="1">
        <v>0.98039215686274506</v>
      </c>
      <c r="F13" s="1">
        <v>0.98039215686274506</v>
      </c>
      <c r="G13" s="1">
        <v>0.97254901960784312</v>
      </c>
      <c r="H13" s="1">
        <v>0.97254901960784312</v>
      </c>
      <c r="I13" s="1">
        <v>0.97647058823529409</v>
      </c>
      <c r="J13" s="1">
        <v>0.83529411764705885</v>
      </c>
      <c r="K13" s="1">
        <v>0.96862745098039216</v>
      </c>
      <c r="L13" s="1">
        <v>0.97647058823529409</v>
      </c>
      <c r="M13" s="1">
        <v>0.96470588235294119</v>
      </c>
      <c r="N13" s="1">
        <v>0.97254901960784312</v>
      </c>
      <c r="O13" s="1">
        <v>0.97647058823529409</v>
      </c>
      <c r="P13" s="1">
        <v>0.98431372549019602</v>
      </c>
      <c r="Q13" s="1">
        <v>0.97254901960784312</v>
      </c>
      <c r="R13" s="1">
        <v>0.82745098039215681</v>
      </c>
      <c r="S13" s="1">
        <v>0.98039215686274506</v>
      </c>
      <c r="T13" s="1">
        <v>0.96862745098039216</v>
      </c>
      <c r="U13" s="1">
        <v>0.98039215686274506</v>
      </c>
      <c r="V13" s="1">
        <v>0.96862745098039216</v>
      </c>
      <c r="W13" s="1">
        <v>0.97254901960784312</v>
      </c>
      <c r="X13" s="1">
        <v>0.83529411764705885</v>
      </c>
      <c r="Y13" s="1">
        <v>0.83921568627450982</v>
      </c>
      <c r="Z13" s="1">
        <v>0.97647058823529409</v>
      </c>
      <c r="AA13" s="1">
        <v>0.83137254901960789</v>
      </c>
      <c r="AB13" s="1">
        <v>0.97647058823529409</v>
      </c>
      <c r="AC13" s="1">
        <v>0.83529411764705885</v>
      </c>
      <c r="AD13" s="1">
        <v>0.82745098039215681</v>
      </c>
      <c r="AE13" s="1">
        <v>0.82745098039215681</v>
      </c>
      <c r="AF13" s="1">
        <v>0.84705882352941175</v>
      </c>
      <c r="AG13" s="1">
        <v>0.97254901960784312</v>
      </c>
    </row>
    <row r="14" spans="1:33">
      <c r="A14" s="16">
        <f>A13+Calculations!$B$4</f>
        <v>13.6</v>
      </c>
      <c r="B14" s="1">
        <v>0.87058823529411766</v>
      </c>
      <c r="C14" s="1">
        <v>0.87058823529411766</v>
      </c>
      <c r="D14" s="1">
        <v>0.87058823529411766</v>
      </c>
      <c r="E14" s="1">
        <v>0.87058823529411766</v>
      </c>
      <c r="F14" s="1">
        <v>0.87058823529411766</v>
      </c>
      <c r="G14" s="1">
        <v>0.87058823529411766</v>
      </c>
      <c r="H14" s="1">
        <v>0.86274509803921573</v>
      </c>
      <c r="I14" s="1">
        <v>0.87058823529411766</v>
      </c>
      <c r="J14" s="1">
        <v>0.72549019607843135</v>
      </c>
      <c r="K14" s="1">
        <v>0.86274509803921573</v>
      </c>
      <c r="L14" s="1">
        <v>0.87058823529411766</v>
      </c>
      <c r="M14" s="1">
        <v>0.85490196078431369</v>
      </c>
      <c r="N14" s="1">
        <v>0.86274509803921573</v>
      </c>
      <c r="O14" s="1">
        <v>0.87058823529411766</v>
      </c>
      <c r="P14" s="1">
        <v>0.8666666666666667</v>
      </c>
      <c r="Q14" s="1">
        <v>0.87058823529411766</v>
      </c>
      <c r="R14" s="1">
        <v>0.71372549019607845</v>
      </c>
      <c r="S14" s="1">
        <v>0.86274509803921573</v>
      </c>
      <c r="T14" s="1">
        <v>0.86274509803921573</v>
      </c>
      <c r="U14" s="1">
        <v>0.86274509803921573</v>
      </c>
      <c r="V14" s="1">
        <v>0.86274509803921573</v>
      </c>
      <c r="W14" s="1">
        <v>0.86274509803921573</v>
      </c>
      <c r="X14" s="1">
        <v>0.72156862745098038</v>
      </c>
      <c r="Y14" s="1">
        <v>0.72941176470588232</v>
      </c>
      <c r="Z14" s="1">
        <v>0.87058823529411766</v>
      </c>
      <c r="AA14" s="1">
        <v>0.72156862745098038</v>
      </c>
      <c r="AB14" s="1">
        <v>0.87058823529411766</v>
      </c>
      <c r="AC14" s="1">
        <v>0.72156862745098038</v>
      </c>
      <c r="AD14" s="1">
        <v>0.72941176470588232</v>
      </c>
      <c r="AE14" s="1">
        <v>0.72549019607843135</v>
      </c>
      <c r="AF14" s="1">
        <v>0.73725490196078436</v>
      </c>
      <c r="AG14" s="1">
        <v>0.87058823529411766</v>
      </c>
    </row>
    <row r="15" spans="1:33">
      <c r="A15" s="16">
        <f>A14+Calculations!$B$4</f>
        <v>14.6</v>
      </c>
      <c r="B15" s="1">
        <v>0.77254901960784317</v>
      </c>
      <c r="C15" s="1">
        <v>0.7803921568627451</v>
      </c>
      <c r="D15" s="1">
        <v>0.77254901960784317</v>
      </c>
      <c r="E15" s="1">
        <v>0.77647058823529413</v>
      </c>
      <c r="F15" s="1">
        <v>0.77254901960784317</v>
      </c>
      <c r="G15" s="1">
        <v>0.77254901960784317</v>
      </c>
      <c r="H15" s="1">
        <v>0.77254901960784317</v>
      </c>
      <c r="I15" s="1">
        <v>0.77254901960784317</v>
      </c>
      <c r="J15" s="1">
        <v>0.63529411764705879</v>
      </c>
      <c r="K15" s="1">
        <v>0.77254901960784317</v>
      </c>
      <c r="L15" s="1">
        <v>0.77647058823529413</v>
      </c>
      <c r="M15" s="1">
        <v>0.76470588235294112</v>
      </c>
      <c r="N15" s="1">
        <v>0.7686274509803922</v>
      </c>
      <c r="O15" s="1">
        <v>0.77254901960784317</v>
      </c>
      <c r="P15" s="1">
        <v>0.77254901960784317</v>
      </c>
      <c r="Q15" s="1">
        <v>0.77254901960784317</v>
      </c>
      <c r="R15" s="1">
        <v>0.62745098039215685</v>
      </c>
      <c r="S15" s="1">
        <v>0.77254901960784317</v>
      </c>
      <c r="T15" s="1">
        <v>0.7686274509803922</v>
      </c>
      <c r="U15" s="1">
        <v>0.7686274509803922</v>
      </c>
      <c r="V15" s="1">
        <v>0.76470588235294112</v>
      </c>
      <c r="W15" s="1">
        <v>0.7686274509803922</v>
      </c>
      <c r="X15" s="1">
        <v>0.63137254901960782</v>
      </c>
      <c r="Y15" s="1">
        <v>0.63529411764705879</v>
      </c>
      <c r="Z15" s="1">
        <v>0.77647058823529413</v>
      </c>
      <c r="AA15" s="1">
        <v>0.63137254901960782</v>
      </c>
      <c r="AB15" s="1">
        <v>0.77647058823529413</v>
      </c>
      <c r="AC15" s="1">
        <v>0.62745098039215685</v>
      </c>
      <c r="AD15" s="1">
        <v>0.62745098039215685</v>
      </c>
      <c r="AE15" s="1">
        <v>0.63137254901960782</v>
      </c>
      <c r="AF15" s="1">
        <v>0.64313725490196083</v>
      </c>
      <c r="AG15" s="1">
        <v>0.77647058823529413</v>
      </c>
    </row>
    <row r="16" spans="1:33">
      <c r="A16" s="16">
        <f>A15+Calculations!$B$4</f>
        <v>15.6</v>
      </c>
      <c r="B16" s="1">
        <v>0.69411764705882351</v>
      </c>
      <c r="C16" s="1">
        <v>0.70588235294117652</v>
      </c>
      <c r="D16" s="1">
        <v>0.69803921568627447</v>
      </c>
      <c r="E16" s="1">
        <v>0.70196078431372544</v>
      </c>
      <c r="F16" s="1">
        <v>0.69803921568627447</v>
      </c>
      <c r="G16" s="1">
        <v>0.69803921568627447</v>
      </c>
      <c r="H16" s="1">
        <v>0.69411764705882351</v>
      </c>
      <c r="I16" s="1">
        <v>0.70196078431372544</v>
      </c>
      <c r="J16" s="1">
        <v>0.5607843137254902</v>
      </c>
      <c r="K16" s="1">
        <v>0.69411764705882351</v>
      </c>
      <c r="L16" s="1">
        <v>0.70196078431372544</v>
      </c>
      <c r="M16" s="1">
        <v>0.69411764705882351</v>
      </c>
      <c r="N16" s="1">
        <v>0.69411764705882351</v>
      </c>
      <c r="O16" s="1">
        <v>0.70196078431372544</v>
      </c>
      <c r="P16" s="1">
        <v>0.70588235294117652</v>
      </c>
      <c r="Q16" s="1">
        <v>0.69803921568627447</v>
      </c>
      <c r="R16" s="1">
        <v>0.55294117647058827</v>
      </c>
      <c r="S16" s="1">
        <v>0.70196078431372544</v>
      </c>
      <c r="T16" s="1">
        <v>0.69411764705882351</v>
      </c>
      <c r="U16" s="1">
        <v>0.70196078431372544</v>
      </c>
      <c r="V16" s="1">
        <v>0.69411764705882351</v>
      </c>
      <c r="W16" s="1">
        <v>0.70196078431372544</v>
      </c>
      <c r="X16" s="1">
        <v>0.5607843137254902</v>
      </c>
      <c r="Y16" s="1">
        <v>0.5607843137254902</v>
      </c>
      <c r="Z16" s="1">
        <v>0.70196078431372544</v>
      </c>
      <c r="AA16" s="1">
        <v>0.5607843137254902</v>
      </c>
      <c r="AB16" s="1">
        <v>0.69803921568627447</v>
      </c>
      <c r="AC16" s="1">
        <v>0.55686274509803924</v>
      </c>
      <c r="AD16" s="1">
        <v>0.5607843137254902</v>
      </c>
      <c r="AE16" s="1">
        <v>0.5607843137254902</v>
      </c>
      <c r="AF16" s="1">
        <v>0.56862745098039214</v>
      </c>
      <c r="AG16" s="1">
        <v>0.70196078431372544</v>
      </c>
    </row>
    <row r="17" spans="1:33">
      <c r="A17" s="16">
        <f>A16+Calculations!$B$4</f>
        <v>16.600000000000001</v>
      </c>
      <c r="B17" s="1">
        <v>0.63921568627450975</v>
      </c>
      <c r="C17" s="1">
        <v>0.65098039215686276</v>
      </c>
      <c r="D17" s="1">
        <v>0.63921568627450975</v>
      </c>
      <c r="E17" s="1">
        <v>0.63921568627450975</v>
      </c>
      <c r="F17" s="1">
        <v>0.63921568627450975</v>
      </c>
      <c r="G17" s="1">
        <v>0.63921568627450975</v>
      </c>
      <c r="H17" s="1">
        <v>0.63529411764705879</v>
      </c>
      <c r="I17" s="1">
        <v>0.63921568627450975</v>
      </c>
      <c r="J17" s="1">
        <v>0.49803921568627452</v>
      </c>
      <c r="K17" s="1">
        <v>0.63137254901960782</v>
      </c>
      <c r="L17" s="1">
        <v>0.63529411764705879</v>
      </c>
      <c r="M17" s="1">
        <v>0.63137254901960782</v>
      </c>
      <c r="N17" s="1">
        <v>0.63137254901960782</v>
      </c>
      <c r="O17" s="1">
        <v>0.63921568627450975</v>
      </c>
      <c r="P17" s="1">
        <v>0.6470588235294118</v>
      </c>
      <c r="Q17" s="1">
        <v>0.63921568627450975</v>
      </c>
      <c r="R17" s="1">
        <v>0.49803921568627452</v>
      </c>
      <c r="S17" s="1">
        <v>0.63921568627450975</v>
      </c>
      <c r="T17" s="1">
        <v>0.63137254901960782</v>
      </c>
      <c r="U17" s="1">
        <v>0.63921568627450975</v>
      </c>
      <c r="V17" s="1">
        <v>0.63137254901960782</v>
      </c>
      <c r="W17" s="1">
        <v>0.63921568627450975</v>
      </c>
      <c r="X17" s="1">
        <v>0.49803921568627452</v>
      </c>
      <c r="Y17" s="1">
        <v>0.50588235294117645</v>
      </c>
      <c r="Z17" s="1">
        <v>0.6470588235294118</v>
      </c>
      <c r="AA17" s="1">
        <v>0.49019607843137253</v>
      </c>
      <c r="AB17" s="1">
        <v>0.63921568627450975</v>
      </c>
      <c r="AC17" s="1">
        <v>0.49803921568627452</v>
      </c>
      <c r="AD17" s="1">
        <v>0.50588235294117645</v>
      </c>
      <c r="AE17" s="1">
        <v>0.50588235294117645</v>
      </c>
      <c r="AF17" s="1">
        <v>0.51372549019607838</v>
      </c>
      <c r="AG17" s="1">
        <v>0.63921568627450975</v>
      </c>
    </row>
    <row r="18" spans="1:33">
      <c r="A18" s="16">
        <f>A17+Calculations!$B$4</f>
        <v>17.600000000000001</v>
      </c>
      <c r="B18" s="1">
        <v>0.59215686274509804</v>
      </c>
      <c r="C18" s="1">
        <v>0.59607843137254901</v>
      </c>
      <c r="D18" s="1">
        <v>0.59215686274509804</v>
      </c>
      <c r="E18" s="1">
        <v>0.58823529411764708</v>
      </c>
      <c r="F18" s="1">
        <v>0.58823529411764708</v>
      </c>
      <c r="G18" s="1">
        <v>0.58823529411764708</v>
      </c>
      <c r="H18" s="1">
        <v>0.58431372549019611</v>
      </c>
      <c r="I18" s="1">
        <v>0.58823529411764708</v>
      </c>
      <c r="J18" s="1">
        <v>0.44313725490196076</v>
      </c>
      <c r="K18" s="1">
        <v>0.58431372549019611</v>
      </c>
      <c r="L18" s="1">
        <v>0.58823529411764708</v>
      </c>
      <c r="M18" s="1">
        <v>0.58431372549019611</v>
      </c>
      <c r="N18" s="1">
        <v>0.58039215686274515</v>
      </c>
      <c r="O18" s="1">
        <v>0.58431372549019611</v>
      </c>
      <c r="P18" s="1">
        <v>0.58823529411764708</v>
      </c>
      <c r="Q18" s="1">
        <v>0.58039215686274515</v>
      </c>
      <c r="R18" s="1">
        <v>0.4392156862745098</v>
      </c>
      <c r="S18" s="1">
        <v>0.58431372549019611</v>
      </c>
      <c r="T18" s="1">
        <v>0.57647058823529407</v>
      </c>
      <c r="U18" s="1">
        <v>0.58823529411764708</v>
      </c>
      <c r="V18" s="1">
        <v>0.58431372549019611</v>
      </c>
      <c r="W18" s="1">
        <v>0.59215686274509804</v>
      </c>
      <c r="X18" s="1">
        <v>0.45490196078431372</v>
      </c>
      <c r="Y18" s="1">
        <v>0.45490196078431372</v>
      </c>
      <c r="Z18" s="1">
        <v>0.59607843137254901</v>
      </c>
      <c r="AA18" s="1">
        <v>0.45098039215686275</v>
      </c>
      <c r="AB18" s="1">
        <v>0.58823529411764708</v>
      </c>
      <c r="AC18" s="1">
        <v>0.44705882352941179</v>
      </c>
      <c r="AD18" s="1">
        <v>0.45098039215686275</v>
      </c>
      <c r="AE18" s="1">
        <v>0.45098039215686275</v>
      </c>
      <c r="AF18" s="1">
        <v>0.45882352941176469</v>
      </c>
      <c r="AG18" s="1">
        <v>0.58823529411764708</v>
      </c>
    </row>
    <row r="19" spans="1:33">
      <c r="A19" s="16">
        <f>A18+Calculations!$B$4</f>
        <v>18.600000000000001</v>
      </c>
      <c r="B19" s="1">
        <v>0.5490196078431373</v>
      </c>
      <c r="C19" s="1">
        <v>0.54509803921568623</v>
      </c>
      <c r="D19" s="1">
        <v>0.54117647058823526</v>
      </c>
      <c r="E19" s="1">
        <v>0.54117647058823526</v>
      </c>
      <c r="F19" s="1">
        <v>0.53725490196078429</v>
      </c>
      <c r="G19" s="1">
        <v>0.53725490196078429</v>
      </c>
      <c r="H19" s="1">
        <v>0.53333333333333333</v>
      </c>
      <c r="I19" s="1">
        <v>0.53725490196078429</v>
      </c>
      <c r="J19" s="1">
        <v>0.39215686274509803</v>
      </c>
      <c r="K19" s="1">
        <v>0.54117647058823526</v>
      </c>
      <c r="L19" s="1">
        <v>0.54117647058823526</v>
      </c>
      <c r="M19" s="1">
        <v>0.53333333333333333</v>
      </c>
      <c r="N19" s="1">
        <v>0.53333333333333333</v>
      </c>
      <c r="O19" s="1">
        <v>0.53725490196078429</v>
      </c>
      <c r="P19" s="1">
        <v>0.54117647058823526</v>
      </c>
      <c r="Q19" s="1">
        <v>0.54117647058823526</v>
      </c>
      <c r="R19" s="1">
        <v>0.396078431372549</v>
      </c>
      <c r="S19" s="1">
        <v>0.54117647058823526</v>
      </c>
      <c r="T19" s="1">
        <v>0.52549019607843139</v>
      </c>
      <c r="U19" s="1">
        <v>0.54117647058823526</v>
      </c>
      <c r="V19" s="1">
        <v>0.53725490196078429</v>
      </c>
      <c r="W19" s="1">
        <v>0.53725490196078429</v>
      </c>
      <c r="X19" s="1">
        <v>0.40392156862745099</v>
      </c>
      <c r="Y19" s="1">
        <v>0.396078431372549</v>
      </c>
      <c r="Z19" s="1">
        <v>0.54117647058823526</v>
      </c>
      <c r="AA19" s="1">
        <v>0.40784313725490196</v>
      </c>
      <c r="AB19" s="1">
        <v>0.54117647058823526</v>
      </c>
      <c r="AC19" s="1">
        <v>0.40784313725490196</v>
      </c>
      <c r="AD19" s="1">
        <v>0.40392156862745099</v>
      </c>
      <c r="AE19" s="1">
        <v>0.4</v>
      </c>
      <c r="AF19" s="1">
        <v>0.40784313725490196</v>
      </c>
      <c r="AG19" s="1">
        <v>0.54117647058823526</v>
      </c>
    </row>
    <row r="20" spans="1:33">
      <c r="A20" s="16">
        <f>A19+Calculations!$B$4</f>
        <v>19.600000000000001</v>
      </c>
      <c r="B20" s="1">
        <v>0.50196078431372548</v>
      </c>
      <c r="C20" s="1">
        <v>0.50980392156862742</v>
      </c>
      <c r="D20" s="1">
        <v>0.50196078431372548</v>
      </c>
      <c r="E20" s="1">
        <v>0.50196078431372548</v>
      </c>
      <c r="F20" s="1">
        <v>0.50196078431372548</v>
      </c>
      <c r="G20" s="1">
        <v>0.50196078431372548</v>
      </c>
      <c r="H20" s="1">
        <v>0.49411764705882355</v>
      </c>
      <c r="I20" s="1">
        <v>0.50196078431372548</v>
      </c>
      <c r="J20" s="1">
        <v>0.35294117647058826</v>
      </c>
      <c r="K20" s="1">
        <v>0.49411764705882355</v>
      </c>
      <c r="L20" s="1">
        <v>0.50196078431372548</v>
      </c>
      <c r="M20" s="1">
        <v>0.49411764705882355</v>
      </c>
      <c r="N20" s="1">
        <v>0.49411764705882355</v>
      </c>
      <c r="O20" s="1">
        <v>0.49411764705882355</v>
      </c>
      <c r="P20" s="1">
        <v>0.50588235294117645</v>
      </c>
      <c r="Q20" s="1">
        <v>0.50196078431372548</v>
      </c>
      <c r="R20" s="1">
        <v>0.35294117647058826</v>
      </c>
      <c r="S20" s="1">
        <v>0.49803921568627452</v>
      </c>
      <c r="T20" s="1">
        <v>0.48627450980392156</v>
      </c>
      <c r="U20" s="1">
        <v>0.50196078431372548</v>
      </c>
      <c r="V20" s="1">
        <v>0.50196078431372548</v>
      </c>
      <c r="W20" s="1">
        <v>0.50196078431372548</v>
      </c>
      <c r="X20" s="1">
        <v>0.35686274509803922</v>
      </c>
      <c r="Y20" s="1">
        <v>0.36470588235294116</v>
      </c>
      <c r="Z20" s="1">
        <v>0.49803921568627452</v>
      </c>
      <c r="AA20" s="1">
        <v>0.36078431372549019</v>
      </c>
      <c r="AB20" s="1">
        <v>0.50196078431372548</v>
      </c>
      <c r="AC20" s="1">
        <v>0.36078431372549019</v>
      </c>
      <c r="AD20" s="1">
        <v>0.36078431372549019</v>
      </c>
      <c r="AE20" s="1">
        <v>0.36470588235294116</v>
      </c>
      <c r="AF20" s="1">
        <v>0.36862745098039218</v>
      </c>
      <c r="AG20" s="1">
        <v>0.49411764705882355</v>
      </c>
    </row>
    <row r="21" spans="1:33">
      <c r="A21" s="16">
        <f>A20+Calculations!$B$4</f>
        <v>20.6</v>
      </c>
      <c r="B21" s="1">
        <v>0.47058823529411764</v>
      </c>
      <c r="C21" s="1">
        <v>0.47058823529411764</v>
      </c>
      <c r="D21" s="1">
        <v>0.46666666666666667</v>
      </c>
      <c r="E21" s="1">
        <v>0.46274509803921571</v>
      </c>
      <c r="F21" s="1">
        <v>0.47058823529411764</v>
      </c>
      <c r="G21" s="1">
        <v>0.47058823529411764</v>
      </c>
      <c r="H21" s="1">
        <v>0.46274509803921571</v>
      </c>
      <c r="I21" s="1">
        <v>0.46274509803921571</v>
      </c>
      <c r="J21" s="1">
        <v>0.32156862745098042</v>
      </c>
      <c r="K21" s="1">
        <v>0.46274509803921571</v>
      </c>
      <c r="L21" s="1">
        <v>0.47058823529411764</v>
      </c>
      <c r="M21" s="1">
        <v>0.46274509803921571</v>
      </c>
      <c r="N21" s="1">
        <v>0.46274509803921571</v>
      </c>
      <c r="O21" s="1">
        <v>0.46274509803921571</v>
      </c>
      <c r="P21" s="1">
        <v>0.46274509803921571</v>
      </c>
      <c r="Q21" s="1">
        <v>0.47058823529411764</v>
      </c>
      <c r="R21" s="1">
        <v>0.32156862745098042</v>
      </c>
      <c r="S21" s="1">
        <v>0.46274509803921571</v>
      </c>
      <c r="T21" s="1">
        <v>0.45882352941176469</v>
      </c>
      <c r="U21" s="1">
        <v>0.46274509803921571</v>
      </c>
      <c r="V21" s="1">
        <v>0.47058823529411764</v>
      </c>
      <c r="W21" s="1">
        <v>0.46274509803921571</v>
      </c>
      <c r="X21" s="1">
        <v>0.32156862745098042</v>
      </c>
      <c r="Y21" s="1">
        <v>0.32156862745098042</v>
      </c>
      <c r="Z21" s="1">
        <v>0.47058823529411764</v>
      </c>
      <c r="AA21" s="1">
        <v>0.32156862745098042</v>
      </c>
      <c r="AB21" s="1">
        <v>0.47058823529411764</v>
      </c>
      <c r="AC21" s="1">
        <v>0.33333333333333331</v>
      </c>
      <c r="AD21" s="1">
        <v>0.32941176470588235</v>
      </c>
      <c r="AE21" s="1">
        <v>0.32549019607843138</v>
      </c>
      <c r="AF21" s="1">
        <v>0.33725490196078434</v>
      </c>
      <c r="AG21" s="1">
        <v>0.45882352941176469</v>
      </c>
    </row>
    <row r="22" spans="1:33">
      <c r="A22" s="16">
        <f>A21+Calculations!$B$4</f>
        <v>21.6</v>
      </c>
      <c r="B22" s="1">
        <v>0.4392156862745098</v>
      </c>
      <c r="C22" s="1">
        <v>0.4392156862745098</v>
      </c>
      <c r="D22" s="1">
        <v>0.4392156862745098</v>
      </c>
      <c r="E22" s="1">
        <v>0.4392156862745098</v>
      </c>
      <c r="F22" s="1">
        <v>0.4392156862745098</v>
      </c>
      <c r="G22" s="1">
        <v>0.4392156862745098</v>
      </c>
      <c r="H22" s="1">
        <v>0.4392156862745098</v>
      </c>
      <c r="I22" s="1">
        <v>0.43137254901960786</v>
      </c>
      <c r="J22" s="1">
        <v>0.29019607843137257</v>
      </c>
      <c r="K22" s="1">
        <v>0.43137254901960786</v>
      </c>
      <c r="L22" s="1">
        <v>0.43529411764705883</v>
      </c>
      <c r="M22" s="1">
        <v>0.43137254901960786</v>
      </c>
      <c r="N22" s="1">
        <v>0.43137254901960786</v>
      </c>
      <c r="O22" s="1">
        <v>0.43137254901960786</v>
      </c>
      <c r="P22" s="1">
        <v>0.4392156862745098</v>
      </c>
      <c r="Q22" s="1">
        <v>0.43137254901960786</v>
      </c>
      <c r="R22" s="1">
        <v>0.29019607843137257</v>
      </c>
      <c r="S22" s="1">
        <v>0.4392156862745098</v>
      </c>
      <c r="T22" s="1">
        <v>0.43529411764705883</v>
      </c>
      <c r="U22" s="1">
        <v>0.4392156862745098</v>
      </c>
      <c r="V22" s="1">
        <v>0.4392156862745098</v>
      </c>
      <c r="W22" s="1">
        <v>0.43529411764705883</v>
      </c>
      <c r="X22" s="1">
        <v>0.29803921568627451</v>
      </c>
      <c r="Y22" s="1">
        <v>0.29019607843137257</v>
      </c>
      <c r="Z22" s="1">
        <v>0.4392156862745098</v>
      </c>
      <c r="AA22" s="1">
        <v>0.29411764705882354</v>
      </c>
      <c r="AB22" s="1">
        <v>0.44313725490196076</v>
      </c>
      <c r="AC22" s="1">
        <v>0.29019607843137257</v>
      </c>
      <c r="AD22" s="1">
        <v>0.29803921568627451</v>
      </c>
      <c r="AE22" s="1">
        <v>0.29019607843137257</v>
      </c>
      <c r="AF22" s="1">
        <v>0.29803921568627451</v>
      </c>
      <c r="AG22" s="1">
        <v>0.43137254901960786</v>
      </c>
    </row>
    <row r="23" spans="1:33">
      <c r="A23" s="16">
        <f>A22+Calculations!$B$4</f>
        <v>22.6</v>
      </c>
      <c r="B23" s="1">
        <v>0.41568627450980394</v>
      </c>
      <c r="C23" s="1">
        <v>0.41568627450980394</v>
      </c>
      <c r="D23" s="1">
        <v>0.41176470588235292</v>
      </c>
      <c r="E23" s="1">
        <v>0.41176470588235292</v>
      </c>
      <c r="F23" s="1">
        <v>0.41568627450980394</v>
      </c>
      <c r="G23" s="1">
        <v>0.41176470588235292</v>
      </c>
      <c r="H23" s="1">
        <v>0.40784313725490196</v>
      </c>
      <c r="I23" s="1">
        <v>0.40784313725490196</v>
      </c>
      <c r="J23" s="1">
        <v>0.26666666666666666</v>
      </c>
      <c r="K23" s="1">
        <v>0.41176470588235292</v>
      </c>
      <c r="L23" s="1">
        <v>0.41176470588235292</v>
      </c>
      <c r="M23" s="1">
        <v>0.40392156862745099</v>
      </c>
      <c r="N23" s="1">
        <v>0.40784313725490196</v>
      </c>
      <c r="O23" s="1">
        <v>0.40784313725490196</v>
      </c>
      <c r="P23" s="1">
        <v>0.41568627450980394</v>
      </c>
      <c r="Q23" s="1">
        <v>0.41568627450980394</v>
      </c>
      <c r="R23" s="1">
        <v>0.27058823529411763</v>
      </c>
      <c r="S23" s="1">
        <v>0.41176470588235292</v>
      </c>
      <c r="T23" s="1">
        <v>0.40784313725490196</v>
      </c>
      <c r="U23" s="1">
        <v>0.41960784313725491</v>
      </c>
      <c r="V23" s="1">
        <v>0.41568627450980394</v>
      </c>
      <c r="W23" s="1">
        <v>0.40784313725490196</v>
      </c>
      <c r="X23" s="1">
        <v>0.27058823529411763</v>
      </c>
      <c r="Y23" s="1">
        <v>0.27843137254901962</v>
      </c>
      <c r="Z23" s="1">
        <v>0.42352941176470588</v>
      </c>
      <c r="AA23" s="1">
        <v>0.27058823529411763</v>
      </c>
      <c r="AB23" s="1">
        <v>0.41176470588235292</v>
      </c>
      <c r="AC23" s="1">
        <v>0.26666666666666666</v>
      </c>
      <c r="AD23" s="1">
        <v>0.27450980392156865</v>
      </c>
      <c r="AE23" s="1">
        <v>0.27450980392156865</v>
      </c>
      <c r="AF23" s="1">
        <v>0.27450980392156865</v>
      </c>
      <c r="AG23" s="1">
        <v>0.40784313725490196</v>
      </c>
    </row>
    <row r="24" spans="1:33">
      <c r="A24" s="16">
        <f>A23+Calculations!$B$4</f>
        <v>23.6</v>
      </c>
      <c r="B24" s="1">
        <v>0.396078431372549</v>
      </c>
      <c r="C24" s="1">
        <v>0.38823529411764707</v>
      </c>
      <c r="D24" s="1">
        <v>0.39215686274509803</v>
      </c>
      <c r="E24" s="1">
        <v>0.39215686274509803</v>
      </c>
      <c r="F24" s="1">
        <v>0.396078431372549</v>
      </c>
      <c r="G24" s="1">
        <v>0.38823529411764707</v>
      </c>
      <c r="H24" s="1">
        <v>0.38823529411764707</v>
      </c>
      <c r="I24" s="1">
        <v>0.38823529411764707</v>
      </c>
      <c r="J24" s="1">
        <v>0.24313725490196078</v>
      </c>
      <c r="K24" s="1">
        <v>0.38823529411764707</v>
      </c>
      <c r="L24" s="1">
        <v>0.3843137254901961</v>
      </c>
      <c r="M24" s="1">
        <v>0.3843137254901961</v>
      </c>
      <c r="N24" s="1">
        <v>0.3843137254901961</v>
      </c>
      <c r="O24" s="1">
        <v>0.38039215686274508</v>
      </c>
      <c r="P24" s="1">
        <v>0.38823529411764707</v>
      </c>
      <c r="Q24" s="1">
        <v>0.39215686274509803</v>
      </c>
      <c r="R24" s="1">
        <v>0.24705882352941178</v>
      </c>
      <c r="S24" s="1">
        <v>0.38823529411764707</v>
      </c>
      <c r="T24" s="1">
        <v>0.39215686274509803</v>
      </c>
      <c r="U24" s="1">
        <v>0.38823529411764707</v>
      </c>
      <c r="V24" s="1">
        <v>0.39215686274509803</v>
      </c>
      <c r="W24" s="1">
        <v>0.38039215686274508</v>
      </c>
      <c r="X24" s="1">
        <v>0.24705882352941178</v>
      </c>
      <c r="Y24" s="1">
        <v>0.25490196078431371</v>
      </c>
      <c r="Z24" s="1">
        <v>0.396078431372549</v>
      </c>
      <c r="AA24" s="1">
        <v>0.24705882352941178</v>
      </c>
      <c r="AB24" s="1">
        <v>0.38823529411764707</v>
      </c>
      <c r="AC24" s="1">
        <v>0.25098039215686274</v>
      </c>
      <c r="AD24" s="1">
        <v>0.25098039215686274</v>
      </c>
      <c r="AE24" s="1">
        <v>0.24313725490196078</v>
      </c>
      <c r="AF24" s="1">
        <v>0.25098039215686274</v>
      </c>
      <c r="AG24" s="1">
        <v>0.38039215686274508</v>
      </c>
    </row>
    <row r="25" spans="1:33">
      <c r="A25" s="16">
        <f>A24+Calculations!$B$4</f>
        <v>24.6</v>
      </c>
      <c r="B25" s="1">
        <v>0.37254901960784315</v>
      </c>
      <c r="C25" s="1">
        <v>0.37254901960784315</v>
      </c>
      <c r="D25" s="1">
        <v>0.36470588235294116</v>
      </c>
      <c r="E25" s="1">
        <v>0.37254901960784315</v>
      </c>
      <c r="F25" s="1">
        <v>0.37254901960784315</v>
      </c>
      <c r="G25" s="1">
        <v>0.36862745098039218</v>
      </c>
      <c r="H25" s="1">
        <v>0.36862745098039218</v>
      </c>
      <c r="I25" s="1">
        <v>0.36862745098039218</v>
      </c>
      <c r="J25" s="1">
        <v>0.22745098039215686</v>
      </c>
      <c r="K25" s="1">
        <v>0.36862745098039218</v>
      </c>
      <c r="L25" s="1">
        <v>0.36862745098039218</v>
      </c>
      <c r="M25" s="1">
        <v>0.36470588235294116</v>
      </c>
      <c r="N25" s="1">
        <v>0.36470588235294116</v>
      </c>
      <c r="O25" s="1">
        <v>0.36470588235294116</v>
      </c>
      <c r="P25" s="1">
        <v>0.37647058823529411</v>
      </c>
      <c r="Q25" s="1">
        <v>0.37254901960784315</v>
      </c>
      <c r="R25" s="1">
        <v>0.23137254901960785</v>
      </c>
      <c r="S25" s="1">
        <v>0.36862745098039218</v>
      </c>
      <c r="T25" s="1">
        <v>0.37254901960784315</v>
      </c>
      <c r="U25" s="1">
        <v>0.36862745098039218</v>
      </c>
      <c r="V25" s="1">
        <v>0.38039215686274508</v>
      </c>
      <c r="W25" s="1">
        <v>0.36078431372549019</v>
      </c>
      <c r="X25" s="1">
        <v>0.23137254901960785</v>
      </c>
      <c r="Y25" s="1">
        <v>0.23529411764705882</v>
      </c>
      <c r="Z25" s="1">
        <v>0.37647058823529411</v>
      </c>
      <c r="AA25" s="1">
        <v>0.23137254901960785</v>
      </c>
      <c r="AB25" s="1">
        <v>0.37254901960784315</v>
      </c>
      <c r="AC25" s="1">
        <v>0.23137254901960785</v>
      </c>
      <c r="AD25" s="1">
        <v>0.23137254901960785</v>
      </c>
      <c r="AE25" s="1">
        <v>0.23529411764705882</v>
      </c>
      <c r="AF25" s="1">
        <v>0.23921568627450981</v>
      </c>
      <c r="AG25" s="1">
        <v>0.36078431372549019</v>
      </c>
    </row>
    <row r="26" spans="1:33">
      <c r="A26" s="16">
        <f>A25+Calculations!$B$4</f>
        <v>25.6</v>
      </c>
      <c r="B26" s="1">
        <v>0.34901960784313724</v>
      </c>
      <c r="C26" s="1">
        <v>0.35686274509803922</v>
      </c>
      <c r="D26" s="1">
        <v>0.35294117647058826</v>
      </c>
      <c r="E26" s="1">
        <v>0.34901960784313724</v>
      </c>
      <c r="F26" s="1">
        <v>0.34901960784313724</v>
      </c>
      <c r="G26" s="1">
        <v>0.34509803921568627</v>
      </c>
      <c r="H26" s="1">
        <v>0.34901960784313724</v>
      </c>
      <c r="I26" s="1">
        <v>0.34509803921568627</v>
      </c>
      <c r="J26" s="1">
        <v>0.20784313725490197</v>
      </c>
      <c r="K26" s="1">
        <v>0.35294117647058826</v>
      </c>
      <c r="L26" s="1">
        <v>0.35294117647058826</v>
      </c>
      <c r="M26" s="1">
        <v>0.34901960784313724</v>
      </c>
      <c r="N26" s="1">
        <v>0.34509803921568627</v>
      </c>
      <c r="O26" s="1">
        <v>0.35294117647058826</v>
      </c>
      <c r="P26" s="1">
        <v>0.35686274509803922</v>
      </c>
      <c r="Q26" s="1">
        <v>0.34901960784313724</v>
      </c>
      <c r="R26" s="1">
        <v>0.20392156862745098</v>
      </c>
      <c r="S26" s="1">
        <v>0.35686274509803922</v>
      </c>
      <c r="T26" s="1">
        <v>0.34509803921568627</v>
      </c>
      <c r="U26" s="1">
        <v>0.35294117647058826</v>
      </c>
      <c r="V26" s="1">
        <v>0.35686274509803922</v>
      </c>
      <c r="W26" s="1">
        <v>0.34901960784313724</v>
      </c>
      <c r="X26" s="1">
        <v>0.20392156862745098</v>
      </c>
      <c r="Y26" s="1">
        <v>0.20784313725490197</v>
      </c>
      <c r="Z26" s="1">
        <v>0.35686274509803922</v>
      </c>
      <c r="AA26" s="1">
        <v>0.21176470588235294</v>
      </c>
      <c r="AB26" s="1">
        <v>0.35686274509803922</v>
      </c>
      <c r="AC26" s="1">
        <v>0.21176470588235294</v>
      </c>
      <c r="AD26" s="1">
        <v>0.21176470588235294</v>
      </c>
      <c r="AE26" s="1">
        <v>0.20392156862745098</v>
      </c>
      <c r="AF26" s="1">
        <v>0.2196078431372549</v>
      </c>
      <c r="AG26" s="1">
        <v>0.34901960784313724</v>
      </c>
    </row>
    <row r="27" spans="1:33">
      <c r="A27" s="16">
        <f>A26+Calculations!$B$4</f>
        <v>26.6</v>
      </c>
      <c r="B27" s="1">
        <v>0.33333333333333331</v>
      </c>
      <c r="C27" s="1">
        <v>0.3411764705882353</v>
      </c>
      <c r="D27" s="1">
        <v>0.33333333333333331</v>
      </c>
      <c r="E27" s="1">
        <v>0.33333333333333331</v>
      </c>
      <c r="F27" s="1">
        <v>0.33333333333333331</v>
      </c>
      <c r="G27" s="1">
        <v>0.32156862745098042</v>
      </c>
      <c r="H27" s="1">
        <v>0.33333333333333331</v>
      </c>
      <c r="I27" s="1">
        <v>0.32941176470588235</v>
      </c>
      <c r="J27" s="1">
        <v>0.18823529411764706</v>
      </c>
      <c r="K27" s="1">
        <v>0.32549019607843138</v>
      </c>
      <c r="L27" s="1">
        <v>0.33333333333333331</v>
      </c>
      <c r="M27" s="1">
        <v>0.32549019607843138</v>
      </c>
      <c r="N27" s="1">
        <v>0.32549019607843138</v>
      </c>
      <c r="O27" s="1">
        <v>0.32941176470588235</v>
      </c>
      <c r="P27" s="1">
        <v>0.34509803921568627</v>
      </c>
      <c r="Q27" s="1">
        <v>0.33333333333333331</v>
      </c>
      <c r="R27" s="1">
        <v>0.18823529411764706</v>
      </c>
      <c r="S27" s="1">
        <v>0.33725490196078434</v>
      </c>
      <c r="T27" s="1">
        <v>0.32156862745098042</v>
      </c>
      <c r="U27" s="1">
        <v>0.33725490196078434</v>
      </c>
      <c r="V27" s="1">
        <v>0.33725490196078434</v>
      </c>
      <c r="W27" s="1">
        <v>0.32941176470588235</v>
      </c>
      <c r="X27" s="1">
        <v>0.18823529411764706</v>
      </c>
      <c r="Y27" s="1">
        <v>0.2</v>
      </c>
      <c r="Z27" s="1">
        <v>0.33725490196078434</v>
      </c>
      <c r="AA27" s="1">
        <v>0.18823529411764706</v>
      </c>
      <c r="AB27" s="1">
        <v>0.33725490196078434</v>
      </c>
      <c r="AC27" s="1">
        <v>0.18823529411764706</v>
      </c>
      <c r="AD27" s="1">
        <v>0.19215686274509805</v>
      </c>
      <c r="AE27" s="1">
        <v>0.18823529411764706</v>
      </c>
      <c r="AF27" s="1">
        <v>0.19607843137254902</v>
      </c>
      <c r="AG27" s="1">
        <v>0.33333333333333331</v>
      </c>
    </row>
    <row r="28" spans="1:33">
      <c r="A28" s="16">
        <f>A27+Calculations!$B$4</f>
        <v>27.6</v>
      </c>
      <c r="B28" s="1">
        <v>0.32156862745098042</v>
      </c>
      <c r="C28" s="1">
        <v>0.32549019607843138</v>
      </c>
      <c r="D28" s="1">
        <v>0.32156862745098042</v>
      </c>
      <c r="E28" s="1">
        <v>0.31764705882352939</v>
      </c>
      <c r="F28" s="1">
        <v>0.32156862745098042</v>
      </c>
      <c r="G28" s="1">
        <v>0.30980392156862746</v>
      </c>
      <c r="H28" s="1">
        <v>0.31764705882352939</v>
      </c>
      <c r="I28" s="1">
        <v>0.31372549019607843</v>
      </c>
      <c r="J28" s="1">
        <v>0.17647058823529413</v>
      </c>
      <c r="K28" s="1">
        <v>0.31372549019607843</v>
      </c>
      <c r="L28" s="1">
        <v>0.32156862745098042</v>
      </c>
      <c r="M28" s="1">
        <v>0.30980392156862746</v>
      </c>
      <c r="N28" s="1">
        <v>0.31372549019607843</v>
      </c>
      <c r="O28" s="1">
        <v>0.30980392156862746</v>
      </c>
      <c r="P28" s="1">
        <v>0.32941176470588235</v>
      </c>
      <c r="Q28" s="1">
        <v>0.32156862745098042</v>
      </c>
      <c r="R28" s="1">
        <v>0.16862745098039217</v>
      </c>
      <c r="S28" s="1">
        <v>0.31764705882352939</v>
      </c>
      <c r="T28" s="1">
        <v>0.30980392156862746</v>
      </c>
      <c r="U28" s="1">
        <v>0.32549019607843138</v>
      </c>
      <c r="V28" s="1">
        <v>0.31764705882352939</v>
      </c>
      <c r="W28" s="1">
        <v>0.31764705882352939</v>
      </c>
      <c r="X28" s="1">
        <v>0.17254901960784313</v>
      </c>
      <c r="Y28" s="1">
        <v>0.17254901960784313</v>
      </c>
      <c r="Z28" s="1">
        <v>0.32549019607843138</v>
      </c>
      <c r="AA28" s="1">
        <v>0.17254901960784313</v>
      </c>
      <c r="AB28" s="1">
        <v>0.31764705882352939</v>
      </c>
      <c r="AC28" s="1">
        <v>0.17254901960784313</v>
      </c>
      <c r="AD28" s="1">
        <v>0.18431372549019609</v>
      </c>
      <c r="AE28" s="1">
        <v>0.17647058823529413</v>
      </c>
      <c r="AF28" s="1">
        <v>0.1803921568627451</v>
      </c>
      <c r="AG28" s="1">
        <v>0.31764705882352939</v>
      </c>
    </row>
    <row r="29" spans="1:33">
      <c r="A29" s="16">
        <f>A28+Calculations!$B$4</f>
        <v>28.6</v>
      </c>
      <c r="B29" s="1">
        <v>0.30980392156862746</v>
      </c>
      <c r="C29" s="1">
        <v>0.30980392156862746</v>
      </c>
      <c r="D29" s="1">
        <v>0.30196078431372547</v>
      </c>
      <c r="E29" s="1">
        <v>0.30980392156862746</v>
      </c>
      <c r="F29" s="1">
        <v>0.31764705882352939</v>
      </c>
      <c r="G29" s="1">
        <v>0.30196078431372547</v>
      </c>
      <c r="H29" s="1">
        <v>0.30588235294117649</v>
      </c>
      <c r="I29" s="1">
        <v>0.30588235294117649</v>
      </c>
      <c r="J29" s="1">
        <v>0.16078431372549021</v>
      </c>
      <c r="K29" s="1">
        <v>0.30196078431372547</v>
      </c>
      <c r="L29" s="1">
        <v>0.30588235294117649</v>
      </c>
      <c r="M29" s="1">
        <v>0.30196078431372547</v>
      </c>
      <c r="N29" s="1">
        <v>0.30588235294117649</v>
      </c>
      <c r="O29" s="1">
        <v>0.30196078431372547</v>
      </c>
      <c r="P29" s="1">
        <v>0.31372549019607843</v>
      </c>
      <c r="Q29" s="1">
        <v>0.31372549019607843</v>
      </c>
      <c r="R29" s="1">
        <v>0.16470588235294117</v>
      </c>
      <c r="S29" s="1">
        <v>0.30588235294117649</v>
      </c>
      <c r="T29" s="1">
        <v>0.30196078431372547</v>
      </c>
      <c r="U29" s="1">
        <v>0.30588235294117649</v>
      </c>
      <c r="V29" s="1">
        <v>0.31372549019607843</v>
      </c>
      <c r="W29" s="1">
        <v>0.30196078431372547</v>
      </c>
      <c r="X29" s="1">
        <v>0.16862745098039217</v>
      </c>
      <c r="Y29" s="1">
        <v>0.16078431372549021</v>
      </c>
      <c r="Z29" s="1">
        <v>0.31372549019607843</v>
      </c>
      <c r="AA29" s="1">
        <v>0.16078431372549021</v>
      </c>
      <c r="AB29" s="1">
        <v>0.30196078431372547</v>
      </c>
      <c r="AC29" s="1">
        <v>0.15686274509803921</v>
      </c>
      <c r="AD29" s="1">
        <v>0.16862745098039217</v>
      </c>
      <c r="AE29" s="1">
        <v>0.16470588235294117</v>
      </c>
      <c r="AF29" s="1">
        <v>0.17254901960784313</v>
      </c>
      <c r="AG29" s="1">
        <v>0.30980392156862746</v>
      </c>
    </row>
    <row r="30" spans="1:33">
      <c r="A30" s="16">
        <f>A29+Calculations!$B$4</f>
        <v>29.6</v>
      </c>
      <c r="B30" s="1">
        <v>0.30196078431372547</v>
      </c>
      <c r="C30" s="1">
        <v>0.30196078431372547</v>
      </c>
      <c r="D30" s="1">
        <v>0.29803921568627451</v>
      </c>
      <c r="E30" s="1">
        <v>0.29803921568627451</v>
      </c>
      <c r="F30" s="1">
        <v>0.30196078431372547</v>
      </c>
      <c r="G30" s="1">
        <v>0.29411764705882354</v>
      </c>
      <c r="H30" s="1">
        <v>0.29411764705882354</v>
      </c>
      <c r="I30" s="1">
        <v>0.29411764705882354</v>
      </c>
      <c r="J30" s="1">
        <v>0.15294117647058825</v>
      </c>
      <c r="K30" s="1">
        <v>0.29411764705882354</v>
      </c>
      <c r="L30" s="1">
        <v>0.29411764705882354</v>
      </c>
      <c r="M30" s="1">
        <v>0.28627450980392155</v>
      </c>
      <c r="N30" s="1">
        <v>0.29411764705882354</v>
      </c>
      <c r="O30" s="1">
        <v>0.29411764705882354</v>
      </c>
      <c r="P30" s="1">
        <v>0.30980392156862746</v>
      </c>
      <c r="Q30" s="1">
        <v>0.30196078431372547</v>
      </c>
      <c r="R30" s="1">
        <v>0.14901960784313725</v>
      </c>
      <c r="S30" s="1">
        <v>0.29411764705882354</v>
      </c>
      <c r="T30" s="1">
        <v>0.28235294117647058</v>
      </c>
      <c r="U30" s="1">
        <v>0.29803921568627451</v>
      </c>
      <c r="V30" s="1">
        <v>0.29411764705882354</v>
      </c>
      <c r="W30" s="1">
        <v>0.29411764705882354</v>
      </c>
      <c r="X30" s="1">
        <v>0.16078431372549021</v>
      </c>
      <c r="Y30" s="1">
        <v>0.15686274509803921</v>
      </c>
      <c r="Z30" s="1">
        <v>0.30196078431372547</v>
      </c>
      <c r="AA30" s="1">
        <v>0.15294117647058825</v>
      </c>
      <c r="AB30" s="1">
        <v>0.29803921568627451</v>
      </c>
      <c r="AC30" s="1">
        <v>0.16078431372549021</v>
      </c>
      <c r="AD30" s="1">
        <v>0.15294117647058825</v>
      </c>
      <c r="AE30" s="1">
        <v>0.15294117647058825</v>
      </c>
      <c r="AF30" s="1">
        <v>0.16078431372549021</v>
      </c>
      <c r="AG30" s="1">
        <v>0.29803921568627451</v>
      </c>
    </row>
    <row r="31" spans="1:33">
      <c r="A31" s="16">
        <f>A30+Calculations!$B$4</f>
        <v>30.6</v>
      </c>
      <c r="B31" s="1">
        <v>0.29019607843137257</v>
      </c>
      <c r="C31" s="1">
        <v>0.28627450980392155</v>
      </c>
      <c r="D31" s="1">
        <v>0.28627450980392155</v>
      </c>
      <c r="E31" s="1">
        <v>0.28627450980392155</v>
      </c>
      <c r="F31" s="1">
        <v>0.29411764705882354</v>
      </c>
      <c r="G31" s="1">
        <v>0.28235294117647058</v>
      </c>
      <c r="H31" s="1">
        <v>0.27843137254901962</v>
      </c>
      <c r="I31" s="1">
        <v>0.28235294117647058</v>
      </c>
      <c r="J31" s="1">
        <v>0.13725490196078433</v>
      </c>
      <c r="K31" s="1">
        <v>0.28235294117647058</v>
      </c>
      <c r="L31" s="1">
        <v>0.28627450980392155</v>
      </c>
      <c r="M31" s="1">
        <v>0.27843137254901962</v>
      </c>
      <c r="N31" s="1">
        <v>0.28235294117647058</v>
      </c>
      <c r="O31" s="1">
        <v>0.27843137254901962</v>
      </c>
      <c r="P31" s="1">
        <v>0.29411764705882354</v>
      </c>
      <c r="Q31" s="1">
        <v>0.29411764705882354</v>
      </c>
      <c r="R31" s="1">
        <v>0.13725490196078433</v>
      </c>
      <c r="S31" s="1">
        <v>0.28235294117647058</v>
      </c>
      <c r="T31" s="1">
        <v>0.27843137254901962</v>
      </c>
      <c r="U31" s="1">
        <v>0.29019607843137257</v>
      </c>
      <c r="V31" s="1">
        <v>0.27843137254901962</v>
      </c>
      <c r="W31" s="1">
        <v>0.28627450980392155</v>
      </c>
      <c r="X31" s="1">
        <v>0.14509803921568629</v>
      </c>
      <c r="Y31" s="1">
        <v>0.13725490196078433</v>
      </c>
      <c r="Z31" s="1">
        <v>0.29411764705882354</v>
      </c>
      <c r="AA31" s="1">
        <v>0.14509803921568629</v>
      </c>
      <c r="AB31" s="1">
        <v>0.29019607843137257</v>
      </c>
      <c r="AC31" s="1">
        <v>0.13725490196078433</v>
      </c>
      <c r="AD31" s="1">
        <v>0.14509803921568629</v>
      </c>
      <c r="AE31" s="1">
        <v>0.14117647058823529</v>
      </c>
      <c r="AF31" s="1">
        <v>0.14509803921568629</v>
      </c>
      <c r="AG31" s="1">
        <v>0.28627450980392155</v>
      </c>
    </row>
    <row r="32" spans="1:33">
      <c r="A32" s="16">
        <f>A31+Calculations!$B$4</f>
        <v>31.6</v>
      </c>
      <c r="B32" s="1">
        <v>0.28235294117647058</v>
      </c>
      <c r="C32" s="1">
        <v>0.27843137254901962</v>
      </c>
      <c r="D32" s="1">
        <v>0.29019607843137257</v>
      </c>
      <c r="E32" s="1">
        <v>0.28627450980392155</v>
      </c>
      <c r="F32" s="1">
        <v>0.27843137254901962</v>
      </c>
      <c r="G32" s="1">
        <v>0.27843137254901962</v>
      </c>
      <c r="H32" s="1">
        <v>0.27058823529411763</v>
      </c>
      <c r="I32" s="1">
        <v>0.27450980392156865</v>
      </c>
      <c r="J32" s="1">
        <v>0.12941176470588237</v>
      </c>
      <c r="K32" s="1">
        <v>0.27843137254901962</v>
      </c>
      <c r="L32" s="1">
        <v>0.27058823529411763</v>
      </c>
      <c r="M32" s="1">
        <v>0.27058823529411763</v>
      </c>
      <c r="N32" s="1">
        <v>0.27058823529411763</v>
      </c>
      <c r="O32" s="1">
        <v>0.27450980392156865</v>
      </c>
      <c r="P32" s="1">
        <v>0.28235294117647058</v>
      </c>
      <c r="Q32" s="1">
        <v>0.28627450980392155</v>
      </c>
      <c r="R32" s="1">
        <v>0.12941176470588237</v>
      </c>
      <c r="S32" s="1">
        <v>0.28235294117647058</v>
      </c>
      <c r="T32" s="1">
        <v>0.2627450980392157</v>
      </c>
      <c r="U32" s="1">
        <v>0.27450980392156865</v>
      </c>
      <c r="V32" s="1">
        <v>0.27843137254901962</v>
      </c>
      <c r="W32" s="1">
        <v>0.27058823529411763</v>
      </c>
      <c r="X32" s="1">
        <v>0.13333333333333333</v>
      </c>
      <c r="Y32" s="1">
        <v>0.13333333333333333</v>
      </c>
      <c r="Z32" s="1">
        <v>0.28627450980392155</v>
      </c>
      <c r="AA32" s="1">
        <v>0.13725490196078433</v>
      </c>
      <c r="AB32" s="1">
        <v>0.27843137254901962</v>
      </c>
      <c r="AC32" s="1">
        <v>0.13333333333333333</v>
      </c>
      <c r="AD32" s="1">
        <v>0.13725490196078433</v>
      </c>
      <c r="AE32" s="1">
        <v>0.13725490196078433</v>
      </c>
      <c r="AF32" s="1">
        <v>0.14117647058823529</v>
      </c>
      <c r="AG32" s="1">
        <v>0.28235294117647058</v>
      </c>
    </row>
    <row r="33" spans="1:33">
      <c r="A33" s="16">
        <f>A32+Calculations!$B$4</f>
        <v>32.6</v>
      </c>
      <c r="B33" s="1">
        <v>0.27058823529411763</v>
      </c>
      <c r="C33" s="1">
        <v>0.27058823529411763</v>
      </c>
      <c r="D33" s="1">
        <v>0.27058823529411763</v>
      </c>
      <c r="E33" s="1">
        <v>0.27058823529411763</v>
      </c>
      <c r="F33" s="1">
        <v>0.27058823529411763</v>
      </c>
      <c r="G33" s="1">
        <v>0.27058823529411763</v>
      </c>
      <c r="H33" s="1">
        <v>0.2627450980392157</v>
      </c>
      <c r="I33" s="1">
        <v>0.2627450980392157</v>
      </c>
      <c r="J33" s="1">
        <v>0.12549019607843137</v>
      </c>
      <c r="K33" s="1">
        <v>0.2627450980392157</v>
      </c>
      <c r="L33" s="1">
        <v>0.2627450980392157</v>
      </c>
      <c r="M33" s="1">
        <v>0.2627450980392157</v>
      </c>
      <c r="N33" s="1">
        <v>0.2627450980392157</v>
      </c>
      <c r="O33" s="1">
        <v>0.2627450980392157</v>
      </c>
      <c r="P33" s="1">
        <v>0.27058823529411763</v>
      </c>
      <c r="Q33" s="1">
        <v>0.27450980392156865</v>
      </c>
      <c r="R33" s="1">
        <v>0.11764705882352941</v>
      </c>
      <c r="S33" s="1">
        <v>0.26666666666666666</v>
      </c>
      <c r="T33" s="1">
        <v>0.25098039215686274</v>
      </c>
      <c r="U33" s="1">
        <v>0.26666666666666666</v>
      </c>
      <c r="V33" s="1">
        <v>0.27450980392156865</v>
      </c>
      <c r="W33" s="1">
        <v>0.27058823529411763</v>
      </c>
      <c r="X33" s="1">
        <v>0.12549019607843137</v>
      </c>
      <c r="Y33" s="1">
        <v>0.12156862745098039</v>
      </c>
      <c r="Z33" s="1">
        <v>0.28627450980392155</v>
      </c>
      <c r="AA33" s="1">
        <v>0.13333333333333333</v>
      </c>
      <c r="AB33" s="1">
        <v>0.27450980392156865</v>
      </c>
      <c r="AC33" s="1">
        <v>0.12156862745098039</v>
      </c>
      <c r="AD33" s="1">
        <v>0.12941176470588237</v>
      </c>
      <c r="AE33" s="1">
        <v>0.12156862745098039</v>
      </c>
      <c r="AF33" s="1">
        <v>0.12941176470588237</v>
      </c>
      <c r="AG33" s="1">
        <v>0.27058823529411763</v>
      </c>
    </row>
    <row r="34" spans="1:33">
      <c r="A34" s="16">
        <f>A33+Calculations!$B$4</f>
        <v>33.6</v>
      </c>
      <c r="B34" s="1">
        <v>0.2627450980392157</v>
      </c>
      <c r="C34" s="1">
        <v>0.2627450980392157</v>
      </c>
      <c r="D34" s="1">
        <v>0.26666666666666666</v>
      </c>
      <c r="E34" s="1">
        <v>0.2627450980392157</v>
      </c>
      <c r="F34" s="1">
        <v>0.2627450980392157</v>
      </c>
      <c r="G34" s="1">
        <v>0.2627450980392157</v>
      </c>
      <c r="H34" s="1">
        <v>0.25490196078431371</v>
      </c>
      <c r="I34" s="1">
        <v>0.25490196078431371</v>
      </c>
      <c r="J34" s="1">
        <v>0.11372549019607843</v>
      </c>
      <c r="K34" s="1">
        <v>0.25490196078431371</v>
      </c>
      <c r="L34" s="1">
        <v>0.25882352941176473</v>
      </c>
      <c r="M34" s="1">
        <v>0.25490196078431371</v>
      </c>
      <c r="N34" s="1">
        <v>0.25098039215686274</v>
      </c>
      <c r="O34" s="1">
        <v>0.25490196078431371</v>
      </c>
      <c r="P34" s="1">
        <v>0.26666666666666666</v>
      </c>
      <c r="Q34" s="1">
        <v>0.2627450980392157</v>
      </c>
      <c r="R34" s="1">
        <v>0.11372549019607843</v>
      </c>
      <c r="S34" s="1">
        <v>0.2627450980392157</v>
      </c>
      <c r="T34" s="1">
        <v>0.25098039215686274</v>
      </c>
      <c r="U34" s="1">
        <v>0.2627450980392157</v>
      </c>
      <c r="V34" s="1">
        <v>0.25490196078431371</v>
      </c>
      <c r="W34" s="1">
        <v>0.2627450980392157</v>
      </c>
      <c r="X34" s="1">
        <v>0.11372549019607843</v>
      </c>
      <c r="Y34" s="1">
        <v>0.10588235294117647</v>
      </c>
      <c r="Z34" s="1">
        <v>0.26666666666666666</v>
      </c>
      <c r="AA34" s="1">
        <v>0.12549019607843137</v>
      </c>
      <c r="AB34" s="1">
        <v>0.2627450980392157</v>
      </c>
      <c r="AC34" s="1">
        <v>0.11764705882352941</v>
      </c>
      <c r="AD34" s="1">
        <v>0.12156862745098039</v>
      </c>
      <c r="AE34" s="1">
        <v>0.12156862745098039</v>
      </c>
      <c r="AF34" s="1">
        <v>0.11764705882352941</v>
      </c>
      <c r="AG34" s="1">
        <v>0.25490196078431371</v>
      </c>
    </row>
    <row r="35" spans="1:33">
      <c r="A35" s="16">
        <f>A34+Calculations!$B$4</f>
        <v>34.6</v>
      </c>
      <c r="B35" s="1">
        <v>0.25882352941176473</v>
      </c>
      <c r="C35" s="1">
        <v>0.24705882352941178</v>
      </c>
      <c r="D35" s="1">
        <v>0.25490196078431371</v>
      </c>
      <c r="E35" s="1">
        <v>0.25490196078431371</v>
      </c>
      <c r="F35" s="1">
        <v>0.25882352941176473</v>
      </c>
      <c r="G35" s="1">
        <v>0.25490196078431371</v>
      </c>
      <c r="H35" s="1">
        <v>0.25098039215686274</v>
      </c>
      <c r="I35" s="1">
        <v>0.23921568627450981</v>
      </c>
      <c r="J35" s="1">
        <v>0.10980392156862745</v>
      </c>
      <c r="K35" s="1">
        <v>0.24705882352941178</v>
      </c>
      <c r="L35" s="1">
        <v>0.24705882352941178</v>
      </c>
      <c r="M35" s="1">
        <v>0.24705882352941178</v>
      </c>
      <c r="N35" s="1">
        <v>0.24705882352941178</v>
      </c>
      <c r="O35" s="1">
        <v>0.25098039215686274</v>
      </c>
      <c r="P35" s="1">
        <v>0.25490196078431371</v>
      </c>
      <c r="Q35" s="1">
        <v>0.25098039215686274</v>
      </c>
      <c r="R35" s="1">
        <v>0.10196078431372549</v>
      </c>
      <c r="S35" s="1">
        <v>0.25490196078431371</v>
      </c>
      <c r="T35" s="1">
        <v>0.23921568627450981</v>
      </c>
      <c r="U35" s="1">
        <v>0.25098039215686274</v>
      </c>
      <c r="V35" s="1">
        <v>0.24705882352941178</v>
      </c>
      <c r="W35" s="1">
        <v>0.24313725490196078</v>
      </c>
      <c r="X35" s="1">
        <v>0.12156862745098039</v>
      </c>
      <c r="Y35" s="1">
        <v>0.10588235294117647</v>
      </c>
      <c r="Z35" s="1">
        <v>0.2627450980392157</v>
      </c>
      <c r="AA35" s="1">
        <v>0.11372549019607843</v>
      </c>
      <c r="AB35" s="1">
        <v>0.25490196078431371</v>
      </c>
      <c r="AC35" s="1">
        <v>0.11372549019607843</v>
      </c>
      <c r="AD35" s="1">
        <v>0.11764705882352941</v>
      </c>
      <c r="AE35" s="1">
        <v>0.10980392156862745</v>
      </c>
      <c r="AF35" s="1">
        <v>0.11372549019607843</v>
      </c>
      <c r="AG35" s="1">
        <v>0.25490196078431371</v>
      </c>
    </row>
    <row r="36" spans="1:33">
      <c r="A36" s="16">
        <f>A35+Calculations!$B$4</f>
        <v>35.6</v>
      </c>
      <c r="B36" s="1">
        <v>0.24705882352941178</v>
      </c>
      <c r="C36" s="1">
        <v>0.24705882352941178</v>
      </c>
      <c r="D36" s="1">
        <v>0.24705882352941178</v>
      </c>
      <c r="E36" s="1">
        <v>0.24705882352941178</v>
      </c>
      <c r="F36" s="1">
        <v>0.25098039215686274</v>
      </c>
      <c r="G36" s="1">
        <v>0.25098039215686274</v>
      </c>
      <c r="H36" s="1">
        <v>0.23921568627450981</v>
      </c>
      <c r="I36" s="1">
        <v>0.23921568627450981</v>
      </c>
      <c r="J36" s="1">
        <v>9.8039215686274508E-2</v>
      </c>
      <c r="K36" s="1">
        <v>0.23921568627450981</v>
      </c>
      <c r="L36" s="1">
        <v>0.24705882352941178</v>
      </c>
      <c r="M36" s="1">
        <v>0.23921568627450981</v>
      </c>
      <c r="N36" s="1">
        <v>0.23529411764705882</v>
      </c>
      <c r="O36" s="1">
        <v>0.23921568627450981</v>
      </c>
      <c r="P36" s="1">
        <v>0.25098039215686274</v>
      </c>
      <c r="Q36" s="1">
        <v>0.24705882352941178</v>
      </c>
      <c r="R36" s="1">
        <v>9.8039215686274508E-2</v>
      </c>
      <c r="S36" s="1">
        <v>0.24705882352941178</v>
      </c>
      <c r="T36" s="1">
        <v>0.23921568627450981</v>
      </c>
      <c r="U36" s="1">
        <v>0.25098039215686274</v>
      </c>
      <c r="V36" s="1">
        <v>0.24313725490196078</v>
      </c>
      <c r="W36" s="1">
        <v>0.24313725490196078</v>
      </c>
      <c r="X36" s="1">
        <v>0.10588235294117647</v>
      </c>
      <c r="Y36" s="1">
        <v>9.8039215686274508E-2</v>
      </c>
      <c r="Z36" s="1">
        <v>0.24705882352941178</v>
      </c>
      <c r="AA36" s="1">
        <v>0.10588235294117647</v>
      </c>
      <c r="AB36" s="1">
        <v>0.24313725490196078</v>
      </c>
      <c r="AC36" s="1">
        <v>0.10980392156862745</v>
      </c>
      <c r="AD36" s="1">
        <v>0.10588235294117647</v>
      </c>
      <c r="AE36" s="1">
        <v>9.8039215686274508E-2</v>
      </c>
      <c r="AF36" s="1">
        <v>0.10588235294117647</v>
      </c>
      <c r="AG36" s="1">
        <v>0.24705882352941178</v>
      </c>
    </row>
    <row r="37" spans="1:33">
      <c r="A37" s="16">
        <f>A36+Calculations!$B$4</f>
        <v>36.6</v>
      </c>
      <c r="B37" s="1">
        <v>0.23921568627450981</v>
      </c>
      <c r="C37" s="1">
        <v>0.23921568627450981</v>
      </c>
      <c r="D37" s="1">
        <v>0.23921568627450981</v>
      </c>
      <c r="E37" s="1">
        <v>0.24705882352941178</v>
      </c>
      <c r="F37" s="1">
        <v>0.24313725490196078</v>
      </c>
      <c r="G37" s="1">
        <v>0.24313725490196078</v>
      </c>
      <c r="H37" s="1">
        <v>0.23921568627450981</v>
      </c>
      <c r="I37" s="1">
        <v>0.23137254901960785</v>
      </c>
      <c r="J37" s="1">
        <v>9.4117647058823528E-2</v>
      </c>
      <c r="K37" s="1">
        <v>0.23921568627450981</v>
      </c>
      <c r="L37" s="1">
        <v>0.23137254901960785</v>
      </c>
      <c r="M37" s="1">
        <v>0.23921568627450981</v>
      </c>
      <c r="N37" s="1">
        <v>0.23137254901960785</v>
      </c>
      <c r="O37" s="1">
        <v>0.23921568627450981</v>
      </c>
      <c r="P37" s="1">
        <v>0.24313725490196078</v>
      </c>
      <c r="Q37" s="1">
        <v>0.23921568627450981</v>
      </c>
      <c r="R37" s="1">
        <v>9.0196078431372548E-2</v>
      </c>
      <c r="S37" s="1">
        <v>0.23529411764705882</v>
      </c>
      <c r="T37" s="1">
        <v>0.23137254901960785</v>
      </c>
      <c r="U37" s="1">
        <v>0.23921568627450981</v>
      </c>
      <c r="V37" s="1">
        <v>0.23921568627450981</v>
      </c>
      <c r="W37" s="1">
        <v>0.23921568627450981</v>
      </c>
      <c r="X37" s="1">
        <v>9.8039215686274508E-2</v>
      </c>
      <c r="Y37" s="1">
        <v>9.8039215686274508E-2</v>
      </c>
      <c r="Z37" s="1">
        <v>0.23921568627450981</v>
      </c>
      <c r="AA37" s="1">
        <v>0.10196078431372549</v>
      </c>
      <c r="AB37" s="1">
        <v>0.24705882352941178</v>
      </c>
      <c r="AC37" s="1">
        <v>9.8039215686274508E-2</v>
      </c>
      <c r="AD37" s="1">
        <v>0.10196078431372549</v>
      </c>
      <c r="AE37" s="1">
        <v>9.8039215686274508E-2</v>
      </c>
      <c r="AF37" s="1">
        <v>9.8039215686274508E-2</v>
      </c>
      <c r="AG37" s="1">
        <v>0.23921568627450981</v>
      </c>
    </row>
    <row r="38" spans="1:33">
      <c r="A38" s="16">
        <f>A37+Calculations!$B$4</f>
        <v>37.6</v>
      </c>
      <c r="B38" s="1">
        <v>0.23137254901960785</v>
      </c>
      <c r="C38" s="1">
        <v>0.23137254901960785</v>
      </c>
      <c r="D38" s="1">
        <v>0.23529411764705882</v>
      </c>
      <c r="E38" s="1">
        <v>0.23921568627450981</v>
      </c>
      <c r="F38" s="1">
        <v>0.23921568627450981</v>
      </c>
      <c r="G38" s="1">
        <v>0.23921568627450981</v>
      </c>
      <c r="H38" s="1">
        <v>0.23529411764705882</v>
      </c>
      <c r="I38" s="1">
        <v>0.22352941176470589</v>
      </c>
      <c r="J38" s="1">
        <v>8.6274509803921567E-2</v>
      </c>
      <c r="K38" s="1">
        <v>0.22745098039215686</v>
      </c>
      <c r="L38" s="1">
        <v>0.23137254901960785</v>
      </c>
      <c r="M38" s="1">
        <v>0.23137254901960785</v>
      </c>
      <c r="N38" s="1">
        <v>0.22352941176470589</v>
      </c>
      <c r="O38" s="1">
        <v>0.23529411764705882</v>
      </c>
      <c r="P38" s="1">
        <v>0.23921568627450981</v>
      </c>
      <c r="Q38" s="1">
        <v>0.23137254901960785</v>
      </c>
      <c r="R38" s="1">
        <v>8.6274509803921567E-2</v>
      </c>
      <c r="S38" s="1">
        <v>0.23921568627450981</v>
      </c>
      <c r="T38" s="1">
        <v>0.22745098039215686</v>
      </c>
      <c r="U38" s="1">
        <v>0.24313725490196078</v>
      </c>
      <c r="V38" s="1">
        <v>0.23529411764705882</v>
      </c>
      <c r="W38" s="1">
        <v>0.23137254901960785</v>
      </c>
      <c r="X38" s="1">
        <v>9.8039215686274508E-2</v>
      </c>
      <c r="Y38" s="1">
        <v>9.0196078431372548E-2</v>
      </c>
      <c r="Z38" s="1">
        <v>0.22745098039215686</v>
      </c>
      <c r="AA38" s="1">
        <v>9.4117647058823528E-2</v>
      </c>
      <c r="AB38" s="1">
        <v>0.23921568627450981</v>
      </c>
      <c r="AC38" s="1">
        <v>9.0196078431372548E-2</v>
      </c>
      <c r="AD38" s="1">
        <v>9.8039215686274508E-2</v>
      </c>
      <c r="AE38" s="1">
        <v>8.6274509803921567E-2</v>
      </c>
      <c r="AF38" s="1">
        <v>9.8039215686274508E-2</v>
      </c>
      <c r="AG38" s="1">
        <v>0.22352941176470589</v>
      </c>
    </row>
    <row r="39" spans="1:33">
      <c r="A39" s="16">
        <f>A38+Calculations!$B$4</f>
        <v>38.6</v>
      </c>
      <c r="B39" s="1">
        <v>0.22352941176470589</v>
      </c>
      <c r="C39" s="1">
        <v>0.22352941176470589</v>
      </c>
      <c r="D39" s="1">
        <v>0.22352941176470589</v>
      </c>
      <c r="E39" s="1">
        <v>0.23137254901960785</v>
      </c>
      <c r="F39" s="1">
        <v>0.23921568627450981</v>
      </c>
      <c r="G39" s="1">
        <v>0.23529411764705882</v>
      </c>
      <c r="H39" s="1">
        <v>0.22745098039215686</v>
      </c>
      <c r="I39" s="1">
        <v>0.21568627450980393</v>
      </c>
      <c r="J39" s="1">
        <v>8.6274509803921567E-2</v>
      </c>
      <c r="K39" s="1">
        <v>0.22352941176470589</v>
      </c>
      <c r="L39" s="1">
        <v>0.22352941176470589</v>
      </c>
      <c r="M39" s="1">
        <v>0.22352941176470589</v>
      </c>
      <c r="N39" s="1">
        <v>0.22745098039215686</v>
      </c>
      <c r="O39" s="1">
        <v>0.22352941176470589</v>
      </c>
      <c r="P39" s="1">
        <v>0.23529411764705882</v>
      </c>
      <c r="Q39" s="1">
        <v>0.22745098039215686</v>
      </c>
      <c r="R39" s="1">
        <v>8.2352941176470587E-2</v>
      </c>
      <c r="S39" s="1">
        <v>0.23137254901960785</v>
      </c>
      <c r="T39" s="1">
        <v>0.22352941176470589</v>
      </c>
      <c r="U39" s="1">
        <v>0.22352941176470589</v>
      </c>
      <c r="V39" s="1">
        <v>0.22352941176470589</v>
      </c>
      <c r="W39" s="1">
        <v>0.2196078431372549</v>
      </c>
      <c r="X39" s="1">
        <v>9.0196078431372548E-2</v>
      </c>
      <c r="Y39" s="1">
        <v>8.2352941176470587E-2</v>
      </c>
      <c r="Z39" s="1">
        <v>0.22745098039215686</v>
      </c>
      <c r="AA39" s="1">
        <v>9.0196078431372548E-2</v>
      </c>
      <c r="AB39" s="1">
        <v>0.23137254901960785</v>
      </c>
      <c r="AC39" s="1">
        <v>8.6274509803921567E-2</v>
      </c>
      <c r="AD39" s="1">
        <v>9.0196078431372548E-2</v>
      </c>
      <c r="AE39" s="1">
        <v>8.2352941176470587E-2</v>
      </c>
      <c r="AF39" s="1">
        <v>9.0196078431372548E-2</v>
      </c>
      <c r="AG39" s="1">
        <v>0.22745098039215686</v>
      </c>
    </row>
    <row r="40" spans="1:33">
      <c r="A40" s="16">
        <f>A39+Calculations!$B$4</f>
        <v>39.6</v>
      </c>
      <c r="B40" s="1">
        <v>0.22352941176470589</v>
      </c>
      <c r="C40" s="1">
        <v>0.22352941176470589</v>
      </c>
      <c r="D40" s="1">
        <v>0.22352941176470589</v>
      </c>
      <c r="E40" s="1">
        <v>0.23137254901960785</v>
      </c>
      <c r="F40" s="1">
        <v>0.23137254901960785</v>
      </c>
      <c r="G40" s="1">
        <v>0.22745098039215686</v>
      </c>
      <c r="H40" s="1">
        <v>0.22745098039215686</v>
      </c>
      <c r="I40" s="1">
        <v>0.21568627450980393</v>
      </c>
      <c r="J40" s="1">
        <v>8.2352941176470587E-2</v>
      </c>
      <c r="K40" s="1">
        <v>0.21568627450980393</v>
      </c>
      <c r="L40" s="1">
        <v>0.22352941176470589</v>
      </c>
      <c r="M40" s="1">
        <v>0.22352941176470589</v>
      </c>
      <c r="N40" s="1">
        <v>0.22352941176470589</v>
      </c>
      <c r="O40" s="1">
        <v>0.21176470588235294</v>
      </c>
      <c r="P40" s="1">
        <v>0.23137254901960785</v>
      </c>
      <c r="Q40" s="1">
        <v>0.22352941176470589</v>
      </c>
      <c r="R40" s="1">
        <v>8.2352941176470587E-2</v>
      </c>
      <c r="S40" s="1">
        <v>0.22745098039215686</v>
      </c>
      <c r="T40" s="1">
        <v>0.2196078431372549</v>
      </c>
      <c r="U40" s="1">
        <v>0.22352941176470589</v>
      </c>
      <c r="V40" s="1">
        <v>0.22352941176470589</v>
      </c>
      <c r="W40" s="1">
        <v>0.22745098039215686</v>
      </c>
      <c r="X40" s="1">
        <v>7.8431372549019607E-2</v>
      </c>
      <c r="Y40" s="1">
        <v>8.2352941176470587E-2</v>
      </c>
      <c r="Z40" s="1">
        <v>0.23137254901960785</v>
      </c>
      <c r="AA40" s="1">
        <v>8.2352941176470587E-2</v>
      </c>
      <c r="AB40" s="1">
        <v>0.23137254901960785</v>
      </c>
      <c r="AC40" s="1">
        <v>7.4509803921568626E-2</v>
      </c>
      <c r="AD40" s="1">
        <v>9.0196078431372548E-2</v>
      </c>
      <c r="AE40" s="1">
        <v>7.4509803921568626E-2</v>
      </c>
      <c r="AF40" s="1">
        <v>8.2352941176470587E-2</v>
      </c>
      <c r="AG40" s="1">
        <v>0.22352941176470589</v>
      </c>
    </row>
    <row r="41" spans="1:33">
      <c r="A41" s="16">
        <f>A40+Calculations!$B$4</f>
        <v>40.6</v>
      </c>
      <c r="B41" s="1">
        <v>0.22352941176470589</v>
      </c>
      <c r="C41" s="1">
        <v>0.22352941176470589</v>
      </c>
      <c r="D41" s="1">
        <v>0.2196078431372549</v>
      </c>
      <c r="E41" s="1">
        <v>0.23137254901960785</v>
      </c>
      <c r="F41" s="1">
        <v>0.22352941176470589</v>
      </c>
      <c r="G41" s="1">
        <v>0.22352941176470589</v>
      </c>
      <c r="H41" s="1">
        <v>0.21568627450980393</v>
      </c>
      <c r="I41" s="1">
        <v>0.21176470588235294</v>
      </c>
      <c r="J41" s="1">
        <v>7.8431372549019607E-2</v>
      </c>
      <c r="K41" s="1">
        <v>0.21176470588235294</v>
      </c>
      <c r="L41" s="1">
        <v>0.21568627450980393</v>
      </c>
      <c r="M41" s="1">
        <v>0.22352941176470589</v>
      </c>
      <c r="N41" s="1">
        <v>0.20784313725490197</v>
      </c>
      <c r="O41" s="1">
        <v>0.21568627450980393</v>
      </c>
      <c r="P41" s="1">
        <v>0.23137254901960785</v>
      </c>
      <c r="Q41" s="1">
        <v>0.22352941176470589</v>
      </c>
      <c r="R41" s="1">
        <v>7.4509803921568626E-2</v>
      </c>
      <c r="S41" s="1">
        <v>0.21568627450980393</v>
      </c>
      <c r="T41" s="1">
        <v>0.21568627450980393</v>
      </c>
      <c r="U41" s="1">
        <v>0.23137254901960785</v>
      </c>
      <c r="V41" s="1">
        <v>0.22352941176470589</v>
      </c>
      <c r="W41" s="1">
        <v>0.22352941176470589</v>
      </c>
      <c r="X41" s="1">
        <v>7.4509803921568626E-2</v>
      </c>
      <c r="Y41" s="1">
        <v>7.4509803921568626E-2</v>
      </c>
      <c r="Z41" s="1">
        <v>0.22352941176470589</v>
      </c>
      <c r="AA41" s="1">
        <v>7.4509803921568626E-2</v>
      </c>
      <c r="AB41" s="1">
        <v>0.21568627450980393</v>
      </c>
      <c r="AC41" s="1">
        <v>7.4509803921568626E-2</v>
      </c>
      <c r="AD41" s="1">
        <v>8.2352941176470587E-2</v>
      </c>
      <c r="AE41" s="1">
        <v>7.8431372549019607E-2</v>
      </c>
      <c r="AF41" s="1">
        <v>7.8431372549019607E-2</v>
      </c>
      <c r="AG41" s="1">
        <v>0.22745098039215686</v>
      </c>
    </row>
    <row r="42" spans="1:33">
      <c r="A42" s="16">
        <f>A41+Calculations!$B$4</f>
        <v>41.6</v>
      </c>
      <c r="B42" s="1">
        <v>0.21568627450980393</v>
      </c>
      <c r="C42" s="1">
        <v>0.21568627450980393</v>
      </c>
      <c r="D42" s="1">
        <v>0.21568627450980393</v>
      </c>
      <c r="E42" s="1">
        <v>0.22352941176470589</v>
      </c>
      <c r="F42" s="1">
        <v>0.2196078431372549</v>
      </c>
      <c r="G42" s="1">
        <v>0.22352941176470589</v>
      </c>
      <c r="H42" s="1">
        <v>0.21568627450980393</v>
      </c>
      <c r="I42" s="1">
        <v>0.20784313725490197</v>
      </c>
      <c r="J42" s="1">
        <v>6.6666666666666666E-2</v>
      </c>
      <c r="K42" s="1">
        <v>0.21568627450980393</v>
      </c>
      <c r="L42" s="1">
        <v>0.21568627450980393</v>
      </c>
      <c r="M42" s="1">
        <v>0.21568627450980393</v>
      </c>
      <c r="N42" s="1">
        <v>0.20784313725490197</v>
      </c>
      <c r="O42" s="1">
        <v>0.20784313725490197</v>
      </c>
      <c r="P42" s="1">
        <v>0.21568627450980393</v>
      </c>
      <c r="Q42" s="1">
        <v>0.20784313725490197</v>
      </c>
      <c r="R42" s="1">
        <v>7.4509803921568626E-2</v>
      </c>
      <c r="S42" s="1">
        <v>0.20784313725490197</v>
      </c>
      <c r="T42" s="1">
        <v>0.21176470588235294</v>
      </c>
      <c r="U42" s="1">
        <v>0.2196078431372549</v>
      </c>
      <c r="V42" s="1">
        <v>0.21176470588235294</v>
      </c>
      <c r="W42" s="1">
        <v>0.21568627450980393</v>
      </c>
      <c r="X42" s="1">
        <v>8.2352941176470587E-2</v>
      </c>
      <c r="Y42" s="1">
        <v>7.4509803921568626E-2</v>
      </c>
      <c r="Z42" s="1">
        <v>0.22352941176470589</v>
      </c>
      <c r="AA42" s="1">
        <v>7.0588235294117646E-2</v>
      </c>
      <c r="AB42" s="1">
        <v>0.21568627450980393</v>
      </c>
      <c r="AC42" s="1">
        <v>6.6666666666666666E-2</v>
      </c>
      <c r="AD42" s="1">
        <v>7.0588235294117646E-2</v>
      </c>
      <c r="AE42" s="1">
        <v>7.0588235294117646E-2</v>
      </c>
      <c r="AF42" s="1">
        <v>7.0588235294117646E-2</v>
      </c>
      <c r="AG42" s="1">
        <v>0.21568627450980393</v>
      </c>
    </row>
    <row r="43" spans="1:33">
      <c r="A43" s="16">
        <f>A42+Calculations!$B$4</f>
        <v>42.6</v>
      </c>
      <c r="B43" s="1">
        <v>0.21568627450980393</v>
      </c>
      <c r="C43" s="1">
        <v>0.21568627450980393</v>
      </c>
      <c r="D43" s="1">
        <v>0.20784313725490197</v>
      </c>
      <c r="E43" s="1">
        <v>0.21176470588235294</v>
      </c>
      <c r="F43" s="1">
        <v>0.21568627450980393</v>
      </c>
      <c r="G43" s="1">
        <v>0.21568627450980393</v>
      </c>
      <c r="H43" s="1">
        <v>0.20784313725490197</v>
      </c>
      <c r="I43" s="1">
        <v>0.2</v>
      </c>
      <c r="J43" s="1">
        <v>6.6666666666666666E-2</v>
      </c>
      <c r="K43" s="1">
        <v>0.20784313725490197</v>
      </c>
      <c r="L43" s="1">
        <v>0.20784313725490197</v>
      </c>
      <c r="M43" s="1">
        <v>0.20784313725490197</v>
      </c>
      <c r="N43" s="1">
        <v>0.20392156862745098</v>
      </c>
      <c r="O43" s="1">
        <v>0.2</v>
      </c>
      <c r="P43" s="1">
        <v>0.20784313725490197</v>
      </c>
      <c r="Q43" s="1">
        <v>0.21568627450980393</v>
      </c>
      <c r="R43" s="1">
        <v>6.6666666666666666E-2</v>
      </c>
      <c r="S43" s="1">
        <v>0.21568627450980393</v>
      </c>
      <c r="T43" s="1">
        <v>0.21176470588235294</v>
      </c>
      <c r="U43" s="1">
        <v>0.20784313725490197</v>
      </c>
      <c r="V43" s="1">
        <v>0.20784313725490197</v>
      </c>
      <c r="W43" s="1">
        <v>0.20784313725490197</v>
      </c>
      <c r="X43" s="1">
        <v>6.6666666666666666E-2</v>
      </c>
      <c r="Y43" s="1">
        <v>6.6666666666666666E-2</v>
      </c>
      <c r="Z43" s="1">
        <v>0.21568627450980393</v>
      </c>
      <c r="AA43" s="1">
        <v>7.4509803921568626E-2</v>
      </c>
      <c r="AB43" s="1">
        <v>0.20784313725490197</v>
      </c>
      <c r="AC43" s="1">
        <v>5.8823529411764705E-2</v>
      </c>
      <c r="AD43" s="1">
        <v>6.6666666666666666E-2</v>
      </c>
      <c r="AE43" s="1">
        <v>6.6666666666666666E-2</v>
      </c>
      <c r="AF43" s="1">
        <v>6.2745098039215685E-2</v>
      </c>
      <c r="AG43" s="1">
        <v>0.20784313725490197</v>
      </c>
    </row>
    <row r="44" spans="1:33">
      <c r="A44" s="16">
        <f>A43+Calculations!$B$4</f>
        <v>43.6</v>
      </c>
      <c r="B44" s="1">
        <v>0.20784313725490197</v>
      </c>
      <c r="C44" s="1">
        <v>0.20784313725490197</v>
      </c>
      <c r="D44" s="1">
        <v>0.2</v>
      </c>
      <c r="E44" s="1">
        <v>0.20392156862745098</v>
      </c>
      <c r="F44" s="1">
        <v>0.20784313725490197</v>
      </c>
      <c r="G44" s="1">
        <v>0.20784313725490197</v>
      </c>
      <c r="H44" s="1">
        <v>0.2</v>
      </c>
      <c r="I44" s="1">
        <v>0.2</v>
      </c>
      <c r="J44" s="1">
        <v>5.8823529411764705E-2</v>
      </c>
      <c r="K44" s="1">
        <v>0.2</v>
      </c>
      <c r="L44" s="1">
        <v>0.20784313725490197</v>
      </c>
      <c r="M44" s="1">
        <v>0.20392156862745098</v>
      </c>
      <c r="N44" s="1">
        <v>0.2</v>
      </c>
      <c r="O44" s="1">
        <v>0.2</v>
      </c>
      <c r="P44" s="1">
        <v>0.20784313725490197</v>
      </c>
      <c r="Q44" s="1">
        <v>0.20784313725490197</v>
      </c>
      <c r="R44" s="1">
        <v>5.8823529411764705E-2</v>
      </c>
      <c r="S44" s="1">
        <v>0.20784313725490197</v>
      </c>
      <c r="T44" s="1">
        <v>0.2</v>
      </c>
      <c r="U44" s="1">
        <v>0.21176470588235294</v>
      </c>
      <c r="V44" s="1">
        <v>0.20392156862745098</v>
      </c>
      <c r="W44" s="1">
        <v>0.21568627450980393</v>
      </c>
      <c r="X44" s="1">
        <v>6.6666666666666666E-2</v>
      </c>
      <c r="Y44" s="1">
        <v>7.0588235294117646E-2</v>
      </c>
      <c r="Z44" s="1">
        <v>0.21176470588235294</v>
      </c>
      <c r="AA44" s="1">
        <v>6.6666666666666666E-2</v>
      </c>
      <c r="AB44" s="1">
        <v>0.2</v>
      </c>
      <c r="AC44" s="1">
        <v>6.6666666666666666E-2</v>
      </c>
      <c r="AD44" s="1">
        <v>6.6666666666666666E-2</v>
      </c>
      <c r="AE44" s="1">
        <v>6.6666666666666666E-2</v>
      </c>
      <c r="AF44" s="1">
        <v>6.6666666666666666E-2</v>
      </c>
      <c r="AG44" s="1">
        <v>0.20784313725490197</v>
      </c>
    </row>
    <row r="45" spans="1:33">
      <c r="A45" s="16">
        <f>A44+Calculations!$B$4</f>
        <v>44.6</v>
      </c>
      <c r="B45" s="1">
        <v>0.20392156862745098</v>
      </c>
      <c r="C45" s="1">
        <v>0.20784313725490197</v>
      </c>
      <c r="D45" s="1">
        <v>0.2</v>
      </c>
      <c r="E45" s="1">
        <v>0.20392156862745098</v>
      </c>
      <c r="F45" s="1">
        <v>0.20784313725490197</v>
      </c>
      <c r="G45" s="1">
        <v>0.20784313725490197</v>
      </c>
      <c r="H45" s="1">
        <v>0.2</v>
      </c>
      <c r="I45" s="1">
        <v>0.2</v>
      </c>
      <c r="J45" s="1">
        <v>5.8823529411764705E-2</v>
      </c>
      <c r="K45" s="1">
        <v>0.20784313725490197</v>
      </c>
      <c r="L45" s="1">
        <v>0.2</v>
      </c>
      <c r="M45" s="1">
        <v>0.20784313725490197</v>
      </c>
      <c r="N45" s="1">
        <v>0.20392156862745098</v>
      </c>
      <c r="O45" s="1">
        <v>0.2</v>
      </c>
      <c r="P45" s="1">
        <v>0.20392156862745098</v>
      </c>
      <c r="Q45" s="1">
        <v>0.2</v>
      </c>
      <c r="R45" s="1">
        <v>5.8823529411764705E-2</v>
      </c>
      <c r="S45" s="1">
        <v>0.2</v>
      </c>
      <c r="T45" s="1">
        <v>0.2</v>
      </c>
      <c r="U45" s="1">
        <v>0.2</v>
      </c>
      <c r="V45" s="1">
        <v>0.2</v>
      </c>
      <c r="W45" s="1">
        <v>0.20784313725490197</v>
      </c>
      <c r="X45" s="1">
        <v>6.6666666666666666E-2</v>
      </c>
      <c r="Y45" s="1">
        <v>6.6666666666666666E-2</v>
      </c>
      <c r="Z45" s="1">
        <v>0.20784313725490197</v>
      </c>
      <c r="AA45" s="1">
        <v>6.2745098039215685E-2</v>
      </c>
      <c r="AB45" s="1">
        <v>0.20784313725490197</v>
      </c>
      <c r="AC45" s="1">
        <v>5.8823529411764705E-2</v>
      </c>
      <c r="AD45" s="1">
        <v>6.6666666666666666E-2</v>
      </c>
      <c r="AE45" s="1">
        <v>5.8823529411764705E-2</v>
      </c>
      <c r="AF45" s="1">
        <v>5.8823529411764705E-2</v>
      </c>
      <c r="AG45" s="1">
        <v>0.2</v>
      </c>
    </row>
    <row r="46" spans="1:33">
      <c r="A46" s="16">
        <f>A45+Calculations!$B$4</f>
        <v>45.6</v>
      </c>
      <c r="B46" s="1">
        <v>0.20392156862745098</v>
      </c>
      <c r="C46" s="1">
        <v>0.2</v>
      </c>
      <c r="D46" s="1">
        <v>0.19607843137254902</v>
      </c>
      <c r="E46" s="1">
        <v>0.20392156862745098</v>
      </c>
      <c r="F46" s="1">
        <v>0.20392156862745098</v>
      </c>
      <c r="G46" s="1">
        <v>0.2</v>
      </c>
      <c r="H46" s="1">
        <v>0.2</v>
      </c>
      <c r="I46" s="1">
        <v>0.2</v>
      </c>
      <c r="J46" s="1">
        <v>5.0980392156862744E-2</v>
      </c>
      <c r="K46" s="1">
        <v>0.2</v>
      </c>
      <c r="L46" s="1">
        <v>0.19215686274509805</v>
      </c>
      <c r="M46" s="1">
        <v>0.2</v>
      </c>
      <c r="N46" s="1">
        <v>0.19215686274509805</v>
      </c>
      <c r="O46" s="1">
        <v>0.19215686274509805</v>
      </c>
      <c r="P46" s="1">
        <v>0.2</v>
      </c>
      <c r="Q46" s="1">
        <v>0.2</v>
      </c>
      <c r="R46" s="1">
        <v>5.0980392156862744E-2</v>
      </c>
      <c r="S46" s="1">
        <v>0.2</v>
      </c>
      <c r="T46" s="1">
        <v>0.18823529411764706</v>
      </c>
      <c r="U46" s="1">
        <v>0.2</v>
      </c>
      <c r="V46" s="1">
        <v>0.2</v>
      </c>
      <c r="W46" s="1">
        <v>0.2</v>
      </c>
      <c r="X46" s="1">
        <v>5.8823529411764705E-2</v>
      </c>
      <c r="Y46" s="1">
        <v>5.8823529411764705E-2</v>
      </c>
      <c r="Z46" s="1">
        <v>0.20392156862745098</v>
      </c>
      <c r="AA46" s="1">
        <v>5.0980392156862744E-2</v>
      </c>
      <c r="AB46" s="1">
        <v>0.2</v>
      </c>
      <c r="AC46" s="1">
        <v>5.4901960784313725E-2</v>
      </c>
      <c r="AD46" s="1">
        <v>5.8823529411764705E-2</v>
      </c>
      <c r="AE46" s="1">
        <v>5.4901960784313725E-2</v>
      </c>
      <c r="AF46" s="1">
        <v>5.0980392156862744E-2</v>
      </c>
      <c r="AG46" s="1">
        <v>0.19607843137254902</v>
      </c>
    </row>
    <row r="47" spans="1:33">
      <c r="A47" s="16">
        <f>A46+Calculations!$B$4</f>
        <v>46.6</v>
      </c>
      <c r="B47" s="1">
        <v>0.19215686274509805</v>
      </c>
      <c r="C47" s="1">
        <v>0.19607843137254902</v>
      </c>
      <c r="D47" s="1">
        <v>0.19607843137254902</v>
      </c>
      <c r="E47" s="1">
        <v>0.19607843137254902</v>
      </c>
      <c r="F47" s="1">
        <v>0.19607843137254902</v>
      </c>
      <c r="G47" s="1">
        <v>0.2</v>
      </c>
      <c r="H47" s="1">
        <v>0.19215686274509805</v>
      </c>
      <c r="I47" s="1">
        <v>0.19215686274509805</v>
      </c>
      <c r="J47" s="1">
        <v>5.0980392156862744E-2</v>
      </c>
      <c r="K47" s="1">
        <v>0.19607843137254902</v>
      </c>
      <c r="L47" s="1">
        <v>0.19215686274509805</v>
      </c>
      <c r="M47" s="1">
        <v>0.2</v>
      </c>
      <c r="N47" s="1">
        <v>0.19215686274509805</v>
      </c>
      <c r="O47" s="1">
        <v>0.19607843137254902</v>
      </c>
      <c r="P47" s="1">
        <v>0.19215686274509805</v>
      </c>
      <c r="Q47" s="1">
        <v>0.2</v>
      </c>
      <c r="R47" s="1">
        <v>5.0980392156862744E-2</v>
      </c>
      <c r="S47" s="1">
        <v>0.2</v>
      </c>
      <c r="T47" s="1">
        <v>0.19215686274509805</v>
      </c>
      <c r="U47" s="1">
        <v>0.19215686274509805</v>
      </c>
      <c r="V47" s="1">
        <v>0.2</v>
      </c>
      <c r="W47" s="1">
        <v>0.20392156862745098</v>
      </c>
      <c r="X47" s="1">
        <v>5.8823529411764705E-2</v>
      </c>
      <c r="Y47" s="1">
        <v>5.0980392156862744E-2</v>
      </c>
      <c r="Z47" s="1">
        <v>0.2</v>
      </c>
      <c r="AA47" s="1">
        <v>5.0980392156862744E-2</v>
      </c>
      <c r="AB47" s="1">
        <v>0.19215686274509805</v>
      </c>
      <c r="AC47" s="1">
        <v>5.0980392156862744E-2</v>
      </c>
      <c r="AD47" s="1">
        <v>5.8823529411764705E-2</v>
      </c>
      <c r="AE47" s="1">
        <v>5.0980392156862744E-2</v>
      </c>
      <c r="AF47" s="1">
        <v>5.0980392156862744E-2</v>
      </c>
      <c r="AG47" s="1">
        <v>0.2</v>
      </c>
    </row>
    <row r="48" spans="1:33">
      <c r="A48" s="16">
        <f>A47+Calculations!$B$4</f>
        <v>47.6</v>
      </c>
      <c r="B48" s="1">
        <v>0.19215686274509805</v>
      </c>
      <c r="C48" s="1">
        <v>0.19215686274509805</v>
      </c>
      <c r="D48" s="1">
        <v>0.19215686274509805</v>
      </c>
      <c r="E48" s="1">
        <v>0.19215686274509805</v>
      </c>
      <c r="F48" s="1">
        <v>0.19215686274509805</v>
      </c>
      <c r="G48" s="1">
        <v>0.19215686274509805</v>
      </c>
      <c r="H48" s="1">
        <v>0.18431372549019609</v>
      </c>
      <c r="I48" s="1">
        <v>0.19607843137254902</v>
      </c>
      <c r="J48" s="1">
        <v>5.0980392156862744E-2</v>
      </c>
      <c r="K48" s="1">
        <v>0.19215686274509805</v>
      </c>
      <c r="L48" s="1">
        <v>0.19215686274509805</v>
      </c>
      <c r="M48" s="1">
        <v>0.19215686274509805</v>
      </c>
      <c r="N48" s="1">
        <v>0.18431372549019609</v>
      </c>
      <c r="O48" s="1">
        <v>0.19215686274509805</v>
      </c>
      <c r="P48" s="1">
        <v>0.19215686274509805</v>
      </c>
      <c r="Q48" s="1">
        <v>0.2</v>
      </c>
      <c r="R48" s="1">
        <v>5.0980392156862744E-2</v>
      </c>
      <c r="S48" s="1">
        <v>0.19215686274509805</v>
      </c>
      <c r="T48" s="1">
        <v>0.19215686274509805</v>
      </c>
      <c r="U48" s="1">
        <v>0.19215686274509805</v>
      </c>
      <c r="V48" s="1">
        <v>0.19607843137254902</v>
      </c>
      <c r="W48" s="1">
        <v>0.2</v>
      </c>
      <c r="X48" s="1">
        <v>5.0980392156862744E-2</v>
      </c>
      <c r="Y48" s="1">
        <v>5.0980392156862744E-2</v>
      </c>
      <c r="Z48" s="1">
        <v>0.19215686274509805</v>
      </c>
      <c r="AA48" s="1">
        <v>4.3137254901960784E-2</v>
      </c>
      <c r="AB48" s="1">
        <v>0.19215686274509805</v>
      </c>
      <c r="AC48" s="1">
        <v>4.3137254901960784E-2</v>
      </c>
      <c r="AD48" s="1">
        <v>5.8823529411764705E-2</v>
      </c>
      <c r="AE48" s="1">
        <v>5.0980392156862744E-2</v>
      </c>
      <c r="AF48" s="1">
        <v>4.7058823529411764E-2</v>
      </c>
      <c r="AG48" s="1">
        <v>0.19215686274509805</v>
      </c>
    </row>
    <row r="49" spans="1:33">
      <c r="A49" s="16">
        <f>A48+Calculations!$B$4</f>
        <v>48.6</v>
      </c>
      <c r="B49" s="1">
        <v>0.19215686274509805</v>
      </c>
      <c r="C49" s="1">
        <v>0.18823529411764706</v>
      </c>
      <c r="D49" s="1">
        <v>0.19215686274509805</v>
      </c>
      <c r="E49" s="1">
        <v>0.19215686274509805</v>
      </c>
      <c r="F49" s="1">
        <v>0.19215686274509805</v>
      </c>
      <c r="G49" s="1">
        <v>0.18823529411764706</v>
      </c>
      <c r="H49" s="1">
        <v>0.18431372549019609</v>
      </c>
      <c r="I49" s="1">
        <v>0.19607843137254902</v>
      </c>
      <c r="J49" s="1">
        <v>4.3137254901960784E-2</v>
      </c>
      <c r="K49" s="1">
        <v>0.18823529411764706</v>
      </c>
      <c r="L49" s="1">
        <v>0.18431372549019609</v>
      </c>
      <c r="M49" s="1">
        <v>0.19215686274509805</v>
      </c>
      <c r="N49" s="1">
        <v>0.18823529411764706</v>
      </c>
      <c r="O49" s="1">
        <v>0.18431372549019609</v>
      </c>
      <c r="P49" s="1">
        <v>0.19215686274509805</v>
      </c>
      <c r="Q49" s="1">
        <v>0.19215686274509805</v>
      </c>
      <c r="R49" s="1">
        <v>4.7058823529411764E-2</v>
      </c>
      <c r="S49" s="1">
        <v>0.19215686274509805</v>
      </c>
      <c r="T49" s="1">
        <v>0.18431372549019609</v>
      </c>
      <c r="U49" s="1">
        <v>0.19215686274509805</v>
      </c>
      <c r="V49" s="1">
        <v>0.18823529411764706</v>
      </c>
      <c r="W49" s="1">
        <v>0.19607843137254902</v>
      </c>
      <c r="X49" s="1">
        <v>4.3137254901960784E-2</v>
      </c>
      <c r="Y49" s="1">
        <v>4.3137254901960784E-2</v>
      </c>
      <c r="Z49" s="1">
        <v>0.18823529411764706</v>
      </c>
      <c r="AA49" s="1">
        <v>5.0980392156862744E-2</v>
      </c>
      <c r="AB49" s="1">
        <v>0.19215686274509805</v>
      </c>
      <c r="AC49" s="1">
        <v>4.3137254901960784E-2</v>
      </c>
      <c r="AD49" s="1">
        <v>5.0980392156862744E-2</v>
      </c>
      <c r="AE49" s="1">
        <v>5.0980392156862744E-2</v>
      </c>
      <c r="AF49" s="1">
        <v>4.3137254901960784E-2</v>
      </c>
      <c r="AG49" s="1">
        <v>0.19215686274509805</v>
      </c>
    </row>
    <row r="50" spans="1:33">
      <c r="A50" s="16">
        <f>A49+Calculations!$B$4</f>
        <v>49.6</v>
      </c>
      <c r="B50" s="1">
        <v>0.19215686274509805</v>
      </c>
      <c r="C50" s="1">
        <v>0.18431372549019609</v>
      </c>
      <c r="D50" s="1">
        <v>0.19215686274509805</v>
      </c>
      <c r="E50" s="1">
        <v>0.18823529411764706</v>
      </c>
      <c r="F50" s="1">
        <v>0.18431372549019609</v>
      </c>
      <c r="G50" s="1">
        <v>0.18431372549019609</v>
      </c>
      <c r="H50" s="1">
        <v>0.18431372549019609</v>
      </c>
      <c r="I50" s="1">
        <v>0.18431372549019609</v>
      </c>
      <c r="J50" s="1">
        <v>4.3137254901960784E-2</v>
      </c>
      <c r="K50" s="1">
        <v>0.18431372549019609</v>
      </c>
      <c r="L50" s="1">
        <v>0.18823529411764706</v>
      </c>
      <c r="M50" s="1">
        <v>0.19215686274509805</v>
      </c>
      <c r="N50" s="1">
        <v>0.18431372549019609</v>
      </c>
      <c r="O50" s="1">
        <v>0.18431372549019609</v>
      </c>
      <c r="P50" s="1">
        <v>0.18431372549019609</v>
      </c>
      <c r="Q50" s="1">
        <v>0.19215686274509805</v>
      </c>
      <c r="R50" s="1">
        <v>4.3137254901960784E-2</v>
      </c>
      <c r="S50" s="1">
        <v>0.18431372549019609</v>
      </c>
      <c r="T50" s="1">
        <v>0.19215686274509805</v>
      </c>
      <c r="U50" s="1">
        <v>0.18431372549019609</v>
      </c>
      <c r="V50" s="1">
        <v>0.19215686274509805</v>
      </c>
      <c r="W50" s="1">
        <v>0.19215686274509805</v>
      </c>
      <c r="X50" s="1">
        <v>4.3137254901960784E-2</v>
      </c>
      <c r="Y50" s="1">
        <v>4.3137254901960784E-2</v>
      </c>
      <c r="Z50" s="1">
        <v>0.19215686274509805</v>
      </c>
      <c r="AA50" s="1">
        <v>4.3137254901960784E-2</v>
      </c>
      <c r="AB50" s="1">
        <v>0.18431372549019609</v>
      </c>
      <c r="AC50" s="1">
        <v>4.3137254901960784E-2</v>
      </c>
      <c r="AD50" s="1">
        <v>5.0980392156862744E-2</v>
      </c>
      <c r="AE50" s="1">
        <v>5.0980392156862744E-2</v>
      </c>
      <c r="AF50" s="1">
        <v>4.3137254901960784E-2</v>
      </c>
      <c r="AG50" s="1">
        <v>0.19215686274509805</v>
      </c>
    </row>
    <row r="51" spans="1:33">
      <c r="A51" s="16">
        <f>A50+Calculations!$B$4</f>
        <v>50.6</v>
      </c>
      <c r="B51" s="1">
        <v>0.18431372549019609</v>
      </c>
      <c r="C51" s="1">
        <v>0.18431372549019609</v>
      </c>
      <c r="D51" s="1">
        <v>0.19215686274509805</v>
      </c>
      <c r="E51" s="1">
        <v>0.19215686274509805</v>
      </c>
      <c r="F51" s="1">
        <v>0.18431372549019609</v>
      </c>
      <c r="G51" s="1">
        <v>0.18431372549019609</v>
      </c>
      <c r="H51" s="1">
        <v>0.18431372549019609</v>
      </c>
      <c r="I51" s="1">
        <v>0.18823529411764706</v>
      </c>
      <c r="J51" s="1">
        <v>4.3137254901960784E-2</v>
      </c>
      <c r="K51" s="1">
        <v>0.19215686274509805</v>
      </c>
      <c r="L51" s="1">
        <v>0.18431372549019609</v>
      </c>
      <c r="M51" s="1">
        <v>0.19215686274509805</v>
      </c>
      <c r="N51" s="1">
        <v>0.1803921568627451</v>
      </c>
      <c r="O51" s="1">
        <v>0.18431372549019609</v>
      </c>
      <c r="P51" s="1">
        <v>0.19215686274509805</v>
      </c>
      <c r="Q51" s="1">
        <v>0.18431372549019609</v>
      </c>
      <c r="R51" s="1">
        <v>4.3137254901960784E-2</v>
      </c>
      <c r="S51" s="1">
        <v>0.18431372549019609</v>
      </c>
      <c r="T51" s="1">
        <v>0.18431372549019609</v>
      </c>
      <c r="U51" s="1">
        <v>0.18823529411764706</v>
      </c>
      <c r="V51" s="1">
        <v>0.18431372549019609</v>
      </c>
      <c r="W51" s="1">
        <v>0.18823529411764706</v>
      </c>
      <c r="X51" s="1">
        <v>4.3137254901960784E-2</v>
      </c>
      <c r="Y51" s="1">
        <v>4.3137254901960784E-2</v>
      </c>
      <c r="Z51" s="1">
        <v>0.18823529411764706</v>
      </c>
      <c r="AA51" s="1">
        <v>3.5294117647058823E-2</v>
      </c>
      <c r="AB51" s="1">
        <v>0.19215686274509805</v>
      </c>
      <c r="AC51" s="1">
        <v>4.7058823529411764E-2</v>
      </c>
      <c r="AD51" s="1">
        <v>4.7058823529411764E-2</v>
      </c>
      <c r="AE51" s="1">
        <v>4.3137254901960784E-2</v>
      </c>
      <c r="AF51" s="1">
        <v>4.3137254901960784E-2</v>
      </c>
      <c r="AG51" s="1">
        <v>0.18431372549019609</v>
      </c>
    </row>
    <row r="52" spans="1:33">
      <c r="A52" s="16">
        <f>A51+Calculations!$B$4</f>
        <v>51.6</v>
      </c>
      <c r="B52" s="1">
        <v>0.18431372549019609</v>
      </c>
      <c r="C52" s="1">
        <v>0.18431372549019609</v>
      </c>
      <c r="D52" s="1">
        <v>0.18431372549019609</v>
      </c>
      <c r="E52" s="1">
        <v>0.18823529411764706</v>
      </c>
      <c r="F52" s="1">
        <v>0.18431372549019609</v>
      </c>
      <c r="G52" s="1">
        <v>0.18823529411764706</v>
      </c>
      <c r="H52" s="1">
        <v>0.17647058823529413</v>
      </c>
      <c r="I52" s="1">
        <v>0.19215686274509805</v>
      </c>
      <c r="J52" s="1">
        <v>3.9215686274509803E-2</v>
      </c>
      <c r="K52" s="1">
        <v>0.18431372549019609</v>
      </c>
      <c r="L52" s="1">
        <v>0.18431372549019609</v>
      </c>
      <c r="M52" s="1">
        <v>0.18431372549019609</v>
      </c>
      <c r="N52" s="1">
        <v>0.1803921568627451</v>
      </c>
      <c r="O52" s="1">
        <v>0.17647058823529413</v>
      </c>
      <c r="P52" s="1">
        <v>0.18431372549019609</v>
      </c>
      <c r="Q52" s="1">
        <v>0.19215686274509805</v>
      </c>
      <c r="R52" s="1">
        <v>4.3137254901960784E-2</v>
      </c>
      <c r="S52" s="1">
        <v>0.18431372549019609</v>
      </c>
      <c r="T52" s="1">
        <v>0.17647058823529413</v>
      </c>
      <c r="U52" s="1">
        <v>0.18823529411764706</v>
      </c>
      <c r="V52" s="1">
        <v>0.18431372549019609</v>
      </c>
      <c r="W52" s="1">
        <v>0.18431372549019609</v>
      </c>
      <c r="X52" s="1">
        <v>3.5294117647058823E-2</v>
      </c>
      <c r="Y52" s="1">
        <v>3.9215686274509803E-2</v>
      </c>
      <c r="Z52" s="1">
        <v>0.18431372549019609</v>
      </c>
      <c r="AA52" s="1">
        <v>3.5294117647058823E-2</v>
      </c>
      <c r="AB52" s="1">
        <v>0.17647058823529413</v>
      </c>
      <c r="AC52" s="1">
        <v>4.3137254901960784E-2</v>
      </c>
      <c r="AD52" s="1">
        <v>4.7058823529411764E-2</v>
      </c>
      <c r="AE52" s="1">
        <v>4.3137254901960784E-2</v>
      </c>
      <c r="AF52" s="1">
        <v>4.3137254901960784E-2</v>
      </c>
      <c r="AG52" s="1">
        <v>0.18431372549019609</v>
      </c>
    </row>
    <row r="53" spans="1:33">
      <c r="A53" s="16">
        <f>A52+Calculations!$B$4</f>
        <v>52.6</v>
      </c>
      <c r="B53" s="1">
        <v>0.17647058823529413</v>
      </c>
      <c r="C53" s="1">
        <v>0.1803921568627451</v>
      </c>
      <c r="D53" s="1">
        <v>0.18431372549019609</v>
      </c>
      <c r="E53" s="1">
        <v>0.18823529411764706</v>
      </c>
      <c r="F53" s="1">
        <v>0.18431372549019609</v>
      </c>
      <c r="G53" s="1">
        <v>0.18431372549019609</v>
      </c>
      <c r="H53" s="1">
        <v>0.17647058823529413</v>
      </c>
      <c r="I53" s="1">
        <v>0.17647058823529413</v>
      </c>
      <c r="J53" s="1">
        <v>3.9215686274509803E-2</v>
      </c>
      <c r="K53" s="1">
        <v>0.1803921568627451</v>
      </c>
      <c r="L53" s="1">
        <v>0.1803921568627451</v>
      </c>
      <c r="M53" s="1">
        <v>0.18431372549019609</v>
      </c>
      <c r="N53" s="1">
        <v>0.17647058823529413</v>
      </c>
      <c r="O53" s="1">
        <v>0.17647058823529413</v>
      </c>
      <c r="P53" s="1">
        <v>0.17647058823529413</v>
      </c>
      <c r="Q53" s="1">
        <v>0.19215686274509805</v>
      </c>
      <c r="R53" s="1">
        <v>4.3137254901960784E-2</v>
      </c>
      <c r="S53" s="1">
        <v>0.18431372549019609</v>
      </c>
      <c r="T53" s="1">
        <v>0.17647058823529413</v>
      </c>
      <c r="U53" s="1">
        <v>0.18431372549019609</v>
      </c>
      <c r="V53" s="1">
        <v>0.17647058823529413</v>
      </c>
      <c r="W53" s="1">
        <v>0.19215686274509805</v>
      </c>
      <c r="X53" s="1">
        <v>3.5294117647058823E-2</v>
      </c>
      <c r="Y53" s="1">
        <v>4.3137254901960784E-2</v>
      </c>
      <c r="Z53" s="1">
        <v>0.17647058823529413</v>
      </c>
      <c r="AA53" s="1">
        <v>4.3137254901960784E-2</v>
      </c>
      <c r="AB53" s="1">
        <v>0.18431372549019609</v>
      </c>
      <c r="AC53" s="1">
        <v>4.3137254901960784E-2</v>
      </c>
      <c r="AD53" s="1">
        <v>3.9215686274509803E-2</v>
      </c>
      <c r="AE53" s="1">
        <v>3.5294117647058823E-2</v>
      </c>
      <c r="AF53" s="1">
        <v>3.1372549019607843E-2</v>
      </c>
      <c r="AG53" s="1">
        <v>0.18431372549019609</v>
      </c>
    </row>
    <row r="54" spans="1:33">
      <c r="A54" s="16">
        <f>A53+Calculations!$B$4</f>
        <v>53.6</v>
      </c>
      <c r="B54" s="1">
        <v>0.17647058823529413</v>
      </c>
      <c r="C54" s="1">
        <v>0.1803921568627451</v>
      </c>
      <c r="D54" s="1">
        <v>0.18431372549019609</v>
      </c>
      <c r="E54" s="1">
        <v>0.17647058823529413</v>
      </c>
      <c r="F54" s="1">
        <v>0.17647058823529413</v>
      </c>
      <c r="G54" s="1">
        <v>0.18431372549019609</v>
      </c>
      <c r="H54" s="1">
        <v>0.18431372549019609</v>
      </c>
      <c r="I54" s="1">
        <v>0.18431372549019609</v>
      </c>
      <c r="J54" s="1">
        <v>3.9215686274509803E-2</v>
      </c>
      <c r="K54" s="1">
        <v>0.17647058823529413</v>
      </c>
      <c r="L54" s="1">
        <v>0.17647058823529413</v>
      </c>
      <c r="M54" s="1">
        <v>0.1803921568627451</v>
      </c>
      <c r="N54" s="1">
        <v>0.17254901960784313</v>
      </c>
      <c r="O54" s="1">
        <v>0.16862745098039217</v>
      </c>
      <c r="P54" s="1">
        <v>0.1803921568627451</v>
      </c>
      <c r="Q54" s="1">
        <v>0.18431372549019609</v>
      </c>
      <c r="R54" s="1">
        <v>3.9215686274509803E-2</v>
      </c>
      <c r="S54" s="1">
        <v>0.1803921568627451</v>
      </c>
      <c r="T54" s="1">
        <v>0.1803921568627451</v>
      </c>
      <c r="U54" s="1">
        <v>0.17647058823529413</v>
      </c>
      <c r="V54" s="1">
        <v>0.18431372549019609</v>
      </c>
      <c r="W54" s="1">
        <v>0.1803921568627451</v>
      </c>
      <c r="X54" s="1">
        <v>3.5294117647058823E-2</v>
      </c>
      <c r="Y54" s="1">
        <v>3.5294117647058823E-2</v>
      </c>
      <c r="Z54" s="1">
        <v>0.17647058823529413</v>
      </c>
      <c r="AA54" s="1">
        <v>3.9215686274509803E-2</v>
      </c>
      <c r="AB54" s="1">
        <v>0.17647058823529413</v>
      </c>
      <c r="AC54" s="1">
        <v>4.3137254901960784E-2</v>
      </c>
      <c r="AD54" s="1">
        <v>3.5294117647058823E-2</v>
      </c>
      <c r="AE54" s="1">
        <v>3.9215686274509803E-2</v>
      </c>
      <c r="AF54" s="1">
        <v>4.3137254901960784E-2</v>
      </c>
      <c r="AG54" s="1">
        <v>0.17647058823529413</v>
      </c>
    </row>
    <row r="55" spans="1:33">
      <c r="A55" s="16">
        <f>A54+Calculations!$B$4</f>
        <v>54.6</v>
      </c>
      <c r="B55" s="1">
        <v>0.1803921568627451</v>
      </c>
      <c r="C55" s="1">
        <v>0.17254901960784313</v>
      </c>
      <c r="D55" s="1">
        <v>0.18431372549019609</v>
      </c>
      <c r="E55" s="1">
        <v>0.17647058823529413</v>
      </c>
      <c r="F55" s="1">
        <v>0.17647058823529413</v>
      </c>
      <c r="G55" s="1">
        <v>0.17647058823529413</v>
      </c>
      <c r="H55" s="1">
        <v>0.17647058823529413</v>
      </c>
      <c r="I55" s="1">
        <v>0.17647058823529413</v>
      </c>
      <c r="J55" s="1">
        <v>4.3137254901960784E-2</v>
      </c>
      <c r="K55" s="1">
        <v>0.18431372549019609</v>
      </c>
      <c r="L55" s="1">
        <v>0.17647058823529413</v>
      </c>
      <c r="M55" s="1">
        <v>0.18431372549019609</v>
      </c>
      <c r="N55" s="1">
        <v>0.16862745098039217</v>
      </c>
      <c r="O55" s="1">
        <v>0.17647058823529413</v>
      </c>
      <c r="P55" s="1">
        <v>0.1803921568627451</v>
      </c>
      <c r="Q55" s="1">
        <v>0.18431372549019609</v>
      </c>
      <c r="R55" s="1">
        <v>3.9215686274509803E-2</v>
      </c>
      <c r="S55" s="1">
        <v>0.17647058823529413</v>
      </c>
      <c r="T55" s="1">
        <v>0.1803921568627451</v>
      </c>
      <c r="U55" s="1">
        <v>0.18431372549019609</v>
      </c>
      <c r="V55" s="1">
        <v>0.17254901960784313</v>
      </c>
      <c r="W55" s="1">
        <v>0.17254901960784313</v>
      </c>
      <c r="X55" s="1">
        <v>3.1372549019607843E-2</v>
      </c>
      <c r="Y55" s="1">
        <v>2.7450980392156862E-2</v>
      </c>
      <c r="Z55" s="1">
        <v>0.17647058823529413</v>
      </c>
      <c r="AA55" s="1">
        <v>3.5294117647058823E-2</v>
      </c>
      <c r="AB55" s="1">
        <v>0.17254901960784313</v>
      </c>
      <c r="AC55" s="1">
        <v>3.5294117647058823E-2</v>
      </c>
      <c r="AD55" s="1">
        <v>3.5294117647058823E-2</v>
      </c>
      <c r="AE55" s="1">
        <v>3.5294117647058823E-2</v>
      </c>
      <c r="AF55" s="1">
        <v>3.9215686274509803E-2</v>
      </c>
      <c r="AG55" s="1">
        <v>0.17647058823529413</v>
      </c>
    </row>
    <row r="56" spans="1:33">
      <c r="A56" s="16">
        <f>A55+Calculations!$B$4</f>
        <v>55.6</v>
      </c>
      <c r="B56" s="1">
        <v>0.17254901960784313</v>
      </c>
      <c r="C56" s="1">
        <v>0.17254901960784313</v>
      </c>
      <c r="D56" s="1">
        <v>0.17647058823529413</v>
      </c>
      <c r="E56" s="1">
        <v>0.16862745098039217</v>
      </c>
      <c r="F56" s="1">
        <v>0.17647058823529413</v>
      </c>
      <c r="G56" s="1">
        <v>0.17647058823529413</v>
      </c>
      <c r="H56" s="1">
        <v>0.16862745098039217</v>
      </c>
      <c r="I56" s="1">
        <v>0.16862745098039217</v>
      </c>
      <c r="J56" s="1">
        <v>3.5294117647058823E-2</v>
      </c>
      <c r="K56" s="1">
        <v>0.17647058823529413</v>
      </c>
      <c r="L56" s="1">
        <v>0.17647058823529413</v>
      </c>
      <c r="M56" s="1">
        <v>0.17647058823529413</v>
      </c>
      <c r="N56" s="1">
        <v>0.16862745098039217</v>
      </c>
      <c r="O56" s="1">
        <v>0.17647058823529413</v>
      </c>
      <c r="P56" s="1">
        <v>0.18431372549019609</v>
      </c>
      <c r="Q56" s="1">
        <v>0.17647058823529413</v>
      </c>
      <c r="R56" s="1">
        <v>3.5294117647058823E-2</v>
      </c>
      <c r="S56" s="1">
        <v>0.17647058823529413</v>
      </c>
      <c r="T56" s="1">
        <v>0.1803921568627451</v>
      </c>
      <c r="U56" s="1">
        <v>0.17647058823529413</v>
      </c>
      <c r="V56" s="1">
        <v>0.17647058823529413</v>
      </c>
      <c r="W56" s="1">
        <v>0.16862745098039217</v>
      </c>
      <c r="X56" s="1">
        <v>2.7450980392156862E-2</v>
      </c>
      <c r="Y56" s="1">
        <v>2.7450980392156862E-2</v>
      </c>
      <c r="Z56" s="1">
        <v>0.16862745098039217</v>
      </c>
      <c r="AA56" s="1">
        <v>3.1372549019607843E-2</v>
      </c>
      <c r="AB56" s="1">
        <v>0.17254901960784313</v>
      </c>
      <c r="AC56" s="1">
        <v>3.1372549019607843E-2</v>
      </c>
      <c r="AD56" s="1">
        <v>4.3137254901960784E-2</v>
      </c>
      <c r="AE56" s="1">
        <v>2.7450980392156862E-2</v>
      </c>
      <c r="AF56" s="1">
        <v>2.7450980392156862E-2</v>
      </c>
      <c r="AG56" s="1">
        <v>0.17647058823529413</v>
      </c>
    </row>
    <row r="57" spans="1:33">
      <c r="A57" s="16">
        <f>A56+Calculations!$B$4</f>
        <v>56.6</v>
      </c>
      <c r="B57" s="1">
        <v>0.16862745098039217</v>
      </c>
      <c r="C57" s="1">
        <v>0.16862745098039217</v>
      </c>
      <c r="D57" s="1">
        <v>0.17647058823529413</v>
      </c>
      <c r="E57" s="1">
        <v>0.17254901960784313</v>
      </c>
      <c r="F57" s="1">
        <v>0.17647058823529413</v>
      </c>
      <c r="G57" s="1">
        <v>0.17647058823529413</v>
      </c>
      <c r="H57" s="1">
        <v>0.17254901960784313</v>
      </c>
      <c r="I57" s="1">
        <v>0.17647058823529413</v>
      </c>
      <c r="J57" s="1">
        <v>3.5294117647058823E-2</v>
      </c>
      <c r="K57" s="1">
        <v>0.17647058823529413</v>
      </c>
      <c r="L57" s="1">
        <v>0.17254901960784313</v>
      </c>
      <c r="M57" s="1">
        <v>0.17647058823529413</v>
      </c>
      <c r="N57" s="1">
        <v>0.16862745098039217</v>
      </c>
      <c r="O57" s="1">
        <v>0.1803921568627451</v>
      </c>
      <c r="P57" s="1">
        <v>0.17647058823529413</v>
      </c>
      <c r="Q57" s="1">
        <v>0.1803921568627451</v>
      </c>
      <c r="R57" s="1">
        <v>3.5294117647058823E-2</v>
      </c>
      <c r="S57" s="1">
        <v>0.17647058823529413</v>
      </c>
      <c r="T57" s="1">
        <v>0.17647058823529413</v>
      </c>
      <c r="U57" s="1">
        <v>0.1803921568627451</v>
      </c>
      <c r="V57" s="1">
        <v>0.16862745098039217</v>
      </c>
      <c r="W57" s="1">
        <v>0.17647058823529413</v>
      </c>
      <c r="X57" s="1">
        <v>2.7450980392156862E-2</v>
      </c>
      <c r="Y57" s="1">
        <v>3.1372549019607843E-2</v>
      </c>
      <c r="Z57" s="1">
        <v>0.16862745098039217</v>
      </c>
      <c r="AA57" s="1">
        <v>2.7450980392156862E-2</v>
      </c>
      <c r="AB57" s="1">
        <v>0.16862745098039217</v>
      </c>
      <c r="AC57" s="1">
        <v>2.7450980392156862E-2</v>
      </c>
      <c r="AD57" s="1">
        <v>4.3137254901960784E-2</v>
      </c>
      <c r="AE57" s="1">
        <v>2.7450980392156862E-2</v>
      </c>
      <c r="AF57" s="1">
        <v>2.3529411764705882E-2</v>
      </c>
      <c r="AG57" s="1">
        <v>0.17647058823529413</v>
      </c>
    </row>
    <row r="58" spans="1:33">
      <c r="A58" s="16">
        <f>A57+Calculations!$B$4</f>
        <v>57.6</v>
      </c>
      <c r="B58" s="1">
        <v>0.16862745098039217</v>
      </c>
      <c r="C58" s="1">
        <v>0.17254901960784313</v>
      </c>
      <c r="D58" s="1">
        <v>0.17647058823529413</v>
      </c>
      <c r="E58" s="1">
        <v>0.16862745098039217</v>
      </c>
      <c r="F58" s="1">
        <v>0.16862745098039217</v>
      </c>
      <c r="G58" s="1">
        <v>0.17647058823529413</v>
      </c>
      <c r="H58" s="1">
        <v>0.16862745098039217</v>
      </c>
      <c r="I58" s="1">
        <v>0.16862745098039217</v>
      </c>
      <c r="J58" s="1">
        <v>3.5294117647058823E-2</v>
      </c>
      <c r="K58" s="1">
        <v>0.17647058823529413</v>
      </c>
      <c r="L58" s="1">
        <v>0.17647058823529413</v>
      </c>
      <c r="M58" s="1">
        <v>0.17647058823529413</v>
      </c>
      <c r="N58" s="1">
        <v>0.16862745098039217</v>
      </c>
      <c r="O58" s="1">
        <v>0.16862745098039217</v>
      </c>
      <c r="P58" s="1">
        <v>0.17647058823529413</v>
      </c>
      <c r="Q58" s="1">
        <v>0.1803921568627451</v>
      </c>
      <c r="R58" s="1">
        <v>3.1372549019607843E-2</v>
      </c>
      <c r="S58" s="1">
        <v>0.16862745098039217</v>
      </c>
      <c r="T58" s="1">
        <v>0.17254901960784313</v>
      </c>
      <c r="U58" s="1">
        <v>0.16862745098039217</v>
      </c>
      <c r="V58" s="1">
        <v>0.16862745098039217</v>
      </c>
      <c r="W58" s="1">
        <v>0.17647058823529413</v>
      </c>
      <c r="X58" s="1">
        <v>1.9607843137254902E-2</v>
      </c>
      <c r="Y58" s="1">
        <v>3.1372549019607843E-2</v>
      </c>
      <c r="Z58" s="1">
        <v>0.16078431372549021</v>
      </c>
      <c r="AA58" s="1">
        <v>2.7450980392156862E-2</v>
      </c>
      <c r="AB58" s="1">
        <v>0.16862745098039217</v>
      </c>
      <c r="AC58" s="1">
        <v>3.1372549019607843E-2</v>
      </c>
      <c r="AD58" s="1">
        <v>3.9215686274509803E-2</v>
      </c>
      <c r="AE58" s="1">
        <v>2.7450980392156862E-2</v>
      </c>
      <c r="AF58" s="1">
        <v>2.7450980392156862E-2</v>
      </c>
      <c r="AG58" s="1">
        <v>0.1803921568627451</v>
      </c>
    </row>
    <row r="59" spans="1:33">
      <c r="A59" s="16">
        <f>A58+Calculations!$B$4</f>
        <v>58.6</v>
      </c>
      <c r="B59" s="1">
        <v>0.16470588235294117</v>
      </c>
      <c r="C59" s="1">
        <v>0.16862745098039217</v>
      </c>
      <c r="D59" s="1">
        <v>0.17647058823529413</v>
      </c>
      <c r="E59" s="1">
        <v>0.16862745098039217</v>
      </c>
      <c r="F59" s="1">
        <v>0.17647058823529413</v>
      </c>
      <c r="G59" s="1">
        <v>0.17254901960784313</v>
      </c>
      <c r="H59" s="1">
        <v>0.16078431372549021</v>
      </c>
      <c r="I59" s="1">
        <v>0.16862745098039217</v>
      </c>
      <c r="J59" s="1">
        <v>3.5294117647058823E-2</v>
      </c>
      <c r="K59" s="1">
        <v>0.16862745098039217</v>
      </c>
      <c r="L59" s="1">
        <v>0.16862745098039217</v>
      </c>
      <c r="M59" s="1">
        <v>0.17647058823529413</v>
      </c>
      <c r="N59" s="1">
        <v>0.16862745098039217</v>
      </c>
      <c r="O59" s="1">
        <v>0.16862745098039217</v>
      </c>
      <c r="P59" s="1">
        <v>0.16862745098039217</v>
      </c>
      <c r="Q59" s="1">
        <v>0.17254901960784313</v>
      </c>
      <c r="R59" s="1">
        <v>2.7450980392156862E-2</v>
      </c>
      <c r="S59" s="1">
        <v>0.16862745098039217</v>
      </c>
      <c r="T59" s="1">
        <v>0.16470588235294117</v>
      </c>
      <c r="U59" s="1">
        <v>0.16470588235294117</v>
      </c>
      <c r="V59" s="1">
        <v>0.17647058823529413</v>
      </c>
      <c r="W59" s="1">
        <v>0.17254901960784313</v>
      </c>
      <c r="X59" s="1">
        <v>1.9607843137254902E-2</v>
      </c>
      <c r="Y59" s="1">
        <v>1.9607843137254902E-2</v>
      </c>
      <c r="Z59" s="1">
        <v>0.16862745098039217</v>
      </c>
      <c r="AA59" s="1">
        <v>3.1372549019607843E-2</v>
      </c>
      <c r="AB59" s="1">
        <v>0.17254901960784313</v>
      </c>
      <c r="AC59" s="1">
        <v>2.7450980392156862E-2</v>
      </c>
      <c r="AD59" s="1">
        <v>2.7450980392156862E-2</v>
      </c>
      <c r="AE59" s="1">
        <v>2.7450980392156862E-2</v>
      </c>
      <c r="AF59" s="1">
        <v>1.9607843137254902E-2</v>
      </c>
      <c r="AG59" s="1">
        <v>0.17254901960784313</v>
      </c>
    </row>
    <row r="60" spans="1:33">
      <c r="A60" s="16">
        <f>A59+Calculations!$B$4</f>
        <v>59.6</v>
      </c>
      <c r="B60" s="1">
        <v>0.16470588235294117</v>
      </c>
      <c r="C60" s="1">
        <v>0.16470588235294117</v>
      </c>
      <c r="D60" s="1">
        <v>0.17647058823529413</v>
      </c>
      <c r="E60" s="1">
        <v>0.16862745098039217</v>
      </c>
      <c r="F60" s="1">
        <v>0.16862745098039217</v>
      </c>
      <c r="G60" s="1">
        <v>0.16862745098039217</v>
      </c>
      <c r="H60" s="1">
        <v>0.16078431372549021</v>
      </c>
      <c r="I60" s="1">
        <v>0.16862745098039217</v>
      </c>
      <c r="J60" s="1">
        <v>2.7450980392156862E-2</v>
      </c>
      <c r="K60" s="1">
        <v>0.16862745098039217</v>
      </c>
      <c r="L60" s="1">
        <v>0.16862745098039217</v>
      </c>
      <c r="M60" s="1">
        <v>0.16862745098039217</v>
      </c>
      <c r="N60" s="1">
        <v>0.16862745098039217</v>
      </c>
      <c r="O60" s="1">
        <v>0.16862745098039217</v>
      </c>
      <c r="P60" s="1">
        <v>0.17254901960784313</v>
      </c>
      <c r="Q60" s="1">
        <v>0.16862745098039217</v>
      </c>
      <c r="R60" s="1">
        <v>3.5294117647058823E-2</v>
      </c>
      <c r="S60" s="1">
        <v>0.16862745098039217</v>
      </c>
      <c r="T60" s="1">
        <v>0.16470588235294117</v>
      </c>
      <c r="U60" s="1">
        <v>0.16078431372549021</v>
      </c>
      <c r="V60" s="1">
        <v>0.16862745098039217</v>
      </c>
      <c r="W60" s="1">
        <v>0.16862745098039217</v>
      </c>
      <c r="X60" s="1">
        <v>3.1372549019607843E-2</v>
      </c>
      <c r="Y60" s="1">
        <v>2.3529411764705882E-2</v>
      </c>
      <c r="Z60" s="1">
        <v>0.16470588235294117</v>
      </c>
      <c r="AA60" s="1">
        <v>2.7450980392156862E-2</v>
      </c>
      <c r="AB60" s="1">
        <v>0.16862745098039217</v>
      </c>
      <c r="AC60" s="1">
        <v>2.3529411764705882E-2</v>
      </c>
      <c r="AD60" s="1">
        <v>2.7450980392156862E-2</v>
      </c>
      <c r="AE60" s="1">
        <v>1.9607843137254902E-2</v>
      </c>
      <c r="AF60" s="1">
        <v>2.7450980392156862E-2</v>
      </c>
      <c r="AG60" s="1">
        <v>0.16862745098039217</v>
      </c>
    </row>
    <row r="61" spans="1:33">
      <c r="A61" s="16">
        <f>A60+Calculations!$B$4</f>
        <v>60.6</v>
      </c>
      <c r="B61" s="1">
        <v>0.16470588235294117</v>
      </c>
      <c r="C61" s="1">
        <v>0.16078431372549021</v>
      </c>
      <c r="D61" s="1">
        <v>0.16862745098039217</v>
      </c>
      <c r="E61" s="1">
        <v>0.17254901960784313</v>
      </c>
      <c r="F61" s="1">
        <v>0.16862745098039217</v>
      </c>
      <c r="G61" s="1">
        <v>0.16862745098039217</v>
      </c>
      <c r="H61" s="1">
        <v>0.16078431372549021</v>
      </c>
      <c r="I61" s="1">
        <v>0.16862745098039217</v>
      </c>
      <c r="J61" s="1">
        <v>2.7450980392156862E-2</v>
      </c>
      <c r="K61" s="1">
        <v>0.16862745098039217</v>
      </c>
      <c r="L61" s="1">
        <v>0.16078431372549021</v>
      </c>
      <c r="M61" s="1">
        <v>0.16862745098039217</v>
      </c>
      <c r="N61" s="1">
        <v>0.16470588235294117</v>
      </c>
      <c r="O61" s="1">
        <v>0.16862745098039217</v>
      </c>
      <c r="P61" s="1">
        <v>0.16470588235294117</v>
      </c>
      <c r="Q61" s="1">
        <v>0.17647058823529413</v>
      </c>
      <c r="R61" s="1">
        <v>1.9607843137254902E-2</v>
      </c>
      <c r="S61" s="1">
        <v>0.16862745098039217</v>
      </c>
      <c r="T61" s="1">
        <v>0.16862745098039217</v>
      </c>
      <c r="U61" s="1">
        <v>0.16078431372549021</v>
      </c>
      <c r="V61" s="1">
        <v>0.16862745098039217</v>
      </c>
      <c r="W61" s="1">
        <v>0.16862745098039217</v>
      </c>
      <c r="X61" s="1">
        <v>2.7450980392156862E-2</v>
      </c>
      <c r="Y61" s="1">
        <v>2.7450980392156862E-2</v>
      </c>
      <c r="Z61" s="1">
        <v>0.16078431372549021</v>
      </c>
      <c r="AA61" s="1">
        <v>2.7450980392156862E-2</v>
      </c>
      <c r="AB61" s="1">
        <v>0.16862745098039217</v>
      </c>
      <c r="AC61" s="1">
        <v>1.9607843137254902E-2</v>
      </c>
      <c r="AD61" s="1">
        <v>3.1372549019607843E-2</v>
      </c>
      <c r="AE61" s="1">
        <v>1.9607843137254902E-2</v>
      </c>
      <c r="AF61" s="1">
        <v>2.7450980392156862E-2</v>
      </c>
      <c r="AG61" s="1">
        <v>0.17254901960784313</v>
      </c>
    </row>
    <row r="62" spans="1:33">
      <c r="A62" s="16">
        <f>A61+Calculations!$B$4</f>
        <v>61.6</v>
      </c>
      <c r="B62" s="1">
        <v>0.16078431372549021</v>
      </c>
      <c r="C62" s="1">
        <v>0.16862745098039217</v>
      </c>
      <c r="D62" s="1">
        <v>0.17254901960784313</v>
      </c>
      <c r="E62" s="1">
        <v>0.16862745098039217</v>
      </c>
      <c r="F62" s="1">
        <v>0.16470588235294117</v>
      </c>
      <c r="G62" s="1">
        <v>0.16862745098039217</v>
      </c>
      <c r="H62" s="1">
        <v>0.16078431372549021</v>
      </c>
      <c r="I62" s="1">
        <v>0.16862745098039217</v>
      </c>
      <c r="J62" s="1">
        <v>2.7450980392156862E-2</v>
      </c>
      <c r="K62" s="1">
        <v>0.16862745098039217</v>
      </c>
      <c r="L62" s="1">
        <v>0.16470588235294117</v>
      </c>
      <c r="M62" s="1">
        <v>0.16862745098039217</v>
      </c>
      <c r="N62" s="1">
        <v>0.16078431372549021</v>
      </c>
      <c r="O62" s="1">
        <v>0.16862745098039217</v>
      </c>
      <c r="P62" s="1">
        <v>0.16862745098039217</v>
      </c>
      <c r="Q62" s="1">
        <v>0.16862745098039217</v>
      </c>
      <c r="R62" s="1">
        <v>2.7450980392156862E-2</v>
      </c>
      <c r="S62" s="1">
        <v>0.16078431372549021</v>
      </c>
      <c r="T62" s="1">
        <v>0.16078431372549021</v>
      </c>
      <c r="U62" s="1">
        <v>0.16078431372549021</v>
      </c>
      <c r="V62" s="1">
        <v>0.16862745098039217</v>
      </c>
      <c r="W62" s="1">
        <v>0.16862745098039217</v>
      </c>
      <c r="X62" s="1">
        <v>1.9607843137254902E-2</v>
      </c>
      <c r="Y62" s="1">
        <v>2.7450980392156862E-2</v>
      </c>
      <c r="Z62" s="1">
        <v>0.15294117647058825</v>
      </c>
      <c r="AA62" s="1">
        <v>2.7450980392156862E-2</v>
      </c>
      <c r="AB62" s="1">
        <v>0.16078431372549021</v>
      </c>
      <c r="AC62" s="1">
        <v>1.9607843137254902E-2</v>
      </c>
      <c r="AD62" s="1">
        <v>3.5294117647058823E-2</v>
      </c>
      <c r="AE62" s="1">
        <v>1.9607843137254902E-2</v>
      </c>
      <c r="AF62" s="1">
        <v>1.9607843137254902E-2</v>
      </c>
      <c r="AG62" s="1">
        <v>0.16862745098039217</v>
      </c>
    </row>
    <row r="63" spans="1:33">
      <c r="A63" s="16">
        <f>A62+Calculations!$B$4</f>
        <v>62.6</v>
      </c>
      <c r="B63" s="1">
        <v>0.15686274509803921</v>
      </c>
      <c r="C63" s="1">
        <v>0.16862745098039217</v>
      </c>
      <c r="D63" s="1">
        <v>0.16862745098039217</v>
      </c>
      <c r="E63" s="1">
        <v>0.16862745098039217</v>
      </c>
      <c r="F63" s="1">
        <v>0.16078431372549021</v>
      </c>
      <c r="G63" s="1">
        <v>0.16862745098039217</v>
      </c>
      <c r="H63" s="1">
        <v>0.16078431372549021</v>
      </c>
      <c r="I63" s="1">
        <v>0.16470588235294117</v>
      </c>
      <c r="J63" s="1">
        <v>1.9607843137254902E-2</v>
      </c>
      <c r="K63" s="1">
        <v>0.16862745098039217</v>
      </c>
      <c r="L63" s="1">
        <v>0.16078431372549021</v>
      </c>
      <c r="M63" s="1">
        <v>0.16862745098039217</v>
      </c>
      <c r="N63" s="1">
        <v>0.15294117647058825</v>
      </c>
      <c r="O63" s="1">
        <v>0.16078431372549021</v>
      </c>
      <c r="P63" s="1">
        <v>0.16078431372549021</v>
      </c>
      <c r="Q63" s="1">
        <v>0.17254901960784313</v>
      </c>
      <c r="R63" s="1">
        <v>1.9607843137254902E-2</v>
      </c>
      <c r="S63" s="1">
        <v>0.16470588235294117</v>
      </c>
      <c r="T63" s="1">
        <v>0.16862745098039217</v>
      </c>
      <c r="U63" s="1">
        <v>0.16078431372549021</v>
      </c>
      <c r="V63" s="1">
        <v>0.16470588235294117</v>
      </c>
      <c r="W63" s="1">
        <v>0.16078431372549021</v>
      </c>
      <c r="X63" s="1">
        <v>1.5686274509803921E-2</v>
      </c>
      <c r="Y63" s="1">
        <v>1.9607843137254902E-2</v>
      </c>
      <c r="Z63" s="1">
        <v>0.16078431372549021</v>
      </c>
      <c r="AA63" s="1">
        <v>2.3529411764705882E-2</v>
      </c>
      <c r="AB63" s="1">
        <v>0.16862745098039217</v>
      </c>
      <c r="AC63" s="1">
        <v>1.9607843137254902E-2</v>
      </c>
      <c r="AD63" s="1">
        <v>2.3529411764705882E-2</v>
      </c>
      <c r="AE63" s="1">
        <v>1.9607843137254902E-2</v>
      </c>
      <c r="AF63" s="1">
        <v>1.9607843137254902E-2</v>
      </c>
      <c r="AG63" s="1">
        <v>0.16862745098039217</v>
      </c>
    </row>
    <row r="64" spans="1:33">
      <c r="A64" s="16">
        <f>A63+Calculations!$B$4</f>
        <v>63.6</v>
      </c>
      <c r="B64" s="1">
        <v>0.16078431372549021</v>
      </c>
      <c r="C64" s="1">
        <v>0.16862745098039217</v>
      </c>
      <c r="D64" s="1">
        <v>0.16862745098039217</v>
      </c>
      <c r="E64" s="1">
        <v>0.16862745098039217</v>
      </c>
      <c r="F64" s="1">
        <v>0.16078431372549021</v>
      </c>
      <c r="G64" s="1">
        <v>0.16862745098039217</v>
      </c>
      <c r="H64" s="1">
        <v>0.16078431372549021</v>
      </c>
      <c r="I64" s="1">
        <v>0.16078431372549021</v>
      </c>
      <c r="J64" s="1">
        <v>2.3529411764705882E-2</v>
      </c>
      <c r="K64" s="1">
        <v>0.16078431372549021</v>
      </c>
      <c r="L64" s="1">
        <v>0.16862745098039217</v>
      </c>
      <c r="M64" s="1">
        <v>0.16862745098039217</v>
      </c>
      <c r="N64" s="1">
        <v>0.16078431372549021</v>
      </c>
      <c r="O64" s="1">
        <v>0.16078431372549021</v>
      </c>
      <c r="P64" s="1">
        <v>0.16078431372549021</v>
      </c>
      <c r="Q64" s="1">
        <v>0.16470588235294117</v>
      </c>
      <c r="R64" s="1">
        <v>2.7450980392156862E-2</v>
      </c>
      <c r="S64" s="1">
        <v>0.16862745098039217</v>
      </c>
      <c r="T64" s="1">
        <v>0.16078431372549021</v>
      </c>
      <c r="U64" s="1">
        <v>0.16470588235294117</v>
      </c>
      <c r="V64" s="1">
        <v>0.16470588235294117</v>
      </c>
      <c r="W64" s="1">
        <v>0.16078431372549021</v>
      </c>
      <c r="X64" s="1">
        <v>2.7450980392156862E-2</v>
      </c>
      <c r="Y64" s="1">
        <v>2.7450980392156862E-2</v>
      </c>
      <c r="Z64" s="1">
        <v>0.15686274509803921</v>
      </c>
      <c r="AA64" s="1">
        <v>2.7450980392156862E-2</v>
      </c>
      <c r="AB64" s="1">
        <v>0.16862745098039217</v>
      </c>
      <c r="AC64" s="1">
        <v>1.9607843137254902E-2</v>
      </c>
      <c r="AD64" s="1">
        <v>2.7450980392156862E-2</v>
      </c>
      <c r="AE64" s="1">
        <v>1.9607843137254902E-2</v>
      </c>
      <c r="AF64" s="1">
        <v>1.9607843137254902E-2</v>
      </c>
      <c r="AG64" s="1">
        <v>0.16470588235294117</v>
      </c>
    </row>
    <row r="65" spans="1:33">
      <c r="A65" s="16">
        <f>A64+Calculations!$B$4</f>
        <v>64.599999999999994</v>
      </c>
      <c r="B65" s="1">
        <v>0.15686274509803921</v>
      </c>
      <c r="C65" s="1">
        <v>0.16862745098039217</v>
      </c>
      <c r="D65" s="1">
        <v>0.16078431372549021</v>
      </c>
      <c r="E65" s="1">
        <v>0.16862745098039217</v>
      </c>
      <c r="F65" s="1">
        <v>0.16078431372549021</v>
      </c>
      <c r="G65" s="1">
        <v>0.16078431372549021</v>
      </c>
      <c r="H65" s="1">
        <v>0.16470588235294117</v>
      </c>
      <c r="I65" s="1">
        <v>0.16078431372549021</v>
      </c>
      <c r="J65" s="1">
        <v>2.3529411764705882E-2</v>
      </c>
      <c r="K65" s="1">
        <v>0.16862745098039217</v>
      </c>
      <c r="L65" s="1">
        <v>0.16862745098039217</v>
      </c>
      <c r="M65" s="1">
        <v>0.16470588235294117</v>
      </c>
      <c r="N65" s="1">
        <v>0.16078431372549021</v>
      </c>
      <c r="O65" s="1">
        <v>0.16862745098039217</v>
      </c>
      <c r="P65" s="1">
        <v>0.16470588235294117</v>
      </c>
      <c r="Q65" s="1">
        <v>0.16470588235294117</v>
      </c>
      <c r="R65" s="1">
        <v>2.7450980392156862E-2</v>
      </c>
      <c r="S65" s="1">
        <v>0.16862745098039217</v>
      </c>
      <c r="T65" s="1">
        <v>0.16470588235294117</v>
      </c>
      <c r="U65" s="1">
        <v>0.16470588235294117</v>
      </c>
      <c r="V65" s="1">
        <v>0.16862745098039217</v>
      </c>
      <c r="W65" s="1">
        <v>0.17254901960784313</v>
      </c>
      <c r="X65" s="1">
        <v>1.9607843137254902E-2</v>
      </c>
      <c r="Y65" s="1">
        <v>1.5686274509803921E-2</v>
      </c>
      <c r="Z65" s="1">
        <v>0.16078431372549021</v>
      </c>
      <c r="AA65" s="1">
        <v>2.7450980392156862E-2</v>
      </c>
      <c r="AB65" s="1">
        <v>0.16078431372549021</v>
      </c>
      <c r="AC65" s="1">
        <v>1.5686274509803921E-2</v>
      </c>
      <c r="AD65" s="1">
        <v>1.9607843137254902E-2</v>
      </c>
      <c r="AE65" s="1">
        <v>2.3529411764705882E-2</v>
      </c>
      <c r="AF65" s="1">
        <v>1.1764705882352941E-2</v>
      </c>
      <c r="AG65" s="1">
        <v>0.16078431372549021</v>
      </c>
    </row>
    <row r="66" spans="1:33">
      <c r="A66" s="16">
        <f>A65+Calculations!$B$4</f>
        <v>65.599999999999994</v>
      </c>
      <c r="B66" s="1">
        <v>0.15294117647058825</v>
      </c>
      <c r="C66" s="1">
        <v>0.16078431372549021</v>
      </c>
      <c r="D66" s="1">
        <v>0.16078431372549021</v>
      </c>
      <c r="E66" s="1">
        <v>0.16862745098039217</v>
      </c>
      <c r="F66" s="1">
        <v>0.15686274509803921</v>
      </c>
      <c r="G66" s="1">
        <v>0.16078431372549021</v>
      </c>
      <c r="H66" s="1">
        <v>0.16470588235294117</v>
      </c>
      <c r="I66" s="1">
        <v>0.16078431372549021</v>
      </c>
      <c r="J66" s="1">
        <v>1.9607843137254902E-2</v>
      </c>
      <c r="K66" s="1">
        <v>0.16470588235294117</v>
      </c>
      <c r="L66" s="1">
        <v>0.16078431372549021</v>
      </c>
      <c r="M66" s="1">
        <v>0.16078431372549021</v>
      </c>
      <c r="N66" s="1">
        <v>0.16078431372549021</v>
      </c>
      <c r="O66" s="1">
        <v>0.16078431372549021</v>
      </c>
      <c r="P66" s="1">
        <v>0.16078431372549021</v>
      </c>
      <c r="Q66" s="1">
        <v>0.16862745098039217</v>
      </c>
      <c r="R66" s="1">
        <v>2.7450980392156862E-2</v>
      </c>
      <c r="S66" s="1">
        <v>0.16862745098039217</v>
      </c>
      <c r="T66" s="1">
        <v>0.15294117647058825</v>
      </c>
      <c r="U66" s="1">
        <v>0.16470588235294117</v>
      </c>
      <c r="V66" s="1">
        <v>0.16470588235294117</v>
      </c>
      <c r="W66" s="1">
        <v>0.16862745098039217</v>
      </c>
      <c r="X66" s="1">
        <v>1.1764705882352941E-2</v>
      </c>
      <c r="Y66" s="1">
        <v>2.3529411764705882E-2</v>
      </c>
      <c r="Z66" s="1">
        <v>0.16078431372549021</v>
      </c>
      <c r="AA66" s="1">
        <v>2.3529411764705882E-2</v>
      </c>
      <c r="AB66" s="1">
        <v>0.16078431372549021</v>
      </c>
      <c r="AC66" s="1">
        <v>1.1764705882352941E-2</v>
      </c>
      <c r="AD66" s="1">
        <v>1.9607843137254902E-2</v>
      </c>
      <c r="AE66" s="1">
        <v>2.3529411764705882E-2</v>
      </c>
      <c r="AF66" s="1">
        <v>7.8431372549019607E-3</v>
      </c>
      <c r="AG66" s="1">
        <v>0.16078431372549021</v>
      </c>
    </row>
    <row r="67" spans="1:33">
      <c r="A67" s="16">
        <f>A66+Calculations!$B$4</f>
        <v>66.599999999999994</v>
      </c>
      <c r="B67" s="1">
        <v>0.15294117647058825</v>
      </c>
      <c r="C67" s="1">
        <v>0.16078431372549021</v>
      </c>
      <c r="D67" s="1">
        <v>0.16078431372549021</v>
      </c>
      <c r="E67" s="1">
        <v>0.16862745098039217</v>
      </c>
      <c r="F67" s="1">
        <v>0.15686274509803921</v>
      </c>
      <c r="G67" s="1">
        <v>0.15294117647058825</v>
      </c>
      <c r="H67" s="1">
        <v>0.16078431372549021</v>
      </c>
      <c r="I67" s="1">
        <v>0.16470588235294117</v>
      </c>
      <c r="J67" s="1">
        <v>1.9607843137254902E-2</v>
      </c>
      <c r="K67" s="1">
        <v>0.16862745098039217</v>
      </c>
      <c r="L67" s="1">
        <v>0.16078431372549021</v>
      </c>
      <c r="M67" s="1">
        <v>0.16078431372549021</v>
      </c>
      <c r="N67" s="1">
        <v>0.16078431372549021</v>
      </c>
      <c r="O67" s="1">
        <v>0.16078431372549021</v>
      </c>
      <c r="P67" s="1">
        <v>0.16078431372549021</v>
      </c>
      <c r="Q67" s="1">
        <v>0.16078431372549021</v>
      </c>
      <c r="R67" s="1">
        <v>2.3529411764705882E-2</v>
      </c>
      <c r="S67" s="1">
        <v>0.16862745098039217</v>
      </c>
      <c r="T67" s="1">
        <v>0.15294117647058825</v>
      </c>
      <c r="U67" s="1">
        <v>0.16078431372549021</v>
      </c>
      <c r="V67" s="1">
        <v>0.15294117647058825</v>
      </c>
      <c r="W67" s="1">
        <v>0.16470588235294117</v>
      </c>
      <c r="X67" s="1">
        <v>1.9607843137254902E-2</v>
      </c>
      <c r="Y67" s="1">
        <v>1.9607843137254902E-2</v>
      </c>
      <c r="Z67" s="1">
        <v>0.15686274509803921</v>
      </c>
      <c r="AA67" s="1">
        <v>2.3529411764705882E-2</v>
      </c>
      <c r="AB67" s="1">
        <v>0.16078431372549021</v>
      </c>
      <c r="AC67" s="1">
        <v>1.1764705882352941E-2</v>
      </c>
      <c r="AD67" s="1">
        <v>2.7450980392156862E-2</v>
      </c>
      <c r="AE67" s="1">
        <v>2.3529411764705882E-2</v>
      </c>
      <c r="AF67" s="1">
        <v>1.1764705882352941E-2</v>
      </c>
      <c r="AG67" s="1">
        <v>0.16470588235294117</v>
      </c>
    </row>
    <row r="68" spans="1:33">
      <c r="A68" s="16">
        <f>A67+Calculations!$B$4</f>
        <v>67.599999999999994</v>
      </c>
      <c r="B68" s="1">
        <v>0.15686274509803921</v>
      </c>
      <c r="C68" s="1">
        <v>0.16078431372549021</v>
      </c>
      <c r="D68" s="1">
        <v>0.16078431372549021</v>
      </c>
      <c r="E68" s="1">
        <v>0.16078431372549021</v>
      </c>
      <c r="F68" s="1">
        <v>0.15294117647058825</v>
      </c>
      <c r="G68" s="1">
        <v>0.15294117647058825</v>
      </c>
      <c r="H68" s="1">
        <v>0.15294117647058825</v>
      </c>
      <c r="I68" s="1">
        <v>0.16470588235294117</v>
      </c>
      <c r="J68" s="1">
        <v>1.9607843137254902E-2</v>
      </c>
      <c r="K68" s="1">
        <v>0.16078431372549021</v>
      </c>
      <c r="L68" s="1">
        <v>0.16078431372549021</v>
      </c>
      <c r="M68" s="1">
        <v>0.16078431372549021</v>
      </c>
      <c r="N68" s="1">
        <v>0.15686274509803921</v>
      </c>
      <c r="O68" s="1">
        <v>0.16078431372549021</v>
      </c>
      <c r="P68" s="1">
        <v>0.16078431372549021</v>
      </c>
      <c r="Q68" s="1">
        <v>0.16078431372549021</v>
      </c>
      <c r="R68" s="1">
        <v>1.9607843137254902E-2</v>
      </c>
      <c r="S68" s="1">
        <v>0.16470588235294117</v>
      </c>
      <c r="T68" s="1">
        <v>0.15294117647058825</v>
      </c>
      <c r="U68" s="1">
        <v>0.16078431372549021</v>
      </c>
      <c r="V68" s="1">
        <v>0.16078431372549021</v>
      </c>
      <c r="W68" s="1">
        <v>0.16078431372549021</v>
      </c>
      <c r="X68" s="1">
        <v>1.1764705882352941E-2</v>
      </c>
      <c r="Y68" s="1">
        <v>1.9607843137254902E-2</v>
      </c>
      <c r="Z68" s="1">
        <v>0.15294117647058825</v>
      </c>
      <c r="AA68" s="1">
        <v>2.3529411764705882E-2</v>
      </c>
      <c r="AB68" s="1">
        <v>0.15686274509803921</v>
      </c>
      <c r="AC68" s="1">
        <v>1.1764705882352941E-2</v>
      </c>
      <c r="AD68" s="1">
        <v>1.5686274509803921E-2</v>
      </c>
      <c r="AE68" s="1">
        <v>1.5686274509803921E-2</v>
      </c>
      <c r="AF68" s="1">
        <v>1.5686274509803921E-2</v>
      </c>
      <c r="AG68" s="1">
        <v>0.16078431372549021</v>
      </c>
    </row>
    <row r="69" spans="1:33">
      <c r="A69" s="16">
        <f>A68+Calculations!$B$4</f>
        <v>68.599999999999994</v>
      </c>
      <c r="B69" s="1">
        <v>0.16078431372549021</v>
      </c>
      <c r="C69" s="1">
        <v>0.16078431372549021</v>
      </c>
      <c r="D69" s="1">
        <v>0.16078431372549021</v>
      </c>
      <c r="E69" s="1">
        <v>0.16078431372549021</v>
      </c>
      <c r="F69" s="1">
        <v>0.15294117647058825</v>
      </c>
      <c r="G69" s="1">
        <v>0.15294117647058825</v>
      </c>
      <c r="H69" s="1">
        <v>0.15294117647058825</v>
      </c>
      <c r="I69" s="1">
        <v>0.16078431372549021</v>
      </c>
      <c r="J69" s="1">
        <v>1.1764705882352941E-2</v>
      </c>
      <c r="K69" s="1">
        <v>0.16078431372549021</v>
      </c>
      <c r="L69" s="1">
        <v>0.16470588235294117</v>
      </c>
      <c r="M69" s="1">
        <v>0.16078431372549021</v>
      </c>
      <c r="N69" s="1">
        <v>0.15686274509803921</v>
      </c>
      <c r="O69" s="1">
        <v>0.16078431372549021</v>
      </c>
      <c r="P69" s="1">
        <v>0.15686274509803921</v>
      </c>
      <c r="Q69" s="1">
        <v>0.16078431372549021</v>
      </c>
      <c r="R69" s="1">
        <v>2.3529411764705882E-2</v>
      </c>
      <c r="S69" s="1">
        <v>0.16078431372549021</v>
      </c>
      <c r="T69" s="1">
        <v>0.15686274509803921</v>
      </c>
      <c r="U69" s="1">
        <v>0.15294117647058825</v>
      </c>
      <c r="V69" s="1">
        <v>0.16078431372549021</v>
      </c>
      <c r="W69" s="1">
        <v>0.16078431372549021</v>
      </c>
      <c r="X69" s="1">
        <v>1.9607843137254902E-2</v>
      </c>
      <c r="Y69" s="1">
        <v>1.9607843137254902E-2</v>
      </c>
      <c r="Z69" s="1">
        <v>0.15294117647058825</v>
      </c>
      <c r="AA69" s="1">
        <v>1.9607843137254902E-2</v>
      </c>
      <c r="AB69" s="1">
        <v>0.16078431372549021</v>
      </c>
      <c r="AC69" s="1">
        <v>1.1764705882352941E-2</v>
      </c>
      <c r="AD69" s="1">
        <v>1.9607843137254902E-2</v>
      </c>
      <c r="AE69" s="1">
        <v>1.5686274509803921E-2</v>
      </c>
      <c r="AF69" s="1">
        <v>1.5686274509803921E-2</v>
      </c>
      <c r="AG69" s="1">
        <v>0.16078431372549021</v>
      </c>
    </row>
    <row r="70" spans="1:33">
      <c r="A70" s="16">
        <f>A69+Calculations!$B$4</f>
        <v>69.599999999999994</v>
      </c>
      <c r="B70" s="1">
        <v>0.16078431372549021</v>
      </c>
      <c r="C70" s="1">
        <v>0.15686274509803921</v>
      </c>
      <c r="D70" s="1">
        <v>0.16078431372549021</v>
      </c>
      <c r="E70" s="1">
        <v>0.16078431372549021</v>
      </c>
      <c r="F70" s="1">
        <v>0.15294117647058825</v>
      </c>
      <c r="G70" s="1">
        <v>0.15686274509803921</v>
      </c>
      <c r="H70" s="1">
        <v>0.15294117647058825</v>
      </c>
      <c r="I70" s="1">
        <v>0.16078431372549021</v>
      </c>
      <c r="J70" s="1">
        <v>1.9607843137254902E-2</v>
      </c>
      <c r="K70" s="1">
        <v>0.15294117647058825</v>
      </c>
      <c r="L70" s="1">
        <v>0.16078431372549021</v>
      </c>
      <c r="M70" s="1">
        <v>0.16078431372549021</v>
      </c>
      <c r="N70" s="1">
        <v>0.16078431372549021</v>
      </c>
      <c r="O70" s="1">
        <v>0.16078431372549021</v>
      </c>
      <c r="P70" s="1">
        <v>0.15294117647058825</v>
      </c>
      <c r="Q70" s="1">
        <v>0.16078431372549021</v>
      </c>
      <c r="R70" s="1">
        <v>1.9607843137254902E-2</v>
      </c>
      <c r="S70" s="1">
        <v>0.16078431372549021</v>
      </c>
      <c r="T70" s="1">
        <v>0.15686274509803921</v>
      </c>
      <c r="U70" s="1">
        <v>0.15294117647058825</v>
      </c>
      <c r="V70" s="1">
        <v>0.16078431372549021</v>
      </c>
      <c r="W70" s="1">
        <v>0.16862745098039217</v>
      </c>
      <c r="X70" s="1">
        <v>1.5686274509803921E-2</v>
      </c>
      <c r="Y70" s="1">
        <v>1.1764705882352941E-2</v>
      </c>
      <c r="Z70" s="1">
        <v>0.15294117647058825</v>
      </c>
      <c r="AA70" s="1">
        <v>1.9607843137254902E-2</v>
      </c>
      <c r="AB70" s="1">
        <v>0.16078431372549021</v>
      </c>
      <c r="AC70" s="1">
        <v>1.1764705882352941E-2</v>
      </c>
      <c r="AD70" s="1">
        <v>1.5686274509803921E-2</v>
      </c>
      <c r="AE70" s="1">
        <v>1.1764705882352941E-2</v>
      </c>
      <c r="AF70" s="1">
        <v>1.9607843137254902E-2</v>
      </c>
      <c r="AG70" s="1">
        <v>0.15686274509803921</v>
      </c>
    </row>
    <row r="71" spans="1:33">
      <c r="A71" s="16">
        <f>A70+Calculations!$B$4</f>
        <v>70.599999999999994</v>
      </c>
      <c r="B71" s="1">
        <v>0.15294117647058825</v>
      </c>
      <c r="C71" s="1">
        <v>0.15686274509803921</v>
      </c>
      <c r="D71" s="1">
        <v>0.16078431372549021</v>
      </c>
      <c r="E71" s="1">
        <v>0.16078431372549021</v>
      </c>
      <c r="F71" s="1">
        <v>0.15294117647058825</v>
      </c>
      <c r="G71" s="1">
        <v>0.15294117647058825</v>
      </c>
      <c r="H71" s="1">
        <v>0.15294117647058825</v>
      </c>
      <c r="I71" s="1">
        <v>0.15686274509803921</v>
      </c>
      <c r="J71" s="1">
        <v>1.9607843137254902E-2</v>
      </c>
      <c r="K71" s="1">
        <v>0.15686274509803921</v>
      </c>
      <c r="L71" s="1">
        <v>0.16078431372549021</v>
      </c>
      <c r="M71" s="1">
        <v>0.16078431372549021</v>
      </c>
      <c r="N71" s="1">
        <v>0.15294117647058825</v>
      </c>
      <c r="O71" s="1">
        <v>0.16078431372549021</v>
      </c>
      <c r="P71" s="1">
        <v>0.16078431372549021</v>
      </c>
      <c r="Q71" s="1">
        <v>0.16078431372549021</v>
      </c>
      <c r="R71" s="1">
        <v>1.9607843137254902E-2</v>
      </c>
      <c r="S71" s="1">
        <v>0.16078431372549021</v>
      </c>
      <c r="T71" s="1">
        <v>0.15686274509803921</v>
      </c>
      <c r="U71" s="1">
        <v>0.15294117647058825</v>
      </c>
      <c r="V71" s="1">
        <v>0.15686274509803921</v>
      </c>
      <c r="W71" s="1">
        <v>0.15294117647058825</v>
      </c>
      <c r="X71" s="1">
        <v>1.1764705882352941E-2</v>
      </c>
      <c r="Y71" s="1">
        <v>1.1764705882352941E-2</v>
      </c>
      <c r="Z71" s="1">
        <v>0.16078431372549021</v>
      </c>
      <c r="AA71" s="1">
        <v>1.1764705882352941E-2</v>
      </c>
      <c r="AB71" s="1">
        <v>0.16078431372549021</v>
      </c>
      <c r="AC71" s="1">
        <v>1.1764705882352941E-2</v>
      </c>
      <c r="AD71" s="1">
        <v>1.5686274509803921E-2</v>
      </c>
      <c r="AE71" s="1">
        <v>1.1764705882352941E-2</v>
      </c>
      <c r="AF71" s="1">
        <v>1.5686274509803921E-2</v>
      </c>
      <c r="AG71" s="1">
        <v>0.16078431372549021</v>
      </c>
    </row>
    <row r="72" spans="1:33">
      <c r="A72" s="16">
        <f>A71+Calculations!$B$4</f>
        <v>71.599999999999994</v>
      </c>
      <c r="B72" s="1">
        <v>0.16078431372549021</v>
      </c>
      <c r="C72" s="1">
        <v>0.15686274509803921</v>
      </c>
      <c r="D72" s="1">
        <v>0.15686274509803921</v>
      </c>
      <c r="E72" s="1">
        <v>0.15686274509803921</v>
      </c>
      <c r="F72" s="1">
        <v>0.15294117647058825</v>
      </c>
      <c r="G72" s="1">
        <v>0.15294117647058825</v>
      </c>
      <c r="H72" s="1">
        <v>0.15294117647058825</v>
      </c>
      <c r="I72" s="1">
        <v>0.16078431372549021</v>
      </c>
      <c r="J72" s="1">
        <v>1.1764705882352941E-2</v>
      </c>
      <c r="K72" s="1">
        <v>0.15686274509803921</v>
      </c>
      <c r="L72" s="1">
        <v>0.16078431372549021</v>
      </c>
      <c r="M72" s="1">
        <v>0.15294117647058825</v>
      </c>
      <c r="N72" s="1">
        <v>0.15294117647058825</v>
      </c>
      <c r="O72" s="1">
        <v>0.16078431372549021</v>
      </c>
      <c r="P72" s="1">
        <v>0.16078431372549021</v>
      </c>
      <c r="Q72" s="1">
        <v>0.16470588235294117</v>
      </c>
      <c r="R72" s="1">
        <v>1.9607843137254902E-2</v>
      </c>
      <c r="S72" s="1">
        <v>0.16078431372549021</v>
      </c>
      <c r="T72" s="1">
        <v>0.15294117647058825</v>
      </c>
      <c r="U72" s="1">
        <v>0.14901960784313725</v>
      </c>
      <c r="V72" s="1">
        <v>0.15294117647058825</v>
      </c>
      <c r="W72" s="1">
        <v>0.15686274509803921</v>
      </c>
      <c r="X72" s="1">
        <v>1.1764705882352941E-2</v>
      </c>
      <c r="Y72" s="1">
        <v>7.8431372549019607E-3</v>
      </c>
      <c r="Z72" s="1">
        <v>0.15686274509803921</v>
      </c>
      <c r="AA72" s="1">
        <v>1.1764705882352941E-2</v>
      </c>
      <c r="AB72" s="1">
        <v>0.16078431372549021</v>
      </c>
      <c r="AC72" s="1">
        <v>1.5686274509803921E-2</v>
      </c>
      <c r="AD72" s="1">
        <v>1.1764705882352941E-2</v>
      </c>
      <c r="AE72" s="1">
        <v>1.1764705882352941E-2</v>
      </c>
      <c r="AF72" s="1">
        <v>1.1764705882352941E-2</v>
      </c>
      <c r="AG72" s="1">
        <v>0.15294117647058825</v>
      </c>
    </row>
    <row r="73" spans="1:33">
      <c r="A73" s="16">
        <f>A72+Calculations!$B$4</f>
        <v>72.599999999999994</v>
      </c>
      <c r="B73" s="1">
        <v>0.16078431372549021</v>
      </c>
      <c r="C73" s="1">
        <v>0.15294117647058825</v>
      </c>
      <c r="D73" s="1">
        <v>0.15686274509803921</v>
      </c>
      <c r="E73" s="1">
        <v>0.15686274509803921</v>
      </c>
      <c r="F73" s="1">
        <v>0.15294117647058825</v>
      </c>
      <c r="G73" s="1">
        <v>0.14901960784313725</v>
      </c>
      <c r="H73" s="1">
        <v>0.15294117647058825</v>
      </c>
      <c r="I73" s="1">
        <v>0.15294117647058825</v>
      </c>
      <c r="J73" s="1">
        <v>1.1764705882352941E-2</v>
      </c>
      <c r="K73" s="1">
        <v>0.15686274509803921</v>
      </c>
      <c r="L73" s="1">
        <v>0.16078431372549021</v>
      </c>
      <c r="M73" s="1">
        <v>0.15294117647058825</v>
      </c>
      <c r="N73" s="1">
        <v>0.15294117647058825</v>
      </c>
      <c r="O73" s="1">
        <v>0.16078431372549021</v>
      </c>
      <c r="P73" s="1">
        <v>0.16078431372549021</v>
      </c>
      <c r="Q73" s="1">
        <v>0.16862745098039217</v>
      </c>
      <c r="R73" s="1">
        <v>1.9607843137254902E-2</v>
      </c>
      <c r="S73" s="1">
        <v>0.16078431372549021</v>
      </c>
      <c r="T73" s="1">
        <v>0.15294117647058825</v>
      </c>
      <c r="U73" s="1">
        <v>0.14509803921568629</v>
      </c>
      <c r="V73" s="1">
        <v>0.15294117647058825</v>
      </c>
      <c r="W73" s="1">
        <v>0.16862745098039217</v>
      </c>
      <c r="X73" s="1">
        <v>1.1764705882352941E-2</v>
      </c>
      <c r="Y73" s="1">
        <v>1.1764705882352941E-2</v>
      </c>
      <c r="Z73" s="1">
        <v>0.14901960784313725</v>
      </c>
      <c r="AA73" s="1">
        <v>1.9607843137254902E-2</v>
      </c>
      <c r="AB73" s="1">
        <v>0.15294117647058825</v>
      </c>
      <c r="AC73" s="1">
        <v>7.8431372549019607E-3</v>
      </c>
      <c r="AD73" s="1">
        <v>1.1764705882352941E-2</v>
      </c>
      <c r="AE73" s="1">
        <v>1.5686274509803921E-2</v>
      </c>
      <c r="AF73" s="1">
        <v>1.1764705882352941E-2</v>
      </c>
      <c r="AG73" s="1">
        <v>0.16078431372549021</v>
      </c>
    </row>
    <row r="74" spans="1:33">
      <c r="A74" s="16">
        <f>A73+Calculations!$B$4</f>
        <v>73.599999999999994</v>
      </c>
      <c r="B74" s="1">
        <v>0.15294117647058825</v>
      </c>
      <c r="C74" s="1">
        <v>0.15294117647058825</v>
      </c>
      <c r="D74" s="1">
        <v>0.15294117647058825</v>
      </c>
      <c r="E74" s="1">
        <v>0.15294117647058825</v>
      </c>
      <c r="F74" s="1">
        <v>0.15294117647058825</v>
      </c>
      <c r="G74" s="1">
        <v>0.14509803921568629</v>
      </c>
      <c r="H74" s="1">
        <v>0.14509803921568629</v>
      </c>
      <c r="I74" s="1">
        <v>0.15686274509803921</v>
      </c>
      <c r="J74" s="1">
        <v>7.8431372549019607E-3</v>
      </c>
      <c r="K74" s="1">
        <v>0.15294117647058825</v>
      </c>
      <c r="L74" s="1">
        <v>0.15686274509803921</v>
      </c>
      <c r="M74" s="1">
        <v>0.15294117647058825</v>
      </c>
      <c r="N74" s="1">
        <v>0.16078431372549021</v>
      </c>
      <c r="O74" s="1">
        <v>0.16078431372549021</v>
      </c>
      <c r="P74" s="1">
        <v>0.15294117647058825</v>
      </c>
      <c r="Q74" s="1">
        <v>0.15294117647058825</v>
      </c>
      <c r="R74" s="1">
        <v>1.5686274509803921E-2</v>
      </c>
      <c r="S74" s="1">
        <v>0.15294117647058825</v>
      </c>
      <c r="T74" s="1">
        <v>0.14901960784313725</v>
      </c>
      <c r="U74" s="1">
        <v>0.15294117647058825</v>
      </c>
      <c r="V74" s="1">
        <v>0.15294117647058825</v>
      </c>
      <c r="W74" s="1">
        <v>0.16470588235294117</v>
      </c>
      <c r="X74" s="1">
        <v>1.1764705882352941E-2</v>
      </c>
      <c r="Y74" s="1">
        <v>1.1764705882352941E-2</v>
      </c>
      <c r="Z74" s="1">
        <v>0.15294117647058825</v>
      </c>
      <c r="AA74" s="1">
        <v>1.5686274509803921E-2</v>
      </c>
      <c r="AB74" s="1">
        <v>0.15686274509803921</v>
      </c>
      <c r="AC74" s="1">
        <v>1.1764705882352941E-2</v>
      </c>
      <c r="AD74" s="1">
        <v>1.1764705882352941E-2</v>
      </c>
      <c r="AE74" s="1">
        <v>1.1764705882352941E-2</v>
      </c>
      <c r="AF74" s="1">
        <v>1.9607843137254902E-2</v>
      </c>
      <c r="AG74" s="1">
        <v>0.16078431372549021</v>
      </c>
    </row>
    <row r="75" spans="1:33">
      <c r="A75" s="16">
        <f>A74+Calculations!$B$4</f>
        <v>74.599999999999994</v>
      </c>
      <c r="B75" s="1">
        <v>0.15294117647058825</v>
      </c>
      <c r="C75" s="1">
        <v>0.16078431372549021</v>
      </c>
      <c r="D75" s="1">
        <v>0.15294117647058825</v>
      </c>
      <c r="E75" s="1">
        <v>0.15294117647058825</v>
      </c>
      <c r="F75" s="1">
        <v>0.15686274509803921</v>
      </c>
      <c r="G75" s="1">
        <v>0.14901960784313725</v>
      </c>
      <c r="H75" s="1">
        <v>0.14509803921568629</v>
      </c>
      <c r="I75" s="1">
        <v>0.16078431372549021</v>
      </c>
      <c r="J75" s="1">
        <v>3.9215686274509803E-3</v>
      </c>
      <c r="K75" s="1">
        <v>0.14901960784313725</v>
      </c>
      <c r="L75" s="1">
        <v>0.15294117647058825</v>
      </c>
      <c r="M75" s="1">
        <v>0.15294117647058825</v>
      </c>
      <c r="N75" s="1">
        <v>0.15294117647058825</v>
      </c>
      <c r="O75" s="1">
        <v>0.15294117647058825</v>
      </c>
      <c r="P75" s="1">
        <v>0.15294117647058825</v>
      </c>
      <c r="Q75" s="1">
        <v>0.16078431372549021</v>
      </c>
      <c r="R75" s="1">
        <v>1.9607843137254902E-2</v>
      </c>
      <c r="S75" s="1">
        <v>0.16078431372549021</v>
      </c>
      <c r="T75" s="1">
        <v>0.15294117647058825</v>
      </c>
      <c r="U75" s="1">
        <v>0.15294117647058825</v>
      </c>
      <c r="V75" s="1">
        <v>0.15294117647058825</v>
      </c>
      <c r="W75" s="1">
        <v>0.16078431372549021</v>
      </c>
      <c r="X75" s="1">
        <v>1.1764705882352941E-2</v>
      </c>
      <c r="Y75" s="1">
        <v>1.5686274509803921E-2</v>
      </c>
      <c r="Z75" s="1">
        <v>0.15294117647058825</v>
      </c>
      <c r="AA75" s="1">
        <v>1.1764705882352941E-2</v>
      </c>
      <c r="AB75" s="1">
        <v>0.15294117647058825</v>
      </c>
      <c r="AC75" s="1">
        <v>1.9607843137254902E-2</v>
      </c>
      <c r="AD75" s="1">
        <v>1.1764705882352941E-2</v>
      </c>
      <c r="AE75" s="1">
        <v>1.1764705882352941E-2</v>
      </c>
      <c r="AF75" s="1">
        <v>1.1764705882352941E-2</v>
      </c>
      <c r="AG75" s="1">
        <v>0.16078431372549021</v>
      </c>
    </row>
    <row r="76" spans="1:33">
      <c r="A76" s="16">
        <f>A75+Calculations!$B$4</f>
        <v>75.599999999999994</v>
      </c>
      <c r="B76" s="1">
        <v>0.16078431372549021</v>
      </c>
      <c r="C76" s="1">
        <v>0.15294117647058825</v>
      </c>
      <c r="D76" s="1">
        <v>0.14901960784313725</v>
      </c>
      <c r="E76" s="1">
        <v>0.15294117647058825</v>
      </c>
      <c r="F76" s="1">
        <v>0.15294117647058825</v>
      </c>
      <c r="G76" s="1">
        <v>0.15294117647058825</v>
      </c>
      <c r="H76" s="1">
        <v>0.14509803921568629</v>
      </c>
      <c r="I76" s="1">
        <v>0.15686274509803921</v>
      </c>
      <c r="J76" s="1">
        <v>7.8431372549019607E-3</v>
      </c>
      <c r="K76" s="1">
        <v>0.15294117647058825</v>
      </c>
      <c r="L76" s="1">
        <v>0.15294117647058825</v>
      </c>
      <c r="M76" s="1">
        <v>0.15294117647058825</v>
      </c>
      <c r="N76" s="1">
        <v>0.14901960784313725</v>
      </c>
      <c r="O76" s="1">
        <v>0.15294117647058825</v>
      </c>
      <c r="P76" s="1">
        <v>0.15294117647058825</v>
      </c>
      <c r="Q76" s="1">
        <v>0.15294117647058825</v>
      </c>
      <c r="R76" s="1">
        <v>1.1764705882352941E-2</v>
      </c>
      <c r="S76" s="1">
        <v>0.15294117647058825</v>
      </c>
      <c r="T76" s="1">
        <v>0.15294117647058825</v>
      </c>
      <c r="U76" s="1">
        <v>0.15294117647058825</v>
      </c>
      <c r="V76" s="1">
        <v>0.14509803921568629</v>
      </c>
      <c r="W76" s="1">
        <v>0.15294117647058825</v>
      </c>
      <c r="X76" s="1">
        <v>1.9607843137254902E-2</v>
      </c>
      <c r="Y76" s="1">
        <v>1.9607843137254902E-2</v>
      </c>
      <c r="Z76" s="1">
        <v>0.15294117647058825</v>
      </c>
      <c r="AA76" s="1">
        <v>1.9607843137254902E-2</v>
      </c>
      <c r="AB76" s="1">
        <v>0.15294117647058825</v>
      </c>
      <c r="AC76" s="1">
        <v>1.9607843137254902E-2</v>
      </c>
      <c r="AD76" s="1">
        <v>1.5686274509803921E-2</v>
      </c>
      <c r="AE76" s="1">
        <v>1.1764705882352941E-2</v>
      </c>
      <c r="AF76" s="1">
        <v>1.1764705882352941E-2</v>
      </c>
      <c r="AG76" s="1">
        <v>0.15686274509803921</v>
      </c>
    </row>
    <row r="77" spans="1:33">
      <c r="A77" s="16">
        <f>A76+Calculations!$B$4</f>
        <v>76.599999999999994</v>
      </c>
      <c r="B77" s="1">
        <v>0.15686274509803921</v>
      </c>
      <c r="C77" s="1">
        <v>0.15294117647058825</v>
      </c>
      <c r="D77" s="1">
        <v>0.15294117647058825</v>
      </c>
      <c r="E77" s="1">
        <v>0.15686274509803921</v>
      </c>
      <c r="F77" s="1">
        <v>0.15294117647058825</v>
      </c>
      <c r="G77" s="1">
        <v>0.14509803921568629</v>
      </c>
      <c r="H77" s="1">
        <v>0.14509803921568629</v>
      </c>
      <c r="I77" s="1">
        <v>0.15294117647058825</v>
      </c>
      <c r="J77" s="1">
        <v>7.8431372549019607E-3</v>
      </c>
      <c r="K77" s="1">
        <v>0.14509803921568629</v>
      </c>
      <c r="L77" s="1">
        <v>0.15686274509803921</v>
      </c>
      <c r="M77" s="1">
        <v>0.15294117647058825</v>
      </c>
      <c r="N77" s="1">
        <v>0.15294117647058825</v>
      </c>
      <c r="O77" s="1">
        <v>0.15294117647058825</v>
      </c>
      <c r="P77" s="1">
        <v>0.15294117647058825</v>
      </c>
      <c r="Q77" s="1">
        <v>0.15294117647058825</v>
      </c>
      <c r="R77" s="1">
        <v>1.1764705882352941E-2</v>
      </c>
      <c r="S77" s="1">
        <v>0.16078431372549021</v>
      </c>
      <c r="T77" s="1">
        <v>0.15294117647058825</v>
      </c>
      <c r="U77" s="1">
        <v>0.15294117647058825</v>
      </c>
      <c r="V77" s="1">
        <v>0.15686274509803921</v>
      </c>
      <c r="W77" s="1">
        <v>0.16078431372549021</v>
      </c>
      <c r="X77" s="1">
        <v>1.1764705882352941E-2</v>
      </c>
      <c r="Y77" s="1">
        <v>1.9607843137254902E-2</v>
      </c>
      <c r="Z77" s="1">
        <v>0.15294117647058825</v>
      </c>
      <c r="AA77" s="1">
        <v>1.1764705882352941E-2</v>
      </c>
      <c r="AB77" s="1">
        <v>0.15294117647058825</v>
      </c>
      <c r="AC77" s="1">
        <v>1.9607843137254902E-2</v>
      </c>
      <c r="AD77" s="1">
        <v>1.1764705882352941E-2</v>
      </c>
      <c r="AE77" s="1">
        <v>1.1764705882352941E-2</v>
      </c>
      <c r="AF77" s="1">
        <v>3.9215686274509803E-3</v>
      </c>
      <c r="AG77" s="1">
        <v>0.16078431372549021</v>
      </c>
    </row>
    <row r="78" spans="1:33">
      <c r="A78" s="16">
        <f>A77+Calculations!$B$4</f>
        <v>77.599999999999994</v>
      </c>
      <c r="B78" s="1">
        <v>0.15294117647058825</v>
      </c>
      <c r="C78" s="1">
        <v>0.15294117647058825</v>
      </c>
      <c r="D78" s="1">
        <v>0.14901960784313725</v>
      </c>
      <c r="E78" s="1">
        <v>0.14509803921568629</v>
      </c>
      <c r="F78" s="1">
        <v>0.14901960784313725</v>
      </c>
      <c r="G78" s="1">
        <v>0.14509803921568629</v>
      </c>
      <c r="H78" s="1">
        <v>0.14509803921568629</v>
      </c>
      <c r="I78" s="1">
        <v>0.15294117647058825</v>
      </c>
      <c r="J78" s="1">
        <v>3.9215686274509803E-3</v>
      </c>
      <c r="K78" s="1">
        <v>0.14509803921568629</v>
      </c>
      <c r="L78" s="1">
        <v>0.15294117647058825</v>
      </c>
      <c r="M78" s="1">
        <v>0.15294117647058825</v>
      </c>
      <c r="N78" s="1">
        <v>0.15294117647058825</v>
      </c>
      <c r="O78" s="1">
        <v>0.15294117647058825</v>
      </c>
      <c r="P78" s="1">
        <v>0.14509803921568629</v>
      </c>
      <c r="Q78" s="1">
        <v>0.15294117647058825</v>
      </c>
      <c r="R78" s="1">
        <v>1.5686274509803921E-2</v>
      </c>
      <c r="S78" s="1">
        <v>0.15686274509803921</v>
      </c>
      <c r="T78" s="1">
        <v>0.16078431372549021</v>
      </c>
      <c r="U78" s="1">
        <v>0.16078431372549021</v>
      </c>
      <c r="V78" s="1">
        <v>0.15294117647058825</v>
      </c>
      <c r="W78" s="1">
        <v>0.14901960784313725</v>
      </c>
      <c r="X78" s="1">
        <v>1.5686274509803921E-2</v>
      </c>
      <c r="Y78" s="1">
        <v>1.1764705882352941E-2</v>
      </c>
      <c r="Z78" s="1">
        <v>0.16078431372549021</v>
      </c>
      <c r="AA78" s="1">
        <v>1.5686274509803921E-2</v>
      </c>
      <c r="AB78" s="1">
        <v>0.15294117647058825</v>
      </c>
      <c r="AC78" s="1">
        <v>7.8431372549019607E-3</v>
      </c>
      <c r="AD78" s="1">
        <v>7.8431372549019607E-3</v>
      </c>
      <c r="AE78" s="1">
        <v>1.1764705882352941E-2</v>
      </c>
      <c r="AF78" s="1">
        <v>7.8431372549019607E-3</v>
      </c>
      <c r="AG78" s="1">
        <v>0.15294117647058825</v>
      </c>
    </row>
    <row r="79" spans="1:33">
      <c r="A79" s="16">
        <f>A78+Calculations!$B$4</f>
        <v>78.599999999999994</v>
      </c>
      <c r="B79" s="1">
        <v>0.14901960784313725</v>
      </c>
      <c r="C79" s="1">
        <v>0.14509803921568629</v>
      </c>
      <c r="D79" s="1">
        <v>0.14509803921568629</v>
      </c>
      <c r="E79" s="1">
        <v>0.14901960784313725</v>
      </c>
      <c r="F79" s="1">
        <v>0.14509803921568629</v>
      </c>
      <c r="G79" s="1">
        <v>0.14509803921568629</v>
      </c>
      <c r="H79" s="1">
        <v>0.14509803921568629</v>
      </c>
      <c r="I79" s="1">
        <v>0.15294117647058825</v>
      </c>
      <c r="J79" s="1">
        <v>3.9215686274509803E-3</v>
      </c>
      <c r="K79" s="1">
        <v>0.15294117647058825</v>
      </c>
      <c r="L79" s="1">
        <v>0.14509803921568629</v>
      </c>
      <c r="M79" s="1">
        <v>0.14509803921568629</v>
      </c>
      <c r="N79" s="1">
        <v>0.14901960784313725</v>
      </c>
      <c r="O79" s="1">
        <v>0.15294117647058825</v>
      </c>
      <c r="P79" s="1">
        <v>0.14509803921568629</v>
      </c>
      <c r="Q79" s="1">
        <v>0.15294117647058825</v>
      </c>
      <c r="R79" s="1">
        <v>3.9215686274509803E-3</v>
      </c>
      <c r="S79" s="1">
        <v>0.16078431372549021</v>
      </c>
      <c r="T79" s="1">
        <v>0.15294117647058825</v>
      </c>
      <c r="U79" s="1">
        <v>0.15294117647058825</v>
      </c>
      <c r="V79" s="1">
        <v>0.15294117647058825</v>
      </c>
      <c r="W79" s="1">
        <v>0.15294117647058825</v>
      </c>
      <c r="X79" s="1">
        <v>1.1764705882352941E-2</v>
      </c>
      <c r="Y79" s="1">
        <v>1.5686274509803921E-2</v>
      </c>
      <c r="Z79" s="1">
        <v>0.15294117647058825</v>
      </c>
      <c r="AA79" s="1">
        <v>7.8431372549019607E-3</v>
      </c>
      <c r="AB79" s="1">
        <v>0.16078431372549021</v>
      </c>
      <c r="AC79" s="1">
        <v>7.8431372549019607E-3</v>
      </c>
      <c r="AD79" s="1">
        <v>1.1764705882352941E-2</v>
      </c>
      <c r="AE79" s="1">
        <v>1.1764705882352941E-2</v>
      </c>
      <c r="AF79" s="1">
        <v>3.9215686274509803E-3</v>
      </c>
      <c r="AG79" s="1">
        <v>0.15294117647058825</v>
      </c>
    </row>
    <row r="80" spans="1:33">
      <c r="A80" s="16">
        <f>A79+Calculations!$B$4</f>
        <v>79.599999999999994</v>
      </c>
      <c r="B80" s="1">
        <v>0.14509803921568629</v>
      </c>
      <c r="C80" s="1">
        <v>0.14901960784313725</v>
      </c>
      <c r="D80" s="1">
        <v>0.14509803921568629</v>
      </c>
      <c r="E80" s="1">
        <v>0.15294117647058825</v>
      </c>
      <c r="F80" s="1">
        <v>0.14509803921568629</v>
      </c>
      <c r="G80" s="1">
        <v>0.14509803921568629</v>
      </c>
      <c r="H80" s="1">
        <v>0.14509803921568629</v>
      </c>
      <c r="I80" s="1">
        <v>0.14509803921568629</v>
      </c>
      <c r="J80" s="1">
        <v>3.9215686274509803E-3</v>
      </c>
      <c r="K80" s="1">
        <v>0.14509803921568629</v>
      </c>
      <c r="L80" s="1">
        <v>0.14509803921568629</v>
      </c>
      <c r="M80" s="1">
        <v>0.14509803921568629</v>
      </c>
      <c r="N80" s="1">
        <v>0.14509803921568629</v>
      </c>
      <c r="O80" s="1">
        <v>0.16078431372549021</v>
      </c>
      <c r="P80" s="1">
        <v>0.14509803921568629</v>
      </c>
      <c r="Q80" s="1">
        <v>0.15294117647058825</v>
      </c>
      <c r="R80" s="1">
        <v>1.1764705882352941E-2</v>
      </c>
      <c r="S80" s="1">
        <v>0.15294117647058825</v>
      </c>
      <c r="T80" s="1">
        <v>0.15294117647058825</v>
      </c>
      <c r="U80" s="1">
        <v>0.15294117647058825</v>
      </c>
      <c r="V80" s="1">
        <v>0.14901960784313725</v>
      </c>
      <c r="W80" s="1">
        <v>0.16078431372549021</v>
      </c>
      <c r="X80" s="1">
        <v>1.9607843137254902E-2</v>
      </c>
      <c r="Y80" s="1">
        <v>1.9607843137254902E-2</v>
      </c>
      <c r="Z80" s="1">
        <v>0.14509803921568629</v>
      </c>
      <c r="AA80" s="1">
        <v>1.5686274509803921E-2</v>
      </c>
      <c r="AB80" s="1">
        <v>0.15294117647058825</v>
      </c>
      <c r="AC80" s="1">
        <v>1.1764705882352941E-2</v>
      </c>
      <c r="AD80" s="1">
        <v>1.1764705882352941E-2</v>
      </c>
      <c r="AE80" s="1">
        <v>7.8431372549019607E-3</v>
      </c>
      <c r="AF80" s="1">
        <v>3.9215686274509803E-3</v>
      </c>
      <c r="AG80" s="1">
        <v>0.15686274509803921</v>
      </c>
    </row>
    <row r="81" spans="1:33">
      <c r="A81" s="16">
        <f>A80+Calculations!$B$4</f>
        <v>80.599999999999994</v>
      </c>
      <c r="B81" s="1">
        <v>0.14901960784313725</v>
      </c>
      <c r="C81" s="1">
        <v>0.14509803921568629</v>
      </c>
      <c r="D81" s="1">
        <v>0.14901960784313725</v>
      </c>
      <c r="E81" s="1">
        <v>0.14901960784313725</v>
      </c>
      <c r="F81" s="1">
        <v>0.14509803921568629</v>
      </c>
      <c r="G81" s="1">
        <v>0.14509803921568629</v>
      </c>
      <c r="H81" s="1">
        <v>0.14117647058823529</v>
      </c>
      <c r="I81" s="1">
        <v>0.14901960784313725</v>
      </c>
      <c r="J81" s="1">
        <v>3.9215686274509803E-3</v>
      </c>
      <c r="K81" s="1">
        <v>0.15294117647058825</v>
      </c>
      <c r="L81" s="1">
        <v>0.14901960784313725</v>
      </c>
      <c r="M81" s="1">
        <v>0.14509803921568629</v>
      </c>
      <c r="N81" s="1">
        <v>0.15294117647058825</v>
      </c>
      <c r="O81" s="1">
        <v>0.15686274509803921</v>
      </c>
      <c r="P81" s="1">
        <v>0.14509803921568629</v>
      </c>
      <c r="Q81" s="1">
        <v>0.15294117647058825</v>
      </c>
      <c r="R81" s="1">
        <v>3.9215686274509803E-3</v>
      </c>
      <c r="S81" s="1">
        <v>0.14509803921568629</v>
      </c>
      <c r="T81" s="1">
        <v>0.15294117647058825</v>
      </c>
      <c r="U81" s="1">
        <v>0.14509803921568629</v>
      </c>
      <c r="V81" s="1">
        <v>0.14509803921568629</v>
      </c>
      <c r="W81" s="1">
        <v>0.16078431372549021</v>
      </c>
      <c r="X81" s="1">
        <v>1.9607843137254902E-2</v>
      </c>
      <c r="Y81" s="1">
        <v>1.1764705882352941E-2</v>
      </c>
      <c r="Z81" s="1">
        <v>0.15294117647058825</v>
      </c>
      <c r="AA81" s="1">
        <v>1.5686274509803921E-2</v>
      </c>
      <c r="AB81" s="1">
        <v>0.16078431372549021</v>
      </c>
      <c r="AC81" s="1">
        <v>1.5686274509803921E-2</v>
      </c>
      <c r="AD81" s="1">
        <v>1.1764705882352941E-2</v>
      </c>
      <c r="AE81" s="1">
        <v>1.1764705882352941E-2</v>
      </c>
      <c r="AF81" s="1">
        <v>0</v>
      </c>
      <c r="AG81" s="1">
        <v>0.14901960784313725</v>
      </c>
    </row>
    <row r="82" spans="1:33">
      <c r="A82" s="16">
        <f>A81+Calculations!$B$4</f>
        <v>81.599999999999994</v>
      </c>
      <c r="B82" s="1">
        <v>0.14901960784313725</v>
      </c>
      <c r="C82" s="1">
        <v>0.14509803921568629</v>
      </c>
      <c r="D82" s="1">
        <v>0.14509803921568629</v>
      </c>
      <c r="E82" s="1">
        <v>0.14509803921568629</v>
      </c>
      <c r="F82" s="1">
        <v>0.14901960784313725</v>
      </c>
      <c r="G82" s="1">
        <v>0.14509803921568629</v>
      </c>
      <c r="H82" s="1">
        <v>0.14509803921568629</v>
      </c>
      <c r="I82" s="1">
        <v>0.14901960784313725</v>
      </c>
      <c r="J82" s="1">
        <v>3.9215686274509803E-3</v>
      </c>
      <c r="K82" s="1">
        <v>0.14509803921568629</v>
      </c>
      <c r="L82" s="1">
        <v>0.14509803921568629</v>
      </c>
      <c r="M82" s="1">
        <v>0.14901960784313725</v>
      </c>
      <c r="N82" s="1">
        <v>0.14509803921568629</v>
      </c>
      <c r="O82" s="1">
        <v>0.15294117647058825</v>
      </c>
      <c r="P82" s="1">
        <v>0.14509803921568629</v>
      </c>
      <c r="Q82" s="1">
        <v>0.15294117647058825</v>
      </c>
      <c r="R82" s="1">
        <v>1.1764705882352941E-2</v>
      </c>
      <c r="S82" s="1">
        <v>0.14901960784313725</v>
      </c>
      <c r="T82" s="1">
        <v>0.15294117647058825</v>
      </c>
      <c r="U82" s="1">
        <v>0.14509803921568629</v>
      </c>
      <c r="V82" s="1">
        <v>0.15294117647058825</v>
      </c>
      <c r="W82" s="1">
        <v>0.15294117647058825</v>
      </c>
      <c r="X82" s="1">
        <v>1.5686274509803921E-2</v>
      </c>
      <c r="Y82" s="1">
        <v>1.9607843137254902E-2</v>
      </c>
      <c r="Z82" s="1">
        <v>0.15294117647058825</v>
      </c>
      <c r="AA82" s="1">
        <v>1.1764705882352941E-2</v>
      </c>
      <c r="AB82" s="1">
        <v>0.15294117647058825</v>
      </c>
      <c r="AC82" s="1">
        <v>1.5686274509803921E-2</v>
      </c>
      <c r="AD82" s="1">
        <v>3.9215686274509803E-3</v>
      </c>
      <c r="AE82" s="1">
        <v>3.9215686274509803E-3</v>
      </c>
      <c r="AF82" s="1">
        <v>3.9215686274509803E-3</v>
      </c>
      <c r="AG82" s="1">
        <v>0.15294117647058825</v>
      </c>
    </row>
    <row r="83" spans="1:33">
      <c r="A83" s="34" t="s">
        <v>20</v>
      </c>
      <c r="B83" s="1">
        <v>0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0</v>
      </c>
      <c r="AD83" s="1">
        <v>0</v>
      </c>
      <c r="AE83" s="1">
        <v>0</v>
      </c>
      <c r="AF83" s="1">
        <v>0</v>
      </c>
      <c r="AG83" s="1">
        <v>0</v>
      </c>
    </row>
    <row r="84" spans="1:33">
      <c r="A84" s="16" t="s">
        <v>40</v>
      </c>
      <c r="B84" s="1">
        <v>0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</row>
    <row r="85" spans="1:33">
      <c r="A85" s="16" t="s">
        <v>21</v>
      </c>
      <c r="B85" s="1">
        <v>2.7254901960784315E-2</v>
      </c>
      <c r="C85" s="1">
        <v>2.7294117647058823E-2</v>
      </c>
      <c r="D85" s="1">
        <v>2.7294117647058823E-2</v>
      </c>
      <c r="E85" s="1">
        <v>2.7333333333333334E-2</v>
      </c>
      <c r="F85" s="1">
        <v>2.7333333333333334E-2</v>
      </c>
      <c r="G85" s="1">
        <v>2.7333333333333334E-2</v>
      </c>
      <c r="H85" s="1">
        <v>2.7254901960784315E-2</v>
      </c>
      <c r="I85" s="1">
        <v>2.7254901960784315E-2</v>
      </c>
      <c r="J85" s="1">
        <v>2.7450980392156862E-2</v>
      </c>
      <c r="K85" s="1">
        <v>2.7254901960784315E-2</v>
      </c>
      <c r="L85" s="1">
        <v>2.7294117647058823E-2</v>
      </c>
      <c r="M85" s="1">
        <v>2.7254901960784315E-2</v>
      </c>
      <c r="N85" s="1">
        <v>2.7254901960784315E-2</v>
      </c>
      <c r="O85" s="1">
        <v>2.7333333333333334E-2</v>
      </c>
      <c r="P85" s="1">
        <v>2.7254901960784315E-2</v>
      </c>
      <c r="Q85" s="1">
        <v>2.7254901960784315E-2</v>
      </c>
      <c r="R85" s="1">
        <v>2.7450980392156862E-2</v>
      </c>
      <c r="S85" s="1">
        <v>2.7333333333333334E-2</v>
      </c>
      <c r="T85" s="1">
        <v>2.7333333333333334E-2</v>
      </c>
      <c r="U85" s="1">
        <v>2.7254901960784315E-2</v>
      </c>
      <c r="V85" s="1">
        <v>2.7254901960784315E-2</v>
      </c>
      <c r="W85" s="1">
        <v>2.7294117647058823E-2</v>
      </c>
      <c r="X85" s="1">
        <v>2.7450980392156862E-2</v>
      </c>
      <c r="Y85" s="1">
        <v>2.7450980392156862E-2</v>
      </c>
      <c r="Z85" s="1">
        <v>2.7294117647058823E-2</v>
      </c>
      <c r="AA85" s="1">
        <v>2.7450980392156862E-2</v>
      </c>
      <c r="AB85" s="1">
        <v>2.7333333333333334E-2</v>
      </c>
      <c r="AC85" s="1">
        <v>2.7450980392156862E-2</v>
      </c>
      <c r="AD85" s="1">
        <v>2.7450980392156862E-2</v>
      </c>
      <c r="AE85" s="1">
        <v>2.7450980392156862E-2</v>
      </c>
      <c r="AF85" s="1">
        <v>2.7450980392156862E-2</v>
      </c>
      <c r="AG85" s="1">
        <v>2.7333333333333334E-2</v>
      </c>
    </row>
    <row r="86" spans="1:33">
      <c r="A86" s="16" t="s">
        <v>39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v>0</v>
      </c>
    </row>
    <row r="87" spans="1:33" ht="15.75" thickBot="1">
      <c r="A87" s="16" t="s">
        <v>41</v>
      </c>
      <c r="B87" s="17">
        <v>0</v>
      </c>
      <c r="C87" s="17">
        <v>0</v>
      </c>
      <c r="D87" s="17">
        <v>0</v>
      </c>
      <c r="E87" s="17">
        <v>0</v>
      </c>
      <c r="F87" s="17">
        <v>0</v>
      </c>
      <c r="G87" s="17">
        <v>0</v>
      </c>
      <c r="H87" s="17">
        <v>0</v>
      </c>
      <c r="I87" s="17">
        <v>0</v>
      </c>
      <c r="J87" s="17">
        <v>0</v>
      </c>
      <c r="K87" s="17">
        <v>0</v>
      </c>
      <c r="L87" s="17">
        <v>0</v>
      </c>
      <c r="M87" s="17">
        <v>0</v>
      </c>
      <c r="N87" s="17">
        <v>0</v>
      </c>
      <c r="O87" s="17">
        <v>0</v>
      </c>
      <c r="P87" s="17">
        <v>0</v>
      </c>
      <c r="Q87" s="17">
        <v>0</v>
      </c>
      <c r="R87" s="17">
        <v>0</v>
      </c>
      <c r="S87" s="17">
        <v>0</v>
      </c>
      <c r="T87" s="17">
        <v>0</v>
      </c>
      <c r="U87" s="17">
        <v>0</v>
      </c>
      <c r="V87" s="17">
        <v>0</v>
      </c>
      <c r="W87" s="17">
        <v>0</v>
      </c>
      <c r="X87" s="17">
        <v>0</v>
      </c>
      <c r="Y87" s="17">
        <v>0</v>
      </c>
      <c r="Z87" s="17">
        <v>0</v>
      </c>
      <c r="AA87" s="17">
        <v>0</v>
      </c>
      <c r="AB87" s="17">
        <v>0</v>
      </c>
      <c r="AC87" s="17">
        <v>0</v>
      </c>
      <c r="AD87" s="17">
        <v>0</v>
      </c>
      <c r="AE87" s="17">
        <v>0</v>
      </c>
      <c r="AF87" s="17">
        <v>0</v>
      </c>
      <c r="AG87" s="17">
        <v>0</v>
      </c>
    </row>
    <row r="88" spans="1:33">
      <c r="A88" s="35" t="s">
        <v>44</v>
      </c>
      <c r="B88" s="31" t="str">
        <f>DEC2HEX(B83*128+192,2)</f>
        <v>C0</v>
      </c>
      <c r="C88" s="31" t="str">
        <f t="shared" ref="C88:AG88" si="1">DEC2HEX(C83*128+192,2)</f>
        <v>C0</v>
      </c>
      <c r="D88" s="31" t="str">
        <f t="shared" si="1"/>
        <v>C0</v>
      </c>
      <c r="E88" s="31" t="str">
        <f t="shared" si="1"/>
        <v>C0</v>
      </c>
      <c r="F88" s="31" t="str">
        <f t="shared" si="1"/>
        <v>C0</v>
      </c>
      <c r="G88" s="31" t="str">
        <f t="shared" si="1"/>
        <v>C0</v>
      </c>
      <c r="H88" s="31" t="str">
        <f t="shared" si="1"/>
        <v>C0</v>
      </c>
      <c r="I88" s="31" t="str">
        <f t="shared" si="1"/>
        <v>C0</v>
      </c>
      <c r="J88" s="31" t="str">
        <f t="shared" si="1"/>
        <v>C0</v>
      </c>
      <c r="K88" s="31" t="str">
        <f t="shared" si="1"/>
        <v>C0</v>
      </c>
      <c r="L88" s="31" t="str">
        <f t="shared" si="1"/>
        <v>C0</v>
      </c>
      <c r="M88" s="31" t="str">
        <f t="shared" si="1"/>
        <v>C0</v>
      </c>
      <c r="N88" s="31" t="str">
        <f t="shared" si="1"/>
        <v>C0</v>
      </c>
      <c r="O88" s="31" t="str">
        <f t="shared" si="1"/>
        <v>C0</v>
      </c>
      <c r="P88" s="31" t="str">
        <f t="shared" si="1"/>
        <v>C0</v>
      </c>
      <c r="Q88" s="31" t="str">
        <f t="shared" si="1"/>
        <v>C0</v>
      </c>
      <c r="R88" s="31" t="str">
        <f t="shared" si="1"/>
        <v>C0</v>
      </c>
      <c r="S88" s="31" t="str">
        <f t="shared" si="1"/>
        <v>C0</v>
      </c>
      <c r="T88" s="31" t="str">
        <f t="shared" si="1"/>
        <v>C0</v>
      </c>
      <c r="U88" s="31" t="str">
        <f t="shared" si="1"/>
        <v>C0</v>
      </c>
      <c r="V88" s="31" t="str">
        <f t="shared" si="1"/>
        <v>C0</v>
      </c>
      <c r="W88" s="31" t="str">
        <f t="shared" si="1"/>
        <v>C0</v>
      </c>
      <c r="X88" s="31" t="str">
        <f t="shared" si="1"/>
        <v>C0</v>
      </c>
      <c r="Y88" s="31" t="str">
        <f t="shared" si="1"/>
        <v>C0</v>
      </c>
      <c r="Z88" s="31" t="str">
        <f t="shared" si="1"/>
        <v>C0</v>
      </c>
      <c r="AA88" s="31" t="str">
        <f t="shared" si="1"/>
        <v>C0</v>
      </c>
      <c r="AB88" s="31" t="str">
        <f t="shared" si="1"/>
        <v>C0</v>
      </c>
      <c r="AC88" s="31" t="str">
        <f t="shared" si="1"/>
        <v>C0</v>
      </c>
      <c r="AD88" s="31" t="str">
        <f t="shared" si="1"/>
        <v>C0</v>
      </c>
      <c r="AE88" s="31" t="str">
        <f t="shared" si="1"/>
        <v>C0</v>
      </c>
      <c r="AF88" s="31" t="str">
        <f t="shared" si="1"/>
        <v>C0</v>
      </c>
      <c r="AG88" s="32" t="str">
        <f t="shared" si="1"/>
        <v>C0</v>
      </c>
    </row>
    <row r="89" spans="1:33">
      <c r="A89" s="36" t="s">
        <v>42</v>
      </c>
      <c r="B89" s="20">
        <f>(B86-B84)/(B85-B87)/1000</f>
        <v>0</v>
      </c>
      <c r="C89" s="20">
        <f t="shared" ref="C89:AG89" si="2">(C86-C84)/(C85-C87)/1000</f>
        <v>0</v>
      </c>
      <c r="D89" s="20">
        <f t="shared" si="2"/>
        <v>0</v>
      </c>
      <c r="E89" s="20">
        <f t="shared" si="2"/>
        <v>0</v>
      </c>
      <c r="F89" s="20">
        <f t="shared" si="2"/>
        <v>0</v>
      </c>
      <c r="G89" s="20">
        <f t="shared" si="2"/>
        <v>0</v>
      </c>
      <c r="H89" s="20">
        <f t="shared" si="2"/>
        <v>0</v>
      </c>
      <c r="I89" s="20">
        <f t="shared" si="2"/>
        <v>0</v>
      </c>
      <c r="J89" s="20">
        <f t="shared" si="2"/>
        <v>0</v>
      </c>
      <c r="K89" s="20">
        <f t="shared" si="2"/>
        <v>0</v>
      </c>
      <c r="L89" s="20">
        <f t="shared" si="2"/>
        <v>0</v>
      </c>
      <c r="M89" s="20">
        <f t="shared" si="2"/>
        <v>0</v>
      </c>
      <c r="N89" s="20">
        <f t="shared" si="2"/>
        <v>0</v>
      </c>
      <c r="O89" s="20">
        <f t="shared" si="2"/>
        <v>0</v>
      </c>
      <c r="P89" s="20">
        <f t="shared" si="2"/>
        <v>0</v>
      </c>
      <c r="Q89" s="20">
        <f t="shared" si="2"/>
        <v>0</v>
      </c>
      <c r="R89" s="20">
        <f t="shared" si="2"/>
        <v>0</v>
      </c>
      <c r="S89" s="20">
        <f t="shared" si="2"/>
        <v>0</v>
      </c>
      <c r="T89" s="20">
        <f t="shared" si="2"/>
        <v>0</v>
      </c>
      <c r="U89" s="20">
        <f t="shared" si="2"/>
        <v>0</v>
      </c>
      <c r="V89" s="20">
        <f t="shared" si="2"/>
        <v>0</v>
      </c>
      <c r="W89" s="20">
        <f t="shared" si="2"/>
        <v>0</v>
      </c>
      <c r="X89" s="20">
        <f t="shared" si="2"/>
        <v>0</v>
      </c>
      <c r="Y89" s="20">
        <f t="shared" si="2"/>
        <v>0</v>
      </c>
      <c r="Z89" s="20">
        <f t="shared" si="2"/>
        <v>0</v>
      </c>
      <c r="AA89" s="20">
        <f t="shared" si="2"/>
        <v>0</v>
      </c>
      <c r="AB89" s="20">
        <f t="shared" si="2"/>
        <v>0</v>
      </c>
      <c r="AC89" s="20">
        <f t="shared" si="2"/>
        <v>0</v>
      </c>
      <c r="AD89" s="20">
        <f t="shared" si="2"/>
        <v>0</v>
      </c>
      <c r="AE89" s="20">
        <f t="shared" si="2"/>
        <v>0</v>
      </c>
      <c r="AF89" s="20">
        <f t="shared" si="2"/>
        <v>0</v>
      </c>
      <c r="AG89" s="37">
        <f t="shared" si="2"/>
        <v>0</v>
      </c>
    </row>
    <row r="90" spans="1:33" ht="15.75" thickBot="1">
      <c r="A90" s="38" t="s">
        <v>43</v>
      </c>
      <c r="B90" s="39">
        <f>B89*15</f>
        <v>0</v>
      </c>
      <c r="C90" s="39">
        <f t="shared" ref="C90:AG90" si="3">C89*15</f>
        <v>0</v>
      </c>
      <c r="D90" s="39">
        <f t="shared" si="3"/>
        <v>0</v>
      </c>
      <c r="E90" s="39">
        <f t="shared" si="3"/>
        <v>0</v>
      </c>
      <c r="F90" s="39">
        <f t="shared" si="3"/>
        <v>0</v>
      </c>
      <c r="G90" s="39">
        <f t="shared" si="3"/>
        <v>0</v>
      </c>
      <c r="H90" s="39">
        <f t="shared" si="3"/>
        <v>0</v>
      </c>
      <c r="I90" s="39">
        <f t="shared" si="3"/>
        <v>0</v>
      </c>
      <c r="J90" s="39">
        <f t="shared" si="3"/>
        <v>0</v>
      </c>
      <c r="K90" s="39">
        <f t="shared" si="3"/>
        <v>0</v>
      </c>
      <c r="L90" s="39">
        <f t="shared" si="3"/>
        <v>0</v>
      </c>
      <c r="M90" s="39">
        <f t="shared" si="3"/>
        <v>0</v>
      </c>
      <c r="N90" s="39">
        <f t="shared" si="3"/>
        <v>0</v>
      </c>
      <c r="O90" s="39">
        <f t="shared" si="3"/>
        <v>0</v>
      </c>
      <c r="P90" s="39">
        <f t="shared" si="3"/>
        <v>0</v>
      </c>
      <c r="Q90" s="39">
        <f t="shared" si="3"/>
        <v>0</v>
      </c>
      <c r="R90" s="39">
        <f t="shared" si="3"/>
        <v>0</v>
      </c>
      <c r="S90" s="39">
        <f t="shared" si="3"/>
        <v>0</v>
      </c>
      <c r="T90" s="39">
        <f t="shared" si="3"/>
        <v>0</v>
      </c>
      <c r="U90" s="39">
        <f t="shared" si="3"/>
        <v>0</v>
      </c>
      <c r="V90" s="39">
        <f t="shared" si="3"/>
        <v>0</v>
      </c>
      <c r="W90" s="39">
        <f t="shared" si="3"/>
        <v>0</v>
      </c>
      <c r="X90" s="39">
        <f t="shared" si="3"/>
        <v>0</v>
      </c>
      <c r="Y90" s="39">
        <f t="shared" si="3"/>
        <v>0</v>
      </c>
      <c r="Z90" s="39">
        <f t="shared" si="3"/>
        <v>0</v>
      </c>
      <c r="AA90" s="39">
        <f t="shared" si="3"/>
        <v>0</v>
      </c>
      <c r="AB90" s="39">
        <f t="shared" si="3"/>
        <v>0</v>
      </c>
      <c r="AC90" s="39">
        <f t="shared" si="3"/>
        <v>0</v>
      </c>
      <c r="AD90" s="39">
        <f t="shared" si="3"/>
        <v>0</v>
      </c>
      <c r="AE90" s="39">
        <f t="shared" si="3"/>
        <v>0</v>
      </c>
      <c r="AF90" s="39">
        <f t="shared" si="3"/>
        <v>0</v>
      </c>
      <c r="AG90" s="40">
        <f t="shared" si="3"/>
        <v>0</v>
      </c>
    </row>
    <row r="91" spans="1:33">
      <c r="A91" s="16"/>
    </row>
    <row r="92" spans="1:33">
      <c r="A92" s="16"/>
    </row>
    <row r="93" spans="1:33">
      <c r="A93" s="16"/>
    </row>
    <row r="94" spans="1:33">
      <c r="A94" s="16"/>
    </row>
    <row r="95" spans="1:33">
      <c r="A95" s="16"/>
    </row>
    <row r="96" spans="1:33">
      <c r="A96" s="16"/>
    </row>
    <row r="97" spans="1:1">
      <c r="A97" s="16"/>
    </row>
    <row r="98" spans="1:1">
      <c r="A98" s="16"/>
    </row>
    <row r="99" spans="1:1">
      <c r="A99" s="16"/>
    </row>
    <row r="100" spans="1:1">
      <c r="A100" s="16"/>
    </row>
    <row r="101" spans="1:1">
      <c r="A101" s="16"/>
    </row>
    <row r="102" spans="1:1">
      <c r="A102" s="16"/>
    </row>
    <row r="103" spans="1:1">
      <c r="A103" s="16"/>
    </row>
    <row r="104" spans="1:1">
      <c r="A104" s="16"/>
    </row>
    <row r="105" spans="1:1">
      <c r="A105" s="16"/>
    </row>
    <row r="106" spans="1:1">
      <c r="A106" s="16"/>
    </row>
    <row r="107" spans="1:1">
      <c r="A107" s="16"/>
    </row>
    <row r="108" spans="1:1">
      <c r="A108" s="16"/>
    </row>
    <row r="109" spans="1:1">
      <c r="A109" s="16"/>
    </row>
    <row r="110" spans="1:1">
      <c r="A110" s="16"/>
    </row>
    <row r="111" spans="1:1">
      <c r="A111" s="16"/>
    </row>
    <row r="112" spans="1:1">
      <c r="A112" s="16"/>
    </row>
    <row r="113" spans="1:1">
      <c r="A113" s="16"/>
    </row>
    <row r="114" spans="1:1">
      <c r="A114" s="16"/>
    </row>
    <row r="115" spans="1:1">
      <c r="A115" s="16"/>
    </row>
    <row r="116" spans="1:1">
      <c r="A116" s="16"/>
    </row>
    <row r="117" spans="1:1">
      <c r="A117" s="16"/>
    </row>
    <row r="118" spans="1:1">
      <c r="A118" s="16"/>
    </row>
    <row r="119" spans="1:1">
      <c r="A119" s="16"/>
    </row>
    <row r="120" spans="1:1">
      <c r="A120" s="16"/>
    </row>
    <row r="121" spans="1:1">
      <c r="A121" s="16"/>
    </row>
    <row r="122" spans="1:1">
      <c r="A122" s="16"/>
    </row>
    <row r="123" spans="1:1">
      <c r="A123" s="16"/>
    </row>
    <row r="124" spans="1:1">
      <c r="A124" s="16"/>
    </row>
    <row r="125" spans="1:1">
      <c r="A125" s="16"/>
    </row>
    <row r="126" spans="1:1">
      <c r="A126" s="16"/>
    </row>
    <row r="127" spans="1:1">
      <c r="A127" s="16"/>
    </row>
    <row r="128" spans="1:1">
      <c r="A128" s="16"/>
    </row>
    <row r="129" spans="1:1">
      <c r="A129" s="16"/>
    </row>
    <row r="130" spans="1:1">
      <c r="A130" s="16"/>
    </row>
    <row r="131" spans="1:1">
      <c r="A131" s="16"/>
    </row>
    <row r="132" spans="1:1">
      <c r="A132" s="16"/>
    </row>
    <row r="133" spans="1:1">
      <c r="A133" s="16"/>
    </row>
    <row r="134" spans="1:1">
      <c r="A134" s="16"/>
    </row>
    <row r="135" spans="1:1">
      <c r="A135" s="16"/>
    </row>
    <row r="136" spans="1:1">
      <c r="A136" s="16"/>
    </row>
    <row r="137" spans="1:1">
      <c r="A137" s="16"/>
    </row>
    <row r="138" spans="1:1">
      <c r="A138" s="16"/>
    </row>
    <row r="139" spans="1:1">
      <c r="A139" s="16"/>
    </row>
    <row r="140" spans="1:1">
      <c r="A140" s="16"/>
    </row>
    <row r="141" spans="1:1">
      <c r="A141" s="16"/>
    </row>
    <row r="142" spans="1:1">
      <c r="A142" s="16"/>
    </row>
    <row r="143" spans="1:1">
      <c r="A143" s="16"/>
    </row>
    <row r="144" spans="1:1">
      <c r="A144" s="16"/>
    </row>
    <row r="145" spans="1:1">
      <c r="A145" s="16"/>
    </row>
    <row r="146" spans="1:1">
      <c r="A146" s="16"/>
    </row>
    <row r="147" spans="1:1">
      <c r="A147" s="16"/>
    </row>
    <row r="148" spans="1:1">
      <c r="A148" s="16"/>
    </row>
    <row r="149" spans="1:1">
      <c r="A149" s="16"/>
    </row>
    <row r="150" spans="1:1">
      <c r="A150" s="16"/>
    </row>
    <row r="151" spans="1:1">
      <c r="A151" s="16"/>
    </row>
    <row r="152" spans="1:1">
      <c r="A152" s="16"/>
    </row>
    <row r="153" spans="1:1">
      <c r="A153" s="16"/>
    </row>
    <row r="154" spans="1:1">
      <c r="A154" s="16"/>
    </row>
    <row r="155" spans="1:1">
      <c r="A155" s="16"/>
    </row>
    <row r="156" spans="1:1">
      <c r="A156" s="16"/>
    </row>
    <row r="157" spans="1:1">
      <c r="A157" s="16"/>
    </row>
    <row r="158" spans="1:1">
      <c r="A158" s="16"/>
    </row>
    <row r="159" spans="1:1">
      <c r="A159" s="16"/>
    </row>
    <row r="160" spans="1:1">
      <c r="A160" s="16"/>
    </row>
    <row r="161" spans="1:1">
      <c r="A161" s="16"/>
    </row>
    <row r="162" spans="1:1">
      <c r="A162" s="16"/>
    </row>
    <row r="163" spans="1:1">
      <c r="A163" s="16"/>
    </row>
    <row r="164" spans="1:1">
      <c r="A164" s="16"/>
    </row>
    <row r="165" spans="1:1">
      <c r="A165" s="16"/>
    </row>
    <row r="166" spans="1:1">
      <c r="A166" s="1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Summary</vt:lpstr>
      <vt:lpstr>Calculations</vt:lpstr>
      <vt:lpstr>data0</vt:lpstr>
      <vt:lpstr>data1</vt:lpstr>
      <vt:lpstr>data2</vt:lpstr>
      <vt:lpstr>data3</vt:lpstr>
      <vt:lpstr>params</vt:lpstr>
      <vt:lpstr>partNumber</vt:lpstr>
      <vt:lpstr>Summary!Print_Area</vt:lpstr>
      <vt:lpstr>PswpStart</vt:lpstr>
      <vt:lpstr>PswpStep</vt:lpstr>
      <vt:lpstr>PswpStop</vt:lpstr>
      <vt:lpstr>relativePrx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2014-06-09T18:11:02Z</dcterms:modified>
</cp:coreProperties>
</file>