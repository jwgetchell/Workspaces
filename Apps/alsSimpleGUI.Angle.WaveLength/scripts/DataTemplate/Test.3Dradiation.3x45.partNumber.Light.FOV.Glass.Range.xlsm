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charts/chart58.xml" ContentType="application/vnd.openxmlformats-officedocument.drawingml.chart+xml"/>
  <Override PartName="/xl/worksheets/sheet3.xml" ContentType="application/vnd.openxmlformats-officedocument.spreadsheetml.worksheet+xml"/>
  <Default Extension="pptx" ContentType="application/vnd.openxmlformats-officedocument.presentationml.presentation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charts/chart63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Default Extension="emf" ContentType="image/x-emf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drawings/drawing10.xml" ContentType="application/vnd.openxmlformats-officedocument.drawing+xml"/>
  <Override PartName="/xl/charts/chart62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0" windowWidth="16485" windowHeight="9750" tabRatio="784"/>
  </bookViews>
  <sheets>
    <sheet name="Summary" sheetId="1" r:id="rId1"/>
    <sheet name="4-axis|Calc" sheetId="40" r:id="rId2"/>
    <sheet name="scale0" sheetId="41" r:id="rId3"/>
    <sheet name="scale1" sheetId="55" r:id="rId4"/>
    <sheet name="scale2" sheetId="56" r:id="rId5"/>
    <sheet name="scale3" sheetId="57" r:id="rId6"/>
    <sheet name="data0" sheetId="2" r:id="rId7"/>
    <sheet name="data1" sheetId="4" r:id="rId8"/>
    <sheet name="data2" sheetId="5" r:id="rId9"/>
    <sheet name="data3" sheetId="6" r:id="rId10"/>
    <sheet name="count0" sheetId="48" r:id="rId11"/>
    <sheet name="count1" sheetId="49" r:id="rId12"/>
    <sheet name="count2" sheetId="50" r:id="rId13"/>
    <sheet name="count3" sheetId="51" r:id="rId14"/>
  </sheets>
  <functionGroups/>
  <definedNames>
    <definedName name="Comp35en">Summary!$T$5</definedName>
    <definedName name="Comp38">Summary!$T$4</definedName>
    <definedName name="Irdr">Summary!$T$6</definedName>
    <definedName name="_xlnm.Print_Area" localSheetId="0">Summary!$A$1:$G$20</definedName>
    <definedName name="range">Summary!$N$3</definedName>
    <definedName name="RangeN">Summary!$T$3</definedName>
    <definedName name="resolution">Summary!$N$4</definedName>
    <definedName name="v_0">Summary!$I$3</definedName>
    <definedName name="v_1">Summary!$I$4</definedName>
    <definedName name="v_2">Summary!$O$17</definedName>
    <definedName name="v_3">Summary!$O$21</definedName>
    <definedName name="xOffset">Summary!$S$18</definedName>
    <definedName name="yOffset">Summary!$S$19</definedName>
  </definedNames>
  <calcPr calcId="125725"/>
</workbook>
</file>

<file path=xl/calcChain.xml><?xml version="1.0" encoding="utf-8"?>
<calcChain xmlns="http://schemas.openxmlformats.org/spreadsheetml/2006/main">
  <c r="X8" i="1"/>
  <c r="S20"/>
  <c r="AJ6" i="57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AJ6" i="5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AJ6" i="55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AJ6" i="41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V5" i="40"/>
  <c r="B67" i="5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I6"/>
  <c r="H6"/>
  <c r="G6"/>
  <c r="F6"/>
  <c r="E6"/>
  <c r="A67"/>
  <c r="A130" s="1"/>
  <c r="A66"/>
  <c r="A129" s="1"/>
  <c r="A65"/>
  <c r="A128" s="1"/>
  <c r="A64"/>
  <c r="A127" s="1"/>
  <c r="A63"/>
  <c r="A126" s="1"/>
  <c r="A62"/>
  <c r="A125" s="1"/>
  <c r="A61"/>
  <c r="A124" s="1"/>
  <c r="A60"/>
  <c r="A123" s="1"/>
  <c r="A59"/>
  <c r="A122" s="1"/>
  <c r="A58"/>
  <c r="A121" s="1"/>
  <c r="A57"/>
  <c r="A120" s="1"/>
  <c r="A56"/>
  <c r="A119" s="1"/>
  <c r="A55"/>
  <c r="A118" s="1"/>
  <c r="A54"/>
  <c r="A117" s="1"/>
  <c r="A53"/>
  <c r="A116" s="1"/>
  <c r="A52"/>
  <c r="A115" s="1"/>
  <c r="A51"/>
  <c r="A114" s="1"/>
  <c r="A50"/>
  <c r="A113" s="1"/>
  <c r="A49"/>
  <c r="A112" s="1"/>
  <c r="A48"/>
  <c r="A111" s="1"/>
  <c r="A47"/>
  <c r="A110" s="1"/>
  <c r="A46"/>
  <c r="A109" s="1"/>
  <c r="A45"/>
  <c r="A108" s="1"/>
  <c r="A44"/>
  <c r="A107" s="1"/>
  <c r="A43"/>
  <c r="A106" s="1"/>
  <c r="A42"/>
  <c r="A105" s="1"/>
  <c r="A41"/>
  <c r="A104" s="1"/>
  <c r="A40"/>
  <c r="A103" s="1"/>
  <c r="A39"/>
  <c r="A102" s="1"/>
  <c r="A38"/>
  <c r="A101" s="1"/>
  <c r="A37"/>
  <c r="A100" s="1"/>
  <c r="A36"/>
  <c r="A99" s="1"/>
  <c r="A35"/>
  <c r="A98" s="1"/>
  <c r="A34"/>
  <c r="A97" s="1"/>
  <c r="A33"/>
  <c r="A96" s="1"/>
  <c r="A32"/>
  <c r="A95" s="1"/>
  <c r="A31"/>
  <c r="A94" s="1"/>
  <c r="A30"/>
  <c r="A93" s="1"/>
  <c r="A29"/>
  <c r="A92" s="1"/>
  <c r="A28"/>
  <c r="A91" s="1"/>
  <c r="A27"/>
  <c r="A90" s="1"/>
  <c r="A26"/>
  <c r="A89" s="1"/>
  <c r="A25"/>
  <c r="A88" s="1"/>
  <c r="A24"/>
  <c r="A87" s="1"/>
  <c r="A23"/>
  <c r="A86" s="1"/>
  <c r="A22"/>
  <c r="A85" s="1"/>
  <c r="A21"/>
  <c r="A84" s="1"/>
  <c r="A20"/>
  <c r="A83" s="1"/>
  <c r="A19"/>
  <c r="A82" s="1"/>
  <c r="A18"/>
  <c r="A81" s="1"/>
  <c r="A17"/>
  <c r="A80" s="1"/>
  <c r="A16"/>
  <c r="A79" s="1"/>
  <c r="A15"/>
  <c r="A78" s="1"/>
  <c r="A14"/>
  <c r="A77" s="1"/>
  <c r="A13"/>
  <c r="A76" s="1"/>
  <c r="A12"/>
  <c r="A75" s="1"/>
  <c r="A11"/>
  <c r="A74" s="1"/>
  <c r="A10"/>
  <c r="A73" s="1"/>
  <c r="A9"/>
  <c r="A72" s="1"/>
  <c r="A8"/>
  <c r="A71" s="1"/>
  <c r="A7"/>
  <c r="A70" s="1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B67" i="56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I6"/>
  <c r="H6"/>
  <c r="G6"/>
  <c r="F6"/>
  <c r="E6"/>
  <c r="A67"/>
  <c r="A130" s="1"/>
  <c r="A66"/>
  <c r="A129" s="1"/>
  <c r="A65"/>
  <c r="A128" s="1"/>
  <c r="A64"/>
  <c r="A127" s="1"/>
  <c r="A63"/>
  <c r="A126" s="1"/>
  <c r="A62"/>
  <c r="A125" s="1"/>
  <c r="A61"/>
  <c r="A124" s="1"/>
  <c r="A60"/>
  <c r="A123" s="1"/>
  <c r="A59"/>
  <c r="A122" s="1"/>
  <c r="A58"/>
  <c r="A121" s="1"/>
  <c r="A57"/>
  <c r="A120" s="1"/>
  <c r="A56"/>
  <c r="A119" s="1"/>
  <c r="A55"/>
  <c r="A118" s="1"/>
  <c r="A54"/>
  <c r="A117" s="1"/>
  <c r="A53"/>
  <c r="A116" s="1"/>
  <c r="A52"/>
  <c r="A115" s="1"/>
  <c r="A51"/>
  <c r="A114" s="1"/>
  <c r="A50"/>
  <c r="A113" s="1"/>
  <c r="A49"/>
  <c r="A112" s="1"/>
  <c r="A48"/>
  <c r="A111" s="1"/>
  <c r="A47"/>
  <c r="A110" s="1"/>
  <c r="A46"/>
  <c r="A109" s="1"/>
  <c r="A45"/>
  <c r="A108" s="1"/>
  <c r="A44"/>
  <c r="A107" s="1"/>
  <c r="A43"/>
  <c r="A106" s="1"/>
  <c r="A42"/>
  <c r="A105" s="1"/>
  <c r="A41"/>
  <c r="A104" s="1"/>
  <c r="A40"/>
  <c r="A103" s="1"/>
  <c r="A39"/>
  <c r="A102" s="1"/>
  <c r="A38"/>
  <c r="A101" s="1"/>
  <c r="A37"/>
  <c r="A100" s="1"/>
  <c r="A36"/>
  <c r="A99" s="1"/>
  <c r="A35"/>
  <c r="A98" s="1"/>
  <c r="A34"/>
  <c r="A97" s="1"/>
  <c r="A33"/>
  <c r="A96" s="1"/>
  <c r="A32"/>
  <c r="A95" s="1"/>
  <c r="A31"/>
  <c r="A94" s="1"/>
  <c r="A30"/>
  <c r="A93" s="1"/>
  <c r="A29"/>
  <c r="A92" s="1"/>
  <c r="A28"/>
  <c r="A91" s="1"/>
  <c r="A27"/>
  <c r="A90" s="1"/>
  <c r="A26"/>
  <c r="A89" s="1"/>
  <c r="A25"/>
  <c r="A88" s="1"/>
  <c r="A24"/>
  <c r="A87" s="1"/>
  <c r="A23"/>
  <c r="A86" s="1"/>
  <c r="A22"/>
  <c r="A85" s="1"/>
  <c r="A21"/>
  <c r="A84" s="1"/>
  <c r="A20"/>
  <c r="A83" s="1"/>
  <c r="A19"/>
  <c r="A82" s="1"/>
  <c r="A18"/>
  <c r="A81" s="1"/>
  <c r="A17"/>
  <c r="A80" s="1"/>
  <c r="A16"/>
  <c r="A79" s="1"/>
  <c r="A15"/>
  <c r="A78" s="1"/>
  <c r="A14"/>
  <c r="A77" s="1"/>
  <c r="A13"/>
  <c r="A76" s="1"/>
  <c r="A12"/>
  <c r="A75" s="1"/>
  <c r="A11"/>
  <c r="A74" s="1"/>
  <c r="A10"/>
  <c r="A73" s="1"/>
  <c r="A9"/>
  <c r="A72" s="1"/>
  <c r="A8"/>
  <c r="A71" s="1"/>
  <c r="A7"/>
  <c r="A70" s="1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B67" i="55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I6"/>
  <c r="H6"/>
  <c r="G6"/>
  <c r="F6"/>
  <c r="E6"/>
  <c r="A67"/>
  <c r="A130" s="1"/>
  <c r="A66"/>
  <c r="A129" s="1"/>
  <c r="A65"/>
  <c r="A128" s="1"/>
  <c r="A64"/>
  <c r="A127" s="1"/>
  <c r="A63"/>
  <c r="A126" s="1"/>
  <c r="A62"/>
  <c r="A125" s="1"/>
  <c r="A61"/>
  <c r="A124" s="1"/>
  <c r="A60"/>
  <c r="A123" s="1"/>
  <c r="A59"/>
  <c r="A122" s="1"/>
  <c r="A58"/>
  <c r="A121" s="1"/>
  <c r="A57"/>
  <c r="A120" s="1"/>
  <c r="A56"/>
  <c r="A119" s="1"/>
  <c r="A55"/>
  <c r="A118" s="1"/>
  <c r="A54"/>
  <c r="A117" s="1"/>
  <c r="A53"/>
  <c r="A116" s="1"/>
  <c r="A52"/>
  <c r="A115" s="1"/>
  <c r="A51"/>
  <c r="A114" s="1"/>
  <c r="A50"/>
  <c r="A113" s="1"/>
  <c r="A49"/>
  <c r="A112" s="1"/>
  <c r="A48"/>
  <c r="A111" s="1"/>
  <c r="A47"/>
  <c r="A110" s="1"/>
  <c r="A46"/>
  <c r="A109" s="1"/>
  <c r="A45"/>
  <c r="A108" s="1"/>
  <c r="A44"/>
  <c r="A107" s="1"/>
  <c r="A43"/>
  <c r="A106" s="1"/>
  <c r="A42"/>
  <c r="A105" s="1"/>
  <c r="A41"/>
  <c r="A104" s="1"/>
  <c r="A40"/>
  <c r="A103" s="1"/>
  <c r="A39"/>
  <c r="A102" s="1"/>
  <c r="A38"/>
  <c r="A101" s="1"/>
  <c r="A37"/>
  <c r="A100" s="1"/>
  <c r="A36"/>
  <c r="A99" s="1"/>
  <c r="A35"/>
  <c r="A98" s="1"/>
  <c r="A34"/>
  <c r="A97" s="1"/>
  <c r="A33"/>
  <c r="A96" s="1"/>
  <c r="A32"/>
  <c r="A95" s="1"/>
  <c r="A31"/>
  <c r="A94" s="1"/>
  <c r="A30"/>
  <c r="A93" s="1"/>
  <c r="A29"/>
  <c r="A92" s="1"/>
  <c r="A28"/>
  <c r="A91" s="1"/>
  <c r="A27"/>
  <c r="A90" s="1"/>
  <c r="A26"/>
  <c r="A89" s="1"/>
  <c r="A25"/>
  <c r="A88" s="1"/>
  <c r="A24"/>
  <c r="A87" s="1"/>
  <c r="A23"/>
  <c r="A86" s="1"/>
  <c r="A22"/>
  <c r="A85" s="1"/>
  <c r="A21"/>
  <c r="A84" s="1"/>
  <c r="A20"/>
  <c r="A83" s="1"/>
  <c r="A19"/>
  <c r="A82" s="1"/>
  <c r="A18"/>
  <c r="A81" s="1"/>
  <c r="A17"/>
  <c r="A80" s="1"/>
  <c r="A16"/>
  <c r="A79" s="1"/>
  <c r="A15"/>
  <c r="A78" s="1"/>
  <c r="A14"/>
  <c r="A77" s="1"/>
  <c r="A13"/>
  <c r="A76" s="1"/>
  <c r="A12"/>
  <c r="A75" s="1"/>
  <c r="A11"/>
  <c r="A74" s="1"/>
  <c r="A10"/>
  <c r="A73" s="1"/>
  <c r="A9"/>
  <c r="A72" s="1"/>
  <c r="A8"/>
  <c r="A71" s="1"/>
  <c r="A7"/>
  <c r="A70" s="1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V6" i="40"/>
  <c r="I6" i="41"/>
  <c r="H6"/>
  <c r="G6"/>
  <c r="F6"/>
  <c r="E6"/>
  <c r="B6" i="57" l="1"/>
  <c r="H42" s="1"/>
  <c r="B6" i="56"/>
  <c r="H67" s="1"/>
  <c r="B4"/>
  <c r="B6" i="55"/>
  <c r="F15" s="1"/>
  <c r="B4"/>
  <c r="B4" i="57"/>
  <c r="I4" i="1"/>
  <c r="I3"/>
  <c r="I63" i="57" l="1"/>
  <c r="I126" s="1"/>
  <c r="F59" i="56"/>
  <c r="F122" s="1"/>
  <c r="I32"/>
  <c r="I95" s="1"/>
  <c r="F29"/>
  <c r="F92" s="1"/>
  <c r="G11"/>
  <c r="G74" s="1"/>
  <c r="F21"/>
  <c r="E22"/>
  <c r="E85" s="1"/>
  <c r="E42"/>
  <c r="E105" s="1"/>
  <c r="F13"/>
  <c r="F76" s="1"/>
  <c r="G27"/>
  <c r="G90" s="1"/>
  <c r="I16"/>
  <c r="I79" s="1"/>
  <c r="I34"/>
  <c r="I97" s="1"/>
  <c r="E52"/>
  <c r="E115" s="1"/>
  <c r="F36"/>
  <c r="F99" s="1"/>
  <c r="I62"/>
  <c r="I125" s="1"/>
  <c r="F33"/>
  <c r="F25"/>
  <c r="F88" s="1"/>
  <c r="F17"/>
  <c r="F80" s="1"/>
  <c r="F9"/>
  <c r="F72" s="1"/>
  <c r="E30"/>
  <c r="E93" s="1"/>
  <c r="I24"/>
  <c r="I87" s="1"/>
  <c r="G19"/>
  <c r="G82" s="1"/>
  <c r="E14"/>
  <c r="E77" s="1"/>
  <c r="I8"/>
  <c r="I71" s="1"/>
  <c r="G37"/>
  <c r="G100" s="1"/>
  <c r="G47"/>
  <c r="G110" s="1"/>
  <c r="F44"/>
  <c r="F107" s="1"/>
  <c r="G57"/>
  <c r="G120" s="1"/>
  <c r="F51"/>
  <c r="F114" s="1"/>
  <c r="I12" i="55"/>
  <c r="I75" s="1"/>
  <c r="E47"/>
  <c r="E110" s="1"/>
  <c r="H32"/>
  <c r="H95" s="1"/>
  <c r="E26"/>
  <c r="E89" s="1"/>
  <c r="I35"/>
  <c r="I98" s="1"/>
  <c r="H49"/>
  <c r="H112" s="1"/>
  <c r="F31" i="56"/>
  <c r="F27"/>
  <c r="F90" s="1"/>
  <c r="F23"/>
  <c r="F86" s="1"/>
  <c r="F19"/>
  <c r="F82" s="1"/>
  <c r="F15"/>
  <c r="F78" s="1"/>
  <c r="F11"/>
  <c r="F7"/>
  <c r="F70" s="1"/>
  <c r="G31"/>
  <c r="G94" s="1"/>
  <c r="I28"/>
  <c r="I91" s="1"/>
  <c r="E26"/>
  <c r="E89" s="1"/>
  <c r="G23"/>
  <c r="G86" s="1"/>
  <c r="I20"/>
  <c r="I83" s="1"/>
  <c r="E18"/>
  <c r="G15"/>
  <c r="G78" s="1"/>
  <c r="I12"/>
  <c r="I75" s="1"/>
  <c r="E10"/>
  <c r="E73" s="1"/>
  <c r="G7"/>
  <c r="G70" s="1"/>
  <c r="E36"/>
  <c r="E99" s="1"/>
  <c r="G39"/>
  <c r="G102" s="1"/>
  <c r="I44"/>
  <c r="I107" s="1"/>
  <c r="E50"/>
  <c r="E113" s="1"/>
  <c r="F40"/>
  <c r="F103" s="1"/>
  <c r="F48"/>
  <c r="F111" s="1"/>
  <c r="I54"/>
  <c r="I117" s="1"/>
  <c r="E60"/>
  <c r="E123" s="1"/>
  <c r="G65"/>
  <c r="G128" s="1"/>
  <c r="F55"/>
  <c r="F118" s="1"/>
  <c r="F63"/>
  <c r="F67"/>
  <c r="F130" s="1"/>
  <c r="F32"/>
  <c r="F30"/>
  <c r="F93" s="1"/>
  <c r="F28"/>
  <c r="F91" s="1"/>
  <c r="F26"/>
  <c r="F89" s="1"/>
  <c r="F24"/>
  <c r="F22"/>
  <c r="F85" s="1"/>
  <c r="F20"/>
  <c r="F83" s="1"/>
  <c r="F18"/>
  <c r="F81" s="1"/>
  <c r="F16"/>
  <c r="F79" s="1"/>
  <c r="F14"/>
  <c r="F77" s="1"/>
  <c r="F12"/>
  <c r="F75" s="1"/>
  <c r="F10"/>
  <c r="F73" s="1"/>
  <c r="F8"/>
  <c r="F71" s="1"/>
  <c r="G33"/>
  <c r="G96" s="1"/>
  <c r="E32"/>
  <c r="E95" s="1"/>
  <c r="I30"/>
  <c r="I93" s="1"/>
  <c r="G29"/>
  <c r="G92" s="1"/>
  <c r="E28"/>
  <c r="E91" s="1"/>
  <c r="I26"/>
  <c r="I89" s="1"/>
  <c r="G25"/>
  <c r="G88" s="1"/>
  <c r="E24"/>
  <c r="E87" s="1"/>
  <c r="I22"/>
  <c r="I85" s="1"/>
  <c r="G21"/>
  <c r="G84" s="1"/>
  <c r="E20"/>
  <c r="E83" s="1"/>
  <c r="I18"/>
  <c r="I81" s="1"/>
  <c r="G17"/>
  <c r="G80" s="1"/>
  <c r="E16"/>
  <c r="E79" s="1"/>
  <c r="I14"/>
  <c r="I77" s="1"/>
  <c r="G13"/>
  <c r="G76" s="1"/>
  <c r="E12"/>
  <c r="E75" s="1"/>
  <c r="I10"/>
  <c r="I73" s="1"/>
  <c r="G9"/>
  <c r="G72" s="1"/>
  <c r="E8"/>
  <c r="E71" s="1"/>
  <c r="E34"/>
  <c r="E97" s="1"/>
  <c r="G35"/>
  <c r="G98" s="1"/>
  <c r="I36"/>
  <c r="I99" s="1"/>
  <c r="E38"/>
  <c r="E101" s="1"/>
  <c r="I40"/>
  <c r="I103" s="1"/>
  <c r="G43"/>
  <c r="G106" s="1"/>
  <c r="E46"/>
  <c r="E109" s="1"/>
  <c r="I48"/>
  <c r="I111" s="1"/>
  <c r="F34"/>
  <c r="F97" s="1"/>
  <c r="F38"/>
  <c r="F101" s="1"/>
  <c r="F42"/>
  <c r="F105" s="1"/>
  <c r="F46"/>
  <c r="F109" s="1"/>
  <c r="F50"/>
  <c r="F113" s="1"/>
  <c r="G53"/>
  <c r="G116" s="1"/>
  <c r="E56"/>
  <c r="E119" s="1"/>
  <c r="I58"/>
  <c r="I121" s="1"/>
  <c r="G61"/>
  <c r="G124" s="1"/>
  <c r="E64"/>
  <c r="E127" s="1"/>
  <c r="I66"/>
  <c r="I129" s="1"/>
  <c r="F53"/>
  <c r="F116" s="1"/>
  <c r="F57"/>
  <c r="F120" s="1"/>
  <c r="F61"/>
  <c r="F124" s="1"/>
  <c r="F65"/>
  <c r="F128" s="1"/>
  <c r="I38"/>
  <c r="I101" s="1"/>
  <c r="E40"/>
  <c r="E103" s="1"/>
  <c r="G41"/>
  <c r="G104" s="1"/>
  <c r="I42"/>
  <c r="I105" s="1"/>
  <c r="E44"/>
  <c r="E107" s="1"/>
  <c r="G45"/>
  <c r="G108" s="1"/>
  <c r="I46"/>
  <c r="I109" s="1"/>
  <c r="E48"/>
  <c r="E111" s="1"/>
  <c r="G49"/>
  <c r="G112" s="1"/>
  <c r="I50"/>
  <c r="I113" s="1"/>
  <c r="F35"/>
  <c r="F98" s="1"/>
  <c r="F37"/>
  <c r="F100" s="1"/>
  <c r="F39"/>
  <c r="F102" s="1"/>
  <c r="F41"/>
  <c r="F104" s="1"/>
  <c r="F43"/>
  <c r="F106" s="1"/>
  <c r="F45"/>
  <c r="F108" s="1"/>
  <c r="F47"/>
  <c r="F110" s="1"/>
  <c r="F49"/>
  <c r="F112" s="1"/>
  <c r="E51"/>
  <c r="E114" s="1"/>
  <c r="I52"/>
  <c r="I115" s="1"/>
  <c r="E54"/>
  <c r="E117" s="1"/>
  <c r="G55"/>
  <c r="G118" s="1"/>
  <c r="I56"/>
  <c r="I119" s="1"/>
  <c r="E58"/>
  <c r="E121" s="1"/>
  <c r="G59"/>
  <c r="G122" s="1"/>
  <c r="I60"/>
  <c r="I123" s="1"/>
  <c r="E62"/>
  <c r="E125" s="1"/>
  <c r="G63"/>
  <c r="G126" s="1"/>
  <c r="I64"/>
  <c r="I127" s="1"/>
  <c r="E66"/>
  <c r="E129" s="1"/>
  <c r="G67"/>
  <c r="G130" s="1"/>
  <c r="F52"/>
  <c r="F115" s="1"/>
  <c r="F54"/>
  <c r="F117" s="1"/>
  <c r="F56"/>
  <c r="F119" s="1"/>
  <c r="F58"/>
  <c r="F121" s="1"/>
  <c r="F60"/>
  <c r="F123" s="1"/>
  <c r="F62"/>
  <c r="F125" s="1"/>
  <c r="F64"/>
  <c r="F127" s="1"/>
  <c r="F66"/>
  <c r="F129" s="1"/>
  <c r="H130"/>
  <c r="I11" i="57"/>
  <c r="I74" s="1"/>
  <c r="H33" i="56"/>
  <c r="H96" s="1"/>
  <c r="H32"/>
  <c r="H95" s="1"/>
  <c r="H31"/>
  <c r="H94" s="1"/>
  <c r="H30"/>
  <c r="H93" s="1"/>
  <c r="H29"/>
  <c r="H92" s="1"/>
  <c r="H28"/>
  <c r="H91" s="1"/>
  <c r="H27"/>
  <c r="H90" s="1"/>
  <c r="H26"/>
  <c r="H89" s="1"/>
  <c r="H25"/>
  <c r="H88" s="1"/>
  <c r="H24"/>
  <c r="H87" s="1"/>
  <c r="H23"/>
  <c r="H86" s="1"/>
  <c r="H22"/>
  <c r="H85" s="1"/>
  <c r="H21"/>
  <c r="H84" s="1"/>
  <c r="H20"/>
  <c r="H83" s="1"/>
  <c r="H19"/>
  <c r="H82" s="1"/>
  <c r="H18"/>
  <c r="H81" s="1"/>
  <c r="H17"/>
  <c r="H80" s="1"/>
  <c r="H16"/>
  <c r="H79" s="1"/>
  <c r="H15"/>
  <c r="H78" s="1"/>
  <c r="H14"/>
  <c r="H77" s="1"/>
  <c r="H13"/>
  <c r="H76" s="1"/>
  <c r="H12"/>
  <c r="H75" s="1"/>
  <c r="H11"/>
  <c r="H74" s="1"/>
  <c r="H10"/>
  <c r="H73" s="1"/>
  <c r="H9"/>
  <c r="H72" s="1"/>
  <c r="H8"/>
  <c r="H71" s="1"/>
  <c r="H7"/>
  <c r="H70" s="1"/>
  <c r="I33"/>
  <c r="I96" s="1"/>
  <c r="E33"/>
  <c r="E96" s="1"/>
  <c r="G32"/>
  <c r="G95" s="1"/>
  <c r="I31"/>
  <c r="I94" s="1"/>
  <c r="E31"/>
  <c r="E94" s="1"/>
  <c r="G30"/>
  <c r="G93" s="1"/>
  <c r="I29"/>
  <c r="I92" s="1"/>
  <c r="E29"/>
  <c r="E92" s="1"/>
  <c r="G28"/>
  <c r="G91" s="1"/>
  <c r="I27"/>
  <c r="I90" s="1"/>
  <c r="E27"/>
  <c r="E90" s="1"/>
  <c r="G26"/>
  <c r="G89" s="1"/>
  <c r="I25"/>
  <c r="I88" s="1"/>
  <c r="E25"/>
  <c r="E88" s="1"/>
  <c r="G24"/>
  <c r="G87" s="1"/>
  <c r="I23"/>
  <c r="I86" s="1"/>
  <c r="E23"/>
  <c r="E86" s="1"/>
  <c r="G22"/>
  <c r="G85" s="1"/>
  <c r="I21"/>
  <c r="I84" s="1"/>
  <c r="E21"/>
  <c r="E84" s="1"/>
  <c r="G20"/>
  <c r="G83" s="1"/>
  <c r="I19"/>
  <c r="I82" s="1"/>
  <c r="E19"/>
  <c r="E82" s="1"/>
  <c r="G18"/>
  <c r="G81" s="1"/>
  <c r="I17"/>
  <c r="I80" s="1"/>
  <c r="E17"/>
  <c r="E80" s="1"/>
  <c r="G16"/>
  <c r="G79" s="1"/>
  <c r="I15"/>
  <c r="I78" s="1"/>
  <c r="E15"/>
  <c r="E78" s="1"/>
  <c r="G14"/>
  <c r="G77" s="1"/>
  <c r="I13"/>
  <c r="I76" s="1"/>
  <c r="E13"/>
  <c r="E76" s="1"/>
  <c r="G12"/>
  <c r="G75" s="1"/>
  <c r="I11"/>
  <c r="I74" s="1"/>
  <c r="E11"/>
  <c r="E74" s="1"/>
  <c r="G10"/>
  <c r="G73" s="1"/>
  <c r="I9"/>
  <c r="I72" s="1"/>
  <c r="E9"/>
  <c r="E72" s="1"/>
  <c r="G8"/>
  <c r="G71" s="1"/>
  <c r="I7"/>
  <c r="I70" s="1"/>
  <c r="E7"/>
  <c r="E70" s="1"/>
  <c r="G34"/>
  <c r="G97" s="1"/>
  <c r="E35"/>
  <c r="E98" s="1"/>
  <c r="I35"/>
  <c r="I98" s="1"/>
  <c r="G36"/>
  <c r="G99" s="1"/>
  <c r="E37"/>
  <c r="E100" s="1"/>
  <c r="I37"/>
  <c r="I100" s="1"/>
  <c r="G38"/>
  <c r="G101" s="1"/>
  <c r="E39"/>
  <c r="E102" s="1"/>
  <c r="I39"/>
  <c r="I102" s="1"/>
  <c r="G40"/>
  <c r="G103" s="1"/>
  <c r="E41"/>
  <c r="E104" s="1"/>
  <c r="I41"/>
  <c r="I104" s="1"/>
  <c r="G42"/>
  <c r="G105" s="1"/>
  <c r="E43"/>
  <c r="E106" s="1"/>
  <c r="I43"/>
  <c r="I106" s="1"/>
  <c r="G44"/>
  <c r="G107" s="1"/>
  <c r="E45"/>
  <c r="E108" s="1"/>
  <c r="I45"/>
  <c r="I108" s="1"/>
  <c r="G46"/>
  <c r="G109" s="1"/>
  <c r="E47"/>
  <c r="E110" s="1"/>
  <c r="I47"/>
  <c r="I110" s="1"/>
  <c r="G48"/>
  <c r="G111" s="1"/>
  <c r="E49"/>
  <c r="E112" s="1"/>
  <c r="I49"/>
  <c r="I112" s="1"/>
  <c r="G50"/>
  <c r="G113" s="1"/>
  <c r="G51"/>
  <c r="G114" s="1"/>
  <c r="H34"/>
  <c r="H97" s="1"/>
  <c r="H35"/>
  <c r="H98" s="1"/>
  <c r="H36"/>
  <c r="H99" s="1"/>
  <c r="H37"/>
  <c r="H100" s="1"/>
  <c r="H38"/>
  <c r="H101" s="1"/>
  <c r="H39"/>
  <c r="H102" s="1"/>
  <c r="H40"/>
  <c r="H103" s="1"/>
  <c r="H41"/>
  <c r="H104" s="1"/>
  <c r="H42"/>
  <c r="H105" s="1"/>
  <c r="H43"/>
  <c r="H106" s="1"/>
  <c r="H44"/>
  <c r="H107" s="1"/>
  <c r="H45"/>
  <c r="H108" s="1"/>
  <c r="H46"/>
  <c r="H109" s="1"/>
  <c r="H47"/>
  <c r="H110" s="1"/>
  <c r="H48"/>
  <c r="H111" s="1"/>
  <c r="H49"/>
  <c r="H112" s="1"/>
  <c r="H50"/>
  <c r="H113" s="1"/>
  <c r="I51"/>
  <c r="I114" s="1"/>
  <c r="G52"/>
  <c r="G115" s="1"/>
  <c r="E53"/>
  <c r="E116" s="1"/>
  <c r="I53"/>
  <c r="I116" s="1"/>
  <c r="G54"/>
  <c r="G117" s="1"/>
  <c r="E55"/>
  <c r="E118" s="1"/>
  <c r="I55"/>
  <c r="I118" s="1"/>
  <c r="G56"/>
  <c r="G119" s="1"/>
  <c r="E57"/>
  <c r="E120" s="1"/>
  <c r="I57"/>
  <c r="I120" s="1"/>
  <c r="G58"/>
  <c r="G121" s="1"/>
  <c r="E59"/>
  <c r="E122" s="1"/>
  <c r="I59"/>
  <c r="I122" s="1"/>
  <c r="G60"/>
  <c r="G123" s="1"/>
  <c r="E61"/>
  <c r="E124" s="1"/>
  <c r="I61"/>
  <c r="I124" s="1"/>
  <c r="G62"/>
  <c r="G125" s="1"/>
  <c r="E63"/>
  <c r="E126" s="1"/>
  <c r="I63"/>
  <c r="I126" s="1"/>
  <c r="G64"/>
  <c r="G127" s="1"/>
  <c r="E65"/>
  <c r="E128" s="1"/>
  <c r="I65"/>
  <c r="I128" s="1"/>
  <c r="G66"/>
  <c r="G129" s="1"/>
  <c r="E67"/>
  <c r="E130" s="1"/>
  <c r="I67"/>
  <c r="I130" s="1"/>
  <c r="H51"/>
  <c r="H114" s="1"/>
  <c r="H52"/>
  <c r="H115" s="1"/>
  <c r="H53"/>
  <c r="H116" s="1"/>
  <c r="H54"/>
  <c r="H117" s="1"/>
  <c r="H55"/>
  <c r="H118" s="1"/>
  <c r="H56"/>
  <c r="H119" s="1"/>
  <c r="H57"/>
  <c r="H120" s="1"/>
  <c r="H58"/>
  <c r="H121" s="1"/>
  <c r="H59"/>
  <c r="H122" s="1"/>
  <c r="H60"/>
  <c r="H123" s="1"/>
  <c r="H61"/>
  <c r="H124" s="1"/>
  <c r="H62"/>
  <c r="H125" s="1"/>
  <c r="H63"/>
  <c r="H126" s="1"/>
  <c r="H64"/>
  <c r="H127" s="1"/>
  <c r="H65"/>
  <c r="H128" s="1"/>
  <c r="H66"/>
  <c r="H129" s="1"/>
  <c r="F96"/>
  <c r="F95"/>
  <c r="F94"/>
  <c r="F87"/>
  <c r="F84"/>
  <c r="F74"/>
  <c r="E81"/>
  <c r="F126"/>
  <c r="I28" i="55"/>
  <c r="G19"/>
  <c r="G82" s="1"/>
  <c r="E10"/>
  <c r="E73" s="1"/>
  <c r="G42"/>
  <c r="G105" s="1"/>
  <c r="I49"/>
  <c r="I112" s="1"/>
  <c r="G64"/>
  <c r="G127" s="1"/>
  <c r="F16" i="57"/>
  <c r="F79" s="1"/>
  <c r="E23"/>
  <c r="E86" s="1"/>
  <c r="F8"/>
  <c r="F71" s="1"/>
  <c r="I17"/>
  <c r="I80" s="1"/>
  <c r="G32"/>
  <c r="G95" s="1"/>
  <c r="F12"/>
  <c r="F75" s="1"/>
  <c r="G14"/>
  <c r="G77" s="1"/>
  <c r="E9"/>
  <c r="E72" s="1"/>
  <c r="G20"/>
  <c r="G83" s="1"/>
  <c r="I25"/>
  <c r="I88" s="1"/>
  <c r="F25"/>
  <c r="F88" s="1"/>
  <c r="I32" i="55"/>
  <c r="I95" s="1"/>
  <c r="G27"/>
  <c r="G90" s="1"/>
  <c r="I20"/>
  <c r="I83" s="1"/>
  <c r="E18"/>
  <c r="E81" s="1"/>
  <c r="G11"/>
  <c r="G74" s="1"/>
  <c r="G34"/>
  <c r="G97" s="1"/>
  <c r="E41"/>
  <c r="I43"/>
  <c r="I106" s="1"/>
  <c r="G48"/>
  <c r="G111" s="1"/>
  <c r="F48"/>
  <c r="F111" s="1"/>
  <c r="E63"/>
  <c r="E126" s="1"/>
  <c r="I65"/>
  <c r="I128" s="1"/>
  <c r="H13" i="57"/>
  <c r="H76" s="1"/>
  <c r="H9"/>
  <c r="H72" s="1"/>
  <c r="I15"/>
  <c r="I78" s="1"/>
  <c r="E13"/>
  <c r="E76" s="1"/>
  <c r="G10"/>
  <c r="G73" s="1"/>
  <c r="I7"/>
  <c r="I70" s="1"/>
  <c r="E19"/>
  <c r="E82" s="1"/>
  <c r="I21"/>
  <c r="I84" s="1"/>
  <c r="G24"/>
  <c r="G87" s="1"/>
  <c r="E31"/>
  <c r="E94" s="1"/>
  <c r="G42"/>
  <c r="G105" s="1"/>
  <c r="K55" i="55"/>
  <c r="K118" s="1"/>
  <c r="O55"/>
  <c r="O118" s="1"/>
  <c r="S55"/>
  <c r="S118" s="1"/>
  <c r="W55"/>
  <c r="W118" s="1"/>
  <c r="AA55"/>
  <c r="AA118" s="1"/>
  <c r="AE55"/>
  <c r="AE118" s="1"/>
  <c r="AI53"/>
  <c r="AI116" s="1"/>
  <c r="M55"/>
  <c r="M118" s="1"/>
  <c r="Q55"/>
  <c r="Q118" s="1"/>
  <c r="U55"/>
  <c r="U118" s="1"/>
  <c r="Y55"/>
  <c r="Y118" s="1"/>
  <c r="AC55"/>
  <c r="AC118" s="1"/>
  <c r="AG55"/>
  <c r="AG118" s="1"/>
  <c r="J67"/>
  <c r="J130" s="1"/>
  <c r="J63"/>
  <c r="J126" s="1"/>
  <c r="J59"/>
  <c r="J122" s="1"/>
  <c r="J66"/>
  <c r="J129" s="1"/>
  <c r="J62"/>
  <c r="J125" s="1"/>
  <c r="J58"/>
  <c r="J121" s="1"/>
  <c r="L67"/>
  <c r="L130" s="1"/>
  <c r="L63"/>
  <c r="L126" s="1"/>
  <c r="L59"/>
  <c r="L122" s="1"/>
  <c r="L66"/>
  <c r="L129" s="1"/>
  <c r="L62"/>
  <c r="L125" s="1"/>
  <c r="L58"/>
  <c r="L121" s="1"/>
  <c r="N67"/>
  <c r="N130" s="1"/>
  <c r="N63"/>
  <c r="N126" s="1"/>
  <c r="N59"/>
  <c r="N122" s="1"/>
  <c r="N66"/>
  <c r="N129" s="1"/>
  <c r="N62"/>
  <c r="N125" s="1"/>
  <c r="N58"/>
  <c r="N121" s="1"/>
  <c r="P67"/>
  <c r="P130" s="1"/>
  <c r="P63"/>
  <c r="P126" s="1"/>
  <c r="P59"/>
  <c r="P122" s="1"/>
  <c r="P66"/>
  <c r="P129" s="1"/>
  <c r="P62"/>
  <c r="P125" s="1"/>
  <c r="P58"/>
  <c r="P121" s="1"/>
  <c r="R67"/>
  <c r="R130" s="1"/>
  <c r="R63"/>
  <c r="R126" s="1"/>
  <c r="R59"/>
  <c r="R122" s="1"/>
  <c r="R66"/>
  <c r="R129" s="1"/>
  <c r="R62"/>
  <c r="R125" s="1"/>
  <c r="R58"/>
  <c r="R121" s="1"/>
  <c r="T67"/>
  <c r="T130" s="1"/>
  <c r="T63"/>
  <c r="T126" s="1"/>
  <c r="T59"/>
  <c r="T122" s="1"/>
  <c r="T66"/>
  <c r="T129" s="1"/>
  <c r="T62"/>
  <c r="T125" s="1"/>
  <c r="T58"/>
  <c r="T121" s="1"/>
  <c r="V67"/>
  <c r="V130" s="1"/>
  <c r="V63"/>
  <c r="V126" s="1"/>
  <c r="V59"/>
  <c r="V122" s="1"/>
  <c r="V66"/>
  <c r="V129" s="1"/>
  <c r="V62"/>
  <c r="V125" s="1"/>
  <c r="V58"/>
  <c r="V121" s="1"/>
  <c r="X67"/>
  <c r="X130" s="1"/>
  <c r="X63"/>
  <c r="X126" s="1"/>
  <c r="X59"/>
  <c r="X122" s="1"/>
  <c r="X66"/>
  <c r="X129" s="1"/>
  <c r="X62"/>
  <c r="X125" s="1"/>
  <c r="X58"/>
  <c r="X121" s="1"/>
  <c r="Z67"/>
  <c r="Z130" s="1"/>
  <c r="Z63"/>
  <c r="Z126" s="1"/>
  <c r="Z59"/>
  <c r="Z122" s="1"/>
  <c r="Z66"/>
  <c r="Z129" s="1"/>
  <c r="Z62"/>
  <c r="Z125" s="1"/>
  <c r="Z58"/>
  <c r="Z121" s="1"/>
  <c r="AB67"/>
  <c r="AB130" s="1"/>
  <c r="AB63"/>
  <c r="AB126" s="1"/>
  <c r="AB59"/>
  <c r="AB122" s="1"/>
  <c r="AB66"/>
  <c r="AB129" s="1"/>
  <c r="AB62"/>
  <c r="AB125" s="1"/>
  <c r="AB58"/>
  <c r="AB121" s="1"/>
  <c r="AD67"/>
  <c r="AD130" s="1"/>
  <c r="AD63"/>
  <c r="AD126" s="1"/>
  <c r="AD59"/>
  <c r="AD122" s="1"/>
  <c r="AD66"/>
  <c r="AD129" s="1"/>
  <c r="AD62"/>
  <c r="AD125" s="1"/>
  <c r="AD58"/>
  <c r="AD121" s="1"/>
  <c r="AF67"/>
  <c r="AF130" s="1"/>
  <c r="AF63"/>
  <c r="AF126" s="1"/>
  <c r="AF59"/>
  <c r="AF122" s="1"/>
  <c r="AF66"/>
  <c r="AF129" s="1"/>
  <c r="AF62"/>
  <c r="AF125" s="1"/>
  <c r="AF58"/>
  <c r="AF121" s="1"/>
  <c r="AH67"/>
  <c r="AH130" s="1"/>
  <c r="AH63"/>
  <c r="AH126" s="1"/>
  <c r="AH59"/>
  <c r="AH122" s="1"/>
  <c r="AH55"/>
  <c r="AH118" s="1"/>
  <c r="AH64"/>
  <c r="AH127" s="1"/>
  <c r="AH60"/>
  <c r="AH123" s="1"/>
  <c r="AH56"/>
  <c r="AH119" s="1"/>
  <c r="AJ65"/>
  <c r="AJ128" s="1"/>
  <c r="AJ61"/>
  <c r="AJ124" s="1"/>
  <c r="AJ57"/>
  <c r="AJ120" s="1"/>
  <c r="AJ66"/>
  <c r="AJ129" s="1"/>
  <c r="AJ62"/>
  <c r="AJ125" s="1"/>
  <c r="AJ58"/>
  <c r="AJ121" s="1"/>
  <c r="K7"/>
  <c r="K70" s="1"/>
  <c r="O7"/>
  <c r="O70" s="1"/>
  <c r="S7"/>
  <c r="S70" s="1"/>
  <c r="W7"/>
  <c r="W70" s="1"/>
  <c r="AA7"/>
  <c r="AA70" s="1"/>
  <c r="AE7"/>
  <c r="AE70" s="1"/>
  <c r="AI7"/>
  <c r="AI70" s="1"/>
  <c r="L8"/>
  <c r="L71" s="1"/>
  <c r="P8"/>
  <c r="P71" s="1"/>
  <c r="T8"/>
  <c r="T71" s="1"/>
  <c r="X8"/>
  <c r="X71" s="1"/>
  <c r="AB8"/>
  <c r="AB71" s="1"/>
  <c r="AF8"/>
  <c r="AF71" s="1"/>
  <c r="AJ8"/>
  <c r="AJ71" s="1"/>
  <c r="M9"/>
  <c r="M72" s="1"/>
  <c r="Q9"/>
  <c r="Q72" s="1"/>
  <c r="U9"/>
  <c r="U72" s="1"/>
  <c r="Y9"/>
  <c r="Y72" s="1"/>
  <c r="AC9"/>
  <c r="AC72" s="1"/>
  <c r="AG9"/>
  <c r="AG72" s="1"/>
  <c r="J10"/>
  <c r="J73" s="1"/>
  <c r="N10"/>
  <c r="N73" s="1"/>
  <c r="R10"/>
  <c r="R73" s="1"/>
  <c r="V10"/>
  <c r="V73" s="1"/>
  <c r="Z10"/>
  <c r="Z73" s="1"/>
  <c r="AD10"/>
  <c r="AD73" s="1"/>
  <c r="AH10"/>
  <c r="AH73" s="1"/>
  <c r="K11"/>
  <c r="K74" s="1"/>
  <c r="O11"/>
  <c r="O74" s="1"/>
  <c r="S11"/>
  <c r="S74" s="1"/>
  <c r="W11"/>
  <c r="W74" s="1"/>
  <c r="AA11"/>
  <c r="AA74" s="1"/>
  <c r="AE11"/>
  <c r="AE74" s="1"/>
  <c r="AI11"/>
  <c r="AI74" s="1"/>
  <c r="L12"/>
  <c r="L75" s="1"/>
  <c r="P12"/>
  <c r="P75" s="1"/>
  <c r="T12"/>
  <c r="T75" s="1"/>
  <c r="X12"/>
  <c r="X75" s="1"/>
  <c r="AB12"/>
  <c r="AB75" s="1"/>
  <c r="AF12"/>
  <c r="AF75" s="1"/>
  <c r="AJ12"/>
  <c r="AJ75" s="1"/>
  <c r="M13"/>
  <c r="M76" s="1"/>
  <c r="Q13"/>
  <c r="Q76" s="1"/>
  <c r="U13"/>
  <c r="U76" s="1"/>
  <c r="Y13"/>
  <c r="Y76" s="1"/>
  <c r="AC13"/>
  <c r="AC76" s="1"/>
  <c r="AG13"/>
  <c r="AG76" s="1"/>
  <c r="J14"/>
  <c r="J77" s="1"/>
  <c r="N14"/>
  <c r="N77" s="1"/>
  <c r="R14"/>
  <c r="R77" s="1"/>
  <c r="V14"/>
  <c r="V77" s="1"/>
  <c r="Z14"/>
  <c r="Z77" s="1"/>
  <c r="AD14"/>
  <c r="AD77" s="1"/>
  <c r="AH14"/>
  <c r="AH77" s="1"/>
  <c r="K15"/>
  <c r="K78" s="1"/>
  <c r="O15"/>
  <c r="O78" s="1"/>
  <c r="S15"/>
  <c r="S78" s="1"/>
  <c r="W15"/>
  <c r="W78" s="1"/>
  <c r="AA15"/>
  <c r="AA78" s="1"/>
  <c r="AE15"/>
  <c r="AE78" s="1"/>
  <c r="AI15"/>
  <c r="AI78" s="1"/>
  <c r="L16"/>
  <c r="L79" s="1"/>
  <c r="P16"/>
  <c r="P79" s="1"/>
  <c r="T16"/>
  <c r="T79" s="1"/>
  <c r="X16"/>
  <c r="X79" s="1"/>
  <c r="AB16"/>
  <c r="AB79" s="1"/>
  <c r="AF16"/>
  <c r="AF79" s="1"/>
  <c r="AJ16"/>
  <c r="AJ79" s="1"/>
  <c r="M17"/>
  <c r="M80" s="1"/>
  <c r="Q17"/>
  <c r="Q80" s="1"/>
  <c r="U17"/>
  <c r="U80" s="1"/>
  <c r="Y17"/>
  <c r="Y80" s="1"/>
  <c r="AC17"/>
  <c r="AC80" s="1"/>
  <c r="AG17"/>
  <c r="AG80" s="1"/>
  <c r="J18"/>
  <c r="J81" s="1"/>
  <c r="N18"/>
  <c r="N81" s="1"/>
  <c r="R18"/>
  <c r="R81" s="1"/>
  <c r="V18"/>
  <c r="V81" s="1"/>
  <c r="Z18"/>
  <c r="Z81" s="1"/>
  <c r="AD18"/>
  <c r="AD81" s="1"/>
  <c r="AH18"/>
  <c r="AH81" s="1"/>
  <c r="K19"/>
  <c r="K82" s="1"/>
  <c r="O19"/>
  <c r="O82" s="1"/>
  <c r="S19"/>
  <c r="S82" s="1"/>
  <c r="W19"/>
  <c r="W82" s="1"/>
  <c r="AA19"/>
  <c r="AA82" s="1"/>
  <c r="AE19"/>
  <c r="AE82" s="1"/>
  <c r="AI19"/>
  <c r="AI82" s="1"/>
  <c r="L20"/>
  <c r="L83" s="1"/>
  <c r="P20"/>
  <c r="P83" s="1"/>
  <c r="T20"/>
  <c r="T83" s="1"/>
  <c r="X20"/>
  <c r="X83" s="1"/>
  <c r="AB20"/>
  <c r="AB83" s="1"/>
  <c r="AF20"/>
  <c r="AF83" s="1"/>
  <c r="AJ20"/>
  <c r="AJ83" s="1"/>
  <c r="M21"/>
  <c r="M84" s="1"/>
  <c r="Q21"/>
  <c r="Q84" s="1"/>
  <c r="U21"/>
  <c r="U84" s="1"/>
  <c r="Y21"/>
  <c r="Y84" s="1"/>
  <c r="AC21"/>
  <c r="AC84" s="1"/>
  <c r="AG21"/>
  <c r="AG84" s="1"/>
  <c r="J22"/>
  <c r="J85" s="1"/>
  <c r="N22"/>
  <c r="N85" s="1"/>
  <c r="R22"/>
  <c r="R85" s="1"/>
  <c r="V22"/>
  <c r="V85" s="1"/>
  <c r="Z22"/>
  <c r="Z85" s="1"/>
  <c r="AD22"/>
  <c r="AD85" s="1"/>
  <c r="AH22"/>
  <c r="AH85" s="1"/>
  <c r="K23"/>
  <c r="K86" s="1"/>
  <c r="O23"/>
  <c r="O86" s="1"/>
  <c r="S23"/>
  <c r="S86" s="1"/>
  <c r="W23"/>
  <c r="W86" s="1"/>
  <c r="AA23"/>
  <c r="AA86" s="1"/>
  <c r="AE23"/>
  <c r="AE86" s="1"/>
  <c r="AI23"/>
  <c r="AI86" s="1"/>
  <c r="L24"/>
  <c r="L87" s="1"/>
  <c r="P24"/>
  <c r="P87" s="1"/>
  <c r="T24"/>
  <c r="T87" s="1"/>
  <c r="X24"/>
  <c r="X87" s="1"/>
  <c r="AB24"/>
  <c r="AB87" s="1"/>
  <c r="AF24"/>
  <c r="AF87" s="1"/>
  <c r="AJ24"/>
  <c r="AJ87" s="1"/>
  <c r="M25"/>
  <c r="M88" s="1"/>
  <c r="Q25"/>
  <c r="Q88" s="1"/>
  <c r="U25"/>
  <c r="U88" s="1"/>
  <c r="Y25"/>
  <c r="Y88" s="1"/>
  <c r="AC25"/>
  <c r="AC88" s="1"/>
  <c r="AG25"/>
  <c r="AG88" s="1"/>
  <c r="J26"/>
  <c r="J89" s="1"/>
  <c r="N26"/>
  <c r="N89" s="1"/>
  <c r="R26"/>
  <c r="R89" s="1"/>
  <c r="V26"/>
  <c r="V89" s="1"/>
  <c r="Z26"/>
  <c r="Z89" s="1"/>
  <c r="AD26"/>
  <c r="AD89" s="1"/>
  <c r="AH26"/>
  <c r="AH89" s="1"/>
  <c r="K27"/>
  <c r="K90" s="1"/>
  <c r="O27"/>
  <c r="O90" s="1"/>
  <c r="S27"/>
  <c r="S90" s="1"/>
  <c r="W27"/>
  <c r="W90" s="1"/>
  <c r="AA27"/>
  <c r="AA90" s="1"/>
  <c r="AE27"/>
  <c r="AE90" s="1"/>
  <c r="AI27"/>
  <c r="AI90" s="1"/>
  <c r="L28"/>
  <c r="L91" s="1"/>
  <c r="P28"/>
  <c r="P91" s="1"/>
  <c r="T28"/>
  <c r="T91" s="1"/>
  <c r="X28"/>
  <c r="X91" s="1"/>
  <c r="AB28"/>
  <c r="AB91" s="1"/>
  <c r="AF28"/>
  <c r="AF91" s="1"/>
  <c r="AJ28"/>
  <c r="AJ91" s="1"/>
  <c r="M29"/>
  <c r="M92" s="1"/>
  <c r="Q29"/>
  <c r="Q92" s="1"/>
  <c r="U29"/>
  <c r="U92" s="1"/>
  <c r="Y29"/>
  <c r="Y92" s="1"/>
  <c r="AC29"/>
  <c r="AC92" s="1"/>
  <c r="AG29"/>
  <c r="AG92" s="1"/>
  <c r="J30"/>
  <c r="J93" s="1"/>
  <c r="N30"/>
  <c r="N93" s="1"/>
  <c r="R30"/>
  <c r="R93" s="1"/>
  <c r="V30"/>
  <c r="V93" s="1"/>
  <c r="Z30"/>
  <c r="Z93" s="1"/>
  <c r="AD30"/>
  <c r="AD93" s="1"/>
  <c r="AH30"/>
  <c r="AH93" s="1"/>
  <c r="K31"/>
  <c r="K94" s="1"/>
  <c r="O31"/>
  <c r="O94" s="1"/>
  <c r="S31"/>
  <c r="S94" s="1"/>
  <c r="W31"/>
  <c r="W94" s="1"/>
  <c r="AA31"/>
  <c r="AA94" s="1"/>
  <c r="AE31"/>
  <c r="AE94" s="1"/>
  <c r="AI31"/>
  <c r="AI94" s="1"/>
  <c r="L32"/>
  <c r="L95" s="1"/>
  <c r="P32"/>
  <c r="P95" s="1"/>
  <c r="T32"/>
  <c r="T95" s="1"/>
  <c r="X32"/>
  <c r="X95" s="1"/>
  <c r="AB32"/>
  <c r="AB95" s="1"/>
  <c r="AF32"/>
  <c r="AF95" s="1"/>
  <c r="AJ32"/>
  <c r="AJ95" s="1"/>
  <c r="M33"/>
  <c r="M96" s="1"/>
  <c r="Q33"/>
  <c r="Q96" s="1"/>
  <c r="U33"/>
  <c r="U96" s="1"/>
  <c r="Y33"/>
  <c r="Y96" s="1"/>
  <c r="AC33"/>
  <c r="AC96" s="1"/>
  <c r="AG33"/>
  <c r="AG96" s="1"/>
  <c r="J34"/>
  <c r="J97" s="1"/>
  <c r="N34"/>
  <c r="N97" s="1"/>
  <c r="R34"/>
  <c r="R97" s="1"/>
  <c r="V34"/>
  <c r="V97" s="1"/>
  <c r="Z34"/>
  <c r="Z97" s="1"/>
  <c r="AD34"/>
  <c r="AD97" s="1"/>
  <c r="AH34"/>
  <c r="AH97" s="1"/>
  <c r="K35"/>
  <c r="K98" s="1"/>
  <c r="O35"/>
  <c r="O98" s="1"/>
  <c r="S35"/>
  <c r="S98" s="1"/>
  <c r="W35"/>
  <c r="W98" s="1"/>
  <c r="AA35"/>
  <c r="AA98" s="1"/>
  <c r="AE35"/>
  <c r="AE98" s="1"/>
  <c r="AI35"/>
  <c r="AI98" s="1"/>
  <c r="L36"/>
  <c r="L99" s="1"/>
  <c r="P36"/>
  <c r="P99" s="1"/>
  <c r="T36"/>
  <c r="T99" s="1"/>
  <c r="X36"/>
  <c r="X99" s="1"/>
  <c r="AB36"/>
  <c r="AB99" s="1"/>
  <c r="AF36"/>
  <c r="AF99" s="1"/>
  <c r="AJ36"/>
  <c r="AJ99" s="1"/>
  <c r="M37"/>
  <c r="M100" s="1"/>
  <c r="Q37"/>
  <c r="Q100" s="1"/>
  <c r="U37"/>
  <c r="U100" s="1"/>
  <c r="Y37"/>
  <c r="Y100" s="1"/>
  <c r="AC37"/>
  <c r="AC100" s="1"/>
  <c r="AG37"/>
  <c r="AG100" s="1"/>
  <c r="J38"/>
  <c r="J101" s="1"/>
  <c r="N38"/>
  <c r="N101" s="1"/>
  <c r="R38"/>
  <c r="R101" s="1"/>
  <c r="V38"/>
  <c r="V101" s="1"/>
  <c r="Z38"/>
  <c r="Z101" s="1"/>
  <c r="AD38"/>
  <c r="AD101" s="1"/>
  <c r="AH38"/>
  <c r="AH101" s="1"/>
  <c r="K39"/>
  <c r="K102" s="1"/>
  <c r="O39"/>
  <c r="O102" s="1"/>
  <c r="S39"/>
  <c r="S102" s="1"/>
  <c r="W39"/>
  <c r="W102" s="1"/>
  <c r="AA39"/>
  <c r="AA102" s="1"/>
  <c r="AE39"/>
  <c r="AE102" s="1"/>
  <c r="AI39"/>
  <c r="AI102" s="1"/>
  <c r="L40"/>
  <c r="L103" s="1"/>
  <c r="P40"/>
  <c r="P103" s="1"/>
  <c r="T40"/>
  <c r="T103" s="1"/>
  <c r="X40"/>
  <c r="X103" s="1"/>
  <c r="AB40"/>
  <c r="AB103" s="1"/>
  <c r="AF40"/>
  <c r="AF103" s="1"/>
  <c r="AJ40"/>
  <c r="AJ103" s="1"/>
  <c r="M41"/>
  <c r="M104" s="1"/>
  <c r="Q41"/>
  <c r="Q104" s="1"/>
  <c r="U41"/>
  <c r="U104" s="1"/>
  <c r="Y41"/>
  <c r="Y104" s="1"/>
  <c r="AC41"/>
  <c r="AC104" s="1"/>
  <c r="AG41"/>
  <c r="AG104" s="1"/>
  <c r="J42"/>
  <c r="J105" s="1"/>
  <c r="N42"/>
  <c r="N105" s="1"/>
  <c r="R42"/>
  <c r="R105" s="1"/>
  <c r="V42"/>
  <c r="V105" s="1"/>
  <c r="Z42"/>
  <c r="Z105" s="1"/>
  <c r="AD42"/>
  <c r="AD105" s="1"/>
  <c r="AH42"/>
  <c r="AH105" s="1"/>
  <c r="K43"/>
  <c r="K106" s="1"/>
  <c r="O43"/>
  <c r="O106" s="1"/>
  <c r="S43"/>
  <c r="S106" s="1"/>
  <c r="W43"/>
  <c r="W106" s="1"/>
  <c r="AA43"/>
  <c r="AA106" s="1"/>
  <c r="AE43"/>
  <c r="AE106" s="1"/>
  <c r="AI43"/>
  <c r="AI106" s="1"/>
  <c r="L44"/>
  <c r="L107" s="1"/>
  <c r="P44"/>
  <c r="P107" s="1"/>
  <c r="T44"/>
  <c r="T107" s="1"/>
  <c r="X44"/>
  <c r="X107" s="1"/>
  <c r="AB44"/>
  <c r="AB107" s="1"/>
  <c r="AF44"/>
  <c r="AF107" s="1"/>
  <c r="AJ44"/>
  <c r="AJ107" s="1"/>
  <c r="M45"/>
  <c r="M108" s="1"/>
  <c r="Q45"/>
  <c r="Q108" s="1"/>
  <c r="U45"/>
  <c r="U108" s="1"/>
  <c r="Y45"/>
  <c r="Y108" s="1"/>
  <c r="AC45"/>
  <c r="AC108" s="1"/>
  <c r="AG45"/>
  <c r="AG108" s="1"/>
  <c r="J46"/>
  <c r="J109" s="1"/>
  <c r="N46"/>
  <c r="N109" s="1"/>
  <c r="R46"/>
  <c r="R109" s="1"/>
  <c r="V46"/>
  <c r="V109" s="1"/>
  <c r="Z46"/>
  <c r="Z109" s="1"/>
  <c r="AD46"/>
  <c r="AD109" s="1"/>
  <c r="AH46"/>
  <c r="AH109" s="1"/>
  <c r="K47"/>
  <c r="K110" s="1"/>
  <c r="O47"/>
  <c r="O110" s="1"/>
  <c r="S47"/>
  <c r="S110" s="1"/>
  <c r="W47"/>
  <c r="W110" s="1"/>
  <c r="AA47"/>
  <c r="AA110" s="1"/>
  <c r="AE47"/>
  <c r="AE110" s="1"/>
  <c r="AI47"/>
  <c r="AI110" s="1"/>
  <c r="L48"/>
  <c r="L111" s="1"/>
  <c r="P48"/>
  <c r="P111" s="1"/>
  <c r="T48"/>
  <c r="T111" s="1"/>
  <c r="X48"/>
  <c r="X111" s="1"/>
  <c r="AB48"/>
  <c r="AB111" s="1"/>
  <c r="AF48"/>
  <c r="AF111" s="1"/>
  <c r="AJ48"/>
  <c r="AJ111" s="1"/>
  <c r="M49"/>
  <c r="M112" s="1"/>
  <c r="Q49"/>
  <c r="Q112" s="1"/>
  <c r="U49"/>
  <c r="U112" s="1"/>
  <c r="Y49"/>
  <c r="Y112" s="1"/>
  <c r="AC49"/>
  <c r="AC112" s="1"/>
  <c r="AG49"/>
  <c r="AG112" s="1"/>
  <c r="J50"/>
  <c r="J113" s="1"/>
  <c r="N50"/>
  <c r="N113" s="1"/>
  <c r="R50"/>
  <c r="R113" s="1"/>
  <c r="V50"/>
  <c r="V113" s="1"/>
  <c r="Z50"/>
  <c r="Z113" s="1"/>
  <c r="AD50"/>
  <c r="AD113" s="1"/>
  <c r="AH50"/>
  <c r="AH113" s="1"/>
  <c r="K51"/>
  <c r="K114" s="1"/>
  <c r="O51"/>
  <c r="O114" s="1"/>
  <c r="S51"/>
  <c r="S114" s="1"/>
  <c r="W51"/>
  <c r="W114" s="1"/>
  <c r="AA51"/>
  <c r="AA114" s="1"/>
  <c r="AE51"/>
  <c r="AE114" s="1"/>
  <c r="AI51"/>
  <c r="AI114" s="1"/>
  <c r="L52"/>
  <c r="L115" s="1"/>
  <c r="P52"/>
  <c r="P115" s="1"/>
  <c r="T52"/>
  <c r="T115" s="1"/>
  <c r="X52"/>
  <c r="X115" s="1"/>
  <c r="AB52"/>
  <c r="AB115" s="1"/>
  <c r="AF52"/>
  <c r="AF115" s="1"/>
  <c r="AJ52"/>
  <c r="AJ115" s="1"/>
  <c r="M53"/>
  <c r="M116" s="1"/>
  <c r="Q53"/>
  <c r="Q116" s="1"/>
  <c r="U53"/>
  <c r="U116" s="1"/>
  <c r="Y53"/>
  <c r="Y116" s="1"/>
  <c r="AC53"/>
  <c r="AC116" s="1"/>
  <c r="AG53"/>
  <c r="AG116" s="1"/>
  <c r="L54"/>
  <c r="L117" s="1"/>
  <c r="P54"/>
  <c r="P117" s="1"/>
  <c r="T54"/>
  <c r="T117" s="1"/>
  <c r="X54"/>
  <c r="X117" s="1"/>
  <c r="AB54"/>
  <c r="AB117" s="1"/>
  <c r="AF54"/>
  <c r="AF117" s="1"/>
  <c r="AJ54"/>
  <c r="AJ117" s="1"/>
  <c r="K64"/>
  <c r="K127" s="1"/>
  <c r="K60"/>
  <c r="K123" s="1"/>
  <c r="K56"/>
  <c r="K119" s="1"/>
  <c r="K65"/>
  <c r="K128" s="1"/>
  <c r="K61"/>
  <c r="K124" s="1"/>
  <c r="K57"/>
  <c r="K120" s="1"/>
  <c r="M64"/>
  <c r="M127" s="1"/>
  <c r="M60"/>
  <c r="M123" s="1"/>
  <c r="M56"/>
  <c r="M119" s="1"/>
  <c r="M65"/>
  <c r="M128" s="1"/>
  <c r="M61"/>
  <c r="M124" s="1"/>
  <c r="M57"/>
  <c r="M120" s="1"/>
  <c r="O64"/>
  <c r="O127" s="1"/>
  <c r="O60"/>
  <c r="O123" s="1"/>
  <c r="O56"/>
  <c r="O119" s="1"/>
  <c r="O65"/>
  <c r="O128" s="1"/>
  <c r="O61"/>
  <c r="O124" s="1"/>
  <c r="O57"/>
  <c r="O120" s="1"/>
  <c r="Q64"/>
  <c r="Q127" s="1"/>
  <c r="Q60"/>
  <c r="Q123" s="1"/>
  <c r="Q56"/>
  <c r="Q119" s="1"/>
  <c r="Q65"/>
  <c r="Q128" s="1"/>
  <c r="Q61"/>
  <c r="Q124" s="1"/>
  <c r="Q57"/>
  <c r="Q120" s="1"/>
  <c r="S64"/>
  <c r="S127" s="1"/>
  <c r="S60"/>
  <c r="S123" s="1"/>
  <c r="S56"/>
  <c r="S119" s="1"/>
  <c r="S65"/>
  <c r="S128" s="1"/>
  <c r="S61"/>
  <c r="S124" s="1"/>
  <c r="S57"/>
  <c r="S120" s="1"/>
  <c r="U64"/>
  <c r="U127" s="1"/>
  <c r="U60"/>
  <c r="U123" s="1"/>
  <c r="U56"/>
  <c r="U119" s="1"/>
  <c r="U65"/>
  <c r="U128" s="1"/>
  <c r="U61"/>
  <c r="U124" s="1"/>
  <c r="U57"/>
  <c r="U120" s="1"/>
  <c r="W64"/>
  <c r="W127" s="1"/>
  <c r="W60"/>
  <c r="W123" s="1"/>
  <c r="W56"/>
  <c r="W119" s="1"/>
  <c r="W65"/>
  <c r="W128" s="1"/>
  <c r="W61"/>
  <c r="W124" s="1"/>
  <c r="W57"/>
  <c r="W120" s="1"/>
  <c r="Y64"/>
  <c r="Y127" s="1"/>
  <c r="Y60"/>
  <c r="Y123" s="1"/>
  <c r="Y56"/>
  <c r="Y119" s="1"/>
  <c r="Y65"/>
  <c r="Y128" s="1"/>
  <c r="Y61"/>
  <c r="Y124" s="1"/>
  <c r="Y57"/>
  <c r="Y120" s="1"/>
  <c r="AA64"/>
  <c r="AA127" s="1"/>
  <c r="AA60"/>
  <c r="AA123" s="1"/>
  <c r="AA56"/>
  <c r="AA119" s="1"/>
  <c r="AA65"/>
  <c r="AA128" s="1"/>
  <c r="AA61"/>
  <c r="AA124" s="1"/>
  <c r="AA57"/>
  <c r="AA120" s="1"/>
  <c r="AC64"/>
  <c r="AC127" s="1"/>
  <c r="AC60"/>
  <c r="AC123" s="1"/>
  <c r="AC56"/>
  <c r="AC119" s="1"/>
  <c r="AC65"/>
  <c r="AC128" s="1"/>
  <c r="AC61"/>
  <c r="AC124" s="1"/>
  <c r="AC57"/>
  <c r="AC120" s="1"/>
  <c r="AE64"/>
  <c r="AE127" s="1"/>
  <c r="AE60"/>
  <c r="AE123" s="1"/>
  <c r="AE56"/>
  <c r="AE119" s="1"/>
  <c r="AE65"/>
  <c r="AE128" s="1"/>
  <c r="AE61"/>
  <c r="AE124" s="1"/>
  <c r="AE57"/>
  <c r="AE120" s="1"/>
  <c r="AG64"/>
  <c r="AG127" s="1"/>
  <c r="AG60"/>
  <c r="AG123" s="1"/>
  <c r="AG56"/>
  <c r="AG119" s="1"/>
  <c r="AG65"/>
  <c r="AG128" s="1"/>
  <c r="AG61"/>
  <c r="AG124" s="1"/>
  <c r="AG57"/>
  <c r="AG120" s="1"/>
  <c r="AI64"/>
  <c r="AI127" s="1"/>
  <c r="AI60"/>
  <c r="AI123" s="1"/>
  <c r="AI56"/>
  <c r="AI119" s="1"/>
  <c r="AI65"/>
  <c r="AI128" s="1"/>
  <c r="AI61"/>
  <c r="AI124" s="1"/>
  <c r="AI57"/>
  <c r="AI120" s="1"/>
  <c r="J7"/>
  <c r="J70" s="1"/>
  <c r="N7"/>
  <c r="N70" s="1"/>
  <c r="R7"/>
  <c r="R70" s="1"/>
  <c r="V7"/>
  <c r="V70" s="1"/>
  <c r="Z7"/>
  <c r="Z70" s="1"/>
  <c r="AD7"/>
  <c r="AD70" s="1"/>
  <c r="AH7"/>
  <c r="AH70" s="1"/>
  <c r="K8"/>
  <c r="K71" s="1"/>
  <c r="O8"/>
  <c r="O71" s="1"/>
  <c r="S8"/>
  <c r="S71" s="1"/>
  <c r="W8"/>
  <c r="W71" s="1"/>
  <c r="AA8"/>
  <c r="AA71" s="1"/>
  <c r="AE8"/>
  <c r="AE71" s="1"/>
  <c r="AI8"/>
  <c r="AI71" s="1"/>
  <c r="L9"/>
  <c r="L72" s="1"/>
  <c r="P9"/>
  <c r="P72" s="1"/>
  <c r="T9"/>
  <c r="T72" s="1"/>
  <c r="X9"/>
  <c r="X72" s="1"/>
  <c r="AB9"/>
  <c r="AB72" s="1"/>
  <c r="AF9"/>
  <c r="AF72" s="1"/>
  <c r="AJ9"/>
  <c r="AJ72" s="1"/>
  <c r="M10"/>
  <c r="M73" s="1"/>
  <c r="Q10"/>
  <c r="Q73" s="1"/>
  <c r="U10"/>
  <c r="U73" s="1"/>
  <c r="Y10"/>
  <c r="Y73" s="1"/>
  <c r="AC10"/>
  <c r="AC73" s="1"/>
  <c r="AG10"/>
  <c r="AG73" s="1"/>
  <c r="J11"/>
  <c r="J74" s="1"/>
  <c r="N11"/>
  <c r="N74" s="1"/>
  <c r="R11"/>
  <c r="R74" s="1"/>
  <c r="V11"/>
  <c r="V74" s="1"/>
  <c r="Z11"/>
  <c r="Z74" s="1"/>
  <c r="AD11"/>
  <c r="AD74" s="1"/>
  <c r="AH11"/>
  <c r="AH74" s="1"/>
  <c r="K12"/>
  <c r="K75" s="1"/>
  <c r="O12"/>
  <c r="O75" s="1"/>
  <c r="S12"/>
  <c r="S75" s="1"/>
  <c r="W12"/>
  <c r="W75" s="1"/>
  <c r="AA12"/>
  <c r="AA75" s="1"/>
  <c r="AE12"/>
  <c r="AE75" s="1"/>
  <c r="AI12"/>
  <c r="AI75" s="1"/>
  <c r="L13"/>
  <c r="L76" s="1"/>
  <c r="P13"/>
  <c r="P76" s="1"/>
  <c r="T13"/>
  <c r="T76" s="1"/>
  <c r="X13"/>
  <c r="X76" s="1"/>
  <c r="AB13"/>
  <c r="AB76" s="1"/>
  <c r="AF13"/>
  <c r="AF76" s="1"/>
  <c r="AJ13"/>
  <c r="AJ76" s="1"/>
  <c r="M14"/>
  <c r="M77" s="1"/>
  <c r="Q14"/>
  <c r="Q77" s="1"/>
  <c r="U14"/>
  <c r="U77" s="1"/>
  <c r="Y14"/>
  <c r="Y77" s="1"/>
  <c r="AC14"/>
  <c r="AC77" s="1"/>
  <c r="AG14"/>
  <c r="AG77" s="1"/>
  <c r="J15"/>
  <c r="J78" s="1"/>
  <c r="N15"/>
  <c r="N78" s="1"/>
  <c r="R15"/>
  <c r="R78" s="1"/>
  <c r="V15"/>
  <c r="V78" s="1"/>
  <c r="Z15"/>
  <c r="Z78" s="1"/>
  <c r="AD15"/>
  <c r="AD78" s="1"/>
  <c r="AH15"/>
  <c r="AH78" s="1"/>
  <c r="K16"/>
  <c r="K79" s="1"/>
  <c r="O16"/>
  <c r="O79" s="1"/>
  <c r="S16"/>
  <c r="S79" s="1"/>
  <c r="W16"/>
  <c r="W79" s="1"/>
  <c r="AA16"/>
  <c r="AA79" s="1"/>
  <c r="AE16"/>
  <c r="AE79" s="1"/>
  <c r="AI16"/>
  <c r="AI79" s="1"/>
  <c r="L17"/>
  <c r="L80" s="1"/>
  <c r="P17"/>
  <c r="P80" s="1"/>
  <c r="T17"/>
  <c r="T80" s="1"/>
  <c r="X17"/>
  <c r="X80" s="1"/>
  <c r="AB17"/>
  <c r="AB80" s="1"/>
  <c r="AF17"/>
  <c r="AF80" s="1"/>
  <c r="AJ17"/>
  <c r="AJ80" s="1"/>
  <c r="M18"/>
  <c r="M81" s="1"/>
  <c r="Q18"/>
  <c r="Q81" s="1"/>
  <c r="U18"/>
  <c r="U81" s="1"/>
  <c r="Y18"/>
  <c r="Y81" s="1"/>
  <c r="AC18"/>
  <c r="AC81" s="1"/>
  <c r="AG18"/>
  <c r="AG81" s="1"/>
  <c r="J19"/>
  <c r="J82" s="1"/>
  <c r="N19"/>
  <c r="N82" s="1"/>
  <c r="R19"/>
  <c r="R82" s="1"/>
  <c r="V19"/>
  <c r="V82" s="1"/>
  <c r="Z19"/>
  <c r="Z82" s="1"/>
  <c r="AD19"/>
  <c r="AD82" s="1"/>
  <c r="AH19"/>
  <c r="AH82" s="1"/>
  <c r="K20"/>
  <c r="K83" s="1"/>
  <c r="O20"/>
  <c r="O83" s="1"/>
  <c r="S20"/>
  <c r="S83" s="1"/>
  <c r="W20"/>
  <c r="W83" s="1"/>
  <c r="AA20"/>
  <c r="AA83" s="1"/>
  <c r="AE20"/>
  <c r="AE83" s="1"/>
  <c r="AI20"/>
  <c r="AI83" s="1"/>
  <c r="L21"/>
  <c r="L84" s="1"/>
  <c r="P21"/>
  <c r="P84" s="1"/>
  <c r="T21"/>
  <c r="T84" s="1"/>
  <c r="X21"/>
  <c r="X84" s="1"/>
  <c r="AB21"/>
  <c r="AB84" s="1"/>
  <c r="AF21"/>
  <c r="AF84" s="1"/>
  <c r="AJ21"/>
  <c r="AJ84" s="1"/>
  <c r="M22"/>
  <c r="M85" s="1"/>
  <c r="Q22"/>
  <c r="Q85" s="1"/>
  <c r="U22"/>
  <c r="U85" s="1"/>
  <c r="Y22"/>
  <c r="Y85" s="1"/>
  <c r="AC22"/>
  <c r="AC85" s="1"/>
  <c r="AG22"/>
  <c r="AG85" s="1"/>
  <c r="J23"/>
  <c r="J86" s="1"/>
  <c r="N23"/>
  <c r="N86" s="1"/>
  <c r="R23"/>
  <c r="R86" s="1"/>
  <c r="V23"/>
  <c r="V86" s="1"/>
  <c r="Z23"/>
  <c r="Z86" s="1"/>
  <c r="AD23"/>
  <c r="AD86" s="1"/>
  <c r="AH23"/>
  <c r="AH86" s="1"/>
  <c r="K24"/>
  <c r="K87" s="1"/>
  <c r="O24"/>
  <c r="O87" s="1"/>
  <c r="S24"/>
  <c r="S87" s="1"/>
  <c r="W24"/>
  <c r="W87" s="1"/>
  <c r="AA24"/>
  <c r="AA87" s="1"/>
  <c r="AE24"/>
  <c r="AE87" s="1"/>
  <c r="AI24"/>
  <c r="AI87" s="1"/>
  <c r="L25"/>
  <c r="L88" s="1"/>
  <c r="P25"/>
  <c r="P88" s="1"/>
  <c r="T25"/>
  <c r="T88" s="1"/>
  <c r="X25"/>
  <c r="X88" s="1"/>
  <c r="AB25"/>
  <c r="AB88" s="1"/>
  <c r="AF25"/>
  <c r="AF88" s="1"/>
  <c r="AJ25"/>
  <c r="AJ88" s="1"/>
  <c r="M26"/>
  <c r="M89" s="1"/>
  <c r="Q26"/>
  <c r="Q89" s="1"/>
  <c r="U26"/>
  <c r="U89" s="1"/>
  <c r="Y26"/>
  <c r="Y89" s="1"/>
  <c r="AC26"/>
  <c r="AC89" s="1"/>
  <c r="AG26"/>
  <c r="AG89" s="1"/>
  <c r="J27"/>
  <c r="J90" s="1"/>
  <c r="N27"/>
  <c r="N90" s="1"/>
  <c r="R27"/>
  <c r="R90" s="1"/>
  <c r="V27"/>
  <c r="V90" s="1"/>
  <c r="Z27"/>
  <c r="Z90" s="1"/>
  <c r="AD27"/>
  <c r="AD90" s="1"/>
  <c r="AH27"/>
  <c r="AH90" s="1"/>
  <c r="K28"/>
  <c r="K91" s="1"/>
  <c r="O28"/>
  <c r="O91" s="1"/>
  <c r="S28"/>
  <c r="S91" s="1"/>
  <c r="W28"/>
  <c r="W91" s="1"/>
  <c r="AA28"/>
  <c r="AA91" s="1"/>
  <c r="AE28"/>
  <c r="AE91" s="1"/>
  <c r="AI28"/>
  <c r="AI91" s="1"/>
  <c r="L29"/>
  <c r="L92" s="1"/>
  <c r="P29"/>
  <c r="P92" s="1"/>
  <c r="T29"/>
  <c r="T92" s="1"/>
  <c r="X29"/>
  <c r="X92" s="1"/>
  <c r="AB29"/>
  <c r="AB92" s="1"/>
  <c r="J65"/>
  <c r="J128" s="1"/>
  <c r="J61"/>
  <c r="J124" s="1"/>
  <c r="J57"/>
  <c r="J120" s="1"/>
  <c r="J64"/>
  <c r="J127" s="1"/>
  <c r="J60"/>
  <c r="J123" s="1"/>
  <c r="J56"/>
  <c r="J119" s="1"/>
  <c r="L65"/>
  <c r="L128" s="1"/>
  <c r="L61"/>
  <c r="L124" s="1"/>
  <c r="L57"/>
  <c r="L120" s="1"/>
  <c r="L64"/>
  <c r="L127" s="1"/>
  <c r="L60"/>
  <c r="L123" s="1"/>
  <c r="L56"/>
  <c r="L119" s="1"/>
  <c r="N65"/>
  <c r="N128" s="1"/>
  <c r="N61"/>
  <c r="N124" s="1"/>
  <c r="N57"/>
  <c r="N120" s="1"/>
  <c r="N64"/>
  <c r="N127" s="1"/>
  <c r="N60"/>
  <c r="N123" s="1"/>
  <c r="N56"/>
  <c r="N119" s="1"/>
  <c r="P65"/>
  <c r="P128" s="1"/>
  <c r="P61"/>
  <c r="P124" s="1"/>
  <c r="P57"/>
  <c r="P120" s="1"/>
  <c r="P64"/>
  <c r="P127" s="1"/>
  <c r="P60"/>
  <c r="P123" s="1"/>
  <c r="P56"/>
  <c r="P119" s="1"/>
  <c r="R65"/>
  <c r="R128" s="1"/>
  <c r="R61"/>
  <c r="R124" s="1"/>
  <c r="R57"/>
  <c r="R120" s="1"/>
  <c r="R64"/>
  <c r="R127" s="1"/>
  <c r="R60"/>
  <c r="R123" s="1"/>
  <c r="R56"/>
  <c r="R119" s="1"/>
  <c r="T65"/>
  <c r="T128" s="1"/>
  <c r="T61"/>
  <c r="T124" s="1"/>
  <c r="T57"/>
  <c r="T120" s="1"/>
  <c r="T64"/>
  <c r="T127" s="1"/>
  <c r="T60"/>
  <c r="T123" s="1"/>
  <c r="T56"/>
  <c r="T119" s="1"/>
  <c r="V65"/>
  <c r="V128" s="1"/>
  <c r="V61"/>
  <c r="V124" s="1"/>
  <c r="V57"/>
  <c r="V120" s="1"/>
  <c r="V64"/>
  <c r="V127" s="1"/>
  <c r="V60"/>
  <c r="V123" s="1"/>
  <c r="V56"/>
  <c r="V119" s="1"/>
  <c r="X65"/>
  <c r="X128" s="1"/>
  <c r="X61"/>
  <c r="X124" s="1"/>
  <c r="X57"/>
  <c r="X120" s="1"/>
  <c r="X64"/>
  <c r="X127" s="1"/>
  <c r="X60"/>
  <c r="X123" s="1"/>
  <c r="X56"/>
  <c r="X119" s="1"/>
  <c r="Z65"/>
  <c r="Z128" s="1"/>
  <c r="Z61"/>
  <c r="Z124" s="1"/>
  <c r="Z57"/>
  <c r="Z120" s="1"/>
  <c r="Z64"/>
  <c r="Z127" s="1"/>
  <c r="Z60"/>
  <c r="Z123" s="1"/>
  <c r="Z56"/>
  <c r="Z119" s="1"/>
  <c r="AB65"/>
  <c r="AB128" s="1"/>
  <c r="AB61"/>
  <c r="AB124" s="1"/>
  <c r="AB57"/>
  <c r="AB120" s="1"/>
  <c r="AB64"/>
  <c r="AB127" s="1"/>
  <c r="AB60"/>
  <c r="AB123" s="1"/>
  <c r="AB56"/>
  <c r="AB119" s="1"/>
  <c r="AD65"/>
  <c r="AD128" s="1"/>
  <c r="AD61"/>
  <c r="AD124" s="1"/>
  <c r="AD57"/>
  <c r="AD120" s="1"/>
  <c r="AD64"/>
  <c r="AD127" s="1"/>
  <c r="AD60"/>
  <c r="AD123" s="1"/>
  <c r="AD56"/>
  <c r="AD119" s="1"/>
  <c r="AF65"/>
  <c r="AF128" s="1"/>
  <c r="AF61"/>
  <c r="AF124" s="1"/>
  <c r="AF57"/>
  <c r="AF120" s="1"/>
  <c r="AF64"/>
  <c r="AF127" s="1"/>
  <c r="AF60"/>
  <c r="AF123" s="1"/>
  <c r="AF56"/>
  <c r="AF119" s="1"/>
  <c r="AH65"/>
  <c r="AH128" s="1"/>
  <c r="AH61"/>
  <c r="AH124" s="1"/>
  <c r="AH57"/>
  <c r="AH120" s="1"/>
  <c r="AH66"/>
  <c r="AH129" s="1"/>
  <c r="AH62"/>
  <c r="AH125" s="1"/>
  <c r="AH58"/>
  <c r="AH121" s="1"/>
  <c r="AJ67"/>
  <c r="AJ130" s="1"/>
  <c r="AJ63"/>
  <c r="AJ126" s="1"/>
  <c r="AJ59"/>
  <c r="AJ122" s="1"/>
  <c r="AJ55"/>
  <c r="AJ118" s="1"/>
  <c r="AJ64"/>
  <c r="AJ127" s="1"/>
  <c r="AJ60"/>
  <c r="AJ123" s="1"/>
  <c r="AJ56"/>
  <c r="AJ119" s="1"/>
  <c r="M7"/>
  <c r="M70" s="1"/>
  <c r="Q7"/>
  <c r="Q70" s="1"/>
  <c r="U7"/>
  <c r="U70" s="1"/>
  <c r="Y7"/>
  <c r="Y70" s="1"/>
  <c r="AC7"/>
  <c r="AC70" s="1"/>
  <c r="AG7"/>
  <c r="AG70" s="1"/>
  <c r="J8"/>
  <c r="J71" s="1"/>
  <c r="N8"/>
  <c r="N71" s="1"/>
  <c r="R8"/>
  <c r="R71" s="1"/>
  <c r="V8"/>
  <c r="V71" s="1"/>
  <c r="Z8"/>
  <c r="Z71" s="1"/>
  <c r="AD8"/>
  <c r="AD71" s="1"/>
  <c r="AH8"/>
  <c r="AH71" s="1"/>
  <c r="K9"/>
  <c r="K72" s="1"/>
  <c r="O9"/>
  <c r="O72" s="1"/>
  <c r="S9"/>
  <c r="S72" s="1"/>
  <c r="W9"/>
  <c r="W72" s="1"/>
  <c r="AA9"/>
  <c r="AA72" s="1"/>
  <c r="AE9"/>
  <c r="AE72" s="1"/>
  <c r="AI9"/>
  <c r="AI72" s="1"/>
  <c r="L10"/>
  <c r="L73" s="1"/>
  <c r="P10"/>
  <c r="P73" s="1"/>
  <c r="T10"/>
  <c r="T73" s="1"/>
  <c r="X10"/>
  <c r="X73" s="1"/>
  <c r="AB10"/>
  <c r="AB73" s="1"/>
  <c r="AF10"/>
  <c r="AF73" s="1"/>
  <c r="AJ10"/>
  <c r="AJ73" s="1"/>
  <c r="M11"/>
  <c r="M74" s="1"/>
  <c r="Q11"/>
  <c r="Q74" s="1"/>
  <c r="U11"/>
  <c r="U74" s="1"/>
  <c r="Y11"/>
  <c r="Y74" s="1"/>
  <c r="AC11"/>
  <c r="AC74" s="1"/>
  <c r="AG11"/>
  <c r="AG74" s="1"/>
  <c r="J12"/>
  <c r="J75" s="1"/>
  <c r="N12"/>
  <c r="N75" s="1"/>
  <c r="R12"/>
  <c r="R75" s="1"/>
  <c r="V12"/>
  <c r="V75" s="1"/>
  <c r="Z12"/>
  <c r="Z75" s="1"/>
  <c r="AD12"/>
  <c r="AD75" s="1"/>
  <c r="AH12"/>
  <c r="AH75" s="1"/>
  <c r="K13"/>
  <c r="K76" s="1"/>
  <c r="O13"/>
  <c r="O76" s="1"/>
  <c r="S13"/>
  <c r="S76" s="1"/>
  <c r="W13"/>
  <c r="W76" s="1"/>
  <c r="AA13"/>
  <c r="AA76" s="1"/>
  <c r="AE13"/>
  <c r="AE76" s="1"/>
  <c r="AI13"/>
  <c r="AI76" s="1"/>
  <c r="L14"/>
  <c r="L77" s="1"/>
  <c r="P14"/>
  <c r="P77" s="1"/>
  <c r="T14"/>
  <c r="T77" s="1"/>
  <c r="X14"/>
  <c r="X77" s="1"/>
  <c r="AB14"/>
  <c r="AB77" s="1"/>
  <c r="AF14"/>
  <c r="AF77" s="1"/>
  <c r="AJ14"/>
  <c r="AJ77" s="1"/>
  <c r="M15"/>
  <c r="M78" s="1"/>
  <c r="Q15"/>
  <c r="Q78" s="1"/>
  <c r="U15"/>
  <c r="U78" s="1"/>
  <c r="Y15"/>
  <c r="Y78" s="1"/>
  <c r="AC15"/>
  <c r="AC78" s="1"/>
  <c r="AG15"/>
  <c r="AG78" s="1"/>
  <c r="J16"/>
  <c r="J79" s="1"/>
  <c r="N16"/>
  <c r="N79" s="1"/>
  <c r="R16"/>
  <c r="R79" s="1"/>
  <c r="V16"/>
  <c r="V79" s="1"/>
  <c r="Z16"/>
  <c r="Z79" s="1"/>
  <c r="AD16"/>
  <c r="AD79" s="1"/>
  <c r="AH16"/>
  <c r="AH79" s="1"/>
  <c r="K17"/>
  <c r="K80" s="1"/>
  <c r="O17"/>
  <c r="O80" s="1"/>
  <c r="S17"/>
  <c r="S80" s="1"/>
  <c r="W17"/>
  <c r="W80" s="1"/>
  <c r="AA17"/>
  <c r="AA80" s="1"/>
  <c r="AE17"/>
  <c r="AE80" s="1"/>
  <c r="AI17"/>
  <c r="AI80" s="1"/>
  <c r="L18"/>
  <c r="L81" s="1"/>
  <c r="P18"/>
  <c r="P81" s="1"/>
  <c r="T18"/>
  <c r="T81" s="1"/>
  <c r="X18"/>
  <c r="X81" s="1"/>
  <c r="AB18"/>
  <c r="AB81" s="1"/>
  <c r="AF18"/>
  <c r="AF81" s="1"/>
  <c r="AJ18"/>
  <c r="AJ81" s="1"/>
  <c r="M19"/>
  <c r="M82" s="1"/>
  <c r="Q19"/>
  <c r="Q82" s="1"/>
  <c r="U19"/>
  <c r="U82" s="1"/>
  <c r="Y19"/>
  <c r="Y82" s="1"/>
  <c r="AC19"/>
  <c r="AC82" s="1"/>
  <c r="AG19"/>
  <c r="AG82" s="1"/>
  <c r="J20"/>
  <c r="J83" s="1"/>
  <c r="N20"/>
  <c r="N83" s="1"/>
  <c r="R20"/>
  <c r="R83" s="1"/>
  <c r="V20"/>
  <c r="V83" s="1"/>
  <c r="Z20"/>
  <c r="Z83" s="1"/>
  <c r="AD20"/>
  <c r="AD83" s="1"/>
  <c r="AH20"/>
  <c r="AH83" s="1"/>
  <c r="K21"/>
  <c r="K84" s="1"/>
  <c r="O21"/>
  <c r="O84" s="1"/>
  <c r="S21"/>
  <c r="S84" s="1"/>
  <c r="W21"/>
  <c r="W84" s="1"/>
  <c r="AA21"/>
  <c r="AA84" s="1"/>
  <c r="AE21"/>
  <c r="AE84" s="1"/>
  <c r="AI21"/>
  <c r="AI84" s="1"/>
  <c r="L22"/>
  <c r="L85" s="1"/>
  <c r="P22"/>
  <c r="P85" s="1"/>
  <c r="T22"/>
  <c r="T85" s="1"/>
  <c r="X22"/>
  <c r="X85" s="1"/>
  <c r="AB22"/>
  <c r="AB85" s="1"/>
  <c r="AF22"/>
  <c r="AF85" s="1"/>
  <c r="AJ22"/>
  <c r="AJ85" s="1"/>
  <c r="M23"/>
  <c r="M86" s="1"/>
  <c r="Q23"/>
  <c r="Q86" s="1"/>
  <c r="U23"/>
  <c r="U86" s="1"/>
  <c r="Y23"/>
  <c r="Y86" s="1"/>
  <c r="AC23"/>
  <c r="AC86" s="1"/>
  <c r="AG23"/>
  <c r="AG86" s="1"/>
  <c r="J24"/>
  <c r="J87" s="1"/>
  <c r="N24"/>
  <c r="N87" s="1"/>
  <c r="R24"/>
  <c r="R87" s="1"/>
  <c r="V24"/>
  <c r="V87" s="1"/>
  <c r="Z24"/>
  <c r="Z87" s="1"/>
  <c r="AD24"/>
  <c r="AD87" s="1"/>
  <c r="AH24"/>
  <c r="AH87" s="1"/>
  <c r="K25"/>
  <c r="K88" s="1"/>
  <c r="O25"/>
  <c r="O88" s="1"/>
  <c r="S25"/>
  <c r="S88" s="1"/>
  <c r="W25"/>
  <c r="W88" s="1"/>
  <c r="AA25"/>
  <c r="AA88" s="1"/>
  <c r="AE25"/>
  <c r="AE88" s="1"/>
  <c r="AI25"/>
  <c r="AI88" s="1"/>
  <c r="L26"/>
  <c r="L89" s="1"/>
  <c r="P26"/>
  <c r="P89" s="1"/>
  <c r="T26"/>
  <c r="T89" s="1"/>
  <c r="X26"/>
  <c r="X89" s="1"/>
  <c r="AB26"/>
  <c r="AB89" s="1"/>
  <c r="AF26"/>
  <c r="AF89" s="1"/>
  <c r="AJ26"/>
  <c r="AJ89" s="1"/>
  <c r="M27"/>
  <c r="M90" s="1"/>
  <c r="Q27"/>
  <c r="Q90" s="1"/>
  <c r="U27"/>
  <c r="U90" s="1"/>
  <c r="Y27"/>
  <c r="Y90" s="1"/>
  <c r="AC27"/>
  <c r="AC90" s="1"/>
  <c r="AG27"/>
  <c r="AG90" s="1"/>
  <c r="J28"/>
  <c r="J91" s="1"/>
  <c r="N28"/>
  <c r="N91" s="1"/>
  <c r="R28"/>
  <c r="R91" s="1"/>
  <c r="V28"/>
  <c r="V91" s="1"/>
  <c r="Z28"/>
  <c r="Z91" s="1"/>
  <c r="AD28"/>
  <c r="AD91" s="1"/>
  <c r="AH28"/>
  <c r="AH91" s="1"/>
  <c r="K29"/>
  <c r="K92" s="1"/>
  <c r="O29"/>
  <c r="O92" s="1"/>
  <c r="S29"/>
  <c r="S92" s="1"/>
  <c r="W29"/>
  <c r="W92" s="1"/>
  <c r="AA29"/>
  <c r="AA92" s="1"/>
  <c r="AE29"/>
  <c r="AE92" s="1"/>
  <c r="AI29"/>
  <c r="AI92" s="1"/>
  <c r="L30"/>
  <c r="L93" s="1"/>
  <c r="P30"/>
  <c r="P93" s="1"/>
  <c r="T30"/>
  <c r="T93" s="1"/>
  <c r="X30"/>
  <c r="X93" s="1"/>
  <c r="AB30"/>
  <c r="AB93" s="1"/>
  <c r="AF30"/>
  <c r="AF93" s="1"/>
  <c r="AJ30"/>
  <c r="AJ93" s="1"/>
  <c r="M31"/>
  <c r="M94" s="1"/>
  <c r="Q31"/>
  <c r="Q94" s="1"/>
  <c r="U31"/>
  <c r="U94" s="1"/>
  <c r="Y31"/>
  <c r="Y94" s="1"/>
  <c r="AC31"/>
  <c r="AC94" s="1"/>
  <c r="AG31"/>
  <c r="AG94" s="1"/>
  <c r="J32"/>
  <c r="J95" s="1"/>
  <c r="N32"/>
  <c r="N95" s="1"/>
  <c r="R32"/>
  <c r="R95" s="1"/>
  <c r="V32"/>
  <c r="V95" s="1"/>
  <c r="Z32"/>
  <c r="Z95" s="1"/>
  <c r="AD32"/>
  <c r="AD95" s="1"/>
  <c r="AH32"/>
  <c r="AH95" s="1"/>
  <c r="K33"/>
  <c r="K96" s="1"/>
  <c r="O33"/>
  <c r="O96" s="1"/>
  <c r="S33"/>
  <c r="S96" s="1"/>
  <c r="W33"/>
  <c r="W96" s="1"/>
  <c r="AA33"/>
  <c r="AA96" s="1"/>
  <c r="AE33"/>
  <c r="AE96" s="1"/>
  <c r="AI33"/>
  <c r="AI96" s="1"/>
  <c r="L34"/>
  <c r="L97" s="1"/>
  <c r="P34"/>
  <c r="P97" s="1"/>
  <c r="T34"/>
  <c r="T97" s="1"/>
  <c r="X34"/>
  <c r="X97" s="1"/>
  <c r="AB34"/>
  <c r="AB97" s="1"/>
  <c r="AF34"/>
  <c r="AF97" s="1"/>
  <c r="AJ34"/>
  <c r="AJ97" s="1"/>
  <c r="M35"/>
  <c r="M98" s="1"/>
  <c r="Q35"/>
  <c r="Q98" s="1"/>
  <c r="U35"/>
  <c r="U98" s="1"/>
  <c r="Y35"/>
  <c r="Y98" s="1"/>
  <c r="AC35"/>
  <c r="AC98" s="1"/>
  <c r="AG35"/>
  <c r="AG98" s="1"/>
  <c r="J36"/>
  <c r="J99" s="1"/>
  <c r="N36"/>
  <c r="N99" s="1"/>
  <c r="R36"/>
  <c r="R99" s="1"/>
  <c r="V36"/>
  <c r="V99" s="1"/>
  <c r="Z36"/>
  <c r="Z99" s="1"/>
  <c r="AD36"/>
  <c r="AD99" s="1"/>
  <c r="AH36"/>
  <c r="AH99" s="1"/>
  <c r="K37"/>
  <c r="K100" s="1"/>
  <c r="O37"/>
  <c r="O100" s="1"/>
  <c r="S37"/>
  <c r="S100" s="1"/>
  <c r="W37"/>
  <c r="W100" s="1"/>
  <c r="AA37"/>
  <c r="AA100" s="1"/>
  <c r="AE37"/>
  <c r="AE100" s="1"/>
  <c r="AI37"/>
  <c r="AI100" s="1"/>
  <c r="L38"/>
  <c r="L101" s="1"/>
  <c r="P38"/>
  <c r="P101" s="1"/>
  <c r="T38"/>
  <c r="T101" s="1"/>
  <c r="X38"/>
  <c r="X101" s="1"/>
  <c r="AB38"/>
  <c r="AB101" s="1"/>
  <c r="AF38"/>
  <c r="AF101" s="1"/>
  <c r="AJ38"/>
  <c r="AJ101" s="1"/>
  <c r="M39"/>
  <c r="M102" s="1"/>
  <c r="Q39"/>
  <c r="Q102" s="1"/>
  <c r="U39"/>
  <c r="U102" s="1"/>
  <c r="Y39"/>
  <c r="Y102" s="1"/>
  <c r="AC39"/>
  <c r="AC102" s="1"/>
  <c r="AG39"/>
  <c r="AG102" s="1"/>
  <c r="J40"/>
  <c r="J103" s="1"/>
  <c r="N40"/>
  <c r="N103" s="1"/>
  <c r="R40"/>
  <c r="R103" s="1"/>
  <c r="V40"/>
  <c r="V103" s="1"/>
  <c r="Z40"/>
  <c r="Z103" s="1"/>
  <c r="AD40"/>
  <c r="AD103" s="1"/>
  <c r="AH40"/>
  <c r="AH103" s="1"/>
  <c r="K41"/>
  <c r="K104" s="1"/>
  <c r="O41"/>
  <c r="O104" s="1"/>
  <c r="S41"/>
  <c r="S104" s="1"/>
  <c r="W41"/>
  <c r="W104" s="1"/>
  <c r="AA41"/>
  <c r="AA104" s="1"/>
  <c r="AE41"/>
  <c r="AE104" s="1"/>
  <c r="AI41"/>
  <c r="AI104" s="1"/>
  <c r="L42"/>
  <c r="L105" s="1"/>
  <c r="P42"/>
  <c r="P105" s="1"/>
  <c r="T42"/>
  <c r="T105" s="1"/>
  <c r="X42"/>
  <c r="X105" s="1"/>
  <c r="AB42"/>
  <c r="AB105" s="1"/>
  <c r="AF42"/>
  <c r="AF105" s="1"/>
  <c r="AJ42"/>
  <c r="AJ105" s="1"/>
  <c r="M43"/>
  <c r="M106" s="1"/>
  <c r="Q43"/>
  <c r="Q106" s="1"/>
  <c r="U43"/>
  <c r="U106" s="1"/>
  <c r="Y43"/>
  <c r="Y106" s="1"/>
  <c r="AC43"/>
  <c r="AC106" s="1"/>
  <c r="AG43"/>
  <c r="AG106" s="1"/>
  <c r="J44"/>
  <c r="J107" s="1"/>
  <c r="N44"/>
  <c r="N107" s="1"/>
  <c r="R44"/>
  <c r="R107" s="1"/>
  <c r="V44"/>
  <c r="V107" s="1"/>
  <c r="Z44"/>
  <c r="Z107" s="1"/>
  <c r="AD44"/>
  <c r="AD107" s="1"/>
  <c r="AH44"/>
  <c r="AH107" s="1"/>
  <c r="K45"/>
  <c r="K108" s="1"/>
  <c r="O45"/>
  <c r="O108" s="1"/>
  <c r="S45"/>
  <c r="S108" s="1"/>
  <c r="W45"/>
  <c r="W108" s="1"/>
  <c r="AA45"/>
  <c r="AA108" s="1"/>
  <c r="AE45"/>
  <c r="AE108" s="1"/>
  <c r="AI45"/>
  <c r="AI108" s="1"/>
  <c r="L46"/>
  <c r="L109" s="1"/>
  <c r="P46"/>
  <c r="P109" s="1"/>
  <c r="T46"/>
  <c r="T109" s="1"/>
  <c r="X46"/>
  <c r="X109" s="1"/>
  <c r="AB46"/>
  <c r="AB109" s="1"/>
  <c r="AF46"/>
  <c r="AF109" s="1"/>
  <c r="AJ46"/>
  <c r="AJ109" s="1"/>
  <c r="M47"/>
  <c r="M110" s="1"/>
  <c r="Q47"/>
  <c r="Q110" s="1"/>
  <c r="U47"/>
  <c r="U110" s="1"/>
  <c r="Y47"/>
  <c r="Y110" s="1"/>
  <c r="AC47"/>
  <c r="AC110" s="1"/>
  <c r="AG47"/>
  <c r="AG110" s="1"/>
  <c r="J48"/>
  <c r="J111" s="1"/>
  <c r="N48"/>
  <c r="N111" s="1"/>
  <c r="R48"/>
  <c r="R111" s="1"/>
  <c r="V48"/>
  <c r="V111" s="1"/>
  <c r="Z48"/>
  <c r="Z111" s="1"/>
  <c r="AD48"/>
  <c r="AD111" s="1"/>
  <c r="AH48"/>
  <c r="AH111" s="1"/>
  <c r="K49"/>
  <c r="K112" s="1"/>
  <c r="O49"/>
  <c r="O112" s="1"/>
  <c r="S49"/>
  <c r="S112" s="1"/>
  <c r="W49"/>
  <c r="W112" s="1"/>
  <c r="AA49"/>
  <c r="AA112" s="1"/>
  <c r="AE49"/>
  <c r="AE112" s="1"/>
  <c r="AI49"/>
  <c r="AI112" s="1"/>
  <c r="L50"/>
  <c r="L113" s="1"/>
  <c r="P50"/>
  <c r="P113" s="1"/>
  <c r="T50"/>
  <c r="T113" s="1"/>
  <c r="X50"/>
  <c r="X113" s="1"/>
  <c r="AB50"/>
  <c r="AB113" s="1"/>
  <c r="AF50"/>
  <c r="AF113" s="1"/>
  <c r="AJ50"/>
  <c r="AJ113" s="1"/>
  <c r="M51"/>
  <c r="M114" s="1"/>
  <c r="Q51"/>
  <c r="Q114" s="1"/>
  <c r="U51"/>
  <c r="U114" s="1"/>
  <c r="Y51"/>
  <c r="Y114" s="1"/>
  <c r="AC51"/>
  <c r="AC114" s="1"/>
  <c r="AG51"/>
  <c r="AG114" s="1"/>
  <c r="J52"/>
  <c r="J115" s="1"/>
  <c r="N52"/>
  <c r="N115" s="1"/>
  <c r="R52"/>
  <c r="R115" s="1"/>
  <c r="V52"/>
  <c r="V115" s="1"/>
  <c r="Z52"/>
  <c r="Z115" s="1"/>
  <c r="AD52"/>
  <c r="AD115" s="1"/>
  <c r="AH52"/>
  <c r="AH115" s="1"/>
  <c r="K53"/>
  <c r="K116" s="1"/>
  <c r="O53"/>
  <c r="O116" s="1"/>
  <c r="S53"/>
  <c r="S116" s="1"/>
  <c r="W53"/>
  <c r="W116" s="1"/>
  <c r="AA53"/>
  <c r="AA116" s="1"/>
  <c r="AE53"/>
  <c r="AE116" s="1"/>
  <c r="J54"/>
  <c r="J117" s="1"/>
  <c r="N54"/>
  <c r="N117" s="1"/>
  <c r="R54"/>
  <c r="R117" s="1"/>
  <c r="V54"/>
  <c r="V117" s="1"/>
  <c r="Z54"/>
  <c r="Z117" s="1"/>
  <c r="AD54"/>
  <c r="AD117" s="1"/>
  <c r="AH54"/>
  <c r="AH117" s="1"/>
  <c r="K66"/>
  <c r="K129" s="1"/>
  <c r="K62"/>
  <c r="K125" s="1"/>
  <c r="K58"/>
  <c r="K121" s="1"/>
  <c r="K67"/>
  <c r="K130" s="1"/>
  <c r="K63"/>
  <c r="K126" s="1"/>
  <c r="K59"/>
  <c r="K122" s="1"/>
  <c r="M66"/>
  <c r="M129" s="1"/>
  <c r="M62"/>
  <c r="M125" s="1"/>
  <c r="M58"/>
  <c r="M121" s="1"/>
  <c r="M67"/>
  <c r="M130" s="1"/>
  <c r="M63"/>
  <c r="M126" s="1"/>
  <c r="M59"/>
  <c r="M122" s="1"/>
  <c r="O66"/>
  <c r="O129" s="1"/>
  <c r="O62"/>
  <c r="O125" s="1"/>
  <c r="O58"/>
  <c r="O121" s="1"/>
  <c r="O67"/>
  <c r="O130" s="1"/>
  <c r="O63"/>
  <c r="O126" s="1"/>
  <c r="O59"/>
  <c r="O122" s="1"/>
  <c r="Q66"/>
  <c r="Q129" s="1"/>
  <c r="Q62"/>
  <c r="Q125" s="1"/>
  <c r="Q58"/>
  <c r="Q121" s="1"/>
  <c r="Q67"/>
  <c r="Q130" s="1"/>
  <c r="Q63"/>
  <c r="Q126" s="1"/>
  <c r="Q59"/>
  <c r="Q122" s="1"/>
  <c r="S66"/>
  <c r="S129" s="1"/>
  <c r="S62"/>
  <c r="S125" s="1"/>
  <c r="S58"/>
  <c r="S121" s="1"/>
  <c r="S67"/>
  <c r="S130" s="1"/>
  <c r="S63"/>
  <c r="S126" s="1"/>
  <c r="S59"/>
  <c r="S122" s="1"/>
  <c r="U66"/>
  <c r="U129" s="1"/>
  <c r="U62"/>
  <c r="U125" s="1"/>
  <c r="U58"/>
  <c r="U121" s="1"/>
  <c r="U67"/>
  <c r="U130" s="1"/>
  <c r="U63"/>
  <c r="U126" s="1"/>
  <c r="U59"/>
  <c r="U122" s="1"/>
  <c r="W66"/>
  <c r="W129" s="1"/>
  <c r="W62"/>
  <c r="W125" s="1"/>
  <c r="W58"/>
  <c r="W121" s="1"/>
  <c r="W67"/>
  <c r="W130" s="1"/>
  <c r="W63"/>
  <c r="W126" s="1"/>
  <c r="W59"/>
  <c r="W122" s="1"/>
  <c r="Y66"/>
  <c r="Y129" s="1"/>
  <c r="Y62"/>
  <c r="Y125" s="1"/>
  <c r="Y58"/>
  <c r="Y121" s="1"/>
  <c r="Y67"/>
  <c r="Y130" s="1"/>
  <c r="Y63"/>
  <c r="Y126" s="1"/>
  <c r="Y59"/>
  <c r="Y122" s="1"/>
  <c r="AA66"/>
  <c r="AA129" s="1"/>
  <c r="AA62"/>
  <c r="AA125" s="1"/>
  <c r="AA58"/>
  <c r="AA121" s="1"/>
  <c r="AA67"/>
  <c r="AA130" s="1"/>
  <c r="AA63"/>
  <c r="AA126" s="1"/>
  <c r="AA59"/>
  <c r="AA122" s="1"/>
  <c r="AC66"/>
  <c r="AC129" s="1"/>
  <c r="AC62"/>
  <c r="AC125" s="1"/>
  <c r="AC58"/>
  <c r="AC121" s="1"/>
  <c r="AC67"/>
  <c r="AC130" s="1"/>
  <c r="AC63"/>
  <c r="AC126" s="1"/>
  <c r="AC59"/>
  <c r="AC122" s="1"/>
  <c r="AE66"/>
  <c r="AE129" s="1"/>
  <c r="AE62"/>
  <c r="AE125" s="1"/>
  <c r="AE58"/>
  <c r="AE121" s="1"/>
  <c r="AE67"/>
  <c r="AE130" s="1"/>
  <c r="AE63"/>
  <c r="AE126" s="1"/>
  <c r="AE59"/>
  <c r="AE122" s="1"/>
  <c r="AG66"/>
  <c r="AG129" s="1"/>
  <c r="AG62"/>
  <c r="AG125" s="1"/>
  <c r="AG58"/>
  <c r="AG121" s="1"/>
  <c r="AG67"/>
  <c r="AG130" s="1"/>
  <c r="AG63"/>
  <c r="AG126" s="1"/>
  <c r="AG59"/>
  <c r="AG122" s="1"/>
  <c r="AI66"/>
  <c r="AI129" s="1"/>
  <c r="AI62"/>
  <c r="AI125" s="1"/>
  <c r="AI58"/>
  <c r="AI121" s="1"/>
  <c r="AI67"/>
  <c r="AI130" s="1"/>
  <c r="AI63"/>
  <c r="AI126" s="1"/>
  <c r="AI59"/>
  <c r="AI122" s="1"/>
  <c r="AI55"/>
  <c r="AI118" s="1"/>
  <c r="L7"/>
  <c r="L70" s="1"/>
  <c r="P7"/>
  <c r="P70" s="1"/>
  <c r="T7"/>
  <c r="T70" s="1"/>
  <c r="X7"/>
  <c r="X70" s="1"/>
  <c r="AB7"/>
  <c r="AB70" s="1"/>
  <c r="AF7"/>
  <c r="AF70" s="1"/>
  <c r="AJ7"/>
  <c r="AJ70" s="1"/>
  <c r="M8"/>
  <c r="M71" s="1"/>
  <c r="Q8"/>
  <c r="Q71" s="1"/>
  <c r="U8"/>
  <c r="U71" s="1"/>
  <c r="Y8"/>
  <c r="Y71" s="1"/>
  <c r="AC8"/>
  <c r="AC71" s="1"/>
  <c r="AG8"/>
  <c r="AG71" s="1"/>
  <c r="J9"/>
  <c r="J72" s="1"/>
  <c r="N9"/>
  <c r="N72" s="1"/>
  <c r="R9"/>
  <c r="R72" s="1"/>
  <c r="V9"/>
  <c r="V72" s="1"/>
  <c r="Z9"/>
  <c r="Z72" s="1"/>
  <c r="AD9"/>
  <c r="AD72" s="1"/>
  <c r="AH9"/>
  <c r="AH72" s="1"/>
  <c r="K10"/>
  <c r="K73" s="1"/>
  <c r="O10"/>
  <c r="O73" s="1"/>
  <c r="S10"/>
  <c r="S73" s="1"/>
  <c r="W10"/>
  <c r="W73" s="1"/>
  <c r="AA10"/>
  <c r="AA73" s="1"/>
  <c r="AE10"/>
  <c r="AE73" s="1"/>
  <c r="AI10"/>
  <c r="AI73" s="1"/>
  <c r="L11"/>
  <c r="L74" s="1"/>
  <c r="P11"/>
  <c r="P74" s="1"/>
  <c r="T11"/>
  <c r="T74" s="1"/>
  <c r="X11"/>
  <c r="X74" s="1"/>
  <c r="AB11"/>
  <c r="AB74" s="1"/>
  <c r="AF11"/>
  <c r="AF74" s="1"/>
  <c r="AJ11"/>
  <c r="AJ74" s="1"/>
  <c r="M12"/>
  <c r="M75" s="1"/>
  <c r="Q12"/>
  <c r="Q75" s="1"/>
  <c r="U12"/>
  <c r="U75" s="1"/>
  <c r="Y12"/>
  <c r="Y75" s="1"/>
  <c r="AC12"/>
  <c r="AC75" s="1"/>
  <c r="AG12"/>
  <c r="AG75" s="1"/>
  <c r="J13"/>
  <c r="J76" s="1"/>
  <c r="N13"/>
  <c r="N76" s="1"/>
  <c r="R13"/>
  <c r="R76" s="1"/>
  <c r="V13"/>
  <c r="V76" s="1"/>
  <c r="Z13"/>
  <c r="Z76" s="1"/>
  <c r="AD13"/>
  <c r="AD76" s="1"/>
  <c r="AH13"/>
  <c r="AH76" s="1"/>
  <c r="K14"/>
  <c r="K77" s="1"/>
  <c r="O14"/>
  <c r="O77" s="1"/>
  <c r="S14"/>
  <c r="S77" s="1"/>
  <c r="W14"/>
  <c r="W77" s="1"/>
  <c r="AA14"/>
  <c r="AA77" s="1"/>
  <c r="AE14"/>
  <c r="AE77" s="1"/>
  <c r="AI14"/>
  <c r="AI77" s="1"/>
  <c r="L15"/>
  <c r="L78" s="1"/>
  <c r="P15"/>
  <c r="P78" s="1"/>
  <c r="T15"/>
  <c r="T78" s="1"/>
  <c r="X15"/>
  <c r="X78" s="1"/>
  <c r="AB15"/>
  <c r="AB78" s="1"/>
  <c r="AF15"/>
  <c r="AF78" s="1"/>
  <c r="AJ15"/>
  <c r="AJ78" s="1"/>
  <c r="M16"/>
  <c r="M79" s="1"/>
  <c r="Q16"/>
  <c r="Q79" s="1"/>
  <c r="U16"/>
  <c r="U79" s="1"/>
  <c r="Y16"/>
  <c r="Y79" s="1"/>
  <c r="AC16"/>
  <c r="AC79" s="1"/>
  <c r="AG16"/>
  <c r="AG79" s="1"/>
  <c r="J17"/>
  <c r="J80" s="1"/>
  <c r="N17"/>
  <c r="N80" s="1"/>
  <c r="R17"/>
  <c r="R80" s="1"/>
  <c r="V17"/>
  <c r="V80" s="1"/>
  <c r="Z17"/>
  <c r="Z80" s="1"/>
  <c r="AD17"/>
  <c r="AD80" s="1"/>
  <c r="AH17"/>
  <c r="AH80" s="1"/>
  <c r="K18"/>
  <c r="K81" s="1"/>
  <c r="O18"/>
  <c r="O81" s="1"/>
  <c r="S18"/>
  <c r="S81" s="1"/>
  <c r="W18"/>
  <c r="W81" s="1"/>
  <c r="AA18"/>
  <c r="AA81" s="1"/>
  <c r="AE18"/>
  <c r="AE81" s="1"/>
  <c r="AI18"/>
  <c r="AI81" s="1"/>
  <c r="L19"/>
  <c r="L82" s="1"/>
  <c r="P19"/>
  <c r="P82" s="1"/>
  <c r="T19"/>
  <c r="T82" s="1"/>
  <c r="X19"/>
  <c r="X82" s="1"/>
  <c r="AB19"/>
  <c r="AB82" s="1"/>
  <c r="AF19"/>
  <c r="AF82" s="1"/>
  <c r="AJ19"/>
  <c r="AJ82" s="1"/>
  <c r="M20"/>
  <c r="M83" s="1"/>
  <c r="Q20"/>
  <c r="Q83" s="1"/>
  <c r="U20"/>
  <c r="U83" s="1"/>
  <c r="Y20"/>
  <c r="Y83" s="1"/>
  <c r="AC20"/>
  <c r="AC83" s="1"/>
  <c r="AG20"/>
  <c r="AG83" s="1"/>
  <c r="J21"/>
  <c r="J84" s="1"/>
  <c r="N21"/>
  <c r="N84" s="1"/>
  <c r="R21"/>
  <c r="R84" s="1"/>
  <c r="V21"/>
  <c r="V84" s="1"/>
  <c r="Z21"/>
  <c r="Z84" s="1"/>
  <c r="AD21"/>
  <c r="AD84" s="1"/>
  <c r="AH21"/>
  <c r="AH84" s="1"/>
  <c r="K22"/>
  <c r="K85" s="1"/>
  <c r="O22"/>
  <c r="O85" s="1"/>
  <c r="S22"/>
  <c r="S85" s="1"/>
  <c r="W22"/>
  <c r="W85" s="1"/>
  <c r="AA22"/>
  <c r="AA85" s="1"/>
  <c r="AE22"/>
  <c r="AE85" s="1"/>
  <c r="AI22"/>
  <c r="AI85" s="1"/>
  <c r="L23"/>
  <c r="L86" s="1"/>
  <c r="P23"/>
  <c r="P86" s="1"/>
  <c r="T23"/>
  <c r="T86" s="1"/>
  <c r="X23"/>
  <c r="X86" s="1"/>
  <c r="AB23"/>
  <c r="AB86" s="1"/>
  <c r="AF23"/>
  <c r="AF86" s="1"/>
  <c r="AJ23"/>
  <c r="AJ86" s="1"/>
  <c r="M24"/>
  <c r="M87" s="1"/>
  <c r="Q24"/>
  <c r="Q87" s="1"/>
  <c r="U24"/>
  <c r="U87" s="1"/>
  <c r="Y24"/>
  <c r="Y87" s="1"/>
  <c r="AC24"/>
  <c r="AC87" s="1"/>
  <c r="AG24"/>
  <c r="AG87" s="1"/>
  <c r="J25"/>
  <c r="J88" s="1"/>
  <c r="N25"/>
  <c r="N88" s="1"/>
  <c r="R25"/>
  <c r="R88" s="1"/>
  <c r="V25"/>
  <c r="V88" s="1"/>
  <c r="Z25"/>
  <c r="Z88" s="1"/>
  <c r="AD25"/>
  <c r="AD88" s="1"/>
  <c r="AH25"/>
  <c r="AH88" s="1"/>
  <c r="K26"/>
  <c r="K89" s="1"/>
  <c r="O26"/>
  <c r="O89" s="1"/>
  <c r="S26"/>
  <c r="S89" s="1"/>
  <c r="W26"/>
  <c r="W89" s="1"/>
  <c r="AA26"/>
  <c r="AA89" s="1"/>
  <c r="AE26"/>
  <c r="AE89" s="1"/>
  <c r="AI26"/>
  <c r="AI89" s="1"/>
  <c r="L27"/>
  <c r="L90" s="1"/>
  <c r="P27"/>
  <c r="P90" s="1"/>
  <c r="T27"/>
  <c r="T90" s="1"/>
  <c r="X27"/>
  <c r="X90" s="1"/>
  <c r="AB27"/>
  <c r="AB90" s="1"/>
  <c r="AF27"/>
  <c r="AF90" s="1"/>
  <c r="AJ27"/>
  <c r="AJ90" s="1"/>
  <c r="M28"/>
  <c r="M91" s="1"/>
  <c r="Q28"/>
  <c r="Q91" s="1"/>
  <c r="U28"/>
  <c r="U91" s="1"/>
  <c r="Y28"/>
  <c r="Y91" s="1"/>
  <c r="AC28"/>
  <c r="AC91" s="1"/>
  <c r="AG28"/>
  <c r="AG91" s="1"/>
  <c r="M55" i="56"/>
  <c r="M118" s="1"/>
  <c r="Q53"/>
  <c r="Q116" s="1"/>
  <c r="U53"/>
  <c r="U116" s="1"/>
  <c r="Y53"/>
  <c r="Y116" s="1"/>
  <c r="AC53"/>
  <c r="AC116" s="1"/>
  <c r="AG53"/>
  <c r="AG116" s="1"/>
  <c r="K55"/>
  <c r="K118" s="1"/>
  <c r="O53"/>
  <c r="O116" s="1"/>
  <c r="S53"/>
  <c r="S116" s="1"/>
  <c r="W53"/>
  <c r="W116" s="1"/>
  <c r="AA53"/>
  <c r="AA116" s="1"/>
  <c r="AE53"/>
  <c r="AE116" s="1"/>
  <c r="AI53"/>
  <c r="AI116" s="1"/>
  <c r="J67"/>
  <c r="J130" s="1"/>
  <c r="J63"/>
  <c r="J126" s="1"/>
  <c r="J59"/>
  <c r="J122" s="1"/>
  <c r="J66"/>
  <c r="J129" s="1"/>
  <c r="J62"/>
  <c r="J125" s="1"/>
  <c r="J58"/>
  <c r="J121" s="1"/>
  <c r="L67"/>
  <c r="L130" s="1"/>
  <c r="L63"/>
  <c r="L126" s="1"/>
  <c r="L59"/>
  <c r="L122" s="1"/>
  <c r="L66"/>
  <c r="L129" s="1"/>
  <c r="L62"/>
  <c r="L125" s="1"/>
  <c r="L58"/>
  <c r="L121" s="1"/>
  <c r="N67"/>
  <c r="N130" s="1"/>
  <c r="N63"/>
  <c r="N126" s="1"/>
  <c r="N59"/>
  <c r="N122" s="1"/>
  <c r="N55"/>
  <c r="N118" s="1"/>
  <c r="N64"/>
  <c r="N127" s="1"/>
  <c r="N60"/>
  <c r="N123" s="1"/>
  <c r="N56"/>
  <c r="N119" s="1"/>
  <c r="P65"/>
  <c r="P128" s="1"/>
  <c r="P61"/>
  <c r="P124" s="1"/>
  <c r="P57"/>
  <c r="P120" s="1"/>
  <c r="P66"/>
  <c r="P129" s="1"/>
  <c r="P62"/>
  <c r="P125" s="1"/>
  <c r="P58"/>
  <c r="P121" s="1"/>
  <c r="R67"/>
  <c r="R130" s="1"/>
  <c r="R63"/>
  <c r="R126" s="1"/>
  <c r="R59"/>
  <c r="R122" s="1"/>
  <c r="R55"/>
  <c r="R118" s="1"/>
  <c r="R64"/>
  <c r="R127" s="1"/>
  <c r="R60"/>
  <c r="R123" s="1"/>
  <c r="R56"/>
  <c r="R119" s="1"/>
  <c r="T65"/>
  <c r="T128" s="1"/>
  <c r="T61"/>
  <c r="T124" s="1"/>
  <c r="T57"/>
  <c r="T120" s="1"/>
  <c r="T66"/>
  <c r="T129" s="1"/>
  <c r="T62"/>
  <c r="T125" s="1"/>
  <c r="T58"/>
  <c r="T121" s="1"/>
  <c r="V67"/>
  <c r="V130" s="1"/>
  <c r="V63"/>
  <c r="V126" s="1"/>
  <c r="V59"/>
  <c r="V122" s="1"/>
  <c r="V55"/>
  <c r="V118" s="1"/>
  <c r="V64"/>
  <c r="V127" s="1"/>
  <c r="V60"/>
  <c r="V123" s="1"/>
  <c r="V56"/>
  <c r="V119" s="1"/>
  <c r="X65"/>
  <c r="X128" s="1"/>
  <c r="X61"/>
  <c r="X124" s="1"/>
  <c r="X57"/>
  <c r="X120" s="1"/>
  <c r="X66"/>
  <c r="X129" s="1"/>
  <c r="X62"/>
  <c r="X125" s="1"/>
  <c r="X58"/>
  <c r="X121" s="1"/>
  <c r="Z67"/>
  <c r="Z130" s="1"/>
  <c r="Z63"/>
  <c r="Z126" s="1"/>
  <c r="Z59"/>
  <c r="Z122" s="1"/>
  <c r="Z55"/>
  <c r="Z118" s="1"/>
  <c r="Z64"/>
  <c r="Z127" s="1"/>
  <c r="Z60"/>
  <c r="Z123" s="1"/>
  <c r="Z56"/>
  <c r="Z119" s="1"/>
  <c r="AB65"/>
  <c r="AB128" s="1"/>
  <c r="AB61"/>
  <c r="AB124" s="1"/>
  <c r="AB57"/>
  <c r="AB120" s="1"/>
  <c r="AB66"/>
  <c r="AB129" s="1"/>
  <c r="AB62"/>
  <c r="AB125" s="1"/>
  <c r="AB58"/>
  <c r="AB121" s="1"/>
  <c r="AD67"/>
  <c r="AD130" s="1"/>
  <c r="AD63"/>
  <c r="AD126" s="1"/>
  <c r="AD59"/>
  <c r="AD122" s="1"/>
  <c r="AD55"/>
  <c r="AD118" s="1"/>
  <c r="AD64"/>
  <c r="AD127" s="1"/>
  <c r="AD60"/>
  <c r="AD123" s="1"/>
  <c r="AD56"/>
  <c r="AD119" s="1"/>
  <c r="AF65"/>
  <c r="AF128" s="1"/>
  <c r="AF61"/>
  <c r="AF124" s="1"/>
  <c r="AF57"/>
  <c r="AF120" s="1"/>
  <c r="AF66"/>
  <c r="AF129" s="1"/>
  <c r="AF62"/>
  <c r="AF125" s="1"/>
  <c r="AF58"/>
  <c r="AF121" s="1"/>
  <c r="AH67"/>
  <c r="AH130" s="1"/>
  <c r="AH63"/>
  <c r="AH126" s="1"/>
  <c r="AH59"/>
  <c r="AH122" s="1"/>
  <c r="AH55"/>
  <c r="AH118" s="1"/>
  <c r="AH64"/>
  <c r="AH127" s="1"/>
  <c r="AH60"/>
  <c r="AH123" s="1"/>
  <c r="AH56"/>
  <c r="AH119" s="1"/>
  <c r="AJ65"/>
  <c r="AJ128" s="1"/>
  <c r="AJ61"/>
  <c r="AJ124" s="1"/>
  <c r="AJ57"/>
  <c r="AJ120" s="1"/>
  <c r="AJ66"/>
  <c r="AJ129" s="1"/>
  <c r="AJ62"/>
  <c r="AJ125" s="1"/>
  <c r="AJ58"/>
  <c r="AJ121" s="1"/>
  <c r="K7"/>
  <c r="K70" s="1"/>
  <c r="O7"/>
  <c r="O70" s="1"/>
  <c r="S7"/>
  <c r="S70" s="1"/>
  <c r="W7"/>
  <c r="W70" s="1"/>
  <c r="AA7"/>
  <c r="AA70" s="1"/>
  <c r="AE7"/>
  <c r="AE70" s="1"/>
  <c r="AI7"/>
  <c r="AI70" s="1"/>
  <c r="L8"/>
  <c r="L71" s="1"/>
  <c r="P8"/>
  <c r="P71" s="1"/>
  <c r="T8"/>
  <c r="T71" s="1"/>
  <c r="X8"/>
  <c r="X71" s="1"/>
  <c r="AB8"/>
  <c r="AB71" s="1"/>
  <c r="AF8"/>
  <c r="AF71" s="1"/>
  <c r="AJ8"/>
  <c r="AJ71" s="1"/>
  <c r="M9"/>
  <c r="M72" s="1"/>
  <c r="Q9"/>
  <c r="Q72" s="1"/>
  <c r="U9"/>
  <c r="U72" s="1"/>
  <c r="Y9"/>
  <c r="Y72" s="1"/>
  <c r="AC9"/>
  <c r="AC72" s="1"/>
  <c r="AG9"/>
  <c r="AG72" s="1"/>
  <c r="J10"/>
  <c r="J73" s="1"/>
  <c r="N10"/>
  <c r="N73" s="1"/>
  <c r="R10"/>
  <c r="R73" s="1"/>
  <c r="V10"/>
  <c r="V73" s="1"/>
  <c r="Z10"/>
  <c r="Z73" s="1"/>
  <c r="AD10"/>
  <c r="AD73" s="1"/>
  <c r="AH10"/>
  <c r="AH73" s="1"/>
  <c r="K11"/>
  <c r="K74" s="1"/>
  <c r="O11"/>
  <c r="O74" s="1"/>
  <c r="S11"/>
  <c r="S74" s="1"/>
  <c r="W11"/>
  <c r="W74" s="1"/>
  <c r="AA11"/>
  <c r="AA74" s="1"/>
  <c r="AE11"/>
  <c r="AE74" s="1"/>
  <c r="AI11"/>
  <c r="AI74" s="1"/>
  <c r="L12"/>
  <c r="L75" s="1"/>
  <c r="P12"/>
  <c r="P75" s="1"/>
  <c r="T12"/>
  <c r="T75" s="1"/>
  <c r="X12"/>
  <c r="X75" s="1"/>
  <c r="AB12"/>
  <c r="AB75" s="1"/>
  <c r="AF12"/>
  <c r="AF75" s="1"/>
  <c r="AJ12"/>
  <c r="AJ75" s="1"/>
  <c r="M13"/>
  <c r="M76" s="1"/>
  <c r="Q13"/>
  <c r="Q76" s="1"/>
  <c r="U13"/>
  <c r="U76" s="1"/>
  <c r="Y13"/>
  <c r="Y76" s="1"/>
  <c r="AC13"/>
  <c r="AC76" s="1"/>
  <c r="AG13"/>
  <c r="AG76" s="1"/>
  <c r="J14"/>
  <c r="J77" s="1"/>
  <c r="N14"/>
  <c r="N77" s="1"/>
  <c r="R14"/>
  <c r="R77" s="1"/>
  <c r="V14"/>
  <c r="V77" s="1"/>
  <c r="Z14"/>
  <c r="Z77" s="1"/>
  <c r="AD14"/>
  <c r="AD77" s="1"/>
  <c r="AH14"/>
  <c r="AH77" s="1"/>
  <c r="K15"/>
  <c r="K78" s="1"/>
  <c r="O15"/>
  <c r="O78" s="1"/>
  <c r="S15"/>
  <c r="S78" s="1"/>
  <c r="W15"/>
  <c r="W78" s="1"/>
  <c r="AA15"/>
  <c r="AA78" s="1"/>
  <c r="AE15"/>
  <c r="AE78" s="1"/>
  <c r="AI15"/>
  <c r="AI78" s="1"/>
  <c r="L16"/>
  <c r="L79" s="1"/>
  <c r="P16"/>
  <c r="P79" s="1"/>
  <c r="T16"/>
  <c r="T79" s="1"/>
  <c r="X16"/>
  <c r="X79" s="1"/>
  <c r="AB16"/>
  <c r="AB79" s="1"/>
  <c r="AF16"/>
  <c r="AF79" s="1"/>
  <c r="AJ16"/>
  <c r="AJ79" s="1"/>
  <c r="M17"/>
  <c r="M80" s="1"/>
  <c r="Q17"/>
  <c r="Q80" s="1"/>
  <c r="U17"/>
  <c r="U80" s="1"/>
  <c r="Y17"/>
  <c r="Y80" s="1"/>
  <c r="AC17"/>
  <c r="AC80" s="1"/>
  <c r="AG17"/>
  <c r="AG80" s="1"/>
  <c r="J18"/>
  <c r="J81" s="1"/>
  <c r="N18"/>
  <c r="N81" s="1"/>
  <c r="R18"/>
  <c r="R81" s="1"/>
  <c r="V18"/>
  <c r="V81" s="1"/>
  <c r="Z18"/>
  <c r="Z81" s="1"/>
  <c r="AD18"/>
  <c r="AD81" s="1"/>
  <c r="AH18"/>
  <c r="AH81" s="1"/>
  <c r="K19"/>
  <c r="K82" s="1"/>
  <c r="O19"/>
  <c r="O82" s="1"/>
  <c r="S19"/>
  <c r="S82" s="1"/>
  <c r="W19"/>
  <c r="W82" s="1"/>
  <c r="AA19"/>
  <c r="AA82" s="1"/>
  <c r="AE19"/>
  <c r="AE82" s="1"/>
  <c r="AI19"/>
  <c r="AI82" s="1"/>
  <c r="L20"/>
  <c r="L83" s="1"/>
  <c r="P20"/>
  <c r="P83" s="1"/>
  <c r="T20"/>
  <c r="T83" s="1"/>
  <c r="X20"/>
  <c r="X83" s="1"/>
  <c r="AB20"/>
  <c r="AB83" s="1"/>
  <c r="AF20"/>
  <c r="AF83" s="1"/>
  <c r="AJ20"/>
  <c r="AJ83" s="1"/>
  <c r="M21"/>
  <c r="M84" s="1"/>
  <c r="Q21"/>
  <c r="Q84" s="1"/>
  <c r="U21"/>
  <c r="U84" s="1"/>
  <c r="Y21"/>
  <c r="Y84" s="1"/>
  <c r="AC21"/>
  <c r="AC84" s="1"/>
  <c r="AG21"/>
  <c r="AG84" s="1"/>
  <c r="J22"/>
  <c r="J85" s="1"/>
  <c r="N22"/>
  <c r="N85" s="1"/>
  <c r="R22"/>
  <c r="R85" s="1"/>
  <c r="V22"/>
  <c r="V85" s="1"/>
  <c r="Z22"/>
  <c r="Z85" s="1"/>
  <c r="AD22"/>
  <c r="AD85" s="1"/>
  <c r="AH22"/>
  <c r="AH85" s="1"/>
  <c r="K23"/>
  <c r="K86" s="1"/>
  <c r="O23"/>
  <c r="O86" s="1"/>
  <c r="S23"/>
  <c r="S86" s="1"/>
  <c r="W23"/>
  <c r="W86" s="1"/>
  <c r="AA23"/>
  <c r="AA86" s="1"/>
  <c r="AE23"/>
  <c r="AE86" s="1"/>
  <c r="AI23"/>
  <c r="AI86" s="1"/>
  <c r="L24"/>
  <c r="L87" s="1"/>
  <c r="P24"/>
  <c r="P87" s="1"/>
  <c r="T24"/>
  <c r="T87" s="1"/>
  <c r="X24"/>
  <c r="X87" s="1"/>
  <c r="AB24"/>
  <c r="AB87" s="1"/>
  <c r="AF24"/>
  <c r="AF87" s="1"/>
  <c r="AJ24"/>
  <c r="AJ87" s="1"/>
  <c r="M25"/>
  <c r="M88" s="1"/>
  <c r="Q25"/>
  <c r="Q88" s="1"/>
  <c r="U25"/>
  <c r="U88" s="1"/>
  <c r="Y25"/>
  <c r="Y88" s="1"/>
  <c r="AC25"/>
  <c r="AC88" s="1"/>
  <c r="AG25"/>
  <c r="AG88" s="1"/>
  <c r="J26"/>
  <c r="J89" s="1"/>
  <c r="N26"/>
  <c r="N89" s="1"/>
  <c r="R26"/>
  <c r="R89" s="1"/>
  <c r="V26"/>
  <c r="V89" s="1"/>
  <c r="Z26"/>
  <c r="Z89" s="1"/>
  <c r="AD26"/>
  <c r="AD89" s="1"/>
  <c r="AH26"/>
  <c r="AH89" s="1"/>
  <c r="K27"/>
  <c r="K90" s="1"/>
  <c r="O27"/>
  <c r="O90" s="1"/>
  <c r="S27"/>
  <c r="S90" s="1"/>
  <c r="W27"/>
  <c r="W90" s="1"/>
  <c r="AA27"/>
  <c r="AA90" s="1"/>
  <c r="AE27"/>
  <c r="AE90" s="1"/>
  <c r="AI27"/>
  <c r="AI90" s="1"/>
  <c r="L28"/>
  <c r="L91" s="1"/>
  <c r="P28"/>
  <c r="P91" s="1"/>
  <c r="T28"/>
  <c r="T91" s="1"/>
  <c r="X28"/>
  <c r="X91" s="1"/>
  <c r="AB28"/>
  <c r="AB91" s="1"/>
  <c r="AF28"/>
  <c r="AF91" s="1"/>
  <c r="AJ28"/>
  <c r="AJ91" s="1"/>
  <c r="M29"/>
  <c r="M92" s="1"/>
  <c r="Q29"/>
  <c r="Q92" s="1"/>
  <c r="U29"/>
  <c r="U92" s="1"/>
  <c r="Y29"/>
  <c r="Y92" s="1"/>
  <c r="AC29"/>
  <c r="AC92" s="1"/>
  <c r="AG29"/>
  <c r="AG92" s="1"/>
  <c r="J30"/>
  <c r="J93" s="1"/>
  <c r="N30"/>
  <c r="N93" s="1"/>
  <c r="R30"/>
  <c r="R93" s="1"/>
  <c r="V30"/>
  <c r="V93" s="1"/>
  <c r="Z30"/>
  <c r="Z93" s="1"/>
  <c r="AD30"/>
  <c r="AD93" s="1"/>
  <c r="AH30"/>
  <c r="AH93" s="1"/>
  <c r="K31"/>
  <c r="K94" s="1"/>
  <c r="O31"/>
  <c r="O94" s="1"/>
  <c r="S31"/>
  <c r="S94" s="1"/>
  <c r="W31"/>
  <c r="W94" s="1"/>
  <c r="AA31"/>
  <c r="AA94" s="1"/>
  <c r="AE31"/>
  <c r="AE94" s="1"/>
  <c r="AI31"/>
  <c r="AI94" s="1"/>
  <c r="L32"/>
  <c r="L95" s="1"/>
  <c r="P32"/>
  <c r="P95" s="1"/>
  <c r="T32"/>
  <c r="T95" s="1"/>
  <c r="X32"/>
  <c r="X95" s="1"/>
  <c r="AB32"/>
  <c r="AB95" s="1"/>
  <c r="AF32"/>
  <c r="AF95" s="1"/>
  <c r="AJ32"/>
  <c r="AJ95" s="1"/>
  <c r="M33"/>
  <c r="M96" s="1"/>
  <c r="Q33"/>
  <c r="Q96" s="1"/>
  <c r="U33"/>
  <c r="U96" s="1"/>
  <c r="Y33"/>
  <c r="Y96" s="1"/>
  <c r="AC33"/>
  <c r="AC96" s="1"/>
  <c r="AG33"/>
  <c r="AG96" s="1"/>
  <c r="J34"/>
  <c r="J97" s="1"/>
  <c r="N34"/>
  <c r="N97" s="1"/>
  <c r="R34"/>
  <c r="R97" s="1"/>
  <c r="V34"/>
  <c r="V97" s="1"/>
  <c r="Z34"/>
  <c r="Z97" s="1"/>
  <c r="AD34"/>
  <c r="AD97" s="1"/>
  <c r="AH34"/>
  <c r="AH97" s="1"/>
  <c r="K35"/>
  <c r="K98" s="1"/>
  <c r="O35"/>
  <c r="O98" s="1"/>
  <c r="S35"/>
  <c r="S98" s="1"/>
  <c r="W35"/>
  <c r="W98" s="1"/>
  <c r="AA35"/>
  <c r="AA98" s="1"/>
  <c r="AE35"/>
  <c r="AE98" s="1"/>
  <c r="AI35"/>
  <c r="AI98" s="1"/>
  <c r="L36"/>
  <c r="L99" s="1"/>
  <c r="P36"/>
  <c r="P99" s="1"/>
  <c r="T36"/>
  <c r="T99" s="1"/>
  <c r="X36"/>
  <c r="X99" s="1"/>
  <c r="AB36"/>
  <c r="AB99" s="1"/>
  <c r="AF36"/>
  <c r="AF99" s="1"/>
  <c r="AJ36"/>
  <c r="AJ99" s="1"/>
  <c r="M37"/>
  <c r="M100" s="1"/>
  <c r="Q37"/>
  <c r="Q100" s="1"/>
  <c r="U37"/>
  <c r="U100" s="1"/>
  <c r="Y37"/>
  <c r="Y100" s="1"/>
  <c r="AC37"/>
  <c r="AC100" s="1"/>
  <c r="AG37"/>
  <c r="AG100" s="1"/>
  <c r="J38"/>
  <c r="J101" s="1"/>
  <c r="N38"/>
  <c r="N101" s="1"/>
  <c r="R38"/>
  <c r="R101" s="1"/>
  <c r="V38"/>
  <c r="V101" s="1"/>
  <c r="Z38"/>
  <c r="Z101" s="1"/>
  <c r="AD38"/>
  <c r="AD101" s="1"/>
  <c r="AH38"/>
  <c r="AH101" s="1"/>
  <c r="K39"/>
  <c r="K102" s="1"/>
  <c r="O39"/>
  <c r="O102" s="1"/>
  <c r="S39"/>
  <c r="S102" s="1"/>
  <c r="W39"/>
  <c r="W102" s="1"/>
  <c r="AA39"/>
  <c r="AA102" s="1"/>
  <c r="AE39"/>
  <c r="AE102" s="1"/>
  <c r="AI39"/>
  <c r="AI102" s="1"/>
  <c r="L40"/>
  <c r="L103" s="1"/>
  <c r="P40"/>
  <c r="P103" s="1"/>
  <c r="T40"/>
  <c r="T103" s="1"/>
  <c r="X40"/>
  <c r="X103" s="1"/>
  <c r="AB40"/>
  <c r="AB103" s="1"/>
  <c r="AF40"/>
  <c r="AF103" s="1"/>
  <c r="AJ40"/>
  <c r="AJ103" s="1"/>
  <c r="M41"/>
  <c r="M104" s="1"/>
  <c r="Q41"/>
  <c r="Q104" s="1"/>
  <c r="U41"/>
  <c r="U104" s="1"/>
  <c r="Y41"/>
  <c r="Y104" s="1"/>
  <c r="AC41"/>
  <c r="AC104" s="1"/>
  <c r="AG41"/>
  <c r="AG104" s="1"/>
  <c r="J42"/>
  <c r="J105" s="1"/>
  <c r="N42"/>
  <c r="N105" s="1"/>
  <c r="R42"/>
  <c r="R105" s="1"/>
  <c r="V42"/>
  <c r="V105" s="1"/>
  <c r="Z42"/>
  <c r="Z105" s="1"/>
  <c r="AD42"/>
  <c r="AD105" s="1"/>
  <c r="AH42"/>
  <c r="AH105" s="1"/>
  <c r="K43"/>
  <c r="K106" s="1"/>
  <c r="O43"/>
  <c r="O106" s="1"/>
  <c r="S43"/>
  <c r="S106" s="1"/>
  <c r="W43"/>
  <c r="W106" s="1"/>
  <c r="AA43"/>
  <c r="AA106" s="1"/>
  <c r="AE43"/>
  <c r="AE106" s="1"/>
  <c r="AI43"/>
  <c r="AI106" s="1"/>
  <c r="L44"/>
  <c r="L107" s="1"/>
  <c r="P44"/>
  <c r="P107" s="1"/>
  <c r="T44"/>
  <c r="T107" s="1"/>
  <c r="X44"/>
  <c r="X107" s="1"/>
  <c r="AB44"/>
  <c r="AB107" s="1"/>
  <c r="AF44"/>
  <c r="AF107" s="1"/>
  <c r="AJ44"/>
  <c r="AJ107" s="1"/>
  <c r="M45"/>
  <c r="M108" s="1"/>
  <c r="Q45"/>
  <c r="Q108" s="1"/>
  <c r="U45"/>
  <c r="U108" s="1"/>
  <c r="Y45"/>
  <c r="Y108" s="1"/>
  <c r="AC45"/>
  <c r="AC108" s="1"/>
  <c r="AG45"/>
  <c r="AG108" s="1"/>
  <c r="J46"/>
  <c r="J109" s="1"/>
  <c r="N46"/>
  <c r="N109" s="1"/>
  <c r="R46"/>
  <c r="R109" s="1"/>
  <c r="V46"/>
  <c r="V109" s="1"/>
  <c r="Z46"/>
  <c r="Z109" s="1"/>
  <c r="AD46"/>
  <c r="AD109" s="1"/>
  <c r="AH46"/>
  <c r="AH109" s="1"/>
  <c r="K47"/>
  <c r="K110" s="1"/>
  <c r="O47"/>
  <c r="O110" s="1"/>
  <c r="S47"/>
  <c r="S110" s="1"/>
  <c r="W47"/>
  <c r="W110" s="1"/>
  <c r="AA47"/>
  <c r="AA110" s="1"/>
  <c r="AE47"/>
  <c r="AE110" s="1"/>
  <c r="AI47"/>
  <c r="AI110" s="1"/>
  <c r="L48"/>
  <c r="L111" s="1"/>
  <c r="P48"/>
  <c r="P111" s="1"/>
  <c r="T48"/>
  <c r="T111" s="1"/>
  <c r="X48"/>
  <c r="X111" s="1"/>
  <c r="AB48"/>
  <c r="AB111" s="1"/>
  <c r="AF48"/>
  <c r="AF111" s="1"/>
  <c r="AJ48"/>
  <c r="AJ111" s="1"/>
  <c r="M49"/>
  <c r="M112" s="1"/>
  <c r="Q49"/>
  <c r="Q112" s="1"/>
  <c r="U49"/>
  <c r="U112" s="1"/>
  <c r="Y49"/>
  <c r="Y112" s="1"/>
  <c r="AC49"/>
  <c r="AC112" s="1"/>
  <c r="AG49"/>
  <c r="AG112" s="1"/>
  <c r="J50"/>
  <c r="J113" s="1"/>
  <c r="N50"/>
  <c r="N113" s="1"/>
  <c r="R50"/>
  <c r="R113" s="1"/>
  <c r="V50"/>
  <c r="V113" s="1"/>
  <c r="Z50"/>
  <c r="Z113" s="1"/>
  <c r="AD50"/>
  <c r="AD113" s="1"/>
  <c r="AH50"/>
  <c r="AH113" s="1"/>
  <c r="K51"/>
  <c r="K114" s="1"/>
  <c r="O51"/>
  <c r="O114" s="1"/>
  <c r="S51"/>
  <c r="S114" s="1"/>
  <c r="W51"/>
  <c r="W114" s="1"/>
  <c r="AA51"/>
  <c r="AA114" s="1"/>
  <c r="AE51"/>
  <c r="AE114" s="1"/>
  <c r="AI51"/>
  <c r="AI114" s="1"/>
  <c r="L52"/>
  <c r="L115" s="1"/>
  <c r="P52"/>
  <c r="P115" s="1"/>
  <c r="T52"/>
  <c r="T115" s="1"/>
  <c r="X52"/>
  <c r="X115" s="1"/>
  <c r="AB52"/>
  <c r="AB115" s="1"/>
  <c r="AF52"/>
  <c r="AF115" s="1"/>
  <c r="AJ52"/>
  <c r="AJ115" s="1"/>
  <c r="M53"/>
  <c r="M116" s="1"/>
  <c r="L54"/>
  <c r="L117" s="1"/>
  <c r="P54"/>
  <c r="P117" s="1"/>
  <c r="T54"/>
  <c r="T117" s="1"/>
  <c r="X54"/>
  <c r="X117" s="1"/>
  <c r="AB54"/>
  <c r="AB117" s="1"/>
  <c r="AF54"/>
  <c r="AF117" s="1"/>
  <c r="AJ54"/>
  <c r="AJ117" s="1"/>
  <c r="K64"/>
  <c r="K127" s="1"/>
  <c r="K60"/>
  <c r="K123" s="1"/>
  <c r="K56"/>
  <c r="K119" s="1"/>
  <c r="K65"/>
  <c r="K128" s="1"/>
  <c r="K61"/>
  <c r="K124" s="1"/>
  <c r="K57"/>
  <c r="K120" s="1"/>
  <c r="M64"/>
  <c r="M127" s="1"/>
  <c r="M60"/>
  <c r="M123" s="1"/>
  <c r="M56"/>
  <c r="M119" s="1"/>
  <c r="M65"/>
  <c r="M128" s="1"/>
  <c r="M61"/>
  <c r="M124" s="1"/>
  <c r="M57"/>
  <c r="M120" s="1"/>
  <c r="O64"/>
  <c r="O127" s="1"/>
  <c r="O60"/>
  <c r="O123" s="1"/>
  <c r="O56"/>
  <c r="O119" s="1"/>
  <c r="O65"/>
  <c r="O128" s="1"/>
  <c r="O61"/>
  <c r="O124" s="1"/>
  <c r="O57"/>
  <c r="O120" s="1"/>
  <c r="Q66"/>
  <c r="Q129" s="1"/>
  <c r="Q62"/>
  <c r="Q125" s="1"/>
  <c r="Q58"/>
  <c r="Q121" s="1"/>
  <c r="Q67"/>
  <c r="Q130" s="1"/>
  <c r="Q63"/>
  <c r="Q126" s="1"/>
  <c r="Q59"/>
  <c r="Q122" s="1"/>
  <c r="Q55"/>
  <c r="Q118" s="1"/>
  <c r="J65"/>
  <c r="J128" s="1"/>
  <c r="J61"/>
  <c r="J124" s="1"/>
  <c r="J57"/>
  <c r="J120" s="1"/>
  <c r="J64"/>
  <c r="J127" s="1"/>
  <c r="J60"/>
  <c r="J123" s="1"/>
  <c r="J56"/>
  <c r="J119" s="1"/>
  <c r="L65"/>
  <c r="L128" s="1"/>
  <c r="L61"/>
  <c r="L124" s="1"/>
  <c r="L57"/>
  <c r="L120" s="1"/>
  <c r="L64"/>
  <c r="L127" s="1"/>
  <c r="L60"/>
  <c r="L123" s="1"/>
  <c r="L56"/>
  <c r="L119" s="1"/>
  <c r="N65"/>
  <c r="N128" s="1"/>
  <c r="N61"/>
  <c r="N124" s="1"/>
  <c r="N57"/>
  <c r="N120" s="1"/>
  <c r="N66"/>
  <c r="N129" s="1"/>
  <c r="N62"/>
  <c r="N125" s="1"/>
  <c r="N58"/>
  <c r="N121" s="1"/>
  <c r="P67"/>
  <c r="P130" s="1"/>
  <c r="P63"/>
  <c r="P126" s="1"/>
  <c r="P59"/>
  <c r="P122" s="1"/>
  <c r="P55"/>
  <c r="P118" s="1"/>
  <c r="P64"/>
  <c r="P127" s="1"/>
  <c r="P60"/>
  <c r="P123" s="1"/>
  <c r="P56"/>
  <c r="P119" s="1"/>
  <c r="R65"/>
  <c r="R128" s="1"/>
  <c r="R61"/>
  <c r="R124" s="1"/>
  <c r="R57"/>
  <c r="R120" s="1"/>
  <c r="R66"/>
  <c r="R129" s="1"/>
  <c r="R62"/>
  <c r="R125" s="1"/>
  <c r="R58"/>
  <c r="R121" s="1"/>
  <c r="T67"/>
  <c r="T130" s="1"/>
  <c r="T63"/>
  <c r="T126" s="1"/>
  <c r="T59"/>
  <c r="T122" s="1"/>
  <c r="T55"/>
  <c r="T118" s="1"/>
  <c r="T64"/>
  <c r="T127" s="1"/>
  <c r="T60"/>
  <c r="T123" s="1"/>
  <c r="T56"/>
  <c r="T119" s="1"/>
  <c r="V65"/>
  <c r="V128" s="1"/>
  <c r="V61"/>
  <c r="V124" s="1"/>
  <c r="V57"/>
  <c r="V120" s="1"/>
  <c r="V66"/>
  <c r="V129" s="1"/>
  <c r="V62"/>
  <c r="V125" s="1"/>
  <c r="V58"/>
  <c r="V121" s="1"/>
  <c r="X67"/>
  <c r="X130" s="1"/>
  <c r="X63"/>
  <c r="X126" s="1"/>
  <c r="X59"/>
  <c r="X122" s="1"/>
  <c r="X55"/>
  <c r="X118" s="1"/>
  <c r="X64"/>
  <c r="X127" s="1"/>
  <c r="X60"/>
  <c r="X123" s="1"/>
  <c r="X56"/>
  <c r="X119" s="1"/>
  <c r="Z65"/>
  <c r="Z128" s="1"/>
  <c r="Z61"/>
  <c r="Z124" s="1"/>
  <c r="Z57"/>
  <c r="Z120" s="1"/>
  <c r="Z66"/>
  <c r="Z129" s="1"/>
  <c r="Z62"/>
  <c r="Z125" s="1"/>
  <c r="Z58"/>
  <c r="Z121" s="1"/>
  <c r="AB67"/>
  <c r="AB130" s="1"/>
  <c r="AB63"/>
  <c r="AB126" s="1"/>
  <c r="AB59"/>
  <c r="AB122" s="1"/>
  <c r="AB55"/>
  <c r="AB118" s="1"/>
  <c r="AB64"/>
  <c r="AB127" s="1"/>
  <c r="AB60"/>
  <c r="AB123" s="1"/>
  <c r="AB56"/>
  <c r="AB119" s="1"/>
  <c r="AD65"/>
  <c r="AD128" s="1"/>
  <c r="AD61"/>
  <c r="AD124" s="1"/>
  <c r="AD57"/>
  <c r="AD120" s="1"/>
  <c r="AD66"/>
  <c r="AD129" s="1"/>
  <c r="AD62"/>
  <c r="AD125" s="1"/>
  <c r="AD58"/>
  <c r="AD121" s="1"/>
  <c r="AF67"/>
  <c r="AF130" s="1"/>
  <c r="AF63"/>
  <c r="AF126" s="1"/>
  <c r="AF59"/>
  <c r="AF122" s="1"/>
  <c r="AF55"/>
  <c r="AF118" s="1"/>
  <c r="AF64"/>
  <c r="AF127" s="1"/>
  <c r="AF60"/>
  <c r="AF123" s="1"/>
  <c r="AF56"/>
  <c r="AF119" s="1"/>
  <c r="AH65"/>
  <c r="AH128" s="1"/>
  <c r="AH61"/>
  <c r="AH124" s="1"/>
  <c r="AH57"/>
  <c r="AH120" s="1"/>
  <c r="AH66"/>
  <c r="AH129" s="1"/>
  <c r="AH62"/>
  <c r="AH125" s="1"/>
  <c r="AH58"/>
  <c r="AH121" s="1"/>
  <c r="AJ67"/>
  <c r="AJ130" s="1"/>
  <c r="AJ63"/>
  <c r="AJ126" s="1"/>
  <c r="AJ59"/>
  <c r="AJ122" s="1"/>
  <c r="AJ55"/>
  <c r="AJ118" s="1"/>
  <c r="AJ64"/>
  <c r="AJ127" s="1"/>
  <c r="AJ60"/>
  <c r="AJ123" s="1"/>
  <c r="AJ56"/>
  <c r="AJ119" s="1"/>
  <c r="M7"/>
  <c r="M70" s="1"/>
  <c r="Q7"/>
  <c r="Q70" s="1"/>
  <c r="U7"/>
  <c r="U70" s="1"/>
  <c r="Y7"/>
  <c r="Y70" s="1"/>
  <c r="AC7"/>
  <c r="AC70" s="1"/>
  <c r="AG7"/>
  <c r="AG70" s="1"/>
  <c r="J8"/>
  <c r="J71" s="1"/>
  <c r="N8"/>
  <c r="N71" s="1"/>
  <c r="R8"/>
  <c r="R71" s="1"/>
  <c r="V8"/>
  <c r="V71" s="1"/>
  <c r="Z8"/>
  <c r="Z71" s="1"/>
  <c r="AD8"/>
  <c r="AD71" s="1"/>
  <c r="AH8"/>
  <c r="AH71" s="1"/>
  <c r="K9"/>
  <c r="K72" s="1"/>
  <c r="O9"/>
  <c r="O72" s="1"/>
  <c r="S9"/>
  <c r="S72" s="1"/>
  <c r="W9"/>
  <c r="W72" s="1"/>
  <c r="AA9"/>
  <c r="AA72" s="1"/>
  <c r="AE9"/>
  <c r="AE72" s="1"/>
  <c r="AI9"/>
  <c r="AI72" s="1"/>
  <c r="L10"/>
  <c r="L73" s="1"/>
  <c r="P10"/>
  <c r="P73" s="1"/>
  <c r="T10"/>
  <c r="T73" s="1"/>
  <c r="X10"/>
  <c r="X73" s="1"/>
  <c r="AB10"/>
  <c r="AB73" s="1"/>
  <c r="AF10"/>
  <c r="AF73" s="1"/>
  <c r="AJ10"/>
  <c r="AJ73" s="1"/>
  <c r="M11"/>
  <c r="M74" s="1"/>
  <c r="Q11"/>
  <c r="Q74" s="1"/>
  <c r="U11"/>
  <c r="U74" s="1"/>
  <c r="Y11"/>
  <c r="Y74" s="1"/>
  <c r="AC11"/>
  <c r="AC74" s="1"/>
  <c r="AG11"/>
  <c r="AG74" s="1"/>
  <c r="J12"/>
  <c r="J75" s="1"/>
  <c r="N12"/>
  <c r="N75" s="1"/>
  <c r="R12"/>
  <c r="R75" s="1"/>
  <c r="V12"/>
  <c r="V75" s="1"/>
  <c r="Z12"/>
  <c r="Z75" s="1"/>
  <c r="AD12"/>
  <c r="AD75" s="1"/>
  <c r="AH12"/>
  <c r="AH75" s="1"/>
  <c r="K13"/>
  <c r="K76" s="1"/>
  <c r="O13"/>
  <c r="O76" s="1"/>
  <c r="S13"/>
  <c r="S76" s="1"/>
  <c r="W13"/>
  <c r="W76" s="1"/>
  <c r="AA13"/>
  <c r="AA76" s="1"/>
  <c r="AE13"/>
  <c r="AE76" s="1"/>
  <c r="AI13"/>
  <c r="AI76" s="1"/>
  <c r="L14"/>
  <c r="L77" s="1"/>
  <c r="P14"/>
  <c r="P77" s="1"/>
  <c r="T14"/>
  <c r="T77" s="1"/>
  <c r="X14"/>
  <c r="X77" s="1"/>
  <c r="AB14"/>
  <c r="AB77" s="1"/>
  <c r="AF14"/>
  <c r="AF77" s="1"/>
  <c r="AJ14"/>
  <c r="AJ77" s="1"/>
  <c r="M15"/>
  <c r="M78" s="1"/>
  <c r="Q15"/>
  <c r="Q78" s="1"/>
  <c r="U15"/>
  <c r="U78" s="1"/>
  <c r="Y15"/>
  <c r="Y78" s="1"/>
  <c r="AC15"/>
  <c r="AC78" s="1"/>
  <c r="AG15"/>
  <c r="AG78" s="1"/>
  <c r="J16"/>
  <c r="J79" s="1"/>
  <c r="N16"/>
  <c r="N79" s="1"/>
  <c r="R16"/>
  <c r="R79" s="1"/>
  <c r="V16"/>
  <c r="V79" s="1"/>
  <c r="Z16"/>
  <c r="Z79" s="1"/>
  <c r="AD16"/>
  <c r="AD79" s="1"/>
  <c r="AH16"/>
  <c r="AH79" s="1"/>
  <c r="K17"/>
  <c r="K80" s="1"/>
  <c r="O17"/>
  <c r="O80" s="1"/>
  <c r="S17"/>
  <c r="S80" s="1"/>
  <c r="W17"/>
  <c r="W80" s="1"/>
  <c r="AA17"/>
  <c r="AA80" s="1"/>
  <c r="AE17"/>
  <c r="AE80" s="1"/>
  <c r="AI17"/>
  <c r="AI80" s="1"/>
  <c r="L18"/>
  <c r="L81" s="1"/>
  <c r="P18"/>
  <c r="P81" s="1"/>
  <c r="T18"/>
  <c r="T81" s="1"/>
  <c r="X18"/>
  <c r="X81" s="1"/>
  <c r="AB18"/>
  <c r="AB81" s="1"/>
  <c r="AF18"/>
  <c r="AF81" s="1"/>
  <c r="AJ18"/>
  <c r="AJ81" s="1"/>
  <c r="M19"/>
  <c r="M82" s="1"/>
  <c r="Q19"/>
  <c r="Q82" s="1"/>
  <c r="U19"/>
  <c r="U82" s="1"/>
  <c r="Y19"/>
  <c r="Y82" s="1"/>
  <c r="AC19"/>
  <c r="AC82" s="1"/>
  <c r="AG19"/>
  <c r="AG82" s="1"/>
  <c r="J20"/>
  <c r="J83" s="1"/>
  <c r="N20"/>
  <c r="N83" s="1"/>
  <c r="R20"/>
  <c r="R83" s="1"/>
  <c r="V20"/>
  <c r="V83" s="1"/>
  <c r="Z20"/>
  <c r="Z83" s="1"/>
  <c r="AD20"/>
  <c r="AD83" s="1"/>
  <c r="AH20"/>
  <c r="AH83" s="1"/>
  <c r="K21"/>
  <c r="K84" s="1"/>
  <c r="O21"/>
  <c r="O84" s="1"/>
  <c r="S21"/>
  <c r="S84" s="1"/>
  <c r="W21"/>
  <c r="W84" s="1"/>
  <c r="AA21"/>
  <c r="AA84" s="1"/>
  <c r="AE21"/>
  <c r="AE84" s="1"/>
  <c r="AI21"/>
  <c r="AI84" s="1"/>
  <c r="L22"/>
  <c r="L85" s="1"/>
  <c r="P22"/>
  <c r="P85" s="1"/>
  <c r="T22"/>
  <c r="T85" s="1"/>
  <c r="X22"/>
  <c r="X85" s="1"/>
  <c r="AB22"/>
  <c r="AB85" s="1"/>
  <c r="AF22"/>
  <c r="AF85" s="1"/>
  <c r="AJ22"/>
  <c r="AJ85" s="1"/>
  <c r="M23"/>
  <c r="M86" s="1"/>
  <c r="Q23"/>
  <c r="Q86" s="1"/>
  <c r="U23"/>
  <c r="U86" s="1"/>
  <c r="Y23"/>
  <c r="Y86" s="1"/>
  <c r="AC23"/>
  <c r="AC86" s="1"/>
  <c r="AG23"/>
  <c r="AG86" s="1"/>
  <c r="J24"/>
  <c r="J87" s="1"/>
  <c r="N24"/>
  <c r="N87" s="1"/>
  <c r="R24"/>
  <c r="R87" s="1"/>
  <c r="V24"/>
  <c r="V87" s="1"/>
  <c r="Z24"/>
  <c r="Z87" s="1"/>
  <c r="AD24"/>
  <c r="AD87" s="1"/>
  <c r="AH24"/>
  <c r="AH87" s="1"/>
  <c r="K25"/>
  <c r="K88" s="1"/>
  <c r="O25"/>
  <c r="O88" s="1"/>
  <c r="S25"/>
  <c r="S88" s="1"/>
  <c r="W25"/>
  <c r="W88" s="1"/>
  <c r="AA25"/>
  <c r="AA88" s="1"/>
  <c r="AE25"/>
  <c r="AE88" s="1"/>
  <c r="AI25"/>
  <c r="AI88" s="1"/>
  <c r="L26"/>
  <c r="L89" s="1"/>
  <c r="P26"/>
  <c r="P89" s="1"/>
  <c r="T26"/>
  <c r="T89" s="1"/>
  <c r="X26"/>
  <c r="X89" s="1"/>
  <c r="AB26"/>
  <c r="AB89" s="1"/>
  <c r="AF26"/>
  <c r="AF89" s="1"/>
  <c r="AJ26"/>
  <c r="AJ89" s="1"/>
  <c r="M27"/>
  <c r="M90" s="1"/>
  <c r="Q27"/>
  <c r="Q90" s="1"/>
  <c r="U27"/>
  <c r="U90" s="1"/>
  <c r="Y27"/>
  <c r="Y90" s="1"/>
  <c r="AC27"/>
  <c r="AC90" s="1"/>
  <c r="AG27"/>
  <c r="AG90" s="1"/>
  <c r="J28"/>
  <c r="J91" s="1"/>
  <c r="N28"/>
  <c r="N91" s="1"/>
  <c r="R28"/>
  <c r="R91" s="1"/>
  <c r="V28"/>
  <c r="V91" s="1"/>
  <c r="Z28"/>
  <c r="Z91" s="1"/>
  <c r="AD28"/>
  <c r="AD91" s="1"/>
  <c r="AH28"/>
  <c r="AH91" s="1"/>
  <c r="K29"/>
  <c r="K92" s="1"/>
  <c r="O29"/>
  <c r="O92" s="1"/>
  <c r="S29"/>
  <c r="S92" s="1"/>
  <c r="W29"/>
  <c r="W92" s="1"/>
  <c r="AA29"/>
  <c r="AA92" s="1"/>
  <c r="AE29"/>
  <c r="AE92" s="1"/>
  <c r="AI29"/>
  <c r="AI92" s="1"/>
  <c r="L30"/>
  <c r="L93" s="1"/>
  <c r="P30"/>
  <c r="P93" s="1"/>
  <c r="T30"/>
  <c r="T93" s="1"/>
  <c r="X30"/>
  <c r="X93" s="1"/>
  <c r="AB30"/>
  <c r="AB93" s="1"/>
  <c r="AF30"/>
  <c r="AF93" s="1"/>
  <c r="AJ30"/>
  <c r="AJ93" s="1"/>
  <c r="M31"/>
  <c r="M94" s="1"/>
  <c r="Q31"/>
  <c r="Q94" s="1"/>
  <c r="U31"/>
  <c r="U94" s="1"/>
  <c r="Y31"/>
  <c r="Y94" s="1"/>
  <c r="AC31"/>
  <c r="AC94" s="1"/>
  <c r="AG31"/>
  <c r="AG94" s="1"/>
  <c r="J32"/>
  <c r="J95" s="1"/>
  <c r="N32"/>
  <c r="N95" s="1"/>
  <c r="R32"/>
  <c r="R95" s="1"/>
  <c r="V32"/>
  <c r="V95" s="1"/>
  <c r="Z32"/>
  <c r="Z95" s="1"/>
  <c r="AD32"/>
  <c r="AD95" s="1"/>
  <c r="AH32"/>
  <c r="AH95" s="1"/>
  <c r="K33"/>
  <c r="K96" s="1"/>
  <c r="O33"/>
  <c r="O96" s="1"/>
  <c r="S33"/>
  <c r="S96" s="1"/>
  <c r="W33"/>
  <c r="W96" s="1"/>
  <c r="AA33"/>
  <c r="AA96" s="1"/>
  <c r="AE33"/>
  <c r="AE96" s="1"/>
  <c r="AI33"/>
  <c r="AI96" s="1"/>
  <c r="L34"/>
  <c r="L97" s="1"/>
  <c r="P34"/>
  <c r="P97" s="1"/>
  <c r="T34"/>
  <c r="T97" s="1"/>
  <c r="X34"/>
  <c r="X97" s="1"/>
  <c r="AB34"/>
  <c r="AB97" s="1"/>
  <c r="AF34"/>
  <c r="AF97" s="1"/>
  <c r="AJ34"/>
  <c r="AJ97" s="1"/>
  <c r="M35"/>
  <c r="M98" s="1"/>
  <c r="Q35"/>
  <c r="Q98" s="1"/>
  <c r="U35"/>
  <c r="U98" s="1"/>
  <c r="Y35"/>
  <c r="Y98" s="1"/>
  <c r="AC35"/>
  <c r="AC98" s="1"/>
  <c r="AG35"/>
  <c r="AG98" s="1"/>
  <c r="J36"/>
  <c r="J99" s="1"/>
  <c r="N36"/>
  <c r="N99" s="1"/>
  <c r="R36"/>
  <c r="R99" s="1"/>
  <c r="V36"/>
  <c r="V99" s="1"/>
  <c r="Z36"/>
  <c r="Z99" s="1"/>
  <c r="AD36"/>
  <c r="AD99" s="1"/>
  <c r="AH36"/>
  <c r="AH99" s="1"/>
  <c r="K37"/>
  <c r="K100" s="1"/>
  <c r="O37"/>
  <c r="O100" s="1"/>
  <c r="S37"/>
  <c r="S100" s="1"/>
  <c r="W37"/>
  <c r="W100" s="1"/>
  <c r="AA37"/>
  <c r="AA100" s="1"/>
  <c r="AE37"/>
  <c r="AE100" s="1"/>
  <c r="AI37"/>
  <c r="AI100" s="1"/>
  <c r="L38"/>
  <c r="L101" s="1"/>
  <c r="P38"/>
  <c r="P101" s="1"/>
  <c r="T38"/>
  <c r="T101" s="1"/>
  <c r="X38"/>
  <c r="X101" s="1"/>
  <c r="AB38"/>
  <c r="AB101" s="1"/>
  <c r="AF38"/>
  <c r="AF101" s="1"/>
  <c r="AJ38"/>
  <c r="AJ101" s="1"/>
  <c r="M39"/>
  <c r="M102" s="1"/>
  <c r="Q39"/>
  <c r="Q102" s="1"/>
  <c r="U39"/>
  <c r="U102" s="1"/>
  <c r="Y39"/>
  <c r="Y102" s="1"/>
  <c r="AC39"/>
  <c r="AC102" s="1"/>
  <c r="AG39"/>
  <c r="AG102" s="1"/>
  <c r="J40"/>
  <c r="J103" s="1"/>
  <c r="N40"/>
  <c r="N103" s="1"/>
  <c r="R40"/>
  <c r="R103" s="1"/>
  <c r="V40"/>
  <c r="V103" s="1"/>
  <c r="Z40"/>
  <c r="Z103" s="1"/>
  <c r="AD40"/>
  <c r="AD103" s="1"/>
  <c r="AH40"/>
  <c r="AH103" s="1"/>
  <c r="K41"/>
  <c r="K104" s="1"/>
  <c r="O41"/>
  <c r="O104" s="1"/>
  <c r="S41"/>
  <c r="S104" s="1"/>
  <c r="W41"/>
  <c r="W104" s="1"/>
  <c r="AA41"/>
  <c r="AA104" s="1"/>
  <c r="AE41"/>
  <c r="AE104" s="1"/>
  <c r="AI41"/>
  <c r="AI104" s="1"/>
  <c r="L42"/>
  <c r="L105" s="1"/>
  <c r="P42"/>
  <c r="P105" s="1"/>
  <c r="T42"/>
  <c r="T105" s="1"/>
  <c r="X42"/>
  <c r="X105" s="1"/>
  <c r="AB42"/>
  <c r="AB105" s="1"/>
  <c r="AF42"/>
  <c r="AF105" s="1"/>
  <c r="AJ42"/>
  <c r="AJ105" s="1"/>
  <c r="M43"/>
  <c r="M106" s="1"/>
  <c r="Q43"/>
  <c r="Q106" s="1"/>
  <c r="U43"/>
  <c r="U106" s="1"/>
  <c r="Y43"/>
  <c r="Y106" s="1"/>
  <c r="AC43"/>
  <c r="AC106" s="1"/>
  <c r="AG43"/>
  <c r="AG106" s="1"/>
  <c r="J44"/>
  <c r="J107" s="1"/>
  <c r="N44"/>
  <c r="N107" s="1"/>
  <c r="R44"/>
  <c r="R107" s="1"/>
  <c r="V44"/>
  <c r="V107" s="1"/>
  <c r="Z44"/>
  <c r="Z107" s="1"/>
  <c r="AD44"/>
  <c r="AD107" s="1"/>
  <c r="AH44"/>
  <c r="AH107" s="1"/>
  <c r="K45"/>
  <c r="K108" s="1"/>
  <c r="O45"/>
  <c r="O108" s="1"/>
  <c r="S45"/>
  <c r="S108" s="1"/>
  <c r="W45"/>
  <c r="W108" s="1"/>
  <c r="AA45"/>
  <c r="AA108" s="1"/>
  <c r="AE45"/>
  <c r="AE108" s="1"/>
  <c r="AI45"/>
  <c r="AI108" s="1"/>
  <c r="L46"/>
  <c r="L109" s="1"/>
  <c r="P46"/>
  <c r="P109" s="1"/>
  <c r="T46"/>
  <c r="T109" s="1"/>
  <c r="X46"/>
  <c r="X109" s="1"/>
  <c r="AB46"/>
  <c r="AB109" s="1"/>
  <c r="AF46"/>
  <c r="AF109" s="1"/>
  <c r="AJ46"/>
  <c r="AJ109" s="1"/>
  <c r="M47"/>
  <c r="M110" s="1"/>
  <c r="Q47"/>
  <c r="Q110" s="1"/>
  <c r="U47"/>
  <c r="U110" s="1"/>
  <c r="Y47"/>
  <c r="Y110" s="1"/>
  <c r="AC47"/>
  <c r="AC110" s="1"/>
  <c r="AG47"/>
  <c r="AG110" s="1"/>
  <c r="J48"/>
  <c r="J111" s="1"/>
  <c r="N48"/>
  <c r="N111" s="1"/>
  <c r="R48"/>
  <c r="R111" s="1"/>
  <c r="V48"/>
  <c r="V111" s="1"/>
  <c r="Z48"/>
  <c r="Z111" s="1"/>
  <c r="AD48"/>
  <c r="AD111" s="1"/>
  <c r="AH48"/>
  <c r="AH111" s="1"/>
  <c r="K49"/>
  <c r="K112" s="1"/>
  <c r="O49"/>
  <c r="O112" s="1"/>
  <c r="S49"/>
  <c r="S112" s="1"/>
  <c r="W49"/>
  <c r="W112" s="1"/>
  <c r="AA49"/>
  <c r="AA112" s="1"/>
  <c r="AE49"/>
  <c r="AE112" s="1"/>
  <c r="AI49"/>
  <c r="AI112" s="1"/>
  <c r="L50"/>
  <c r="L113" s="1"/>
  <c r="P50"/>
  <c r="P113" s="1"/>
  <c r="T50"/>
  <c r="T113" s="1"/>
  <c r="X50"/>
  <c r="X113" s="1"/>
  <c r="AB50"/>
  <c r="AB113" s="1"/>
  <c r="AF50"/>
  <c r="AF113" s="1"/>
  <c r="AJ50"/>
  <c r="AJ113" s="1"/>
  <c r="M51"/>
  <c r="M114" s="1"/>
  <c r="Q51"/>
  <c r="Q114" s="1"/>
  <c r="U51"/>
  <c r="U114" s="1"/>
  <c r="Y51"/>
  <c r="Y114" s="1"/>
  <c r="AC51"/>
  <c r="AC114" s="1"/>
  <c r="AG51"/>
  <c r="AG114" s="1"/>
  <c r="J52"/>
  <c r="J115" s="1"/>
  <c r="N52"/>
  <c r="N115" s="1"/>
  <c r="R52"/>
  <c r="R115" s="1"/>
  <c r="V52"/>
  <c r="V115" s="1"/>
  <c r="Z52"/>
  <c r="Z115" s="1"/>
  <c r="AD52"/>
  <c r="AD115" s="1"/>
  <c r="AH52"/>
  <c r="AH115" s="1"/>
  <c r="K53"/>
  <c r="K116" s="1"/>
  <c r="J54"/>
  <c r="J117" s="1"/>
  <c r="N54"/>
  <c r="N117" s="1"/>
  <c r="R54"/>
  <c r="R117" s="1"/>
  <c r="V54"/>
  <c r="V117" s="1"/>
  <c r="Z54"/>
  <c r="Z117" s="1"/>
  <c r="AD54"/>
  <c r="AD117" s="1"/>
  <c r="AH54"/>
  <c r="AH117" s="1"/>
  <c r="K66"/>
  <c r="K129" s="1"/>
  <c r="K62"/>
  <c r="K125" s="1"/>
  <c r="K58"/>
  <c r="K121" s="1"/>
  <c r="K67"/>
  <c r="K130" s="1"/>
  <c r="K63"/>
  <c r="K126" s="1"/>
  <c r="K59"/>
  <c r="K122" s="1"/>
  <c r="M66"/>
  <c r="M129" s="1"/>
  <c r="M62"/>
  <c r="M125" s="1"/>
  <c r="M58"/>
  <c r="M121" s="1"/>
  <c r="M67"/>
  <c r="M130" s="1"/>
  <c r="M63"/>
  <c r="M126" s="1"/>
  <c r="M59"/>
  <c r="M122" s="1"/>
  <c r="O66"/>
  <c r="O129" s="1"/>
  <c r="O62"/>
  <c r="O125" s="1"/>
  <c r="O58"/>
  <c r="O121" s="1"/>
  <c r="O67"/>
  <c r="O130" s="1"/>
  <c r="O63"/>
  <c r="O126" s="1"/>
  <c r="O59"/>
  <c r="O122" s="1"/>
  <c r="O55"/>
  <c r="O118" s="1"/>
  <c r="Q64"/>
  <c r="Q127" s="1"/>
  <c r="Q60"/>
  <c r="Q123" s="1"/>
  <c r="Q56"/>
  <c r="Q119" s="1"/>
  <c r="Q65"/>
  <c r="Q128" s="1"/>
  <c r="Q61"/>
  <c r="Q124" s="1"/>
  <c r="Q57"/>
  <c r="Q120" s="1"/>
  <c r="S64"/>
  <c r="S127" s="1"/>
  <c r="S60"/>
  <c r="S123" s="1"/>
  <c r="S56"/>
  <c r="S119" s="1"/>
  <c r="S65"/>
  <c r="S128" s="1"/>
  <c r="S61"/>
  <c r="S124" s="1"/>
  <c r="S57"/>
  <c r="S120" s="1"/>
  <c r="U66"/>
  <c r="U129" s="1"/>
  <c r="U62"/>
  <c r="U125" s="1"/>
  <c r="U58"/>
  <c r="U121" s="1"/>
  <c r="U67"/>
  <c r="U130" s="1"/>
  <c r="U63"/>
  <c r="U126" s="1"/>
  <c r="U59"/>
  <c r="U122" s="1"/>
  <c r="U55"/>
  <c r="U118" s="1"/>
  <c r="W64"/>
  <c r="W127" s="1"/>
  <c r="W60"/>
  <c r="W123" s="1"/>
  <c r="W56"/>
  <c r="W119" s="1"/>
  <c r="W65"/>
  <c r="W128" s="1"/>
  <c r="W61"/>
  <c r="W124" s="1"/>
  <c r="W57"/>
  <c r="W120" s="1"/>
  <c r="Y66"/>
  <c r="Y129" s="1"/>
  <c r="Y62"/>
  <c r="Y125" s="1"/>
  <c r="Y58"/>
  <c r="Y121" s="1"/>
  <c r="Y67"/>
  <c r="Y130" s="1"/>
  <c r="Y63"/>
  <c r="Y126" s="1"/>
  <c r="Y59"/>
  <c r="Y122" s="1"/>
  <c r="Y55"/>
  <c r="Y118" s="1"/>
  <c r="AA64"/>
  <c r="AA127" s="1"/>
  <c r="AA60"/>
  <c r="AA123" s="1"/>
  <c r="AA56"/>
  <c r="AA119" s="1"/>
  <c r="AA65"/>
  <c r="AA128" s="1"/>
  <c r="AA61"/>
  <c r="AA124" s="1"/>
  <c r="AA57"/>
  <c r="AA120" s="1"/>
  <c r="AC66"/>
  <c r="AC129" s="1"/>
  <c r="AC62"/>
  <c r="AC125" s="1"/>
  <c r="AC58"/>
  <c r="AC121" s="1"/>
  <c r="AC67"/>
  <c r="AC130" s="1"/>
  <c r="AC63"/>
  <c r="AC126" s="1"/>
  <c r="AC59"/>
  <c r="AC122" s="1"/>
  <c r="AC55"/>
  <c r="AC118" s="1"/>
  <c r="AE64"/>
  <c r="AE127" s="1"/>
  <c r="AE60"/>
  <c r="AE123" s="1"/>
  <c r="AE56"/>
  <c r="AE119" s="1"/>
  <c r="AE65"/>
  <c r="AE128" s="1"/>
  <c r="AE61"/>
  <c r="AE124" s="1"/>
  <c r="AE57"/>
  <c r="AE120" s="1"/>
  <c r="AG66"/>
  <c r="AG129" s="1"/>
  <c r="AG62"/>
  <c r="AG125" s="1"/>
  <c r="AG58"/>
  <c r="AG121" s="1"/>
  <c r="AG67"/>
  <c r="AG130" s="1"/>
  <c r="AG63"/>
  <c r="AG126" s="1"/>
  <c r="AG59"/>
  <c r="AG122" s="1"/>
  <c r="AG55"/>
  <c r="AG118" s="1"/>
  <c r="AI64"/>
  <c r="AI127" s="1"/>
  <c r="AI60"/>
  <c r="AI123" s="1"/>
  <c r="AI56"/>
  <c r="AI119" s="1"/>
  <c r="AI65"/>
  <c r="AI128" s="1"/>
  <c r="AI61"/>
  <c r="AI124" s="1"/>
  <c r="AI57"/>
  <c r="AI120" s="1"/>
  <c r="J7"/>
  <c r="J70" s="1"/>
  <c r="N7"/>
  <c r="N70" s="1"/>
  <c r="R7"/>
  <c r="R70" s="1"/>
  <c r="V7"/>
  <c r="V70" s="1"/>
  <c r="Z7"/>
  <c r="Z70" s="1"/>
  <c r="AD7"/>
  <c r="AD70" s="1"/>
  <c r="AH7"/>
  <c r="AH70" s="1"/>
  <c r="K8"/>
  <c r="K71" s="1"/>
  <c r="O8"/>
  <c r="O71" s="1"/>
  <c r="S8"/>
  <c r="S71" s="1"/>
  <c r="W8"/>
  <c r="W71" s="1"/>
  <c r="AA8"/>
  <c r="AA71" s="1"/>
  <c r="AE8"/>
  <c r="AE71" s="1"/>
  <c r="AI8"/>
  <c r="AI71" s="1"/>
  <c r="L9"/>
  <c r="L72" s="1"/>
  <c r="P9"/>
  <c r="P72" s="1"/>
  <c r="T9"/>
  <c r="T72" s="1"/>
  <c r="X9"/>
  <c r="X72" s="1"/>
  <c r="AB9"/>
  <c r="AB72" s="1"/>
  <c r="AF9"/>
  <c r="AF72" s="1"/>
  <c r="AJ9"/>
  <c r="AJ72" s="1"/>
  <c r="M10"/>
  <c r="M73" s="1"/>
  <c r="Q10"/>
  <c r="Q73" s="1"/>
  <c r="U10"/>
  <c r="U73" s="1"/>
  <c r="Y10"/>
  <c r="Y73" s="1"/>
  <c r="AC10"/>
  <c r="AC73" s="1"/>
  <c r="AG10"/>
  <c r="AG73" s="1"/>
  <c r="J11"/>
  <c r="J74" s="1"/>
  <c r="N11"/>
  <c r="N74" s="1"/>
  <c r="R11"/>
  <c r="R74" s="1"/>
  <c r="V11"/>
  <c r="V74" s="1"/>
  <c r="Z11"/>
  <c r="Z74" s="1"/>
  <c r="AD11"/>
  <c r="AD74" s="1"/>
  <c r="AH11"/>
  <c r="AH74" s="1"/>
  <c r="K12"/>
  <c r="K75" s="1"/>
  <c r="O12"/>
  <c r="O75" s="1"/>
  <c r="S12"/>
  <c r="S75" s="1"/>
  <c r="W12"/>
  <c r="W75" s="1"/>
  <c r="AA12"/>
  <c r="AA75" s="1"/>
  <c r="AE12"/>
  <c r="AE75" s="1"/>
  <c r="AI12"/>
  <c r="AI75" s="1"/>
  <c r="L13"/>
  <c r="L76" s="1"/>
  <c r="P13"/>
  <c r="P76" s="1"/>
  <c r="T13"/>
  <c r="T76" s="1"/>
  <c r="X13"/>
  <c r="X76" s="1"/>
  <c r="AB13"/>
  <c r="AB76" s="1"/>
  <c r="AF13"/>
  <c r="AF76" s="1"/>
  <c r="AJ13"/>
  <c r="AJ76" s="1"/>
  <c r="M14"/>
  <c r="M77" s="1"/>
  <c r="Q14"/>
  <c r="Q77" s="1"/>
  <c r="U14"/>
  <c r="U77" s="1"/>
  <c r="Y14"/>
  <c r="Y77" s="1"/>
  <c r="AC14"/>
  <c r="AC77" s="1"/>
  <c r="AG14"/>
  <c r="AG77" s="1"/>
  <c r="J15"/>
  <c r="J78" s="1"/>
  <c r="N15"/>
  <c r="N78" s="1"/>
  <c r="R15"/>
  <c r="R78" s="1"/>
  <c r="V15"/>
  <c r="V78" s="1"/>
  <c r="Z15"/>
  <c r="Z78" s="1"/>
  <c r="AD15"/>
  <c r="AD78" s="1"/>
  <c r="AH15"/>
  <c r="AH78" s="1"/>
  <c r="K16"/>
  <c r="K79" s="1"/>
  <c r="O16"/>
  <c r="O79" s="1"/>
  <c r="S16"/>
  <c r="S79" s="1"/>
  <c r="W16"/>
  <c r="W79" s="1"/>
  <c r="AA16"/>
  <c r="AA79" s="1"/>
  <c r="AE16"/>
  <c r="AE79" s="1"/>
  <c r="AI16"/>
  <c r="AI79" s="1"/>
  <c r="L17"/>
  <c r="L80" s="1"/>
  <c r="P17"/>
  <c r="P80" s="1"/>
  <c r="T17"/>
  <c r="T80" s="1"/>
  <c r="X17"/>
  <c r="X80" s="1"/>
  <c r="AB17"/>
  <c r="AB80" s="1"/>
  <c r="AF17"/>
  <c r="AF80" s="1"/>
  <c r="AJ17"/>
  <c r="AJ80" s="1"/>
  <c r="M18"/>
  <c r="M81" s="1"/>
  <c r="Q18"/>
  <c r="Q81" s="1"/>
  <c r="U18"/>
  <c r="U81" s="1"/>
  <c r="Y18"/>
  <c r="Y81" s="1"/>
  <c r="AC18"/>
  <c r="AC81" s="1"/>
  <c r="AG18"/>
  <c r="AG81" s="1"/>
  <c r="J19"/>
  <c r="J82" s="1"/>
  <c r="N19"/>
  <c r="N82" s="1"/>
  <c r="R19"/>
  <c r="R82" s="1"/>
  <c r="V19"/>
  <c r="V82" s="1"/>
  <c r="Z19"/>
  <c r="Z82" s="1"/>
  <c r="AD19"/>
  <c r="AD82" s="1"/>
  <c r="AH19"/>
  <c r="AH82" s="1"/>
  <c r="K20"/>
  <c r="K83" s="1"/>
  <c r="O20"/>
  <c r="O83" s="1"/>
  <c r="S20"/>
  <c r="S83" s="1"/>
  <c r="W20"/>
  <c r="W83" s="1"/>
  <c r="AA20"/>
  <c r="AA83" s="1"/>
  <c r="AE20"/>
  <c r="AE83" s="1"/>
  <c r="AI20"/>
  <c r="AI83" s="1"/>
  <c r="L21"/>
  <c r="L84" s="1"/>
  <c r="P21"/>
  <c r="P84" s="1"/>
  <c r="T21"/>
  <c r="T84" s="1"/>
  <c r="X21"/>
  <c r="X84" s="1"/>
  <c r="AB21"/>
  <c r="AB84" s="1"/>
  <c r="AF21"/>
  <c r="AF84" s="1"/>
  <c r="AJ21"/>
  <c r="AJ84" s="1"/>
  <c r="M22"/>
  <c r="M85" s="1"/>
  <c r="Q22"/>
  <c r="Q85" s="1"/>
  <c r="U22"/>
  <c r="U85" s="1"/>
  <c r="Y22"/>
  <c r="Y85" s="1"/>
  <c r="AC22"/>
  <c r="AC85" s="1"/>
  <c r="AG22"/>
  <c r="AG85" s="1"/>
  <c r="J23"/>
  <c r="J86" s="1"/>
  <c r="N23"/>
  <c r="N86" s="1"/>
  <c r="R23"/>
  <c r="R86" s="1"/>
  <c r="V23"/>
  <c r="V86" s="1"/>
  <c r="Z23"/>
  <c r="Z86" s="1"/>
  <c r="AD23"/>
  <c r="AD86" s="1"/>
  <c r="AH23"/>
  <c r="AH86" s="1"/>
  <c r="K24"/>
  <c r="K87" s="1"/>
  <c r="O24"/>
  <c r="O87" s="1"/>
  <c r="S24"/>
  <c r="S87" s="1"/>
  <c r="W24"/>
  <c r="W87" s="1"/>
  <c r="AA24"/>
  <c r="AA87" s="1"/>
  <c r="AE24"/>
  <c r="AE87" s="1"/>
  <c r="AI24"/>
  <c r="AI87" s="1"/>
  <c r="L25"/>
  <c r="L88" s="1"/>
  <c r="P25"/>
  <c r="P88" s="1"/>
  <c r="T25"/>
  <c r="T88" s="1"/>
  <c r="X25"/>
  <c r="X88" s="1"/>
  <c r="AB25"/>
  <c r="AB88" s="1"/>
  <c r="AF25"/>
  <c r="AF88" s="1"/>
  <c r="AJ25"/>
  <c r="AJ88" s="1"/>
  <c r="M26"/>
  <c r="M89" s="1"/>
  <c r="Q26"/>
  <c r="Q89" s="1"/>
  <c r="U26"/>
  <c r="U89" s="1"/>
  <c r="Y26"/>
  <c r="Y89" s="1"/>
  <c r="AC26"/>
  <c r="AC89" s="1"/>
  <c r="AG26"/>
  <c r="AG89" s="1"/>
  <c r="J27"/>
  <c r="J90" s="1"/>
  <c r="N27"/>
  <c r="N90" s="1"/>
  <c r="R27"/>
  <c r="R90" s="1"/>
  <c r="V27"/>
  <c r="V90" s="1"/>
  <c r="Z27"/>
  <c r="Z90" s="1"/>
  <c r="AD27"/>
  <c r="AD90" s="1"/>
  <c r="AH27"/>
  <c r="AH90" s="1"/>
  <c r="K28"/>
  <c r="K91" s="1"/>
  <c r="O28"/>
  <c r="O91" s="1"/>
  <c r="S28"/>
  <c r="S91" s="1"/>
  <c r="W28"/>
  <c r="W91" s="1"/>
  <c r="AA28"/>
  <c r="AA91" s="1"/>
  <c r="AE28"/>
  <c r="AE91" s="1"/>
  <c r="AI28"/>
  <c r="AI91" s="1"/>
  <c r="L29"/>
  <c r="L92" s="1"/>
  <c r="P29"/>
  <c r="P92" s="1"/>
  <c r="T29"/>
  <c r="T92" s="1"/>
  <c r="X29"/>
  <c r="X92" s="1"/>
  <c r="AB29"/>
  <c r="AB92" s="1"/>
  <c r="AF29"/>
  <c r="AF92" s="1"/>
  <c r="AJ29"/>
  <c r="AJ92" s="1"/>
  <c r="M30"/>
  <c r="M93" s="1"/>
  <c r="Q30"/>
  <c r="Q93" s="1"/>
  <c r="U30"/>
  <c r="U93" s="1"/>
  <c r="Y30"/>
  <c r="Y93" s="1"/>
  <c r="AC30"/>
  <c r="AC93" s="1"/>
  <c r="AG30"/>
  <c r="AG93" s="1"/>
  <c r="J31"/>
  <c r="J94" s="1"/>
  <c r="N31"/>
  <c r="N94" s="1"/>
  <c r="R31"/>
  <c r="R94" s="1"/>
  <c r="V31"/>
  <c r="V94" s="1"/>
  <c r="Z31"/>
  <c r="Z94" s="1"/>
  <c r="AD31"/>
  <c r="AD94" s="1"/>
  <c r="AH31"/>
  <c r="AH94" s="1"/>
  <c r="K32"/>
  <c r="K95" s="1"/>
  <c r="O32"/>
  <c r="O95" s="1"/>
  <c r="S32"/>
  <c r="S95" s="1"/>
  <c r="W32"/>
  <c r="W95" s="1"/>
  <c r="AA32"/>
  <c r="AA95" s="1"/>
  <c r="AE32"/>
  <c r="AE95" s="1"/>
  <c r="AI32"/>
  <c r="AI95" s="1"/>
  <c r="L33"/>
  <c r="L96" s="1"/>
  <c r="P33"/>
  <c r="P96" s="1"/>
  <c r="T33"/>
  <c r="T96" s="1"/>
  <c r="X33"/>
  <c r="X96" s="1"/>
  <c r="AB33"/>
  <c r="AB96" s="1"/>
  <c r="AF33"/>
  <c r="AF96" s="1"/>
  <c r="AJ33"/>
  <c r="AJ96" s="1"/>
  <c r="M34"/>
  <c r="M97" s="1"/>
  <c r="Q34"/>
  <c r="Q97" s="1"/>
  <c r="U34"/>
  <c r="U97" s="1"/>
  <c r="Y34"/>
  <c r="Y97" s="1"/>
  <c r="AC34"/>
  <c r="AC97" s="1"/>
  <c r="AG34"/>
  <c r="AG97" s="1"/>
  <c r="J35"/>
  <c r="J98" s="1"/>
  <c r="N35"/>
  <c r="N98" s="1"/>
  <c r="R35"/>
  <c r="R98" s="1"/>
  <c r="V35"/>
  <c r="V98" s="1"/>
  <c r="Z35"/>
  <c r="Z98" s="1"/>
  <c r="AD35"/>
  <c r="AD98" s="1"/>
  <c r="AH35"/>
  <c r="AH98" s="1"/>
  <c r="K36"/>
  <c r="K99" s="1"/>
  <c r="O36"/>
  <c r="O99" s="1"/>
  <c r="S36"/>
  <c r="S99" s="1"/>
  <c r="W36"/>
  <c r="W99" s="1"/>
  <c r="AA36"/>
  <c r="AA99" s="1"/>
  <c r="AE36"/>
  <c r="AE99" s="1"/>
  <c r="AI36"/>
  <c r="AI99" s="1"/>
  <c r="L37"/>
  <c r="L100" s="1"/>
  <c r="P37"/>
  <c r="P100" s="1"/>
  <c r="T37"/>
  <c r="T100" s="1"/>
  <c r="X37"/>
  <c r="X100" s="1"/>
  <c r="AB37"/>
  <c r="AB100" s="1"/>
  <c r="AF37"/>
  <c r="AF100" s="1"/>
  <c r="AJ37"/>
  <c r="AJ100" s="1"/>
  <c r="M38"/>
  <c r="M101" s="1"/>
  <c r="Q38"/>
  <c r="Q101" s="1"/>
  <c r="U38"/>
  <c r="U101" s="1"/>
  <c r="Y38"/>
  <c r="Y101" s="1"/>
  <c r="AC38"/>
  <c r="AC101" s="1"/>
  <c r="AG38"/>
  <c r="AG101" s="1"/>
  <c r="J39"/>
  <c r="J102" s="1"/>
  <c r="N39"/>
  <c r="N102" s="1"/>
  <c r="R39"/>
  <c r="R102" s="1"/>
  <c r="V39"/>
  <c r="V102" s="1"/>
  <c r="Z39"/>
  <c r="Z102" s="1"/>
  <c r="AD39"/>
  <c r="AD102" s="1"/>
  <c r="AH39"/>
  <c r="AH102" s="1"/>
  <c r="K40"/>
  <c r="K103" s="1"/>
  <c r="O40"/>
  <c r="O103" s="1"/>
  <c r="S40"/>
  <c r="S103" s="1"/>
  <c r="W40"/>
  <c r="W103" s="1"/>
  <c r="AA40"/>
  <c r="AA103" s="1"/>
  <c r="AE40"/>
  <c r="AE103" s="1"/>
  <c r="AI40"/>
  <c r="AI103" s="1"/>
  <c r="L41"/>
  <c r="L104" s="1"/>
  <c r="P41"/>
  <c r="P104" s="1"/>
  <c r="T41"/>
  <c r="T104" s="1"/>
  <c r="X41"/>
  <c r="X104" s="1"/>
  <c r="AB41"/>
  <c r="AB104" s="1"/>
  <c r="AF41"/>
  <c r="AF104" s="1"/>
  <c r="AJ41"/>
  <c r="AJ104" s="1"/>
  <c r="M42"/>
  <c r="M105" s="1"/>
  <c r="Q42"/>
  <c r="Q105" s="1"/>
  <c r="U42"/>
  <c r="U105" s="1"/>
  <c r="Y42"/>
  <c r="Y105" s="1"/>
  <c r="AC42"/>
  <c r="AC105" s="1"/>
  <c r="AG42"/>
  <c r="AG105" s="1"/>
  <c r="J43"/>
  <c r="J106" s="1"/>
  <c r="N43"/>
  <c r="N106" s="1"/>
  <c r="R43"/>
  <c r="R106" s="1"/>
  <c r="V43"/>
  <c r="V106" s="1"/>
  <c r="Z43"/>
  <c r="Z106" s="1"/>
  <c r="AD43"/>
  <c r="AD106" s="1"/>
  <c r="AH43"/>
  <c r="AH106" s="1"/>
  <c r="K44"/>
  <c r="K107" s="1"/>
  <c r="O44"/>
  <c r="O107" s="1"/>
  <c r="S44"/>
  <c r="S107" s="1"/>
  <c r="W44"/>
  <c r="W107" s="1"/>
  <c r="AA44"/>
  <c r="AA107" s="1"/>
  <c r="AE44"/>
  <c r="AE107" s="1"/>
  <c r="AI44"/>
  <c r="AI107" s="1"/>
  <c r="L45"/>
  <c r="L108" s="1"/>
  <c r="P45"/>
  <c r="P108" s="1"/>
  <c r="T45"/>
  <c r="T108" s="1"/>
  <c r="X45"/>
  <c r="X108" s="1"/>
  <c r="AB45"/>
  <c r="AB108" s="1"/>
  <c r="AF45"/>
  <c r="AF108" s="1"/>
  <c r="AJ45"/>
  <c r="AJ108" s="1"/>
  <c r="M46"/>
  <c r="M109" s="1"/>
  <c r="Q46"/>
  <c r="Q109" s="1"/>
  <c r="U46"/>
  <c r="U109" s="1"/>
  <c r="Y46"/>
  <c r="Y109" s="1"/>
  <c r="AC46"/>
  <c r="AC109" s="1"/>
  <c r="AG46"/>
  <c r="AG109" s="1"/>
  <c r="J47"/>
  <c r="J110" s="1"/>
  <c r="N47"/>
  <c r="N110" s="1"/>
  <c r="R47"/>
  <c r="R110" s="1"/>
  <c r="V47"/>
  <c r="V110" s="1"/>
  <c r="Z47"/>
  <c r="Z110" s="1"/>
  <c r="AD47"/>
  <c r="AD110" s="1"/>
  <c r="AH47"/>
  <c r="AH110" s="1"/>
  <c r="K48"/>
  <c r="K111" s="1"/>
  <c r="O48"/>
  <c r="O111" s="1"/>
  <c r="S48"/>
  <c r="S111" s="1"/>
  <c r="W48"/>
  <c r="W111" s="1"/>
  <c r="AA48"/>
  <c r="AA111" s="1"/>
  <c r="AE48"/>
  <c r="AE111" s="1"/>
  <c r="AI48"/>
  <c r="AI111" s="1"/>
  <c r="L49"/>
  <c r="L112" s="1"/>
  <c r="P49"/>
  <c r="P112" s="1"/>
  <c r="T49"/>
  <c r="T112" s="1"/>
  <c r="X49"/>
  <c r="X112" s="1"/>
  <c r="AB49"/>
  <c r="AB112" s="1"/>
  <c r="AF49"/>
  <c r="AF112" s="1"/>
  <c r="AJ49"/>
  <c r="AJ112" s="1"/>
  <c r="M50"/>
  <c r="M113" s="1"/>
  <c r="Q50"/>
  <c r="Q113" s="1"/>
  <c r="U50"/>
  <c r="U113" s="1"/>
  <c r="Y50"/>
  <c r="Y113" s="1"/>
  <c r="AC50"/>
  <c r="AC113" s="1"/>
  <c r="AG50"/>
  <c r="AG113" s="1"/>
  <c r="J51"/>
  <c r="J114" s="1"/>
  <c r="N51"/>
  <c r="N114" s="1"/>
  <c r="R51"/>
  <c r="R114" s="1"/>
  <c r="V51"/>
  <c r="V114" s="1"/>
  <c r="Z51"/>
  <c r="Z114" s="1"/>
  <c r="AD51"/>
  <c r="AD114" s="1"/>
  <c r="AH51"/>
  <c r="AH114" s="1"/>
  <c r="K52"/>
  <c r="K115" s="1"/>
  <c r="O52"/>
  <c r="O115" s="1"/>
  <c r="S52"/>
  <c r="S115" s="1"/>
  <c r="W52"/>
  <c r="W115" s="1"/>
  <c r="AA52"/>
  <c r="AA115" s="1"/>
  <c r="AE52"/>
  <c r="AE115" s="1"/>
  <c r="AI52"/>
  <c r="AI115" s="1"/>
  <c r="L53"/>
  <c r="L116" s="1"/>
  <c r="P53"/>
  <c r="P116" s="1"/>
  <c r="T53"/>
  <c r="T116" s="1"/>
  <c r="X53"/>
  <c r="X116" s="1"/>
  <c r="AB53"/>
  <c r="AB116" s="1"/>
  <c r="AF53"/>
  <c r="AF116" s="1"/>
  <c r="AJ53"/>
  <c r="AJ116" s="1"/>
  <c r="M54"/>
  <c r="M117" s="1"/>
  <c r="Q54"/>
  <c r="Q117" s="1"/>
  <c r="U54"/>
  <c r="U117" s="1"/>
  <c r="Y54"/>
  <c r="Y117" s="1"/>
  <c r="AC54"/>
  <c r="AC117" s="1"/>
  <c r="AG54"/>
  <c r="AG117" s="1"/>
  <c r="J55"/>
  <c r="J118" s="1"/>
  <c r="S66"/>
  <c r="S129" s="1"/>
  <c r="S62"/>
  <c r="S125" s="1"/>
  <c r="S58"/>
  <c r="S121" s="1"/>
  <c r="S67"/>
  <c r="S130" s="1"/>
  <c r="S63"/>
  <c r="S126" s="1"/>
  <c r="S59"/>
  <c r="S122" s="1"/>
  <c r="S55"/>
  <c r="S118" s="1"/>
  <c r="U64"/>
  <c r="U127" s="1"/>
  <c r="U60"/>
  <c r="U123" s="1"/>
  <c r="U56"/>
  <c r="U119" s="1"/>
  <c r="U65"/>
  <c r="U128" s="1"/>
  <c r="U61"/>
  <c r="U124" s="1"/>
  <c r="U57"/>
  <c r="U120" s="1"/>
  <c r="W66"/>
  <c r="W129" s="1"/>
  <c r="W62"/>
  <c r="W125" s="1"/>
  <c r="W58"/>
  <c r="W121" s="1"/>
  <c r="W67"/>
  <c r="W130" s="1"/>
  <c r="W63"/>
  <c r="W126" s="1"/>
  <c r="W59"/>
  <c r="W122" s="1"/>
  <c r="W55"/>
  <c r="W118" s="1"/>
  <c r="Y64"/>
  <c r="Y127" s="1"/>
  <c r="Y60"/>
  <c r="Y123" s="1"/>
  <c r="Y56"/>
  <c r="Y119" s="1"/>
  <c r="Y65"/>
  <c r="Y128" s="1"/>
  <c r="Y61"/>
  <c r="Y124" s="1"/>
  <c r="Y57"/>
  <c r="Y120" s="1"/>
  <c r="AA66"/>
  <c r="AA129" s="1"/>
  <c r="AA62"/>
  <c r="AA125" s="1"/>
  <c r="AA58"/>
  <c r="AA121" s="1"/>
  <c r="AA67"/>
  <c r="AA130" s="1"/>
  <c r="AA63"/>
  <c r="AA126" s="1"/>
  <c r="AA59"/>
  <c r="AA122" s="1"/>
  <c r="AA55"/>
  <c r="AA118" s="1"/>
  <c r="AC64"/>
  <c r="AC127" s="1"/>
  <c r="AC60"/>
  <c r="AC123" s="1"/>
  <c r="AC56"/>
  <c r="AC119" s="1"/>
  <c r="AC65"/>
  <c r="AC128" s="1"/>
  <c r="AC61"/>
  <c r="AC124" s="1"/>
  <c r="AC57"/>
  <c r="AC120" s="1"/>
  <c r="AE66"/>
  <c r="AE129" s="1"/>
  <c r="AE62"/>
  <c r="AE125" s="1"/>
  <c r="AE58"/>
  <c r="AE121" s="1"/>
  <c r="AE67"/>
  <c r="AE130" s="1"/>
  <c r="AE63"/>
  <c r="AE126" s="1"/>
  <c r="AE59"/>
  <c r="AE122" s="1"/>
  <c r="AE55"/>
  <c r="AE118" s="1"/>
  <c r="AG64"/>
  <c r="AG127" s="1"/>
  <c r="AG60"/>
  <c r="AG123" s="1"/>
  <c r="AG56"/>
  <c r="AG119" s="1"/>
  <c r="AG65"/>
  <c r="AG128" s="1"/>
  <c r="AG61"/>
  <c r="AG124" s="1"/>
  <c r="AG57"/>
  <c r="AG120" s="1"/>
  <c r="AI66"/>
  <c r="AI129" s="1"/>
  <c r="AI62"/>
  <c r="AI125" s="1"/>
  <c r="AI58"/>
  <c r="AI121" s="1"/>
  <c r="AI67"/>
  <c r="AI130" s="1"/>
  <c r="AI63"/>
  <c r="AI126" s="1"/>
  <c r="AI59"/>
  <c r="AI122" s="1"/>
  <c r="AI55"/>
  <c r="AI118" s="1"/>
  <c r="L7"/>
  <c r="L70" s="1"/>
  <c r="P7"/>
  <c r="P70" s="1"/>
  <c r="T7"/>
  <c r="T70" s="1"/>
  <c r="X7"/>
  <c r="X70" s="1"/>
  <c r="AB7"/>
  <c r="AB70" s="1"/>
  <c r="AF7"/>
  <c r="AF70" s="1"/>
  <c r="AJ7"/>
  <c r="AJ70" s="1"/>
  <c r="M8"/>
  <c r="M71" s="1"/>
  <c r="Q8"/>
  <c r="Q71" s="1"/>
  <c r="U8"/>
  <c r="U71" s="1"/>
  <c r="Y8"/>
  <c r="Y71" s="1"/>
  <c r="AC8"/>
  <c r="AC71" s="1"/>
  <c r="AG8"/>
  <c r="AG71" s="1"/>
  <c r="J9"/>
  <c r="J72" s="1"/>
  <c r="N9"/>
  <c r="N72" s="1"/>
  <c r="R9"/>
  <c r="R72" s="1"/>
  <c r="V9"/>
  <c r="V72" s="1"/>
  <c r="Z9"/>
  <c r="Z72" s="1"/>
  <c r="AD9"/>
  <c r="AD72" s="1"/>
  <c r="AH9"/>
  <c r="AH72" s="1"/>
  <c r="K10"/>
  <c r="K73" s="1"/>
  <c r="O10"/>
  <c r="O73" s="1"/>
  <c r="S10"/>
  <c r="S73" s="1"/>
  <c r="W10"/>
  <c r="W73" s="1"/>
  <c r="AA10"/>
  <c r="AA73" s="1"/>
  <c r="AE10"/>
  <c r="AE73" s="1"/>
  <c r="AI10"/>
  <c r="AI73" s="1"/>
  <c r="L11"/>
  <c r="L74" s="1"/>
  <c r="P11"/>
  <c r="P74" s="1"/>
  <c r="T11"/>
  <c r="T74" s="1"/>
  <c r="X11"/>
  <c r="X74" s="1"/>
  <c r="AB11"/>
  <c r="AB74" s="1"/>
  <c r="AF11"/>
  <c r="AF74" s="1"/>
  <c r="AJ11"/>
  <c r="AJ74" s="1"/>
  <c r="M12"/>
  <c r="M75" s="1"/>
  <c r="Q12"/>
  <c r="Q75" s="1"/>
  <c r="U12"/>
  <c r="U75" s="1"/>
  <c r="Y12"/>
  <c r="Y75" s="1"/>
  <c r="AC12"/>
  <c r="AC75" s="1"/>
  <c r="AG12"/>
  <c r="AG75" s="1"/>
  <c r="J13"/>
  <c r="J76" s="1"/>
  <c r="N13"/>
  <c r="N76" s="1"/>
  <c r="R13"/>
  <c r="R76" s="1"/>
  <c r="V13"/>
  <c r="V76" s="1"/>
  <c r="Z13"/>
  <c r="Z76" s="1"/>
  <c r="AD13"/>
  <c r="AD76" s="1"/>
  <c r="AH13"/>
  <c r="AH76" s="1"/>
  <c r="K14"/>
  <c r="K77" s="1"/>
  <c r="O14"/>
  <c r="O77" s="1"/>
  <c r="S14"/>
  <c r="S77" s="1"/>
  <c r="W14"/>
  <c r="W77" s="1"/>
  <c r="AA14"/>
  <c r="AA77" s="1"/>
  <c r="AE14"/>
  <c r="AE77" s="1"/>
  <c r="AI14"/>
  <c r="AI77" s="1"/>
  <c r="L15"/>
  <c r="L78" s="1"/>
  <c r="P15"/>
  <c r="P78" s="1"/>
  <c r="T15"/>
  <c r="T78" s="1"/>
  <c r="X15"/>
  <c r="X78" s="1"/>
  <c r="AB15"/>
  <c r="AB78" s="1"/>
  <c r="AF15"/>
  <c r="AF78" s="1"/>
  <c r="AJ15"/>
  <c r="AJ78" s="1"/>
  <c r="M16"/>
  <c r="M79" s="1"/>
  <c r="Q16"/>
  <c r="Q79" s="1"/>
  <c r="U16"/>
  <c r="U79" s="1"/>
  <c r="Y16"/>
  <c r="Y79" s="1"/>
  <c r="AC16"/>
  <c r="AC79" s="1"/>
  <c r="AG16"/>
  <c r="AG79" s="1"/>
  <c r="J17"/>
  <c r="J80" s="1"/>
  <c r="N17"/>
  <c r="N80" s="1"/>
  <c r="R17"/>
  <c r="R80" s="1"/>
  <c r="V17"/>
  <c r="V80" s="1"/>
  <c r="Z17"/>
  <c r="Z80" s="1"/>
  <c r="AD17"/>
  <c r="AD80" s="1"/>
  <c r="AH17"/>
  <c r="AH80" s="1"/>
  <c r="K18"/>
  <c r="K81" s="1"/>
  <c r="O18"/>
  <c r="O81" s="1"/>
  <c r="S18"/>
  <c r="S81" s="1"/>
  <c r="W18"/>
  <c r="W81" s="1"/>
  <c r="AA18"/>
  <c r="AA81" s="1"/>
  <c r="AE18"/>
  <c r="AE81" s="1"/>
  <c r="AI18"/>
  <c r="AI81" s="1"/>
  <c r="L19"/>
  <c r="L82" s="1"/>
  <c r="P19"/>
  <c r="P82" s="1"/>
  <c r="T19"/>
  <c r="T82" s="1"/>
  <c r="X19"/>
  <c r="X82" s="1"/>
  <c r="AB19"/>
  <c r="AB82" s="1"/>
  <c r="AF19"/>
  <c r="AF82" s="1"/>
  <c r="AJ19"/>
  <c r="AJ82" s="1"/>
  <c r="M20"/>
  <c r="M83" s="1"/>
  <c r="Q20"/>
  <c r="Q83" s="1"/>
  <c r="U20"/>
  <c r="U83" s="1"/>
  <c r="Y20"/>
  <c r="Y83" s="1"/>
  <c r="AC20"/>
  <c r="AC83" s="1"/>
  <c r="AG20"/>
  <c r="AG83" s="1"/>
  <c r="J21"/>
  <c r="J84" s="1"/>
  <c r="N21"/>
  <c r="N84" s="1"/>
  <c r="R21"/>
  <c r="R84" s="1"/>
  <c r="V21"/>
  <c r="V84" s="1"/>
  <c r="Z21"/>
  <c r="Z84" s="1"/>
  <c r="AD21"/>
  <c r="AD84" s="1"/>
  <c r="AH21"/>
  <c r="AH84" s="1"/>
  <c r="K22"/>
  <c r="K85" s="1"/>
  <c r="O22"/>
  <c r="O85" s="1"/>
  <c r="S22"/>
  <c r="S85" s="1"/>
  <c r="W22"/>
  <c r="W85" s="1"/>
  <c r="AA22"/>
  <c r="AA85" s="1"/>
  <c r="AE22"/>
  <c r="AE85" s="1"/>
  <c r="AI22"/>
  <c r="AI85" s="1"/>
  <c r="L23"/>
  <c r="L86" s="1"/>
  <c r="P23"/>
  <c r="P86" s="1"/>
  <c r="T23"/>
  <c r="T86" s="1"/>
  <c r="X23"/>
  <c r="X86" s="1"/>
  <c r="AB23"/>
  <c r="AB86" s="1"/>
  <c r="AF23"/>
  <c r="AF86" s="1"/>
  <c r="AJ23"/>
  <c r="AJ86" s="1"/>
  <c r="M24"/>
  <c r="M87" s="1"/>
  <c r="Q24"/>
  <c r="Q87" s="1"/>
  <c r="U24"/>
  <c r="U87" s="1"/>
  <c r="Y24"/>
  <c r="Y87" s="1"/>
  <c r="AC24"/>
  <c r="AC87" s="1"/>
  <c r="AG24"/>
  <c r="AG87" s="1"/>
  <c r="J25"/>
  <c r="J88" s="1"/>
  <c r="N25"/>
  <c r="N88" s="1"/>
  <c r="R25"/>
  <c r="R88" s="1"/>
  <c r="V25"/>
  <c r="V88" s="1"/>
  <c r="Z25"/>
  <c r="Z88" s="1"/>
  <c r="AD25"/>
  <c r="AD88" s="1"/>
  <c r="AH25"/>
  <c r="AH88" s="1"/>
  <c r="K26"/>
  <c r="K89" s="1"/>
  <c r="O26"/>
  <c r="O89" s="1"/>
  <c r="S26"/>
  <c r="S89" s="1"/>
  <c r="W26"/>
  <c r="W89" s="1"/>
  <c r="AA26"/>
  <c r="AA89" s="1"/>
  <c r="AE26"/>
  <c r="AE89" s="1"/>
  <c r="AI26"/>
  <c r="AI89" s="1"/>
  <c r="L27"/>
  <c r="L90" s="1"/>
  <c r="P27"/>
  <c r="P90" s="1"/>
  <c r="T27"/>
  <c r="T90" s="1"/>
  <c r="X27"/>
  <c r="X90" s="1"/>
  <c r="AB27"/>
  <c r="AB90" s="1"/>
  <c r="AF27"/>
  <c r="AF90" s="1"/>
  <c r="AJ27"/>
  <c r="AJ90" s="1"/>
  <c r="M28"/>
  <c r="M91" s="1"/>
  <c r="Q28"/>
  <c r="Q91" s="1"/>
  <c r="U28"/>
  <c r="U91" s="1"/>
  <c r="Y28"/>
  <c r="Y91" s="1"/>
  <c r="AC28"/>
  <c r="AC91" s="1"/>
  <c r="AG28"/>
  <c r="AG91" s="1"/>
  <c r="J29"/>
  <c r="J92" s="1"/>
  <c r="N29"/>
  <c r="N92" s="1"/>
  <c r="R29"/>
  <c r="R92" s="1"/>
  <c r="V29"/>
  <c r="V92" s="1"/>
  <c r="Z29"/>
  <c r="Z92" s="1"/>
  <c r="AD29"/>
  <c r="AD92" s="1"/>
  <c r="AH29"/>
  <c r="AH92" s="1"/>
  <c r="K30"/>
  <c r="K93" s="1"/>
  <c r="O30"/>
  <c r="O93" s="1"/>
  <c r="S30"/>
  <c r="S93" s="1"/>
  <c r="W30"/>
  <c r="W93" s="1"/>
  <c r="AA30"/>
  <c r="AA93" s="1"/>
  <c r="AE30"/>
  <c r="AE93" s="1"/>
  <c r="AI30"/>
  <c r="AI93" s="1"/>
  <c r="L31"/>
  <c r="L94" s="1"/>
  <c r="P31"/>
  <c r="P94" s="1"/>
  <c r="T31"/>
  <c r="T94" s="1"/>
  <c r="X31"/>
  <c r="X94" s="1"/>
  <c r="AB31"/>
  <c r="AB94" s="1"/>
  <c r="AF31"/>
  <c r="AF94" s="1"/>
  <c r="AJ31"/>
  <c r="AJ94" s="1"/>
  <c r="M32"/>
  <c r="M95" s="1"/>
  <c r="Q32"/>
  <c r="Q95" s="1"/>
  <c r="U32"/>
  <c r="U95" s="1"/>
  <c r="Y32"/>
  <c r="Y95" s="1"/>
  <c r="AC32"/>
  <c r="AC95" s="1"/>
  <c r="AG32"/>
  <c r="AG95" s="1"/>
  <c r="J33"/>
  <c r="J96" s="1"/>
  <c r="N33"/>
  <c r="N96" s="1"/>
  <c r="R33"/>
  <c r="R96" s="1"/>
  <c r="V33"/>
  <c r="V96" s="1"/>
  <c r="Z33"/>
  <c r="Z96" s="1"/>
  <c r="AD33"/>
  <c r="AD96" s="1"/>
  <c r="AH33"/>
  <c r="AH96" s="1"/>
  <c r="K34"/>
  <c r="K97" s="1"/>
  <c r="O34"/>
  <c r="O97" s="1"/>
  <c r="S34"/>
  <c r="S97" s="1"/>
  <c r="W34"/>
  <c r="W97" s="1"/>
  <c r="AA34"/>
  <c r="AA97" s="1"/>
  <c r="AE34"/>
  <c r="AE97" s="1"/>
  <c r="AI34"/>
  <c r="AI97" s="1"/>
  <c r="L35"/>
  <c r="L98" s="1"/>
  <c r="P35"/>
  <c r="P98" s="1"/>
  <c r="T35"/>
  <c r="T98" s="1"/>
  <c r="X35"/>
  <c r="X98" s="1"/>
  <c r="AB35"/>
  <c r="AB98" s="1"/>
  <c r="AF35"/>
  <c r="AF98" s="1"/>
  <c r="AJ35"/>
  <c r="AJ98" s="1"/>
  <c r="M36"/>
  <c r="M99" s="1"/>
  <c r="Q36"/>
  <c r="Q99" s="1"/>
  <c r="U36"/>
  <c r="U99" s="1"/>
  <c r="Y36"/>
  <c r="Y99" s="1"/>
  <c r="AC36"/>
  <c r="AC99" s="1"/>
  <c r="AG36"/>
  <c r="AG99" s="1"/>
  <c r="J37"/>
  <c r="J100" s="1"/>
  <c r="N37"/>
  <c r="N100" s="1"/>
  <c r="R37"/>
  <c r="R100" s="1"/>
  <c r="V37"/>
  <c r="V100" s="1"/>
  <c r="Z37"/>
  <c r="Z100" s="1"/>
  <c r="AD37"/>
  <c r="AD100" s="1"/>
  <c r="AH37"/>
  <c r="AH100" s="1"/>
  <c r="K38"/>
  <c r="K101" s="1"/>
  <c r="O38"/>
  <c r="O101" s="1"/>
  <c r="S38"/>
  <c r="S101" s="1"/>
  <c r="W38"/>
  <c r="W101" s="1"/>
  <c r="AA38"/>
  <c r="AA101" s="1"/>
  <c r="AE38"/>
  <c r="AE101" s="1"/>
  <c r="AI38"/>
  <c r="AI101" s="1"/>
  <c r="L39"/>
  <c r="L102" s="1"/>
  <c r="P39"/>
  <c r="P102" s="1"/>
  <c r="T39"/>
  <c r="T102" s="1"/>
  <c r="X39"/>
  <c r="X102" s="1"/>
  <c r="AB39"/>
  <c r="AB102" s="1"/>
  <c r="AF39"/>
  <c r="AF102" s="1"/>
  <c r="AJ39"/>
  <c r="AJ102" s="1"/>
  <c r="M40"/>
  <c r="M103" s="1"/>
  <c r="Q40"/>
  <c r="Q103" s="1"/>
  <c r="U40"/>
  <c r="U103" s="1"/>
  <c r="Y40"/>
  <c r="Y103" s="1"/>
  <c r="AC40"/>
  <c r="AC103" s="1"/>
  <c r="AG40"/>
  <c r="AG103" s="1"/>
  <c r="J41"/>
  <c r="J104" s="1"/>
  <c r="N41"/>
  <c r="N104" s="1"/>
  <c r="R41"/>
  <c r="R104" s="1"/>
  <c r="V41"/>
  <c r="V104" s="1"/>
  <c r="Z41"/>
  <c r="Z104" s="1"/>
  <c r="AD41"/>
  <c r="AD104" s="1"/>
  <c r="AH41"/>
  <c r="AH104" s="1"/>
  <c r="K42"/>
  <c r="K105" s="1"/>
  <c r="O42"/>
  <c r="O105" s="1"/>
  <c r="S42"/>
  <c r="S105" s="1"/>
  <c r="W42"/>
  <c r="W105" s="1"/>
  <c r="AA42"/>
  <c r="AA105" s="1"/>
  <c r="AE42"/>
  <c r="AE105" s="1"/>
  <c r="AI42"/>
  <c r="AI105" s="1"/>
  <c r="L43"/>
  <c r="L106" s="1"/>
  <c r="P43"/>
  <c r="P106" s="1"/>
  <c r="T43"/>
  <c r="T106" s="1"/>
  <c r="X43"/>
  <c r="X106" s="1"/>
  <c r="AB43"/>
  <c r="AB106" s="1"/>
  <c r="AF43"/>
  <c r="AF106" s="1"/>
  <c r="AJ43"/>
  <c r="AJ106" s="1"/>
  <c r="M44"/>
  <c r="M107" s="1"/>
  <c r="Q44"/>
  <c r="Q107" s="1"/>
  <c r="U44"/>
  <c r="U107" s="1"/>
  <c r="Y44"/>
  <c r="Y107" s="1"/>
  <c r="AC44"/>
  <c r="AC107" s="1"/>
  <c r="AG44"/>
  <c r="AG107" s="1"/>
  <c r="J45"/>
  <c r="J108" s="1"/>
  <c r="N45"/>
  <c r="N108" s="1"/>
  <c r="R45"/>
  <c r="R108" s="1"/>
  <c r="V45"/>
  <c r="V108" s="1"/>
  <c r="Z45"/>
  <c r="Z108" s="1"/>
  <c r="AD45"/>
  <c r="AD108" s="1"/>
  <c r="AH45"/>
  <c r="AH108" s="1"/>
  <c r="K46"/>
  <c r="K109" s="1"/>
  <c r="O46"/>
  <c r="O109" s="1"/>
  <c r="S46"/>
  <c r="S109" s="1"/>
  <c r="W46"/>
  <c r="W109" s="1"/>
  <c r="AA46"/>
  <c r="AA109" s="1"/>
  <c r="AE46"/>
  <c r="AE109" s="1"/>
  <c r="AI46"/>
  <c r="AI109" s="1"/>
  <c r="L47"/>
  <c r="L110" s="1"/>
  <c r="P47"/>
  <c r="P110" s="1"/>
  <c r="T47"/>
  <c r="T110" s="1"/>
  <c r="X47"/>
  <c r="X110" s="1"/>
  <c r="AB47"/>
  <c r="AB110" s="1"/>
  <c r="AF47"/>
  <c r="AF110" s="1"/>
  <c r="AJ47"/>
  <c r="AJ110" s="1"/>
  <c r="M48"/>
  <c r="M111" s="1"/>
  <c r="Q48"/>
  <c r="Q111" s="1"/>
  <c r="U48"/>
  <c r="U111" s="1"/>
  <c r="Y48"/>
  <c r="Y111" s="1"/>
  <c r="AC48"/>
  <c r="AC111" s="1"/>
  <c r="AG48"/>
  <c r="AG111" s="1"/>
  <c r="J49"/>
  <c r="J112" s="1"/>
  <c r="N49"/>
  <c r="N112" s="1"/>
  <c r="R49"/>
  <c r="R112" s="1"/>
  <c r="V49"/>
  <c r="V112" s="1"/>
  <c r="Z49"/>
  <c r="Z112" s="1"/>
  <c r="AD49"/>
  <c r="AD112" s="1"/>
  <c r="AH49"/>
  <c r="AH112" s="1"/>
  <c r="K50"/>
  <c r="K113" s="1"/>
  <c r="O50"/>
  <c r="O113" s="1"/>
  <c r="S50"/>
  <c r="S113" s="1"/>
  <c r="W50"/>
  <c r="W113" s="1"/>
  <c r="AA50"/>
  <c r="AA113" s="1"/>
  <c r="AE50"/>
  <c r="AE113" s="1"/>
  <c r="AI50"/>
  <c r="AI113" s="1"/>
  <c r="L51"/>
  <c r="L114" s="1"/>
  <c r="P51"/>
  <c r="P114" s="1"/>
  <c r="T51"/>
  <c r="T114" s="1"/>
  <c r="X51"/>
  <c r="X114" s="1"/>
  <c r="AB51"/>
  <c r="AB114" s="1"/>
  <c r="AF51"/>
  <c r="AF114" s="1"/>
  <c r="AJ51"/>
  <c r="AJ114" s="1"/>
  <c r="M52"/>
  <c r="M115" s="1"/>
  <c r="Q52"/>
  <c r="Q115" s="1"/>
  <c r="U52"/>
  <c r="U115" s="1"/>
  <c r="Y52"/>
  <c r="Y115" s="1"/>
  <c r="AC52"/>
  <c r="AC115" s="1"/>
  <c r="AG52"/>
  <c r="AG115" s="1"/>
  <c r="J53"/>
  <c r="J116" s="1"/>
  <c r="N53"/>
  <c r="N116" s="1"/>
  <c r="R53"/>
  <c r="R116" s="1"/>
  <c r="V53"/>
  <c r="V116" s="1"/>
  <c r="Z53"/>
  <c r="Z116" s="1"/>
  <c r="AD53"/>
  <c r="AD116" s="1"/>
  <c r="AH53"/>
  <c r="AH116" s="1"/>
  <c r="K54"/>
  <c r="K117" s="1"/>
  <c r="O54"/>
  <c r="O117" s="1"/>
  <c r="S54"/>
  <c r="S117" s="1"/>
  <c r="W54"/>
  <c r="W117" s="1"/>
  <c r="AA54"/>
  <c r="AA117" s="1"/>
  <c r="AE54"/>
  <c r="AE117" s="1"/>
  <c r="AI54"/>
  <c r="AI117" s="1"/>
  <c r="L55"/>
  <c r="L118" s="1"/>
  <c r="AD55" i="55"/>
  <c r="AD118" s="1"/>
  <c r="Z55"/>
  <c r="Z118" s="1"/>
  <c r="V55"/>
  <c r="V118" s="1"/>
  <c r="R55"/>
  <c r="R118" s="1"/>
  <c r="N55"/>
  <c r="N118" s="1"/>
  <c r="J55"/>
  <c r="J118" s="1"/>
  <c r="AG54"/>
  <c r="AG117" s="1"/>
  <c r="AC54"/>
  <c r="AC117" s="1"/>
  <c r="Y54"/>
  <c r="Y117" s="1"/>
  <c r="U54"/>
  <c r="U117" s="1"/>
  <c r="Q54"/>
  <c r="Q117" s="1"/>
  <c r="M54"/>
  <c r="M117" s="1"/>
  <c r="AJ53"/>
  <c r="AJ116" s="1"/>
  <c r="AF53"/>
  <c r="AF116" s="1"/>
  <c r="AB53"/>
  <c r="AB116" s="1"/>
  <c r="X53"/>
  <c r="X116" s="1"/>
  <c r="T53"/>
  <c r="T116" s="1"/>
  <c r="P53"/>
  <c r="P116" s="1"/>
  <c r="L53"/>
  <c r="L116" s="1"/>
  <c r="AI52"/>
  <c r="AI115" s="1"/>
  <c r="AE52"/>
  <c r="AE115" s="1"/>
  <c r="AA52"/>
  <c r="AA115" s="1"/>
  <c r="W52"/>
  <c r="W115" s="1"/>
  <c r="S52"/>
  <c r="S115" s="1"/>
  <c r="O52"/>
  <c r="O115" s="1"/>
  <c r="K52"/>
  <c r="K115" s="1"/>
  <c r="AH51"/>
  <c r="AH114" s="1"/>
  <c r="AD51"/>
  <c r="AD114" s="1"/>
  <c r="Z51"/>
  <c r="Z114" s="1"/>
  <c r="V51"/>
  <c r="V114" s="1"/>
  <c r="R51"/>
  <c r="R114" s="1"/>
  <c r="N51"/>
  <c r="N114" s="1"/>
  <c r="J51"/>
  <c r="J114" s="1"/>
  <c r="AG50"/>
  <c r="AG113" s="1"/>
  <c r="AC50"/>
  <c r="AC113" s="1"/>
  <c r="Y50"/>
  <c r="Y113" s="1"/>
  <c r="U50"/>
  <c r="U113" s="1"/>
  <c r="Q50"/>
  <c r="Q113" s="1"/>
  <c r="M50"/>
  <c r="M113" s="1"/>
  <c r="AJ49"/>
  <c r="AJ112" s="1"/>
  <c r="AF49"/>
  <c r="AF112" s="1"/>
  <c r="AB49"/>
  <c r="AB112" s="1"/>
  <c r="X49"/>
  <c r="X112" s="1"/>
  <c r="T49"/>
  <c r="T112" s="1"/>
  <c r="P49"/>
  <c r="P112" s="1"/>
  <c r="L49"/>
  <c r="L112" s="1"/>
  <c r="AI48"/>
  <c r="AI111" s="1"/>
  <c r="AE48"/>
  <c r="AE111" s="1"/>
  <c r="AA48"/>
  <c r="AA111" s="1"/>
  <c r="W48"/>
  <c r="W111" s="1"/>
  <c r="S48"/>
  <c r="S111" s="1"/>
  <c r="O48"/>
  <c r="O111" s="1"/>
  <c r="K48"/>
  <c r="K111" s="1"/>
  <c r="AH47"/>
  <c r="AH110" s="1"/>
  <c r="AD47"/>
  <c r="AD110" s="1"/>
  <c r="Z47"/>
  <c r="Z110" s="1"/>
  <c r="V47"/>
  <c r="V110" s="1"/>
  <c r="R47"/>
  <c r="R110" s="1"/>
  <c r="N47"/>
  <c r="N110" s="1"/>
  <c r="J47"/>
  <c r="J110" s="1"/>
  <c r="AG46"/>
  <c r="AG109" s="1"/>
  <c r="AC46"/>
  <c r="AC109" s="1"/>
  <c r="Y46"/>
  <c r="Y109" s="1"/>
  <c r="U46"/>
  <c r="U109" s="1"/>
  <c r="Q46"/>
  <c r="Q109" s="1"/>
  <c r="M46"/>
  <c r="M109" s="1"/>
  <c r="AJ45"/>
  <c r="AJ108" s="1"/>
  <c r="AF45"/>
  <c r="AF108" s="1"/>
  <c r="AB45"/>
  <c r="AB108" s="1"/>
  <c r="X45"/>
  <c r="X108" s="1"/>
  <c r="T45"/>
  <c r="T108" s="1"/>
  <c r="P45"/>
  <c r="P108" s="1"/>
  <c r="L45"/>
  <c r="L108" s="1"/>
  <c r="AI44"/>
  <c r="AI107" s="1"/>
  <c r="AE44"/>
  <c r="AE107" s="1"/>
  <c r="AA44"/>
  <c r="AA107" s="1"/>
  <c r="W44"/>
  <c r="W107" s="1"/>
  <c r="S44"/>
  <c r="S107" s="1"/>
  <c r="O44"/>
  <c r="O107" s="1"/>
  <c r="K44"/>
  <c r="K107" s="1"/>
  <c r="AH43"/>
  <c r="AH106" s="1"/>
  <c r="AD43"/>
  <c r="AD106" s="1"/>
  <c r="Z43"/>
  <c r="Z106" s="1"/>
  <c r="V43"/>
  <c r="V106" s="1"/>
  <c r="R43"/>
  <c r="R106" s="1"/>
  <c r="N43"/>
  <c r="N106" s="1"/>
  <c r="J43"/>
  <c r="J106" s="1"/>
  <c r="AG42"/>
  <c r="AG105" s="1"/>
  <c r="AC42"/>
  <c r="AC105" s="1"/>
  <c r="Y42"/>
  <c r="Y105" s="1"/>
  <c r="U42"/>
  <c r="U105" s="1"/>
  <c r="Q42"/>
  <c r="Q105" s="1"/>
  <c r="M42"/>
  <c r="M105" s="1"/>
  <c r="AJ41"/>
  <c r="AJ104" s="1"/>
  <c r="AF41"/>
  <c r="AF104" s="1"/>
  <c r="AB41"/>
  <c r="AB104" s="1"/>
  <c r="X41"/>
  <c r="X104" s="1"/>
  <c r="T41"/>
  <c r="T104" s="1"/>
  <c r="P41"/>
  <c r="P104" s="1"/>
  <c r="L41"/>
  <c r="L104" s="1"/>
  <c r="AI40"/>
  <c r="AI103" s="1"/>
  <c r="AE40"/>
  <c r="AE103" s="1"/>
  <c r="AA40"/>
  <c r="AA103" s="1"/>
  <c r="W40"/>
  <c r="W103" s="1"/>
  <c r="S40"/>
  <c r="S103" s="1"/>
  <c r="O40"/>
  <c r="O103" s="1"/>
  <c r="K40"/>
  <c r="K103" s="1"/>
  <c r="AH39"/>
  <c r="AH102" s="1"/>
  <c r="AD39"/>
  <c r="AD102" s="1"/>
  <c r="Z39"/>
  <c r="Z102" s="1"/>
  <c r="V39"/>
  <c r="V102" s="1"/>
  <c r="R39"/>
  <c r="R102" s="1"/>
  <c r="N39"/>
  <c r="N102" s="1"/>
  <c r="J39"/>
  <c r="J102" s="1"/>
  <c r="AG38"/>
  <c r="AG101" s="1"/>
  <c r="AC38"/>
  <c r="AC101" s="1"/>
  <c r="Y38"/>
  <c r="Y101" s="1"/>
  <c r="U38"/>
  <c r="U101" s="1"/>
  <c r="Q38"/>
  <c r="Q101" s="1"/>
  <c r="M38"/>
  <c r="M101" s="1"/>
  <c r="AJ37"/>
  <c r="AJ100" s="1"/>
  <c r="AF37"/>
  <c r="AF100" s="1"/>
  <c r="AB37"/>
  <c r="AB100" s="1"/>
  <c r="X37"/>
  <c r="X100" s="1"/>
  <c r="T37"/>
  <c r="T100" s="1"/>
  <c r="P37"/>
  <c r="P100" s="1"/>
  <c r="L37"/>
  <c r="L100" s="1"/>
  <c r="AI36"/>
  <c r="AI99" s="1"/>
  <c r="AE36"/>
  <c r="AE99" s="1"/>
  <c r="AA36"/>
  <c r="AA99" s="1"/>
  <c r="W36"/>
  <c r="W99" s="1"/>
  <c r="S36"/>
  <c r="S99" s="1"/>
  <c r="O36"/>
  <c r="O99" s="1"/>
  <c r="K36"/>
  <c r="K99" s="1"/>
  <c r="AH35"/>
  <c r="AH98" s="1"/>
  <c r="AD35"/>
  <c r="AD98" s="1"/>
  <c r="Z35"/>
  <c r="Z98" s="1"/>
  <c r="V35"/>
  <c r="V98" s="1"/>
  <c r="R35"/>
  <c r="R98" s="1"/>
  <c r="N35"/>
  <c r="N98" s="1"/>
  <c r="J35"/>
  <c r="J98" s="1"/>
  <c r="AG34"/>
  <c r="AG97" s="1"/>
  <c r="AC34"/>
  <c r="AC97" s="1"/>
  <c r="Y34"/>
  <c r="Y97" s="1"/>
  <c r="U34"/>
  <c r="U97" s="1"/>
  <c r="Q34"/>
  <c r="Q97" s="1"/>
  <c r="M34"/>
  <c r="M97" s="1"/>
  <c r="AJ33"/>
  <c r="AJ96" s="1"/>
  <c r="AF33"/>
  <c r="AF96" s="1"/>
  <c r="AB33"/>
  <c r="AB96" s="1"/>
  <c r="X33"/>
  <c r="X96" s="1"/>
  <c r="T33"/>
  <c r="T96" s="1"/>
  <c r="P33"/>
  <c r="P96" s="1"/>
  <c r="L33"/>
  <c r="L96" s="1"/>
  <c r="AI32"/>
  <c r="AI95" s="1"/>
  <c r="AE32"/>
  <c r="AE95" s="1"/>
  <c r="AA32"/>
  <c r="AA95" s="1"/>
  <c r="W32"/>
  <c r="W95" s="1"/>
  <c r="S32"/>
  <c r="S95" s="1"/>
  <c r="O32"/>
  <c r="O95" s="1"/>
  <c r="K32"/>
  <c r="K95" s="1"/>
  <c r="AH31"/>
  <c r="AH94" s="1"/>
  <c r="AD31"/>
  <c r="AD94" s="1"/>
  <c r="Z31"/>
  <c r="Z94" s="1"/>
  <c r="V31"/>
  <c r="V94" s="1"/>
  <c r="R31"/>
  <c r="R94" s="1"/>
  <c r="N31"/>
  <c r="N94" s="1"/>
  <c r="J31"/>
  <c r="J94" s="1"/>
  <c r="AG30"/>
  <c r="AG93" s="1"/>
  <c r="AC30"/>
  <c r="AC93" s="1"/>
  <c r="Y30"/>
  <c r="Y93" s="1"/>
  <c r="U30"/>
  <c r="U93" s="1"/>
  <c r="Q30"/>
  <c r="Q93" s="1"/>
  <c r="M30"/>
  <c r="M93" s="1"/>
  <c r="AJ29"/>
  <c r="AJ92" s="1"/>
  <c r="AF29"/>
  <c r="AF92" s="1"/>
  <c r="Z29"/>
  <c r="Z92" s="1"/>
  <c r="R29"/>
  <c r="R92" s="1"/>
  <c r="J29"/>
  <c r="J92" s="1"/>
  <c r="J15" i="57"/>
  <c r="J78" s="1"/>
  <c r="N15"/>
  <c r="N78" s="1"/>
  <c r="R15"/>
  <c r="R78" s="1"/>
  <c r="V15"/>
  <c r="V78" s="1"/>
  <c r="Z15"/>
  <c r="Z78" s="1"/>
  <c r="AD15"/>
  <c r="AD78" s="1"/>
  <c r="AH15"/>
  <c r="AH78" s="1"/>
  <c r="K64"/>
  <c r="K127" s="1"/>
  <c r="K60"/>
  <c r="K123" s="1"/>
  <c r="K56"/>
  <c r="K119" s="1"/>
  <c r="K65"/>
  <c r="K128" s="1"/>
  <c r="K61"/>
  <c r="K124" s="1"/>
  <c r="K57"/>
  <c r="K120" s="1"/>
  <c r="K53"/>
  <c r="K116" s="1"/>
  <c r="K49"/>
  <c r="K112" s="1"/>
  <c r="K45"/>
  <c r="K108" s="1"/>
  <c r="K41"/>
  <c r="K104" s="1"/>
  <c r="K37"/>
  <c r="K100" s="1"/>
  <c r="K33"/>
  <c r="K96" s="1"/>
  <c r="K29"/>
  <c r="K92" s="1"/>
  <c r="K25"/>
  <c r="K88" s="1"/>
  <c r="K21"/>
  <c r="K84" s="1"/>
  <c r="K17"/>
  <c r="K80" s="1"/>
  <c r="K52"/>
  <c r="K115" s="1"/>
  <c r="K48"/>
  <c r="K111" s="1"/>
  <c r="K44"/>
  <c r="K107" s="1"/>
  <c r="K40"/>
  <c r="K103" s="1"/>
  <c r="K36"/>
  <c r="K99" s="1"/>
  <c r="K32"/>
  <c r="K95" s="1"/>
  <c r="K28"/>
  <c r="K91" s="1"/>
  <c r="K24"/>
  <c r="K87" s="1"/>
  <c r="K20"/>
  <c r="K83" s="1"/>
  <c r="M66"/>
  <c r="M129" s="1"/>
  <c r="M62"/>
  <c r="M125" s="1"/>
  <c r="M58"/>
  <c r="M121" s="1"/>
  <c r="M67"/>
  <c r="M130" s="1"/>
  <c r="M63"/>
  <c r="M126" s="1"/>
  <c r="M59"/>
  <c r="M122" s="1"/>
  <c r="M55"/>
  <c r="M118" s="1"/>
  <c r="M51"/>
  <c r="M114" s="1"/>
  <c r="M47"/>
  <c r="M110" s="1"/>
  <c r="M43"/>
  <c r="M106" s="1"/>
  <c r="M39"/>
  <c r="M102" s="1"/>
  <c r="M35"/>
  <c r="M98" s="1"/>
  <c r="M31"/>
  <c r="M94" s="1"/>
  <c r="M27"/>
  <c r="M90" s="1"/>
  <c r="M23"/>
  <c r="M86" s="1"/>
  <c r="M19"/>
  <c r="M82" s="1"/>
  <c r="M54"/>
  <c r="M117" s="1"/>
  <c r="M50"/>
  <c r="M113" s="1"/>
  <c r="M46"/>
  <c r="M109" s="1"/>
  <c r="M42"/>
  <c r="M105" s="1"/>
  <c r="M38"/>
  <c r="M101" s="1"/>
  <c r="M34"/>
  <c r="M97" s="1"/>
  <c r="M30"/>
  <c r="M93" s="1"/>
  <c r="M26"/>
  <c r="M89" s="1"/>
  <c r="M22"/>
  <c r="M85" s="1"/>
  <c r="M18"/>
  <c r="M81" s="1"/>
  <c r="O64"/>
  <c r="O127" s="1"/>
  <c r="O60"/>
  <c r="O123" s="1"/>
  <c r="O56"/>
  <c r="O119" s="1"/>
  <c r="O65"/>
  <c r="O128" s="1"/>
  <c r="O61"/>
  <c r="O124" s="1"/>
  <c r="O57"/>
  <c r="O120" s="1"/>
  <c r="O53"/>
  <c r="O116" s="1"/>
  <c r="O49"/>
  <c r="O112" s="1"/>
  <c r="O45"/>
  <c r="O108" s="1"/>
  <c r="O41"/>
  <c r="O104" s="1"/>
  <c r="O37"/>
  <c r="O100" s="1"/>
  <c r="O33"/>
  <c r="O96" s="1"/>
  <c r="O29"/>
  <c r="O92" s="1"/>
  <c r="O25"/>
  <c r="O88" s="1"/>
  <c r="O21"/>
  <c r="O84" s="1"/>
  <c r="O17"/>
  <c r="O80" s="1"/>
  <c r="O52"/>
  <c r="O115" s="1"/>
  <c r="O48"/>
  <c r="O111" s="1"/>
  <c r="O44"/>
  <c r="O107" s="1"/>
  <c r="O40"/>
  <c r="O103" s="1"/>
  <c r="O36"/>
  <c r="O99" s="1"/>
  <c r="O32"/>
  <c r="O95" s="1"/>
  <c r="O28"/>
  <c r="O91" s="1"/>
  <c r="O24"/>
  <c r="O87" s="1"/>
  <c r="O20"/>
  <c r="O83" s="1"/>
  <c r="Q66"/>
  <c r="Q129" s="1"/>
  <c r="Q62"/>
  <c r="Q125" s="1"/>
  <c r="Q58"/>
  <c r="Q121" s="1"/>
  <c r="Q67"/>
  <c r="Q130" s="1"/>
  <c r="Q63"/>
  <c r="Q126" s="1"/>
  <c r="Q59"/>
  <c r="Q122" s="1"/>
  <c r="Q55"/>
  <c r="Q118" s="1"/>
  <c r="Q51"/>
  <c r="Q114" s="1"/>
  <c r="Q47"/>
  <c r="Q110" s="1"/>
  <c r="Q43"/>
  <c r="Q106" s="1"/>
  <c r="Q39"/>
  <c r="Q102" s="1"/>
  <c r="Q35"/>
  <c r="Q98" s="1"/>
  <c r="Q31"/>
  <c r="Q94" s="1"/>
  <c r="Q27"/>
  <c r="Q90" s="1"/>
  <c r="Q23"/>
  <c r="Q86" s="1"/>
  <c r="Q19"/>
  <c r="Q82" s="1"/>
  <c r="Q54"/>
  <c r="Q117" s="1"/>
  <c r="Q50"/>
  <c r="Q113" s="1"/>
  <c r="Q46"/>
  <c r="Q109" s="1"/>
  <c r="Q42"/>
  <c r="Q105" s="1"/>
  <c r="Q38"/>
  <c r="Q101" s="1"/>
  <c r="Q34"/>
  <c r="Q97" s="1"/>
  <c r="Q30"/>
  <c r="Q93" s="1"/>
  <c r="Q26"/>
  <c r="Q89" s="1"/>
  <c r="Q22"/>
  <c r="Q85" s="1"/>
  <c r="Q18"/>
  <c r="Q81" s="1"/>
  <c r="S64"/>
  <c r="S127" s="1"/>
  <c r="S60"/>
  <c r="S123" s="1"/>
  <c r="S56"/>
  <c r="S119" s="1"/>
  <c r="S65"/>
  <c r="S128" s="1"/>
  <c r="S61"/>
  <c r="S124" s="1"/>
  <c r="S57"/>
  <c r="S120" s="1"/>
  <c r="S53"/>
  <c r="S116" s="1"/>
  <c r="S49"/>
  <c r="S112" s="1"/>
  <c r="S45"/>
  <c r="S108" s="1"/>
  <c r="S41"/>
  <c r="S104" s="1"/>
  <c r="S37"/>
  <c r="S100" s="1"/>
  <c r="S33"/>
  <c r="S96" s="1"/>
  <c r="S29"/>
  <c r="S92" s="1"/>
  <c r="S25"/>
  <c r="S88" s="1"/>
  <c r="S21"/>
  <c r="S84" s="1"/>
  <c r="S17"/>
  <c r="S80" s="1"/>
  <c r="S52"/>
  <c r="S115" s="1"/>
  <c r="S48"/>
  <c r="S111" s="1"/>
  <c r="S44"/>
  <c r="S107" s="1"/>
  <c r="S40"/>
  <c r="S103" s="1"/>
  <c r="S36"/>
  <c r="S99" s="1"/>
  <c r="S32"/>
  <c r="S95" s="1"/>
  <c r="S28"/>
  <c r="S91" s="1"/>
  <c r="S24"/>
  <c r="S87" s="1"/>
  <c r="S20"/>
  <c r="S83" s="1"/>
  <c r="S16"/>
  <c r="S79" s="1"/>
  <c r="U64"/>
  <c r="U127" s="1"/>
  <c r="U60"/>
  <c r="U123" s="1"/>
  <c r="U56"/>
  <c r="U119" s="1"/>
  <c r="U65"/>
  <c r="U128" s="1"/>
  <c r="U61"/>
  <c r="U124" s="1"/>
  <c r="U57"/>
  <c r="U120" s="1"/>
  <c r="U53"/>
  <c r="U116" s="1"/>
  <c r="U49"/>
  <c r="U112" s="1"/>
  <c r="U45"/>
  <c r="U108" s="1"/>
  <c r="U41"/>
  <c r="U104" s="1"/>
  <c r="U37"/>
  <c r="U100" s="1"/>
  <c r="U33"/>
  <c r="U96" s="1"/>
  <c r="U29"/>
  <c r="U92" s="1"/>
  <c r="U25"/>
  <c r="U88" s="1"/>
  <c r="U21"/>
  <c r="U84" s="1"/>
  <c r="U17"/>
  <c r="U80" s="1"/>
  <c r="U52"/>
  <c r="U115" s="1"/>
  <c r="U48"/>
  <c r="U111" s="1"/>
  <c r="U44"/>
  <c r="U107" s="1"/>
  <c r="U40"/>
  <c r="U103" s="1"/>
  <c r="U36"/>
  <c r="U99" s="1"/>
  <c r="U32"/>
  <c r="U95" s="1"/>
  <c r="U28"/>
  <c r="U91" s="1"/>
  <c r="U24"/>
  <c r="U87" s="1"/>
  <c r="U20"/>
  <c r="U83" s="1"/>
  <c r="U16"/>
  <c r="U79" s="1"/>
  <c r="W64"/>
  <c r="W127" s="1"/>
  <c r="W60"/>
  <c r="W123" s="1"/>
  <c r="W56"/>
  <c r="W119" s="1"/>
  <c r="W65"/>
  <c r="W128" s="1"/>
  <c r="W61"/>
  <c r="W124" s="1"/>
  <c r="W57"/>
  <c r="W120" s="1"/>
  <c r="W53"/>
  <c r="W116" s="1"/>
  <c r="W49"/>
  <c r="W112" s="1"/>
  <c r="W45"/>
  <c r="W108" s="1"/>
  <c r="W41"/>
  <c r="W104" s="1"/>
  <c r="W37"/>
  <c r="W100" s="1"/>
  <c r="W33"/>
  <c r="W96" s="1"/>
  <c r="W29"/>
  <c r="W92" s="1"/>
  <c r="W25"/>
  <c r="W88" s="1"/>
  <c r="W21"/>
  <c r="W84" s="1"/>
  <c r="W17"/>
  <c r="W80" s="1"/>
  <c r="W52"/>
  <c r="W115" s="1"/>
  <c r="W48"/>
  <c r="W111" s="1"/>
  <c r="W44"/>
  <c r="W107" s="1"/>
  <c r="W40"/>
  <c r="W103" s="1"/>
  <c r="W36"/>
  <c r="W99" s="1"/>
  <c r="W32"/>
  <c r="W95" s="1"/>
  <c r="W28"/>
  <c r="W91" s="1"/>
  <c r="W24"/>
  <c r="W87" s="1"/>
  <c r="W20"/>
  <c r="W83" s="1"/>
  <c r="W16"/>
  <c r="W79" s="1"/>
  <c r="Y64"/>
  <c r="Y127" s="1"/>
  <c r="Y60"/>
  <c r="Y123" s="1"/>
  <c r="Y56"/>
  <c r="Y119" s="1"/>
  <c r="Y65"/>
  <c r="Y128" s="1"/>
  <c r="Y61"/>
  <c r="Y124" s="1"/>
  <c r="Y57"/>
  <c r="Y120" s="1"/>
  <c r="Y53"/>
  <c r="Y116" s="1"/>
  <c r="Y49"/>
  <c r="Y112" s="1"/>
  <c r="Y45"/>
  <c r="Y108" s="1"/>
  <c r="Y41"/>
  <c r="Y104" s="1"/>
  <c r="Y37"/>
  <c r="Y100" s="1"/>
  <c r="Y33"/>
  <c r="Y96" s="1"/>
  <c r="Y29"/>
  <c r="Y92" s="1"/>
  <c r="Y25"/>
  <c r="Y88" s="1"/>
  <c r="Y21"/>
  <c r="Y84" s="1"/>
  <c r="Y17"/>
  <c r="Y80" s="1"/>
  <c r="Y52"/>
  <c r="Y115" s="1"/>
  <c r="Y48"/>
  <c r="Y111" s="1"/>
  <c r="Y44"/>
  <c r="Y107" s="1"/>
  <c r="Y40"/>
  <c r="Y103" s="1"/>
  <c r="Y36"/>
  <c r="Y99" s="1"/>
  <c r="Y32"/>
  <c r="Y95" s="1"/>
  <c r="Y28"/>
  <c r="Y91" s="1"/>
  <c r="Y24"/>
  <c r="Y87" s="1"/>
  <c r="Y20"/>
  <c r="Y83" s="1"/>
  <c r="Y16"/>
  <c r="Y79" s="1"/>
  <c r="AA64"/>
  <c r="AA127" s="1"/>
  <c r="AA60"/>
  <c r="AA123" s="1"/>
  <c r="AA56"/>
  <c r="AA119" s="1"/>
  <c r="AA65"/>
  <c r="AA128" s="1"/>
  <c r="AA61"/>
  <c r="AA124" s="1"/>
  <c r="AA57"/>
  <c r="AA120" s="1"/>
  <c r="AA54"/>
  <c r="AA117" s="1"/>
  <c r="AA51"/>
  <c r="AA114" s="1"/>
  <c r="AA47"/>
  <c r="AA110" s="1"/>
  <c r="AA43"/>
  <c r="AA106" s="1"/>
  <c r="AA39"/>
  <c r="AA102" s="1"/>
  <c r="AA35"/>
  <c r="AA98" s="1"/>
  <c r="AA31"/>
  <c r="AA94" s="1"/>
  <c r="AA27"/>
  <c r="AA90" s="1"/>
  <c r="AA23"/>
  <c r="AA86" s="1"/>
  <c r="AA19"/>
  <c r="AA82" s="1"/>
  <c r="AA52"/>
  <c r="AA115" s="1"/>
  <c r="AA48"/>
  <c r="AA111" s="1"/>
  <c r="AA44"/>
  <c r="AA107" s="1"/>
  <c r="AA40"/>
  <c r="AA103" s="1"/>
  <c r="AA36"/>
  <c r="AA99" s="1"/>
  <c r="AA32"/>
  <c r="AA95" s="1"/>
  <c r="AA28"/>
  <c r="AA91" s="1"/>
  <c r="L15"/>
  <c r="L78" s="1"/>
  <c r="P15"/>
  <c r="P78" s="1"/>
  <c r="T16"/>
  <c r="T79" s="1"/>
  <c r="X16"/>
  <c r="X79" s="1"/>
  <c r="AB16"/>
  <c r="AB79" s="1"/>
  <c r="AF15"/>
  <c r="AF78" s="1"/>
  <c r="AJ15"/>
  <c r="AJ78" s="1"/>
  <c r="K66"/>
  <c r="K129" s="1"/>
  <c r="K62"/>
  <c r="K125" s="1"/>
  <c r="K58"/>
  <c r="K121" s="1"/>
  <c r="K67"/>
  <c r="K130" s="1"/>
  <c r="K63"/>
  <c r="K126" s="1"/>
  <c r="K59"/>
  <c r="K122" s="1"/>
  <c r="K55"/>
  <c r="K118" s="1"/>
  <c r="K51"/>
  <c r="K114" s="1"/>
  <c r="K47"/>
  <c r="K110" s="1"/>
  <c r="K43"/>
  <c r="K106" s="1"/>
  <c r="K39"/>
  <c r="K102" s="1"/>
  <c r="K35"/>
  <c r="K98" s="1"/>
  <c r="K31"/>
  <c r="K94" s="1"/>
  <c r="K27"/>
  <c r="K90" s="1"/>
  <c r="K23"/>
  <c r="K86" s="1"/>
  <c r="K19"/>
  <c r="K82" s="1"/>
  <c r="K54"/>
  <c r="K117" s="1"/>
  <c r="K50"/>
  <c r="K113" s="1"/>
  <c r="K46"/>
  <c r="K109" s="1"/>
  <c r="K42"/>
  <c r="K105" s="1"/>
  <c r="K38"/>
  <c r="K101" s="1"/>
  <c r="K34"/>
  <c r="K97" s="1"/>
  <c r="K30"/>
  <c r="K93" s="1"/>
  <c r="K26"/>
  <c r="K89" s="1"/>
  <c r="K22"/>
  <c r="K85" s="1"/>
  <c r="K18"/>
  <c r="K81" s="1"/>
  <c r="M64"/>
  <c r="M127" s="1"/>
  <c r="M60"/>
  <c r="M123" s="1"/>
  <c r="M56"/>
  <c r="M119" s="1"/>
  <c r="M65"/>
  <c r="M128" s="1"/>
  <c r="M61"/>
  <c r="M124" s="1"/>
  <c r="M57"/>
  <c r="M120" s="1"/>
  <c r="M53"/>
  <c r="M116" s="1"/>
  <c r="M49"/>
  <c r="M112" s="1"/>
  <c r="M45"/>
  <c r="M108" s="1"/>
  <c r="M41"/>
  <c r="M104" s="1"/>
  <c r="M37"/>
  <c r="M100" s="1"/>
  <c r="M33"/>
  <c r="M96" s="1"/>
  <c r="M29"/>
  <c r="M92" s="1"/>
  <c r="M25"/>
  <c r="M88" s="1"/>
  <c r="M21"/>
  <c r="M84" s="1"/>
  <c r="M17"/>
  <c r="M80" s="1"/>
  <c r="M52"/>
  <c r="M115" s="1"/>
  <c r="M48"/>
  <c r="M111" s="1"/>
  <c r="M44"/>
  <c r="M107" s="1"/>
  <c r="M40"/>
  <c r="M103" s="1"/>
  <c r="M36"/>
  <c r="M99" s="1"/>
  <c r="M32"/>
  <c r="M95" s="1"/>
  <c r="M28"/>
  <c r="M91" s="1"/>
  <c r="M24"/>
  <c r="M87" s="1"/>
  <c r="M20"/>
  <c r="M83" s="1"/>
  <c r="O66"/>
  <c r="O129" s="1"/>
  <c r="O62"/>
  <c r="O125" s="1"/>
  <c r="O58"/>
  <c r="O121" s="1"/>
  <c r="O67"/>
  <c r="O130" s="1"/>
  <c r="O63"/>
  <c r="O126" s="1"/>
  <c r="O59"/>
  <c r="O122" s="1"/>
  <c r="O55"/>
  <c r="O118" s="1"/>
  <c r="O51"/>
  <c r="O114" s="1"/>
  <c r="O47"/>
  <c r="O110" s="1"/>
  <c r="O43"/>
  <c r="O106" s="1"/>
  <c r="O39"/>
  <c r="O102" s="1"/>
  <c r="O35"/>
  <c r="O98" s="1"/>
  <c r="O31"/>
  <c r="O94" s="1"/>
  <c r="O27"/>
  <c r="O90" s="1"/>
  <c r="O23"/>
  <c r="O86" s="1"/>
  <c r="O19"/>
  <c r="O82" s="1"/>
  <c r="O54"/>
  <c r="O117" s="1"/>
  <c r="O50"/>
  <c r="O113" s="1"/>
  <c r="O46"/>
  <c r="O109" s="1"/>
  <c r="O42"/>
  <c r="O105" s="1"/>
  <c r="O38"/>
  <c r="O101" s="1"/>
  <c r="O34"/>
  <c r="O97" s="1"/>
  <c r="O30"/>
  <c r="O93" s="1"/>
  <c r="O26"/>
  <c r="O89" s="1"/>
  <c r="O22"/>
  <c r="O85" s="1"/>
  <c r="O18"/>
  <c r="O81" s="1"/>
  <c r="Q64"/>
  <c r="Q127" s="1"/>
  <c r="Q60"/>
  <c r="Q123" s="1"/>
  <c r="Q56"/>
  <c r="Q119" s="1"/>
  <c r="Q65"/>
  <c r="Q128" s="1"/>
  <c r="Q61"/>
  <c r="Q124" s="1"/>
  <c r="Q57"/>
  <c r="Q120" s="1"/>
  <c r="Q53"/>
  <c r="Q116" s="1"/>
  <c r="Q49"/>
  <c r="Q112" s="1"/>
  <c r="Q45"/>
  <c r="Q108" s="1"/>
  <c r="Q41"/>
  <c r="Q104" s="1"/>
  <c r="Q37"/>
  <c r="Q100" s="1"/>
  <c r="Q33"/>
  <c r="Q96" s="1"/>
  <c r="Q29"/>
  <c r="Q92" s="1"/>
  <c r="Q25"/>
  <c r="Q88" s="1"/>
  <c r="Q21"/>
  <c r="Q84" s="1"/>
  <c r="Q17"/>
  <c r="Q80" s="1"/>
  <c r="Q52"/>
  <c r="Q115" s="1"/>
  <c r="Q48"/>
  <c r="Q111" s="1"/>
  <c r="Q44"/>
  <c r="Q107" s="1"/>
  <c r="Q40"/>
  <c r="Q103" s="1"/>
  <c r="Q36"/>
  <c r="Q99" s="1"/>
  <c r="Q32"/>
  <c r="Q95" s="1"/>
  <c r="Q28"/>
  <c r="Q91" s="1"/>
  <c r="Q24"/>
  <c r="Q87" s="1"/>
  <c r="Q20"/>
  <c r="Q83" s="1"/>
  <c r="S66"/>
  <c r="S129" s="1"/>
  <c r="S62"/>
  <c r="S125" s="1"/>
  <c r="S58"/>
  <c r="S121" s="1"/>
  <c r="S67"/>
  <c r="S130" s="1"/>
  <c r="S63"/>
  <c r="S126" s="1"/>
  <c r="S59"/>
  <c r="S122" s="1"/>
  <c r="S55"/>
  <c r="S118" s="1"/>
  <c r="S51"/>
  <c r="S114" s="1"/>
  <c r="S47"/>
  <c r="S110" s="1"/>
  <c r="S43"/>
  <c r="S106" s="1"/>
  <c r="S39"/>
  <c r="S102" s="1"/>
  <c r="S35"/>
  <c r="S98" s="1"/>
  <c r="S31"/>
  <c r="S94" s="1"/>
  <c r="S27"/>
  <c r="S90" s="1"/>
  <c r="S23"/>
  <c r="S86" s="1"/>
  <c r="S19"/>
  <c r="S82" s="1"/>
  <c r="S54"/>
  <c r="S117" s="1"/>
  <c r="S50"/>
  <c r="S113" s="1"/>
  <c r="S46"/>
  <c r="S109" s="1"/>
  <c r="S42"/>
  <c r="S105" s="1"/>
  <c r="S38"/>
  <c r="S101" s="1"/>
  <c r="S34"/>
  <c r="S97" s="1"/>
  <c r="S30"/>
  <c r="S93" s="1"/>
  <c r="S26"/>
  <c r="S89" s="1"/>
  <c r="S22"/>
  <c r="S85" s="1"/>
  <c r="S18"/>
  <c r="S81" s="1"/>
  <c r="U66"/>
  <c r="U129" s="1"/>
  <c r="U62"/>
  <c r="U125" s="1"/>
  <c r="U58"/>
  <c r="U121" s="1"/>
  <c r="U67"/>
  <c r="U130" s="1"/>
  <c r="U63"/>
  <c r="U126" s="1"/>
  <c r="U59"/>
  <c r="U122" s="1"/>
  <c r="U55"/>
  <c r="U118" s="1"/>
  <c r="U51"/>
  <c r="U114" s="1"/>
  <c r="U47"/>
  <c r="U110" s="1"/>
  <c r="U43"/>
  <c r="U106" s="1"/>
  <c r="U39"/>
  <c r="U102" s="1"/>
  <c r="U35"/>
  <c r="U98" s="1"/>
  <c r="U31"/>
  <c r="U94" s="1"/>
  <c r="U27"/>
  <c r="U90" s="1"/>
  <c r="U23"/>
  <c r="U86" s="1"/>
  <c r="U19"/>
  <c r="U82" s="1"/>
  <c r="U54"/>
  <c r="U117" s="1"/>
  <c r="U50"/>
  <c r="U113" s="1"/>
  <c r="U46"/>
  <c r="U109" s="1"/>
  <c r="U42"/>
  <c r="U105" s="1"/>
  <c r="U38"/>
  <c r="U101" s="1"/>
  <c r="U34"/>
  <c r="U97" s="1"/>
  <c r="U30"/>
  <c r="U93" s="1"/>
  <c r="U26"/>
  <c r="U89" s="1"/>
  <c r="U22"/>
  <c r="U85" s="1"/>
  <c r="U18"/>
  <c r="U81" s="1"/>
  <c r="W66"/>
  <c r="W129" s="1"/>
  <c r="W62"/>
  <c r="W125" s="1"/>
  <c r="W58"/>
  <c r="W121" s="1"/>
  <c r="W67"/>
  <c r="W130" s="1"/>
  <c r="W63"/>
  <c r="W126" s="1"/>
  <c r="W59"/>
  <c r="W122" s="1"/>
  <c r="W55"/>
  <c r="W118" s="1"/>
  <c r="W51"/>
  <c r="W114" s="1"/>
  <c r="W47"/>
  <c r="W110" s="1"/>
  <c r="W43"/>
  <c r="W106" s="1"/>
  <c r="W39"/>
  <c r="W102" s="1"/>
  <c r="W35"/>
  <c r="W98" s="1"/>
  <c r="W31"/>
  <c r="W94" s="1"/>
  <c r="W27"/>
  <c r="W90" s="1"/>
  <c r="W23"/>
  <c r="W86" s="1"/>
  <c r="W19"/>
  <c r="W82" s="1"/>
  <c r="W54"/>
  <c r="W117" s="1"/>
  <c r="W50"/>
  <c r="W113" s="1"/>
  <c r="W46"/>
  <c r="W109" s="1"/>
  <c r="W42"/>
  <c r="W105" s="1"/>
  <c r="W38"/>
  <c r="W101" s="1"/>
  <c r="W34"/>
  <c r="W97" s="1"/>
  <c r="W30"/>
  <c r="W93" s="1"/>
  <c r="W26"/>
  <c r="W89" s="1"/>
  <c r="W22"/>
  <c r="W85" s="1"/>
  <c r="W18"/>
  <c r="W81" s="1"/>
  <c r="Y66"/>
  <c r="Y129" s="1"/>
  <c r="Y62"/>
  <c r="Y125" s="1"/>
  <c r="Y58"/>
  <c r="Y121" s="1"/>
  <c r="Y67"/>
  <c r="Y130" s="1"/>
  <c r="Y63"/>
  <c r="Y126" s="1"/>
  <c r="Y59"/>
  <c r="Y122" s="1"/>
  <c r="Y55"/>
  <c r="Y118" s="1"/>
  <c r="Y51"/>
  <c r="Y114" s="1"/>
  <c r="Y47"/>
  <c r="Y110" s="1"/>
  <c r="Y43"/>
  <c r="Y106" s="1"/>
  <c r="Y39"/>
  <c r="Y102" s="1"/>
  <c r="Y35"/>
  <c r="Y98" s="1"/>
  <c r="Y31"/>
  <c r="Y94" s="1"/>
  <c r="Y27"/>
  <c r="Y90" s="1"/>
  <c r="Y23"/>
  <c r="Y86" s="1"/>
  <c r="Y19"/>
  <c r="Y82" s="1"/>
  <c r="Y54"/>
  <c r="Y117" s="1"/>
  <c r="Y50"/>
  <c r="Y113" s="1"/>
  <c r="Y46"/>
  <c r="Y109" s="1"/>
  <c r="Y42"/>
  <c r="Y105" s="1"/>
  <c r="Y38"/>
  <c r="Y101" s="1"/>
  <c r="Y34"/>
  <c r="Y97" s="1"/>
  <c r="Y30"/>
  <c r="Y93" s="1"/>
  <c r="Y26"/>
  <c r="Y89" s="1"/>
  <c r="Y22"/>
  <c r="Y85" s="1"/>
  <c r="Y18"/>
  <c r="Y81" s="1"/>
  <c r="AA66"/>
  <c r="AA129" s="1"/>
  <c r="AA62"/>
  <c r="AA125" s="1"/>
  <c r="AA58"/>
  <c r="AA121" s="1"/>
  <c r="AA67"/>
  <c r="AA130" s="1"/>
  <c r="AA63"/>
  <c r="AA126" s="1"/>
  <c r="AA59"/>
  <c r="AA122" s="1"/>
  <c r="AA55"/>
  <c r="AA118" s="1"/>
  <c r="AA53"/>
  <c r="AA116" s="1"/>
  <c r="AA49"/>
  <c r="AA112" s="1"/>
  <c r="AA45"/>
  <c r="AA108" s="1"/>
  <c r="AA41"/>
  <c r="AA104" s="1"/>
  <c r="AA37"/>
  <c r="AA100" s="1"/>
  <c r="AA33"/>
  <c r="AA96" s="1"/>
  <c r="AA29"/>
  <c r="AA92" s="1"/>
  <c r="AA25"/>
  <c r="AA88" s="1"/>
  <c r="AA21"/>
  <c r="AA84" s="1"/>
  <c r="AA17"/>
  <c r="AA80" s="1"/>
  <c r="AA50"/>
  <c r="AA113" s="1"/>
  <c r="AA46"/>
  <c r="AA109" s="1"/>
  <c r="AA42"/>
  <c r="AA105" s="1"/>
  <c r="AA38"/>
  <c r="AA101" s="1"/>
  <c r="AA34"/>
  <c r="AA97" s="1"/>
  <c r="AA30"/>
  <c r="AA93" s="1"/>
  <c r="AA24"/>
  <c r="AA87" s="1"/>
  <c r="AA20"/>
  <c r="AA83" s="1"/>
  <c r="AA16"/>
  <c r="AA79" s="1"/>
  <c r="AC64"/>
  <c r="AC127" s="1"/>
  <c r="AC60"/>
  <c r="AC123" s="1"/>
  <c r="AC56"/>
  <c r="AC119" s="1"/>
  <c r="AC65"/>
  <c r="AC128" s="1"/>
  <c r="AC61"/>
  <c r="AC124" s="1"/>
  <c r="AC57"/>
  <c r="AC120" s="1"/>
  <c r="AC53"/>
  <c r="AC116" s="1"/>
  <c r="AC49"/>
  <c r="AC112" s="1"/>
  <c r="AC45"/>
  <c r="AC108" s="1"/>
  <c r="AC41"/>
  <c r="AC104" s="1"/>
  <c r="AC37"/>
  <c r="AC100" s="1"/>
  <c r="AC33"/>
  <c r="AC96" s="1"/>
  <c r="AC29"/>
  <c r="AC92" s="1"/>
  <c r="AC25"/>
  <c r="AC88" s="1"/>
  <c r="AC21"/>
  <c r="AC84" s="1"/>
  <c r="AC17"/>
  <c r="AC80" s="1"/>
  <c r="AC52"/>
  <c r="AC115" s="1"/>
  <c r="AC48"/>
  <c r="AC111" s="1"/>
  <c r="AC44"/>
  <c r="AC107" s="1"/>
  <c r="AC40"/>
  <c r="AC103" s="1"/>
  <c r="AC36"/>
  <c r="AC99" s="1"/>
  <c r="AC32"/>
  <c r="AC95" s="1"/>
  <c r="AC28"/>
  <c r="AC91" s="1"/>
  <c r="AC24"/>
  <c r="AC87" s="1"/>
  <c r="AC20"/>
  <c r="AC83" s="1"/>
  <c r="AC16"/>
  <c r="AC79" s="1"/>
  <c r="AE64"/>
  <c r="AE127" s="1"/>
  <c r="AE60"/>
  <c r="AE123" s="1"/>
  <c r="AE56"/>
  <c r="AE119" s="1"/>
  <c r="AE67"/>
  <c r="AE130" s="1"/>
  <c r="AE63"/>
  <c r="AE126" s="1"/>
  <c r="AE59"/>
  <c r="AE122" s="1"/>
  <c r="AE55"/>
  <c r="AE118" s="1"/>
  <c r="AE51"/>
  <c r="AE114" s="1"/>
  <c r="AE47"/>
  <c r="AE110" s="1"/>
  <c r="AE43"/>
  <c r="AE106" s="1"/>
  <c r="AE39"/>
  <c r="AE102" s="1"/>
  <c r="AE35"/>
  <c r="AE98" s="1"/>
  <c r="AE31"/>
  <c r="AE94" s="1"/>
  <c r="AE27"/>
  <c r="AE90" s="1"/>
  <c r="AE23"/>
  <c r="AE86" s="1"/>
  <c r="AE19"/>
  <c r="AE82" s="1"/>
  <c r="AE52"/>
  <c r="AE115" s="1"/>
  <c r="AE48"/>
  <c r="AE111" s="1"/>
  <c r="AE44"/>
  <c r="AE107" s="1"/>
  <c r="AE40"/>
  <c r="AE103" s="1"/>
  <c r="AE36"/>
  <c r="AE99" s="1"/>
  <c r="AE32"/>
  <c r="AE95" s="1"/>
  <c r="AE28"/>
  <c r="AE91" s="1"/>
  <c r="AE24"/>
  <c r="AE87" s="1"/>
  <c r="AE20"/>
  <c r="AE83" s="1"/>
  <c r="AE16"/>
  <c r="AE79" s="1"/>
  <c r="AG64"/>
  <c r="AG127" s="1"/>
  <c r="AG60"/>
  <c r="AG123" s="1"/>
  <c r="AG56"/>
  <c r="AG119" s="1"/>
  <c r="AG67"/>
  <c r="AG130" s="1"/>
  <c r="AG63"/>
  <c r="AG126" s="1"/>
  <c r="AG59"/>
  <c r="AG122" s="1"/>
  <c r="AG55"/>
  <c r="AG118" s="1"/>
  <c r="AG51"/>
  <c r="AG114" s="1"/>
  <c r="AG47"/>
  <c r="AG110" s="1"/>
  <c r="AG43"/>
  <c r="AG106" s="1"/>
  <c r="AG39"/>
  <c r="AG102" s="1"/>
  <c r="AG35"/>
  <c r="AG98" s="1"/>
  <c r="AG31"/>
  <c r="AG94" s="1"/>
  <c r="AG27"/>
  <c r="AG90" s="1"/>
  <c r="AG23"/>
  <c r="AG86" s="1"/>
  <c r="AG19"/>
  <c r="AG82" s="1"/>
  <c r="AG52"/>
  <c r="AG115" s="1"/>
  <c r="AG48"/>
  <c r="AG111" s="1"/>
  <c r="AG44"/>
  <c r="AG107" s="1"/>
  <c r="AG40"/>
  <c r="AG103" s="1"/>
  <c r="AG36"/>
  <c r="AG99" s="1"/>
  <c r="AG32"/>
  <c r="AG95" s="1"/>
  <c r="AG28"/>
  <c r="AG91" s="1"/>
  <c r="AG24"/>
  <c r="AG87" s="1"/>
  <c r="AG20"/>
  <c r="AG83" s="1"/>
  <c r="AG16"/>
  <c r="AG79" s="1"/>
  <c r="AI64"/>
  <c r="AI127" s="1"/>
  <c r="AI60"/>
  <c r="AI123" s="1"/>
  <c r="AI56"/>
  <c r="AI119" s="1"/>
  <c r="AI67"/>
  <c r="AI130" s="1"/>
  <c r="AI63"/>
  <c r="AI126" s="1"/>
  <c r="AI59"/>
  <c r="AI122" s="1"/>
  <c r="AI55"/>
  <c r="AI118" s="1"/>
  <c r="AI51"/>
  <c r="AI114" s="1"/>
  <c r="AI47"/>
  <c r="AI110" s="1"/>
  <c r="AI43"/>
  <c r="AI106" s="1"/>
  <c r="AI39"/>
  <c r="AI102" s="1"/>
  <c r="AI35"/>
  <c r="AI98" s="1"/>
  <c r="AI31"/>
  <c r="AI94" s="1"/>
  <c r="AI27"/>
  <c r="AI90" s="1"/>
  <c r="AI23"/>
  <c r="AI86" s="1"/>
  <c r="AI19"/>
  <c r="AI82" s="1"/>
  <c r="AI52"/>
  <c r="AI115" s="1"/>
  <c r="AI48"/>
  <c r="AI111" s="1"/>
  <c r="AI44"/>
  <c r="AI107" s="1"/>
  <c r="AI40"/>
  <c r="AI103" s="1"/>
  <c r="AI36"/>
  <c r="AI99" s="1"/>
  <c r="AI32"/>
  <c r="AI95" s="1"/>
  <c r="AI28"/>
  <c r="AI91" s="1"/>
  <c r="AI24"/>
  <c r="AI87" s="1"/>
  <c r="AI20"/>
  <c r="AI83" s="1"/>
  <c r="AI16"/>
  <c r="AI79" s="1"/>
  <c r="L7"/>
  <c r="L70" s="1"/>
  <c r="P7"/>
  <c r="P70" s="1"/>
  <c r="T7"/>
  <c r="T70" s="1"/>
  <c r="X7"/>
  <c r="X70" s="1"/>
  <c r="AB7"/>
  <c r="AB70" s="1"/>
  <c r="AF7"/>
  <c r="AF70" s="1"/>
  <c r="AJ7"/>
  <c r="AJ70" s="1"/>
  <c r="M8"/>
  <c r="M71" s="1"/>
  <c r="Q8"/>
  <c r="Q71" s="1"/>
  <c r="U8"/>
  <c r="U71" s="1"/>
  <c r="Y8"/>
  <c r="Y71" s="1"/>
  <c r="AC8"/>
  <c r="AC71" s="1"/>
  <c r="AG8"/>
  <c r="AG71" s="1"/>
  <c r="J9"/>
  <c r="J72" s="1"/>
  <c r="N9"/>
  <c r="N72" s="1"/>
  <c r="R9"/>
  <c r="R72" s="1"/>
  <c r="V9"/>
  <c r="V72" s="1"/>
  <c r="Z9"/>
  <c r="Z72" s="1"/>
  <c r="AD9"/>
  <c r="AD72" s="1"/>
  <c r="AH9"/>
  <c r="AH72" s="1"/>
  <c r="K10"/>
  <c r="K73" s="1"/>
  <c r="O10"/>
  <c r="O73" s="1"/>
  <c r="S10"/>
  <c r="S73" s="1"/>
  <c r="W10"/>
  <c r="W73" s="1"/>
  <c r="AA10"/>
  <c r="AA73" s="1"/>
  <c r="AE10"/>
  <c r="AE73" s="1"/>
  <c r="AI10"/>
  <c r="AI73" s="1"/>
  <c r="L11"/>
  <c r="L74" s="1"/>
  <c r="P11"/>
  <c r="P74" s="1"/>
  <c r="T11"/>
  <c r="T74" s="1"/>
  <c r="X11"/>
  <c r="X74" s="1"/>
  <c r="AB11"/>
  <c r="AB74" s="1"/>
  <c r="AF11"/>
  <c r="AF74" s="1"/>
  <c r="AJ11"/>
  <c r="AJ74" s="1"/>
  <c r="M12"/>
  <c r="M75" s="1"/>
  <c r="Q12"/>
  <c r="Q75" s="1"/>
  <c r="U12"/>
  <c r="U75" s="1"/>
  <c r="Y12"/>
  <c r="Y75" s="1"/>
  <c r="AC12"/>
  <c r="AC75" s="1"/>
  <c r="AG12"/>
  <c r="AG75" s="1"/>
  <c r="J13"/>
  <c r="J76" s="1"/>
  <c r="N13"/>
  <c r="N76" s="1"/>
  <c r="R13"/>
  <c r="R76" s="1"/>
  <c r="V13"/>
  <c r="V76" s="1"/>
  <c r="Z13"/>
  <c r="Z76" s="1"/>
  <c r="AD13"/>
  <c r="AD76" s="1"/>
  <c r="AH13"/>
  <c r="AH76" s="1"/>
  <c r="K14"/>
  <c r="K77" s="1"/>
  <c r="O14"/>
  <c r="O77" s="1"/>
  <c r="S14"/>
  <c r="S77" s="1"/>
  <c r="W14"/>
  <c r="W77" s="1"/>
  <c r="AA14"/>
  <c r="AA77" s="1"/>
  <c r="AE14"/>
  <c r="AE77" s="1"/>
  <c r="AI14"/>
  <c r="AI77" s="1"/>
  <c r="X15"/>
  <c r="X78" s="1"/>
  <c r="K16"/>
  <c r="K79" s="1"/>
  <c r="O16"/>
  <c r="O79" s="1"/>
  <c r="J67"/>
  <c r="J130" s="1"/>
  <c r="J63"/>
  <c r="J126" s="1"/>
  <c r="J59"/>
  <c r="J122" s="1"/>
  <c r="J55"/>
  <c r="J118" s="1"/>
  <c r="J64"/>
  <c r="J127" s="1"/>
  <c r="J60"/>
  <c r="J123" s="1"/>
  <c r="J56"/>
  <c r="J119" s="1"/>
  <c r="J52"/>
  <c r="J115" s="1"/>
  <c r="J48"/>
  <c r="J111" s="1"/>
  <c r="J44"/>
  <c r="J107" s="1"/>
  <c r="J40"/>
  <c r="J103" s="1"/>
  <c r="J36"/>
  <c r="J99" s="1"/>
  <c r="J32"/>
  <c r="J95" s="1"/>
  <c r="J28"/>
  <c r="J91" s="1"/>
  <c r="J24"/>
  <c r="J87" s="1"/>
  <c r="J20"/>
  <c r="J83" s="1"/>
  <c r="J53"/>
  <c r="J116" s="1"/>
  <c r="J49"/>
  <c r="J112" s="1"/>
  <c r="J45"/>
  <c r="J108" s="1"/>
  <c r="J41"/>
  <c r="J104" s="1"/>
  <c r="J37"/>
  <c r="J100" s="1"/>
  <c r="J33"/>
  <c r="J96" s="1"/>
  <c r="J29"/>
  <c r="J92" s="1"/>
  <c r="J25"/>
  <c r="J88" s="1"/>
  <c r="J21"/>
  <c r="J84" s="1"/>
  <c r="J17"/>
  <c r="J80" s="1"/>
  <c r="L65"/>
  <c r="L128" s="1"/>
  <c r="L61"/>
  <c r="L124" s="1"/>
  <c r="L57"/>
  <c r="L120" s="1"/>
  <c r="L66"/>
  <c r="L129" s="1"/>
  <c r="L62"/>
  <c r="L125" s="1"/>
  <c r="L58"/>
  <c r="L121" s="1"/>
  <c r="L54"/>
  <c r="L117" s="1"/>
  <c r="L50"/>
  <c r="L113" s="1"/>
  <c r="L46"/>
  <c r="L109" s="1"/>
  <c r="L42"/>
  <c r="L105" s="1"/>
  <c r="L38"/>
  <c r="L101" s="1"/>
  <c r="L34"/>
  <c r="L97" s="1"/>
  <c r="L30"/>
  <c r="L93" s="1"/>
  <c r="L26"/>
  <c r="L89" s="1"/>
  <c r="L22"/>
  <c r="L85" s="1"/>
  <c r="L18"/>
  <c r="L81" s="1"/>
  <c r="L51"/>
  <c r="L114" s="1"/>
  <c r="L47"/>
  <c r="L110" s="1"/>
  <c r="L43"/>
  <c r="L106" s="1"/>
  <c r="L39"/>
  <c r="L102" s="1"/>
  <c r="L35"/>
  <c r="L98" s="1"/>
  <c r="L31"/>
  <c r="L94" s="1"/>
  <c r="L27"/>
  <c r="L90" s="1"/>
  <c r="L23"/>
  <c r="L86" s="1"/>
  <c r="L19"/>
  <c r="L82" s="1"/>
  <c r="N67"/>
  <c r="N130" s="1"/>
  <c r="N63"/>
  <c r="N126" s="1"/>
  <c r="N59"/>
  <c r="N122" s="1"/>
  <c r="N55"/>
  <c r="N118" s="1"/>
  <c r="N64"/>
  <c r="N127" s="1"/>
  <c r="N60"/>
  <c r="N123" s="1"/>
  <c r="N56"/>
  <c r="N119" s="1"/>
  <c r="N52"/>
  <c r="N115" s="1"/>
  <c r="N48"/>
  <c r="N111" s="1"/>
  <c r="N44"/>
  <c r="N107" s="1"/>
  <c r="N40"/>
  <c r="N103" s="1"/>
  <c r="N36"/>
  <c r="N99" s="1"/>
  <c r="N32"/>
  <c r="N95" s="1"/>
  <c r="N28"/>
  <c r="N91" s="1"/>
  <c r="N24"/>
  <c r="N87" s="1"/>
  <c r="N20"/>
  <c r="N83" s="1"/>
  <c r="N53"/>
  <c r="N116" s="1"/>
  <c r="N49"/>
  <c r="N112" s="1"/>
  <c r="N45"/>
  <c r="N108" s="1"/>
  <c r="N41"/>
  <c r="N104" s="1"/>
  <c r="N37"/>
  <c r="N100" s="1"/>
  <c r="N33"/>
  <c r="N96" s="1"/>
  <c r="N29"/>
  <c r="N92" s="1"/>
  <c r="N25"/>
  <c r="N88" s="1"/>
  <c r="N21"/>
  <c r="N84" s="1"/>
  <c r="N17"/>
  <c r="N80" s="1"/>
  <c r="P65"/>
  <c r="P128" s="1"/>
  <c r="P61"/>
  <c r="P124" s="1"/>
  <c r="P57"/>
  <c r="P120" s="1"/>
  <c r="P66"/>
  <c r="P129" s="1"/>
  <c r="P62"/>
  <c r="P125" s="1"/>
  <c r="P58"/>
  <c r="P121" s="1"/>
  <c r="P54"/>
  <c r="P117" s="1"/>
  <c r="P50"/>
  <c r="P113" s="1"/>
  <c r="P46"/>
  <c r="P109" s="1"/>
  <c r="P42"/>
  <c r="P105" s="1"/>
  <c r="P38"/>
  <c r="P101" s="1"/>
  <c r="P34"/>
  <c r="P97" s="1"/>
  <c r="P30"/>
  <c r="P93" s="1"/>
  <c r="P26"/>
  <c r="P89" s="1"/>
  <c r="P22"/>
  <c r="P85" s="1"/>
  <c r="P18"/>
  <c r="P81" s="1"/>
  <c r="P51"/>
  <c r="P114" s="1"/>
  <c r="P47"/>
  <c r="P110" s="1"/>
  <c r="P43"/>
  <c r="P106" s="1"/>
  <c r="P39"/>
  <c r="P102" s="1"/>
  <c r="P35"/>
  <c r="P98" s="1"/>
  <c r="P31"/>
  <c r="P94" s="1"/>
  <c r="P27"/>
  <c r="P90" s="1"/>
  <c r="P23"/>
  <c r="P86" s="1"/>
  <c r="P19"/>
  <c r="P82" s="1"/>
  <c r="R67"/>
  <c r="R130" s="1"/>
  <c r="R63"/>
  <c r="R126" s="1"/>
  <c r="R59"/>
  <c r="R122" s="1"/>
  <c r="R55"/>
  <c r="R118" s="1"/>
  <c r="R64"/>
  <c r="R127" s="1"/>
  <c r="R60"/>
  <c r="R123" s="1"/>
  <c r="R56"/>
  <c r="R119" s="1"/>
  <c r="R52"/>
  <c r="R115" s="1"/>
  <c r="R48"/>
  <c r="R111" s="1"/>
  <c r="R44"/>
  <c r="R107" s="1"/>
  <c r="R40"/>
  <c r="R103" s="1"/>
  <c r="R36"/>
  <c r="R99" s="1"/>
  <c r="R32"/>
  <c r="R95" s="1"/>
  <c r="R28"/>
  <c r="R91" s="1"/>
  <c r="R24"/>
  <c r="R87" s="1"/>
  <c r="R20"/>
  <c r="R83" s="1"/>
  <c r="R53"/>
  <c r="R116" s="1"/>
  <c r="R49"/>
  <c r="R112" s="1"/>
  <c r="R45"/>
  <c r="R108" s="1"/>
  <c r="R41"/>
  <c r="R104" s="1"/>
  <c r="R37"/>
  <c r="R100" s="1"/>
  <c r="R33"/>
  <c r="R96" s="1"/>
  <c r="R29"/>
  <c r="R92" s="1"/>
  <c r="R25"/>
  <c r="R88" s="1"/>
  <c r="R21"/>
  <c r="R84" s="1"/>
  <c r="R17"/>
  <c r="R80" s="1"/>
  <c r="T65"/>
  <c r="T128" s="1"/>
  <c r="T61"/>
  <c r="T124" s="1"/>
  <c r="T57"/>
  <c r="T120" s="1"/>
  <c r="T66"/>
  <c r="T129" s="1"/>
  <c r="T62"/>
  <c r="T125" s="1"/>
  <c r="T58"/>
  <c r="T121" s="1"/>
  <c r="T54"/>
  <c r="T117" s="1"/>
  <c r="T50"/>
  <c r="T113" s="1"/>
  <c r="T46"/>
  <c r="T109" s="1"/>
  <c r="T42"/>
  <c r="T105" s="1"/>
  <c r="T38"/>
  <c r="T101" s="1"/>
  <c r="T34"/>
  <c r="T97" s="1"/>
  <c r="T30"/>
  <c r="T93" s="1"/>
  <c r="T26"/>
  <c r="T89" s="1"/>
  <c r="T22"/>
  <c r="T85" s="1"/>
  <c r="T18"/>
  <c r="T81" s="1"/>
  <c r="T51"/>
  <c r="T114" s="1"/>
  <c r="T47"/>
  <c r="T110" s="1"/>
  <c r="T43"/>
  <c r="T106" s="1"/>
  <c r="T39"/>
  <c r="T102" s="1"/>
  <c r="T35"/>
  <c r="T98" s="1"/>
  <c r="T31"/>
  <c r="T94" s="1"/>
  <c r="T27"/>
  <c r="T90" s="1"/>
  <c r="T23"/>
  <c r="T86" s="1"/>
  <c r="T19"/>
  <c r="T82" s="1"/>
  <c r="V67"/>
  <c r="V130" s="1"/>
  <c r="V63"/>
  <c r="V126" s="1"/>
  <c r="V59"/>
  <c r="V122" s="1"/>
  <c r="V55"/>
  <c r="V118" s="1"/>
  <c r="V64"/>
  <c r="V127" s="1"/>
  <c r="V60"/>
  <c r="V123" s="1"/>
  <c r="V56"/>
  <c r="V119" s="1"/>
  <c r="V52"/>
  <c r="V115" s="1"/>
  <c r="V48"/>
  <c r="V111" s="1"/>
  <c r="V44"/>
  <c r="V107" s="1"/>
  <c r="V40"/>
  <c r="V103" s="1"/>
  <c r="V36"/>
  <c r="V99" s="1"/>
  <c r="V32"/>
  <c r="V95" s="1"/>
  <c r="V28"/>
  <c r="V91" s="1"/>
  <c r="V24"/>
  <c r="V87" s="1"/>
  <c r="V20"/>
  <c r="V83" s="1"/>
  <c r="V53"/>
  <c r="V116" s="1"/>
  <c r="V49"/>
  <c r="V112" s="1"/>
  <c r="V45"/>
  <c r="V108" s="1"/>
  <c r="V41"/>
  <c r="V104" s="1"/>
  <c r="V37"/>
  <c r="V100" s="1"/>
  <c r="V33"/>
  <c r="V96" s="1"/>
  <c r="V29"/>
  <c r="V92" s="1"/>
  <c r="V25"/>
  <c r="V88" s="1"/>
  <c r="V21"/>
  <c r="V84" s="1"/>
  <c r="V17"/>
  <c r="V80" s="1"/>
  <c r="X65"/>
  <c r="X128" s="1"/>
  <c r="X61"/>
  <c r="X124" s="1"/>
  <c r="X57"/>
  <c r="X120" s="1"/>
  <c r="X66"/>
  <c r="X129" s="1"/>
  <c r="X62"/>
  <c r="X125" s="1"/>
  <c r="X58"/>
  <c r="X121" s="1"/>
  <c r="X54"/>
  <c r="X117" s="1"/>
  <c r="X50"/>
  <c r="X113" s="1"/>
  <c r="X46"/>
  <c r="X109" s="1"/>
  <c r="X42"/>
  <c r="X105" s="1"/>
  <c r="X38"/>
  <c r="X101" s="1"/>
  <c r="X34"/>
  <c r="X97" s="1"/>
  <c r="X30"/>
  <c r="X93" s="1"/>
  <c r="X26"/>
  <c r="X89" s="1"/>
  <c r="X22"/>
  <c r="X85" s="1"/>
  <c r="X18"/>
  <c r="X81" s="1"/>
  <c r="X51"/>
  <c r="X114" s="1"/>
  <c r="X47"/>
  <c r="X110" s="1"/>
  <c r="X43"/>
  <c r="X106" s="1"/>
  <c r="X39"/>
  <c r="X102" s="1"/>
  <c r="X35"/>
  <c r="X98" s="1"/>
  <c r="X31"/>
  <c r="X94" s="1"/>
  <c r="X27"/>
  <c r="X90" s="1"/>
  <c r="X23"/>
  <c r="X86" s="1"/>
  <c r="X19"/>
  <c r="X82" s="1"/>
  <c r="Z67"/>
  <c r="Z130" s="1"/>
  <c r="Z63"/>
  <c r="Z126" s="1"/>
  <c r="Z59"/>
  <c r="Z122" s="1"/>
  <c r="Z55"/>
  <c r="Z118" s="1"/>
  <c r="Z64"/>
  <c r="Z127" s="1"/>
  <c r="Z60"/>
  <c r="Z123" s="1"/>
  <c r="Z56"/>
  <c r="Z119" s="1"/>
  <c r="Z52"/>
  <c r="Z115" s="1"/>
  <c r="Z48"/>
  <c r="Z111" s="1"/>
  <c r="Z44"/>
  <c r="Z107" s="1"/>
  <c r="Z40"/>
  <c r="Z103" s="1"/>
  <c r="Z36"/>
  <c r="Z99" s="1"/>
  <c r="Z32"/>
  <c r="Z95" s="1"/>
  <c r="Z28"/>
  <c r="Z91" s="1"/>
  <c r="Z24"/>
  <c r="Z87" s="1"/>
  <c r="Z20"/>
  <c r="Z83" s="1"/>
  <c r="Z53"/>
  <c r="Z116" s="1"/>
  <c r="Z49"/>
  <c r="Z112" s="1"/>
  <c r="Z45"/>
  <c r="Z108" s="1"/>
  <c r="Z41"/>
  <c r="Z104" s="1"/>
  <c r="Z37"/>
  <c r="Z100" s="1"/>
  <c r="Z33"/>
  <c r="Z96" s="1"/>
  <c r="Z29"/>
  <c r="Z92" s="1"/>
  <c r="Z25"/>
  <c r="Z88" s="1"/>
  <c r="Z21"/>
  <c r="Z84" s="1"/>
  <c r="Z17"/>
  <c r="Z80" s="1"/>
  <c r="AB65"/>
  <c r="AB128" s="1"/>
  <c r="AB61"/>
  <c r="AB124" s="1"/>
  <c r="AB57"/>
  <c r="AB120" s="1"/>
  <c r="AB66"/>
  <c r="AB129" s="1"/>
  <c r="AB62"/>
  <c r="AB125" s="1"/>
  <c r="AB58"/>
  <c r="AB121" s="1"/>
  <c r="AB54"/>
  <c r="AB117" s="1"/>
  <c r="AB50"/>
  <c r="AB113" s="1"/>
  <c r="AB46"/>
  <c r="AB109" s="1"/>
  <c r="AB42"/>
  <c r="AB105" s="1"/>
  <c r="AB38"/>
  <c r="AB101" s="1"/>
  <c r="AB34"/>
  <c r="AB97" s="1"/>
  <c r="AB30"/>
  <c r="AB93" s="1"/>
  <c r="AB26"/>
  <c r="AB89" s="1"/>
  <c r="AB22"/>
  <c r="AB85" s="1"/>
  <c r="AB18"/>
  <c r="AB81" s="1"/>
  <c r="AB51"/>
  <c r="AB114" s="1"/>
  <c r="AB47"/>
  <c r="AB110" s="1"/>
  <c r="AB43"/>
  <c r="AB106" s="1"/>
  <c r="AB39"/>
  <c r="AB102" s="1"/>
  <c r="AB35"/>
  <c r="AB98" s="1"/>
  <c r="AB31"/>
  <c r="AB94" s="1"/>
  <c r="AB27"/>
  <c r="AB90" s="1"/>
  <c r="AB23"/>
  <c r="AB86" s="1"/>
  <c r="AB19"/>
  <c r="AB82" s="1"/>
  <c r="AD67"/>
  <c r="AD130" s="1"/>
  <c r="AD63"/>
  <c r="AD126" s="1"/>
  <c r="AD59"/>
  <c r="AD122" s="1"/>
  <c r="AD55"/>
  <c r="AD118" s="1"/>
  <c r="AD64"/>
  <c r="AD127" s="1"/>
  <c r="AD60"/>
  <c r="AD123" s="1"/>
  <c r="AD56"/>
  <c r="AD119" s="1"/>
  <c r="AD52"/>
  <c r="AD115" s="1"/>
  <c r="AD48"/>
  <c r="AD111" s="1"/>
  <c r="AD44"/>
  <c r="AD107" s="1"/>
  <c r="AD40"/>
  <c r="AD103" s="1"/>
  <c r="AD36"/>
  <c r="AD99" s="1"/>
  <c r="AD32"/>
  <c r="AD95" s="1"/>
  <c r="AD28"/>
  <c r="AD91" s="1"/>
  <c r="AD24"/>
  <c r="AD87" s="1"/>
  <c r="AD20"/>
  <c r="AD83" s="1"/>
  <c r="AD16"/>
  <c r="AD79" s="1"/>
  <c r="AD51"/>
  <c r="AD114" s="1"/>
  <c r="AD47"/>
  <c r="AD110" s="1"/>
  <c r="AD43"/>
  <c r="AD106" s="1"/>
  <c r="AD39"/>
  <c r="AD102" s="1"/>
  <c r="AD35"/>
  <c r="AD98" s="1"/>
  <c r="AD31"/>
  <c r="AD94" s="1"/>
  <c r="AD27"/>
  <c r="AD90" s="1"/>
  <c r="AD23"/>
  <c r="AD86" s="1"/>
  <c r="AD19"/>
  <c r="AD82" s="1"/>
  <c r="AF67"/>
  <c r="AF130" s="1"/>
  <c r="AF63"/>
  <c r="AF126" s="1"/>
  <c r="AF59"/>
  <c r="AF122" s="1"/>
  <c r="AF55"/>
  <c r="AF118" s="1"/>
  <c r="AF64"/>
  <c r="AF127" s="1"/>
  <c r="AF60"/>
  <c r="AF123" s="1"/>
  <c r="AF56"/>
  <c r="AF119" s="1"/>
  <c r="AF52"/>
  <c r="AF115" s="1"/>
  <c r="AF48"/>
  <c r="AF111" s="1"/>
  <c r="AF44"/>
  <c r="AF107" s="1"/>
  <c r="AF40"/>
  <c r="AF103" s="1"/>
  <c r="AF36"/>
  <c r="AF99" s="1"/>
  <c r="AF32"/>
  <c r="AF95" s="1"/>
  <c r="AF28"/>
  <c r="AF91" s="1"/>
  <c r="AF24"/>
  <c r="AF87" s="1"/>
  <c r="AF20"/>
  <c r="AF83" s="1"/>
  <c r="AF16"/>
  <c r="AF79" s="1"/>
  <c r="AF51"/>
  <c r="AF114" s="1"/>
  <c r="AF47"/>
  <c r="AF110" s="1"/>
  <c r="AF43"/>
  <c r="AF106" s="1"/>
  <c r="AF39"/>
  <c r="AF102" s="1"/>
  <c r="AF35"/>
  <c r="AF98" s="1"/>
  <c r="AF31"/>
  <c r="AF94" s="1"/>
  <c r="AF27"/>
  <c r="AF90" s="1"/>
  <c r="AF23"/>
  <c r="AF86" s="1"/>
  <c r="AF19"/>
  <c r="AF82" s="1"/>
  <c r="AH67"/>
  <c r="AH130" s="1"/>
  <c r="AH63"/>
  <c r="AH126" s="1"/>
  <c r="AH59"/>
  <c r="AH122" s="1"/>
  <c r="AH55"/>
  <c r="AH118" s="1"/>
  <c r="AH64"/>
  <c r="AH127" s="1"/>
  <c r="AH60"/>
  <c r="AH123" s="1"/>
  <c r="AH56"/>
  <c r="AH119" s="1"/>
  <c r="AH52"/>
  <c r="AH115" s="1"/>
  <c r="AH48"/>
  <c r="AH111" s="1"/>
  <c r="AH44"/>
  <c r="AH107" s="1"/>
  <c r="AH40"/>
  <c r="AH103" s="1"/>
  <c r="AH36"/>
  <c r="AH99" s="1"/>
  <c r="AH32"/>
  <c r="AH95" s="1"/>
  <c r="AH28"/>
  <c r="AH91" s="1"/>
  <c r="AH24"/>
  <c r="AH87" s="1"/>
  <c r="AH20"/>
  <c r="AH83" s="1"/>
  <c r="AH16"/>
  <c r="AH79" s="1"/>
  <c r="AH51"/>
  <c r="AH114" s="1"/>
  <c r="AH47"/>
  <c r="AH110" s="1"/>
  <c r="AH43"/>
  <c r="AH106" s="1"/>
  <c r="AH39"/>
  <c r="AH102" s="1"/>
  <c r="AH35"/>
  <c r="AH98" s="1"/>
  <c r="AH31"/>
  <c r="AH94" s="1"/>
  <c r="AH27"/>
  <c r="AH90" s="1"/>
  <c r="AH23"/>
  <c r="AH86" s="1"/>
  <c r="AH19"/>
  <c r="AH82" s="1"/>
  <c r="AJ67"/>
  <c r="AJ130" s="1"/>
  <c r="AJ63"/>
  <c r="AJ126" s="1"/>
  <c r="AJ59"/>
  <c r="AJ122" s="1"/>
  <c r="AJ55"/>
  <c r="AJ118" s="1"/>
  <c r="AJ64"/>
  <c r="AJ127" s="1"/>
  <c r="AJ60"/>
  <c r="AJ123" s="1"/>
  <c r="AJ56"/>
  <c r="AJ119" s="1"/>
  <c r="AJ52"/>
  <c r="AJ115" s="1"/>
  <c r="AJ48"/>
  <c r="AJ111" s="1"/>
  <c r="AJ44"/>
  <c r="AJ107" s="1"/>
  <c r="AJ40"/>
  <c r="AJ103" s="1"/>
  <c r="AJ36"/>
  <c r="AJ99" s="1"/>
  <c r="AJ32"/>
  <c r="AJ95" s="1"/>
  <c r="AJ28"/>
  <c r="AJ91" s="1"/>
  <c r="AJ24"/>
  <c r="AJ87" s="1"/>
  <c r="AA26"/>
  <c r="AA89" s="1"/>
  <c r="AA22"/>
  <c r="AA85" s="1"/>
  <c r="AA18"/>
  <c r="AA81" s="1"/>
  <c r="AC66"/>
  <c r="AC129" s="1"/>
  <c r="AC62"/>
  <c r="AC125" s="1"/>
  <c r="AC58"/>
  <c r="AC121" s="1"/>
  <c r="AC67"/>
  <c r="AC130" s="1"/>
  <c r="AC63"/>
  <c r="AC126" s="1"/>
  <c r="AC59"/>
  <c r="AC122" s="1"/>
  <c r="AC55"/>
  <c r="AC118" s="1"/>
  <c r="AC51"/>
  <c r="AC114" s="1"/>
  <c r="AC47"/>
  <c r="AC110" s="1"/>
  <c r="AC43"/>
  <c r="AC106" s="1"/>
  <c r="AC39"/>
  <c r="AC102" s="1"/>
  <c r="AC35"/>
  <c r="AC98" s="1"/>
  <c r="AC31"/>
  <c r="AC94" s="1"/>
  <c r="AC27"/>
  <c r="AC90" s="1"/>
  <c r="AC23"/>
  <c r="AC86" s="1"/>
  <c r="AC19"/>
  <c r="AC82" s="1"/>
  <c r="AC54"/>
  <c r="AC117" s="1"/>
  <c r="AC50"/>
  <c r="AC113" s="1"/>
  <c r="AC46"/>
  <c r="AC109" s="1"/>
  <c r="AC42"/>
  <c r="AC105" s="1"/>
  <c r="AC38"/>
  <c r="AC101" s="1"/>
  <c r="AC34"/>
  <c r="AC97" s="1"/>
  <c r="AC30"/>
  <c r="AC93" s="1"/>
  <c r="AC26"/>
  <c r="AC89" s="1"/>
  <c r="AC22"/>
  <c r="AC85" s="1"/>
  <c r="AC18"/>
  <c r="AC81" s="1"/>
  <c r="AE66"/>
  <c r="AE129" s="1"/>
  <c r="AE62"/>
  <c r="AE125" s="1"/>
  <c r="AE58"/>
  <c r="AE121" s="1"/>
  <c r="AE54"/>
  <c r="AE117" s="1"/>
  <c r="AE65"/>
  <c r="AE128" s="1"/>
  <c r="AE61"/>
  <c r="AE124" s="1"/>
  <c r="AE57"/>
  <c r="AE120" s="1"/>
  <c r="AE53"/>
  <c r="AE116" s="1"/>
  <c r="AE49"/>
  <c r="AE112" s="1"/>
  <c r="AE45"/>
  <c r="AE108" s="1"/>
  <c r="AE41"/>
  <c r="AE104" s="1"/>
  <c r="AE37"/>
  <c r="AE100" s="1"/>
  <c r="AE33"/>
  <c r="AE96" s="1"/>
  <c r="AE29"/>
  <c r="AE92" s="1"/>
  <c r="AE25"/>
  <c r="AE88" s="1"/>
  <c r="AE21"/>
  <c r="AE84" s="1"/>
  <c r="AE17"/>
  <c r="AE80" s="1"/>
  <c r="AE50"/>
  <c r="AE113" s="1"/>
  <c r="AE46"/>
  <c r="AE109" s="1"/>
  <c r="AE42"/>
  <c r="AE105" s="1"/>
  <c r="AE38"/>
  <c r="AE101" s="1"/>
  <c r="AE34"/>
  <c r="AE97" s="1"/>
  <c r="AE30"/>
  <c r="AE93" s="1"/>
  <c r="AE26"/>
  <c r="AE89" s="1"/>
  <c r="AE22"/>
  <c r="AE85" s="1"/>
  <c r="AE18"/>
  <c r="AE81" s="1"/>
  <c r="AG66"/>
  <c r="AG129" s="1"/>
  <c r="AG62"/>
  <c r="AG125" s="1"/>
  <c r="AG58"/>
  <c r="AG121" s="1"/>
  <c r="AG54"/>
  <c r="AG117" s="1"/>
  <c r="AG65"/>
  <c r="AG128" s="1"/>
  <c r="AG61"/>
  <c r="AG124" s="1"/>
  <c r="AG57"/>
  <c r="AG120" s="1"/>
  <c r="AG53"/>
  <c r="AG116" s="1"/>
  <c r="AG49"/>
  <c r="AG112" s="1"/>
  <c r="AG45"/>
  <c r="AG108" s="1"/>
  <c r="AG41"/>
  <c r="AG104" s="1"/>
  <c r="AG37"/>
  <c r="AG100" s="1"/>
  <c r="AG33"/>
  <c r="AG96" s="1"/>
  <c r="AG29"/>
  <c r="AG92" s="1"/>
  <c r="AG25"/>
  <c r="AG88" s="1"/>
  <c r="AG21"/>
  <c r="AG84" s="1"/>
  <c r="AG17"/>
  <c r="AG80" s="1"/>
  <c r="AG50"/>
  <c r="AG113" s="1"/>
  <c r="AG46"/>
  <c r="AG109" s="1"/>
  <c r="AG42"/>
  <c r="AG105" s="1"/>
  <c r="AG38"/>
  <c r="AG101" s="1"/>
  <c r="AG34"/>
  <c r="AG97" s="1"/>
  <c r="AG30"/>
  <c r="AG93" s="1"/>
  <c r="AG26"/>
  <c r="AG89" s="1"/>
  <c r="AG22"/>
  <c r="AG85" s="1"/>
  <c r="AG18"/>
  <c r="AG81" s="1"/>
  <c r="AI66"/>
  <c r="AI129" s="1"/>
  <c r="AI62"/>
  <c r="AI125" s="1"/>
  <c r="AI58"/>
  <c r="AI121" s="1"/>
  <c r="AI54"/>
  <c r="AI117" s="1"/>
  <c r="AI65"/>
  <c r="AI128" s="1"/>
  <c r="AI61"/>
  <c r="AI124" s="1"/>
  <c r="AI57"/>
  <c r="AI120" s="1"/>
  <c r="AI53"/>
  <c r="AI116" s="1"/>
  <c r="AI49"/>
  <c r="AI112" s="1"/>
  <c r="AI45"/>
  <c r="AI108" s="1"/>
  <c r="AI41"/>
  <c r="AI104" s="1"/>
  <c r="AI37"/>
  <c r="AI100" s="1"/>
  <c r="AI33"/>
  <c r="AI96" s="1"/>
  <c r="AI29"/>
  <c r="AI92" s="1"/>
  <c r="AI25"/>
  <c r="AI88" s="1"/>
  <c r="AI21"/>
  <c r="AI84" s="1"/>
  <c r="AI17"/>
  <c r="AI80" s="1"/>
  <c r="AI50"/>
  <c r="AI113" s="1"/>
  <c r="AI46"/>
  <c r="AI109" s="1"/>
  <c r="AI42"/>
  <c r="AI105" s="1"/>
  <c r="AI38"/>
  <c r="AI101" s="1"/>
  <c r="AI34"/>
  <c r="AI97" s="1"/>
  <c r="AI30"/>
  <c r="AI93" s="1"/>
  <c r="AI26"/>
  <c r="AI89" s="1"/>
  <c r="AI22"/>
  <c r="AI85" s="1"/>
  <c r="AI18"/>
  <c r="AI81" s="1"/>
  <c r="J7"/>
  <c r="J70" s="1"/>
  <c r="N7"/>
  <c r="N70" s="1"/>
  <c r="R7"/>
  <c r="R70" s="1"/>
  <c r="V7"/>
  <c r="V70" s="1"/>
  <c r="Z7"/>
  <c r="Z70" s="1"/>
  <c r="AD7"/>
  <c r="AD70" s="1"/>
  <c r="AH7"/>
  <c r="AH70" s="1"/>
  <c r="K8"/>
  <c r="K71" s="1"/>
  <c r="O8"/>
  <c r="O71" s="1"/>
  <c r="S8"/>
  <c r="S71" s="1"/>
  <c r="W8"/>
  <c r="W71" s="1"/>
  <c r="AA8"/>
  <c r="AA71" s="1"/>
  <c r="AE8"/>
  <c r="AE71" s="1"/>
  <c r="AI8"/>
  <c r="AI71" s="1"/>
  <c r="L9"/>
  <c r="L72" s="1"/>
  <c r="P9"/>
  <c r="P72" s="1"/>
  <c r="T9"/>
  <c r="T72" s="1"/>
  <c r="X9"/>
  <c r="X72" s="1"/>
  <c r="AB9"/>
  <c r="AB72" s="1"/>
  <c r="AF9"/>
  <c r="AF72" s="1"/>
  <c r="AJ9"/>
  <c r="AJ72" s="1"/>
  <c r="M10"/>
  <c r="M73" s="1"/>
  <c r="Q10"/>
  <c r="Q73" s="1"/>
  <c r="U10"/>
  <c r="U73" s="1"/>
  <c r="Y10"/>
  <c r="Y73" s="1"/>
  <c r="AC10"/>
  <c r="AC73" s="1"/>
  <c r="AG10"/>
  <c r="AG73" s="1"/>
  <c r="J11"/>
  <c r="J74" s="1"/>
  <c r="N11"/>
  <c r="N74" s="1"/>
  <c r="R11"/>
  <c r="R74" s="1"/>
  <c r="V11"/>
  <c r="V74" s="1"/>
  <c r="Z11"/>
  <c r="Z74" s="1"/>
  <c r="AD11"/>
  <c r="AD74" s="1"/>
  <c r="AH11"/>
  <c r="AH74" s="1"/>
  <c r="K12"/>
  <c r="K75" s="1"/>
  <c r="O12"/>
  <c r="O75" s="1"/>
  <c r="S12"/>
  <c r="S75" s="1"/>
  <c r="W12"/>
  <c r="W75" s="1"/>
  <c r="AA12"/>
  <c r="AA75" s="1"/>
  <c r="AE12"/>
  <c r="AE75" s="1"/>
  <c r="AI12"/>
  <c r="AI75" s="1"/>
  <c r="L13"/>
  <c r="L76" s="1"/>
  <c r="P13"/>
  <c r="P76" s="1"/>
  <c r="T13"/>
  <c r="T76" s="1"/>
  <c r="X13"/>
  <c r="X76" s="1"/>
  <c r="AB13"/>
  <c r="AB76" s="1"/>
  <c r="AF13"/>
  <c r="AF76" s="1"/>
  <c r="AJ13"/>
  <c r="AJ76" s="1"/>
  <c r="M14"/>
  <c r="M77" s="1"/>
  <c r="Q14"/>
  <c r="Q77" s="1"/>
  <c r="U14"/>
  <c r="U77" s="1"/>
  <c r="Y14"/>
  <c r="Y77" s="1"/>
  <c r="AC14"/>
  <c r="AC77" s="1"/>
  <c r="AG14"/>
  <c r="AG77" s="1"/>
  <c r="T15"/>
  <c r="T78" s="1"/>
  <c r="AB15"/>
  <c r="AB78" s="1"/>
  <c r="M16"/>
  <c r="M79" s="1"/>
  <c r="Q16"/>
  <c r="Q79" s="1"/>
  <c r="J65"/>
  <c r="J128" s="1"/>
  <c r="J61"/>
  <c r="J124" s="1"/>
  <c r="J57"/>
  <c r="J120" s="1"/>
  <c r="J66"/>
  <c r="J129" s="1"/>
  <c r="J62"/>
  <c r="J125" s="1"/>
  <c r="J58"/>
  <c r="J121" s="1"/>
  <c r="J54"/>
  <c r="J117" s="1"/>
  <c r="J50"/>
  <c r="J113" s="1"/>
  <c r="J46"/>
  <c r="J109" s="1"/>
  <c r="J42"/>
  <c r="J105" s="1"/>
  <c r="J38"/>
  <c r="J101" s="1"/>
  <c r="J34"/>
  <c r="J97" s="1"/>
  <c r="J30"/>
  <c r="J93" s="1"/>
  <c r="J26"/>
  <c r="J89" s="1"/>
  <c r="J22"/>
  <c r="J85" s="1"/>
  <c r="J18"/>
  <c r="J81" s="1"/>
  <c r="J51"/>
  <c r="J114" s="1"/>
  <c r="J47"/>
  <c r="J110" s="1"/>
  <c r="J43"/>
  <c r="J106" s="1"/>
  <c r="J39"/>
  <c r="J102" s="1"/>
  <c r="J35"/>
  <c r="J98" s="1"/>
  <c r="J31"/>
  <c r="J94" s="1"/>
  <c r="J27"/>
  <c r="J90" s="1"/>
  <c r="J23"/>
  <c r="J86" s="1"/>
  <c r="J19"/>
  <c r="J82" s="1"/>
  <c r="L67"/>
  <c r="L130" s="1"/>
  <c r="L63"/>
  <c r="L126" s="1"/>
  <c r="L59"/>
  <c r="L122" s="1"/>
  <c r="L55"/>
  <c r="L118" s="1"/>
  <c r="L64"/>
  <c r="L127" s="1"/>
  <c r="L60"/>
  <c r="L123" s="1"/>
  <c r="L56"/>
  <c r="L119" s="1"/>
  <c r="L52"/>
  <c r="L115" s="1"/>
  <c r="L48"/>
  <c r="L111" s="1"/>
  <c r="L44"/>
  <c r="L107" s="1"/>
  <c r="L40"/>
  <c r="L103" s="1"/>
  <c r="L36"/>
  <c r="L99" s="1"/>
  <c r="L32"/>
  <c r="L95" s="1"/>
  <c r="L28"/>
  <c r="L91" s="1"/>
  <c r="L24"/>
  <c r="L87" s="1"/>
  <c r="L20"/>
  <c r="L83" s="1"/>
  <c r="L53"/>
  <c r="L116" s="1"/>
  <c r="L49"/>
  <c r="L112" s="1"/>
  <c r="L45"/>
  <c r="L108" s="1"/>
  <c r="L41"/>
  <c r="L104" s="1"/>
  <c r="L37"/>
  <c r="L100" s="1"/>
  <c r="L33"/>
  <c r="L96" s="1"/>
  <c r="L29"/>
  <c r="L92" s="1"/>
  <c r="L25"/>
  <c r="L88" s="1"/>
  <c r="L21"/>
  <c r="L84" s="1"/>
  <c r="L17"/>
  <c r="L80" s="1"/>
  <c r="N65"/>
  <c r="N128" s="1"/>
  <c r="N61"/>
  <c r="N124" s="1"/>
  <c r="N57"/>
  <c r="N120" s="1"/>
  <c r="N66"/>
  <c r="N129" s="1"/>
  <c r="N62"/>
  <c r="N125" s="1"/>
  <c r="N58"/>
  <c r="N121" s="1"/>
  <c r="N54"/>
  <c r="N117" s="1"/>
  <c r="N50"/>
  <c r="N113" s="1"/>
  <c r="N46"/>
  <c r="N109" s="1"/>
  <c r="N42"/>
  <c r="N105" s="1"/>
  <c r="N38"/>
  <c r="N101" s="1"/>
  <c r="N34"/>
  <c r="N97" s="1"/>
  <c r="N30"/>
  <c r="N93" s="1"/>
  <c r="N26"/>
  <c r="N89" s="1"/>
  <c r="N22"/>
  <c r="N85" s="1"/>
  <c r="N18"/>
  <c r="N81" s="1"/>
  <c r="N51"/>
  <c r="N114" s="1"/>
  <c r="N47"/>
  <c r="N110" s="1"/>
  <c r="N43"/>
  <c r="N106" s="1"/>
  <c r="N39"/>
  <c r="N102" s="1"/>
  <c r="N35"/>
  <c r="N98" s="1"/>
  <c r="N31"/>
  <c r="N94" s="1"/>
  <c r="N27"/>
  <c r="N90" s="1"/>
  <c r="N23"/>
  <c r="N86" s="1"/>
  <c r="N19"/>
  <c r="N82" s="1"/>
  <c r="P67"/>
  <c r="P130" s="1"/>
  <c r="P63"/>
  <c r="P126" s="1"/>
  <c r="P59"/>
  <c r="P122" s="1"/>
  <c r="P55"/>
  <c r="P118" s="1"/>
  <c r="P64"/>
  <c r="P127" s="1"/>
  <c r="P60"/>
  <c r="P123" s="1"/>
  <c r="P56"/>
  <c r="P119" s="1"/>
  <c r="P52"/>
  <c r="P115" s="1"/>
  <c r="P48"/>
  <c r="P111" s="1"/>
  <c r="P44"/>
  <c r="P107" s="1"/>
  <c r="P40"/>
  <c r="P103" s="1"/>
  <c r="P36"/>
  <c r="P99" s="1"/>
  <c r="P32"/>
  <c r="P95" s="1"/>
  <c r="P28"/>
  <c r="P91" s="1"/>
  <c r="P24"/>
  <c r="P87" s="1"/>
  <c r="P20"/>
  <c r="P83" s="1"/>
  <c r="P53"/>
  <c r="P116" s="1"/>
  <c r="P49"/>
  <c r="P112" s="1"/>
  <c r="P45"/>
  <c r="P108" s="1"/>
  <c r="P41"/>
  <c r="P104" s="1"/>
  <c r="P37"/>
  <c r="P100" s="1"/>
  <c r="P33"/>
  <c r="P96" s="1"/>
  <c r="P29"/>
  <c r="P92" s="1"/>
  <c r="P25"/>
  <c r="P88" s="1"/>
  <c r="P21"/>
  <c r="P84" s="1"/>
  <c r="P17"/>
  <c r="P80" s="1"/>
  <c r="R65"/>
  <c r="R128" s="1"/>
  <c r="R61"/>
  <c r="R124" s="1"/>
  <c r="R57"/>
  <c r="R120" s="1"/>
  <c r="R66"/>
  <c r="R129" s="1"/>
  <c r="R62"/>
  <c r="R125" s="1"/>
  <c r="R58"/>
  <c r="R121" s="1"/>
  <c r="R54"/>
  <c r="R117" s="1"/>
  <c r="R50"/>
  <c r="R113" s="1"/>
  <c r="R46"/>
  <c r="R109" s="1"/>
  <c r="R42"/>
  <c r="R105" s="1"/>
  <c r="R38"/>
  <c r="R101" s="1"/>
  <c r="R34"/>
  <c r="R97" s="1"/>
  <c r="R30"/>
  <c r="R93" s="1"/>
  <c r="R26"/>
  <c r="R89" s="1"/>
  <c r="R22"/>
  <c r="R85" s="1"/>
  <c r="R18"/>
  <c r="R81" s="1"/>
  <c r="R51"/>
  <c r="R114" s="1"/>
  <c r="R47"/>
  <c r="R110" s="1"/>
  <c r="R43"/>
  <c r="R106" s="1"/>
  <c r="R39"/>
  <c r="R102" s="1"/>
  <c r="R35"/>
  <c r="R98" s="1"/>
  <c r="R31"/>
  <c r="R94" s="1"/>
  <c r="R27"/>
  <c r="R90" s="1"/>
  <c r="R23"/>
  <c r="R86" s="1"/>
  <c r="R19"/>
  <c r="R82" s="1"/>
  <c r="T67"/>
  <c r="T130" s="1"/>
  <c r="T63"/>
  <c r="T126" s="1"/>
  <c r="T59"/>
  <c r="T122" s="1"/>
  <c r="T55"/>
  <c r="T118" s="1"/>
  <c r="T64"/>
  <c r="T127" s="1"/>
  <c r="T60"/>
  <c r="T123" s="1"/>
  <c r="T56"/>
  <c r="T119" s="1"/>
  <c r="T52"/>
  <c r="T115" s="1"/>
  <c r="T48"/>
  <c r="T111" s="1"/>
  <c r="T44"/>
  <c r="T107" s="1"/>
  <c r="T40"/>
  <c r="T103" s="1"/>
  <c r="T36"/>
  <c r="T99" s="1"/>
  <c r="T32"/>
  <c r="T95" s="1"/>
  <c r="T28"/>
  <c r="T91" s="1"/>
  <c r="T24"/>
  <c r="T87" s="1"/>
  <c r="T20"/>
  <c r="T83" s="1"/>
  <c r="T53"/>
  <c r="T116" s="1"/>
  <c r="T49"/>
  <c r="T112" s="1"/>
  <c r="T45"/>
  <c r="T108" s="1"/>
  <c r="T41"/>
  <c r="T104" s="1"/>
  <c r="T37"/>
  <c r="T100" s="1"/>
  <c r="T33"/>
  <c r="T96" s="1"/>
  <c r="T29"/>
  <c r="T92" s="1"/>
  <c r="T25"/>
  <c r="T88" s="1"/>
  <c r="T21"/>
  <c r="T84" s="1"/>
  <c r="T17"/>
  <c r="T80" s="1"/>
  <c r="V65"/>
  <c r="V128" s="1"/>
  <c r="V61"/>
  <c r="V124" s="1"/>
  <c r="V57"/>
  <c r="V120" s="1"/>
  <c r="V66"/>
  <c r="V129" s="1"/>
  <c r="V62"/>
  <c r="V125" s="1"/>
  <c r="V58"/>
  <c r="V121" s="1"/>
  <c r="V54"/>
  <c r="V117" s="1"/>
  <c r="V50"/>
  <c r="V113" s="1"/>
  <c r="V46"/>
  <c r="V109" s="1"/>
  <c r="V42"/>
  <c r="V105" s="1"/>
  <c r="V38"/>
  <c r="V101" s="1"/>
  <c r="V34"/>
  <c r="V97" s="1"/>
  <c r="V30"/>
  <c r="V93" s="1"/>
  <c r="V26"/>
  <c r="V89" s="1"/>
  <c r="V22"/>
  <c r="V85" s="1"/>
  <c r="V18"/>
  <c r="V81" s="1"/>
  <c r="V51"/>
  <c r="V114" s="1"/>
  <c r="V47"/>
  <c r="V110" s="1"/>
  <c r="V43"/>
  <c r="V106" s="1"/>
  <c r="V39"/>
  <c r="V102" s="1"/>
  <c r="V35"/>
  <c r="V98" s="1"/>
  <c r="V31"/>
  <c r="V94" s="1"/>
  <c r="V27"/>
  <c r="V90" s="1"/>
  <c r="V23"/>
  <c r="V86" s="1"/>
  <c r="V19"/>
  <c r="V82" s="1"/>
  <c r="X67"/>
  <c r="X130" s="1"/>
  <c r="X63"/>
  <c r="X126" s="1"/>
  <c r="X59"/>
  <c r="X122" s="1"/>
  <c r="X55"/>
  <c r="X118" s="1"/>
  <c r="X64"/>
  <c r="X127" s="1"/>
  <c r="X60"/>
  <c r="X123" s="1"/>
  <c r="X56"/>
  <c r="X119" s="1"/>
  <c r="X52"/>
  <c r="X115" s="1"/>
  <c r="X48"/>
  <c r="X111" s="1"/>
  <c r="X44"/>
  <c r="X107" s="1"/>
  <c r="X40"/>
  <c r="X103" s="1"/>
  <c r="X36"/>
  <c r="X99" s="1"/>
  <c r="X32"/>
  <c r="X95" s="1"/>
  <c r="X28"/>
  <c r="X91" s="1"/>
  <c r="X24"/>
  <c r="X87" s="1"/>
  <c r="X20"/>
  <c r="X83" s="1"/>
  <c r="X53"/>
  <c r="X116" s="1"/>
  <c r="X49"/>
  <c r="X112" s="1"/>
  <c r="X45"/>
  <c r="X108" s="1"/>
  <c r="X41"/>
  <c r="X104" s="1"/>
  <c r="X37"/>
  <c r="X100" s="1"/>
  <c r="X33"/>
  <c r="X96" s="1"/>
  <c r="X29"/>
  <c r="X92" s="1"/>
  <c r="X25"/>
  <c r="X88" s="1"/>
  <c r="X21"/>
  <c r="X84" s="1"/>
  <c r="X17"/>
  <c r="X80" s="1"/>
  <c r="Z65"/>
  <c r="Z128" s="1"/>
  <c r="Z61"/>
  <c r="Z124" s="1"/>
  <c r="Z57"/>
  <c r="Z120" s="1"/>
  <c r="Z66"/>
  <c r="Z129" s="1"/>
  <c r="Z62"/>
  <c r="Z125" s="1"/>
  <c r="Z58"/>
  <c r="Z121" s="1"/>
  <c r="Z54"/>
  <c r="Z117" s="1"/>
  <c r="Z50"/>
  <c r="Z113" s="1"/>
  <c r="Z46"/>
  <c r="Z109" s="1"/>
  <c r="Z42"/>
  <c r="Z105" s="1"/>
  <c r="Z38"/>
  <c r="Z101" s="1"/>
  <c r="Z34"/>
  <c r="Z97" s="1"/>
  <c r="Z30"/>
  <c r="Z93" s="1"/>
  <c r="Z26"/>
  <c r="Z89" s="1"/>
  <c r="Z22"/>
  <c r="Z85" s="1"/>
  <c r="Z18"/>
  <c r="Z81" s="1"/>
  <c r="Z51"/>
  <c r="Z114" s="1"/>
  <c r="Z47"/>
  <c r="Z110" s="1"/>
  <c r="Z43"/>
  <c r="Z106" s="1"/>
  <c r="Z39"/>
  <c r="Z102" s="1"/>
  <c r="Z35"/>
  <c r="Z98" s="1"/>
  <c r="Z31"/>
  <c r="Z94" s="1"/>
  <c r="Z27"/>
  <c r="Z90" s="1"/>
  <c r="Z23"/>
  <c r="Z86" s="1"/>
  <c r="Z19"/>
  <c r="Z82" s="1"/>
  <c r="AB67"/>
  <c r="AB130" s="1"/>
  <c r="AB63"/>
  <c r="AB126" s="1"/>
  <c r="AB59"/>
  <c r="AB122" s="1"/>
  <c r="AB55"/>
  <c r="AB118" s="1"/>
  <c r="AB64"/>
  <c r="AB127" s="1"/>
  <c r="AB60"/>
  <c r="AB123" s="1"/>
  <c r="AB56"/>
  <c r="AB119" s="1"/>
  <c r="AB52"/>
  <c r="AB115" s="1"/>
  <c r="AB48"/>
  <c r="AB111" s="1"/>
  <c r="AB44"/>
  <c r="AB107" s="1"/>
  <c r="AB40"/>
  <c r="AB103" s="1"/>
  <c r="AB36"/>
  <c r="AB99" s="1"/>
  <c r="AB32"/>
  <c r="AB95" s="1"/>
  <c r="AB28"/>
  <c r="AB91" s="1"/>
  <c r="AB24"/>
  <c r="AB87" s="1"/>
  <c r="AB20"/>
  <c r="AB83" s="1"/>
  <c r="AB53"/>
  <c r="AB116" s="1"/>
  <c r="AB49"/>
  <c r="AB112" s="1"/>
  <c r="AB45"/>
  <c r="AB108" s="1"/>
  <c r="AB41"/>
  <c r="AB104" s="1"/>
  <c r="AB37"/>
  <c r="AB100" s="1"/>
  <c r="AB33"/>
  <c r="AB96" s="1"/>
  <c r="AB29"/>
  <c r="AB92" s="1"/>
  <c r="AB25"/>
  <c r="AB88" s="1"/>
  <c r="AB21"/>
  <c r="AB84" s="1"/>
  <c r="AB17"/>
  <c r="AB80" s="1"/>
  <c r="AD65"/>
  <c r="AD128" s="1"/>
  <c r="AD61"/>
  <c r="AD124" s="1"/>
  <c r="AD57"/>
  <c r="AD120" s="1"/>
  <c r="AD66"/>
  <c r="AD129" s="1"/>
  <c r="AD62"/>
  <c r="AD125" s="1"/>
  <c r="AD58"/>
  <c r="AD121" s="1"/>
  <c r="AD54"/>
  <c r="AD117" s="1"/>
  <c r="AD50"/>
  <c r="AD113" s="1"/>
  <c r="AD46"/>
  <c r="AD109" s="1"/>
  <c r="AD42"/>
  <c r="AD105" s="1"/>
  <c r="AD38"/>
  <c r="AD101" s="1"/>
  <c r="AD34"/>
  <c r="AD97" s="1"/>
  <c r="AD30"/>
  <c r="AD93" s="1"/>
  <c r="AD26"/>
  <c r="AD89" s="1"/>
  <c r="AD22"/>
  <c r="AD85" s="1"/>
  <c r="AD18"/>
  <c r="AD81" s="1"/>
  <c r="AD53"/>
  <c r="AD116" s="1"/>
  <c r="AD49"/>
  <c r="AD112" s="1"/>
  <c r="AD45"/>
  <c r="AD108" s="1"/>
  <c r="AD41"/>
  <c r="AD104" s="1"/>
  <c r="AD37"/>
  <c r="AD100" s="1"/>
  <c r="AD33"/>
  <c r="AD96" s="1"/>
  <c r="AD29"/>
  <c r="AD92" s="1"/>
  <c r="AD25"/>
  <c r="AD88" s="1"/>
  <c r="AD21"/>
  <c r="AD84" s="1"/>
  <c r="AD17"/>
  <c r="AD80" s="1"/>
  <c r="AF65"/>
  <c r="AF128" s="1"/>
  <c r="AF61"/>
  <c r="AF124" s="1"/>
  <c r="AF57"/>
  <c r="AF120" s="1"/>
  <c r="AF66"/>
  <c r="AF129" s="1"/>
  <c r="AF62"/>
  <c r="AF125" s="1"/>
  <c r="AF58"/>
  <c r="AF121" s="1"/>
  <c r="AF54"/>
  <c r="AF117" s="1"/>
  <c r="AF50"/>
  <c r="AF113" s="1"/>
  <c r="AF46"/>
  <c r="AF109" s="1"/>
  <c r="AF42"/>
  <c r="AF105" s="1"/>
  <c r="AF38"/>
  <c r="AF101" s="1"/>
  <c r="AF34"/>
  <c r="AF97" s="1"/>
  <c r="AF30"/>
  <c r="AF93" s="1"/>
  <c r="AF26"/>
  <c r="AF89" s="1"/>
  <c r="AF22"/>
  <c r="AF85" s="1"/>
  <c r="AF18"/>
  <c r="AF81" s="1"/>
  <c r="AF53"/>
  <c r="AF116" s="1"/>
  <c r="AF49"/>
  <c r="AF112" s="1"/>
  <c r="AF45"/>
  <c r="AF108" s="1"/>
  <c r="AF41"/>
  <c r="AF104" s="1"/>
  <c r="AF37"/>
  <c r="AF100" s="1"/>
  <c r="AF33"/>
  <c r="AF96" s="1"/>
  <c r="AF29"/>
  <c r="AF92" s="1"/>
  <c r="AF25"/>
  <c r="AF88" s="1"/>
  <c r="AF21"/>
  <c r="AF84" s="1"/>
  <c r="AF17"/>
  <c r="AF80" s="1"/>
  <c r="AH65"/>
  <c r="AH128" s="1"/>
  <c r="AH61"/>
  <c r="AH124" s="1"/>
  <c r="AH57"/>
  <c r="AH120" s="1"/>
  <c r="AH66"/>
  <c r="AH129" s="1"/>
  <c r="AH62"/>
  <c r="AH125" s="1"/>
  <c r="AH58"/>
  <c r="AH121" s="1"/>
  <c r="AH54"/>
  <c r="AH117" s="1"/>
  <c r="AH50"/>
  <c r="AH113" s="1"/>
  <c r="AH46"/>
  <c r="AH109" s="1"/>
  <c r="AH42"/>
  <c r="AH105" s="1"/>
  <c r="AH38"/>
  <c r="AH101" s="1"/>
  <c r="AH34"/>
  <c r="AH97" s="1"/>
  <c r="AH30"/>
  <c r="AH93" s="1"/>
  <c r="AH26"/>
  <c r="AH89" s="1"/>
  <c r="AH22"/>
  <c r="AH85" s="1"/>
  <c r="AH18"/>
  <c r="AH81" s="1"/>
  <c r="AH53"/>
  <c r="AH116" s="1"/>
  <c r="AH49"/>
  <c r="AH112" s="1"/>
  <c r="AH45"/>
  <c r="AH108" s="1"/>
  <c r="AH41"/>
  <c r="AH104" s="1"/>
  <c r="AH37"/>
  <c r="AH100" s="1"/>
  <c r="AH33"/>
  <c r="AH96" s="1"/>
  <c r="AH29"/>
  <c r="AH92" s="1"/>
  <c r="AH25"/>
  <c r="AH88" s="1"/>
  <c r="AH21"/>
  <c r="AH84" s="1"/>
  <c r="AH17"/>
  <c r="AH80" s="1"/>
  <c r="AJ65"/>
  <c r="AJ128" s="1"/>
  <c r="AJ61"/>
  <c r="AJ124" s="1"/>
  <c r="AJ57"/>
  <c r="AJ120" s="1"/>
  <c r="AJ66"/>
  <c r="AJ129" s="1"/>
  <c r="AJ62"/>
  <c r="AJ125" s="1"/>
  <c r="AJ58"/>
  <c r="AJ121" s="1"/>
  <c r="AJ54"/>
  <c r="AJ117" s="1"/>
  <c r="AJ50"/>
  <c r="AJ113" s="1"/>
  <c r="AJ42"/>
  <c r="AJ105" s="1"/>
  <c r="AJ34"/>
  <c r="AJ97" s="1"/>
  <c r="AJ26"/>
  <c r="AJ89" s="1"/>
  <c r="AJ20"/>
  <c r="AJ83" s="1"/>
  <c r="AJ16"/>
  <c r="AJ79" s="1"/>
  <c r="AJ51"/>
  <c r="AJ114" s="1"/>
  <c r="AJ47"/>
  <c r="AJ110" s="1"/>
  <c r="AJ43"/>
  <c r="AJ106" s="1"/>
  <c r="AJ39"/>
  <c r="AJ102" s="1"/>
  <c r="AJ35"/>
  <c r="AJ98" s="1"/>
  <c r="AJ31"/>
  <c r="AJ94" s="1"/>
  <c r="AJ27"/>
  <c r="AJ90" s="1"/>
  <c r="AJ23"/>
  <c r="AJ86" s="1"/>
  <c r="AJ19"/>
  <c r="AJ82" s="1"/>
  <c r="K7"/>
  <c r="K70" s="1"/>
  <c r="O7"/>
  <c r="O70" s="1"/>
  <c r="S7"/>
  <c r="S70" s="1"/>
  <c r="W7"/>
  <c r="W70" s="1"/>
  <c r="AA7"/>
  <c r="AA70" s="1"/>
  <c r="AE7"/>
  <c r="AE70" s="1"/>
  <c r="AI7"/>
  <c r="AI70" s="1"/>
  <c r="L8"/>
  <c r="L71" s="1"/>
  <c r="P8"/>
  <c r="P71" s="1"/>
  <c r="T8"/>
  <c r="T71" s="1"/>
  <c r="X8"/>
  <c r="X71" s="1"/>
  <c r="AB8"/>
  <c r="AB71" s="1"/>
  <c r="AF8"/>
  <c r="AF71" s="1"/>
  <c r="AJ8"/>
  <c r="AJ71" s="1"/>
  <c r="M9"/>
  <c r="M72" s="1"/>
  <c r="Q9"/>
  <c r="Q72" s="1"/>
  <c r="U9"/>
  <c r="U72" s="1"/>
  <c r="Y9"/>
  <c r="Y72" s="1"/>
  <c r="AC9"/>
  <c r="AC72" s="1"/>
  <c r="AG9"/>
  <c r="AG72" s="1"/>
  <c r="J10"/>
  <c r="J73" s="1"/>
  <c r="N10"/>
  <c r="N73" s="1"/>
  <c r="R10"/>
  <c r="R73" s="1"/>
  <c r="V10"/>
  <c r="V73" s="1"/>
  <c r="Z10"/>
  <c r="Z73" s="1"/>
  <c r="AD10"/>
  <c r="AD73" s="1"/>
  <c r="AH10"/>
  <c r="AH73" s="1"/>
  <c r="K11"/>
  <c r="K74" s="1"/>
  <c r="O11"/>
  <c r="O74" s="1"/>
  <c r="S11"/>
  <c r="S74" s="1"/>
  <c r="W11"/>
  <c r="W74" s="1"/>
  <c r="AA11"/>
  <c r="AA74" s="1"/>
  <c r="AE11"/>
  <c r="AE74" s="1"/>
  <c r="AI11"/>
  <c r="AI74" s="1"/>
  <c r="L12"/>
  <c r="L75" s="1"/>
  <c r="P12"/>
  <c r="P75" s="1"/>
  <c r="T12"/>
  <c r="T75" s="1"/>
  <c r="X12"/>
  <c r="X75" s="1"/>
  <c r="AB12"/>
  <c r="AB75" s="1"/>
  <c r="AF12"/>
  <c r="AF75" s="1"/>
  <c r="AJ12"/>
  <c r="AJ75" s="1"/>
  <c r="M13"/>
  <c r="M76" s="1"/>
  <c r="Q13"/>
  <c r="Q76" s="1"/>
  <c r="U13"/>
  <c r="U76" s="1"/>
  <c r="Y13"/>
  <c r="Y76" s="1"/>
  <c r="AC13"/>
  <c r="AC76" s="1"/>
  <c r="AG13"/>
  <c r="AG76" s="1"/>
  <c r="J14"/>
  <c r="J77" s="1"/>
  <c r="N14"/>
  <c r="N77" s="1"/>
  <c r="R14"/>
  <c r="R77" s="1"/>
  <c r="V14"/>
  <c r="V77" s="1"/>
  <c r="Z14"/>
  <c r="Z77" s="1"/>
  <c r="AD14"/>
  <c r="AD77" s="1"/>
  <c r="AH14"/>
  <c r="AH77" s="1"/>
  <c r="K15"/>
  <c r="K78" s="1"/>
  <c r="O15"/>
  <c r="O78" s="1"/>
  <c r="S15"/>
  <c r="S78" s="1"/>
  <c r="W15"/>
  <c r="W78" s="1"/>
  <c r="AA15"/>
  <c r="AA78" s="1"/>
  <c r="AE15"/>
  <c r="AE78" s="1"/>
  <c r="AI15"/>
  <c r="AI78" s="1"/>
  <c r="L16"/>
  <c r="L79" s="1"/>
  <c r="P16"/>
  <c r="P79" s="1"/>
  <c r="V16"/>
  <c r="V79" s="1"/>
  <c r="AJ46"/>
  <c r="AJ109" s="1"/>
  <c r="AJ38"/>
  <c r="AJ101" s="1"/>
  <c r="AJ30"/>
  <c r="AJ93" s="1"/>
  <c r="AJ22"/>
  <c r="AJ85" s="1"/>
  <c r="AJ18"/>
  <c r="AJ81" s="1"/>
  <c r="AJ53"/>
  <c r="AJ116" s="1"/>
  <c r="AJ49"/>
  <c r="AJ112" s="1"/>
  <c r="AJ45"/>
  <c r="AJ108" s="1"/>
  <c r="AJ41"/>
  <c r="AJ104" s="1"/>
  <c r="AJ37"/>
  <c r="AJ100" s="1"/>
  <c r="AJ33"/>
  <c r="AJ96" s="1"/>
  <c r="AJ29"/>
  <c r="AJ92" s="1"/>
  <c r="AJ25"/>
  <c r="AJ88" s="1"/>
  <c r="AJ21"/>
  <c r="AJ84" s="1"/>
  <c r="AJ17"/>
  <c r="AJ80" s="1"/>
  <c r="M7"/>
  <c r="M70" s="1"/>
  <c r="Q7"/>
  <c r="Q70" s="1"/>
  <c r="U7"/>
  <c r="U70" s="1"/>
  <c r="Y7"/>
  <c r="Y70" s="1"/>
  <c r="AC7"/>
  <c r="AC70" s="1"/>
  <c r="AG7"/>
  <c r="AG70" s="1"/>
  <c r="J8"/>
  <c r="J71" s="1"/>
  <c r="N8"/>
  <c r="N71" s="1"/>
  <c r="R8"/>
  <c r="R71" s="1"/>
  <c r="V8"/>
  <c r="V71" s="1"/>
  <c r="Z8"/>
  <c r="Z71" s="1"/>
  <c r="AD8"/>
  <c r="AD71" s="1"/>
  <c r="AH8"/>
  <c r="AH71" s="1"/>
  <c r="K9"/>
  <c r="K72" s="1"/>
  <c r="O9"/>
  <c r="O72" s="1"/>
  <c r="S9"/>
  <c r="S72" s="1"/>
  <c r="W9"/>
  <c r="W72" s="1"/>
  <c r="AA9"/>
  <c r="AA72" s="1"/>
  <c r="AE9"/>
  <c r="AE72" s="1"/>
  <c r="AI9"/>
  <c r="AI72" s="1"/>
  <c r="L10"/>
  <c r="L73" s="1"/>
  <c r="P10"/>
  <c r="P73" s="1"/>
  <c r="T10"/>
  <c r="T73" s="1"/>
  <c r="X10"/>
  <c r="X73" s="1"/>
  <c r="AB10"/>
  <c r="AB73" s="1"/>
  <c r="AF10"/>
  <c r="AF73" s="1"/>
  <c r="AJ10"/>
  <c r="AJ73" s="1"/>
  <c r="M11"/>
  <c r="M74" s="1"/>
  <c r="Q11"/>
  <c r="Q74" s="1"/>
  <c r="U11"/>
  <c r="U74" s="1"/>
  <c r="Y11"/>
  <c r="Y74" s="1"/>
  <c r="AC11"/>
  <c r="AC74" s="1"/>
  <c r="AG11"/>
  <c r="AG74" s="1"/>
  <c r="J12"/>
  <c r="J75" s="1"/>
  <c r="N12"/>
  <c r="N75" s="1"/>
  <c r="R12"/>
  <c r="R75" s="1"/>
  <c r="V12"/>
  <c r="V75" s="1"/>
  <c r="Z12"/>
  <c r="Z75" s="1"/>
  <c r="AD12"/>
  <c r="AD75" s="1"/>
  <c r="AH12"/>
  <c r="AH75" s="1"/>
  <c r="K13"/>
  <c r="K76" s="1"/>
  <c r="O13"/>
  <c r="O76" s="1"/>
  <c r="S13"/>
  <c r="S76" s="1"/>
  <c r="W13"/>
  <c r="W76" s="1"/>
  <c r="AA13"/>
  <c r="AA76" s="1"/>
  <c r="AE13"/>
  <c r="AE76" s="1"/>
  <c r="AI13"/>
  <c r="AI76" s="1"/>
  <c r="L14"/>
  <c r="L77" s="1"/>
  <c r="P14"/>
  <c r="P77" s="1"/>
  <c r="T14"/>
  <c r="T77" s="1"/>
  <c r="X14"/>
  <c r="X77" s="1"/>
  <c r="AB14"/>
  <c r="AB77" s="1"/>
  <c r="AF14"/>
  <c r="AF77" s="1"/>
  <c r="AJ14"/>
  <c r="AJ77" s="1"/>
  <c r="M15"/>
  <c r="M78" s="1"/>
  <c r="Q15"/>
  <c r="Q78" s="1"/>
  <c r="U15"/>
  <c r="U78" s="1"/>
  <c r="Y15"/>
  <c r="Y78" s="1"/>
  <c r="AC15"/>
  <c r="AC78" s="1"/>
  <c r="AG15"/>
  <c r="AG78" s="1"/>
  <c r="J16"/>
  <c r="J79" s="1"/>
  <c r="N16"/>
  <c r="N79" s="1"/>
  <c r="R16"/>
  <c r="R79" s="1"/>
  <c r="Z16"/>
  <c r="Z79" s="1"/>
  <c r="AF55" i="55"/>
  <c r="AF118" s="1"/>
  <c r="AB55"/>
  <c r="AB118" s="1"/>
  <c r="X55"/>
  <c r="X118" s="1"/>
  <c r="T55"/>
  <c r="T118" s="1"/>
  <c r="P55"/>
  <c r="P118" s="1"/>
  <c r="L55"/>
  <c r="L118" s="1"/>
  <c r="AI54"/>
  <c r="AI117" s="1"/>
  <c r="AE54"/>
  <c r="AE117" s="1"/>
  <c r="AA54"/>
  <c r="AA117" s="1"/>
  <c r="W54"/>
  <c r="W117" s="1"/>
  <c r="S54"/>
  <c r="S117" s="1"/>
  <c r="O54"/>
  <c r="O117" s="1"/>
  <c r="K54"/>
  <c r="K117" s="1"/>
  <c r="AH53"/>
  <c r="AH116" s="1"/>
  <c r="AD53"/>
  <c r="AD116" s="1"/>
  <c r="Z53"/>
  <c r="Z116" s="1"/>
  <c r="V53"/>
  <c r="V116" s="1"/>
  <c r="R53"/>
  <c r="R116" s="1"/>
  <c r="N53"/>
  <c r="N116" s="1"/>
  <c r="J53"/>
  <c r="J116" s="1"/>
  <c r="AG52"/>
  <c r="AG115" s="1"/>
  <c r="AC52"/>
  <c r="AC115" s="1"/>
  <c r="Y52"/>
  <c r="Y115" s="1"/>
  <c r="U52"/>
  <c r="U115" s="1"/>
  <c r="Q52"/>
  <c r="Q115" s="1"/>
  <c r="M52"/>
  <c r="M115" s="1"/>
  <c r="AJ51"/>
  <c r="AJ114" s="1"/>
  <c r="AF51"/>
  <c r="AF114" s="1"/>
  <c r="AB51"/>
  <c r="AB114" s="1"/>
  <c r="X51"/>
  <c r="X114" s="1"/>
  <c r="T51"/>
  <c r="T114" s="1"/>
  <c r="P51"/>
  <c r="P114" s="1"/>
  <c r="L51"/>
  <c r="L114" s="1"/>
  <c r="AI50"/>
  <c r="AI113" s="1"/>
  <c r="AE50"/>
  <c r="AE113" s="1"/>
  <c r="AA50"/>
  <c r="AA113" s="1"/>
  <c r="W50"/>
  <c r="W113" s="1"/>
  <c r="S50"/>
  <c r="S113" s="1"/>
  <c r="O50"/>
  <c r="O113" s="1"/>
  <c r="K50"/>
  <c r="K113" s="1"/>
  <c r="AH49"/>
  <c r="AH112" s="1"/>
  <c r="AD49"/>
  <c r="AD112" s="1"/>
  <c r="Z49"/>
  <c r="Z112" s="1"/>
  <c r="V49"/>
  <c r="V112" s="1"/>
  <c r="R49"/>
  <c r="R112" s="1"/>
  <c r="N49"/>
  <c r="N112" s="1"/>
  <c r="J49"/>
  <c r="J112" s="1"/>
  <c r="AG48"/>
  <c r="AG111" s="1"/>
  <c r="AC48"/>
  <c r="AC111" s="1"/>
  <c r="Y48"/>
  <c r="Y111" s="1"/>
  <c r="U48"/>
  <c r="U111" s="1"/>
  <c r="Q48"/>
  <c r="Q111" s="1"/>
  <c r="M48"/>
  <c r="M111" s="1"/>
  <c r="AJ47"/>
  <c r="AJ110" s="1"/>
  <c r="AF47"/>
  <c r="AF110" s="1"/>
  <c r="AB47"/>
  <c r="AB110" s="1"/>
  <c r="X47"/>
  <c r="X110" s="1"/>
  <c r="T47"/>
  <c r="T110" s="1"/>
  <c r="P47"/>
  <c r="P110" s="1"/>
  <c r="L47"/>
  <c r="L110" s="1"/>
  <c r="AI46"/>
  <c r="AI109" s="1"/>
  <c r="AE46"/>
  <c r="AE109" s="1"/>
  <c r="AA46"/>
  <c r="AA109" s="1"/>
  <c r="W46"/>
  <c r="W109" s="1"/>
  <c r="S46"/>
  <c r="S109" s="1"/>
  <c r="O46"/>
  <c r="O109" s="1"/>
  <c r="K46"/>
  <c r="K109" s="1"/>
  <c r="AH45"/>
  <c r="AH108" s="1"/>
  <c r="AD45"/>
  <c r="AD108" s="1"/>
  <c r="Z45"/>
  <c r="Z108" s="1"/>
  <c r="V45"/>
  <c r="V108" s="1"/>
  <c r="R45"/>
  <c r="R108" s="1"/>
  <c r="N45"/>
  <c r="N108" s="1"/>
  <c r="J45"/>
  <c r="J108" s="1"/>
  <c r="AG44"/>
  <c r="AG107" s="1"/>
  <c r="AC44"/>
  <c r="AC107" s="1"/>
  <c r="Y44"/>
  <c r="Y107" s="1"/>
  <c r="U44"/>
  <c r="U107" s="1"/>
  <c r="Q44"/>
  <c r="Q107" s="1"/>
  <c r="M44"/>
  <c r="M107" s="1"/>
  <c r="AJ43"/>
  <c r="AJ106" s="1"/>
  <c r="AF43"/>
  <c r="AF106" s="1"/>
  <c r="AB43"/>
  <c r="AB106" s="1"/>
  <c r="X43"/>
  <c r="X106" s="1"/>
  <c r="T43"/>
  <c r="T106" s="1"/>
  <c r="P43"/>
  <c r="P106" s="1"/>
  <c r="L43"/>
  <c r="L106" s="1"/>
  <c r="AI42"/>
  <c r="AI105" s="1"/>
  <c r="AE42"/>
  <c r="AE105" s="1"/>
  <c r="AA42"/>
  <c r="AA105" s="1"/>
  <c r="W42"/>
  <c r="W105" s="1"/>
  <c r="S42"/>
  <c r="S105" s="1"/>
  <c r="O42"/>
  <c r="O105" s="1"/>
  <c r="K42"/>
  <c r="K105" s="1"/>
  <c r="AH41"/>
  <c r="AH104" s="1"/>
  <c r="AD41"/>
  <c r="AD104" s="1"/>
  <c r="Z41"/>
  <c r="Z104" s="1"/>
  <c r="V41"/>
  <c r="V104" s="1"/>
  <c r="R41"/>
  <c r="R104" s="1"/>
  <c r="N41"/>
  <c r="N104" s="1"/>
  <c r="J41"/>
  <c r="J104" s="1"/>
  <c r="AG40"/>
  <c r="AG103" s="1"/>
  <c r="AC40"/>
  <c r="AC103" s="1"/>
  <c r="Y40"/>
  <c r="Y103" s="1"/>
  <c r="U40"/>
  <c r="U103" s="1"/>
  <c r="Q40"/>
  <c r="Q103" s="1"/>
  <c r="M40"/>
  <c r="M103" s="1"/>
  <c r="AJ39"/>
  <c r="AJ102" s="1"/>
  <c r="AF39"/>
  <c r="AF102" s="1"/>
  <c r="AB39"/>
  <c r="AB102" s="1"/>
  <c r="X39"/>
  <c r="X102" s="1"/>
  <c r="T39"/>
  <c r="T102" s="1"/>
  <c r="P39"/>
  <c r="P102" s="1"/>
  <c r="L39"/>
  <c r="L102" s="1"/>
  <c r="AI38"/>
  <c r="AI101" s="1"/>
  <c r="AE38"/>
  <c r="AE101" s="1"/>
  <c r="AA38"/>
  <c r="AA101" s="1"/>
  <c r="W38"/>
  <c r="W101" s="1"/>
  <c r="S38"/>
  <c r="S101" s="1"/>
  <c r="O38"/>
  <c r="O101" s="1"/>
  <c r="K38"/>
  <c r="K101" s="1"/>
  <c r="AH37"/>
  <c r="AH100" s="1"/>
  <c r="AD37"/>
  <c r="AD100" s="1"/>
  <c r="Z37"/>
  <c r="Z100" s="1"/>
  <c r="V37"/>
  <c r="V100" s="1"/>
  <c r="R37"/>
  <c r="R100" s="1"/>
  <c r="N37"/>
  <c r="N100" s="1"/>
  <c r="J37"/>
  <c r="J100" s="1"/>
  <c r="AG36"/>
  <c r="AG99" s="1"/>
  <c r="AC36"/>
  <c r="AC99" s="1"/>
  <c r="Y36"/>
  <c r="Y99" s="1"/>
  <c r="U36"/>
  <c r="U99" s="1"/>
  <c r="Q36"/>
  <c r="Q99" s="1"/>
  <c r="M36"/>
  <c r="M99" s="1"/>
  <c r="AJ35"/>
  <c r="AJ98" s="1"/>
  <c r="AF35"/>
  <c r="AF98" s="1"/>
  <c r="AB35"/>
  <c r="AB98" s="1"/>
  <c r="X35"/>
  <c r="X98" s="1"/>
  <c r="T35"/>
  <c r="T98" s="1"/>
  <c r="P35"/>
  <c r="P98" s="1"/>
  <c r="L35"/>
  <c r="L98" s="1"/>
  <c r="AI34"/>
  <c r="AI97" s="1"/>
  <c r="AE34"/>
  <c r="AE97" s="1"/>
  <c r="AA34"/>
  <c r="AA97" s="1"/>
  <c r="W34"/>
  <c r="W97" s="1"/>
  <c r="S34"/>
  <c r="S97" s="1"/>
  <c r="O34"/>
  <c r="O97" s="1"/>
  <c r="K34"/>
  <c r="K97" s="1"/>
  <c r="AH33"/>
  <c r="AH96" s="1"/>
  <c r="AD33"/>
  <c r="AD96" s="1"/>
  <c r="Z33"/>
  <c r="Z96" s="1"/>
  <c r="V33"/>
  <c r="V96" s="1"/>
  <c r="R33"/>
  <c r="R96" s="1"/>
  <c r="N33"/>
  <c r="N96" s="1"/>
  <c r="J33"/>
  <c r="J96" s="1"/>
  <c r="AG32"/>
  <c r="AG95" s="1"/>
  <c r="AC32"/>
  <c r="AC95" s="1"/>
  <c r="Y32"/>
  <c r="Y95" s="1"/>
  <c r="U32"/>
  <c r="U95" s="1"/>
  <c r="Q32"/>
  <c r="Q95" s="1"/>
  <c r="M32"/>
  <c r="M95" s="1"/>
  <c r="AJ31"/>
  <c r="AJ94" s="1"/>
  <c r="AF31"/>
  <c r="AF94" s="1"/>
  <c r="AB31"/>
  <c r="AB94" s="1"/>
  <c r="X31"/>
  <c r="X94" s="1"/>
  <c r="T31"/>
  <c r="T94" s="1"/>
  <c r="P31"/>
  <c r="P94" s="1"/>
  <c r="L31"/>
  <c r="L94" s="1"/>
  <c r="AI30"/>
  <c r="AI93" s="1"/>
  <c r="AE30"/>
  <c r="AE93" s="1"/>
  <c r="AA30"/>
  <c r="AA93" s="1"/>
  <c r="W30"/>
  <c r="W93" s="1"/>
  <c r="S30"/>
  <c r="S93" s="1"/>
  <c r="O30"/>
  <c r="O93" s="1"/>
  <c r="K30"/>
  <c r="K93" s="1"/>
  <c r="AH29"/>
  <c r="AH92" s="1"/>
  <c r="AD29"/>
  <c r="AD92" s="1"/>
  <c r="V29"/>
  <c r="V92" s="1"/>
  <c r="N29"/>
  <c r="N92" s="1"/>
  <c r="H15" i="57"/>
  <c r="H78" s="1"/>
  <c r="F14"/>
  <c r="F77" s="1"/>
  <c r="H11"/>
  <c r="H74" s="1"/>
  <c r="F10"/>
  <c r="F73" s="1"/>
  <c r="H7"/>
  <c r="H70" s="1"/>
  <c r="G16"/>
  <c r="G79" s="1"/>
  <c r="E15"/>
  <c r="E78" s="1"/>
  <c r="I13"/>
  <c r="I76" s="1"/>
  <c r="G12"/>
  <c r="G75" s="1"/>
  <c r="E11"/>
  <c r="E74" s="1"/>
  <c r="I9"/>
  <c r="I72" s="1"/>
  <c r="G8"/>
  <c r="G71" s="1"/>
  <c r="E7"/>
  <c r="E70" s="1"/>
  <c r="E17"/>
  <c r="E80" s="1"/>
  <c r="G18"/>
  <c r="G81" s="1"/>
  <c r="I19"/>
  <c r="I82" s="1"/>
  <c r="E21"/>
  <c r="E84" s="1"/>
  <c r="G22"/>
  <c r="G85" s="1"/>
  <c r="I23"/>
  <c r="I86" s="1"/>
  <c r="E27"/>
  <c r="E90" s="1"/>
  <c r="G28"/>
  <c r="G91" s="1"/>
  <c r="I29"/>
  <c r="I92" s="1"/>
  <c r="I33"/>
  <c r="I96" s="1"/>
  <c r="E41"/>
  <c r="E104" s="1"/>
  <c r="I43"/>
  <c r="I106" s="1"/>
  <c r="H26"/>
  <c r="H89" s="1"/>
  <c r="F41"/>
  <c r="F104" s="1"/>
  <c r="E61"/>
  <c r="E124" s="1"/>
  <c r="E25"/>
  <c r="E88" s="1"/>
  <c r="G26"/>
  <c r="G89" s="1"/>
  <c r="I27"/>
  <c r="I90" s="1"/>
  <c r="E29"/>
  <c r="E92" s="1"/>
  <c r="G30"/>
  <c r="G93" s="1"/>
  <c r="I31"/>
  <c r="I94" s="1"/>
  <c r="G34"/>
  <c r="G97" s="1"/>
  <c r="I35"/>
  <c r="I98" s="1"/>
  <c r="E49"/>
  <c r="E112" s="1"/>
  <c r="G50"/>
  <c r="G113" s="1"/>
  <c r="F17"/>
  <c r="F80" s="1"/>
  <c r="H18"/>
  <c r="H81" s="1"/>
  <c r="F33"/>
  <c r="F96" s="1"/>
  <c r="H34"/>
  <c r="H97" s="1"/>
  <c r="F49"/>
  <c r="F112" s="1"/>
  <c r="H50"/>
  <c r="H113" s="1"/>
  <c r="G62"/>
  <c r="G125" s="1"/>
  <c r="H62"/>
  <c r="H125" s="1"/>
  <c r="F61"/>
  <c r="F124" s="1"/>
  <c r="H58"/>
  <c r="H121" s="1"/>
  <c r="F57"/>
  <c r="F120" s="1"/>
  <c r="I67"/>
  <c r="I130" s="1"/>
  <c r="G66"/>
  <c r="G129" s="1"/>
  <c r="E65"/>
  <c r="E128" s="1"/>
  <c r="I59"/>
  <c r="I122" s="1"/>
  <c r="G58"/>
  <c r="G121" s="1"/>
  <c r="E57"/>
  <c r="E120" s="1"/>
  <c r="I51"/>
  <c r="I114" s="1"/>
  <c r="H48"/>
  <c r="H111" s="1"/>
  <c r="F47"/>
  <c r="F110" s="1"/>
  <c r="H44"/>
  <c r="H107" s="1"/>
  <c r="F43"/>
  <c r="F106" s="1"/>
  <c r="H40"/>
  <c r="H103" s="1"/>
  <c r="F39"/>
  <c r="F102" s="1"/>
  <c r="H36"/>
  <c r="H99" s="1"/>
  <c r="F35"/>
  <c r="F98" s="1"/>
  <c r="H32"/>
  <c r="H95" s="1"/>
  <c r="F31"/>
  <c r="F94" s="1"/>
  <c r="H28"/>
  <c r="H91" s="1"/>
  <c r="F27"/>
  <c r="F90" s="1"/>
  <c r="H24"/>
  <c r="H87" s="1"/>
  <c r="F23"/>
  <c r="F86" s="1"/>
  <c r="H20"/>
  <c r="H83" s="1"/>
  <c r="F19"/>
  <c r="F82" s="1"/>
  <c r="I49"/>
  <c r="I112" s="1"/>
  <c r="G48"/>
  <c r="G111" s="1"/>
  <c r="E47"/>
  <c r="E110" s="1"/>
  <c r="I45"/>
  <c r="I108" s="1"/>
  <c r="G44"/>
  <c r="G107" s="1"/>
  <c r="E43"/>
  <c r="E106" s="1"/>
  <c r="I41"/>
  <c r="I104" s="1"/>
  <c r="G40"/>
  <c r="G103" s="1"/>
  <c r="E39"/>
  <c r="E102" s="1"/>
  <c r="I37"/>
  <c r="I100" s="1"/>
  <c r="G36"/>
  <c r="G99" s="1"/>
  <c r="E35"/>
  <c r="E98" s="1"/>
  <c r="G33"/>
  <c r="G96" s="1"/>
  <c r="H16"/>
  <c r="H79" s="1"/>
  <c r="F15"/>
  <c r="F78" s="1"/>
  <c r="H14"/>
  <c r="H77" s="1"/>
  <c r="F13"/>
  <c r="F76" s="1"/>
  <c r="H12"/>
  <c r="H75" s="1"/>
  <c r="F11"/>
  <c r="F74" s="1"/>
  <c r="H10"/>
  <c r="H73" s="1"/>
  <c r="F9"/>
  <c r="F72" s="1"/>
  <c r="H8"/>
  <c r="H71" s="1"/>
  <c r="F7"/>
  <c r="F70" s="1"/>
  <c r="I16"/>
  <c r="I79" s="1"/>
  <c r="E16"/>
  <c r="E79" s="1"/>
  <c r="G15"/>
  <c r="G78" s="1"/>
  <c r="I14"/>
  <c r="I77" s="1"/>
  <c r="E14"/>
  <c r="E77" s="1"/>
  <c r="G13"/>
  <c r="G76" s="1"/>
  <c r="I12"/>
  <c r="I75" s="1"/>
  <c r="E12"/>
  <c r="E75" s="1"/>
  <c r="G11"/>
  <c r="G74" s="1"/>
  <c r="I10"/>
  <c r="I73" s="1"/>
  <c r="E10"/>
  <c r="E73" s="1"/>
  <c r="G9"/>
  <c r="G72" s="1"/>
  <c r="I8"/>
  <c r="I71" s="1"/>
  <c r="E8"/>
  <c r="E71" s="1"/>
  <c r="G7"/>
  <c r="G70" s="1"/>
  <c r="G17"/>
  <c r="G80" s="1"/>
  <c r="E18"/>
  <c r="E81" s="1"/>
  <c r="I18"/>
  <c r="I81" s="1"/>
  <c r="G19"/>
  <c r="G82" s="1"/>
  <c r="E20"/>
  <c r="E83" s="1"/>
  <c r="I20"/>
  <c r="I83" s="1"/>
  <c r="G21"/>
  <c r="G84" s="1"/>
  <c r="E22"/>
  <c r="E85" s="1"/>
  <c r="I22"/>
  <c r="I85" s="1"/>
  <c r="G23"/>
  <c r="G86" s="1"/>
  <c r="E24"/>
  <c r="E87" s="1"/>
  <c r="I24"/>
  <c r="I87" s="1"/>
  <c r="G25"/>
  <c r="G88" s="1"/>
  <c r="E26"/>
  <c r="E89" s="1"/>
  <c r="I26"/>
  <c r="I89" s="1"/>
  <c r="G27"/>
  <c r="G90" s="1"/>
  <c r="E28"/>
  <c r="E91" s="1"/>
  <c r="I28"/>
  <c r="I91" s="1"/>
  <c r="G29"/>
  <c r="G92" s="1"/>
  <c r="E30"/>
  <c r="E93" s="1"/>
  <c r="I30"/>
  <c r="I93" s="1"/>
  <c r="G31"/>
  <c r="G94" s="1"/>
  <c r="E32"/>
  <c r="E95" s="1"/>
  <c r="I32"/>
  <c r="I95" s="1"/>
  <c r="E33"/>
  <c r="E96" s="1"/>
  <c r="E37"/>
  <c r="E100" s="1"/>
  <c r="G38"/>
  <c r="G101" s="1"/>
  <c r="I39"/>
  <c r="I102" s="1"/>
  <c r="E45"/>
  <c r="E108" s="1"/>
  <c r="G46"/>
  <c r="G109" s="1"/>
  <c r="I47"/>
  <c r="I110" s="1"/>
  <c r="F21"/>
  <c r="F84" s="1"/>
  <c r="H22"/>
  <c r="H85" s="1"/>
  <c r="F29"/>
  <c r="F92" s="1"/>
  <c r="H30"/>
  <c r="H93" s="1"/>
  <c r="F37"/>
  <c r="F100" s="1"/>
  <c r="H38"/>
  <c r="H101" s="1"/>
  <c r="F45"/>
  <c r="F108" s="1"/>
  <c r="H46"/>
  <c r="H109" s="1"/>
  <c r="E53"/>
  <c r="E116" s="1"/>
  <c r="G54"/>
  <c r="G117" s="1"/>
  <c r="I55"/>
  <c r="I118" s="1"/>
  <c r="F53"/>
  <c r="F116" s="1"/>
  <c r="H54"/>
  <c r="H117" s="1"/>
  <c r="H67"/>
  <c r="H130" s="1"/>
  <c r="F66"/>
  <c r="F129" s="1"/>
  <c r="H65"/>
  <c r="H128" s="1"/>
  <c r="F64"/>
  <c r="F127" s="1"/>
  <c r="H63"/>
  <c r="H126" s="1"/>
  <c r="F62"/>
  <c r="F125" s="1"/>
  <c r="H61"/>
  <c r="H124" s="1"/>
  <c r="F60"/>
  <c r="F123" s="1"/>
  <c r="H59"/>
  <c r="H122" s="1"/>
  <c r="F58"/>
  <c r="F121" s="1"/>
  <c r="H57"/>
  <c r="H120" s="1"/>
  <c r="F56"/>
  <c r="F119" s="1"/>
  <c r="H55"/>
  <c r="H118" s="1"/>
  <c r="F54"/>
  <c r="F117" s="1"/>
  <c r="H53"/>
  <c r="H116" s="1"/>
  <c r="F52"/>
  <c r="F115" s="1"/>
  <c r="H51"/>
  <c r="H114" s="1"/>
  <c r="G67"/>
  <c r="G130" s="1"/>
  <c r="I66"/>
  <c r="I129" s="1"/>
  <c r="E66"/>
  <c r="E129" s="1"/>
  <c r="G65"/>
  <c r="G128" s="1"/>
  <c r="I64"/>
  <c r="I127" s="1"/>
  <c r="E64"/>
  <c r="E127" s="1"/>
  <c r="G63"/>
  <c r="G126" s="1"/>
  <c r="I62"/>
  <c r="I125" s="1"/>
  <c r="E62"/>
  <c r="E125" s="1"/>
  <c r="G61"/>
  <c r="G124" s="1"/>
  <c r="I60"/>
  <c r="I123" s="1"/>
  <c r="E60"/>
  <c r="E123" s="1"/>
  <c r="G59"/>
  <c r="G122" s="1"/>
  <c r="I58"/>
  <c r="I121" s="1"/>
  <c r="E58"/>
  <c r="E121" s="1"/>
  <c r="G57"/>
  <c r="G120" s="1"/>
  <c r="I56"/>
  <c r="I119" s="1"/>
  <c r="E56"/>
  <c r="E119" s="1"/>
  <c r="G55"/>
  <c r="G118" s="1"/>
  <c r="I54"/>
  <c r="I117" s="1"/>
  <c r="E54"/>
  <c r="E117" s="1"/>
  <c r="G53"/>
  <c r="G116" s="1"/>
  <c r="I52"/>
  <c r="I115" s="1"/>
  <c r="E52"/>
  <c r="E115" s="1"/>
  <c r="G51"/>
  <c r="G114" s="1"/>
  <c r="F67"/>
  <c r="F130" s="1"/>
  <c r="H64"/>
  <c r="H127" s="1"/>
  <c r="F63"/>
  <c r="F126" s="1"/>
  <c r="H60"/>
  <c r="H123" s="1"/>
  <c r="F59"/>
  <c r="F122" s="1"/>
  <c r="H56"/>
  <c r="H119" s="1"/>
  <c r="F55"/>
  <c r="F118" s="1"/>
  <c r="H52"/>
  <c r="H115" s="1"/>
  <c r="F51"/>
  <c r="F114" s="1"/>
  <c r="E67"/>
  <c r="E130" s="1"/>
  <c r="I65"/>
  <c r="I128" s="1"/>
  <c r="G64"/>
  <c r="G127" s="1"/>
  <c r="E63"/>
  <c r="E126" s="1"/>
  <c r="I61"/>
  <c r="I124" s="1"/>
  <c r="G60"/>
  <c r="G123" s="1"/>
  <c r="E59"/>
  <c r="I57"/>
  <c r="I120" s="1"/>
  <c r="G56"/>
  <c r="G119" s="1"/>
  <c r="E55"/>
  <c r="E118" s="1"/>
  <c r="I53"/>
  <c r="I116" s="1"/>
  <c r="G52"/>
  <c r="G115" s="1"/>
  <c r="E51"/>
  <c r="E114" s="1"/>
  <c r="F50"/>
  <c r="F113" s="1"/>
  <c r="H49"/>
  <c r="H112" s="1"/>
  <c r="F48"/>
  <c r="F111" s="1"/>
  <c r="H47"/>
  <c r="H110" s="1"/>
  <c r="F46"/>
  <c r="F109" s="1"/>
  <c r="H45"/>
  <c r="H108" s="1"/>
  <c r="F44"/>
  <c r="F107" s="1"/>
  <c r="H43"/>
  <c r="H106" s="1"/>
  <c r="F42"/>
  <c r="F105" s="1"/>
  <c r="H41"/>
  <c r="H104" s="1"/>
  <c r="F40"/>
  <c r="F103" s="1"/>
  <c r="H39"/>
  <c r="H102" s="1"/>
  <c r="F38"/>
  <c r="F101" s="1"/>
  <c r="H37"/>
  <c r="H100" s="1"/>
  <c r="F36"/>
  <c r="F99" s="1"/>
  <c r="H35"/>
  <c r="H98" s="1"/>
  <c r="F34"/>
  <c r="F97" s="1"/>
  <c r="H33"/>
  <c r="H96" s="1"/>
  <c r="F32"/>
  <c r="F95" s="1"/>
  <c r="H31"/>
  <c r="H94" s="1"/>
  <c r="F30"/>
  <c r="F93" s="1"/>
  <c r="H29"/>
  <c r="H92" s="1"/>
  <c r="F28"/>
  <c r="F91" s="1"/>
  <c r="H27"/>
  <c r="H90" s="1"/>
  <c r="F26"/>
  <c r="F89" s="1"/>
  <c r="H25"/>
  <c r="H88" s="1"/>
  <c r="F24"/>
  <c r="F87" s="1"/>
  <c r="H23"/>
  <c r="H86" s="1"/>
  <c r="F22"/>
  <c r="F85" s="1"/>
  <c r="H21"/>
  <c r="H84" s="1"/>
  <c r="F20"/>
  <c r="F83" s="1"/>
  <c r="H19"/>
  <c r="H82" s="1"/>
  <c r="F18"/>
  <c r="F81" s="1"/>
  <c r="H17"/>
  <c r="H80" s="1"/>
  <c r="I50"/>
  <c r="I113" s="1"/>
  <c r="E50"/>
  <c r="E113" s="1"/>
  <c r="G49"/>
  <c r="G112" s="1"/>
  <c r="I48"/>
  <c r="I111" s="1"/>
  <c r="E48"/>
  <c r="E111" s="1"/>
  <c r="G47"/>
  <c r="G110" s="1"/>
  <c r="I46"/>
  <c r="I109" s="1"/>
  <c r="E46"/>
  <c r="E109" s="1"/>
  <c r="G45"/>
  <c r="G108" s="1"/>
  <c r="I44"/>
  <c r="I107" s="1"/>
  <c r="E44"/>
  <c r="E107" s="1"/>
  <c r="G43"/>
  <c r="G106" s="1"/>
  <c r="I42"/>
  <c r="I105" s="1"/>
  <c r="E42"/>
  <c r="E105" s="1"/>
  <c r="G41"/>
  <c r="G104" s="1"/>
  <c r="I40"/>
  <c r="I103" s="1"/>
  <c r="E40"/>
  <c r="E103" s="1"/>
  <c r="G39"/>
  <c r="G102" s="1"/>
  <c r="I38"/>
  <c r="I101" s="1"/>
  <c r="E38"/>
  <c r="E101" s="1"/>
  <c r="G37"/>
  <c r="G100" s="1"/>
  <c r="I36"/>
  <c r="I99" s="1"/>
  <c r="E36"/>
  <c r="E99" s="1"/>
  <c r="G35"/>
  <c r="G98" s="1"/>
  <c r="I34"/>
  <c r="I97" s="1"/>
  <c r="E34"/>
  <c r="E97" s="1"/>
  <c r="F65"/>
  <c r="F128" s="1"/>
  <c r="H66"/>
  <c r="H129" s="1"/>
  <c r="H105"/>
  <c r="F7" i="55"/>
  <c r="F70" s="1"/>
  <c r="H8"/>
  <c r="H71" s="1"/>
  <c r="F23"/>
  <c r="F86" s="1"/>
  <c r="H24"/>
  <c r="H87" s="1"/>
  <c r="F67"/>
  <c r="F130" s="1"/>
  <c r="H60"/>
  <c r="H123" s="1"/>
  <c r="F59"/>
  <c r="F122" s="1"/>
  <c r="H52"/>
  <c r="H115" s="1"/>
  <c r="F51"/>
  <c r="F114" s="1"/>
  <c r="E67"/>
  <c r="E130" s="1"/>
  <c r="I61"/>
  <c r="I124" s="1"/>
  <c r="G60"/>
  <c r="G123" s="1"/>
  <c r="E59"/>
  <c r="E122" s="1"/>
  <c r="I53"/>
  <c r="I116" s="1"/>
  <c r="G52"/>
  <c r="G115" s="1"/>
  <c r="E51"/>
  <c r="E114" s="1"/>
  <c r="H45"/>
  <c r="H108" s="1"/>
  <c r="F44"/>
  <c r="F107" s="1"/>
  <c r="H37"/>
  <c r="H100" s="1"/>
  <c r="F36"/>
  <c r="F99" s="1"/>
  <c r="I45"/>
  <c r="I108" s="1"/>
  <c r="G44"/>
  <c r="G107" s="1"/>
  <c r="E43"/>
  <c r="E106" s="1"/>
  <c r="I41"/>
  <c r="I104" s="1"/>
  <c r="G40"/>
  <c r="G103" s="1"/>
  <c r="E39"/>
  <c r="I37"/>
  <c r="I100" s="1"/>
  <c r="G36"/>
  <c r="G99" s="1"/>
  <c r="E35"/>
  <c r="E98" s="1"/>
  <c r="E8"/>
  <c r="E71" s="1"/>
  <c r="G9"/>
  <c r="G72" s="1"/>
  <c r="I10"/>
  <c r="I73" s="1"/>
  <c r="E12"/>
  <c r="E75" s="1"/>
  <c r="G13"/>
  <c r="G76" s="1"/>
  <c r="I14"/>
  <c r="I77" s="1"/>
  <c r="E16"/>
  <c r="E79" s="1"/>
  <c r="G17"/>
  <c r="G80" s="1"/>
  <c r="I18"/>
  <c r="I81" s="1"/>
  <c r="E20"/>
  <c r="E83" s="1"/>
  <c r="G21"/>
  <c r="G84" s="1"/>
  <c r="I22"/>
  <c r="E24"/>
  <c r="E87" s="1"/>
  <c r="G25"/>
  <c r="G88" s="1"/>
  <c r="I26"/>
  <c r="I89" s="1"/>
  <c r="E28"/>
  <c r="E91" s="1"/>
  <c r="G29"/>
  <c r="I30"/>
  <c r="I93" s="1"/>
  <c r="G33"/>
  <c r="G96" s="1"/>
  <c r="E32"/>
  <c r="E95" s="1"/>
  <c r="G31"/>
  <c r="G94" s="1"/>
  <c r="E30"/>
  <c r="E93" s="1"/>
  <c r="I24"/>
  <c r="I87" s="1"/>
  <c r="G23"/>
  <c r="G86" s="1"/>
  <c r="E22"/>
  <c r="E85" s="1"/>
  <c r="I16"/>
  <c r="I79" s="1"/>
  <c r="G15"/>
  <c r="G78" s="1"/>
  <c r="E14"/>
  <c r="E77" s="1"/>
  <c r="I8"/>
  <c r="I71" s="1"/>
  <c r="G7"/>
  <c r="G70" s="1"/>
  <c r="E37"/>
  <c r="E100" s="1"/>
  <c r="G38"/>
  <c r="G101" s="1"/>
  <c r="I39"/>
  <c r="I102" s="1"/>
  <c r="F40"/>
  <c r="F103" s="1"/>
  <c r="H41"/>
  <c r="H104" s="1"/>
  <c r="E55"/>
  <c r="E118" s="1"/>
  <c r="G56"/>
  <c r="G119" s="1"/>
  <c r="I57"/>
  <c r="I120" s="1"/>
  <c r="F55"/>
  <c r="F118" s="1"/>
  <c r="H56"/>
  <c r="H119" s="1"/>
  <c r="F31"/>
  <c r="F94" s="1"/>
  <c r="H16"/>
  <c r="H79" s="1"/>
  <c r="G92"/>
  <c r="I85"/>
  <c r="E102"/>
  <c r="I91"/>
  <c r="E104"/>
  <c r="F78"/>
  <c r="H7"/>
  <c r="H70" s="1"/>
  <c r="F8"/>
  <c r="F71" s="1"/>
  <c r="H9"/>
  <c r="H72" s="1"/>
  <c r="F10"/>
  <c r="F73" s="1"/>
  <c r="H11"/>
  <c r="H74" s="1"/>
  <c r="F12"/>
  <c r="F75" s="1"/>
  <c r="H13"/>
  <c r="H76" s="1"/>
  <c r="F14"/>
  <c r="F77" s="1"/>
  <c r="H15"/>
  <c r="H78" s="1"/>
  <c r="F16"/>
  <c r="F79" s="1"/>
  <c r="H17"/>
  <c r="H80" s="1"/>
  <c r="F18"/>
  <c r="F81" s="1"/>
  <c r="H19"/>
  <c r="H82" s="1"/>
  <c r="F20"/>
  <c r="F83" s="1"/>
  <c r="H21"/>
  <c r="H84" s="1"/>
  <c r="F22"/>
  <c r="F85" s="1"/>
  <c r="H23"/>
  <c r="H86" s="1"/>
  <c r="F24"/>
  <c r="F87" s="1"/>
  <c r="H25"/>
  <c r="H88" s="1"/>
  <c r="F26"/>
  <c r="F89" s="1"/>
  <c r="H27"/>
  <c r="H90" s="1"/>
  <c r="F28"/>
  <c r="F91" s="1"/>
  <c r="H29"/>
  <c r="H92" s="1"/>
  <c r="F30"/>
  <c r="F93" s="1"/>
  <c r="H31"/>
  <c r="H94" s="1"/>
  <c r="F32"/>
  <c r="F95" s="1"/>
  <c r="H33"/>
  <c r="H96" s="1"/>
  <c r="H67"/>
  <c r="H130" s="1"/>
  <c r="F66"/>
  <c r="F129" s="1"/>
  <c r="H65"/>
  <c r="H128" s="1"/>
  <c r="F64"/>
  <c r="F127" s="1"/>
  <c r="H63"/>
  <c r="H126" s="1"/>
  <c r="F62"/>
  <c r="F125" s="1"/>
  <c r="H61"/>
  <c r="H124" s="1"/>
  <c r="F9"/>
  <c r="F72" s="1"/>
  <c r="H10"/>
  <c r="H73" s="1"/>
  <c r="F13"/>
  <c r="F76" s="1"/>
  <c r="H14"/>
  <c r="H77" s="1"/>
  <c r="F17"/>
  <c r="F80" s="1"/>
  <c r="H18"/>
  <c r="H81" s="1"/>
  <c r="F21"/>
  <c r="F84" s="1"/>
  <c r="H22"/>
  <c r="H85" s="1"/>
  <c r="F25"/>
  <c r="F88" s="1"/>
  <c r="H26"/>
  <c r="H89" s="1"/>
  <c r="F29"/>
  <c r="F92" s="1"/>
  <c r="H30"/>
  <c r="H93" s="1"/>
  <c r="F33"/>
  <c r="F96" s="1"/>
  <c r="H66"/>
  <c r="H129" s="1"/>
  <c r="F65"/>
  <c r="F128" s="1"/>
  <c r="H62"/>
  <c r="H125" s="1"/>
  <c r="F61"/>
  <c r="F124" s="1"/>
  <c r="F60"/>
  <c r="F123" s="1"/>
  <c r="H59"/>
  <c r="H122" s="1"/>
  <c r="F58"/>
  <c r="F121" s="1"/>
  <c r="H57"/>
  <c r="H120" s="1"/>
  <c r="F56"/>
  <c r="F119" s="1"/>
  <c r="H55"/>
  <c r="H118" s="1"/>
  <c r="F54"/>
  <c r="F117" s="1"/>
  <c r="H53"/>
  <c r="H116" s="1"/>
  <c r="F52"/>
  <c r="F115" s="1"/>
  <c r="H51"/>
  <c r="H114" s="1"/>
  <c r="G67"/>
  <c r="G130" s="1"/>
  <c r="I66"/>
  <c r="I129" s="1"/>
  <c r="E66"/>
  <c r="E129" s="1"/>
  <c r="G65"/>
  <c r="G128" s="1"/>
  <c r="I64"/>
  <c r="I127" s="1"/>
  <c r="E64"/>
  <c r="E127" s="1"/>
  <c r="G63"/>
  <c r="G126" s="1"/>
  <c r="I62"/>
  <c r="I125" s="1"/>
  <c r="E62"/>
  <c r="E125" s="1"/>
  <c r="G61"/>
  <c r="G124" s="1"/>
  <c r="I60"/>
  <c r="I123" s="1"/>
  <c r="E60"/>
  <c r="E123" s="1"/>
  <c r="G59"/>
  <c r="G122" s="1"/>
  <c r="I58"/>
  <c r="I121" s="1"/>
  <c r="E58"/>
  <c r="E121" s="1"/>
  <c r="G57"/>
  <c r="G120" s="1"/>
  <c r="I56"/>
  <c r="I119" s="1"/>
  <c r="E56"/>
  <c r="E119" s="1"/>
  <c r="G55"/>
  <c r="G118" s="1"/>
  <c r="I54"/>
  <c r="I117" s="1"/>
  <c r="E54"/>
  <c r="E117" s="1"/>
  <c r="G53"/>
  <c r="G116" s="1"/>
  <c r="I52"/>
  <c r="I115" s="1"/>
  <c r="E52"/>
  <c r="E115" s="1"/>
  <c r="G51"/>
  <c r="G114" s="1"/>
  <c r="H50"/>
  <c r="H113" s="1"/>
  <c r="F49"/>
  <c r="F112" s="1"/>
  <c r="H48"/>
  <c r="H111" s="1"/>
  <c r="F47"/>
  <c r="F110" s="1"/>
  <c r="H46"/>
  <c r="H109" s="1"/>
  <c r="F45"/>
  <c r="F108" s="1"/>
  <c r="H44"/>
  <c r="H107" s="1"/>
  <c r="F43"/>
  <c r="F106" s="1"/>
  <c r="H42"/>
  <c r="H105" s="1"/>
  <c r="F41"/>
  <c r="F104" s="1"/>
  <c r="H40"/>
  <c r="H103" s="1"/>
  <c r="F39"/>
  <c r="F102" s="1"/>
  <c r="H38"/>
  <c r="H101" s="1"/>
  <c r="F37"/>
  <c r="F100" s="1"/>
  <c r="H36"/>
  <c r="H99" s="1"/>
  <c r="F35"/>
  <c r="F98" s="1"/>
  <c r="H34"/>
  <c r="H97" s="1"/>
  <c r="I50"/>
  <c r="I113" s="1"/>
  <c r="E50"/>
  <c r="E113" s="1"/>
  <c r="G49"/>
  <c r="G112" s="1"/>
  <c r="I48"/>
  <c r="I111" s="1"/>
  <c r="E48"/>
  <c r="E111" s="1"/>
  <c r="G47"/>
  <c r="G110" s="1"/>
  <c r="I46"/>
  <c r="I109" s="1"/>
  <c r="E46"/>
  <c r="E109" s="1"/>
  <c r="G45"/>
  <c r="G108" s="1"/>
  <c r="I44"/>
  <c r="I107" s="1"/>
  <c r="E44"/>
  <c r="E107" s="1"/>
  <c r="I33"/>
  <c r="I96" s="1"/>
  <c r="E33"/>
  <c r="E96" s="1"/>
  <c r="G32"/>
  <c r="G95" s="1"/>
  <c r="I31"/>
  <c r="I94" s="1"/>
  <c r="E31"/>
  <c r="E94" s="1"/>
  <c r="G30"/>
  <c r="G93" s="1"/>
  <c r="I29"/>
  <c r="I92" s="1"/>
  <c r="E29"/>
  <c r="E92" s="1"/>
  <c r="G28"/>
  <c r="G91" s="1"/>
  <c r="I27"/>
  <c r="I90" s="1"/>
  <c r="E27"/>
  <c r="E90" s="1"/>
  <c r="G26"/>
  <c r="G89" s="1"/>
  <c r="I25"/>
  <c r="I88" s="1"/>
  <c r="E25"/>
  <c r="E88" s="1"/>
  <c r="G24"/>
  <c r="G87" s="1"/>
  <c r="I23"/>
  <c r="I86" s="1"/>
  <c r="E23"/>
  <c r="E86" s="1"/>
  <c r="G22"/>
  <c r="G85" s="1"/>
  <c r="I21"/>
  <c r="I84" s="1"/>
  <c r="E21"/>
  <c r="E84" s="1"/>
  <c r="G20"/>
  <c r="G83" s="1"/>
  <c r="I19"/>
  <c r="I82" s="1"/>
  <c r="E19"/>
  <c r="E82" s="1"/>
  <c r="G18"/>
  <c r="G81" s="1"/>
  <c r="I17"/>
  <c r="I80" s="1"/>
  <c r="E17"/>
  <c r="E80" s="1"/>
  <c r="G16"/>
  <c r="G79" s="1"/>
  <c r="I15"/>
  <c r="I78" s="1"/>
  <c r="E15"/>
  <c r="E78" s="1"/>
  <c r="G14"/>
  <c r="G77" s="1"/>
  <c r="I13"/>
  <c r="I76" s="1"/>
  <c r="E13"/>
  <c r="E76" s="1"/>
  <c r="G12"/>
  <c r="G75" s="1"/>
  <c r="I11"/>
  <c r="I74" s="1"/>
  <c r="E11"/>
  <c r="E74" s="1"/>
  <c r="G10"/>
  <c r="G73" s="1"/>
  <c r="I9"/>
  <c r="I72" s="1"/>
  <c r="E9"/>
  <c r="E72" s="1"/>
  <c r="G8"/>
  <c r="G71" s="1"/>
  <c r="I7"/>
  <c r="I70" s="1"/>
  <c r="E7"/>
  <c r="E70" s="1"/>
  <c r="E34"/>
  <c r="E97" s="1"/>
  <c r="I34"/>
  <c r="I97" s="1"/>
  <c r="G35"/>
  <c r="G98" s="1"/>
  <c r="E36"/>
  <c r="E99" s="1"/>
  <c r="I36"/>
  <c r="I99" s="1"/>
  <c r="G37"/>
  <c r="G100" s="1"/>
  <c r="E38"/>
  <c r="E101" s="1"/>
  <c r="I38"/>
  <c r="I101" s="1"/>
  <c r="G39"/>
  <c r="G102" s="1"/>
  <c r="E40"/>
  <c r="E103" s="1"/>
  <c r="I40"/>
  <c r="I103" s="1"/>
  <c r="G41"/>
  <c r="G104" s="1"/>
  <c r="E42"/>
  <c r="E105" s="1"/>
  <c r="I42"/>
  <c r="I105" s="1"/>
  <c r="G43"/>
  <c r="G106" s="1"/>
  <c r="E45"/>
  <c r="E108" s="1"/>
  <c r="G46"/>
  <c r="G109" s="1"/>
  <c r="I47"/>
  <c r="I110" s="1"/>
  <c r="E49"/>
  <c r="E112" s="1"/>
  <c r="G50"/>
  <c r="G113" s="1"/>
  <c r="F34"/>
  <c r="F97" s="1"/>
  <c r="H35"/>
  <c r="H98" s="1"/>
  <c r="F38"/>
  <c r="F101" s="1"/>
  <c r="H39"/>
  <c r="H102" s="1"/>
  <c r="F42"/>
  <c r="F105" s="1"/>
  <c r="H43"/>
  <c r="H106" s="1"/>
  <c r="F46"/>
  <c r="F109" s="1"/>
  <c r="H47"/>
  <c r="H110" s="1"/>
  <c r="F50"/>
  <c r="F113" s="1"/>
  <c r="I51"/>
  <c r="I114" s="1"/>
  <c r="E53"/>
  <c r="E116" s="1"/>
  <c r="G54"/>
  <c r="G117" s="1"/>
  <c r="I55"/>
  <c r="I118" s="1"/>
  <c r="E57"/>
  <c r="E120" s="1"/>
  <c r="G58"/>
  <c r="G121" s="1"/>
  <c r="I59"/>
  <c r="I122" s="1"/>
  <c r="E61"/>
  <c r="E124" s="1"/>
  <c r="G62"/>
  <c r="G125" s="1"/>
  <c r="I63"/>
  <c r="I126" s="1"/>
  <c r="E65"/>
  <c r="E128" s="1"/>
  <c r="G66"/>
  <c r="G129" s="1"/>
  <c r="I67"/>
  <c r="I130" s="1"/>
  <c r="F53"/>
  <c r="F116" s="1"/>
  <c r="H54"/>
  <c r="H117" s="1"/>
  <c r="F57"/>
  <c r="F120" s="1"/>
  <c r="H58"/>
  <c r="H121" s="1"/>
  <c r="F63"/>
  <c r="F126" s="1"/>
  <c r="H64"/>
  <c r="H127" s="1"/>
  <c r="H28"/>
  <c r="H91" s="1"/>
  <c r="F27"/>
  <c r="F90" s="1"/>
  <c r="H20"/>
  <c r="H83" s="1"/>
  <c r="F19"/>
  <c r="F82" s="1"/>
  <c r="H12"/>
  <c r="H75" s="1"/>
  <c r="F11"/>
  <c r="F74" s="1"/>
  <c r="AG62" i="51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G62" i="50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G62" i="49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G62" i="48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B67" i="41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J9" i="40"/>
  <c r="M9" s="1"/>
  <c r="P9" s="1"/>
  <c r="L9"/>
  <c r="O9" s="1"/>
  <c r="R9" s="1"/>
  <c r="K9"/>
  <c r="N9" s="1"/>
  <c r="Q9" s="1"/>
  <c r="A7" i="41"/>
  <c r="A70" s="1"/>
  <c r="AJ5"/>
  <c r="AZ60" i="40" s="1"/>
  <c r="AI5" i="41"/>
  <c r="AY60" i="40" s="1"/>
  <c r="AH5" i="41"/>
  <c r="AX60" i="40" s="1"/>
  <c r="AG5" i="41"/>
  <c r="AW60" i="40" s="1"/>
  <c r="AF5" i="41"/>
  <c r="AV60" i="40" s="1"/>
  <c r="AE5" i="41"/>
  <c r="AU60" i="40" s="1"/>
  <c r="AD5" i="41"/>
  <c r="AT60" i="40" s="1"/>
  <c r="AC5" i="41"/>
  <c r="AS60" i="40" s="1"/>
  <c r="AB5" i="41"/>
  <c r="AR60" i="40" s="1"/>
  <c r="AA5" i="41"/>
  <c r="AQ60" i="40" s="1"/>
  <c r="Z5" i="41"/>
  <c r="AP60" i="40" s="1"/>
  <c r="Y5" i="41"/>
  <c r="AO60" i="40" s="1"/>
  <c r="X5" i="41"/>
  <c r="AN60" i="40" s="1"/>
  <c r="W5" i="41"/>
  <c r="AM60" i="40" s="1"/>
  <c r="V5" i="41"/>
  <c r="AL60" i="40" s="1"/>
  <c r="U5" i="41"/>
  <c r="AK60" i="40" s="1"/>
  <c r="T5" i="41"/>
  <c r="AJ60" i="40" s="1"/>
  <c r="S5" i="41"/>
  <c r="AI60" i="40" s="1"/>
  <c r="R5" i="41"/>
  <c r="AH60" i="40" s="1"/>
  <c r="Q5" i="41"/>
  <c r="AG60" i="40" s="1"/>
  <c r="P5" i="41"/>
  <c r="AF60" i="40" s="1"/>
  <c r="O5" i="41"/>
  <c r="AE60" i="40" s="1"/>
  <c r="N5" i="41"/>
  <c r="AD60" i="40" s="1"/>
  <c r="M5" i="41"/>
  <c r="AC60" i="40" s="1"/>
  <c r="L5" i="41"/>
  <c r="AB60" i="40" s="1"/>
  <c r="K5" i="41"/>
  <c r="AA60" i="40" s="1"/>
  <c r="J5" i="41"/>
  <c r="Z60" i="40" s="1"/>
  <c r="I5" i="41"/>
  <c r="Y60" i="40" s="1"/>
  <c r="H5" i="41"/>
  <c r="X60" i="40" s="1"/>
  <c r="G5" i="41"/>
  <c r="W60" i="40" s="1"/>
  <c r="F5" i="41"/>
  <c r="V60" i="40" s="1"/>
  <c r="E5" i="41"/>
  <c r="U60" i="40" s="1"/>
  <c r="A1"/>
  <c r="C36" i="56" l="1"/>
  <c r="N39" i="40" s="1"/>
  <c r="C35" i="56"/>
  <c r="N38" i="40" s="1"/>
  <c r="D10" i="55"/>
  <c r="C67" i="56"/>
  <c r="N70" i="40" s="1"/>
  <c r="C52" i="56"/>
  <c r="N55" i="40" s="1"/>
  <c r="C20" i="56"/>
  <c r="N23" i="40" s="1"/>
  <c r="C51" i="56"/>
  <c r="N54" i="40" s="1"/>
  <c r="C8" i="56"/>
  <c r="N11" i="40" s="1"/>
  <c r="C60" i="56"/>
  <c r="N63" i="40" s="1"/>
  <c r="C44" i="56"/>
  <c r="N47" i="40" s="1"/>
  <c r="C28" i="56"/>
  <c r="N31" i="40" s="1"/>
  <c r="C13" i="56"/>
  <c r="N16" i="40" s="1"/>
  <c r="C59" i="56"/>
  <c r="N62" i="40" s="1"/>
  <c r="C43" i="56"/>
  <c r="N46" i="40" s="1"/>
  <c r="C27" i="56"/>
  <c r="N30" i="40" s="1"/>
  <c r="C16" i="56"/>
  <c r="N19" i="40" s="1"/>
  <c r="E69" i="56"/>
  <c r="U63" i="40" s="1"/>
  <c r="H69" i="56"/>
  <c r="X63" i="40" s="1"/>
  <c r="F69" i="56"/>
  <c r="V63" i="40" s="1"/>
  <c r="C64" i="56"/>
  <c r="N67" i="40" s="1"/>
  <c r="C56" i="56"/>
  <c r="N59" i="40" s="1"/>
  <c r="C48" i="56"/>
  <c r="N51" i="40" s="1"/>
  <c r="C40" i="56"/>
  <c r="N43" i="40" s="1"/>
  <c r="C32" i="56"/>
  <c r="N35" i="40" s="1"/>
  <c r="C24" i="56"/>
  <c r="N27" i="40" s="1"/>
  <c r="C9" i="56"/>
  <c r="N12" i="40" s="1"/>
  <c r="C17" i="56"/>
  <c r="N20" i="40" s="1"/>
  <c r="C63" i="56"/>
  <c r="N66" i="40" s="1"/>
  <c r="C55" i="56"/>
  <c r="N58" i="40" s="1"/>
  <c r="C47" i="56"/>
  <c r="N50" i="40" s="1"/>
  <c r="C39" i="56"/>
  <c r="N42" i="40" s="1"/>
  <c r="C31" i="56"/>
  <c r="N34" i="40" s="1"/>
  <c r="C23" i="56"/>
  <c r="N26" i="40" s="1"/>
  <c r="C12" i="56"/>
  <c r="N15" i="40" s="1"/>
  <c r="G69" i="56"/>
  <c r="W63" i="40" s="1"/>
  <c r="I69" i="56"/>
  <c r="Y63" i="40" s="1"/>
  <c r="C66" i="56"/>
  <c r="N69" i="40" s="1"/>
  <c r="C62" i="56"/>
  <c r="N65" i="40" s="1"/>
  <c r="C58" i="56"/>
  <c r="N61" i="40" s="1"/>
  <c r="C54" i="56"/>
  <c r="N57" i="40" s="1"/>
  <c r="C50" i="56"/>
  <c r="N53" i="40" s="1"/>
  <c r="C46" i="56"/>
  <c r="N49" i="40" s="1"/>
  <c r="C42" i="56"/>
  <c r="N45" i="40" s="1"/>
  <c r="C38" i="56"/>
  <c r="N41" i="40" s="1"/>
  <c r="C34" i="56"/>
  <c r="N37" i="40" s="1"/>
  <c r="C30" i="56"/>
  <c r="N33" i="40" s="1"/>
  <c r="C26" i="56"/>
  <c r="N29" i="40" s="1"/>
  <c r="C22" i="56"/>
  <c r="N25" i="40" s="1"/>
  <c r="C7" i="56"/>
  <c r="N10" i="40" s="1"/>
  <c r="C11" i="56"/>
  <c r="N14" i="40" s="1"/>
  <c r="C15" i="56"/>
  <c r="N18" i="40" s="1"/>
  <c r="C19" i="56"/>
  <c r="N22" i="40" s="1"/>
  <c r="C65" i="56"/>
  <c r="N68" i="40" s="1"/>
  <c r="C61" i="56"/>
  <c r="N64" i="40" s="1"/>
  <c r="C57" i="56"/>
  <c r="N60" i="40" s="1"/>
  <c r="C53" i="56"/>
  <c r="N56" i="40" s="1"/>
  <c r="C49" i="56"/>
  <c r="N52" i="40" s="1"/>
  <c r="C45" i="56"/>
  <c r="N48" i="40" s="1"/>
  <c r="C41" i="56"/>
  <c r="N44" i="40" s="1"/>
  <c r="C37" i="56"/>
  <c r="N40" i="40" s="1"/>
  <c r="C33" i="56"/>
  <c r="N36" i="40" s="1"/>
  <c r="C29" i="56"/>
  <c r="N32" i="40" s="1"/>
  <c r="C25" i="56"/>
  <c r="N28" i="40" s="1"/>
  <c r="C21" i="56"/>
  <c r="N24" i="40" s="1"/>
  <c r="C10" i="56"/>
  <c r="N13" i="40" s="1"/>
  <c r="C14" i="56"/>
  <c r="N17" i="40" s="1"/>
  <c r="C18" i="56"/>
  <c r="N21" i="40" s="1"/>
  <c r="C26" i="55"/>
  <c r="K29" i="40" s="1"/>
  <c r="D18" i="55"/>
  <c r="D58"/>
  <c r="AJ69" i="57"/>
  <c r="AZ64" i="40" s="1"/>
  <c r="AJ69" i="56"/>
  <c r="AZ63" i="40" s="1"/>
  <c r="AJ69" i="55"/>
  <c r="AZ62" i="40" s="1"/>
  <c r="AI69" i="57"/>
  <c r="AY64" i="40" s="1"/>
  <c r="AI69" i="56"/>
  <c r="AY63" i="40" s="1"/>
  <c r="AI69" i="55"/>
  <c r="AY62" i="40" s="1"/>
  <c r="AH69" i="57"/>
  <c r="AX64" i="40" s="1"/>
  <c r="AH69" i="56"/>
  <c r="AX63" i="40" s="1"/>
  <c r="AH69" i="55"/>
  <c r="AX62" i="40" s="1"/>
  <c r="AG69" i="57"/>
  <c r="AW64" i="40" s="1"/>
  <c r="AG69" i="56"/>
  <c r="AW63" i="40" s="1"/>
  <c r="AG69" i="55"/>
  <c r="AW62" i="40" s="1"/>
  <c r="AF69" i="57"/>
  <c r="AV64" i="40" s="1"/>
  <c r="AF69" i="56"/>
  <c r="AV63" i="40" s="1"/>
  <c r="AF69" i="55"/>
  <c r="AV62" i="40" s="1"/>
  <c r="AE69" i="57"/>
  <c r="AU64" i="40" s="1"/>
  <c r="AE69" i="56"/>
  <c r="AU63" i="40" s="1"/>
  <c r="AE69" i="55"/>
  <c r="AU62" i="40" s="1"/>
  <c r="AD69" i="57"/>
  <c r="AT64" i="40" s="1"/>
  <c r="AD69" i="56"/>
  <c r="AT63" i="40" s="1"/>
  <c r="AD69" i="55"/>
  <c r="AT62" i="40" s="1"/>
  <c r="D59" i="55"/>
  <c r="H69"/>
  <c r="X62" i="40" s="1"/>
  <c r="AC69" i="57"/>
  <c r="AS64" i="40" s="1"/>
  <c r="AC69" i="56"/>
  <c r="AS63" i="40" s="1"/>
  <c r="AC69" i="55"/>
  <c r="AS62" i="40" s="1"/>
  <c r="AB69" i="57"/>
  <c r="AR64" i="40" s="1"/>
  <c r="AB69" i="56"/>
  <c r="AR63" i="40" s="1"/>
  <c r="AB69" i="55"/>
  <c r="AR62" i="40" s="1"/>
  <c r="AA69" i="57"/>
  <c r="AQ64" i="40" s="1"/>
  <c r="AA69" i="56"/>
  <c r="AQ63" i="40" s="1"/>
  <c r="AA69" i="55"/>
  <c r="AQ62" i="40" s="1"/>
  <c r="Z69" i="57"/>
  <c r="AP64" i="40" s="1"/>
  <c r="Z69" i="56"/>
  <c r="AP63" i="40" s="1"/>
  <c r="Z69" i="55"/>
  <c r="AP62" i="40" s="1"/>
  <c r="Y69" i="57"/>
  <c r="AO64" i="40" s="1"/>
  <c r="D66" i="56"/>
  <c r="D64"/>
  <c r="D62"/>
  <c r="D60"/>
  <c r="D58"/>
  <c r="D56"/>
  <c r="D54"/>
  <c r="D52"/>
  <c r="D50"/>
  <c r="D48"/>
  <c r="O51" i="40" s="1"/>
  <c r="M51" s="1"/>
  <c r="D46" i="56"/>
  <c r="D44"/>
  <c r="O47" i="40" s="1"/>
  <c r="M47" s="1"/>
  <c r="D42" i="56"/>
  <c r="D40"/>
  <c r="D38"/>
  <c r="D36"/>
  <c r="D34"/>
  <c r="D32"/>
  <c r="O35" i="40" s="1"/>
  <c r="M35" s="1"/>
  <c r="D30" i="56"/>
  <c r="D28"/>
  <c r="D26"/>
  <c r="D24"/>
  <c r="D22"/>
  <c r="D20"/>
  <c r="O23" i="40" s="1"/>
  <c r="M23" s="1"/>
  <c r="D7" i="56"/>
  <c r="D9"/>
  <c r="O12" i="40" s="1"/>
  <c r="M12" s="1"/>
  <c r="D11" i="56"/>
  <c r="D13"/>
  <c r="O16" i="40" s="1"/>
  <c r="M16" s="1"/>
  <c r="D15" i="56"/>
  <c r="D17"/>
  <c r="D19"/>
  <c r="D67"/>
  <c r="O70" i="40" s="1"/>
  <c r="M70" s="1"/>
  <c r="D65" i="56"/>
  <c r="D63"/>
  <c r="D61"/>
  <c r="D59"/>
  <c r="D57"/>
  <c r="D55"/>
  <c r="D53"/>
  <c r="D51"/>
  <c r="D49"/>
  <c r="D47"/>
  <c r="D45"/>
  <c r="D43"/>
  <c r="D41"/>
  <c r="D39"/>
  <c r="D37"/>
  <c r="D35"/>
  <c r="O38" i="40" s="1"/>
  <c r="M38" s="1"/>
  <c r="D33" i="56"/>
  <c r="D31"/>
  <c r="D29"/>
  <c r="D27"/>
  <c r="D25"/>
  <c r="D23"/>
  <c r="D21"/>
  <c r="D8"/>
  <c r="D10"/>
  <c r="D12"/>
  <c r="O15" i="40" s="1"/>
  <c r="M15" s="1"/>
  <c r="D14" i="56"/>
  <c r="D16"/>
  <c r="D18"/>
  <c r="Y69"/>
  <c r="AO63" i="40" s="1"/>
  <c r="Y69" i="55"/>
  <c r="AO62" i="40" s="1"/>
  <c r="X69" i="57"/>
  <c r="AN64" i="40" s="1"/>
  <c r="X69" i="56"/>
  <c r="AN63" i="40" s="1"/>
  <c r="X69" i="55"/>
  <c r="AN62" i="40" s="1"/>
  <c r="W69" i="57"/>
  <c r="AM64" i="40" s="1"/>
  <c r="W69" i="56"/>
  <c r="AM63" i="40" s="1"/>
  <c r="W69" i="55"/>
  <c r="AM62" i="40" s="1"/>
  <c r="V69" i="57"/>
  <c r="AL64" i="40" s="1"/>
  <c r="V69" i="56"/>
  <c r="AL63" i="40" s="1"/>
  <c r="V69" i="55"/>
  <c r="AL62" i="40" s="1"/>
  <c r="U69" i="57"/>
  <c r="AK64" i="40" s="1"/>
  <c r="U69" i="56"/>
  <c r="AK63" i="40" s="1"/>
  <c r="U69" i="55"/>
  <c r="AK62" i="40" s="1"/>
  <c r="T69" i="57"/>
  <c r="AJ64" i="40" s="1"/>
  <c r="T69" i="56"/>
  <c r="AJ63" i="40" s="1"/>
  <c r="T69" i="55"/>
  <c r="AJ62" i="40" s="1"/>
  <c r="S69" i="57"/>
  <c r="AI64" i="40" s="1"/>
  <c r="S69" i="56"/>
  <c r="AI63" i="40" s="1"/>
  <c r="S69" i="55"/>
  <c r="AI62" i="40" s="1"/>
  <c r="R69" i="57"/>
  <c r="AH64" i="40" s="1"/>
  <c r="R69" i="56"/>
  <c r="AH63" i="40" s="1"/>
  <c r="R69" i="55"/>
  <c r="AH62" i="40" s="1"/>
  <c r="Q69" i="57"/>
  <c r="AG64" i="40" s="1"/>
  <c r="Q69" i="56"/>
  <c r="AG63" i="40" s="1"/>
  <c r="Q69" i="55"/>
  <c r="AG62" i="40" s="1"/>
  <c r="C24" i="57"/>
  <c r="Q27" i="40" s="1"/>
  <c r="P69" i="57"/>
  <c r="AF64" i="40" s="1"/>
  <c r="P69" i="56"/>
  <c r="AF63" i="40" s="1"/>
  <c r="C30" i="55"/>
  <c r="K33" i="40" s="1"/>
  <c r="D20" i="55"/>
  <c r="D63"/>
  <c r="C41"/>
  <c r="K44" i="40" s="1"/>
  <c r="P69" i="55"/>
  <c r="AF62" i="40" s="1"/>
  <c r="O69" i="57"/>
  <c r="AE64" i="40" s="1"/>
  <c r="O69" i="56"/>
  <c r="AE63" i="40" s="1"/>
  <c r="O69" i="55"/>
  <c r="AE62" i="40" s="1"/>
  <c r="C57" i="57"/>
  <c r="Q60" i="40" s="1"/>
  <c r="N69" i="57"/>
  <c r="AD64" i="40" s="1"/>
  <c r="N69" i="56"/>
  <c r="AD63" i="40" s="1"/>
  <c r="N69" i="55"/>
  <c r="AD62" i="40" s="1"/>
  <c r="C13" i="57"/>
  <c r="Q16" i="40" s="1"/>
  <c r="C16" i="57"/>
  <c r="Q19" i="40" s="1"/>
  <c r="M69" i="57"/>
  <c r="AC64" i="40" s="1"/>
  <c r="M69" i="56"/>
  <c r="AC63" i="40" s="1"/>
  <c r="M69" i="55"/>
  <c r="AC62" i="40" s="1"/>
  <c r="L69" i="57"/>
  <c r="AB64" i="40" s="1"/>
  <c r="L69" i="56"/>
  <c r="AB63" i="40" s="1"/>
  <c r="L69" i="55"/>
  <c r="AB62" i="40" s="1"/>
  <c r="D22" i="55"/>
  <c r="C39"/>
  <c r="K42" i="40" s="1"/>
  <c r="C56" i="57"/>
  <c r="Q59" i="40" s="1"/>
  <c r="D8" i="57"/>
  <c r="K69"/>
  <c r="AA64" i="40" s="1"/>
  <c r="K69" i="56"/>
  <c r="AA63" i="40" s="1"/>
  <c r="I69" i="55"/>
  <c r="Y62" i="40" s="1"/>
  <c r="D66" i="55"/>
  <c r="D50"/>
  <c r="D26"/>
  <c r="C14"/>
  <c r="K17" i="40" s="1"/>
  <c r="C18" i="55"/>
  <c r="K21" i="40" s="1"/>
  <c r="C63" i="55"/>
  <c r="K66" i="40" s="1"/>
  <c r="D55" i="55"/>
  <c r="C10"/>
  <c r="K13" i="40" s="1"/>
  <c r="K69" i="55"/>
  <c r="AA62" i="40" s="1"/>
  <c r="C59" i="57"/>
  <c r="Q62" i="40" s="1"/>
  <c r="J69" i="57"/>
  <c r="Z64" i="40" s="1"/>
  <c r="J69" i="56"/>
  <c r="Z63" i="40" s="1"/>
  <c r="J69" i="55"/>
  <c r="Z62" i="40" s="1"/>
  <c r="C67" i="57"/>
  <c r="Q70" i="40" s="1"/>
  <c r="I69" i="57"/>
  <c r="Y64" i="40" s="1"/>
  <c r="C62" i="57"/>
  <c r="Q65" i="40" s="1"/>
  <c r="C48" i="57"/>
  <c r="Q51" i="40" s="1"/>
  <c r="C9" i="57"/>
  <c r="Q12" i="40" s="1"/>
  <c r="C37" i="57"/>
  <c r="Q40" i="40" s="1"/>
  <c r="D12" i="57"/>
  <c r="D40"/>
  <c r="H69"/>
  <c r="X64" i="40" s="1"/>
  <c r="C10" i="57"/>
  <c r="Q13" i="40" s="1"/>
  <c r="C34" i="57"/>
  <c r="Q37" i="40" s="1"/>
  <c r="C47" i="57"/>
  <c r="Q50" i="40" s="1"/>
  <c r="D25" i="57"/>
  <c r="E122"/>
  <c r="E69" s="1"/>
  <c r="U64" i="40" s="1"/>
  <c r="C66" i="57"/>
  <c r="Q69" i="40" s="1"/>
  <c r="C60" i="57"/>
  <c r="Q63" i="40" s="1"/>
  <c r="D52" i="57"/>
  <c r="D28"/>
  <c r="C7"/>
  <c r="Q10" i="40" s="1"/>
  <c r="C11" i="57"/>
  <c r="Q14" i="40" s="1"/>
  <c r="C15" i="57"/>
  <c r="Q18" i="40" s="1"/>
  <c r="D49" i="57"/>
  <c r="D41"/>
  <c r="C31"/>
  <c r="Q34" i="40" s="1"/>
  <c r="C23" i="57"/>
  <c r="Q26" i="40" s="1"/>
  <c r="C12" i="57"/>
  <c r="Q15" i="40" s="1"/>
  <c r="C53" i="57"/>
  <c r="Q56" i="40" s="1"/>
  <c r="C45" i="57"/>
  <c r="Q48" i="40" s="1"/>
  <c r="C39" i="57"/>
  <c r="Q42" i="40" s="1"/>
  <c r="C58" i="57"/>
  <c r="Q61" i="40" s="1"/>
  <c r="G69" i="57"/>
  <c r="W64" i="40" s="1"/>
  <c r="C62" i="55"/>
  <c r="K65" i="40" s="1"/>
  <c r="C58" i="55"/>
  <c r="K61" i="40" s="1"/>
  <c r="D40" i="55"/>
  <c r="C15"/>
  <c r="K18" i="40" s="1"/>
  <c r="C47" i="55"/>
  <c r="K50" i="40" s="1"/>
  <c r="D39" i="55"/>
  <c r="C23"/>
  <c r="K26" i="40" s="1"/>
  <c r="G69" i="55"/>
  <c r="W62" i="40" s="1"/>
  <c r="C54" i="57"/>
  <c r="Q57" i="40" s="1"/>
  <c r="C50" i="57"/>
  <c r="Q53" i="40" s="1"/>
  <c r="C44" i="57"/>
  <c r="Q47" i="40" s="1"/>
  <c r="C38" i="57"/>
  <c r="Q41" i="40" s="1"/>
  <c r="C32" i="57"/>
  <c r="Q35" i="40" s="1"/>
  <c r="C26" i="57"/>
  <c r="Q29" i="40" s="1"/>
  <c r="D20" i="57"/>
  <c r="C17"/>
  <c r="Q20" i="40" s="1"/>
  <c r="C63" i="57"/>
  <c r="Q66" i="40" s="1"/>
  <c r="D57" i="57"/>
  <c r="C49"/>
  <c r="Q52" i="40" s="1"/>
  <c r="C35" i="57"/>
  <c r="Q38" i="40" s="1"/>
  <c r="C29" i="57"/>
  <c r="Q32" i="40" s="1"/>
  <c r="C25" i="57"/>
  <c r="Q28" i="40" s="1"/>
  <c r="C21" i="57"/>
  <c r="Q24" i="40" s="1"/>
  <c r="C8" i="57"/>
  <c r="Q11" i="40" s="1"/>
  <c r="D16" i="57"/>
  <c r="C18"/>
  <c r="Q21" i="40" s="1"/>
  <c r="C22" i="55"/>
  <c r="K25" i="40" s="1"/>
  <c r="C51" i="57"/>
  <c r="Q54" i="40" s="1"/>
  <c r="D45" i="57"/>
  <c r="C65"/>
  <c r="Q68" i="40" s="1"/>
  <c r="C61" i="57"/>
  <c r="Q64" i="40" s="1"/>
  <c r="C41" i="57"/>
  <c r="Q44" i="40" s="1"/>
  <c r="C27" i="57"/>
  <c r="Q30" i="40" s="1"/>
  <c r="C64" i="57"/>
  <c r="Q67" i="40" s="1"/>
  <c r="D60" i="57"/>
  <c r="C52"/>
  <c r="Q55" i="40" s="1"/>
  <c r="D48" i="57"/>
  <c r="C46"/>
  <c r="Q49" i="40" s="1"/>
  <c r="C42" i="57"/>
  <c r="Q45" i="40" s="1"/>
  <c r="C40" i="57"/>
  <c r="Q43" i="40" s="1"/>
  <c r="C36" i="57"/>
  <c r="Q39" i="40" s="1"/>
  <c r="D32" i="57"/>
  <c r="C30"/>
  <c r="Q33" i="40" s="1"/>
  <c r="C28" i="57"/>
  <c r="Q31" i="40" s="1"/>
  <c r="D24" i="57"/>
  <c r="C22"/>
  <c r="Q25" i="40" s="1"/>
  <c r="C20" i="57"/>
  <c r="Q23" i="40" s="1"/>
  <c r="D17" i="57"/>
  <c r="C19"/>
  <c r="Q22" i="40" s="1"/>
  <c r="C55" i="57"/>
  <c r="Q58" i="40" s="1"/>
  <c r="C43" i="57"/>
  <c r="Q46" i="40" s="1"/>
  <c r="C33" i="57"/>
  <c r="Q36" i="40" s="1"/>
  <c r="D29" i="57"/>
  <c r="C14"/>
  <c r="Q17" i="40" s="1"/>
  <c r="C66" i="55"/>
  <c r="K69" i="40" s="1"/>
  <c r="C52" i="55"/>
  <c r="K55" i="40" s="1"/>
  <c r="C50" i="55"/>
  <c r="K53" i="40" s="1"/>
  <c r="C9" i="55"/>
  <c r="K12" i="40" s="1"/>
  <c r="C17" i="55"/>
  <c r="K20" i="40" s="1"/>
  <c r="C67" i="55"/>
  <c r="K70" i="40" s="1"/>
  <c r="C59" i="55"/>
  <c r="K62" i="40" s="1"/>
  <c r="L62" s="1"/>
  <c r="J62" s="1"/>
  <c r="C51" i="55"/>
  <c r="K54" i="40" s="1"/>
  <c r="D43" i="55"/>
  <c r="C33"/>
  <c r="K36" i="40" s="1"/>
  <c r="D21" i="57"/>
  <c r="D53"/>
  <c r="D37"/>
  <c r="D65"/>
  <c r="D61"/>
  <c r="D66"/>
  <c r="D64"/>
  <c r="D62"/>
  <c r="D58"/>
  <c r="D56"/>
  <c r="D54"/>
  <c r="D50"/>
  <c r="D46"/>
  <c r="D44"/>
  <c r="D42"/>
  <c r="D38"/>
  <c r="D36"/>
  <c r="D34"/>
  <c r="D30"/>
  <c r="D26"/>
  <c r="D22"/>
  <c r="D7"/>
  <c r="D9"/>
  <c r="D11"/>
  <c r="D13"/>
  <c r="D15"/>
  <c r="D19"/>
  <c r="D67"/>
  <c r="D63"/>
  <c r="D59"/>
  <c r="D55"/>
  <c r="D51"/>
  <c r="D47"/>
  <c r="D43"/>
  <c r="D39"/>
  <c r="D35"/>
  <c r="D33"/>
  <c r="D31"/>
  <c r="D27"/>
  <c r="D23"/>
  <c r="D10"/>
  <c r="D14"/>
  <c r="D18"/>
  <c r="F69"/>
  <c r="V64" i="40" s="1"/>
  <c r="C54" i="55"/>
  <c r="K57" i="40" s="1"/>
  <c r="D46" i="55"/>
  <c r="D32"/>
  <c r="C28"/>
  <c r="K31" i="40" s="1"/>
  <c r="C7" i="55"/>
  <c r="K10" i="40" s="1"/>
  <c r="D11" i="55"/>
  <c r="C37"/>
  <c r="K40" i="40" s="1"/>
  <c r="C31" i="55"/>
  <c r="K34" i="40" s="1"/>
  <c r="D12" i="55"/>
  <c r="D62"/>
  <c r="D54"/>
  <c r="C46"/>
  <c r="K49" i="40" s="1"/>
  <c r="C36" i="55"/>
  <c r="K39" i="40" s="1"/>
  <c r="C32" i="55"/>
  <c r="K35" i="40" s="1"/>
  <c r="D28" i="55"/>
  <c r="C24"/>
  <c r="K27" i="40" s="1"/>
  <c r="C20" i="55"/>
  <c r="K23" i="40" s="1"/>
  <c r="D15" i="55"/>
  <c r="C16"/>
  <c r="K19" i="40" s="1"/>
  <c r="D47" i="55"/>
  <c r="C45"/>
  <c r="K48" i="40" s="1"/>
  <c r="D41" i="55"/>
  <c r="D37"/>
  <c r="D35"/>
  <c r="D31"/>
  <c r="D23"/>
  <c r="D8"/>
  <c r="C12"/>
  <c r="K15" i="40" s="1"/>
  <c r="D19" i="55"/>
  <c r="C19"/>
  <c r="K22" i="40" s="1"/>
  <c r="C61" i="55"/>
  <c r="K64" i="40" s="1"/>
  <c r="C53" i="55"/>
  <c r="K56" i="40" s="1"/>
  <c r="E69" i="55"/>
  <c r="U62" i="40" s="1"/>
  <c r="F69" i="55"/>
  <c r="V62" i="40" s="1"/>
  <c r="C27" i="55"/>
  <c r="K30" i="40" s="1"/>
  <c r="C55" i="55"/>
  <c r="K58" i="40" s="1"/>
  <c r="D14" i="55"/>
  <c r="D30"/>
  <c r="D27"/>
  <c r="C60"/>
  <c r="K63" i="40" s="1"/>
  <c r="C44" i="55"/>
  <c r="K47" i="40" s="1"/>
  <c r="C38" i="55"/>
  <c r="K41" i="40" s="1"/>
  <c r="D24" i="55"/>
  <c r="D16"/>
  <c r="D67"/>
  <c r="D51"/>
  <c r="C43"/>
  <c r="K46" i="40" s="1"/>
  <c r="C35" i="55"/>
  <c r="K38" i="40" s="1"/>
  <c r="C25" i="55"/>
  <c r="K28" i="40" s="1"/>
  <c r="C8" i="55"/>
  <c r="K11" i="40" s="1"/>
  <c r="C40" i="55"/>
  <c r="K43" i="40" s="1"/>
  <c r="D36" i="55"/>
  <c r="D7"/>
  <c r="L10" i="40" s="1"/>
  <c r="C11" i="55"/>
  <c r="K14" i="40" s="1"/>
  <c r="L14" s="1"/>
  <c r="J14" s="1"/>
  <c r="D61" i="55"/>
  <c r="D53"/>
  <c r="D45"/>
  <c r="C57"/>
  <c r="K60" i="40" s="1"/>
  <c r="C64" i="55"/>
  <c r="K67" i="40" s="1"/>
  <c r="C56" i="55"/>
  <c r="K59" i="40" s="1"/>
  <c r="C48" i="55"/>
  <c r="K51" i="40" s="1"/>
  <c r="C42" i="55"/>
  <c r="K45" i="40" s="1"/>
  <c r="C34" i="55"/>
  <c r="K37" i="40" s="1"/>
  <c r="C13" i="55"/>
  <c r="K16" i="40" s="1"/>
  <c r="C65" i="55"/>
  <c r="K68" i="40" s="1"/>
  <c r="C49" i="55"/>
  <c r="K52" i="40" s="1"/>
  <c r="C29" i="55"/>
  <c r="K32" i="40" s="1"/>
  <c r="C21" i="55"/>
  <c r="K24" i="40" s="1"/>
  <c r="D64" i="55"/>
  <c r="D60"/>
  <c r="L63" i="40" s="1"/>
  <c r="J63" s="1"/>
  <c r="D56" i="55"/>
  <c r="D52"/>
  <c r="D48"/>
  <c r="D44"/>
  <c r="D42"/>
  <c r="D38"/>
  <c r="D34"/>
  <c r="D9"/>
  <c r="D13"/>
  <c r="D17"/>
  <c r="D65"/>
  <c r="D57"/>
  <c r="D49"/>
  <c r="D33"/>
  <c r="D29"/>
  <c r="D25"/>
  <c r="D21"/>
  <c r="B6" i="41"/>
  <c r="B4"/>
  <c r="C7" i="1"/>
  <c r="O11" i="40" l="1"/>
  <c r="M11" s="1"/>
  <c r="L41"/>
  <c r="J41" s="1"/>
  <c r="L69"/>
  <c r="J69" s="1"/>
  <c r="L56"/>
  <c r="J56" s="1"/>
  <c r="O66"/>
  <c r="M66" s="1"/>
  <c r="L37"/>
  <c r="J37" s="1"/>
  <c r="R55"/>
  <c r="P55" s="1"/>
  <c r="R28"/>
  <c r="P28" s="1"/>
  <c r="R64"/>
  <c r="P64" s="1"/>
  <c r="O46"/>
  <c r="M46" s="1"/>
  <c r="L64"/>
  <c r="J64" s="1"/>
  <c r="L40"/>
  <c r="J40" s="1"/>
  <c r="L13"/>
  <c r="J13" s="1"/>
  <c r="O67"/>
  <c r="M67" s="1"/>
  <c r="R23"/>
  <c r="P23" s="1"/>
  <c r="L60"/>
  <c r="J60" s="1"/>
  <c r="O19"/>
  <c r="M19" s="1"/>
  <c r="O34"/>
  <c r="M34" s="1"/>
  <c r="L66"/>
  <c r="J66" s="1"/>
  <c r="R21"/>
  <c r="P21" s="1"/>
  <c r="R42"/>
  <c r="P42" s="1"/>
  <c r="R58"/>
  <c r="P58" s="1"/>
  <c r="R16"/>
  <c r="P16" s="1"/>
  <c r="R25"/>
  <c r="P25" s="1"/>
  <c r="R49"/>
  <c r="P49" s="1"/>
  <c r="L67"/>
  <c r="J67" s="1"/>
  <c r="L70"/>
  <c r="J70" s="1"/>
  <c r="L17"/>
  <c r="J17" s="1"/>
  <c r="L44"/>
  <c r="J44" s="1"/>
  <c r="L20"/>
  <c r="J20" s="1"/>
  <c r="L58"/>
  <c r="J58" s="1"/>
  <c r="L26"/>
  <c r="J26" s="1"/>
  <c r="L50"/>
  <c r="J50" s="1"/>
  <c r="L65"/>
  <c r="J65" s="1"/>
  <c r="R46"/>
  <c r="P46" s="1"/>
  <c r="R14"/>
  <c r="P14" s="1"/>
  <c r="R47"/>
  <c r="P47" s="1"/>
  <c r="R40"/>
  <c r="P40" s="1"/>
  <c r="R34"/>
  <c r="P34" s="1"/>
  <c r="R12"/>
  <c r="P12" s="1"/>
  <c r="R24"/>
  <c r="P24" s="1"/>
  <c r="R52"/>
  <c r="P52" s="1"/>
  <c r="R27"/>
  <c r="P27" s="1"/>
  <c r="R19"/>
  <c r="P19" s="1"/>
  <c r="R36"/>
  <c r="P36" s="1"/>
  <c r="R44"/>
  <c r="P44" s="1"/>
  <c r="L49"/>
  <c r="J49" s="1"/>
  <c r="R60"/>
  <c r="P60" s="1"/>
  <c r="O50"/>
  <c r="M50" s="1"/>
  <c r="O39"/>
  <c r="M39" s="1"/>
  <c r="L30"/>
  <c r="J30" s="1"/>
  <c r="L25"/>
  <c r="J25" s="1"/>
  <c r="O14"/>
  <c r="M14" s="1"/>
  <c r="L35"/>
  <c r="J35" s="1"/>
  <c r="L29"/>
  <c r="J29" s="1"/>
  <c r="L23"/>
  <c r="J23" s="1"/>
  <c r="L61"/>
  <c r="J61" s="1"/>
  <c r="O17"/>
  <c r="M17" s="1"/>
  <c r="O32"/>
  <c r="M32" s="1"/>
  <c r="O48"/>
  <c r="M48" s="1"/>
  <c r="O64"/>
  <c r="M64" s="1"/>
  <c r="O33"/>
  <c r="M33" s="1"/>
  <c r="O49"/>
  <c r="M49" s="1"/>
  <c r="O65"/>
  <c r="M65" s="1"/>
  <c r="L57"/>
  <c r="J57" s="1"/>
  <c r="L21"/>
  <c r="J21" s="1"/>
  <c r="O30"/>
  <c r="M30" s="1"/>
  <c r="O54"/>
  <c r="M54" s="1"/>
  <c r="O62"/>
  <c r="M62" s="1"/>
  <c r="O31"/>
  <c r="M31" s="1"/>
  <c r="O55"/>
  <c r="M55" s="1"/>
  <c r="O63"/>
  <c r="M63" s="1"/>
  <c r="O24"/>
  <c r="M24" s="1"/>
  <c r="O40"/>
  <c r="M40" s="1"/>
  <c r="O56"/>
  <c r="M56" s="1"/>
  <c r="O22"/>
  <c r="M22" s="1"/>
  <c r="O25"/>
  <c r="M25" s="1"/>
  <c r="O41"/>
  <c r="M41" s="1"/>
  <c r="O57"/>
  <c r="M57" s="1"/>
  <c r="L53"/>
  <c r="J53" s="1"/>
  <c r="L36"/>
  <c r="J36" s="1"/>
  <c r="L12"/>
  <c r="J12" s="1"/>
  <c r="L55"/>
  <c r="J55" s="1"/>
  <c r="L54"/>
  <c r="J54" s="1"/>
  <c r="L33"/>
  <c r="J33" s="1"/>
  <c r="L18"/>
  <c r="J18" s="1"/>
  <c r="L27"/>
  <c r="J27" s="1"/>
  <c r="L31"/>
  <c r="J31" s="1"/>
  <c r="L42"/>
  <c r="J42" s="1"/>
  <c r="O21"/>
  <c r="M21" s="1"/>
  <c r="O13"/>
  <c r="M13" s="1"/>
  <c r="O28"/>
  <c r="M28" s="1"/>
  <c r="O36"/>
  <c r="M36" s="1"/>
  <c r="O44"/>
  <c r="M44" s="1"/>
  <c r="O52"/>
  <c r="M52" s="1"/>
  <c r="O60"/>
  <c r="M60" s="1"/>
  <c r="O68"/>
  <c r="M68" s="1"/>
  <c r="O18"/>
  <c r="M18" s="1"/>
  <c r="O10"/>
  <c r="O29"/>
  <c r="M29" s="1"/>
  <c r="O37"/>
  <c r="M37" s="1"/>
  <c r="O45"/>
  <c r="M45" s="1"/>
  <c r="O53"/>
  <c r="M53" s="1"/>
  <c r="O61"/>
  <c r="M61" s="1"/>
  <c r="O69"/>
  <c r="M69" s="1"/>
  <c r="L43"/>
  <c r="J43" s="1"/>
  <c r="L46"/>
  <c r="J46" s="1"/>
  <c r="O26"/>
  <c r="M26" s="1"/>
  <c r="O42"/>
  <c r="M42" s="1"/>
  <c r="O58"/>
  <c r="M58" s="1"/>
  <c r="O20"/>
  <c r="M20" s="1"/>
  <c r="O27"/>
  <c r="M27" s="1"/>
  <c r="O43"/>
  <c r="M43" s="1"/>
  <c r="O59"/>
  <c r="M59" s="1"/>
  <c r="L39"/>
  <c r="J39" s="1"/>
  <c r="L34"/>
  <c r="J34" s="1"/>
  <c r="R33"/>
  <c r="P33" s="1"/>
  <c r="R63"/>
  <c r="P63" s="1"/>
  <c r="R50"/>
  <c r="P50" s="1"/>
  <c r="R67"/>
  <c r="P67" s="1"/>
  <c r="R53"/>
  <c r="P53" s="1"/>
  <c r="R56"/>
  <c r="P56" s="1"/>
  <c r="R45"/>
  <c r="P45" s="1"/>
  <c r="L22"/>
  <c r="J22" s="1"/>
  <c r="L48"/>
  <c r="J48" s="1"/>
  <c r="L11"/>
  <c r="J11" s="1"/>
  <c r="L19"/>
  <c r="J19" s="1"/>
  <c r="R68"/>
  <c r="P68" s="1"/>
  <c r="R20"/>
  <c r="P20" s="1"/>
  <c r="R62"/>
  <c r="P62" s="1"/>
  <c r="R70"/>
  <c r="P70" s="1"/>
  <c r="R37"/>
  <c r="P37" s="1"/>
  <c r="R59"/>
  <c r="P59" s="1"/>
  <c r="R65"/>
  <c r="P65" s="1"/>
  <c r="R11"/>
  <c r="P11" s="1"/>
  <c r="R15"/>
  <c r="P15" s="1"/>
  <c r="R39"/>
  <c r="P39" s="1"/>
  <c r="R22"/>
  <c r="P22" s="1"/>
  <c r="R32"/>
  <c r="P32" s="1"/>
  <c r="R61"/>
  <c r="P61" s="1"/>
  <c r="R48"/>
  <c r="P48" s="1"/>
  <c r="R51"/>
  <c r="P51" s="1"/>
  <c r="R13"/>
  <c r="P13" s="1"/>
  <c r="R30"/>
  <c r="P30" s="1"/>
  <c r="R66"/>
  <c r="P66" s="1"/>
  <c r="R57"/>
  <c r="P57" s="1"/>
  <c r="R31"/>
  <c r="P31" s="1"/>
  <c r="R35"/>
  <c r="P35" s="1"/>
  <c r="R43"/>
  <c r="P43" s="1"/>
  <c r="R17"/>
  <c r="P17" s="1"/>
  <c r="R26"/>
  <c r="P26" s="1"/>
  <c r="R38"/>
  <c r="P38" s="1"/>
  <c r="R54"/>
  <c r="P54" s="1"/>
  <c r="R18"/>
  <c r="P18" s="1"/>
  <c r="R10"/>
  <c r="R29"/>
  <c r="P29" s="1"/>
  <c r="R41"/>
  <c r="P41" s="1"/>
  <c r="R69"/>
  <c r="P69" s="1"/>
  <c r="J35" i="41"/>
  <c r="J98" s="1"/>
  <c r="N35"/>
  <c r="N98" s="1"/>
  <c r="R35"/>
  <c r="R98" s="1"/>
  <c r="V35"/>
  <c r="V98" s="1"/>
  <c r="Z35"/>
  <c r="Z98" s="1"/>
  <c r="AD35"/>
  <c r="AD98" s="1"/>
  <c r="AH35"/>
  <c r="AH98" s="1"/>
  <c r="L35"/>
  <c r="L98" s="1"/>
  <c r="P35"/>
  <c r="P98" s="1"/>
  <c r="T35"/>
  <c r="T98" s="1"/>
  <c r="X35"/>
  <c r="X98" s="1"/>
  <c r="AB35"/>
  <c r="AB98" s="1"/>
  <c r="AF35"/>
  <c r="AF98" s="1"/>
  <c r="AJ35"/>
  <c r="AJ98" s="1"/>
  <c r="K65"/>
  <c r="K128" s="1"/>
  <c r="K61"/>
  <c r="K124" s="1"/>
  <c r="K57"/>
  <c r="K120" s="1"/>
  <c r="K53"/>
  <c r="K116" s="1"/>
  <c r="K49"/>
  <c r="K112" s="1"/>
  <c r="K45"/>
  <c r="K108" s="1"/>
  <c r="K41"/>
  <c r="K104" s="1"/>
  <c r="K37"/>
  <c r="K100" s="1"/>
  <c r="K64"/>
  <c r="K127" s="1"/>
  <c r="K60"/>
  <c r="K123" s="1"/>
  <c r="K56"/>
  <c r="K119" s="1"/>
  <c r="K52"/>
  <c r="K115" s="1"/>
  <c r="K48"/>
  <c r="K111" s="1"/>
  <c r="K44"/>
  <c r="K107" s="1"/>
  <c r="K40"/>
  <c r="K103" s="1"/>
  <c r="M67"/>
  <c r="M130" s="1"/>
  <c r="M63"/>
  <c r="M126" s="1"/>
  <c r="M59"/>
  <c r="M122" s="1"/>
  <c r="M55"/>
  <c r="M118" s="1"/>
  <c r="M51"/>
  <c r="M114" s="1"/>
  <c r="M47"/>
  <c r="M110" s="1"/>
  <c r="M43"/>
  <c r="M106" s="1"/>
  <c r="M39"/>
  <c r="M102" s="1"/>
  <c r="M66"/>
  <c r="M129" s="1"/>
  <c r="M62"/>
  <c r="M125" s="1"/>
  <c r="M58"/>
  <c r="M121" s="1"/>
  <c r="M54"/>
  <c r="M117" s="1"/>
  <c r="M50"/>
  <c r="M113" s="1"/>
  <c r="M46"/>
  <c r="M109" s="1"/>
  <c r="M42"/>
  <c r="M105" s="1"/>
  <c r="M38"/>
  <c r="M101" s="1"/>
  <c r="O65"/>
  <c r="O128" s="1"/>
  <c r="O61"/>
  <c r="O124" s="1"/>
  <c r="O57"/>
  <c r="O120" s="1"/>
  <c r="O53"/>
  <c r="O116" s="1"/>
  <c r="O49"/>
  <c r="O112" s="1"/>
  <c r="O45"/>
  <c r="O108" s="1"/>
  <c r="O41"/>
  <c r="O104" s="1"/>
  <c r="O37"/>
  <c r="O100" s="1"/>
  <c r="O64"/>
  <c r="O127" s="1"/>
  <c r="O60"/>
  <c r="O123" s="1"/>
  <c r="O56"/>
  <c r="O119" s="1"/>
  <c r="O52"/>
  <c r="O115" s="1"/>
  <c r="O48"/>
  <c r="O111" s="1"/>
  <c r="O44"/>
  <c r="O107" s="1"/>
  <c r="O40"/>
  <c r="O103" s="1"/>
  <c r="Q67"/>
  <c r="Q130" s="1"/>
  <c r="Q63"/>
  <c r="Q126" s="1"/>
  <c r="Q59"/>
  <c r="Q122" s="1"/>
  <c r="Q55"/>
  <c r="Q118" s="1"/>
  <c r="Q51"/>
  <c r="Q114" s="1"/>
  <c r="Q47"/>
  <c r="Q110" s="1"/>
  <c r="Q43"/>
  <c r="Q106" s="1"/>
  <c r="Q39"/>
  <c r="Q102" s="1"/>
  <c r="Q66"/>
  <c r="Q129" s="1"/>
  <c r="Q62"/>
  <c r="Q125" s="1"/>
  <c r="Q58"/>
  <c r="Q121" s="1"/>
  <c r="Q54"/>
  <c r="Q117" s="1"/>
  <c r="Q50"/>
  <c r="Q113" s="1"/>
  <c r="Q46"/>
  <c r="Q109" s="1"/>
  <c r="Q42"/>
  <c r="Q105" s="1"/>
  <c r="Q38"/>
  <c r="Q101" s="1"/>
  <c r="S65"/>
  <c r="S128" s="1"/>
  <c r="S61"/>
  <c r="S124" s="1"/>
  <c r="S57"/>
  <c r="S120" s="1"/>
  <c r="S53"/>
  <c r="S116" s="1"/>
  <c r="S49"/>
  <c r="S112" s="1"/>
  <c r="S45"/>
  <c r="S108" s="1"/>
  <c r="S41"/>
  <c r="S104" s="1"/>
  <c r="S37"/>
  <c r="S100" s="1"/>
  <c r="S64"/>
  <c r="S127" s="1"/>
  <c r="S60"/>
  <c r="S123" s="1"/>
  <c r="S56"/>
  <c r="S119" s="1"/>
  <c r="S52"/>
  <c r="S115" s="1"/>
  <c r="S48"/>
  <c r="S111" s="1"/>
  <c r="S44"/>
  <c r="S107" s="1"/>
  <c r="S40"/>
  <c r="S103" s="1"/>
  <c r="U67"/>
  <c r="U130" s="1"/>
  <c r="U63"/>
  <c r="U126" s="1"/>
  <c r="U59"/>
  <c r="U122" s="1"/>
  <c r="U55"/>
  <c r="U118" s="1"/>
  <c r="U51"/>
  <c r="U114" s="1"/>
  <c r="U47"/>
  <c r="U110" s="1"/>
  <c r="U43"/>
  <c r="U106" s="1"/>
  <c r="U39"/>
  <c r="U102" s="1"/>
  <c r="U66"/>
  <c r="U129" s="1"/>
  <c r="U62"/>
  <c r="U125" s="1"/>
  <c r="U58"/>
  <c r="U121" s="1"/>
  <c r="U54"/>
  <c r="U117" s="1"/>
  <c r="U50"/>
  <c r="U113" s="1"/>
  <c r="U46"/>
  <c r="U109" s="1"/>
  <c r="U42"/>
  <c r="U105" s="1"/>
  <c r="U38"/>
  <c r="U101" s="1"/>
  <c r="W67"/>
  <c r="W130" s="1"/>
  <c r="W63"/>
  <c r="W126" s="1"/>
  <c r="W59"/>
  <c r="W122" s="1"/>
  <c r="W55"/>
  <c r="W118" s="1"/>
  <c r="W51"/>
  <c r="W114" s="1"/>
  <c r="W47"/>
  <c r="W110" s="1"/>
  <c r="W43"/>
  <c r="W106" s="1"/>
  <c r="W39"/>
  <c r="W102" s="1"/>
  <c r="W66"/>
  <c r="W129" s="1"/>
  <c r="W62"/>
  <c r="W125" s="1"/>
  <c r="W58"/>
  <c r="W121" s="1"/>
  <c r="W54"/>
  <c r="W117" s="1"/>
  <c r="W50"/>
  <c r="W113" s="1"/>
  <c r="W46"/>
  <c r="W109" s="1"/>
  <c r="W42"/>
  <c r="W105" s="1"/>
  <c r="W38"/>
  <c r="W101" s="1"/>
  <c r="Y67"/>
  <c r="Y130" s="1"/>
  <c r="Y63"/>
  <c r="Y126" s="1"/>
  <c r="Y59"/>
  <c r="Y122" s="1"/>
  <c r="Y55"/>
  <c r="Y118" s="1"/>
  <c r="Y51"/>
  <c r="Y114" s="1"/>
  <c r="Y47"/>
  <c r="Y110" s="1"/>
  <c r="Y43"/>
  <c r="Y106" s="1"/>
  <c r="Y39"/>
  <c r="Y102" s="1"/>
  <c r="Y66"/>
  <c r="Y129" s="1"/>
  <c r="Y62"/>
  <c r="Y125" s="1"/>
  <c r="Y58"/>
  <c r="Y121" s="1"/>
  <c r="Y54"/>
  <c r="Y117" s="1"/>
  <c r="Y50"/>
  <c r="Y113" s="1"/>
  <c r="Y46"/>
  <c r="Y109" s="1"/>
  <c r="Y42"/>
  <c r="Y105" s="1"/>
  <c r="Y38"/>
  <c r="Y101" s="1"/>
  <c r="AA67"/>
  <c r="AA130" s="1"/>
  <c r="AA63"/>
  <c r="AA126" s="1"/>
  <c r="AA59"/>
  <c r="AA122" s="1"/>
  <c r="AA55"/>
  <c r="AA118" s="1"/>
  <c r="AA51"/>
  <c r="AA114" s="1"/>
  <c r="AA47"/>
  <c r="AA110" s="1"/>
  <c r="AA43"/>
  <c r="AA106" s="1"/>
  <c r="AA39"/>
  <c r="AA102" s="1"/>
  <c r="AA66"/>
  <c r="AA129" s="1"/>
  <c r="AA62"/>
  <c r="AA125" s="1"/>
  <c r="AA58"/>
  <c r="AA121" s="1"/>
  <c r="AA54"/>
  <c r="AA117" s="1"/>
  <c r="AA50"/>
  <c r="AA113" s="1"/>
  <c r="AA46"/>
  <c r="AA109" s="1"/>
  <c r="AA42"/>
  <c r="AA105" s="1"/>
  <c r="AA38"/>
  <c r="AA101" s="1"/>
  <c r="AC67"/>
  <c r="AC130" s="1"/>
  <c r="AC63"/>
  <c r="AC126" s="1"/>
  <c r="AC59"/>
  <c r="AC122" s="1"/>
  <c r="AC55"/>
  <c r="AC118" s="1"/>
  <c r="AC51"/>
  <c r="AC114" s="1"/>
  <c r="AC47"/>
  <c r="AC110" s="1"/>
  <c r="AC43"/>
  <c r="AC106" s="1"/>
  <c r="AC39"/>
  <c r="AC102" s="1"/>
  <c r="AC66"/>
  <c r="AC129" s="1"/>
  <c r="AC62"/>
  <c r="AC125" s="1"/>
  <c r="AC58"/>
  <c r="AC121" s="1"/>
  <c r="AC54"/>
  <c r="AC117" s="1"/>
  <c r="AC50"/>
  <c r="AC113" s="1"/>
  <c r="AC46"/>
  <c r="AC109" s="1"/>
  <c r="AC42"/>
  <c r="AC105" s="1"/>
  <c r="AC38"/>
  <c r="AC101" s="1"/>
  <c r="AE67"/>
  <c r="AE130" s="1"/>
  <c r="AE63"/>
  <c r="AE126" s="1"/>
  <c r="AE59"/>
  <c r="AE122" s="1"/>
  <c r="AE55"/>
  <c r="AE118" s="1"/>
  <c r="AE51"/>
  <c r="AE114" s="1"/>
  <c r="AE47"/>
  <c r="AE110" s="1"/>
  <c r="AE43"/>
  <c r="AE106" s="1"/>
  <c r="AE39"/>
  <c r="AE102" s="1"/>
  <c r="AE66"/>
  <c r="AE129" s="1"/>
  <c r="AE62"/>
  <c r="AE125" s="1"/>
  <c r="AE58"/>
  <c r="AE121" s="1"/>
  <c r="AE54"/>
  <c r="AE117" s="1"/>
  <c r="AE50"/>
  <c r="AE113" s="1"/>
  <c r="AE46"/>
  <c r="AE109" s="1"/>
  <c r="AE42"/>
  <c r="AE105" s="1"/>
  <c r="AE38"/>
  <c r="AE101" s="1"/>
  <c r="AG67"/>
  <c r="AG130" s="1"/>
  <c r="AG63"/>
  <c r="AG126" s="1"/>
  <c r="AG59"/>
  <c r="AG122" s="1"/>
  <c r="AG55"/>
  <c r="AG118" s="1"/>
  <c r="AG51"/>
  <c r="AG114" s="1"/>
  <c r="AG47"/>
  <c r="AG110" s="1"/>
  <c r="AG43"/>
  <c r="AG106" s="1"/>
  <c r="AG39"/>
  <c r="AG102" s="1"/>
  <c r="AG66"/>
  <c r="AG129" s="1"/>
  <c r="AG62"/>
  <c r="AG125" s="1"/>
  <c r="AG58"/>
  <c r="AG121" s="1"/>
  <c r="AG54"/>
  <c r="AG117" s="1"/>
  <c r="AG50"/>
  <c r="AG113" s="1"/>
  <c r="AG46"/>
  <c r="AG109" s="1"/>
  <c r="AG42"/>
  <c r="AG105" s="1"/>
  <c r="AG38"/>
  <c r="AG101" s="1"/>
  <c r="AI67"/>
  <c r="AI130" s="1"/>
  <c r="AI63"/>
  <c r="AI126" s="1"/>
  <c r="AI59"/>
  <c r="AI122" s="1"/>
  <c r="AI55"/>
  <c r="AI118" s="1"/>
  <c r="AI51"/>
  <c r="AI114" s="1"/>
  <c r="AI47"/>
  <c r="AI110" s="1"/>
  <c r="AI43"/>
  <c r="AI106" s="1"/>
  <c r="AI39"/>
  <c r="AI102" s="1"/>
  <c r="AI66"/>
  <c r="AI129" s="1"/>
  <c r="AI62"/>
  <c r="AI125" s="1"/>
  <c r="AI58"/>
  <c r="AI121" s="1"/>
  <c r="AI54"/>
  <c r="AI117" s="1"/>
  <c r="AI50"/>
  <c r="AI113" s="1"/>
  <c r="AI46"/>
  <c r="AI109" s="1"/>
  <c r="AI42"/>
  <c r="AI105" s="1"/>
  <c r="AI38"/>
  <c r="AI101" s="1"/>
  <c r="J7"/>
  <c r="J70" s="1"/>
  <c r="N7"/>
  <c r="N70" s="1"/>
  <c r="R7"/>
  <c r="R70" s="1"/>
  <c r="V7"/>
  <c r="V70" s="1"/>
  <c r="Z7"/>
  <c r="Z70" s="1"/>
  <c r="AD7"/>
  <c r="AD70" s="1"/>
  <c r="AH7"/>
  <c r="AH70" s="1"/>
  <c r="K8"/>
  <c r="K71" s="1"/>
  <c r="O8"/>
  <c r="O71" s="1"/>
  <c r="S8"/>
  <c r="S71" s="1"/>
  <c r="W8"/>
  <c r="W71" s="1"/>
  <c r="AA8"/>
  <c r="AA71" s="1"/>
  <c r="AE8"/>
  <c r="AE71" s="1"/>
  <c r="AI8"/>
  <c r="AI71" s="1"/>
  <c r="L9"/>
  <c r="L72" s="1"/>
  <c r="P9"/>
  <c r="P72" s="1"/>
  <c r="T9"/>
  <c r="T72" s="1"/>
  <c r="X9"/>
  <c r="X72" s="1"/>
  <c r="AB9"/>
  <c r="AB72" s="1"/>
  <c r="AF9"/>
  <c r="AF72" s="1"/>
  <c r="AJ9"/>
  <c r="AJ72" s="1"/>
  <c r="M10"/>
  <c r="M73" s="1"/>
  <c r="Q10"/>
  <c r="Q73" s="1"/>
  <c r="U10"/>
  <c r="U73" s="1"/>
  <c r="Y10"/>
  <c r="Y73" s="1"/>
  <c r="AC10"/>
  <c r="AC73" s="1"/>
  <c r="AG10"/>
  <c r="AG73" s="1"/>
  <c r="J11"/>
  <c r="J74" s="1"/>
  <c r="N11"/>
  <c r="N74" s="1"/>
  <c r="R11"/>
  <c r="R74" s="1"/>
  <c r="V11"/>
  <c r="V74" s="1"/>
  <c r="Z11"/>
  <c r="Z74" s="1"/>
  <c r="AD11"/>
  <c r="AD74" s="1"/>
  <c r="AH11"/>
  <c r="AH74" s="1"/>
  <c r="K12"/>
  <c r="K75" s="1"/>
  <c r="O12"/>
  <c r="O75" s="1"/>
  <c r="S12"/>
  <c r="S75" s="1"/>
  <c r="W12"/>
  <c r="W75" s="1"/>
  <c r="AA12"/>
  <c r="AA75" s="1"/>
  <c r="AE12"/>
  <c r="AE75" s="1"/>
  <c r="AI12"/>
  <c r="AI75" s="1"/>
  <c r="L13"/>
  <c r="L76" s="1"/>
  <c r="P13"/>
  <c r="P76" s="1"/>
  <c r="T13"/>
  <c r="T76" s="1"/>
  <c r="X13"/>
  <c r="X76" s="1"/>
  <c r="AB13"/>
  <c r="AB76" s="1"/>
  <c r="AF13"/>
  <c r="AF76" s="1"/>
  <c r="AJ13"/>
  <c r="AJ76" s="1"/>
  <c r="M14"/>
  <c r="M77" s="1"/>
  <c r="Q14"/>
  <c r="Q77" s="1"/>
  <c r="U14"/>
  <c r="U77" s="1"/>
  <c r="Y14"/>
  <c r="Y77" s="1"/>
  <c r="AC14"/>
  <c r="AC77" s="1"/>
  <c r="AG14"/>
  <c r="AG77" s="1"/>
  <c r="J15"/>
  <c r="J78" s="1"/>
  <c r="N15"/>
  <c r="N78" s="1"/>
  <c r="R15"/>
  <c r="R78" s="1"/>
  <c r="V15"/>
  <c r="V78" s="1"/>
  <c r="Z15"/>
  <c r="Z78" s="1"/>
  <c r="AD15"/>
  <c r="AD78" s="1"/>
  <c r="AH15"/>
  <c r="AH78" s="1"/>
  <c r="K16"/>
  <c r="K79" s="1"/>
  <c r="O16"/>
  <c r="O79" s="1"/>
  <c r="S16"/>
  <c r="S79" s="1"/>
  <c r="W16"/>
  <c r="W79" s="1"/>
  <c r="AA16"/>
  <c r="AA79" s="1"/>
  <c r="AE16"/>
  <c r="AE79" s="1"/>
  <c r="AI16"/>
  <c r="AI79" s="1"/>
  <c r="L17"/>
  <c r="L80" s="1"/>
  <c r="P17"/>
  <c r="P80" s="1"/>
  <c r="T17"/>
  <c r="T80" s="1"/>
  <c r="X17"/>
  <c r="X80" s="1"/>
  <c r="AB17"/>
  <c r="AB80" s="1"/>
  <c r="AF17"/>
  <c r="AF80" s="1"/>
  <c r="AJ17"/>
  <c r="AJ80" s="1"/>
  <c r="M18"/>
  <c r="M81" s="1"/>
  <c r="Q18"/>
  <c r="Q81" s="1"/>
  <c r="U18"/>
  <c r="U81" s="1"/>
  <c r="Y18"/>
  <c r="Y81" s="1"/>
  <c r="AC18"/>
  <c r="AC81" s="1"/>
  <c r="AG18"/>
  <c r="AG81" s="1"/>
  <c r="J19"/>
  <c r="J82" s="1"/>
  <c r="N19"/>
  <c r="N82" s="1"/>
  <c r="R19"/>
  <c r="R82" s="1"/>
  <c r="V19"/>
  <c r="V82" s="1"/>
  <c r="Z19"/>
  <c r="Z82" s="1"/>
  <c r="AD19"/>
  <c r="AD82" s="1"/>
  <c r="AH19"/>
  <c r="AH82" s="1"/>
  <c r="K20"/>
  <c r="K83" s="1"/>
  <c r="O20"/>
  <c r="O83" s="1"/>
  <c r="S20"/>
  <c r="S83" s="1"/>
  <c r="W20"/>
  <c r="W83" s="1"/>
  <c r="AA20"/>
  <c r="AA83" s="1"/>
  <c r="AE20"/>
  <c r="AE83" s="1"/>
  <c r="AI20"/>
  <c r="AI83" s="1"/>
  <c r="L21"/>
  <c r="L84" s="1"/>
  <c r="P21"/>
  <c r="P84" s="1"/>
  <c r="T21"/>
  <c r="T84" s="1"/>
  <c r="X21"/>
  <c r="X84" s="1"/>
  <c r="AB21"/>
  <c r="AB84" s="1"/>
  <c r="AF21"/>
  <c r="AF84" s="1"/>
  <c r="AJ21"/>
  <c r="AJ84" s="1"/>
  <c r="M22"/>
  <c r="M85" s="1"/>
  <c r="Q22"/>
  <c r="Q85" s="1"/>
  <c r="U22"/>
  <c r="U85" s="1"/>
  <c r="Y22"/>
  <c r="Y85" s="1"/>
  <c r="AC22"/>
  <c r="AC85" s="1"/>
  <c r="AG22"/>
  <c r="AG85" s="1"/>
  <c r="J23"/>
  <c r="J86" s="1"/>
  <c r="N23"/>
  <c r="N86" s="1"/>
  <c r="R23"/>
  <c r="R86" s="1"/>
  <c r="V23"/>
  <c r="V86" s="1"/>
  <c r="Z23"/>
  <c r="Z86" s="1"/>
  <c r="AD23"/>
  <c r="AD86" s="1"/>
  <c r="AH23"/>
  <c r="AH86" s="1"/>
  <c r="K24"/>
  <c r="K87" s="1"/>
  <c r="O24"/>
  <c r="O87" s="1"/>
  <c r="S24"/>
  <c r="S87" s="1"/>
  <c r="W24"/>
  <c r="W87" s="1"/>
  <c r="AA24"/>
  <c r="AA87" s="1"/>
  <c r="AE24"/>
  <c r="AE87" s="1"/>
  <c r="AI24"/>
  <c r="AI87" s="1"/>
  <c r="L25"/>
  <c r="L88" s="1"/>
  <c r="P25"/>
  <c r="P88" s="1"/>
  <c r="T25"/>
  <c r="T88" s="1"/>
  <c r="X25"/>
  <c r="X88" s="1"/>
  <c r="AB25"/>
  <c r="AB88" s="1"/>
  <c r="AF25"/>
  <c r="AF88" s="1"/>
  <c r="AJ25"/>
  <c r="AJ88" s="1"/>
  <c r="M26"/>
  <c r="M89" s="1"/>
  <c r="Q26"/>
  <c r="Q89" s="1"/>
  <c r="U26"/>
  <c r="U89" s="1"/>
  <c r="Y26"/>
  <c r="Y89" s="1"/>
  <c r="AC26"/>
  <c r="AC89" s="1"/>
  <c r="AG26"/>
  <c r="AG89" s="1"/>
  <c r="J27"/>
  <c r="J90" s="1"/>
  <c r="N27"/>
  <c r="N90" s="1"/>
  <c r="R27"/>
  <c r="R90" s="1"/>
  <c r="V27"/>
  <c r="V90" s="1"/>
  <c r="Z27"/>
  <c r="Z90" s="1"/>
  <c r="AD27"/>
  <c r="AD90" s="1"/>
  <c r="AH27"/>
  <c r="AH90" s="1"/>
  <c r="K28"/>
  <c r="K91" s="1"/>
  <c r="O28"/>
  <c r="O91" s="1"/>
  <c r="S28"/>
  <c r="S91" s="1"/>
  <c r="W28"/>
  <c r="W91" s="1"/>
  <c r="AA28"/>
  <c r="AA91" s="1"/>
  <c r="AE28"/>
  <c r="AE91" s="1"/>
  <c r="AI28"/>
  <c r="AI91" s="1"/>
  <c r="L29"/>
  <c r="L92" s="1"/>
  <c r="P29"/>
  <c r="P92" s="1"/>
  <c r="T29"/>
  <c r="T92" s="1"/>
  <c r="X29"/>
  <c r="X92" s="1"/>
  <c r="AB29"/>
  <c r="AB92" s="1"/>
  <c r="AF29"/>
  <c r="AF92" s="1"/>
  <c r="AJ29"/>
  <c r="AJ92" s="1"/>
  <c r="M30"/>
  <c r="M93" s="1"/>
  <c r="Q30"/>
  <c r="Q93" s="1"/>
  <c r="U30"/>
  <c r="U93" s="1"/>
  <c r="Y30"/>
  <c r="Y93" s="1"/>
  <c r="AC30"/>
  <c r="AC93" s="1"/>
  <c r="AG30"/>
  <c r="AG93" s="1"/>
  <c r="J31"/>
  <c r="J94" s="1"/>
  <c r="N31"/>
  <c r="N94" s="1"/>
  <c r="R31"/>
  <c r="R94" s="1"/>
  <c r="V31"/>
  <c r="V94" s="1"/>
  <c r="Z31"/>
  <c r="Z94" s="1"/>
  <c r="AD31"/>
  <c r="AD94" s="1"/>
  <c r="AH31"/>
  <c r="AH94" s="1"/>
  <c r="K32"/>
  <c r="K95" s="1"/>
  <c r="O32"/>
  <c r="O95" s="1"/>
  <c r="S32"/>
  <c r="S95" s="1"/>
  <c r="W32"/>
  <c r="W95" s="1"/>
  <c r="AA32"/>
  <c r="AA95" s="1"/>
  <c r="AE32"/>
  <c r="AE95" s="1"/>
  <c r="AI32"/>
  <c r="AI95" s="1"/>
  <c r="L33"/>
  <c r="L96" s="1"/>
  <c r="P33"/>
  <c r="P96" s="1"/>
  <c r="T33"/>
  <c r="T96" s="1"/>
  <c r="X33"/>
  <c r="X96" s="1"/>
  <c r="AB33"/>
  <c r="AB96" s="1"/>
  <c r="AF33"/>
  <c r="AF96" s="1"/>
  <c r="AJ33"/>
  <c r="AJ96" s="1"/>
  <c r="M34"/>
  <c r="M97" s="1"/>
  <c r="Q34"/>
  <c r="Q97" s="1"/>
  <c r="U34"/>
  <c r="U97" s="1"/>
  <c r="Y34"/>
  <c r="Y97" s="1"/>
  <c r="AC34"/>
  <c r="AC97" s="1"/>
  <c r="AG34"/>
  <c r="AG97" s="1"/>
  <c r="K36"/>
  <c r="K99" s="1"/>
  <c r="O36"/>
  <c r="O99" s="1"/>
  <c r="S36"/>
  <c r="S99" s="1"/>
  <c r="J64"/>
  <c r="J127" s="1"/>
  <c r="J60"/>
  <c r="J123" s="1"/>
  <c r="J56"/>
  <c r="J119" s="1"/>
  <c r="J52"/>
  <c r="J115" s="1"/>
  <c r="J48"/>
  <c r="J111" s="1"/>
  <c r="J44"/>
  <c r="J107" s="1"/>
  <c r="J40"/>
  <c r="J103" s="1"/>
  <c r="J67"/>
  <c r="J130" s="1"/>
  <c r="J63"/>
  <c r="J126" s="1"/>
  <c r="J59"/>
  <c r="J122" s="1"/>
  <c r="J55"/>
  <c r="J118" s="1"/>
  <c r="J51"/>
  <c r="J114" s="1"/>
  <c r="J47"/>
  <c r="J110" s="1"/>
  <c r="J43"/>
  <c r="J106" s="1"/>
  <c r="J39"/>
  <c r="J102" s="1"/>
  <c r="L66"/>
  <c r="L129" s="1"/>
  <c r="L62"/>
  <c r="L125" s="1"/>
  <c r="L58"/>
  <c r="L121" s="1"/>
  <c r="L54"/>
  <c r="L117" s="1"/>
  <c r="L50"/>
  <c r="L113" s="1"/>
  <c r="L46"/>
  <c r="L109" s="1"/>
  <c r="L42"/>
  <c r="L105" s="1"/>
  <c r="L38"/>
  <c r="L101" s="1"/>
  <c r="L65"/>
  <c r="L128" s="1"/>
  <c r="L61"/>
  <c r="L124" s="1"/>
  <c r="L57"/>
  <c r="L120" s="1"/>
  <c r="L53"/>
  <c r="L116" s="1"/>
  <c r="L49"/>
  <c r="L112" s="1"/>
  <c r="L45"/>
  <c r="L108" s="1"/>
  <c r="L41"/>
  <c r="L104" s="1"/>
  <c r="L37"/>
  <c r="L100" s="1"/>
  <c r="N64"/>
  <c r="N127" s="1"/>
  <c r="N60"/>
  <c r="N123" s="1"/>
  <c r="N56"/>
  <c r="N119" s="1"/>
  <c r="N52"/>
  <c r="N115" s="1"/>
  <c r="N48"/>
  <c r="N111" s="1"/>
  <c r="N44"/>
  <c r="N107" s="1"/>
  <c r="N40"/>
  <c r="N103" s="1"/>
  <c r="N67"/>
  <c r="N130" s="1"/>
  <c r="N63"/>
  <c r="N126" s="1"/>
  <c r="N59"/>
  <c r="N122" s="1"/>
  <c r="N55"/>
  <c r="N118" s="1"/>
  <c r="N51"/>
  <c r="N114" s="1"/>
  <c r="N47"/>
  <c r="N110" s="1"/>
  <c r="N43"/>
  <c r="N106" s="1"/>
  <c r="N39"/>
  <c r="N102" s="1"/>
  <c r="P66"/>
  <c r="P129" s="1"/>
  <c r="P62"/>
  <c r="P125" s="1"/>
  <c r="P58"/>
  <c r="P121" s="1"/>
  <c r="P54"/>
  <c r="P117" s="1"/>
  <c r="P50"/>
  <c r="P113" s="1"/>
  <c r="P46"/>
  <c r="P109" s="1"/>
  <c r="P42"/>
  <c r="P105" s="1"/>
  <c r="P38"/>
  <c r="P101" s="1"/>
  <c r="P65"/>
  <c r="P128" s="1"/>
  <c r="P61"/>
  <c r="P124" s="1"/>
  <c r="P57"/>
  <c r="P120" s="1"/>
  <c r="P53"/>
  <c r="P116" s="1"/>
  <c r="P49"/>
  <c r="P112" s="1"/>
  <c r="P45"/>
  <c r="P108" s="1"/>
  <c r="P41"/>
  <c r="P104" s="1"/>
  <c r="P37"/>
  <c r="P100" s="1"/>
  <c r="R64"/>
  <c r="R127" s="1"/>
  <c r="R60"/>
  <c r="R123" s="1"/>
  <c r="R56"/>
  <c r="R119" s="1"/>
  <c r="R52"/>
  <c r="R115" s="1"/>
  <c r="R48"/>
  <c r="R111" s="1"/>
  <c r="R44"/>
  <c r="R107" s="1"/>
  <c r="R40"/>
  <c r="R103" s="1"/>
  <c r="R67"/>
  <c r="R130" s="1"/>
  <c r="R63"/>
  <c r="R126" s="1"/>
  <c r="R59"/>
  <c r="R122" s="1"/>
  <c r="R55"/>
  <c r="R118" s="1"/>
  <c r="R51"/>
  <c r="R114" s="1"/>
  <c r="R47"/>
  <c r="R110" s="1"/>
  <c r="R43"/>
  <c r="R106" s="1"/>
  <c r="R39"/>
  <c r="R102" s="1"/>
  <c r="T66"/>
  <c r="T129" s="1"/>
  <c r="T62"/>
  <c r="T125" s="1"/>
  <c r="T58"/>
  <c r="T121" s="1"/>
  <c r="T54"/>
  <c r="T117" s="1"/>
  <c r="T50"/>
  <c r="T113" s="1"/>
  <c r="T46"/>
  <c r="T109" s="1"/>
  <c r="T42"/>
  <c r="T105" s="1"/>
  <c r="T38"/>
  <c r="T101" s="1"/>
  <c r="T67"/>
  <c r="T130" s="1"/>
  <c r="T63"/>
  <c r="T126" s="1"/>
  <c r="T59"/>
  <c r="T122" s="1"/>
  <c r="T55"/>
  <c r="T118" s="1"/>
  <c r="T51"/>
  <c r="T114" s="1"/>
  <c r="T47"/>
  <c r="T110" s="1"/>
  <c r="T43"/>
  <c r="T106" s="1"/>
  <c r="T39"/>
  <c r="T102" s="1"/>
  <c r="V66"/>
  <c r="V129" s="1"/>
  <c r="V62"/>
  <c r="V125" s="1"/>
  <c r="V58"/>
  <c r="V121" s="1"/>
  <c r="V54"/>
  <c r="V117" s="1"/>
  <c r="V50"/>
  <c r="V113" s="1"/>
  <c r="V46"/>
  <c r="V109" s="1"/>
  <c r="V42"/>
  <c r="V105" s="1"/>
  <c r="V38"/>
  <c r="V101" s="1"/>
  <c r="V67"/>
  <c r="V130" s="1"/>
  <c r="V63"/>
  <c r="V126" s="1"/>
  <c r="V59"/>
  <c r="V122" s="1"/>
  <c r="V55"/>
  <c r="V118" s="1"/>
  <c r="V51"/>
  <c r="V114" s="1"/>
  <c r="V47"/>
  <c r="V110" s="1"/>
  <c r="V43"/>
  <c r="V106" s="1"/>
  <c r="V39"/>
  <c r="V102" s="1"/>
  <c r="X66"/>
  <c r="X129" s="1"/>
  <c r="X62"/>
  <c r="X125" s="1"/>
  <c r="X58"/>
  <c r="X121" s="1"/>
  <c r="X54"/>
  <c r="X117" s="1"/>
  <c r="X50"/>
  <c r="X113" s="1"/>
  <c r="X46"/>
  <c r="X109" s="1"/>
  <c r="X42"/>
  <c r="X105" s="1"/>
  <c r="X38"/>
  <c r="X101" s="1"/>
  <c r="X67"/>
  <c r="X130" s="1"/>
  <c r="X63"/>
  <c r="X126" s="1"/>
  <c r="X59"/>
  <c r="X122" s="1"/>
  <c r="X55"/>
  <c r="X118" s="1"/>
  <c r="X51"/>
  <c r="X114" s="1"/>
  <c r="X47"/>
  <c r="X110" s="1"/>
  <c r="X43"/>
  <c r="X106" s="1"/>
  <c r="X39"/>
  <c r="X102" s="1"/>
  <c r="Z66"/>
  <c r="Z129" s="1"/>
  <c r="Z62"/>
  <c r="Z125" s="1"/>
  <c r="Z58"/>
  <c r="Z121" s="1"/>
  <c r="Z54"/>
  <c r="Z117" s="1"/>
  <c r="Z50"/>
  <c r="Z113" s="1"/>
  <c r="Z46"/>
  <c r="Z109" s="1"/>
  <c r="Z42"/>
  <c r="Z105" s="1"/>
  <c r="Z38"/>
  <c r="Z101" s="1"/>
  <c r="Z67"/>
  <c r="Z130" s="1"/>
  <c r="Z63"/>
  <c r="Z126" s="1"/>
  <c r="Z59"/>
  <c r="Z122" s="1"/>
  <c r="Z55"/>
  <c r="Z118" s="1"/>
  <c r="Z51"/>
  <c r="Z114" s="1"/>
  <c r="Z47"/>
  <c r="Z110" s="1"/>
  <c r="Z43"/>
  <c r="Z106" s="1"/>
  <c r="Z39"/>
  <c r="Z102" s="1"/>
  <c r="AB66"/>
  <c r="AB129" s="1"/>
  <c r="AB62"/>
  <c r="AB125" s="1"/>
  <c r="AB58"/>
  <c r="AB121" s="1"/>
  <c r="AB54"/>
  <c r="AB117" s="1"/>
  <c r="AB50"/>
  <c r="AB113" s="1"/>
  <c r="AB46"/>
  <c r="AB109" s="1"/>
  <c r="AB42"/>
  <c r="AB105" s="1"/>
  <c r="AB38"/>
  <c r="AB101" s="1"/>
  <c r="AB67"/>
  <c r="AB130" s="1"/>
  <c r="AB63"/>
  <c r="AB126" s="1"/>
  <c r="AB59"/>
  <c r="AB122" s="1"/>
  <c r="AB55"/>
  <c r="AB118" s="1"/>
  <c r="AB51"/>
  <c r="AB114" s="1"/>
  <c r="AB47"/>
  <c r="AB110" s="1"/>
  <c r="AB43"/>
  <c r="AB106" s="1"/>
  <c r="AB39"/>
  <c r="AB102" s="1"/>
  <c r="AD66"/>
  <c r="AD129" s="1"/>
  <c r="AD62"/>
  <c r="AD125" s="1"/>
  <c r="AD58"/>
  <c r="AD121" s="1"/>
  <c r="AD54"/>
  <c r="AD117" s="1"/>
  <c r="AD50"/>
  <c r="AD113" s="1"/>
  <c r="AD46"/>
  <c r="AD109" s="1"/>
  <c r="AD42"/>
  <c r="AD105" s="1"/>
  <c r="AD38"/>
  <c r="AD101" s="1"/>
  <c r="AD67"/>
  <c r="AD130" s="1"/>
  <c r="AD63"/>
  <c r="AD126" s="1"/>
  <c r="AD59"/>
  <c r="AD122" s="1"/>
  <c r="AD55"/>
  <c r="AD118" s="1"/>
  <c r="AD51"/>
  <c r="AD114" s="1"/>
  <c r="AD47"/>
  <c r="AD110" s="1"/>
  <c r="AD43"/>
  <c r="AD106" s="1"/>
  <c r="AD39"/>
  <c r="AD102" s="1"/>
  <c r="AF66"/>
  <c r="AF129" s="1"/>
  <c r="AF62"/>
  <c r="AF125" s="1"/>
  <c r="AF58"/>
  <c r="AF121" s="1"/>
  <c r="AF54"/>
  <c r="AF117" s="1"/>
  <c r="AF50"/>
  <c r="AF113" s="1"/>
  <c r="AF46"/>
  <c r="AF109" s="1"/>
  <c r="AF42"/>
  <c r="AF105" s="1"/>
  <c r="AF38"/>
  <c r="AF101" s="1"/>
  <c r="AF67"/>
  <c r="AF130" s="1"/>
  <c r="AF63"/>
  <c r="AF126" s="1"/>
  <c r="AF59"/>
  <c r="AF122" s="1"/>
  <c r="AF55"/>
  <c r="AF118" s="1"/>
  <c r="AF51"/>
  <c r="AF114" s="1"/>
  <c r="AF47"/>
  <c r="AF110" s="1"/>
  <c r="AF43"/>
  <c r="AF106" s="1"/>
  <c r="AF39"/>
  <c r="AF102" s="1"/>
  <c r="AH66"/>
  <c r="AH129" s="1"/>
  <c r="AH62"/>
  <c r="AH125" s="1"/>
  <c r="AH58"/>
  <c r="AH121" s="1"/>
  <c r="AH54"/>
  <c r="AH117" s="1"/>
  <c r="AH50"/>
  <c r="AH113" s="1"/>
  <c r="AH46"/>
  <c r="AH109" s="1"/>
  <c r="AH42"/>
  <c r="AH105" s="1"/>
  <c r="AH38"/>
  <c r="AH101" s="1"/>
  <c r="AH67"/>
  <c r="AH130" s="1"/>
  <c r="AH63"/>
  <c r="AH126" s="1"/>
  <c r="AH59"/>
  <c r="AH122" s="1"/>
  <c r="AH55"/>
  <c r="AH118" s="1"/>
  <c r="AH51"/>
  <c r="AH114" s="1"/>
  <c r="AH47"/>
  <c r="AH110" s="1"/>
  <c r="AH43"/>
  <c r="AH106" s="1"/>
  <c r="AH39"/>
  <c r="AH102" s="1"/>
  <c r="AJ66"/>
  <c r="AJ129" s="1"/>
  <c r="AJ62"/>
  <c r="AJ125" s="1"/>
  <c r="AJ58"/>
  <c r="AJ121" s="1"/>
  <c r="AJ54"/>
  <c r="AJ117" s="1"/>
  <c r="AJ50"/>
  <c r="AJ113" s="1"/>
  <c r="AJ46"/>
  <c r="AJ109" s="1"/>
  <c r="AJ42"/>
  <c r="AJ105" s="1"/>
  <c r="AJ38"/>
  <c r="AJ101" s="1"/>
  <c r="AJ67"/>
  <c r="AJ130" s="1"/>
  <c r="AJ63"/>
  <c r="AJ126" s="1"/>
  <c r="AJ59"/>
  <c r="AJ122" s="1"/>
  <c r="AJ55"/>
  <c r="AJ118" s="1"/>
  <c r="AJ51"/>
  <c r="AJ114" s="1"/>
  <c r="AJ47"/>
  <c r="AJ110" s="1"/>
  <c r="AJ43"/>
  <c r="AJ106" s="1"/>
  <c r="AJ39"/>
  <c r="AJ102" s="1"/>
  <c r="K7"/>
  <c r="K70" s="1"/>
  <c r="O7"/>
  <c r="O70" s="1"/>
  <c r="S7"/>
  <c r="S70" s="1"/>
  <c r="W7"/>
  <c r="W70" s="1"/>
  <c r="AA7"/>
  <c r="AA70" s="1"/>
  <c r="AE7"/>
  <c r="AE70" s="1"/>
  <c r="AI7"/>
  <c r="AI70" s="1"/>
  <c r="L8"/>
  <c r="L71" s="1"/>
  <c r="P8"/>
  <c r="P71" s="1"/>
  <c r="T8"/>
  <c r="T71" s="1"/>
  <c r="X8"/>
  <c r="X71" s="1"/>
  <c r="AB8"/>
  <c r="AB71" s="1"/>
  <c r="AF8"/>
  <c r="AF71" s="1"/>
  <c r="AJ8"/>
  <c r="AJ71" s="1"/>
  <c r="M9"/>
  <c r="M72" s="1"/>
  <c r="Q9"/>
  <c r="Q72" s="1"/>
  <c r="U9"/>
  <c r="U72" s="1"/>
  <c r="Y9"/>
  <c r="Y72" s="1"/>
  <c r="AC9"/>
  <c r="AC72" s="1"/>
  <c r="AG9"/>
  <c r="AG72" s="1"/>
  <c r="J10"/>
  <c r="J73" s="1"/>
  <c r="N10"/>
  <c r="N73" s="1"/>
  <c r="R10"/>
  <c r="R73" s="1"/>
  <c r="V10"/>
  <c r="V73" s="1"/>
  <c r="Z10"/>
  <c r="Z73" s="1"/>
  <c r="AD10"/>
  <c r="AD73" s="1"/>
  <c r="AH10"/>
  <c r="AH73" s="1"/>
  <c r="K11"/>
  <c r="K74" s="1"/>
  <c r="O11"/>
  <c r="O74" s="1"/>
  <c r="S11"/>
  <c r="S74" s="1"/>
  <c r="W11"/>
  <c r="W74" s="1"/>
  <c r="AA11"/>
  <c r="AA74" s="1"/>
  <c r="AE11"/>
  <c r="AE74" s="1"/>
  <c r="AI11"/>
  <c r="AI74" s="1"/>
  <c r="L12"/>
  <c r="L75" s="1"/>
  <c r="P12"/>
  <c r="P75" s="1"/>
  <c r="T12"/>
  <c r="T75" s="1"/>
  <c r="X12"/>
  <c r="X75" s="1"/>
  <c r="AB12"/>
  <c r="AB75" s="1"/>
  <c r="AF12"/>
  <c r="AF75" s="1"/>
  <c r="AJ12"/>
  <c r="AJ75" s="1"/>
  <c r="M13"/>
  <c r="M76" s="1"/>
  <c r="Q13"/>
  <c r="Q76" s="1"/>
  <c r="U13"/>
  <c r="U76" s="1"/>
  <c r="Y13"/>
  <c r="Y76" s="1"/>
  <c r="AC13"/>
  <c r="AC76" s="1"/>
  <c r="AG13"/>
  <c r="AG76" s="1"/>
  <c r="J14"/>
  <c r="J77" s="1"/>
  <c r="N14"/>
  <c r="N77" s="1"/>
  <c r="R14"/>
  <c r="R77" s="1"/>
  <c r="V14"/>
  <c r="V77" s="1"/>
  <c r="Z14"/>
  <c r="Z77" s="1"/>
  <c r="AD14"/>
  <c r="AD77" s="1"/>
  <c r="AH14"/>
  <c r="AH77" s="1"/>
  <c r="K15"/>
  <c r="K78" s="1"/>
  <c r="O15"/>
  <c r="O78" s="1"/>
  <c r="S15"/>
  <c r="S78" s="1"/>
  <c r="W15"/>
  <c r="W78" s="1"/>
  <c r="AA15"/>
  <c r="AA78" s="1"/>
  <c r="AE15"/>
  <c r="AE78" s="1"/>
  <c r="AI15"/>
  <c r="AI78" s="1"/>
  <c r="L16"/>
  <c r="L79" s="1"/>
  <c r="P16"/>
  <c r="P79" s="1"/>
  <c r="T16"/>
  <c r="T79" s="1"/>
  <c r="X16"/>
  <c r="X79" s="1"/>
  <c r="AB16"/>
  <c r="AB79" s="1"/>
  <c r="AF16"/>
  <c r="AF79" s="1"/>
  <c r="AJ16"/>
  <c r="AJ79" s="1"/>
  <c r="M17"/>
  <c r="M80" s="1"/>
  <c r="Q17"/>
  <c r="Q80" s="1"/>
  <c r="U17"/>
  <c r="U80" s="1"/>
  <c r="Y17"/>
  <c r="Y80" s="1"/>
  <c r="AC17"/>
  <c r="AC80" s="1"/>
  <c r="AG17"/>
  <c r="AG80" s="1"/>
  <c r="J18"/>
  <c r="J81" s="1"/>
  <c r="N18"/>
  <c r="N81" s="1"/>
  <c r="R18"/>
  <c r="R81" s="1"/>
  <c r="V18"/>
  <c r="V81" s="1"/>
  <c r="Z18"/>
  <c r="Z81" s="1"/>
  <c r="AD18"/>
  <c r="AD81" s="1"/>
  <c r="AH18"/>
  <c r="AH81" s="1"/>
  <c r="K19"/>
  <c r="K82" s="1"/>
  <c r="O19"/>
  <c r="O82" s="1"/>
  <c r="S19"/>
  <c r="S82" s="1"/>
  <c r="W19"/>
  <c r="W82" s="1"/>
  <c r="AA19"/>
  <c r="AA82" s="1"/>
  <c r="AE19"/>
  <c r="AE82" s="1"/>
  <c r="AI19"/>
  <c r="AI82" s="1"/>
  <c r="L20"/>
  <c r="L83" s="1"/>
  <c r="P20"/>
  <c r="P83" s="1"/>
  <c r="T20"/>
  <c r="T83" s="1"/>
  <c r="X20"/>
  <c r="X83" s="1"/>
  <c r="AB20"/>
  <c r="AB83" s="1"/>
  <c r="AF20"/>
  <c r="AF83" s="1"/>
  <c r="AJ20"/>
  <c r="AJ83" s="1"/>
  <c r="M21"/>
  <c r="M84" s="1"/>
  <c r="Q21"/>
  <c r="Q84" s="1"/>
  <c r="U21"/>
  <c r="U84" s="1"/>
  <c r="Y21"/>
  <c r="Y84" s="1"/>
  <c r="AC21"/>
  <c r="AC84" s="1"/>
  <c r="AG21"/>
  <c r="AG84" s="1"/>
  <c r="J22"/>
  <c r="J85" s="1"/>
  <c r="N22"/>
  <c r="N85" s="1"/>
  <c r="R22"/>
  <c r="R85" s="1"/>
  <c r="V22"/>
  <c r="V85" s="1"/>
  <c r="Z22"/>
  <c r="Z85" s="1"/>
  <c r="AD22"/>
  <c r="AD85" s="1"/>
  <c r="AH22"/>
  <c r="AH85" s="1"/>
  <c r="K23"/>
  <c r="K86" s="1"/>
  <c r="O23"/>
  <c r="O86" s="1"/>
  <c r="S23"/>
  <c r="S86" s="1"/>
  <c r="W23"/>
  <c r="W86" s="1"/>
  <c r="AA23"/>
  <c r="AA86" s="1"/>
  <c r="AE23"/>
  <c r="AE86" s="1"/>
  <c r="AI23"/>
  <c r="AI86" s="1"/>
  <c r="L24"/>
  <c r="L87" s="1"/>
  <c r="P24"/>
  <c r="P87" s="1"/>
  <c r="T24"/>
  <c r="T87" s="1"/>
  <c r="X24"/>
  <c r="X87" s="1"/>
  <c r="AB24"/>
  <c r="AB87" s="1"/>
  <c r="AF24"/>
  <c r="AF87" s="1"/>
  <c r="AJ24"/>
  <c r="AJ87" s="1"/>
  <c r="M25"/>
  <c r="M88" s="1"/>
  <c r="Q25"/>
  <c r="Q88" s="1"/>
  <c r="U25"/>
  <c r="U88" s="1"/>
  <c r="Y25"/>
  <c r="Y88" s="1"/>
  <c r="AC25"/>
  <c r="AC88" s="1"/>
  <c r="AG25"/>
  <c r="AG88" s="1"/>
  <c r="J26"/>
  <c r="J89" s="1"/>
  <c r="N26"/>
  <c r="N89" s="1"/>
  <c r="R26"/>
  <c r="R89" s="1"/>
  <c r="V26"/>
  <c r="V89" s="1"/>
  <c r="Z26"/>
  <c r="Z89" s="1"/>
  <c r="AD26"/>
  <c r="AD89" s="1"/>
  <c r="AH26"/>
  <c r="AH89" s="1"/>
  <c r="K27"/>
  <c r="K90" s="1"/>
  <c r="O27"/>
  <c r="O90" s="1"/>
  <c r="S27"/>
  <c r="S90" s="1"/>
  <c r="W27"/>
  <c r="W90" s="1"/>
  <c r="AA27"/>
  <c r="AA90" s="1"/>
  <c r="AE27"/>
  <c r="AE90" s="1"/>
  <c r="AI27"/>
  <c r="AI90" s="1"/>
  <c r="L28"/>
  <c r="L91" s="1"/>
  <c r="P28"/>
  <c r="P91" s="1"/>
  <c r="T28"/>
  <c r="T91" s="1"/>
  <c r="X28"/>
  <c r="X91" s="1"/>
  <c r="AB28"/>
  <c r="AB91" s="1"/>
  <c r="AF28"/>
  <c r="AF91" s="1"/>
  <c r="AJ28"/>
  <c r="AJ91" s="1"/>
  <c r="M29"/>
  <c r="M92" s="1"/>
  <c r="Q29"/>
  <c r="Q92" s="1"/>
  <c r="U29"/>
  <c r="U92" s="1"/>
  <c r="Y29"/>
  <c r="Y92" s="1"/>
  <c r="AC29"/>
  <c r="AC92" s="1"/>
  <c r="AG29"/>
  <c r="AG92" s="1"/>
  <c r="J30"/>
  <c r="J93" s="1"/>
  <c r="N30"/>
  <c r="N93" s="1"/>
  <c r="R30"/>
  <c r="R93" s="1"/>
  <c r="V30"/>
  <c r="V93" s="1"/>
  <c r="Z30"/>
  <c r="Z93" s="1"/>
  <c r="AD30"/>
  <c r="AD93" s="1"/>
  <c r="AH30"/>
  <c r="AH93" s="1"/>
  <c r="K31"/>
  <c r="K94" s="1"/>
  <c r="O31"/>
  <c r="O94" s="1"/>
  <c r="S31"/>
  <c r="S94" s="1"/>
  <c r="W31"/>
  <c r="W94" s="1"/>
  <c r="AA31"/>
  <c r="AA94" s="1"/>
  <c r="AE31"/>
  <c r="AE94" s="1"/>
  <c r="AI31"/>
  <c r="AI94" s="1"/>
  <c r="L32"/>
  <c r="L95" s="1"/>
  <c r="P32"/>
  <c r="P95" s="1"/>
  <c r="T32"/>
  <c r="T95" s="1"/>
  <c r="X32"/>
  <c r="X95" s="1"/>
  <c r="AB32"/>
  <c r="AB95" s="1"/>
  <c r="AF32"/>
  <c r="AF95" s="1"/>
  <c r="AJ32"/>
  <c r="AJ95" s="1"/>
  <c r="M33"/>
  <c r="M96" s="1"/>
  <c r="Q33"/>
  <c r="Q96" s="1"/>
  <c r="U33"/>
  <c r="U96" s="1"/>
  <c r="Y33"/>
  <c r="Y96" s="1"/>
  <c r="AC33"/>
  <c r="AC96" s="1"/>
  <c r="AG33"/>
  <c r="AG96" s="1"/>
  <c r="J34"/>
  <c r="J97" s="1"/>
  <c r="N34"/>
  <c r="N97" s="1"/>
  <c r="R34"/>
  <c r="R97" s="1"/>
  <c r="V34"/>
  <c r="V97" s="1"/>
  <c r="Z34"/>
  <c r="Z97" s="1"/>
  <c r="AD34"/>
  <c r="AD97" s="1"/>
  <c r="AH34"/>
  <c r="AH97" s="1"/>
  <c r="K35"/>
  <c r="K98" s="1"/>
  <c r="O35"/>
  <c r="O98" s="1"/>
  <c r="S35"/>
  <c r="S98" s="1"/>
  <c r="W35"/>
  <c r="W98" s="1"/>
  <c r="AA35"/>
  <c r="AA98" s="1"/>
  <c r="AE35"/>
  <c r="AE98" s="1"/>
  <c r="AI35"/>
  <c r="AI98" s="1"/>
  <c r="L36"/>
  <c r="L99" s="1"/>
  <c r="P36"/>
  <c r="P99" s="1"/>
  <c r="K67"/>
  <c r="K130" s="1"/>
  <c r="K63"/>
  <c r="K126" s="1"/>
  <c r="K59"/>
  <c r="K122" s="1"/>
  <c r="K55"/>
  <c r="K118" s="1"/>
  <c r="K51"/>
  <c r="K114" s="1"/>
  <c r="K47"/>
  <c r="K110" s="1"/>
  <c r="K43"/>
  <c r="K106" s="1"/>
  <c r="K39"/>
  <c r="K102" s="1"/>
  <c r="K66"/>
  <c r="K129" s="1"/>
  <c r="K62"/>
  <c r="K125" s="1"/>
  <c r="K58"/>
  <c r="K121" s="1"/>
  <c r="K54"/>
  <c r="K117" s="1"/>
  <c r="K50"/>
  <c r="K113" s="1"/>
  <c r="K46"/>
  <c r="K109" s="1"/>
  <c r="K42"/>
  <c r="K105" s="1"/>
  <c r="K38"/>
  <c r="K101" s="1"/>
  <c r="M65"/>
  <c r="M128" s="1"/>
  <c r="M61"/>
  <c r="M124" s="1"/>
  <c r="M57"/>
  <c r="M120" s="1"/>
  <c r="M53"/>
  <c r="M116" s="1"/>
  <c r="M49"/>
  <c r="M112" s="1"/>
  <c r="M45"/>
  <c r="M108" s="1"/>
  <c r="M41"/>
  <c r="M104" s="1"/>
  <c r="M37"/>
  <c r="M100" s="1"/>
  <c r="M64"/>
  <c r="M127" s="1"/>
  <c r="M60"/>
  <c r="M123" s="1"/>
  <c r="M56"/>
  <c r="M119" s="1"/>
  <c r="M52"/>
  <c r="M115" s="1"/>
  <c r="M48"/>
  <c r="M111" s="1"/>
  <c r="M44"/>
  <c r="M107" s="1"/>
  <c r="M40"/>
  <c r="M103" s="1"/>
  <c r="O67"/>
  <c r="O130" s="1"/>
  <c r="O63"/>
  <c r="O126" s="1"/>
  <c r="O59"/>
  <c r="O122" s="1"/>
  <c r="O55"/>
  <c r="O118" s="1"/>
  <c r="O51"/>
  <c r="O114" s="1"/>
  <c r="O47"/>
  <c r="O110" s="1"/>
  <c r="O43"/>
  <c r="O106" s="1"/>
  <c r="O39"/>
  <c r="O102" s="1"/>
  <c r="O66"/>
  <c r="O129" s="1"/>
  <c r="O62"/>
  <c r="O125" s="1"/>
  <c r="O58"/>
  <c r="O121" s="1"/>
  <c r="O54"/>
  <c r="O117" s="1"/>
  <c r="O50"/>
  <c r="O113" s="1"/>
  <c r="O46"/>
  <c r="O109" s="1"/>
  <c r="O42"/>
  <c r="O105" s="1"/>
  <c r="O38"/>
  <c r="O101" s="1"/>
  <c r="Q65"/>
  <c r="Q128" s="1"/>
  <c r="Q61"/>
  <c r="Q124" s="1"/>
  <c r="Q57"/>
  <c r="Q120" s="1"/>
  <c r="Q53"/>
  <c r="Q116" s="1"/>
  <c r="Q49"/>
  <c r="Q112" s="1"/>
  <c r="Q45"/>
  <c r="Q108" s="1"/>
  <c r="Q41"/>
  <c r="Q104" s="1"/>
  <c r="Q37"/>
  <c r="Q100" s="1"/>
  <c r="Q64"/>
  <c r="Q127" s="1"/>
  <c r="Q60"/>
  <c r="Q123" s="1"/>
  <c r="Q56"/>
  <c r="Q119" s="1"/>
  <c r="Q52"/>
  <c r="Q115" s="1"/>
  <c r="Q48"/>
  <c r="Q111" s="1"/>
  <c r="Q44"/>
  <c r="Q107" s="1"/>
  <c r="Q40"/>
  <c r="Q103" s="1"/>
  <c r="S67"/>
  <c r="S130" s="1"/>
  <c r="S63"/>
  <c r="S126" s="1"/>
  <c r="S59"/>
  <c r="S122" s="1"/>
  <c r="S55"/>
  <c r="S118" s="1"/>
  <c r="S51"/>
  <c r="S114" s="1"/>
  <c r="S47"/>
  <c r="S110" s="1"/>
  <c r="S43"/>
  <c r="S106" s="1"/>
  <c r="S39"/>
  <c r="S102" s="1"/>
  <c r="S66"/>
  <c r="S129" s="1"/>
  <c r="S62"/>
  <c r="S125" s="1"/>
  <c r="S58"/>
  <c r="S121" s="1"/>
  <c r="S54"/>
  <c r="S117" s="1"/>
  <c r="S50"/>
  <c r="S113" s="1"/>
  <c r="S46"/>
  <c r="S109" s="1"/>
  <c r="S42"/>
  <c r="S105" s="1"/>
  <c r="S38"/>
  <c r="S101" s="1"/>
  <c r="U65"/>
  <c r="U128" s="1"/>
  <c r="U61"/>
  <c r="U124" s="1"/>
  <c r="U57"/>
  <c r="U120" s="1"/>
  <c r="U53"/>
  <c r="U116" s="1"/>
  <c r="U49"/>
  <c r="U112" s="1"/>
  <c r="U45"/>
  <c r="U108" s="1"/>
  <c r="U41"/>
  <c r="U104" s="1"/>
  <c r="U37"/>
  <c r="U100" s="1"/>
  <c r="U64"/>
  <c r="U127" s="1"/>
  <c r="U60"/>
  <c r="U123" s="1"/>
  <c r="U56"/>
  <c r="U119" s="1"/>
  <c r="U52"/>
  <c r="U115" s="1"/>
  <c r="U48"/>
  <c r="U111" s="1"/>
  <c r="U44"/>
  <c r="U107" s="1"/>
  <c r="U40"/>
  <c r="U103" s="1"/>
  <c r="U36"/>
  <c r="U99" s="1"/>
  <c r="W65"/>
  <c r="W128" s="1"/>
  <c r="W61"/>
  <c r="W124" s="1"/>
  <c r="W57"/>
  <c r="W120" s="1"/>
  <c r="W53"/>
  <c r="W116" s="1"/>
  <c r="W49"/>
  <c r="W112" s="1"/>
  <c r="W45"/>
  <c r="W108" s="1"/>
  <c r="W41"/>
  <c r="W104" s="1"/>
  <c r="W37"/>
  <c r="W100" s="1"/>
  <c r="W64"/>
  <c r="W127" s="1"/>
  <c r="W60"/>
  <c r="W123" s="1"/>
  <c r="W56"/>
  <c r="W119" s="1"/>
  <c r="W52"/>
  <c r="W115" s="1"/>
  <c r="W48"/>
  <c r="W111" s="1"/>
  <c r="W44"/>
  <c r="W107" s="1"/>
  <c r="W40"/>
  <c r="W103" s="1"/>
  <c r="W36"/>
  <c r="W99" s="1"/>
  <c r="Y65"/>
  <c r="Y128" s="1"/>
  <c r="Y61"/>
  <c r="Y124" s="1"/>
  <c r="Y57"/>
  <c r="Y120" s="1"/>
  <c r="Y53"/>
  <c r="Y116" s="1"/>
  <c r="Y49"/>
  <c r="Y112" s="1"/>
  <c r="Y45"/>
  <c r="Y108" s="1"/>
  <c r="Y41"/>
  <c r="Y104" s="1"/>
  <c r="Y37"/>
  <c r="Y100" s="1"/>
  <c r="Y64"/>
  <c r="Y127" s="1"/>
  <c r="Y60"/>
  <c r="Y123" s="1"/>
  <c r="Y56"/>
  <c r="Y119" s="1"/>
  <c r="Y52"/>
  <c r="Y115" s="1"/>
  <c r="Y48"/>
  <c r="Y111" s="1"/>
  <c r="Y44"/>
  <c r="Y107" s="1"/>
  <c r="Y40"/>
  <c r="Y103" s="1"/>
  <c r="Y36"/>
  <c r="Y99" s="1"/>
  <c r="AA65"/>
  <c r="AA128" s="1"/>
  <c r="AA61"/>
  <c r="AA124" s="1"/>
  <c r="AA57"/>
  <c r="AA120" s="1"/>
  <c r="AA53"/>
  <c r="AA116" s="1"/>
  <c r="AA49"/>
  <c r="AA112" s="1"/>
  <c r="AA45"/>
  <c r="AA108" s="1"/>
  <c r="AA41"/>
  <c r="AA104" s="1"/>
  <c r="AA37"/>
  <c r="AA100" s="1"/>
  <c r="AA64"/>
  <c r="AA127" s="1"/>
  <c r="AA60"/>
  <c r="AA123" s="1"/>
  <c r="AA56"/>
  <c r="AA119" s="1"/>
  <c r="AA52"/>
  <c r="AA115" s="1"/>
  <c r="AA48"/>
  <c r="AA111" s="1"/>
  <c r="AA44"/>
  <c r="AA107" s="1"/>
  <c r="AA40"/>
  <c r="AA103" s="1"/>
  <c r="AA36"/>
  <c r="AA99" s="1"/>
  <c r="AC65"/>
  <c r="AC128" s="1"/>
  <c r="AC61"/>
  <c r="AC124" s="1"/>
  <c r="AC57"/>
  <c r="AC120" s="1"/>
  <c r="AC53"/>
  <c r="AC116" s="1"/>
  <c r="AC49"/>
  <c r="AC112" s="1"/>
  <c r="AC45"/>
  <c r="AC108" s="1"/>
  <c r="AC41"/>
  <c r="AC104" s="1"/>
  <c r="AC37"/>
  <c r="AC100" s="1"/>
  <c r="AC64"/>
  <c r="AC127" s="1"/>
  <c r="AC60"/>
  <c r="AC123" s="1"/>
  <c r="AC56"/>
  <c r="AC119" s="1"/>
  <c r="AC52"/>
  <c r="AC115" s="1"/>
  <c r="AC48"/>
  <c r="AC111" s="1"/>
  <c r="AC44"/>
  <c r="AC107" s="1"/>
  <c r="AC40"/>
  <c r="AC103" s="1"/>
  <c r="AC36"/>
  <c r="AC99" s="1"/>
  <c r="AE65"/>
  <c r="AE128" s="1"/>
  <c r="AE61"/>
  <c r="AE124" s="1"/>
  <c r="AE57"/>
  <c r="AE120" s="1"/>
  <c r="AE53"/>
  <c r="AE116" s="1"/>
  <c r="AE49"/>
  <c r="AE112" s="1"/>
  <c r="AE45"/>
  <c r="AE108" s="1"/>
  <c r="AE41"/>
  <c r="AE104" s="1"/>
  <c r="AE37"/>
  <c r="AE100" s="1"/>
  <c r="AE64"/>
  <c r="AE127" s="1"/>
  <c r="AE60"/>
  <c r="AE123" s="1"/>
  <c r="AE56"/>
  <c r="AE119" s="1"/>
  <c r="AE52"/>
  <c r="AE115" s="1"/>
  <c r="AE48"/>
  <c r="AE111" s="1"/>
  <c r="AE44"/>
  <c r="AE107" s="1"/>
  <c r="AE40"/>
  <c r="AE103" s="1"/>
  <c r="AE36"/>
  <c r="AE99" s="1"/>
  <c r="AG65"/>
  <c r="AG128" s="1"/>
  <c r="AG61"/>
  <c r="AG124" s="1"/>
  <c r="AG57"/>
  <c r="AG120" s="1"/>
  <c r="AG53"/>
  <c r="AG116" s="1"/>
  <c r="AG49"/>
  <c r="AG112" s="1"/>
  <c r="AG45"/>
  <c r="AG108" s="1"/>
  <c r="AG41"/>
  <c r="AG104" s="1"/>
  <c r="AG37"/>
  <c r="AG100" s="1"/>
  <c r="AG64"/>
  <c r="AG127" s="1"/>
  <c r="AG60"/>
  <c r="AG123" s="1"/>
  <c r="AG56"/>
  <c r="AG119" s="1"/>
  <c r="AG52"/>
  <c r="AG115" s="1"/>
  <c r="AG48"/>
  <c r="AG111" s="1"/>
  <c r="AG44"/>
  <c r="AG107" s="1"/>
  <c r="AG40"/>
  <c r="AG103" s="1"/>
  <c r="AG36"/>
  <c r="AG99" s="1"/>
  <c r="AI65"/>
  <c r="AI128" s="1"/>
  <c r="AI61"/>
  <c r="AI124" s="1"/>
  <c r="AI57"/>
  <c r="AI120" s="1"/>
  <c r="AI53"/>
  <c r="AI116" s="1"/>
  <c r="AI49"/>
  <c r="AI112" s="1"/>
  <c r="AI45"/>
  <c r="AI108" s="1"/>
  <c r="AI41"/>
  <c r="AI104" s="1"/>
  <c r="AI37"/>
  <c r="AI100" s="1"/>
  <c r="AI64"/>
  <c r="AI127" s="1"/>
  <c r="AI60"/>
  <c r="AI123" s="1"/>
  <c r="AI56"/>
  <c r="AI119" s="1"/>
  <c r="AI52"/>
  <c r="AI115" s="1"/>
  <c r="AI48"/>
  <c r="AI111" s="1"/>
  <c r="AI44"/>
  <c r="AI107" s="1"/>
  <c r="AI40"/>
  <c r="AI103" s="1"/>
  <c r="AI36"/>
  <c r="AI99" s="1"/>
  <c r="L7"/>
  <c r="L70" s="1"/>
  <c r="P7"/>
  <c r="P70" s="1"/>
  <c r="T7"/>
  <c r="T70" s="1"/>
  <c r="X7"/>
  <c r="X70" s="1"/>
  <c r="AB7"/>
  <c r="AB70" s="1"/>
  <c r="AF7"/>
  <c r="AF70" s="1"/>
  <c r="AJ7"/>
  <c r="AJ70" s="1"/>
  <c r="M8"/>
  <c r="M71" s="1"/>
  <c r="Q8"/>
  <c r="Q71" s="1"/>
  <c r="U8"/>
  <c r="U71" s="1"/>
  <c r="Y8"/>
  <c r="Y71" s="1"/>
  <c r="AC8"/>
  <c r="AC71" s="1"/>
  <c r="AG8"/>
  <c r="AG71" s="1"/>
  <c r="J9"/>
  <c r="J72" s="1"/>
  <c r="N9"/>
  <c r="N72" s="1"/>
  <c r="R9"/>
  <c r="R72" s="1"/>
  <c r="V9"/>
  <c r="V72" s="1"/>
  <c r="Z9"/>
  <c r="Z72" s="1"/>
  <c r="AD9"/>
  <c r="AD72" s="1"/>
  <c r="AH9"/>
  <c r="AH72" s="1"/>
  <c r="K10"/>
  <c r="K73" s="1"/>
  <c r="O10"/>
  <c r="O73" s="1"/>
  <c r="S10"/>
  <c r="S73" s="1"/>
  <c r="W10"/>
  <c r="W73" s="1"/>
  <c r="AA10"/>
  <c r="AA73" s="1"/>
  <c r="AE10"/>
  <c r="AE73" s="1"/>
  <c r="AI10"/>
  <c r="AI73" s="1"/>
  <c r="L11"/>
  <c r="L74" s="1"/>
  <c r="P11"/>
  <c r="P74" s="1"/>
  <c r="T11"/>
  <c r="T74" s="1"/>
  <c r="X11"/>
  <c r="X74" s="1"/>
  <c r="AB11"/>
  <c r="AB74" s="1"/>
  <c r="AF11"/>
  <c r="AF74" s="1"/>
  <c r="AJ11"/>
  <c r="AJ74" s="1"/>
  <c r="M12"/>
  <c r="M75" s="1"/>
  <c r="Q12"/>
  <c r="Q75" s="1"/>
  <c r="U12"/>
  <c r="U75" s="1"/>
  <c r="Y12"/>
  <c r="Y75" s="1"/>
  <c r="AC12"/>
  <c r="AC75" s="1"/>
  <c r="AG12"/>
  <c r="AG75" s="1"/>
  <c r="J13"/>
  <c r="J76" s="1"/>
  <c r="N13"/>
  <c r="N76" s="1"/>
  <c r="R13"/>
  <c r="R76" s="1"/>
  <c r="V13"/>
  <c r="V76" s="1"/>
  <c r="Z13"/>
  <c r="Z76" s="1"/>
  <c r="AD13"/>
  <c r="AD76" s="1"/>
  <c r="AH13"/>
  <c r="AH76" s="1"/>
  <c r="K14"/>
  <c r="K77" s="1"/>
  <c r="O14"/>
  <c r="O77" s="1"/>
  <c r="S14"/>
  <c r="S77" s="1"/>
  <c r="W14"/>
  <c r="W77" s="1"/>
  <c r="AA14"/>
  <c r="AA77" s="1"/>
  <c r="AE14"/>
  <c r="AE77" s="1"/>
  <c r="AI14"/>
  <c r="AI77" s="1"/>
  <c r="L15"/>
  <c r="L78" s="1"/>
  <c r="P15"/>
  <c r="P78" s="1"/>
  <c r="T15"/>
  <c r="T78" s="1"/>
  <c r="X15"/>
  <c r="X78" s="1"/>
  <c r="AB15"/>
  <c r="AB78" s="1"/>
  <c r="AF15"/>
  <c r="AF78" s="1"/>
  <c r="AJ15"/>
  <c r="AJ78" s="1"/>
  <c r="M16"/>
  <c r="M79" s="1"/>
  <c r="Q16"/>
  <c r="Q79" s="1"/>
  <c r="U16"/>
  <c r="U79" s="1"/>
  <c r="Y16"/>
  <c r="Y79" s="1"/>
  <c r="AC16"/>
  <c r="AC79" s="1"/>
  <c r="AG16"/>
  <c r="AG79" s="1"/>
  <c r="J17"/>
  <c r="J80" s="1"/>
  <c r="N17"/>
  <c r="N80" s="1"/>
  <c r="R17"/>
  <c r="R80" s="1"/>
  <c r="V17"/>
  <c r="V80" s="1"/>
  <c r="Z17"/>
  <c r="Z80" s="1"/>
  <c r="AD17"/>
  <c r="AD80" s="1"/>
  <c r="AH17"/>
  <c r="AH80" s="1"/>
  <c r="K18"/>
  <c r="K81" s="1"/>
  <c r="O18"/>
  <c r="O81" s="1"/>
  <c r="S18"/>
  <c r="S81" s="1"/>
  <c r="W18"/>
  <c r="W81" s="1"/>
  <c r="AA18"/>
  <c r="AA81" s="1"/>
  <c r="AE18"/>
  <c r="AE81" s="1"/>
  <c r="AI18"/>
  <c r="AI81" s="1"/>
  <c r="L19"/>
  <c r="L82" s="1"/>
  <c r="P19"/>
  <c r="P82" s="1"/>
  <c r="T19"/>
  <c r="T82" s="1"/>
  <c r="X19"/>
  <c r="X82" s="1"/>
  <c r="AB19"/>
  <c r="AB82" s="1"/>
  <c r="AF19"/>
  <c r="AF82" s="1"/>
  <c r="AJ19"/>
  <c r="AJ82" s="1"/>
  <c r="M20"/>
  <c r="M83" s="1"/>
  <c r="Q20"/>
  <c r="Q83" s="1"/>
  <c r="U20"/>
  <c r="U83" s="1"/>
  <c r="Y20"/>
  <c r="Y83" s="1"/>
  <c r="AC20"/>
  <c r="AC83" s="1"/>
  <c r="AG20"/>
  <c r="AG83" s="1"/>
  <c r="J21"/>
  <c r="J84" s="1"/>
  <c r="N21"/>
  <c r="N84" s="1"/>
  <c r="R21"/>
  <c r="R84" s="1"/>
  <c r="V21"/>
  <c r="V84" s="1"/>
  <c r="Z21"/>
  <c r="Z84" s="1"/>
  <c r="AD21"/>
  <c r="AD84" s="1"/>
  <c r="AH21"/>
  <c r="AH84" s="1"/>
  <c r="K22"/>
  <c r="K85" s="1"/>
  <c r="O22"/>
  <c r="O85" s="1"/>
  <c r="S22"/>
  <c r="S85" s="1"/>
  <c r="W22"/>
  <c r="W85" s="1"/>
  <c r="AA22"/>
  <c r="AA85" s="1"/>
  <c r="AE22"/>
  <c r="AE85" s="1"/>
  <c r="AI22"/>
  <c r="AI85" s="1"/>
  <c r="L23"/>
  <c r="L86" s="1"/>
  <c r="P23"/>
  <c r="P86" s="1"/>
  <c r="T23"/>
  <c r="T86" s="1"/>
  <c r="X23"/>
  <c r="X86" s="1"/>
  <c r="AB23"/>
  <c r="AB86" s="1"/>
  <c r="AF23"/>
  <c r="AF86" s="1"/>
  <c r="AJ23"/>
  <c r="AJ86" s="1"/>
  <c r="M24"/>
  <c r="M87" s="1"/>
  <c r="Q24"/>
  <c r="Q87" s="1"/>
  <c r="U24"/>
  <c r="U87" s="1"/>
  <c r="Y24"/>
  <c r="Y87" s="1"/>
  <c r="AC24"/>
  <c r="AC87" s="1"/>
  <c r="AG24"/>
  <c r="AG87" s="1"/>
  <c r="J25"/>
  <c r="J88" s="1"/>
  <c r="N25"/>
  <c r="N88" s="1"/>
  <c r="R25"/>
  <c r="R88" s="1"/>
  <c r="V25"/>
  <c r="V88" s="1"/>
  <c r="Z25"/>
  <c r="Z88" s="1"/>
  <c r="AD25"/>
  <c r="AD88" s="1"/>
  <c r="AH25"/>
  <c r="AH88" s="1"/>
  <c r="K26"/>
  <c r="K89" s="1"/>
  <c r="O26"/>
  <c r="O89" s="1"/>
  <c r="S26"/>
  <c r="S89" s="1"/>
  <c r="W26"/>
  <c r="W89" s="1"/>
  <c r="AA26"/>
  <c r="AA89" s="1"/>
  <c r="AE26"/>
  <c r="AE89" s="1"/>
  <c r="AI26"/>
  <c r="AI89" s="1"/>
  <c r="L27"/>
  <c r="L90" s="1"/>
  <c r="P27"/>
  <c r="P90" s="1"/>
  <c r="T27"/>
  <c r="T90" s="1"/>
  <c r="X27"/>
  <c r="X90" s="1"/>
  <c r="AB27"/>
  <c r="AB90" s="1"/>
  <c r="AF27"/>
  <c r="AF90" s="1"/>
  <c r="AJ27"/>
  <c r="AJ90" s="1"/>
  <c r="M28"/>
  <c r="M91" s="1"/>
  <c r="Q28"/>
  <c r="Q91" s="1"/>
  <c r="U28"/>
  <c r="U91" s="1"/>
  <c r="Y28"/>
  <c r="Y91" s="1"/>
  <c r="AC28"/>
  <c r="AC91" s="1"/>
  <c r="AG28"/>
  <c r="AG91" s="1"/>
  <c r="J29"/>
  <c r="J92" s="1"/>
  <c r="N29"/>
  <c r="N92" s="1"/>
  <c r="R29"/>
  <c r="R92" s="1"/>
  <c r="V29"/>
  <c r="V92" s="1"/>
  <c r="Z29"/>
  <c r="Z92" s="1"/>
  <c r="AD29"/>
  <c r="AD92" s="1"/>
  <c r="AH29"/>
  <c r="AH92" s="1"/>
  <c r="K30"/>
  <c r="K93" s="1"/>
  <c r="O30"/>
  <c r="O93" s="1"/>
  <c r="S30"/>
  <c r="S93" s="1"/>
  <c r="W30"/>
  <c r="W93" s="1"/>
  <c r="AA30"/>
  <c r="AA93" s="1"/>
  <c r="AE30"/>
  <c r="AE93" s="1"/>
  <c r="AI30"/>
  <c r="AI93" s="1"/>
  <c r="L31"/>
  <c r="L94" s="1"/>
  <c r="P31"/>
  <c r="P94" s="1"/>
  <c r="T31"/>
  <c r="T94" s="1"/>
  <c r="X31"/>
  <c r="X94" s="1"/>
  <c r="AB31"/>
  <c r="AB94" s="1"/>
  <c r="AF31"/>
  <c r="AF94" s="1"/>
  <c r="AJ31"/>
  <c r="AJ94" s="1"/>
  <c r="M32"/>
  <c r="M95" s="1"/>
  <c r="Q32"/>
  <c r="Q95" s="1"/>
  <c r="U32"/>
  <c r="U95" s="1"/>
  <c r="Y32"/>
  <c r="Y95" s="1"/>
  <c r="AC32"/>
  <c r="AC95" s="1"/>
  <c r="AG32"/>
  <c r="AG95" s="1"/>
  <c r="J33"/>
  <c r="J96" s="1"/>
  <c r="N33"/>
  <c r="N96" s="1"/>
  <c r="R33"/>
  <c r="R96" s="1"/>
  <c r="V33"/>
  <c r="V96" s="1"/>
  <c r="Z33"/>
  <c r="Z96" s="1"/>
  <c r="AD33"/>
  <c r="AD96" s="1"/>
  <c r="AH33"/>
  <c r="AH96" s="1"/>
  <c r="K34"/>
  <c r="K97" s="1"/>
  <c r="O34"/>
  <c r="O97" s="1"/>
  <c r="S34"/>
  <c r="S97" s="1"/>
  <c r="W34"/>
  <c r="W97" s="1"/>
  <c r="AA34"/>
  <c r="AA97" s="1"/>
  <c r="AE34"/>
  <c r="AE97" s="1"/>
  <c r="AI34"/>
  <c r="AI97" s="1"/>
  <c r="M36"/>
  <c r="M99" s="1"/>
  <c r="Q36"/>
  <c r="Q99" s="1"/>
  <c r="J66"/>
  <c r="J129" s="1"/>
  <c r="J62"/>
  <c r="J125" s="1"/>
  <c r="J58"/>
  <c r="J121" s="1"/>
  <c r="J54"/>
  <c r="J117" s="1"/>
  <c r="J50"/>
  <c r="J113" s="1"/>
  <c r="J46"/>
  <c r="J109" s="1"/>
  <c r="J42"/>
  <c r="J105" s="1"/>
  <c r="J38"/>
  <c r="J101" s="1"/>
  <c r="J65"/>
  <c r="J128" s="1"/>
  <c r="J61"/>
  <c r="J124" s="1"/>
  <c r="J57"/>
  <c r="J120" s="1"/>
  <c r="J53"/>
  <c r="J116" s="1"/>
  <c r="J49"/>
  <c r="J112" s="1"/>
  <c r="J45"/>
  <c r="J108" s="1"/>
  <c r="J41"/>
  <c r="J104" s="1"/>
  <c r="J37"/>
  <c r="J100" s="1"/>
  <c r="L64"/>
  <c r="L127" s="1"/>
  <c r="L60"/>
  <c r="L123" s="1"/>
  <c r="L56"/>
  <c r="L119" s="1"/>
  <c r="L52"/>
  <c r="L115" s="1"/>
  <c r="L48"/>
  <c r="L111" s="1"/>
  <c r="L44"/>
  <c r="L107" s="1"/>
  <c r="L40"/>
  <c r="L103" s="1"/>
  <c r="L67"/>
  <c r="L130" s="1"/>
  <c r="L63"/>
  <c r="L126" s="1"/>
  <c r="L59"/>
  <c r="L122" s="1"/>
  <c r="L55"/>
  <c r="L118" s="1"/>
  <c r="L51"/>
  <c r="L114" s="1"/>
  <c r="L47"/>
  <c r="L110" s="1"/>
  <c r="L43"/>
  <c r="L106" s="1"/>
  <c r="L39"/>
  <c r="L102" s="1"/>
  <c r="N66"/>
  <c r="N129" s="1"/>
  <c r="N62"/>
  <c r="N125" s="1"/>
  <c r="N58"/>
  <c r="N121" s="1"/>
  <c r="N54"/>
  <c r="N117" s="1"/>
  <c r="N50"/>
  <c r="N113" s="1"/>
  <c r="N46"/>
  <c r="N109" s="1"/>
  <c r="N42"/>
  <c r="N105" s="1"/>
  <c r="N38"/>
  <c r="N101" s="1"/>
  <c r="N65"/>
  <c r="N128" s="1"/>
  <c r="N61"/>
  <c r="N124" s="1"/>
  <c r="N57"/>
  <c r="N120" s="1"/>
  <c r="N53"/>
  <c r="N116" s="1"/>
  <c r="N49"/>
  <c r="N112" s="1"/>
  <c r="N45"/>
  <c r="N108" s="1"/>
  <c r="N41"/>
  <c r="N104" s="1"/>
  <c r="N37"/>
  <c r="N100" s="1"/>
  <c r="P64"/>
  <c r="P127" s="1"/>
  <c r="P60"/>
  <c r="P123" s="1"/>
  <c r="P56"/>
  <c r="P119" s="1"/>
  <c r="P52"/>
  <c r="P115" s="1"/>
  <c r="P48"/>
  <c r="P111" s="1"/>
  <c r="P44"/>
  <c r="P107" s="1"/>
  <c r="P40"/>
  <c r="P103" s="1"/>
  <c r="P67"/>
  <c r="P130" s="1"/>
  <c r="P63"/>
  <c r="P126" s="1"/>
  <c r="P59"/>
  <c r="P122" s="1"/>
  <c r="P55"/>
  <c r="P118" s="1"/>
  <c r="P51"/>
  <c r="P114" s="1"/>
  <c r="P47"/>
  <c r="P110" s="1"/>
  <c r="P43"/>
  <c r="P106" s="1"/>
  <c r="P39"/>
  <c r="P102" s="1"/>
  <c r="R66"/>
  <c r="R129" s="1"/>
  <c r="R62"/>
  <c r="R125" s="1"/>
  <c r="R58"/>
  <c r="R121" s="1"/>
  <c r="R54"/>
  <c r="R117" s="1"/>
  <c r="R50"/>
  <c r="R113" s="1"/>
  <c r="R46"/>
  <c r="R109" s="1"/>
  <c r="R42"/>
  <c r="R105" s="1"/>
  <c r="R38"/>
  <c r="R101" s="1"/>
  <c r="R65"/>
  <c r="R128" s="1"/>
  <c r="R61"/>
  <c r="R124" s="1"/>
  <c r="R57"/>
  <c r="R120" s="1"/>
  <c r="R53"/>
  <c r="R116" s="1"/>
  <c r="R49"/>
  <c r="R112" s="1"/>
  <c r="R45"/>
  <c r="R108" s="1"/>
  <c r="R41"/>
  <c r="R104" s="1"/>
  <c r="R37"/>
  <c r="R100" s="1"/>
  <c r="T64"/>
  <c r="T127" s="1"/>
  <c r="T60"/>
  <c r="T123" s="1"/>
  <c r="T56"/>
  <c r="T119" s="1"/>
  <c r="T52"/>
  <c r="T115" s="1"/>
  <c r="T48"/>
  <c r="T111" s="1"/>
  <c r="T44"/>
  <c r="T107" s="1"/>
  <c r="T40"/>
  <c r="T103" s="1"/>
  <c r="T36"/>
  <c r="T99" s="1"/>
  <c r="T65"/>
  <c r="T128" s="1"/>
  <c r="T61"/>
  <c r="T124" s="1"/>
  <c r="T57"/>
  <c r="T120" s="1"/>
  <c r="T53"/>
  <c r="T116" s="1"/>
  <c r="T49"/>
  <c r="T112" s="1"/>
  <c r="T45"/>
  <c r="T108" s="1"/>
  <c r="T41"/>
  <c r="T104" s="1"/>
  <c r="T37"/>
  <c r="T100" s="1"/>
  <c r="V64"/>
  <c r="V127" s="1"/>
  <c r="V60"/>
  <c r="V123" s="1"/>
  <c r="V56"/>
  <c r="V119" s="1"/>
  <c r="V52"/>
  <c r="V115" s="1"/>
  <c r="V48"/>
  <c r="V111" s="1"/>
  <c r="V44"/>
  <c r="V107" s="1"/>
  <c r="V40"/>
  <c r="V103" s="1"/>
  <c r="V36"/>
  <c r="V99" s="1"/>
  <c r="V65"/>
  <c r="V128" s="1"/>
  <c r="V61"/>
  <c r="V124" s="1"/>
  <c r="V57"/>
  <c r="V120" s="1"/>
  <c r="V53"/>
  <c r="V116" s="1"/>
  <c r="V49"/>
  <c r="V112" s="1"/>
  <c r="V45"/>
  <c r="V108" s="1"/>
  <c r="V41"/>
  <c r="V104" s="1"/>
  <c r="V37"/>
  <c r="V100" s="1"/>
  <c r="X64"/>
  <c r="X127" s="1"/>
  <c r="X60"/>
  <c r="X123" s="1"/>
  <c r="X56"/>
  <c r="X119" s="1"/>
  <c r="X52"/>
  <c r="X115" s="1"/>
  <c r="X48"/>
  <c r="X111" s="1"/>
  <c r="X44"/>
  <c r="X107" s="1"/>
  <c r="X40"/>
  <c r="X103" s="1"/>
  <c r="X36"/>
  <c r="X99" s="1"/>
  <c r="X65"/>
  <c r="X128" s="1"/>
  <c r="X61"/>
  <c r="X124" s="1"/>
  <c r="X57"/>
  <c r="X120" s="1"/>
  <c r="X53"/>
  <c r="X116" s="1"/>
  <c r="X49"/>
  <c r="X112" s="1"/>
  <c r="X45"/>
  <c r="X108" s="1"/>
  <c r="X41"/>
  <c r="X104" s="1"/>
  <c r="X37"/>
  <c r="X100" s="1"/>
  <c r="Z64"/>
  <c r="Z127" s="1"/>
  <c r="Z60"/>
  <c r="Z123" s="1"/>
  <c r="Z56"/>
  <c r="Z119" s="1"/>
  <c r="Z52"/>
  <c r="Z115" s="1"/>
  <c r="Z48"/>
  <c r="Z111" s="1"/>
  <c r="Z44"/>
  <c r="Z107" s="1"/>
  <c r="Z40"/>
  <c r="Z103" s="1"/>
  <c r="Z36"/>
  <c r="Z99" s="1"/>
  <c r="Z65"/>
  <c r="Z128" s="1"/>
  <c r="Z61"/>
  <c r="Z124" s="1"/>
  <c r="Z57"/>
  <c r="Z120" s="1"/>
  <c r="Z53"/>
  <c r="Z116" s="1"/>
  <c r="Z49"/>
  <c r="Z112" s="1"/>
  <c r="Z45"/>
  <c r="Z108" s="1"/>
  <c r="Z41"/>
  <c r="Z104" s="1"/>
  <c r="Z37"/>
  <c r="Z100" s="1"/>
  <c r="AB64"/>
  <c r="AB127" s="1"/>
  <c r="AB60"/>
  <c r="AB123" s="1"/>
  <c r="AB56"/>
  <c r="AB119" s="1"/>
  <c r="AB52"/>
  <c r="AB115" s="1"/>
  <c r="AB48"/>
  <c r="AB111" s="1"/>
  <c r="AB44"/>
  <c r="AB107" s="1"/>
  <c r="AB40"/>
  <c r="AB103" s="1"/>
  <c r="AB36"/>
  <c r="AB99" s="1"/>
  <c r="AB65"/>
  <c r="AB128" s="1"/>
  <c r="AB61"/>
  <c r="AB124" s="1"/>
  <c r="AB57"/>
  <c r="AB120" s="1"/>
  <c r="AB53"/>
  <c r="AB116" s="1"/>
  <c r="AB49"/>
  <c r="AB112" s="1"/>
  <c r="AB45"/>
  <c r="AB108" s="1"/>
  <c r="AB41"/>
  <c r="AB104" s="1"/>
  <c r="AB37"/>
  <c r="AB100" s="1"/>
  <c r="AD64"/>
  <c r="AD127" s="1"/>
  <c r="AD60"/>
  <c r="AD123" s="1"/>
  <c r="AD56"/>
  <c r="AD119" s="1"/>
  <c r="AD52"/>
  <c r="AD115" s="1"/>
  <c r="AD48"/>
  <c r="AD111" s="1"/>
  <c r="AD44"/>
  <c r="AD107" s="1"/>
  <c r="AD40"/>
  <c r="AD103" s="1"/>
  <c r="AD36"/>
  <c r="AD99" s="1"/>
  <c r="AD65"/>
  <c r="AD128" s="1"/>
  <c r="AD61"/>
  <c r="AD124" s="1"/>
  <c r="AD57"/>
  <c r="AD120" s="1"/>
  <c r="AD53"/>
  <c r="AD116" s="1"/>
  <c r="AD49"/>
  <c r="AD112" s="1"/>
  <c r="AD45"/>
  <c r="AD108" s="1"/>
  <c r="AD41"/>
  <c r="AD104" s="1"/>
  <c r="AD37"/>
  <c r="AD100" s="1"/>
  <c r="AF64"/>
  <c r="AF127" s="1"/>
  <c r="AF60"/>
  <c r="AF123" s="1"/>
  <c r="AF56"/>
  <c r="AF119" s="1"/>
  <c r="AF52"/>
  <c r="AF115" s="1"/>
  <c r="AF48"/>
  <c r="AF111" s="1"/>
  <c r="AF44"/>
  <c r="AF107" s="1"/>
  <c r="AF40"/>
  <c r="AF103" s="1"/>
  <c r="AF36"/>
  <c r="AF99" s="1"/>
  <c r="AF65"/>
  <c r="AF128" s="1"/>
  <c r="AF61"/>
  <c r="AF124" s="1"/>
  <c r="AF57"/>
  <c r="AF120" s="1"/>
  <c r="AF53"/>
  <c r="AF116" s="1"/>
  <c r="AF49"/>
  <c r="AF112" s="1"/>
  <c r="AF45"/>
  <c r="AF108" s="1"/>
  <c r="AF41"/>
  <c r="AF104" s="1"/>
  <c r="AF37"/>
  <c r="AF100" s="1"/>
  <c r="AH64"/>
  <c r="AH127" s="1"/>
  <c r="AH60"/>
  <c r="AH123" s="1"/>
  <c r="AH56"/>
  <c r="AH119" s="1"/>
  <c r="AH52"/>
  <c r="AH115" s="1"/>
  <c r="AH48"/>
  <c r="AH111" s="1"/>
  <c r="AH44"/>
  <c r="AH107" s="1"/>
  <c r="AH40"/>
  <c r="AH103" s="1"/>
  <c r="AH36"/>
  <c r="AH99" s="1"/>
  <c r="AH65"/>
  <c r="AH128" s="1"/>
  <c r="AH61"/>
  <c r="AH124" s="1"/>
  <c r="AH57"/>
  <c r="AH120" s="1"/>
  <c r="AH53"/>
  <c r="AH116" s="1"/>
  <c r="AH49"/>
  <c r="AH112" s="1"/>
  <c r="AH45"/>
  <c r="AH108" s="1"/>
  <c r="AH41"/>
  <c r="AH104" s="1"/>
  <c r="AH37"/>
  <c r="AH100" s="1"/>
  <c r="AJ64"/>
  <c r="AJ127" s="1"/>
  <c r="AJ60"/>
  <c r="AJ123" s="1"/>
  <c r="AJ56"/>
  <c r="AJ119" s="1"/>
  <c r="AJ52"/>
  <c r="AJ115" s="1"/>
  <c r="AJ48"/>
  <c r="AJ111" s="1"/>
  <c r="AJ44"/>
  <c r="AJ107" s="1"/>
  <c r="AJ40"/>
  <c r="AJ103" s="1"/>
  <c r="AJ36"/>
  <c r="AJ99" s="1"/>
  <c r="AJ65"/>
  <c r="AJ128" s="1"/>
  <c r="AJ61"/>
  <c r="AJ124" s="1"/>
  <c r="AJ57"/>
  <c r="AJ120" s="1"/>
  <c r="AJ53"/>
  <c r="AJ116" s="1"/>
  <c r="AJ49"/>
  <c r="AJ112" s="1"/>
  <c r="AJ45"/>
  <c r="AJ108" s="1"/>
  <c r="AJ41"/>
  <c r="AJ104" s="1"/>
  <c r="AJ37"/>
  <c r="AJ100" s="1"/>
  <c r="M7"/>
  <c r="M70" s="1"/>
  <c r="Q7"/>
  <c r="Q70" s="1"/>
  <c r="U7"/>
  <c r="U70" s="1"/>
  <c r="Y7"/>
  <c r="Y70" s="1"/>
  <c r="AC7"/>
  <c r="AC70" s="1"/>
  <c r="AG7"/>
  <c r="AG70" s="1"/>
  <c r="J8"/>
  <c r="J71" s="1"/>
  <c r="N8"/>
  <c r="N71" s="1"/>
  <c r="R8"/>
  <c r="R71" s="1"/>
  <c r="V8"/>
  <c r="V71" s="1"/>
  <c r="Z8"/>
  <c r="Z71" s="1"/>
  <c r="AD8"/>
  <c r="AD71" s="1"/>
  <c r="AH8"/>
  <c r="AH71" s="1"/>
  <c r="K9"/>
  <c r="K72" s="1"/>
  <c r="O9"/>
  <c r="O72" s="1"/>
  <c r="S9"/>
  <c r="S72" s="1"/>
  <c r="W9"/>
  <c r="W72" s="1"/>
  <c r="AA9"/>
  <c r="AA72" s="1"/>
  <c r="AE9"/>
  <c r="AE72" s="1"/>
  <c r="AI9"/>
  <c r="AI72" s="1"/>
  <c r="L10"/>
  <c r="L73" s="1"/>
  <c r="P10"/>
  <c r="P73" s="1"/>
  <c r="T10"/>
  <c r="T73" s="1"/>
  <c r="X10"/>
  <c r="X73" s="1"/>
  <c r="AB10"/>
  <c r="AB73" s="1"/>
  <c r="AF10"/>
  <c r="AF73" s="1"/>
  <c r="AJ10"/>
  <c r="AJ73" s="1"/>
  <c r="M11"/>
  <c r="M74" s="1"/>
  <c r="Q11"/>
  <c r="Q74" s="1"/>
  <c r="U11"/>
  <c r="U74" s="1"/>
  <c r="Y11"/>
  <c r="Y74" s="1"/>
  <c r="AC11"/>
  <c r="AC74" s="1"/>
  <c r="AG11"/>
  <c r="AG74" s="1"/>
  <c r="J12"/>
  <c r="J75" s="1"/>
  <c r="N12"/>
  <c r="N75" s="1"/>
  <c r="R12"/>
  <c r="R75" s="1"/>
  <c r="V12"/>
  <c r="V75" s="1"/>
  <c r="Z12"/>
  <c r="Z75" s="1"/>
  <c r="AD12"/>
  <c r="AD75" s="1"/>
  <c r="AH12"/>
  <c r="AH75" s="1"/>
  <c r="K13"/>
  <c r="K76" s="1"/>
  <c r="O13"/>
  <c r="O76" s="1"/>
  <c r="S13"/>
  <c r="S76" s="1"/>
  <c r="W13"/>
  <c r="W76" s="1"/>
  <c r="AA13"/>
  <c r="AA76" s="1"/>
  <c r="AE13"/>
  <c r="AE76" s="1"/>
  <c r="AI13"/>
  <c r="AI76" s="1"/>
  <c r="L14"/>
  <c r="L77" s="1"/>
  <c r="P14"/>
  <c r="P77" s="1"/>
  <c r="T14"/>
  <c r="T77" s="1"/>
  <c r="X14"/>
  <c r="X77" s="1"/>
  <c r="AB14"/>
  <c r="AB77" s="1"/>
  <c r="AF14"/>
  <c r="AF77" s="1"/>
  <c r="AJ14"/>
  <c r="AJ77" s="1"/>
  <c r="M15"/>
  <c r="M78" s="1"/>
  <c r="Q15"/>
  <c r="Q78" s="1"/>
  <c r="U15"/>
  <c r="U78" s="1"/>
  <c r="Y15"/>
  <c r="Y78" s="1"/>
  <c r="AC15"/>
  <c r="AC78" s="1"/>
  <c r="AG15"/>
  <c r="AG78" s="1"/>
  <c r="J16"/>
  <c r="J79" s="1"/>
  <c r="N16"/>
  <c r="N79" s="1"/>
  <c r="R16"/>
  <c r="R79" s="1"/>
  <c r="V16"/>
  <c r="V79" s="1"/>
  <c r="Z16"/>
  <c r="Z79" s="1"/>
  <c r="AD16"/>
  <c r="AD79" s="1"/>
  <c r="AH16"/>
  <c r="AH79" s="1"/>
  <c r="K17"/>
  <c r="K80" s="1"/>
  <c r="O17"/>
  <c r="O80" s="1"/>
  <c r="S17"/>
  <c r="S80" s="1"/>
  <c r="W17"/>
  <c r="W80" s="1"/>
  <c r="AA17"/>
  <c r="AA80" s="1"/>
  <c r="AE17"/>
  <c r="AE80" s="1"/>
  <c r="AI17"/>
  <c r="AI80" s="1"/>
  <c r="L18"/>
  <c r="L81" s="1"/>
  <c r="P18"/>
  <c r="P81" s="1"/>
  <c r="T18"/>
  <c r="T81" s="1"/>
  <c r="X18"/>
  <c r="X81" s="1"/>
  <c r="AB18"/>
  <c r="AB81" s="1"/>
  <c r="AF18"/>
  <c r="AF81" s="1"/>
  <c r="AJ18"/>
  <c r="AJ81" s="1"/>
  <c r="M19"/>
  <c r="M82" s="1"/>
  <c r="Q19"/>
  <c r="Q82" s="1"/>
  <c r="U19"/>
  <c r="U82" s="1"/>
  <c r="Y19"/>
  <c r="Y82" s="1"/>
  <c r="AC19"/>
  <c r="AC82" s="1"/>
  <c r="AG19"/>
  <c r="AG82" s="1"/>
  <c r="J20"/>
  <c r="J83" s="1"/>
  <c r="N20"/>
  <c r="N83" s="1"/>
  <c r="R20"/>
  <c r="R83" s="1"/>
  <c r="V20"/>
  <c r="V83" s="1"/>
  <c r="Z20"/>
  <c r="Z83" s="1"/>
  <c r="AD20"/>
  <c r="AD83" s="1"/>
  <c r="AH20"/>
  <c r="AH83" s="1"/>
  <c r="K21"/>
  <c r="K84" s="1"/>
  <c r="O21"/>
  <c r="O84" s="1"/>
  <c r="S21"/>
  <c r="S84" s="1"/>
  <c r="W21"/>
  <c r="W84" s="1"/>
  <c r="AA21"/>
  <c r="AA84" s="1"/>
  <c r="AE21"/>
  <c r="AE84" s="1"/>
  <c r="AI21"/>
  <c r="AI84" s="1"/>
  <c r="L22"/>
  <c r="L85" s="1"/>
  <c r="P22"/>
  <c r="P85" s="1"/>
  <c r="T22"/>
  <c r="T85" s="1"/>
  <c r="X22"/>
  <c r="X85" s="1"/>
  <c r="AB22"/>
  <c r="AB85" s="1"/>
  <c r="AF22"/>
  <c r="AF85" s="1"/>
  <c r="AJ22"/>
  <c r="AJ85" s="1"/>
  <c r="M23"/>
  <c r="M86" s="1"/>
  <c r="Q23"/>
  <c r="Q86" s="1"/>
  <c r="U23"/>
  <c r="U86" s="1"/>
  <c r="Y23"/>
  <c r="Y86" s="1"/>
  <c r="AC23"/>
  <c r="AC86" s="1"/>
  <c r="AG23"/>
  <c r="AG86" s="1"/>
  <c r="J24"/>
  <c r="J87" s="1"/>
  <c r="N24"/>
  <c r="N87" s="1"/>
  <c r="R24"/>
  <c r="R87" s="1"/>
  <c r="V24"/>
  <c r="V87" s="1"/>
  <c r="Z24"/>
  <c r="Z87" s="1"/>
  <c r="AD24"/>
  <c r="AD87" s="1"/>
  <c r="AH24"/>
  <c r="AH87" s="1"/>
  <c r="K25"/>
  <c r="K88" s="1"/>
  <c r="O25"/>
  <c r="O88" s="1"/>
  <c r="S25"/>
  <c r="S88" s="1"/>
  <c r="W25"/>
  <c r="W88" s="1"/>
  <c r="AA25"/>
  <c r="AA88" s="1"/>
  <c r="AE25"/>
  <c r="AE88" s="1"/>
  <c r="AI25"/>
  <c r="AI88" s="1"/>
  <c r="L26"/>
  <c r="L89" s="1"/>
  <c r="P26"/>
  <c r="P89" s="1"/>
  <c r="T26"/>
  <c r="T89" s="1"/>
  <c r="X26"/>
  <c r="X89" s="1"/>
  <c r="AB26"/>
  <c r="AB89" s="1"/>
  <c r="AF26"/>
  <c r="AF89" s="1"/>
  <c r="AJ26"/>
  <c r="AJ89" s="1"/>
  <c r="M27"/>
  <c r="M90" s="1"/>
  <c r="Q27"/>
  <c r="Q90" s="1"/>
  <c r="U27"/>
  <c r="U90" s="1"/>
  <c r="Y27"/>
  <c r="Y90" s="1"/>
  <c r="AC27"/>
  <c r="AC90" s="1"/>
  <c r="AG27"/>
  <c r="AG90" s="1"/>
  <c r="J28"/>
  <c r="J91" s="1"/>
  <c r="N28"/>
  <c r="N91" s="1"/>
  <c r="R28"/>
  <c r="R91" s="1"/>
  <c r="V28"/>
  <c r="V91" s="1"/>
  <c r="Z28"/>
  <c r="Z91" s="1"/>
  <c r="AD28"/>
  <c r="AD91" s="1"/>
  <c r="AH28"/>
  <c r="AH91" s="1"/>
  <c r="K29"/>
  <c r="K92" s="1"/>
  <c r="O29"/>
  <c r="O92" s="1"/>
  <c r="S29"/>
  <c r="S92" s="1"/>
  <c r="W29"/>
  <c r="W92" s="1"/>
  <c r="AA29"/>
  <c r="AA92" s="1"/>
  <c r="AE29"/>
  <c r="AE92" s="1"/>
  <c r="AI29"/>
  <c r="AI92" s="1"/>
  <c r="L30"/>
  <c r="L93" s="1"/>
  <c r="P30"/>
  <c r="P93" s="1"/>
  <c r="T30"/>
  <c r="T93" s="1"/>
  <c r="X30"/>
  <c r="X93" s="1"/>
  <c r="AB30"/>
  <c r="AB93" s="1"/>
  <c r="AF30"/>
  <c r="AF93" s="1"/>
  <c r="AJ30"/>
  <c r="AJ93" s="1"/>
  <c r="M31"/>
  <c r="M94" s="1"/>
  <c r="Q31"/>
  <c r="Q94" s="1"/>
  <c r="U31"/>
  <c r="U94" s="1"/>
  <c r="Y31"/>
  <c r="Y94" s="1"/>
  <c r="AC31"/>
  <c r="AC94" s="1"/>
  <c r="AG31"/>
  <c r="AG94" s="1"/>
  <c r="J32"/>
  <c r="J95" s="1"/>
  <c r="N32"/>
  <c r="N95" s="1"/>
  <c r="R32"/>
  <c r="R95" s="1"/>
  <c r="V32"/>
  <c r="V95" s="1"/>
  <c r="Z32"/>
  <c r="Z95" s="1"/>
  <c r="AD32"/>
  <c r="AD95" s="1"/>
  <c r="AH32"/>
  <c r="AH95" s="1"/>
  <c r="K33"/>
  <c r="K96" s="1"/>
  <c r="O33"/>
  <c r="O96" s="1"/>
  <c r="S33"/>
  <c r="S96" s="1"/>
  <c r="W33"/>
  <c r="W96" s="1"/>
  <c r="AA33"/>
  <c r="AA96" s="1"/>
  <c r="AE33"/>
  <c r="AE96" s="1"/>
  <c r="AI33"/>
  <c r="AI96" s="1"/>
  <c r="L34"/>
  <c r="L97" s="1"/>
  <c r="P34"/>
  <c r="P97" s="1"/>
  <c r="T34"/>
  <c r="T97" s="1"/>
  <c r="X34"/>
  <c r="X97" s="1"/>
  <c r="AB34"/>
  <c r="AB97" s="1"/>
  <c r="AF34"/>
  <c r="AF97" s="1"/>
  <c r="AJ34"/>
  <c r="AJ97" s="1"/>
  <c r="M35"/>
  <c r="M98" s="1"/>
  <c r="Q35"/>
  <c r="Q98" s="1"/>
  <c r="U35"/>
  <c r="U98" s="1"/>
  <c r="Y35"/>
  <c r="Y98" s="1"/>
  <c r="AC35"/>
  <c r="AC98" s="1"/>
  <c r="AG35"/>
  <c r="AG98" s="1"/>
  <c r="J36"/>
  <c r="J99" s="1"/>
  <c r="N36"/>
  <c r="N99" s="1"/>
  <c r="R36"/>
  <c r="R99" s="1"/>
  <c r="L15" i="40"/>
  <c r="J15" s="1"/>
  <c r="L32"/>
  <c r="J32" s="1"/>
  <c r="L68"/>
  <c r="J68" s="1"/>
  <c r="L51"/>
  <c r="J51" s="1"/>
  <c r="L38"/>
  <c r="J38" s="1"/>
  <c r="L28"/>
  <c r="J28" s="1"/>
  <c r="L47"/>
  <c r="J47" s="1"/>
  <c r="L24"/>
  <c r="J24" s="1"/>
  <c r="L52"/>
  <c r="J52" s="1"/>
  <c r="L16"/>
  <c r="J16" s="1"/>
  <c r="L59"/>
  <c r="J59" s="1"/>
  <c r="L45"/>
  <c r="J45" s="1"/>
  <c r="H67" i="41"/>
  <c r="H130" s="1"/>
  <c r="F67"/>
  <c r="F130" s="1"/>
  <c r="H66"/>
  <c r="H129" s="1"/>
  <c r="F66"/>
  <c r="F129" s="1"/>
  <c r="H65"/>
  <c r="H128" s="1"/>
  <c r="F65"/>
  <c r="F128" s="1"/>
  <c r="H64"/>
  <c r="H127" s="1"/>
  <c r="F64"/>
  <c r="F127" s="1"/>
  <c r="H63"/>
  <c r="H126" s="1"/>
  <c r="F63"/>
  <c r="F126" s="1"/>
  <c r="H62"/>
  <c r="H125" s="1"/>
  <c r="F62"/>
  <c r="F125" s="1"/>
  <c r="H61"/>
  <c r="H124" s="1"/>
  <c r="F61"/>
  <c r="F124" s="1"/>
  <c r="H60"/>
  <c r="H123" s="1"/>
  <c r="F60"/>
  <c r="F123" s="1"/>
  <c r="H59"/>
  <c r="H122" s="1"/>
  <c r="F59"/>
  <c r="F122" s="1"/>
  <c r="H58"/>
  <c r="H121" s="1"/>
  <c r="F58"/>
  <c r="F121" s="1"/>
  <c r="H57"/>
  <c r="H120" s="1"/>
  <c r="F57"/>
  <c r="F120" s="1"/>
  <c r="H56"/>
  <c r="H119" s="1"/>
  <c r="F56"/>
  <c r="F119" s="1"/>
  <c r="H55"/>
  <c r="H118" s="1"/>
  <c r="F55"/>
  <c r="F118" s="1"/>
  <c r="H54"/>
  <c r="H117" s="1"/>
  <c r="F54"/>
  <c r="F117" s="1"/>
  <c r="H53"/>
  <c r="H116" s="1"/>
  <c r="F53"/>
  <c r="F116" s="1"/>
  <c r="H52"/>
  <c r="H115" s="1"/>
  <c r="F52"/>
  <c r="F115" s="1"/>
  <c r="H51"/>
  <c r="H114" s="1"/>
  <c r="F51"/>
  <c r="F114" s="1"/>
  <c r="H50"/>
  <c r="H113" s="1"/>
  <c r="F50"/>
  <c r="F113" s="1"/>
  <c r="H49"/>
  <c r="H112" s="1"/>
  <c r="F49"/>
  <c r="F112" s="1"/>
  <c r="H48"/>
  <c r="H111" s="1"/>
  <c r="F48"/>
  <c r="F111" s="1"/>
  <c r="H47"/>
  <c r="H110" s="1"/>
  <c r="F47"/>
  <c r="F110" s="1"/>
  <c r="H46"/>
  <c r="H109" s="1"/>
  <c r="F46"/>
  <c r="F109" s="1"/>
  <c r="H45"/>
  <c r="H108" s="1"/>
  <c r="F45"/>
  <c r="F108" s="1"/>
  <c r="H44"/>
  <c r="H107" s="1"/>
  <c r="F44"/>
  <c r="F107" s="1"/>
  <c r="I67"/>
  <c r="I130" s="1"/>
  <c r="G67"/>
  <c r="G130" s="1"/>
  <c r="E67"/>
  <c r="I66"/>
  <c r="I129" s="1"/>
  <c r="G66"/>
  <c r="G129" s="1"/>
  <c r="E66"/>
  <c r="I65"/>
  <c r="I128" s="1"/>
  <c r="G65"/>
  <c r="G128" s="1"/>
  <c r="E65"/>
  <c r="I64"/>
  <c r="I127" s="1"/>
  <c r="G64"/>
  <c r="G127" s="1"/>
  <c r="E64"/>
  <c r="I63"/>
  <c r="I126" s="1"/>
  <c r="G63"/>
  <c r="G126" s="1"/>
  <c r="E63"/>
  <c r="I62"/>
  <c r="I125" s="1"/>
  <c r="G62"/>
  <c r="G125" s="1"/>
  <c r="E62"/>
  <c r="I61"/>
  <c r="I124" s="1"/>
  <c r="G61"/>
  <c r="G124" s="1"/>
  <c r="E61"/>
  <c r="I60"/>
  <c r="I123" s="1"/>
  <c r="G60"/>
  <c r="G123" s="1"/>
  <c r="E60"/>
  <c r="I59"/>
  <c r="I122" s="1"/>
  <c r="G59"/>
  <c r="G122" s="1"/>
  <c r="E59"/>
  <c r="I58"/>
  <c r="I121" s="1"/>
  <c r="G58"/>
  <c r="G121" s="1"/>
  <c r="E58"/>
  <c r="I57"/>
  <c r="I120" s="1"/>
  <c r="G57"/>
  <c r="G120" s="1"/>
  <c r="E57"/>
  <c r="I56"/>
  <c r="I119" s="1"/>
  <c r="G56"/>
  <c r="G119" s="1"/>
  <c r="E56"/>
  <c r="I55"/>
  <c r="I118" s="1"/>
  <c r="G55"/>
  <c r="G118" s="1"/>
  <c r="E55"/>
  <c r="I54"/>
  <c r="I117" s="1"/>
  <c r="G54"/>
  <c r="G117" s="1"/>
  <c r="E54"/>
  <c r="I53"/>
  <c r="I116" s="1"/>
  <c r="G53"/>
  <c r="G116" s="1"/>
  <c r="E53"/>
  <c r="I52"/>
  <c r="I115" s="1"/>
  <c r="G52"/>
  <c r="G115" s="1"/>
  <c r="E52"/>
  <c r="I51"/>
  <c r="I114" s="1"/>
  <c r="G51"/>
  <c r="G114" s="1"/>
  <c r="E51"/>
  <c r="I50"/>
  <c r="I113" s="1"/>
  <c r="G50"/>
  <c r="G113" s="1"/>
  <c r="E50"/>
  <c r="I49"/>
  <c r="I112" s="1"/>
  <c r="G49"/>
  <c r="G112" s="1"/>
  <c r="E49"/>
  <c r="I48"/>
  <c r="I111" s="1"/>
  <c r="G48"/>
  <c r="G111" s="1"/>
  <c r="E48"/>
  <c r="I47"/>
  <c r="I110" s="1"/>
  <c r="G47"/>
  <c r="G110" s="1"/>
  <c r="E47"/>
  <c r="I46"/>
  <c r="I109" s="1"/>
  <c r="G46"/>
  <c r="G109" s="1"/>
  <c r="E46"/>
  <c r="I45"/>
  <c r="I108" s="1"/>
  <c r="G45"/>
  <c r="G108" s="1"/>
  <c r="E45"/>
  <c r="I44"/>
  <c r="I107" s="1"/>
  <c r="G44"/>
  <c r="G107" s="1"/>
  <c r="E44"/>
  <c r="H43"/>
  <c r="H106" s="1"/>
  <c r="F43"/>
  <c r="F106" s="1"/>
  <c r="H42"/>
  <c r="H105" s="1"/>
  <c r="F42"/>
  <c r="F105" s="1"/>
  <c r="H41"/>
  <c r="H104" s="1"/>
  <c r="F41"/>
  <c r="F104" s="1"/>
  <c r="H40"/>
  <c r="H103" s="1"/>
  <c r="F40"/>
  <c r="F103" s="1"/>
  <c r="H39"/>
  <c r="H102" s="1"/>
  <c r="F39"/>
  <c r="F102" s="1"/>
  <c r="H38"/>
  <c r="H101" s="1"/>
  <c r="F38"/>
  <c r="F101" s="1"/>
  <c r="H37"/>
  <c r="H100" s="1"/>
  <c r="F37"/>
  <c r="F100" s="1"/>
  <c r="H36"/>
  <c r="H99" s="1"/>
  <c r="F36"/>
  <c r="F99" s="1"/>
  <c r="H35"/>
  <c r="H98" s="1"/>
  <c r="F35"/>
  <c r="F98" s="1"/>
  <c r="H34"/>
  <c r="H97" s="1"/>
  <c r="F34"/>
  <c r="F97" s="1"/>
  <c r="H33"/>
  <c r="H96" s="1"/>
  <c r="F33"/>
  <c r="F96" s="1"/>
  <c r="H32"/>
  <c r="H95" s="1"/>
  <c r="F32"/>
  <c r="F95" s="1"/>
  <c r="H31"/>
  <c r="H94" s="1"/>
  <c r="F31"/>
  <c r="F94" s="1"/>
  <c r="H30"/>
  <c r="H93" s="1"/>
  <c r="F30"/>
  <c r="F93" s="1"/>
  <c r="H29"/>
  <c r="H92" s="1"/>
  <c r="F29"/>
  <c r="F92" s="1"/>
  <c r="H28"/>
  <c r="H91" s="1"/>
  <c r="F28"/>
  <c r="F91" s="1"/>
  <c r="H27"/>
  <c r="H90" s="1"/>
  <c r="F27"/>
  <c r="F90" s="1"/>
  <c r="H26"/>
  <c r="H89" s="1"/>
  <c r="F26"/>
  <c r="F89" s="1"/>
  <c r="H25"/>
  <c r="H88" s="1"/>
  <c r="F25"/>
  <c r="F88" s="1"/>
  <c r="H24"/>
  <c r="H87" s="1"/>
  <c r="F24"/>
  <c r="F87" s="1"/>
  <c r="H23"/>
  <c r="H86" s="1"/>
  <c r="F23"/>
  <c r="F86" s="1"/>
  <c r="H22"/>
  <c r="H85" s="1"/>
  <c r="F22"/>
  <c r="F85" s="1"/>
  <c r="H21"/>
  <c r="H84" s="1"/>
  <c r="F21"/>
  <c r="F84" s="1"/>
  <c r="H20"/>
  <c r="H83" s="1"/>
  <c r="F20"/>
  <c r="F83" s="1"/>
  <c r="H19"/>
  <c r="H82" s="1"/>
  <c r="F19"/>
  <c r="F82" s="1"/>
  <c r="H18"/>
  <c r="H81" s="1"/>
  <c r="F18"/>
  <c r="F81" s="1"/>
  <c r="H17"/>
  <c r="H80" s="1"/>
  <c r="F17"/>
  <c r="F80" s="1"/>
  <c r="H16"/>
  <c r="H79" s="1"/>
  <c r="F16"/>
  <c r="F79" s="1"/>
  <c r="H15"/>
  <c r="H78" s="1"/>
  <c r="F15"/>
  <c r="F78" s="1"/>
  <c r="H14"/>
  <c r="H77" s="1"/>
  <c r="F14"/>
  <c r="F77" s="1"/>
  <c r="H13"/>
  <c r="H76" s="1"/>
  <c r="F13"/>
  <c r="F76" s="1"/>
  <c r="H12"/>
  <c r="H75" s="1"/>
  <c r="F12"/>
  <c r="F75" s="1"/>
  <c r="H11"/>
  <c r="H74" s="1"/>
  <c r="F11"/>
  <c r="F74" s="1"/>
  <c r="H10"/>
  <c r="H73" s="1"/>
  <c r="F10"/>
  <c r="F73" s="1"/>
  <c r="I43"/>
  <c r="I106" s="1"/>
  <c r="G43"/>
  <c r="G106" s="1"/>
  <c r="E43"/>
  <c r="I42"/>
  <c r="I105" s="1"/>
  <c r="G42"/>
  <c r="G105" s="1"/>
  <c r="E42"/>
  <c r="I41"/>
  <c r="I104" s="1"/>
  <c r="G41"/>
  <c r="G104" s="1"/>
  <c r="E41"/>
  <c r="I40"/>
  <c r="I103" s="1"/>
  <c r="G40"/>
  <c r="G103" s="1"/>
  <c r="E40"/>
  <c r="I39"/>
  <c r="I102" s="1"/>
  <c r="G39"/>
  <c r="G102" s="1"/>
  <c r="E39"/>
  <c r="I38"/>
  <c r="I101" s="1"/>
  <c r="G38"/>
  <c r="G101" s="1"/>
  <c r="E38"/>
  <c r="I37"/>
  <c r="I100" s="1"/>
  <c r="G37"/>
  <c r="G100" s="1"/>
  <c r="E37"/>
  <c r="I36"/>
  <c r="I99" s="1"/>
  <c r="G36"/>
  <c r="G99" s="1"/>
  <c r="E36"/>
  <c r="I35"/>
  <c r="I98" s="1"/>
  <c r="G35"/>
  <c r="G98" s="1"/>
  <c r="E35"/>
  <c r="I34"/>
  <c r="I97" s="1"/>
  <c r="G34"/>
  <c r="G97" s="1"/>
  <c r="E34"/>
  <c r="I33"/>
  <c r="I96" s="1"/>
  <c r="G33"/>
  <c r="G96" s="1"/>
  <c r="E33"/>
  <c r="I32"/>
  <c r="I95" s="1"/>
  <c r="G32"/>
  <c r="G95" s="1"/>
  <c r="E32"/>
  <c r="I31"/>
  <c r="I94" s="1"/>
  <c r="G31"/>
  <c r="G94" s="1"/>
  <c r="E31"/>
  <c r="I30"/>
  <c r="I93" s="1"/>
  <c r="G30"/>
  <c r="G93" s="1"/>
  <c r="E30"/>
  <c r="I29"/>
  <c r="I92" s="1"/>
  <c r="G29"/>
  <c r="G92" s="1"/>
  <c r="E29"/>
  <c r="I28"/>
  <c r="I91" s="1"/>
  <c r="G28"/>
  <c r="G91" s="1"/>
  <c r="E28"/>
  <c r="I27"/>
  <c r="I90" s="1"/>
  <c r="G27"/>
  <c r="G90" s="1"/>
  <c r="E27"/>
  <c r="I26"/>
  <c r="I89" s="1"/>
  <c r="G26"/>
  <c r="G89" s="1"/>
  <c r="E26"/>
  <c r="I25"/>
  <c r="I88" s="1"/>
  <c r="G25"/>
  <c r="G88" s="1"/>
  <c r="E25"/>
  <c r="I24"/>
  <c r="I87" s="1"/>
  <c r="G24"/>
  <c r="G87" s="1"/>
  <c r="E24"/>
  <c r="I23"/>
  <c r="I86" s="1"/>
  <c r="G23"/>
  <c r="G86" s="1"/>
  <c r="E23"/>
  <c r="I22"/>
  <c r="I85" s="1"/>
  <c r="G22"/>
  <c r="G85" s="1"/>
  <c r="E22"/>
  <c r="I21"/>
  <c r="I84" s="1"/>
  <c r="G21"/>
  <c r="G84" s="1"/>
  <c r="E21"/>
  <c r="I20"/>
  <c r="I83" s="1"/>
  <c r="G20"/>
  <c r="G83" s="1"/>
  <c r="E20"/>
  <c r="I19"/>
  <c r="I82" s="1"/>
  <c r="G19"/>
  <c r="G82" s="1"/>
  <c r="E19"/>
  <c r="I18"/>
  <c r="I81" s="1"/>
  <c r="G18"/>
  <c r="G81" s="1"/>
  <c r="E18"/>
  <c r="I17"/>
  <c r="I80" s="1"/>
  <c r="G17"/>
  <c r="G80" s="1"/>
  <c r="E17"/>
  <c r="I16"/>
  <c r="I79" s="1"/>
  <c r="G16"/>
  <c r="G79" s="1"/>
  <c r="E16"/>
  <c r="I15"/>
  <c r="I78" s="1"/>
  <c r="G15"/>
  <c r="G78" s="1"/>
  <c r="E15"/>
  <c r="I14"/>
  <c r="I77" s="1"/>
  <c r="G14"/>
  <c r="G77" s="1"/>
  <c r="E14"/>
  <c r="I13"/>
  <c r="I76" s="1"/>
  <c r="G13"/>
  <c r="G76" s="1"/>
  <c r="E13"/>
  <c r="I12"/>
  <c r="I75" s="1"/>
  <c r="G12"/>
  <c r="G75" s="1"/>
  <c r="E12"/>
  <c r="I11"/>
  <c r="I74" s="1"/>
  <c r="G11"/>
  <c r="G74" s="1"/>
  <c r="E11"/>
  <c r="I10"/>
  <c r="I73" s="1"/>
  <c r="G10"/>
  <c r="G73" s="1"/>
  <c r="E10"/>
  <c r="H9"/>
  <c r="H72" s="1"/>
  <c r="F9"/>
  <c r="F72" s="1"/>
  <c r="H8"/>
  <c r="H71" s="1"/>
  <c r="F8"/>
  <c r="F71" s="1"/>
  <c r="H7"/>
  <c r="H70" s="1"/>
  <c r="F7"/>
  <c r="F70" s="1"/>
  <c r="I9"/>
  <c r="I72" s="1"/>
  <c r="G9"/>
  <c r="G72" s="1"/>
  <c r="E9"/>
  <c r="I8"/>
  <c r="I71" s="1"/>
  <c r="G8"/>
  <c r="G71" s="1"/>
  <c r="E8"/>
  <c r="I7"/>
  <c r="I70" s="1"/>
  <c r="G7"/>
  <c r="G70" s="1"/>
  <c r="E7"/>
  <c r="J6" i="40"/>
  <c r="A2" i="6"/>
  <c r="A2" i="5"/>
  <c r="A2" i="4"/>
  <c r="A10" i="40"/>
  <c r="AJ69" i="41" l="1"/>
  <c r="AZ61" i="40" s="1"/>
  <c r="AZ65" s="1"/>
  <c r="AI69" i="41"/>
  <c r="AY61" i="40" s="1"/>
  <c r="AY65" s="1"/>
  <c r="AH69" i="41"/>
  <c r="AX61" i="40" s="1"/>
  <c r="AX65" s="1"/>
  <c r="AG69" i="41"/>
  <c r="AW61" i="40" s="1"/>
  <c r="AW65" s="1"/>
  <c r="AF69" i="41"/>
  <c r="AV61" i="40" s="1"/>
  <c r="AV65" s="1"/>
  <c r="AE69" i="41"/>
  <c r="AU61" i="40" s="1"/>
  <c r="AU65" s="1"/>
  <c r="AD69" i="41"/>
  <c r="AT61" i="40" s="1"/>
  <c r="AT65" s="1"/>
  <c r="AC69" i="41"/>
  <c r="AS61" i="40" s="1"/>
  <c r="AS65" s="1"/>
  <c r="AB69" i="41"/>
  <c r="AR61" i="40" s="1"/>
  <c r="AR65" s="1"/>
  <c r="AA69" i="41"/>
  <c r="AQ61" i="40" s="1"/>
  <c r="AQ65" s="1"/>
  <c r="Z69" i="41"/>
  <c r="AP61" i="40" s="1"/>
  <c r="AP65" s="1"/>
  <c r="Y69" i="41"/>
  <c r="AO61" i="40" s="1"/>
  <c r="AO65" s="1"/>
  <c r="X69" i="41"/>
  <c r="AN61" i="40" s="1"/>
  <c r="AN65" s="1"/>
  <c r="W69" i="41"/>
  <c r="AM61" i="40" s="1"/>
  <c r="AM65" s="1"/>
  <c r="V69" i="41"/>
  <c r="AL61" i="40" s="1"/>
  <c r="AL65" s="1"/>
  <c r="U69" i="41"/>
  <c r="AK61" i="40" s="1"/>
  <c r="AK65" s="1"/>
  <c r="T69" i="41"/>
  <c r="AJ61" i="40" s="1"/>
  <c r="AJ65" s="1"/>
  <c r="S69" i="41"/>
  <c r="AI61" i="40" s="1"/>
  <c r="AI65" s="1"/>
  <c r="R69" i="41"/>
  <c r="AH61" i="40" s="1"/>
  <c r="AH65" s="1"/>
  <c r="Q69" i="41"/>
  <c r="AG61" i="40" s="1"/>
  <c r="AG65" s="1"/>
  <c r="P69" i="41"/>
  <c r="AF61" i="40" s="1"/>
  <c r="AF65" s="1"/>
  <c r="O69" i="41"/>
  <c r="AE61" i="40" s="1"/>
  <c r="AE65" s="1"/>
  <c r="N69" i="41"/>
  <c r="AD61" i="40" s="1"/>
  <c r="AD65" s="1"/>
  <c r="M69" i="41"/>
  <c r="AC61" i="40" s="1"/>
  <c r="AC65" s="1"/>
  <c r="L69" i="41"/>
  <c r="AB61" i="40" s="1"/>
  <c r="AB65" s="1"/>
  <c r="K69" i="41"/>
  <c r="AA61" i="40" s="1"/>
  <c r="AA65" s="1"/>
  <c r="J69" i="41"/>
  <c r="Z61" i="40" s="1"/>
  <c r="Z65" s="1"/>
  <c r="I69" i="41"/>
  <c r="Y61" i="40" s="1"/>
  <c r="Y65" s="1"/>
  <c r="H69" i="41"/>
  <c r="X61" i="40" s="1"/>
  <c r="X65" s="1"/>
  <c r="G69" i="41"/>
  <c r="W61" i="40" s="1"/>
  <c r="W65" s="1"/>
  <c r="F69" i="41"/>
  <c r="V61" i="40" s="1"/>
  <c r="V65" s="1"/>
  <c r="E71" i="41"/>
  <c r="D8"/>
  <c r="C8"/>
  <c r="H11" i="40" s="1"/>
  <c r="E74" i="41"/>
  <c r="D11"/>
  <c r="C11"/>
  <c r="H14" i="40" s="1"/>
  <c r="E76" i="41"/>
  <c r="D13"/>
  <c r="C13"/>
  <c r="H16" i="40" s="1"/>
  <c r="E78" i="41"/>
  <c r="D15"/>
  <c r="C15"/>
  <c r="H18" i="40" s="1"/>
  <c r="E80" i="41"/>
  <c r="D17"/>
  <c r="C17"/>
  <c r="H20" i="40" s="1"/>
  <c r="E82" i="41"/>
  <c r="D19"/>
  <c r="C19"/>
  <c r="H22" i="40" s="1"/>
  <c r="E84" i="41"/>
  <c r="D21"/>
  <c r="C21"/>
  <c r="H24" i="40" s="1"/>
  <c r="E86" i="41"/>
  <c r="D23"/>
  <c r="C23"/>
  <c r="H26" i="40" s="1"/>
  <c r="E88" i="41"/>
  <c r="D25"/>
  <c r="C25"/>
  <c r="H28" i="40" s="1"/>
  <c r="E90" i="41"/>
  <c r="D27"/>
  <c r="C27"/>
  <c r="H30" i="40" s="1"/>
  <c r="E92" i="41"/>
  <c r="D29"/>
  <c r="C29"/>
  <c r="H32" i="40" s="1"/>
  <c r="E94" i="41"/>
  <c r="D31"/>
  <c r="C31"/>
  <c r="H34" i="40" s="1"/>
  <c r="E96" i="41"/>
  <c r="D33"/>
  <c r="C33"/>
  <c r="H36" i="40" s="1"/>
  <c r="E98" i="41"/>
  <c r="D35"/>
  <c r="C35"/>
  <c r="H38" i="40" s="1"/>
  <c r="E100" i="41"/>
  <c r="D37"/>
  <c r="C37"/>
  <c r="H40" i="40" s="1"/>
  <c r="E102" i="41"/>
  <c r="D39"/>
  <c r="C39"/>
  <c r="H42" i="40" s="1"/>
  <c r="E104" i="41"/>
  <c r="D41"/>
  <c r="C41"/>
  <c r="H44" i="40" s="1"/>
  <c r="E106" i="41"/>
  <c r="D43"/>
  <c r="C43"/>
  <c r="H46" i="40" s="1"/>
  <c r="E108" i="41"/>
  <c r="D45"/>
  <c r="C45"/>
  <c r="H48" i="40" s="1"/>
  <c r="E110" i="41"/>
  <c r="D47"/>
  <c r="C47"/>
  <c r="H50" i="40" s="1"/>
  <c r="E112" i="41"/>
  <c r="D49"/>
  <c r="C49"/>
  <c r="H52" i="40" s="1"/>
  <c r="E114" i="41"/>
  <c r="D51"/>
  <c r="C51"/>
  <c r="H54" i="40" s="1"/>
  <c r="E116" i="41"/>
  <c r="D53"/>
  <c r="C53"/>
  <c r="H56" i="40" s="1"/>
  <c r="E118" i="41"/>
  <c r="D55"/>
  <c r="C55"/>
  <c r="H58" i="40" s="1"/>
  <c r="E120" i="41"/>
  <c r="D57"/>
  <c r="C57"/>
  <c r="H60" i="40" s="1"/>
  <c r="E122" i="41"/>
  <c r="D59"/>
  <c r="C59"/>
  <c r="H62" i="40" s="1"/>
  <c r="E124" i="41"/>
  <c r="D61"/>
  <c r="C61"/>
  <c r="H64" i="40" s="1"/>
  <c r="E126" i="41"/>
  <c r="D63"/>
  <c r="C63"/>
  <c r="H66" i="40" s="1"/>
  <c r="E128" i="41"/>
  <c r="D65"/>
  <c r="C65"/>
  <c r="H68" i="40" s="1"/>
  <c r="E130" i="41"/>
  <c r="D67"/>
  <c r="C67"/>
  <c r="H70" i="40" s="1"/>
  <c r="E70" i="41"/>
  <c r="D7"/>
  <c r="C7"/>
  <c r="H10" i="40" s="1"/>
  <c r="E72" i="41"/>
  <c r="D9"/>
  <c r="C9"/>
  <c r="H12" i="40" s="1"/>
  <c r="E73" i="41"/>
  <c r="D10"/>
  <c r="C10"/>
  <c r="H13" i="40" s="1"/>
  <c r="E75" i="41"/>
  <c r="D12"/>
  <c r="C12"/>
  <c r="H15" i="40" s="1"/>
  <c r="E77" i="41"/>
  <c r="D14"/>
  <c r="C14"/>
  <c r="H17" i="40" s="1"/>
  <c r="E79" i="41"/>
  <c r="D16"/>
  <c r="C16"/>
  <c r="H19" i="40" s="1"/>
  <c r="E81" i="41"/>
  <c r="D18"/>
  <c r="C18"/>
  <c r="H21" i="40" s="1"/>
  <c r="E83" i="41"/>
  <c r="D20"/>
  <c r="C20"/>
  <c r="H23" i="40" s="1"/>
  <c r="E85" i="41"/>
  <c r="D22"/>
  <c r="C22"/>
  <c r="H25" i="40" s="1"/>
  <c r="E87" i="41"/>
  <c r="D24"/>
  <c r="C24"/>
  <c r="H27" i="40" s="1"/>
  <c r="E89" i="41"/>
  <c r="D26"/>
  <c r="C26"/>
  <c r="H29" i="40" s="1"/>
  <c r="E91" i="41"/>
  <c r="D28"/>
  <c r="C28"/>
  <c r="H31" i="40" s="1"/>
  <c r="E93" i="41"/>
  <c r="D30"/>
  <c r="C30"/>
  <c r="H33" i="40" s="1"/>
  <c r="E95" i="41"/>
  <c r="D32"/>
  <c r="C32"/>
  <c r="H35" i="40" s="1"/>
  <c r="E97" i="41"/>
  <c r="D34"/>
  <c r="C34"/>
  <c r="H37" i="40" s="1"/>
  <c r="E99" i="41"/>
  <c r="D36"/>
  <c r="C36"/>
  <c r="H39" i="40" s="1"/>
  <c r="E101" i="41"/>
  <c r="D38"/>
  <c r="C38"/>
  <c r="H41" i="40" s="1"/>
  <c r="E103" i="41"/>
  <c r="D40"/>
  <c r="C40"/>
  <c r="H43" i="40" s="1"/>
  <c r="E105" i="41"/>
  <c r="D42"/>
  <c r="C42"/>
  <c r="H45" i="40" s="1"/>
  <c r="E107" i="41"/>
  <c r="D44"/>
  <c r="C44"/>
  <c r="H47" i="40" s="1"/>
  <c r="E109" i="41"/>
  <c r="D46"/>
  <c r="C46"/>
  <c r="H49" i="40" s="1"/>
  <c r="E111" i="41"/>
  <c r="D48"/>
  <c r="C48"/>
  <c r="H51" i="40" s="1"/>
  <c r="E113" i="41"/>
  <c r="D50"/>
  <c r="C50"/>
  <c r="H53" i="40" s="1"/>
  <c r="E115" i="41"/>
  <c r="D52"/>
  <c r="C52"/>
  <c r="H55" i="40" s="1"/>
  <c r="E117" i="41"/>
  <c r="D54"/>
  <c r="C54"/>
  <c r="H57" i="40" s="1"/>
  <c r="E119" i="41"/>
  <c r="D56"/>
  <c r="C56"/>
  <c r="H59" i="40" s="1"/>
  <c r="E121" i="41"/>
  <c r="D58"/>
  <c r="C58"/>
  <c r="H61" i="40" s="1"/>
  <c r="E123" i="41"/>
  <c r="D60"/>
  <c r="C60"/>
  <c r="H63" i="40" s="1"/>
  <c r="E125" i="41"/>
  <c r="D62"/>
  <c r="C62"/>
  <c r="H65" i="40" s="1"/>
  <c r="E127" i="41"/>
  <c r="D64"/>
  <c r="C64"/>
  <c r="H67" i="40" s="1"/>
  <c r="E129" i="41"/>
  <c r="D66"/>
  <c r="C66"/>
  <c r="H69" i="40" s="1"/>
  <c r="M10"/>
  <c r="J10"/>
  <c r="P10"/>
  <c r="M6"/>
  <c r="C1" i="6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5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4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E69" i="41" l="1"/>
  <c r="U61" i="40" s="1"/>
  <c r="U65" s="1"/>
  <c r="I69"/>
  <c r="D69" s="1"/>
  <c r="C69"/>
  <c r="G69"/>
  <c r="B69" s="1"/>
  <c r="I65"/>
  <c r="D65" s="1"/>
  <c r="C65"/>
  <c r="I61"/>
  <c r="D61" s="1"/>
  <c r="C61"/>
  <c r="I57"/>
  <c r="D57" s="1"/>
  <c r="C57"/>
  <c r="I53"/>
  <c r="D53" s="1"/>
  <c r="C53"/>
  <c r="I49"/>
  <c r="D49" s="1"/>
  <c r="C49"/>
  <c r="I45"/>
  <c r="D45" s="1"/>
  <c r="C45"/>
  <c r="I41"/>
  <c r="D41" s="1"/>
  <c r="C41"/>
  <c r="I37"/>
  <c r="D37" s="1"/>
  <c r="C37"/>
  <c r="I33"/>
  <c r="D33" s="1"/>
  <c r="C33"/>
  <c r="I29"/>
  <c r="D29" s="1"/>
  <c r="C29"/>
  <c r="I25"/>
  <c r="D25" s="1"/>
  <c r="C25"/>
  <c r="I21"/>
  <c r="D21" s="1"/>
  <c r="C21"/>
  <c r="I17"/>
  <c r="D17" s="1"/>
  <c r="C17"/>
  <c r="I13"/>
  <c r="D13" s="1"/>
  <c r="C13"/>
  <c r="C10"/>
  <c r="I10"/>
  <c r="D10" s="1"/>
  <c r="I68"/>
  <c r="D68" s="1"/>
  <c r="C68"/>
  <c r="I64"/>
  <c r="D64" s="1"/>
  <c r="C64"/>
  <c r="I60"/>
  <c r="D60" s="1"/>
  <c r="C60"/>
  <c r="I56"/>
  <c r="D56" s="1"/>
  <c r="C56"/>
  <c r="I52"/>
  <c r="D52" s="1"/>
  <c r="C52"/>
  <c r="I48"/>
  <c r="D48" s="1"/>
  <c r="C48"/>
  <c r="I44"/>
  <c r="D44" s="1"/>
  <c r="C44"/>
  <c r="I40"/>
  <c r="D40" s="1"/>
  <c r="C40"/>
  <c r="I36"/>
  <c r="D36" s="1"/>
  <c r="C36"/>
  <c r="I32"/>
  <c r="D32" s="1"/>
  <c r="C32"/>
  <c r="I28"/>
  <c r="D28" s="1"/>
  <c r="C28"/>
  <c r="I24"/>
  <c r="D24" s="1"/>
  <c r="C24"/>
  <c r="I20"/>
  <c r="D20" s="1"/>
  <c r="C20"/>
  <c r="I16"/>
  <c r="D16" s="1"/>
  <c r="C16"/>
  <c r="I11"/>
  <c r="D11" s="1"/>
  <c r="C11"/>
  <c r="I67"/>
  <c r="D67" s="1"/>
  <c r="C67"/>
  <c r="I63"/>
  <c r="D63" s="1"/>
  <c r="C63"/>
  <c r="I59"/>
  <c r="D59" s="1"/>
  <c r="C59"/>
  <c r="I55"/>
  <c r="D55" s="1"/>
  <c r="C55"/>
  <c r="I51"/>
  <c r="D51" s="1"/>
  <c r="C51"/>
  <c r="I47"/>
  <c r="D47" s="1"/>
  <c r="C47"/>
  <c r="I43"/>
  <c r="D43" s="1"/>
  <c r="C43"/>
  <c r="I39"/>
  <c r="D39" s="1"/>
  <c r="C39"/>
  <c r="I35"/>
  <c r="D35" s="1"/>
  <c r="C35"/>
  <c r="I31"/>
  <c r="D31" s="1"/>
  <c r="C31"/>
  <c r="I27"/>
  <c r="D27" s="1"/>
  <c r="C27"/>
  <c r="I23"/>
  <c r="D23" s="1"/>
  <c r="C23"/>
  <c r="I19"/>
  <c r="D19" s="1"/>
  <c r="C19"/>
  <c r="I15"/>
  <c r="D15" s="1"/>
  <c r="C15"/>
  <c r="I12"/>
  <c r="D12" s="1"/>
  <c r="C12"/>
  <c r="I70"/>
  <c r="D70" s="1"/>
  <c r="C70"/>
  <c r="I66"/>
  <c r="D66" s="1"/>
  <c r="C66"/>
  <c r="I62"/>
  <c r="D62" s="1"/>
  <c r="C62"/>
  <c r="I58"/>
  <c r="D58" s="1"/>
  <c r="C58"/>
  <c r="I54"/>
  <c r="D54" s="1"/>
  <c r="C54"/>
  <c r="I50"/>
  <c r="D50" s="1"/>
  <c r="C50"/>
  <c r="I46"/>
  <c r="D46" s="1"/>
  <c r="C46"/>
  <c r="I42"/>
  <c r="D42" s="1"/>
  <c r="C42"/>
  <c r="I38"/>
  <c r="D38" s="1"/>
  <c r="C38"/>
  <c r="I34"/>
  <c r="D34" s="1"/>
  <c r="C34"/>
  <c r="I30"/>
  <c r="D30" s="1"/>
  <c r="C30"/>
  <c r="I26"/>
  <c r="D26" s="1"/>
  <c r="C26"/>
  <c r="I22"/>
  <c r="D22" s="1"/>
  <c r="C22"/>
  <c r="I18"/>
  <c r="D18" s="1"/>
  <c r="C18"/>
  <c r="I14"/>
  <c r="D14" s="1"/>
  <c r="C14"/>
  <c r="P6"/>
  <c r="G57" l="1"/>
  <c r="B57" s="1"/>
  <c r="E57" s="1"/>
  <c r="G49"/>
  <c r="B49" s="1"/>
  <c r="E49" s="1"/>
  <c r="G64"/>
  <c r="B64" s="1"/>
  <c r="E64" s="1"/>
  <c r="G59"/>
  <c r="B59" s="1"/>
  <c r="E59" s="1"/>
  <c r="G47"/>
  <c r="B47" s="1"/>
  <c r="E47" s="1"/>
  <c r="G17"/>
  <c r="B17" s="1"/>
  <c r="E17" s="1"/>
  <c r="G33"/>
  <c r="B33" s="1"/>
  <c r="E33" s="1"/>
  <c r="G41"/>
  <c r="B41" s="1"/>
  <c r="E41" s="1"/>
  <c r="G25"/>
  <c r="B25" s="1"/>
  <c r="E25" s="1"/>
  <c r="G61"/>
  <c r="B61" s="1"/>
  <c r="E61" s="1"/>
  <c r="G50"/>
  <c r="B50" s="1"/>
  <c r="E50" s="1"/>
  <c r="G67"/>
  <c r="B67" s="1"/>
  <c r="E67" s="1"/>
  <c r="G19"/>
  <c r="B19" s="1"/>
  <c r="E19" s="1"/>
  <c r="G65"/>
  <c r="B65" s="1"/>
  <c r="E65" s="1"/>
  <c r="G53"/>
  <c r="B53" s="1"/>
  <c r="E53" s="1"/>
  <c r="G62"/>
  <c r="B62" s="1"/>
  <c r="E62" s="1"/>
  <c r="G35"/>
  <c r="B35" s="1"/>
  <c r="E35" s="1"/>
  <c r="G43"/>
  <c r="B43" s="1"/>
  <c r="E43" s="1"/>
  <c r="G45"/>
  <c r="B45" s="1"/>
  <c r="E45" s="1"/>
  <c r="G11"/>
  <c r="B11" s="1"/>
  <c r="E11" s="1"/>
  <c r="G38"/>
  <c r="B38" s="1"/>
  <c r="E38" s="1"/>
  <c r="G27"/>
  <c r="B27" s="1"/>
  <c r="E27" s="1"/>
  <c r="G21"/>
  <c r="B21" s="1"/>
  <c r="E21" s="1"/>
  <c r="G29"/>
  <c r="B29" s="1"/>
  <c r="E29" s="1"/>
  <c r="G70"/>
  <c r="B70" s="1"/>
  <c r="E70" s="1"/>
  <c r="G68"/>
  <c r="B68" s="1"/>
  <c r="E68" s="1"/>
  <c r="G52"/>
  <c r="B52" s="1"/>
  <c r="E52" s="1"/>
  <c r="G66"/>
  <c r="B66" s="1"/>
  <c r="E66" s="1"/>
  <c r="G32"/>
  <c r="B32" s="1"/>
  <c r="E32" s="1"/>
  <c r="G55"/>
  <c r="B55" s="1"/>
  <c r="E55" s="1"/>
  <c r="G60"/>
  <c r="B60" s="1"/>
  <c r="E60" s="1"/>
  <c r="G58"/>
  <c r="B58" s="1"/>
  <c r="E58" s="1"/>
  <c r="G15"/>
  <c r="B15" s="1"/>
  <c r="E15" s="1"/>
  <c r="G34"/>
  <c r="B34" s="1"/>
  <c r="E34" s="1"/>
  <c r="G54"/>
  <c r="B54" s="1"/>
  <c r="E54" s="1"/>
  <c r="G13"/>
  <c r="B13" s="1"/>
  <c r="E13" s="1"/>
  <c r="G10"/>
  <c r="B10" s="1"/>
  <c r="E10" s="1"/>
  <c r="G30"/>
  <c r="B30" s="1"/>
  <c r="E30" s="1"/>
  <c r="G36"/>
  <c r="B36" s="1"/>
  <c r="E36" s="1"/>
  <c r="G56"/>
  <c r="B56" s="1"/>
  <c r="E56" s="1"/>
  <c r="G23"/>
  <c r="B23" s="1"/>
  <c r="E23" s="1"/>
  <c r="F10"/>
  <c r="G26"/>
  <c r="B26" s="1"/>
  <c r="E26" s="1"/>
  <c r="F56"/>
  <c r="F13"/>
  <c r="F21"/>
  <c r="F54"/>
  <c r="F62"/>
  <c r="F70"/>
  <c r="G12"/>
  <c r="B12" s="1"/>
  <c r="E12" s="1"/>
  <c r="F15"/>
  <c r="F23"/>
  <c r="F47"/>
  <c r="G51"/>
  <c r="B51" s="1"/>
  <c r="E51" s="1"/>
  <c r="F55"/>
  <c r="G28"/>
  <c r="B28" s="1"/>
  <c r="E28" s="1"/>
  <c r="T65"/>
  <c r="F14"/>
  <c r="G18"/>
  <c r="B18" s="1"/>
  <c r="E18" s="1"/>
  <c r="G20"/>
  <c r="B20" s="1"/>
  <c r="E20" s="1"/>
  <c r="G44"/>
  <c r="B44" s="1"/>
  <c r="E44" s="1"/>
  <c r="F29"/>
  <c r="F30"/>
  <c r="F38"/>
  <c r="G42"/>
  <c r="B42" s="1"/>
  <c r="E42" s="1"/>
  <c r="F11"/>
  <c r="G16"/>
  <c r="B16" s="1"/>
  <c r="E16" s="1"/>
  <c r="G24"/>
  <c r="B24" s="1"/>
  <c r="E24" s="1"/>
  <c r="G40"/>
  <c r="B40" s="1"/>
  <c r="E40" s="1"/>
  <c r="G48"/>
  <c r="B48" s="1"/>
  <c r="E48" s="1"/>
  <c r="F45"/>
  <c r="F53"/>
  <c r="F61"/>
  <c r="E69"/>
  <c r="F69"/>
  <c r="G14"/>
  <c r="B14" s="1"/>
  <c r="E14" s="1"/>
  <c r="F18"/>
  <c r="G22"/>
  <c r="B22" s="1"/>
  <c r="E22" s="1"/>
  <c r="F26"/>
  <c r="F34"/>
  <c r="F42"/>
  <c r="G46"/>
  <c r="B46" s="1"/>
  <c r="E46" s="1"/>
  <c r="F50"/>
  <c r="F58"/>
  <c r="F66"/>
  <c r="F12"/>
  <c r="F19"/>
  <c r="F27"/>
  <c r="G31"/>
  <c r="B31" s="1"/>
  <c r="E31" s="1"/>
  <c r="F35"/>
  <c r="G39"/>
  <c r="B39" s="1"/>
  <c r="E39" s="1"/>
  <c r="F43"/>
  <c r="F51"/>
  <c r="F59"/>
  <c r="G63"/>
  <c r="B63" s="1"/>
  <c r="E63" s="1"/>
  <c r="F67"/>
  <c r="F16"/>
  <c r="F24"/>
  <c r="F32"/>
  <c r="F40"/>
  <c r="F48"/>
  <c r="F64"/>
  <c r="F37"/>
  <c r="F22"/>
  <c r="F46"/>
  <c r="F31"/>
  <c r="F39"/>
  <c r="F63"/>
  <c r="F20"/>
  <c r="F28"/>
  <c r="F36"/>
  <c r="F44"/>
  <c r="F52"/>
  <c r="F60"/>
  <c r="F68"/>
  <c r="V7"/>
  <c r="F17"/>
  <c r="F25"/>
  <c r="F33"/>
  <c r="G37"/>
  <c r="B37" s="1"/>
  <c r="E37" s="1"/>
  <c r="F41"/>
  <c r="F49"/>
  <c r="F57"/>
  <c r="F65"/>
  <c r="T66"/>
  <c r="V9" l="1"/>
  <c r="F7" i="1" s="1"/>
  <c r="V8" i="40"/>
  <c r="F6" i="1" s="1"/>
  <c r="T68" i="40"/>
  <c r="T69" s="1"/>
  <c r="T70" s="1"/>
  <c r="A2"/>
  <c r="C6" i="1"/>
  <c r="F8" s="1"/>
  <c r="A6" i="40"/>
  <c r="A4" i="1"/>
  <c r="T71" i="40" l="1"/>
  <c r="C1" i="2"/>
  <c r="A3"/>
  <c r="A3" i="51" l="1"/>
  <c r="A3" i="50"/>
  <c r="A3" i="49"/>
  <c r="A3" i="48"/>
  <c r="A8" i="41"/>
  <c r="A71" s="1"/>
  <c r="T72" i="40"/>
  <c r="A3" i="5"/>
  <c r="A3" i="6"/>
  <c r="A3" i="4"/>
  <c r="A11" i="40"/>
  <c r="D1" i="2"/>
  <c r="A4"/>
  <c r="A4" i="50" l="1"/>
  <c r="A4" i="51"/>
  <c r="A4" i="48"/>
  <c r="A4" i="49"/>
  <c r="A9" i="41"/>
  <c r="A72" s="1"/>
  <c r="T73" i="40"/>
  <c r="A4" i="6"/>
  <c r="A4" i="4"/>
  <c r="A4" i="5"/>
  <c r="A12" i="40"/>
  <c r="E1" i="2"/>
  <c r="A5"/>
  <c r="U68" i="40"/>
  <c r="U72"/>
  <c r="U71"/>
  <c r="U70"/>
  <c r="U69"/>
  <c r="U73"/>
  <c r="A5" i="51" l="1"/>
  <c r="A5" i="50"/>
  <c r="A5" i="49"/>
  <c r="A5" i="48"/>
  <c r="A10" i="41"/>
  <c r="A73" s="1"/>
  <c r="A5" i="5"/>
  <c r="A5" i="6"/>
  <c r="A5" i="4"/>
  <c r="A13" i="40"/>
  <c r="F1" i="2"/>
  <c r="A6"/>
  <c r="A6" i="50" l="1"/>
  <c r="A6" i="51"/>
  <c r="A6" i="48"/>
  <c r="A6" i="49"/>
  <c r="A11" i="41"/>
  <c r="A74" s="1"/>
  <c r="A6" i="6"/>
  <c r="A6" i="4"/>
  <c r="A6" i="5"/>
  <c r="A14" i="40"/>
  <c r="G1" i="2"/>
  <c r="A7"/>
  <c r="A7" i="51" l="1"/>
  <c r="A7" i="50"/>
  <c r="A7" i="49"/>
  <c r="A7" i="48"/>
  <c r="A12" i="41"/>
  <c r="A75" s="1"/>
  <c r="A7" i="5"/>
  <c r="A7" i="6"/>
  <c r="A7" i="4"/>
  <c r="A15" i="40"/>
  <c r="H1" i="2"/>
  <c r="A8"/>
  <c r="A8" i="50" l="1"/>
  <c r="A8" i="51"/>
  <c r="A8" i="48"/>
  <c r="A8" i="49"/>
  <c r="A13" i="41"/>
  <c r="A76" s="1"/>
  <c r="A8" i="6"/>
  <c r="A8" i="4"/>
  <c r="A8" i="5"/>
  <c r="A16" i="40"/>
  <c r="I1" i="2"/>
  <c r="A9"/>
  <c r="A9" i="51" l="1"/>
  <c r="A9" i="50"/>
  <c r="A9" i="49"/>
  <c r="A9" i="48"/>
  <c r="A14" i="41"/>
  <c r="A77" s="1"/>
  <c r="A9" i="5"/>
  <c r="A9" i="6"/>
  <c r="A9" i="4"/>
  <c r="A17" i="40"/>
  <c r="J1" i="2"/>
  <c r="A10"/>
  <c r="A10" i="50" l="1"/>
  <c r="A10" i="51"/>
  <c r="A10" i="48"/>
  <c r="A10" i="49"/>
  <c r="A15" i="41"/>
  <c r="A78" s="1"/>
  <c r="A10" i="6"/>
  <c r="A10" i="4"/>
  <c r="A10" i="5"/>
  <c r="A18" i="40"/>
  <c r="K1" i="2"/>
  <c r="A11"/>
  <c r="A11" i="51" l="1"/>
  <c r="A11" i="50"/>
  <c r="A11" i="49"/>
  <c r="A11" i="48"/>
  <c r="A16" i="41"/>
  <c r="A79" s="1"/>
  <c r="A11" i="5"/>
  <c r="A11" i="6"/>
  <c r="A11" i="4"/>
  <c r="A19" i="40"/>
  <c r="L1" i="2"/>
  <c r="A12"/>
  <c r="A12" i="50" l="1"/>
  <c r="A12" i="51"/>
  <c r="A12" i="48"/>
  <c r="A12" i="49"/>
  <c r="A17" i="41"/>
  <c r="A80" s="1"/>
  <c r="A12" i="6"/>
  <c r="A12" i="4"/>
  <c r="A12" i="5"/>
  <c r="A20" i="40"/>
  <c r="M1" i="2"/>
  <c r="A13"/>
  <c r="A13" i="51" l="1"/>
  <c r="A13" i="50"/>
  <c r="A13" i="49"/>
  <c r="A13" i="48"/>
  <c r="A18" i="41"/>
  <c r="A81" s="1"/>
  <c r="A13" i="5"/>
  <c r="A13" i="6"/>
  <c r="A13" i="4"/>
  <c r="A21" i="40"/>
  <c r="N1" i="2"/>
  <c r="A14"/>
  <c r="A14" i="50" l="1"/>
  <c r="A14" i="51"/>
  <c r="A14" i="48"/>
  <c r="A14" i="49"/>
  <c r="A19" i="41"/>
  <c r="A82" s="1"/>
  <c r="A14" i="6"/>
  <c r="A14" i="4"/>
  <c r="A14" i="5"/>
  <c r="A22" i="40"/>
  <c r="O1" i="2"/>
  <c r="A15"/>
  <c r="A15" i="51" l="1"/>
  <c r="A15" i="50"/>
  <c r="A15" i="49"/>
  <c r="A15" i="48"/>
  <c r="A20" i="41"/>
  <c r="A83" s="1"/>
  <c r="A15" i="5"/>
  <c r="A15" i="6"/>
  <c r="A15" i="4"/>
  <c r="A23" i="40"/>
  <c r="P1" i="2"/>
  <c r="A16"/>
  <c r="A16" i="50" l="1"/>
  <c r="A16" i="51"/>
  <c r="A16" i="48"/>
  <c r="A16" i="49"/>
  <c r="A21" i="41"/>
  <c r="A84" s="1"/>
  <c r="A16" i="6"/>
  <c r="A16" i="4"/>
  <c r="A16" i="5"/>
  <c r="A24" i="40"/>
  <c r="Q1" i="2"/>
  <c r="A17"/>
  <c r="A17" i="51" l="1"/>
  <c r="A17" i="50"/>
  <c r="A17" i="49"/>
  <c r="A17" i="48"/>
  <c r="A22" i="41"/>
  <c r="A85" s="1"/>
  <c r="A17" i="5"/>
  <c r="A17" i="6"/>
  <c r="A17" i="4"/>
  <c r="A25" i="40"/>
  <c r="R1" i="2"/>
  <c r="A18"/>
  <c r="A18" i="50" l="1"/>
  <c r="A18" i="51"/>
  <c r="A18" i="48"/>
  <c r="A18" i="49"/>
  <c r="A23" i="41"/>
  <c r="A86" s="1"/>
  <c r="A18" i="6"/>
  <c r="A18" i="4"/>
  <c r="A18" i="5"/>
  <c r="A26" i="40"/>
  <c r="S1" i="2"/>
  <c r="A19"/>
  <c r="A19" i="51" l="1"/>
  <c r="A19" i="50"/>
  <c r="A19" i="49"/>
  <c r="A19" i="48"/>
  <c r="A24" i="41"/>
  <c r="A87" s="1"/>
  <c r="A19" i="5"/>
  <c r="A19" i="6"/>
  <c r="A19" i="4"/>
  <c r="A27" i="40"/>
  <c r="T1" i="2"/>
  <c r="A20"/>
  <c r="A20" i="50" l="1"/>
  <c r="A20" i="51"/>
  <c r="A20" i="48"/>
  <c r="A20" i="49"/>
  <c r="A25" i="41"/>
  <c r="A88" s="1"/>
  <c r="A20" i="6"/>
  <c r="A20" i="4"/>
  <c r="A20" i="5"/>
  <c r="A28" i="40"/>
  <c r="U1" i="2"/>
  <c r="A21"/>
  <c r="A21" i="51" l="1"/>
  <c r="A21" i="50"/>
  <c r="A21" i="49"/>
  <c r="A21" i="48"/>
  <c r="A26" i="41"/>
  <c r="A89" s="1"/>
  <c r="A21" i="5"/>
  <c r="A21" i="6"/>
  <c r="A21" i="4"/>
  <c r="A29" i="40"/>
  <c r="V1" i="2"/>
  <c r="A22"/>
  <c r="A22" i="50" l="1"/>
  <c r="A22" i="51"/>
  <c r="A22" i="48"/>
  <c r="A22" i="49"/>
  <c r="A27" i="41"/>
  <c r="A90" s="1"/>
  <c r="A22" i="6"/>
  <c r="A22" i="4"/>
  <c r="A22" i="5"/>
  <c r="A30" i="40"/>
  <c r="W1" i="2"/>
  <c r="A23"/>
  <c r="A23" i="51" l="1"/>
  <c r="A23" i="50"/>
  <c r="A23" i="49"/>
  <c r="A23" i="48"/>
  <c r="A28" i="41"/>
  <c r="A91" s="1"/>
  <c r="A23" i="5"/>
  <c r="A23" i="6"/>
  <c r="A23" i="4"/>
  <c r="A31" i="40"/>
  <c r="X1" i="2"/>
  <c r="A24"/>
  <c r="A24" i="50" l="1"/>
  <c r="A24" i="51"/>
  <c r="A24" i="48"/>
  <c r="A24" i="49"/>
  <c r="A29" i="41"/>
  <c r="A92" s="1"/>
  <c r="A24" i="6"/>
  <c r="A24" i="4"/>
  <c r="A24" i="5"/>
  <c r="A32" i="40"/>
  <c r="Y1" i="2"/>
  <c r="A25"/>
  <c r="A25" i="51" l="1"/>
  <c r="A25" i="50"/>
  <c r="A25" i="49"/>
  <c r="A25" i="48"/>
  <c r="A30" i="41"/>
  <c r="A93" s="1"/>
  <c r="A25" i="5"/>
  <c r="A25" i="6"/>
  <c r="A25" i="4"/>
  <c r="A33" i="40"/>
  <c r="Z1" i="2"/>
  <c r="A26"/>
  <c r="A26" i="50" l="1"/>
  <c r="A26" i="51"/>
  <c r="A26" i="48"/>
  <c r="A26" i="49"/>
  <c r="A31" i="41"/>
  <c r="A94" s="1"/>
  <c r="A26" i="6"/>
  <c r="A26" i="4"/>
  <c r="A26" i="5"/>
  <c r="A34" i="40"/>
  <c r="AA1" i="2"/>
  <c r="A27"/>
  <c r="A27" i="51" l="1"/>
  <c r="A27" i="50"/>
  <c r="A27" i="49"/>
  <c r="A27" i="48"/>
  <c r="A32" i="41"/>
  <c r="A95" s="1"/>
  <c r="A27" i="5"/>
  <c r="A27" i="6"/>
  <c r="A27" i="4"/>
  <c r="A35" i="40"/>
  <c r="AB1" i="2"/>
  <c r="A28"/>
  <c r="A28" i="50" l="1"/>
  <c r="A28" i="51"/>
  <c r="A28" i="48"/>
  <c r="A28" i="49"/>
  <c r="A33" i="41"/>
  <c r="A96" s="1"/>
  <c r="A28" i="6"/>
  <c r="A28" i="4"/>
  <c r="A28" i="5"/>
  <c r="A36" i="40"/>
  <c r="AC1" i="2"/>
  <c r="A29"/>
  <c r="A29" i="51" l="1"/>
  <c r="A29" i="50"/>
  <c r="A29" i="49"/>
  <c r="A29" i="48"/>
  <c r="A34" i="41"/>
  <c r="A97" s="1"/>
  <c r="A29" i="5"/>
  <c r="A29" i="6"/>
  <c r="A29" i="4"/>
  <c r="A37" i="40"/>
  <c r="AD1" i="2"/>
  <c r="A30"/>
  <c r="A30" i="50" l="1"/>
  <c r="A30" i="51"/>
  <c r="A30" i="48"/>
  <c r="A30" i="49"/>
  <c r="A35" i="41"/>
  <c r="A98" s="1"/>
  <c r="A30" i="6"/>
  <c r="A30" i="4"/>
  <c r="A30" i="5"/>
  <c r="A38" i="40"/>
  <c r="AE1" i="2"/>
  <c r="A31"/>
  <c r="A31" i="51" l="1"/>
  <c r="A31" i="49"/>
  <c r="A31" i="50"/>
  <c r="A31" i="48"/>
  <c r="A36" i="41"/>
  <c r="A99" s="1"/>
  <c r="A31" i="5"/>
  <c r="A31" i="6"/>
  <c r="A31" i="4"/>
  <c r="A39" i="40"/>
  <c r="AF1" i="2"/>
  <c r="A32"/>
  <c r="A32" i="50" l="1"/>
  <c r="A32" i="51"/>
  <c r="A32" i="49"/>
  <c r="A32" i="48"/>
  <c r="A37" i="41"/>
  <c r="A100" s="1"/>
  <c r="A32" i="6"/>
  <c r="A32" i="4"/>
  <c r="A32" i="5"/>
  <c r="A40" i="40"/>
  <c r="AG1" i="2"/>
  <c r="A33"/>
  <c r="A33" i="51" l="1"/>
  <c r="A33" i="49"/>
  <c r="A33" i="50"/>
  <c r="A33" i="48"/>
  <c r="A38" i="41"/>
  <c r="A101" s="1"/>
  <c r="A33" i="5"/>
  <c r="A33" i="6"/>
  <c r="A33" i="4"/>
  <c r="A41" i="40"/>
  <c r="A34" i="2"/>
  <c r="A34" i="50" l="1"/>
  <c r="A34" i="51"/>
  <c r="A34" i="48"/>
  <c r="A34" i="49"/>
  <c r="A39" i="41"/>
  <c r="A102" s="1"/>
  <c r="A34" i="6"/>
  <c r="A34" i="4"/>
  <c r="A34" i="5"/>
  <c r="A42" i="40"/>
  <c r="A35" i="2"/>
  <c r="A35" i="51" l="1"/>
  <c r="A35" i="49"/>
  <c r="A35" i="50"/>
  <c r="A35" i="48"/>
  <c r="A40" i="41"/>
  <c r="A103" s="1"/>
  <c r="A35" i="5"/>
  <c r="A35" i="6"/>
  <c r="A35" i="4"/>
  <c r="A43" i="40"/>
  <c r="A36" i="2"/>
  <c r="A36" i="50" l="1"/>
  <c r="A36" i="51"/>
  <c r="A36" i="49"/>
  <c r="A36" i="48"/>
  <c r="A41" i="41"/>
  <c r="A104" s="1"/>
  <c r="A36" i="6"/>
  <c r="A36" i="4"/>
  <c r="A36" i="5"/>
  <c r="A44" i="40"/>
  <c r="A37" i="2"/>
  <c r="A37" i="51" l="1"/>
  <c r="A37" i="49"/>
  <c r="A37" i="50"/>
  <c r="A37" i="48"/>
  <c r="A42" i="41"/>
  <c r="A105" s="1"/>
  <c r="A37" i="5"/>
  <c r="A37" i="6"/>
  <c r="A37" i="4"/>
  <c r="A45" i="40"/>
  <c r="A38" i="2"/>
  <c r="A38" i="50" l="1"/>
  <c r="A38" i="51"/>
  <c r="A38" i="49"/>
  <c r="A38" i="48"/>
  <c r="A43" i="41"/>
  <c r="A106" s="1"/>
  <c r="A39" i="2"/>
  <c r="A38" i="6"/>
  <c r="A38" i="4"/>
  <c r="A38" i="5"/>
  <c r="A46" i="40"/>
  <c r="A39" i="51" l="1"/>
  <c r="A39" i="49"/>
  <c r="A39" i="50"/>
  <c r="A39" i="48"/>
  <c r="A44" i="41"/>
  <c r="A107" s="1"/>
  <c r="A47" i="40"/>
  <c r="A39" i="6"/>
  <c r="A39" i="5"/>
  <c r="A39" i="4"/>
  <c r="A40" i="2"/>
  <c r="A41" l="1"/>
  <c r="A40" i="50"/>
  <c r="A40" i="51"/>
  <c r="A40" i="49"/>
  <c r="A40" i="48"/>
  <c r="A45" i="41"/>
  <c r="A108" s="1"/>
  <c r="A48" i="40"/>
  <c r="A40" i="6"/>
  <c r="A40" i="5"/>
  <c r="A40" i="4"/>
  <c r="U67" i="40"/>
  <c r="A42" i="2" l="1"/>
  <c r="A41" i="51"/>
  <c r="A41" i="49"/>
  <c r="A41" i="50"/>
  <c r="A41" i="48"/>
  <c r="A46" i="41"/>
  <c r="A109" s="1"/>
  <c r="A49" i="40"/>
  <c r="A41" i="6"/>
  <c r="A41" i="5"/>
  <c r="A41" i="4"/>
  <c r="A43" i="2" l="1"/>
  <c r="A42" i="50"/>
  <c r="A42" i="51"/>
  <c r="A42" i="49"/>
  <c r="A42" i="48"/>
  <c r="A47" i="41"/>
  <c r="A110" s="1"/>
  <c r="A50" i="40"/>
  <c r="A42" i="6"/>
  <c r="A42" i="5"/>
  <c r="A42" i="4"/>
  <c r="A44" i="2" l="1"/>
  <c r="A43" i="51"/>
  <c r="A43" i="49"/>
  <c r="A43" i="50"/>
  <c r="A43" i="48"/>
  <c r="A48" i="41"/>
  <c r="A111" s="1"/>
  <c r="A51" i="40"/>
  <c r="A43" i="6"/>
  <c r="A43" i="5"/>
  <c r="A43" i="4"/>
  <c r="A45" i="2" l="1"/>
  <c r="A44" i="50"/>
  <c r="A44" i="51"/>
  <c r="A44" i="49"/>
  <c r="A44" i="48"/>
  <c r="A49" i="41"/>
  <c r="A112" s="1"/>
  <c r="A52" i="40"/>
  <c r="A44" i="6"/>
  <c r="A44" i="5"/>
  <c r="A44" i="4"/>
  <c r="A46" i="2" l="1"/>
  <c r="A45" i="51"/>
  <c r="A45" i="49"/>
  <c r="A45" i="50"/>
  <c r="A45" i="48"/>
  <c r="A50" i="41"/>
  <c r="A113" s="1"/>
  <c r="A53" i="40"/>
  <c r="A45" i="6"/>
  <c r="A45" i="5"/>
  <c r="A45" i="4"/>
  <c r="A47" i="2" l="1"/>
  <c r="A46" i="50"/>
  <c r="A46" i="51"/>
  <c r="A46" i="49"/>
  <c r="A46" i="48"/>
  <c r="A51" i="41"/>
  <c r="A114" s="1"/>
  <c r="A54" i="40"/>
  <c r="A46" i="6"/>
  <c r="A46" i="5"/>
  <c r="A46" i="4"/>
  <c r="A48" i="2" l="1"/>
  <c r="A47" i="51"/>
  <c r="A47" i="49"/>
  <c r="A47" i="50"/>
  <c r="A47" i="48"/>
  <c r="A52" i="41"/>
  <c r="A115" s="1"/>
  <c r="A55" i="40"/>
  <c r="A47" i="6"/>
  <c r="A47" i="5"/>
  <c r="A47" i="4"/>
  <c r="A49" i="2" l="1"/>
  <c r="A48" i="50"/>
  <c r="A48" i="51"/>
  <c r="A48" i="49"/>
  <c r="A48" i="48"/>
  <c r="A53" i="41"/>
  <c r="A116" s="1"/>
  <c r="A56" i="40"/>
  <c r="A48" i="6"/>
  <c r="A48" i="5"/>
  <c r="A48" i="4"/>
  <c r="A50" i="2" l="1"/>
  <c r="A49" i="51"/>
  <c r="A49" i="49"/>
  <c r="A49" i="50"/>
  <c r="A49" i="48"/>
  <c r="A54" i="41"/>
  <c r="A117" s="1"/>
  <c r="A57" i="40"/>
  <c r="A49" i="6"/>
  <c r="A49" i="5"/>
  <c r="A49" i="4"/>
  <c r="A51" i="2" l="1"/>
  <c r="A50" i="50"/>
  <c r="A50" i="51"/>
  <c r="A50" i="49"/>
  <c r="A50" i="48"/>
  <c r="A55" i="41"/>
  <c r="A118" s="1"/>
  <c r="A58" i="40"/>
  <c r="A50" i="6"/>
  <c r="A50" i="5"/>
  <c r="A50" i="4"/>
  <c r="A52" i="2" l="1"/>
  <c r="A51" i="51"/>
  <c r="A51" i="49"/>
  <c r="A51" i="50"/>
  <c r="A51" i="48"/>
  <c r="A56" i="41"/>
  <c r="A119" s="1"/>
  <c r="A59" i="40"/>
  <c r="A51" i="6"/>
  <c r="A51" i="5"/>
  <c r="A51" i="4"/>
  <c r="A53" i="2" l="1"/>
  <c r="A52" i="50"/>
  <c r="A52" i="51"/>
  <c r="A52" i="49"/>
  <c r="A52" i="48"/>
  <c r="A57" i="41"/>
  <c r="A120" s="1"/>
  <c r="A60" i="40"/>
  <c r="A52" i="6"/>
  <c r="A52" i="5"/>
  <c r="A52" i="4"/>
  <c r="A54" i="2" l="1"/>
  <c r="A53" i="51"/>
  <c r="A53" i="49"/>
  <c r="A53" i="50"/>
  <c r="A53" i="48"/>
  <c r="A58" i="41"/>
  <c r="A121" s="1"/>
  <c r="A61" i="40"/>
  <c r="A53" i="6"/>
  <c r="A53" i="5"/>
  <c r="A53" i="4"/>
  <c r="A55" i="2" l="1"/>
  <c r="A54" i="50"/>
  <c r="A54" i="51"/>
  <c r="A54" i="49"/>
  <c r="A54" i="48"/>
  <c r="A59" i="41"/>
  <c r="A122" s="1"/>
  <c r="A62" i="40"/>
  <c r="A54" i="6"/>
  <c r="A54" i="5"/>
  <c r="A54" i="4"/>
  <c r="A56" i="2" l="1"/>
  <c r="A55" i="51"/>
  <c r="A55" i="49"/>
  <c r="A55" i="50"/>
  <c r="A55" i="48"/>
  <c r="A60" i="41"/>
  <c r="A123" s="1"/>
  <c r="A63" i="40"/>
  <c r="A55" i="6"/>
  <c r="A55" i="5"/>
  <c r="A55" i="4"/>
  <c r="A57" i="2" l="1"/>
  <c r="A56" i="50"/>
  <c r="A56" i="51"/>
  <c r="A56" i="49"/>
  <c r="A56" i="48"/>
  <c r="A61" i="41"/>
  <c r="A124" s="1"/>
  <c r="A64" i="40"/>
  <c r="A56" i="6"/>
  <c r="A56" i="5"/>
  <c r="A56" i="4"/>
  <c r="A58" i="2" l="1"/>
  <c r="A57" i="51"/>
  <c r="A57" i="49"/>
  <c r="A57" i="50"/>
  <c r="A57" i="48"/>
  <c r="A62" i="41"/>
  <c r="A125" s="1"/>
  <c r="A65" i="40"/>
  <c r="A57" i="6"/>
  <c r="A57" i="5"/>
  <c r="A57" i="4"/>
  <c r="A59" i="2" l="1"/>
  <c r="A58" i="50"/>
  <c r="A58" i="51"/>
  <c r="A58" i="49"/>
  <c r="A58" i="48"/>
  <c r="A63" i="41"/>
  <c r="A126" s="1"/>
  <c r="A66" i="40"/>
  <c r="A58" i="6"/>
  <c r="A58" i="5"/>
  <c r="A58" i="4"/>
  <c r="A60" i="2" l="1"/>
  <c r="A59" i="51"/>
  <c r="A59" i="49"/>
  <c r="A59" i="50"/>
  <c r="A59" i="48"/>
  <c r="A64" i="41"/>
  <c r="A127" s="1"/>
  <c r="A67" i="40"/>
  <c r="A59" i="6"/>
  <c r="A59" i="5"/>
  <c r="A59" i="4"/>
  <c r="A61" i="2" l="1"/>
  <c r="A60" i="50"/>
  <c r="A60" i="51"/>
  <c r="A60" i="49"/>
  <c r="A60" i="48"/>
  <c r="A65" i="41"/>
  <c r="A128" s="1"/>
  <c r="A68" i="40"/>
  <c r="A60" i="6"/>
  <c r="A60" i="5"/>
  <c r="A60" i="4"/>
  <c r="A62" i="2" l="1"/>
  <c r="A61" i="51"/>
  <c r="A61" i="49"/>
  <c r="A61" i="50"/>
  <c r="A61" i="48"/>
  <c r="A66" i="41"/>
  <c r="A129" s="1"/>
  <c r="A69" i="40"/>
  <c r="A61" i="6"/>
  <c r="A61" i="5"/>
  <c r="A61" i="4"/>
  <c r="A62" i="50" l="1"/>
  <c r="A62" i="51"/>
  <c r="A62" i="49"/>
  <c r="A62" i="48"/>
  <c r="A67" i="41"/>
  <c r="A130" s="1"/>
  <c r="A70" i="40"/>
  <c r="A62" i="6"/>
  <c r="A62" i="5"/>
  <c r="A62" i="4"/>
  <c r="C3" i="40"/>
  <c r="D6"/>
  <c r="B7"/>
  <c r="D7"/>
  <c r="D3"/>
  <c r="D4"/>
  <c r="C6"/>
  <c r="B6"/>
  <c r="C4"/>
  <c r="B3"/>
  <c r="B4"/>
  <c r="C7"/>
  <c r="B8" l="1"/>
  <c r="C4" i="1" s="1"/>
  <c r="C5" i="40"/>
  <c r="D3" i="1" s="1"/>
  <c r="C8" i="40"/>
  <c r="D4" i="1" s="1"/>
  <c r="D5" i="40"/>
  <c r="E3" i="1" s="1"/>
  <c r="D8" i="40"/>
  <c r="E4" i="1" s="1"/>
  <c r="B5" i="40"/>
  <c r="C3" i="1" s="1"/>
  <c r="A63" i="4"/>
  <c r="A64" l="1"/>
  <c r="A65" l="1"/>
  <c r="A66" l="1"/>
  <c r="A67" l="1"/>
  <c r="A68" l="1"/>
  <c r="A69" l="1"/>
  <c r="A70" l="1"/>
  <c r="A71" l="1"/>
  <c r="A72" l="1"/>
  <c r="A73" l="1"/>
  <c r="A74" l="1"/>
  <c r="A75" l="1"/>
  <c r="A76" l="1"/>
  <c r="A77" l="1"/>
  <c r="A78" l="1"/>
  <c r="A79" l="1"/>
  <c r="A80" l="1"/>
  <c r="A81" l="1"/>
  <c r="A82" l="1"/>
  <c r="A83" l="1"/>
  <c r="A84" l="1"/>
  <c r="A85" l="1"/>
  <c r="A86" l="1"/>
  <c r="A87" l="1"/>
  <c r="A88" l="1"/>
  <c r="A89" l="1"/>
  <c r="A90" l="1"/>
  <c r="A91" l="1"/>
  <c r="A92" l="1"/>
  <c r="A93" l="1"/>
  <c r="A94" l="1"/>
  <c r="A95" l="1"/>
  <c r="A96" l="1"/>
  <c r="A97" l="1"/>
  <c r="A98" l="1"/>
  <c r="A99" l="1"/>
  <c r="A100" l="1"/>
  <c r="A101" l="1"/>
  <c r="A102" l="1"/>
  <c r="A103" l="1"/>
  <c r="A104" l="1"/>
  <c r="A105" l="1"/>
  <c r="A106" l="1"/>
  <c r="A107" l="1"/>
  <c r="A108" l="1"/>
  <c r="A109" l="1"/>
  <c r="A110" l="1"/>
  <c r="A111" l="1"/>
  <c r="A112" l="1"/>
  <c r="A113" l="1"/>
  <c r="A114" l="1"/>
  <c r="A115" l="1"/>
  <c r="A116" l="1"/>
  <c r="A117" l="1"/>
  <c r="A118" l="1"/>
  <c r="A119" l="1"/>
  <c r="A120" l="1"/>
  <c r="A121" l="1"/>
  <c r="A122" l="1"/>
  <c r="A123" l="1"/>
  <c r="A124" l="1"/>
  <c r="A125" l="1"/>
  <c r="A126" l="1"/>
  <c r="A127" l="1"/>
  <c r="A128" l="1"/>
  <c r="A129" l="1"/>
  <c r="A130" l="1"/>
  <c r="A131" l="1"/>
  <c r="A132" l="1"/>
  <c r="A133" l="1"/>
  <c r="A134" l="1"/>
  <c r="A135" l="1"/>
  <c r="A136" l="1"/>
  <c r="A137" l="1"/>
  <c r="A138" l="1"/>
  <c r="A139" l="1"/>
  <c r="A140" l="1"/>
  <c r="A141" l="1"/>
  <c r="A142" l="1"/>
  <c r="A143" l="1"/>
  <c r="A144" l="1"/>
  <c r="A145" l="1"/>
  <c r="A146" l="1"/>
  <c r="A147" l="1"/>
  <c r="A148" l="1"/>
  <c r="A149" l="1"/>
  <c r="A150" l="1"/>
  <c r="A151" l="1"/>
  <c r="A152" l="1"/>
  <c r="A153" l="1"/>
  <c r="A154" l="1"/>
  <c r="A155" l="1"/>
  <c r="A156" l="1"/>
  <c r="A157" l="1"/>
  <c r="A158" l="1"/>
  <c r="A159" l="1"/>
  <c r="A160" l="1"/>
  <c r="A161" l="1"/>
  <c r="A162" l="1"/>
  <c r="A163" l="1"/>
  <c r="A164" l="1"/>
  <c r="A165" l="1"/>
  <c r="A166" l="1"/>
  <c r="A167" l="1"/>
  <c r="A168" l="1"/>
  <c r="A169" l="1"/>
  <c r="A170" l="1"/>
  <c r="A171" l="1"/>
  <c r="A172" l="1"/>
  <c r="A173" l="1"/>
  <c r="A174" l="1"/>
  <c r="A175" l="1"/>
  <c r="A176" l="1"/>
  <c r="A177" l="1"/>
  <c r="A178" l="1"/>
  <c r="A179" l="1"/>
  <c r="A180" l="1"/>
  <c r="A181" l="1"/>
  <c r="A182" l="1"/>
</calcChain>
</file>

<file path=xl/comments1.xml><?xml version="1.0" encoding="utf-8"?>
<comments xmlns="http://schemas.openxmlformats.org/spreadsheetml/2006/main">
  <authors>
    <author>Author</author>
  </authors>
  <commentList>
    <comment ref="T6" authorId="0">
      <text>
        <r>
          <rPr>
            <b/>
            <u/>
            <sz val="12"/>
            <color indexed="81"/>
            <rFont val="Tahoma"/>
            <family val="2"/>
          </rPr>
          <t>1 based</t>
        </r>
        <r>
          <rPr>
            <b/>
            <sz val="12"/>
            <color indexed="81"/>
            <rFont val="Tahoma"/>
            <family val="2"/>
          </rPr>
          <t xml:space="preserve">
0: disable
1-N: set to Value-1</t>
        </r>
      </text>
    </comment>
  </commentList>
</comments>
</file>

<file path=xl/sharedStrings.xml><?xml version="1.0" encoding="utf-8"?>
<sst xmlns="http://schemas.openxmlformats.org/spreadsheetml/2006/main" count="75" uniqueCount="57">
  <si>
    <t>#</t>
  </si>
  <si>
    <t>Label</t>
  </si>
  <si>
    <t>Mean</t>
  </si>
  <si>
    <t>Unit</t>
  </si>
  <si>
    <t>deg</t>
  </si>
  <si>
    <t>FWHM</t>
  </si>
  <si>
    <t>FW 90%</t>
  </si>
  <si>
    <t>Radiation</t>
  </si>
  <si>
    <t>AVG</t>
  </si>
  <si>
    <t>data sheet</t>
  </si>
  <si>
    <t>angle</t>
  </si>
  <si>
    <t>Devices</t>
  </si>
  <si>
    <t>Peak Lux=</t>
  </si>
  <si>
    <t>avg</t>
  </si>
  <si>
    <t>Avg Peak Lux=</t>
  </si>
  <si>
    <r>
      <t>+1.5</t>
    </r>
    <r>
      <rPr>
        <sz val="11"/>
        <color theme="1"/>
        <rFont val="Calibri"/>
        <family val="2"/>
      </rPr>
      <t>σ</t>
    </r>
  </si>
  <si>
    <r>
      <t>-1.5</t>
    </r>
    <r>
      <rPr>
        <sz val="11"/>
        <color theme="1"/>
        <rFont val="Calibri"/>
        <family val="2"/>
      </rPr>
      <t>σ</t>
    </r>
  </si>
  <si>
    <t>peak</t>
  </si>
  <si>
    <t>Range</t>
  </si>
  <si>
    <t>Resolution</t>
  </si>
  <si>
    <t>rise</t>
  </si>
  <si>
    <t>fall</t>
  </si>
  <si>
    <t>%FSR Error</t>
  </si>
  <si>
    <t>calc</t>
  </si>
  <si>
    <t>Count sheets</t>
  </si>
  <si>
    <r>
      <rPr>
        <sz val="11"/>
        <color theme="1"/>
        <rFont val="Symbol"/>
        <family val="1"/>
        <charset val="2"/>
      </rPr>
      <t>3s</t>
    </r>
    <r>
      <rPr>
        <sz val="11"/>
        <color theme="1"/>
        <rFont val="Calibri"/>
        <family val="2"/>
        <scheme val="minor"/>
      </rPr>
      <t xml:space="preserve"> Min</t>
    </r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</si>
  <si>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</si>
  <si>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cosine</t>
  </si>
  <si>
    <t>Average Peak Lux detected</t>
  </si>
  <si>
    <t>Overall Peak Lux</t>
  </si>
  <si>
    <t>Pk/Avg</t>
  </si>
  <si>
    <t>SUM</t>
  </si>
  <si>
    <t>Data Avg</t>
  </si>
  <si>
    <t>Stdev</t>
  </si>
  <si>
    <t>Axis Error=</t>
  </si>
  <si>
    <t>Ripple Error=</t>
  </si>
  <si>
    <t>Ripple</t>
  </si>
  <si>
    <t>Axis</t>
  </si>
  <si>
    <t>Names</t>
  </si>
  <si>
    <t>RangeN=</t>
  </si>
  <si>
    <t>Comp38=</t>
  </si>
  <si>
    <t>Setup</t>
  </si>
  <si>
    <t>X=</t>
  </si>
  <si>
    <t>Y=</t>
  </si>
  <si>
    <t>QTH=</t>
  </si>
  <si>
    <t>CCT</t>
  </si>
  <si>
    <t>Irdr=</t>
  </si>
  <si>
    <t>G10</t>
  </si>
  <si>
    <t>29035opt1</t>
  </si>
  <si>
    <t>Comp35en=</t>
  </si>
  <si>
    <t>Half Angle</t>
  </si>
  <si>
    <t>Spacer</t>
  </si>
  <si>
    <t>Solver for spacer height</t>
  </si>
  <si>
    <t>Half Aperture</t>
  </si>
  <si>
    <t>Plate thickness</t>
  </si>
  <si>
    <t>Package height</t>
  </si>
  <si>
    <t>Sensor half width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</si>
</sst>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8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b/>
      <sz val="12"/>
      <color indexed="81"/>
      <name val="Tahoma"/>
      <family val="2"/>
    </font>
    <font>
      <b/>
      <u/>
      <sz val="12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NumberFormat="1"/>
    <xf numFmtId="0" fontId="0" fillId="2" borderId="6" xfId="0" applyFill="1" applyBorder="1"/>
    <xf numFmtId="0" fontId="0" fillId="0" borderId="7" xfId="0" applyBorder="1"/>
    <xf numFmtId="2" fontId="0" fillId="2" borderId="6" xfId="0" applyNumberFormat="1" applyFill="1" applyBorder="1"/>
    <xf numFmtId="2" fontId="0" fillId="2" borderId="8" xfId="0" applyNumberFormat="1" applyFill="1" applyBorder="1"/>
    <xf numFmtId="0" fontId="0" fillId="0" borderId="9" xfId="0" applyBorder="1"/>
    <xf numFmtId="165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165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" xfId="0" applyBorder="1"/>
    <xf numFmtId="9" fontId="0" fillId="0" borderId="0" xfId="0" applyNumberFormat="1"/>
    <xf numFmtId="165" fontId="0" fillId="0" borderId="0" xfId="0" applyNumberFormat="1" applyBorder="1"/>
    <xf numFmtId="0" fontId="0" fillId="0" borderId="0" xfId="0" applyBorder="1"/>
    <xf numFmtId="165" fontId="0" fillId="0" borderId="0" xfId="0" applyNumberFormat="1" applyBorder="1" applyAlignment="1">
      <alignment horizontal="center"/>
    </xf>
    <xf numFmtId="165" fontId="0" fillId="0" borderId="0" xfId="0" applyNumberFormat="1"/>
    <xf numFmtId="1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15" xfId="0" applyBorder="1"/>
    <xf numFmtId="0" fontId="3" fillId="0" borderId="2" xfId="0" applyFont="1" applyBorder="1"/>
    <xf numFmtId="0" fontId="3" fillId="0" borderId="17" xfId="0" applyFont="1" applyBorder="1"/>
    <xf numFmtId="0" fontId="0" fillId="0" borderId="0" xfId="0" applyBorder="1" applyAlignment="1"/>
    <xf numFmtId="0" fontId="0" fillId="0" borderId="22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quotePrefix="1" applyBorder="1" applyAlignment="1">
      <alignment horizontal="center"/>
    </xf>
    <xf numFmtId="164" fontId="0" fillId="0" borderId="0" xfId="0" applyNumberFormat="1" applyAlignment="1">
      <alignment horizontal="center"/>
    </xf>
    <xf numFmtId="164" fontId="3" fillId="0" borderId="17" xfId="0" applyNumberFormat="1" applyFont="1" applyBorder="1"/>
    <xf numFmtId="165" fontId="0" fillId="0" borderId="15" xfId="0" applyNumberFormat="1" applyBorder="1"/>
    <xf numFmtId="165" fontId="0" fillId="0" borderId="6" xfId="0" applyNumberFormat="1" applyBorder="1"/>
    <xf numFmtId="165" fontId="0" fillId="0" borderId="23" xfId="0" applyNumberFormat="1" applyBorder="1"/>
    <xf numFmtId="165" fontId="0" fillId="0" borderId="22" xfId="0" applyNumberFormat="1" applyBorder="1"/>
    <xf numFmtId="165" fontId="0" fillId="0" borderId="13" xfId="0" applyNumberFormat="1" applyBorder="1"/>
    <xf numFmtId="165" fontId="0" fillId="0" borderId="8" xfId="0" applyNumberFormat="1" applyBorder="1"/>
    <xf numFmtId="165" fontId="0" fillId="0" borderId="14" xfId="0" applyNumberFormat="1" applyBorder="1"/>
    <xf numFmtId="165" fontId="0" fillId="0" borderId="26" xfId="0" applyNumberFormat="1" applyBorder="1"/>
    <xf numFmtId="165" fontId="0" fillId="0" borderId="27" xfId="0" applyNumberFormat="1" applyBorder="1"/>
    <xf numFmtId="0" fontId="0" fillId="0" borderId="0" xfId="0" applyAlignment="1">
      <alignment horizontal="right" indent="1"/>
    </xf>
    <xf numFmtId="0" fontId="0" fillId="0" borderId="0" xfId="0" applyFont="1" applyBorder="1" applyAlignment="1">
      <alignment horizontal="right" indent="1"/>
    </xf>
    <xf numFmtId="9" fontId="0" fillId="0" borderId="0" xfId="0" applyNumberFormat="1" applyAlignment="1">
      <alignment horizontal="right" indent="1"/>
    </xf>
    <xf numFmtId="0" fontId="0" fillId="0" borderId="3" xfId="0" applyBorder="1"/>
    <xf numFmtId="0" fontId="1" fillId="0" borderId="0" xfId="0" applyFont="1" applyBorder="1" applyAlignment="1">
      <alignment horizontal="center"/>
    </xf>
    <xf numFmtId="164" fontId="0" fillId="0" borderId="0" xfId="0" applyNumberFormat="1" applyBorder="1"/>
    <xf numFmtId="9" fontId="0" fillId="0" borderId="0" xfId="0" applyNumberFormat="1" applyBorder="1"/>
    <xf numFmtId="0" fontId="0" fillId="0" borderId="0" xfId="0" applyNumberFormat="1" applyBorder="1" applyAlignment="1">
      <alignment vertical="center"/>
    </xf>
    <xf numFmtId="165" fontId="0" fillId="0" borderId="29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28" xfId="0" applyFill="1" applyBorder="1" applyAlignment="1">
      <alignment horizontal="center"/>
    </xf>
    <xf numFmtId="2" fontId="0" fillId="0" borderId="0" xfId="0" applyNumberFormat="1" applyFill="1" applyBorder="1"/>
    <xf numFmtId="0" fontId="2" fillId="0" borderId="3" xfId="0" applyFont="1" applyFill="1" applyBorder="1" applyAlignment="1"/>
    <xf numFmtId="165" fontId="0" fillId="0" borderId="5" xfId="0" applyNumberFormat="1" applyBorder="1" applyAlignment="1"/>
    <xf numFmtId="0" fontId="2" fillId="0" borderId="8" xfId="0" applyFont="1" applyFill="1" applyBorder="1"/>
    <xf numFmtId="0" fontId="0" fillId="0" borderId="2" xfId="0" applyBorder="1" applyAlignment="1"/>
    <xf numFmtId="164" fontId="0" fillId="0" borderId="17" xfId="0" applyNumberFormat="1" applyBorder="1" applyAlignment="1"/>
    <xf numFmtId="0" fontId="0" fillId="0" borderId="2" xfId="0" applyBorder="1"/>
    <xf numFmtId="165" fontId="0" fillId="0" borderId="0" xfId="0" applyNumberFormat="1"/>
    <xf numFmtId="165" fontId="0" fillId="0" borderId="0" xfId="0" applyNumberFormat="1"/>
    <xf numFmtId="165" fontId="0" fillId="0" borderId="0" xfId="0" applyNumberFormat="1"/>
    <xf numFmtId="165" fontId="0" fillId="0" borderId="0" xfId="0" applyNumberFormat="1"/>
    <xf numFmtId="11" fontId="0" fillId="0" borderId="0" xfId="0" applyNumberFormat="1"/>
    <xf numFmtId="0" fontId="0" fillId="0" borderId="0" xfId="0" applyAlignment="1">
      <alignment horizontal="center"/>
    </xf>
    <xf numFmtId="165" fontId="3" fillId="0" borderId="17" xfId="0" applyNumberFormat="1" applyFont="1" applyBorder="1"/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11" fontId="0" fillId="0" borderId="0" xfId="0" applyNumberFormat="1" applyAlignment="1">
      <alignment horizontal="center"/>
    </xf>
    <xf numFmtId="165" fontId="3" fillId="0" borderId="17" xfId="0" applyNumberFormat="1" applyFont="1" applyBorder="1" applyAlignment="1">
      <alignment horizontal="right"/>
    </xf>
    <xf numFmtId="164" fontId="0" fillId="0" borderId="17" xfId="0" applyNumberFormat="1" applyBorder="1"/>
    <xf numFmtId="0" fontId="0" fillId="0" borderId="0" xfId="0" applyBorder="1" applyAlignment="1">
      <alignment horizontal="center"/>
    </xf>
    <xf numFmtId="0" fontId="0" fillId="3" borderId="13" xfId="0" applyFill="1" applyBorder="1" applyAlignment="1">
      <alignment horizontal="left"/>
    </xf>
    <xf numFmtId="0" fontId="0" fillId="0" borderId="6" xfId="0" applyBorder="1" applyAlignment="1">
      <alignment horizontal="right"/>
    </xf>
    <xf numFmtId="0" fontId="0" fillId="3" borderId="8" xfId="0" applyFill="1" applyBorder="1"/>
    <xf numFmtId="0" fontId="0" fillId="3" borderId="15" xfId="0" applyFill="1" applyBorder="1" applyAlignment="1">
      <alignment horizontal="right"/>
    </xf>
    <xf numFmtId="0" fontId="0" fillId="0" borderId="6" xfId="0" applyFill="1" applyBorder="1" applyAlignment="1">
      <alignment horizontal="right"/>
    </xf>
    <xf numFmtId="165" fontId="0" fillId="0" borderId="13" xfId="0" applyNumberFormat="1" applyBorder="1" applyAlignment="1">
      <alignment horizontal="left"/>
    </xf>
    <xf numFmtId="0" fontId="0" fillId="3" borderId="6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165" fontId="0" fillId="3" borderId="0" xfId="0" applyNumberFormat="1" applyFill="1"/>
    <xf numFmtId="0" fontId="0" fillId="3" borderId="5" xfId="0" applyFill="1" applyBorder="1"/>
    <xf numFmtId="0" fontId="0" fillId="3" borderId="15" xfId="0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34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33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2" xfId="0" applyFont="1" applyBorder="1" applyAlignment="1">
      <alignment horizontal="right"/>
    </xf>
    <xf numFmtId="0" fontId="3" fillId="0" borderId="18" xfId="0" applyFont="1" applyBorder="1" applyAlignment="1">
      <alignment horizontal="right"/>
    </xf>
    <xf numFmtId="0" fontId="0" fillId="0" borderId="2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5" xfId="0" applyBorder="1" applyAlignment="1">
      <alignment horizontal="center"/>
    </xf>
  </cellXfs>
  <cellStyles count="1">
    <cellStyle name="Normal" xfId="0" builtinId="0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Average 64kLux Range - Halogen Radiation </a:t>
            </a:r>
            <a:r>
              <a:rPr lang="en-US" sz="1200" u="sng"/>
              <a:t>+</a:t>
            </a:r>
            <a:r>
              <a:rPr lang="en-US" sz="1200"/>
              <a:t>1.5</a:t>
            </a:r>
            <a:r>
              <a:rPr lang="el-GR" sz="1200"/>
              <a:t>σ</a:t>
            </a:r>
            <a:endParaRPr lang="en-US" sz="1200"/>
          </a:p>
        </c:rich>
      </c:tx>
      <c:layout/>
      <c:overlay val="1"/>
      <c:spPr>
        <a:solidFill>
          <a:schemeClr val="bg1"/>
        </a:solidFill>
      </c:spPr>
    </c:title>
    <c:plotArea>
      <c:layout/>
      <c:scatterChart>
        <c:scatterStyle val="lineMarker"/>
        <c:ser>
          <c:idx val="0"/>
          <c:order val="0"/>
          <c:tx>
            <c:strRef>
              <c:f>'4-axis|Calc'!$B$5</c:f>
              <c:strCache>
                <c:ptCount val="1"/>
                <c:pt idx="0">
                  <c:v>#VALUE!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'4-axis|Calc'!$B$10:$B$190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'4-axis|Calc'!$C$2</c:f>
              <c:strCache>
                <c:ptCount val="1"/>
                <c:pt idx="0">
                  <c:v>AVG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'4-axis|Calc'!$C$10:$C$190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'4-axis|Calc'!$D$5</c:f>
              <c:strCache>
                <c:ptCount val="1"/>
                <c:pt idx="0">
                  <c:v>#VALUE!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'4-axis|Calc'!$D$10:$D$190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2342400"/>
        <c:axId val="142352384"/>
      </c:scatterChart>
      <c:valAx>
        <c:axId val="14234240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2352384"/>
        <c:crosses val="autoZero"/>
        <c:crossBetween val="midCat"/>
        <c:majorUnit val="15"/>
        <c:minorUnit val="5"/>
      </c:valAx>
      <c:valAx>
        <c:axId val="142352384"/>
        <c:scaling>
          <c:orientation val="minMax"/>
        </c:scaling>
        <c:axPos val="l"/>
        <c:majorGridlines/>
        <c:numFmt formatCode="0.0" sourceLinked="1"/>
        <c:tickLblPos val="nextTo"/>
        <c:crossAx val="142342400"/>
        <c:crosses val="autoZero"/>
        <c:crossBetween val="midCat"/>
      </c:valAx>
    </c:plotArea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Radiation Variation in %/Peak</a:t>
            </a:r>
          </a:p>
        </c:rich>
      </c:tx>
      <c:layout/>
      <c:overlay val="1"/>
      <c:spPr>
        <a:solidFill>
          <a:sysClr val="window" lastClr="FFFFFF"/>
        </a:solidFill>
      </c:spPr>
    </c:title>
    <c:plotArea>
      <c:layout/>
      <c:barChart>
        <c:barDir val="col"/>
        <c:grouping val="clustered"/>
        <c:ser>
          <c:idx val="0"/>
          <c:order val="0"/>
          <c:cat>
            <c:numRef>
              <c:f>'4-axis|Calc'!$T$68:$T$73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'4-axis|Calc'!$U$68:$U$73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42327168"/>
        <c:axId val="142394880"/>
      </c:barChart>
      <c:catAx>
        <c:axId val="1423271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%variation</a:t>
                </a:r>
              </a:p>
            </c:rich>
          </c:tx>
          <c:layout/>
        </c:title>
        <c:numFmt formatCode="0.0%" sourceLinked="1"/>
        <c:tickLblPos val="nextTo"/>
        <c:crossAx val="142394880"/>
        <c:crosses val="autoZero"/>
        <c:auto val="1"/>
        <c:lblAlgn val="ctr"/>
        <c:lblOffset val="100"/>
      </c:catAx>
      <c:valAx>
        <c:axId val="1423948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.0%" sourceLinked="1"/>
        <c:tickLblPos val="nextTo"/>
        <c:crossAx val="142327168"/>
        <c:crosses val="autoZero"/>
        <c:crossBetween val="between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data0!$I$2:$I$182</c:f>
              <c:numCache>
                <c:formatCode>0.0</c:formatCode>
                <c:ptCount val="181"/>
              </c:numCache>
            </c:numRef>
          </c:yVal>
          <c:smooth val="1"/>
        </c:ser>
        <c:axId val="143039104"/>
        <c:axId val="143049088"/>
      </c:scatterChart>
      <c:valAx>
        <c:axId val="14303910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3049088"/>
        <c:crosses val="autoZero"/>
        <c:crossBetween val="midCat"/>
        <c:majorUnit val="15"/>
        <c:minorUnit val="5"/>
      </c:valAx>
      <c:valAx>
        <c:axId val="14304908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30391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data0!$Q$2:$Q$182</c:f>
              <c:numCache>
                <c:formatCode>0.0</c:formatCode>
                <c:ptCount val="181"/>
              </c:numCache>
            </c:numRef>
          </c:yVal>
        </c:ser>
        <c:axId val="143254656"/>
        <c:axId val="143256192"/>
      </c:scatterChart>
      <c:valAx>
        <c:axId val="14325465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3256192"/>
        <c:crosses val="autoZero"/>
        <c:crossBetween val="midCat"/>
        <c:majorUnit val="15"/>
        <c:minorUnit val="5"/>
      </c:valAx>
      <c:valAx>
        <c:axId val="143256192"/>
        <c:scaling>
          <c:orientation val="minMax"/>
        </c:scaling>
        <c:axPos val="l"/>
        <c:majorGridlines/>
        <c:numFmt formatCode="0.0" sourceLinked="1"/>
        <c:tickLblPos val="nextTo"/>
        <c:crossAx val="1432546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data0!$Y$2:$Y$182</c:f>
              <c:numCache>
                <c:formatCode>0.0</c:formatCode>
                <c:ptCount val="181"/>
              </c:numCache>
            </c:numRef>
          </c:yVal>
        </c:ser>
        <c:axId val="143466496"/>
        <c:axId val="143468032"/>
      </c:scatterChart>
      <c:valAx>
        <c:axId val="14346649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3468032"/>
        <c:crosses val="autoZero"/>
        <c:crossBetween val="midCat"/>
        <c:majorUnit val="15"/>
        <c:minorUnit val="5"/>
      </c:valAx>
      <c:valAx>
        <c:axId val="143468032"/>
        <c:scaling>
          <c:orientation val="minMax"/>
        </c:scaling>
        <c:axPos val="l"/>
        <c:majorGridlines/>
        <c:numFmt formatCode="0.0" sourceLinked="1"/>
        <c:tickLblPos val="nextTo"/>
        <c:crossAx val="1434664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data0!$AG$2:$AG$182</c:f>
              <c:numCache>
                <c:formatCode>0.0</c:formatCode>
                <c:ptCount val="181"/>
              </c:numCache>
            </c:numRef>
          </c:yVal>
        </c:ser>
        <c:axId val="143517568"/>
        <c:axId val="143519104"/>
      </c:scatterChart>
      <c:valAx>
        <c:axId val="14351756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3519104"/>
        <c:crosses val="autoZero"/>
        <c:crossBetween val="midCat"/>
        <c:majorUnit val="15"/>
        <c:minorUnit val="5"/>
      </c:valAx>
      <c:valAx>
        <c:axId val="143519104"/>
        <c:scaling>
          <c:orientation val="minMax"/>
        </c:scaling>
        <c:axPos val="l"/>
        <c:majorGridlines/>
        <c:numFmt formatCode="0.0" sourceLinked="1"/>
        <c:tickLblPos val="nextTo"/>
        <c:crossAx val="1435175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data1!$I$2:$I$182</c:f>
              <c:numCache>
                <c:formatCode>0.0</c:formatCode>
                <c:ptCount val="181"/>
              </c:numCache>
            </c:numRef>
          </c:yVal>
          <c:smooth val="1"/>
        </c:ser>
        <c:axId val="143667584"/>
        <c:axId val="143669120"/>
      </c:scatterChart>
      <c:valAx>
        <c:axId val="14366758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3669120"/>
        <c:crosses val="autoZero"/>
        <c:crossBetween val="midCat"/>
        <c:majorUnit val="15"/>
        <c:minorUnit val="5"/>
      </c:valAx>
      <c:valAx>
        <c:axId val="1436691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366758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data1!$Q$2:$Q$182</c:f>
              <c:numCache>
                <c:formatCode>0.0</c:formatCode>
                <c:ptCount val="181"/>
              </c:numCache>
            </c:numRef>
          </c:yVal>
        </c:ser>
        <c:axId val="143710848"/>
        <c:axId val="143737216"/>
      </c:scatterChart>
      <c:valAx>
        <c:axId val="14371084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3737216"/>
        <c:crosses val="autoZero"/>
        <c:crossBetween val="midCat"/>
        <c:majorUnit val="15"/>
        <c:minorUnit val="5"/>
      </c:valAx>
      <c:valAx>
        <c:axId val="143737216"/>
        <c:scaling>
          <c:orientation val="minMax"/>
        </c:scaling>
        <c:axPos val="l"/>
        <c:majorGridlines/>
        <c:numFmt formatCode="0.0" sourceLinked="1"/>
        <c:tickLblPos val="nextTo"/>
        <c:crossAx val="1437108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data1!$Y$2:$Y$182</c:f>
              <c:numCache>
                <c:formatCode>0.0</c:formatCode>
                <c:ptCount val="181"/>
              </c:numCache>
            </c:numRef>
          </c:yVal>
        </c:ser>
        <c:axId val="143869056"/>
        <c:axId val="143870592"/>
      </c:scatterChart>
      <c:valAx>
        <c:axId val="14386905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3870592"/>
        <c:crosses val="autoZero"/>
        <c:crossBetween val="midCat"/>
        <c:majorUnit val="15"/>
        <c:minorUnit val="5"/>
      </c:valAx>
      <c:valAx>
        <c:axId val="143870592"/>
        <c:scaling>
          <c:orientation val="minMax"/>
        </c:scaling>
        <c:axPos val="l"/>
        <c:majorGridlines/>
        <c:numFmt formatCode="0.0" sourceLinked="1"/>
        <c:tickLblPos val="nextTo"/>
        <c:crossAx val="14386905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data1!$AG$2:$AG$182</c:f>
              <c:numCache>
                <c:formatCode>0.0</c:formatCode>
                <c:ptCount val="181"/>
              </c:numCache>
            </c:numRef>
          </c:yVal>
        </c:ser>
        <c:axId val="144006144"/>
        <c:axId val="144016128"/>
      </c:scatterChart>
      <c:valAx>
        <c:axId val="14400614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4016128"/>
        <c:crosses val="autoZero"/>
        <c:crossBetween val="midCat"/>
        <c:majorUnit val="15"/>
        <c:minorUnit val="5"/>
      </c:valAx>
      <c:valAx>
        <c:axId val="144016128"/>
        <c:scaling>
          <c:orientation val="minMax"/>
        </c:scaling>
        <c:axPos val="l"/>
        <c:majorGridlines/>
        <c:numFmt formatCode="0.0" sourceLinked="1"/>
        <c:tickLblPos val="nextTo"/>
        <c:crossAx val="14400614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data2!$I$2:$I$182</c:f>
              <c:numCache>
                <c:formatCode>0.0</c:formatCode>
                <c:ptCount val="181"/>
              </c:numCache>
            </c:numRef>
          </c:yVal>
          <c:smooth val="1"/>
        </c:ser>
        <c:axId val="144078336"/>
        <c:axId val="144079872"/>
      </c:scatterChart>
      <c:valAx>
        <c:axId val="14407833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4079872"/>
        <c:crosses val="autoZero"/>
        <c:crossBetween val="midCat"/>
        <c:majorUnit val="15"/>
        <c:minorUnit val="5"/>
      </c:valAx>
      <c:valAx>
        <c:axId val="14407987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40783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data2!$Q$2:$Q$182</c:f>
              <c:numCache>
                <c:formatCode>0.0</c:formatCode>
                <c:ptCount val="181"/>
              </c:numCache>
            </c:numRef>
          </c:yVal>
        </c:ser>
        <c:axId val="144216064"/>
        <c:axId val="144217600"/>
      </c:scatterChart>
      <c:valAx>
        <c:axId val="14421606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4217600"/>
        <c:crosses val="autoZero"/>
        <c:crossBetween val="midCat"/>
        <c:majorUnit val="15"/>
        <c:minorUnit val="5"/>
      </c:valAx>
      <c:valAx>
        <c:axId val="144217600"/>
        <c:scaling>
          <c:orientation val="minMax"/>
        </c:scaling>
        <c:axPos val="l"/>
        <c:majorGridlines/>
        <c:numFmt formatCode="0.0" sourceLinked="1"/>
        <c:tickLblPos val="nextTo"/>
        <c:crossAx val="1442160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data2!$Y$2:$Y$182</c:f>
              <c:numCache>
                <c:formatCode>0.0</c:formatCode>
                <c:ptCount val="181"/>
              </c:numCache>
            </c:numRef>
          </c:yVal>
        </c:ser>
        <c:axId val="144284288"/>
        <c:axId val="144294272"/>
      </c:scatterChart>
      <c:valAx>
        <c:axId val="14428428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4294272"/>
        <c:crosses val="autoZero"/>
        <c:crossBetween val="midCat"/>
        <c:majorUnit val="15"/>
        <c:minorUnit val="5"/>
      </c:valAx>
      <c:valAx>
        <c:axId val="144294272"/>
        <c:scaling>
          <c:orientation val="minMax"/>
        </c:scaling>
        <c:axPos val="l"/>
        <c:majorGridlines/>
        <c:numFmt formatCode="0.0" sourceLinked="1"/>
        <c:tickLblPos val="nextTo"/>
        <c:crossAx val="1442842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data2!$AG$2:$AG$182</c:f>
              <c:numCache>
                <c:formatCode>0.0</c:formatCode>
                <c:ptCount val="181"/>
              </c:numCache>
            </c:numRef>
          </c:yVal>
        </c:ser>
        <c:axId val="144454400"/>
        <c:axId val="144455936"/>
      </c:scatterChart>
      <c:valAx>
        <c:axId val="14445440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4455936"/>
        <c:crosses val="autoZero"/>
        <c:crossBetween val="midCat"/>
        <c:majorUnit val="15"/>
        <c:minorUnit val="5"/>
      </c:valAx>
      <c:valAx>
        <c:axId val="144455936"/>
        <c:scaling>
          <c:orientation val="minMax"/>
        </c:scaling>
        <c:axPos val="l"/>
        <c:majorGridlines/>
        <c:numFmt formatCode="0.0" sourceLinked="1"/>
        <c:tickLblPos val="nextTo"/>
        <c:crossAx val="1444544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data3!$I$2:$I$182</c:f>
              <c:numCache>
                <c:formatCode>0.0</c:formatCode>
                <c:ptCount val="181"/>
              </c:numCache>
            </c:numRef>
          </c:yVal>
          <c:smooth val="1"/>
        </c:ser>
        <c:axId val="144485376"/>
        <c:axId val="144528128"/>
      </c:scatterChart>
      <c:valAx>
        <c:axId val="1444853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4528128"/>
        <c:crosses val="autoZero"/>
        <c:crossBetween val="midCat"/>
        <c:majorUnit val="15"/>
        <c:minorUnit val="5"/>
      </c:valAx>
      <c:valAx>
        <c:axId val="1445281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44853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data3!$Q$2:$Q$182</c:f>
              <c:numCache>
                <c:formatCode>0.0</c:formatCode>
                <c:ptCount val="181"/>
              </c:numCache>
            </c:numRef>
          </c:yVal>
        </c:ser>
        <c:axId val="144639488"/>
        <c:axId val="144641024"/>
      </c:scatterChart>
      <c:valAx>
        <c:axId val="14463948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4641024"/>
        <c:crosses val="autoZero"/>
        <c:crossBetween val="midCat"/>
        <c:majorUnit val="15"/>
        <c:minorUnit val="5"/>
      </c:valAx>
      <c:valAx>
        <c:axId val="144641024"/>
        <c:scaling>
          <c:orientation val="minMax"/>
        </c:scaling>
        <c:axPos val="l"/>
        <c:majorGridlines/>
        <c:numFmt formatCode="0.0" sourceLinked="1"/>
        <c:tickLblPos val="nextTo"/>
        <c:crossAx val="1446394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data3!$Y$2:$Y$182</c:f>
              <c:numCache>
                <c:formatCode>0.0</c:formatCode>
                <c:ptCount val="181"/>
              </c:numCache>
            </c:numRef>
          </c:yVal>
        </c:ser>
        <c:axId val="144712064"/>
        <c:axId val="144713600"/>
      </c:scatterChart>
      <c:valAx>
        <c:axId val="14471206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4713600"/>
        <c:crosses val="autoZero"/>
        <c:crossBetween val="midCat"/>
        <c:majorUnit val="15"/>
        <c:minorUnit val="5"/>
      </c:valAx>
      <c:valAx>
        <c:axId val="144713600"/>
        <c:scaling>
          <c:orientation val="minMax"/>
        </c:scaling>
        <c:axPos val="l"/>
        <c:majorGridlines/>
        <c:numFmt formatCode="0.0" sourceLinked="1"/>
        <c:tickLblPos val="nextTo"/>
        <c:crossAx val="1447120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data3!$AG$2:$AG$182</c:f>
              <c:numCache>
                <c:formatCode>0.0</c:formatCode>
                <c:ptCount val="181"/>
              </c:numCache>
            </c:numRef>
          </c:yVal>
        </c:ser>
        <c:axId val="144783616"/>
        <c:axId val="144793600"/>
      </c:scatterChart>
      <c:valAx>
        <c:axId val="14478361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4793600"/>
        <c:crosses val="autoZero"/>
        <c:crossBetween val="midCat"/>
        <c:majorUnit val="15"/>
        <c:minorUnit val="5"/>
      </c:valAx>
      <c:valAx>
        <c:axId val="144793600"/>
        <c:scaling>
          <c:orientation val="minMax"/>
        </c:scaling>
        <c:axPos val="l"/>
        <c:majorGridlines/>
        <c:numFmt formatCode="0.0" sourceLinked="1"/>
        <c:tickLblPos val="nextTo"/>
        <c:crossAx val="1447836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'4-axis|Calc'!$G$8</c:f>
              <c:strCache>
                <c:ptCount val="1"/>
                <c:pt idx="0">
                  <c:v>-90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'4-axis|Calc'!$H$10:$H$190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'4-axis|Calc'!$J$8</c:f>
              <c:strCache>
                <c:ptCount val="1"/>
                <c:pt idx="0">
                  <c:v>-45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'4-axis|Calc'!$K$10:$K$190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'4-axis|Calc'!$M$8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'4-axis|Calc'!$N$10:$N$190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'4-axis|Calc'!$P$8</c:f>
              <c:strCache>
                <c:ptCount val="1"/>
                <c:pt idx="0">
                  <c:v>45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'4-axis|Calc'!$Q$10:$Q$190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5115392"/>
        <c:axId val="145125376"/>
      </c:scatterChart>
      <c:valAx>
        <c:axId val="145115392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5125376"/>
        <c:crosses val="autoZero"/>
        <c:crossBetween val="midCat"/>
        <c:majorUnit val="15"/>
        <c:minorUnit val="5"/>
      </c:valAx>
      <c:valAx>
        <c:axId val="145125376"/>
        <c:scaling>
          <c:orientation val="minMax"/>
        </c:scaling>
        <c:axPos val="l"/>
        <c:majorGridlines/>
        <c:numFmt formatCode="0.0" sourceLinked="1"/>
        <c:tickLblPos val="nextTo"/>
        <c:crossAx val="1451153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Average 200 Range - Halogen Radiation </a:t>
            </a:r>
            <a:r>
              <a:rPr lang="en-US" sz="1200" u="sng"/>
              <a:t>+</a:t>
            </a:r>
            <a:r>
              <a:rPr lang="en-US" sz="1200"/>
              <a:t>1.5</a:t>
            </a:r>
            <a:r>
              <a:rPr lang="el-GR" sz="1200"/>
              <a:t>σ</a:t>
            </a:r>
            <a:endParaRPr lang="en-US" sz="1200"/>
          </a:p>
        </c:rich>
      </c:tx>
      <c:overlay val="1"/>
      <c:spPr>
        <a:solidFill>
          <a:schemeClr val="bg1"/>
        </a:solidFill>
      </c:spPr>
    </c:title>
    <c:plotArea>
      <c:layout/>
      <c:scatterChart>
        <c:scatterStyle val="lineMarker"/>
        <c:ser>
          <c:idx val="0"/>
          <c:order val="0"/>
          <c:tx>
            <c:strRef>
              <c:f>'4-axis|Calc'!$B$5</c:f>
              <c:strCache>
                <c:ptCount val="1"/>
                <c:pt idx="0">
                  <c:v>#VALUE!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'4-axis|Calc'!$B$10:$B$190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'4-axis|Calc'!$C$2</c:f>
              <c:strCache>
                <c:ptCount val="1"/>
                <c:pt idx="0">
                  <c:v>AVG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'4-axis|Calc'!$C$10:$C$190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'4-axis|Calc'!$D$5</c:f>
              <c:strCache>
                <c:ptCount val="1"/>
                <c:pt idx="0">
                  <c:v>#VALUE!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'4-axis|Calc'!$D$10:$D$190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5048320"/>
        <c:axId val="145049856"/>
      </c:scatterChart>
      <c:valAx>
        <c:axId val="1450483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5049856"/>
        <c:crosses val="autoZero"/>
        <c:crossBetween val="midCat"/>
        <c:majorUnit val="15"/>
        <c:minorUnit val="5"/>
      </c:valAx>
      <c:valAx>
        <c:axId val="145049856"/>
        <c:scaling>
          <c:orientation val="minMax"/>
        </c:scaling>
        <c:axPos val="l"/>
        <c:majorGridlines/>
        <c:numFmt formatCode="0.0" sourceLinked="1"/>
        <c:tickLblPos val="nextTo"/>
        <c:crossAx val="145048320"/>
        <c:crosses val="autoZero"/>
        <c:crossBetween val="midCat"/>
      </c:valAx>
    </c:plotArea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-90</a:t>
            </a:r>
            <a:r>
              <a:rPr lang="en-US">
                <a:latin typeface="Calibri"/>
              </a:rPr>
              <a:t>⁰</a:t>
            </a:r>
            <a:endParaRPr lang="en-US"/>
          </a:p>
        </c:rich>
      </c:tx>
      <c:overlay val="1"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'4-axis|Calc'!$G$10:$G$190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'4-axis|Calc'!$H$10:$H$190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'4-axis|Calc'!$I$10:$I$190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5079296"/>
        <c:axId val="143262464"/>
      </c:scatterChart>
      <c:valAx>
        <c:axId val="145079296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3262464"/>
        <c:crosses val="autoZero"/>
        <c:crossBetween val="midCat"/>
        <c:majorUnit val="15"/>
        <c:minorUnit val="5"/>
      </c:valAx>
      <c:valAx>
        <c:axId val="143262464"/>
        <c:scaling>
          <c:orientation val="minMax"/>
        </c:scaling>
        <c:axPos val="l"/>
        <c:majorGridlines/>
        <c:numFmt formatCode="0.0" sourceLinked="1"/>
        <c:tickLblPos val="nextTo"/>
        <c:crossAx val="145079296"/>
        <c:crosses val="autoZero"/>
        <c:crossBetween val="midCat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-45</a:t>
            </a:r>
            <a:r>
              <a:rPr lang="en-US">
                <a:latin typeface="Calibri"/>
              </a:rPr>
              <a:t>⁰</a:t>
            </a:r>
            <a:endParaRPr lang="en-US"/>
          </a:p>
        </c:rich>
      </c:tx>
      <c:overlay val="1"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'4-axis|Calc'!$J$10:$J$190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'4-axis|Calc'!$K$10:$K$190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'4-axis|Calc'!$L$10:$L$190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3288192"/>
        <c:axId val="143289728"/>
      </c:scatterChart>
      <c:valAx>
        <c:axId val="143288192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3289728"/>
        <c:crosses val="autoZero"/>
        <c:crossBetween val="midCat"/>
        <c:majorUnit val="15"/>
        <c:minorUnit val="5"/>
      </c:valAx>
      <c:valAx>
        <c:axId val="143289728"/>
        <c:scaling>
          <c:orientation val="minMax"/>
        </c:scaling>
        <c:axPos val="l"/>
        <c:majorGridlines/>
        <c:numFmt formatCode="0.0" sourceLinked="1"/>
        <c:tickLblPos val="nextTo"/>
        <c:crossAx val="143288192"/>
        <c:crosses val="autoZero"/>
        <c:crossBetween val="midCat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0</a:t>
            </a:r>
            <a:r>
              <a:rPr lang="en-US">
                <a:latin typeface="Calibri"/>
              </a:rPr>
              <a:t>⁰</a:t>
            </a:r>
            <a:endParaRPr lang="en-US"/>
          </a:p>
        </c:rich>
      </c:tx>
      <c:overlay val="1"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'4-axis|Calc'!$M$10:$M$190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'4-axis|Calc'!$N$10:$N$190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'4-axis|Calc'!$O$10:$O$190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5031552"/>
        <c:axId val="145033088"/>
      </c:scatterChart>
      <c:valAx>
        <c:axId val="145031552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5033088"/>
        <c:crosses val="autoZero"/>
        <c:crossBetween val="midCat"/>
        <c:majorUnit val="15"/>
        <c:minorUnit val="5"/>
      </c:valAx>
      <c:valAx>
        <c:axId val="145033088"/>
        <c:scaling>
          <c:orientation val="minMax"/>
        </c:scaling>
        <c:axPos val="l"/>
        <c:majorGridlines/>
        <c:numFmt formatCode="0.0" sourceLinked="1"/>
        <c:tickLblPos val="nextTo"/>
        <c:crossAx val="145031552"/>
        <c:crosses val="autoZero"/>
        <c:crossBetween val="midCat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+45</a:t>
            </a:r>
            <a:r>
              <a:rPr lang="en-US">
                <a:latin typeface="Calibri"/>
              </a:rPr>
              <a:t>⁰</a:t>
            </a:r>
            <a:endParaRPr lang="en-US"/>
          </a:p>
        </c:rich>
      </c:tx>
      <c:overlay val="1"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'4-axis|Calc'!$P$10:$P$190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'4-axis|Calc'!$Q$10:$Q$190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'4-axis|Calc'!$R$10:$R$190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5181312"/>
        <c:axId val="145514880"/>
      </c:scatterChart>
      <c:valAx>
        <c:axId val="145181312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5514880"/>
        <c:crosses val="autoZero"/>
        <c:crossBetween val="midCat"/>
        <c:majorUnit val="15"/>
        <c:minorUnit val="5"/>
      </c:valAx>
      <c:valAx>
        <c:axId val="145514880"/>
        <c:scaling>
          <c:orientation val="minMax"/>
        </c:scaling>
        <c:axPos val="l"/>
        <c:majorGridlines/>
        <c:numFmt formatCode="0.0" sourceLinked="1"/>
        <c:tickLblPos val="nextTo"/>
        <c:crossAx val="145181312"/>
        <c:crosses val="autoZero"/>
        <c:crossBetween val="midCat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Radiation Variation in %/Peak</a:t>
            </a:r>
          </a:p>
        </c:rich>
      </c:tx>
      <c:overlay val="1"/>
      <c:spPr>
        <a:solidFill>
          <a:sysClr val="window" lastClr="FFFFFF"/>
        </a:solidFill>
      </c:spPr>
    </c:title>
    <c:plotArea>
      <c:layout/>
      <c:barChart>
        <c:barDir val="col"/>
        <c:grouping val="clustered"/>
        <c:ser>
          <c:idx val="0"/>
          <c:order val="0"/>
          <c:cat>
            <c:numRef>
              <c:f>'4-axis|Calc'!$T$68:$T$73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'4-axis|Calc'!$U$68:$U$73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45538048"/>
        <c:axId val="145360000"/>
      </c:barChart>
      <c:catAx>
        <c:axId val="1455380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%variation</a:t>
                </a:r>
              </a:p>
            </c:rich>
          </c:tx>
        </c:title>
        <c:numFmt formatCode="0.0%" sourceLinked="1"/>
        <c:tickLblPos val="nextTo"/>
        <c:crossAx val="145360000"/>
        <c:crosses val="autoZero"/>
        <c:auto val="1"/>
        <c:lblAlgn val="ctr"/>
        <c:lblOffset val="100"/>
      </c:catAx>
      <c:valAx>
        <c:axId val="1453600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</c:title>
        <c:numFmt formatCode="0.0%" sourceLinked="1"/>
        <c:tickLblPos val="nextTo"/>
        <c:crossAx val="145538048"/>
        <c:crosses val="autoZero"/>
        <c:crossBetween val="between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scale0!$E$5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scale0!$E$7:$E$67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scale0!$F$5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scale0!$F$7:$F$67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scale0!$G$5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scale0!$G$7:$G$67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scale0!$H$5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scale0!$H$7:$H$67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scale0!$I$5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scale0!$I$7:$I$67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scale0!$J$5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scale0!$J$7:$J$67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scale0!$K$5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scale0!$K$7:$K$67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scale0!$L$5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scale0!$L$7:$L$67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5582720"/>
        <c:axId val="145596800"/>
      </c:scatterChart>
      <c:valAx>
        <c:axId val="145582720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5596800"/>
        <c:crosses val="autoZero"/>
        <c:crossBetween val="midCat"/>
        <c:majorUnit val="15"/>
        <c:minorUnit val="5"/>
      </c:valAx>
      <c:valAx>
        <c:axId val="145596800"/>
        <c:scaling>
          <c:orientation val="minMax"/>
        </c:scaling>
        <c:axPos val="l"/>
        <c:majorGridlines/>
        <c:numFmt formatCode="0.0" sourceLinked="1"/>
        <c:tickLblPos val="nextTo"/>
        <c:crossAx val="1455827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scale0!$M$5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scale0!$M$7:$M$67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scale0!$N$5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scale0!$N$7:$N$67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scale0!$O$5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scale0!$O$7:$O$67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scale0!$P$5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scale0!$P$7:$P$67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scale0!$Q$5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scale0!$Q$7:$Q$67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scale0!$R$5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scale0!$R$7:$R$67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scale0!$S$5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scale0!$S$7:$S$67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scale0!$T$5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scale0!$T$7:$T$67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6023552"/>
        <c:axId val="146025088"/>
      </c:scatterChart>
      <c:valAx>
        <c:axId val="146023552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6025088"/>
        <c:crosses val="autoZero"/>
        <c:crossBetween val="midCat"/>
        <c:majorUnit val="15"/>
        <c:minorUnit val="5"/>
      </c:valAx>
      <c:valAx>
        <c:axId val="146025088"/>
        <c:scaling>
          <c:orientation val="minMax"/>
        </c:scaling>
        <c:axPos val="l"/>
        <c:majorGridlines/>
        <c:numFmt formatCode="0.0" sourceLinked="1"/>
        <c:tickLblPos val="nextTo"/>
        <c:crossAx val="1460235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scale0!$U$5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scale0!$U$7:$U$67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scale0!$V$5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scale0!$V$7:$V$67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scale0!$W$5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scale0!$W$7:$W$67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scale0!$X$5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scale0!$X$7:$X$67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scale0!$Y$5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scale0!$Y$7:$Y$67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scale0!$Z$5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scale0!$Z$7:$Z$67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scale0!$AA$5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scale0!$AA$7:$AA$67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scale0!$AB$5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scale0!$AB$7:$AB$67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6092032"/>
        <c:axId val="146093568"/>
      </c:scatterChart>
      <c:valAx>
        <c:axId val="146092032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6093568"/>
        <c:crosses val="autoZero"/>
        <c:crossBetween val="midCat"/>
        <c:majorUnit val="15"/>
        <c:minorUnit val="5"/>
      </c:valAx>
      <c:valAx>
        <c:axId val="146093568"/>
        <c:scaling>
          <c:orientation val="minMax"/>
        </c:scaling>
        <c:axPos val="l"/>
        <c:majorGridlines/>
        <c:numFmt formatCode="0.0" sourceLinked="1"/>
        <c:tickLblPos val="nextTo"/>
        <c:crossAx val="1460920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scale0!$AC$5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scale0!$AC$7:$AC$67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scale0!$AD$5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scale0!$AD$7:$AD$67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scale0!$AE$5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scale0!$AE$7:$AE$67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scale0!$AF$5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scale0!$AF$7:$AF$67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scale0!$AG$5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scale0!$AG$7:$AG$67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scale0!$AH$5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scale0!$AH$7:$AH$67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scale0!$AI$5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scale0!$AI$7:$AI$67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scale0!$AJ$5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scale0!$A$7:$A$67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scale0!$AJ$7:$AJ$67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6139008"/>
        <c:axId val="146140544"/>
      </c:scatterChart>
      <c:valAx>
        <c:axId val="146139008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6140544"/>
        <c:crosses val="autoZero"/>
        <c:crossBetween val="midCat"/>
        <c:majorUnit val="15"/>
        <c:minorUnit val="5"/>
      </c:valAx>
      <c:valAx>
        <c:axId val="146140544"/>
        <c:scaling>
          <c:orientation val="minMax"/>
        </c:scaling>
        <c:axPos val="l"/>
        <c:majorGridlines/>
        <c:numFmt formatCode="0.0" sourceLinked="1"/>
        <c:tickLblPos val="nextTo"/>
        <c:crossAx val="1461390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scale1!$E$5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scale1!$E$7:$E$67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scale1!$F$5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scale1!$F$7:$F$67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scale1!$G$5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scale1!$G$7:$G$67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scale1!$H$5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scale1!$H$7:$H$67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scale1!$I$5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scale1!$I$7:$I$67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scale1!$J$5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scale1!$J$7:$J$67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scale1!$K$5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scale1!$K$7:$K$67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scale1!$L$5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scale1!$L$7:$L$67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6219776"/>
        <c:axId val="146221312"/>
      </c:scatterChart>
      <c:valAx>
        <c:axId val="146219776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6221312"/>
        <c:crosses val="autoZero"/>
        <c:crossBetween val="midCat"/>
        <c:majorUnit val="15"/>
        <c:minorUnit val="5"/>
      </c:valAx>
      <c:valAx>
        <c:axId val="146221312"/>
        <c:scaling>
          <c:orientation val="minMax"/>
        </c:scaling>
        <c:axPos val="l"/>
        <c:majorGridlines/>
        <c:numFmt formatCode="0.0" sourceLinked="1"/>
        <c:tickLblPos val="nextTo"/>
        <c:crossAx val="1462197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scale1!$M$5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scale1!$M$7:$M$67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scale1!$N$5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scale1!$N$7:$N$67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scale1!$O$5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scale1!$O$7:$O$67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scale1!$P$5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scale1!$P$7:$P$67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scale1!$Q$5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scale1!$Q$7:$Q$67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scale1!$R$5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scale1!$R$7:$R$67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scale1!$S$5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scale1!$S$7:$S$67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scale1!$T$5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scale1!$T$7:$T$67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6738176"/>
        <c:axId val="146748160"/>
      </c:scatterChart>
      <c:valAx>
        <c:axId val="146738176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6748160"/>
        <c:crosses val="autoZero"/>
        <c:crossBetween val="midCat"/>
        <c:majorUnit val="15"/>
        <c:minorUnit val="5"/>
      </c:valAx>
      <c:valAx>
        <c:axId val="146748160"/>
        <c:scaling>
          <c:orientation val="minMax"/>
        </c:scaling>
        <c:axPos val="l"/>
        <c:majorGridlines/>
        <c:numFmt formatCode="0.0" sourceLinked="1"/>
        <c:tickLblPos val="nextTo"/>
        <c:crossAx val="1467381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scale1!$U$5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scale1!$U$7:$U$67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scale1!$V$5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scale1!$V$7:$V$67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scale1!$W$5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scale1!$W$7:$W$67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scale1!$X$5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scale1!$X$7:$X$67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scale1!$Y$5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scale1!$Y$7:$Y$67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scale1!$Z$5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scale1!$Z$7:$Z$67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scale1!$AA$5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scale1!$AA$7:$AA$67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scale1!$AB$5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scale1!$AB$7:$AB$67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6880384"/>
        <c:axId val="146881920"/>
      </c:scatterChart>
      <c:valAx>
        <c:axId val="146880384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6881920"/>
        <c:crosses val="autoZero"/>
        <c:crossBetween val="midCat"/>
        <c:majorUnit val="15"/>
        <c:minorUnit val="5"/>
      </c:valAx>
      <c:valAx>
        <c:axId val="146881920"/>
        <c:scaling>
          <c:orientation val="minMax"/>
        </c:scaling>
        <c:axPos val="l"/>
        <c:majorGridlines/>
        <c:numFmt formatCode="0.0" sourceLinked="1"/>
        <c:tickLblPos val="nextTo"/>
        <c:crossAx val="14688038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scale1!$AC$5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scale1!$AC$7:$AC$67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scale1!$AD$5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scale1!$AD$7:$AD$67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scale1!$AE$5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scale1!$AE$7:$AE$67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scale1!$AF$5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scale1!$AF$7:$AF$67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scale1!$AG$5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scale1!$AG$7:$AG$67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scale1!$AH$5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scale1!$AH$7:$AH$67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scale1!$AI$5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scale1!$AI$7:$AI$67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scale1!$AJ$5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scale1!$A$7:$A$67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scale1!$AJ$7:$AJ$67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7042304"/>
        <c:axId val="147043840"/>
      </c:scatterChart>
      <c:valAx>
        <c:axId val="147042304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7043840"/>
        <c:crosses val="autoZero"/>
        <c:crossBetween val="midCat"/>
        <c:majorUnit val="15"/>
        <c:minorUnit val="5"/>
      </c:valAx>
      <c:valAx>
        <c:axId val="147043840"/>
        <c:scaling>
          <c:orientation val="minMax"/>
        </c:scaling>
        <c:axPos val="l"/>
        <c:majorGridlines/>
        <c:numFmt formatCode="0.0" sourceLinked="1"/>
        <c:tickLblPos val="nextTo"/>
        <c:crossAx val="1470423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scale2!$E$5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scale2!$E$7:$E$67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scale2!$F$5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scale2!$F$7:$F$67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scale2!$G$5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scale2!$G$7:$G$67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scale2!$H$5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scale2!$H$7:$H$67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scale2!$I$5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scale2!$I$7:$I$67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scale2!$J$5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scale2!$J$7:$J$67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scale2!$K$5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scale2!$K$7:$K$67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scale2!$L$5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scale2!$L$7:$L$67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7114624"/>
        <c:axId val="147124608"/>
      </c:scatterChart>
      <c:valAx>
        <c:axId val="147114624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7124608"/>
        <c:crosses val="autoZero"/>
        <c:crossBetween val="midCat"/>
        <c:majorUnit val="15"/>
        <c:minorUnit val="5"/>
      </c:valAx>
      <c:valAx>
        <c:axId val="147124608"/>
        <c:scaling>
          <c:orientation val="minMax"/>
        </c:scaling>
        <c:axPos val="l"/>
        <c:majorGridlines/>
        <c:numFmt formatCode="0.0" sourceLinked="1"/>
        <c:tickLblPos val="nextTo"/>
        <c:crossAx val="1471146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scale2!$M$5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scale2!$M$7:$M$67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scale2!$N$5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scale2!$N$7:$N$67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scale2!$O$5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scale2!$O$7:$O$67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scale2!$P$5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scale2!$P$7:$P$67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scale2!$Q$5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scale2!$Q$7:$Q$67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scale2!$R$5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scale2!$R$7:$R$67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scale2!$S$5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scale2!$S$7:$S$67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scale2!$T$5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scale2!$T$7:$T$67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7154048"/>
        <c:axId val="147155584"/>
      </c:scatterChart>
      <c:valAx>
        <c:axId val="147154048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7155584"/>
        <c:crosses val="autoZero"/>
        <c:crossBetween val="midCat"/>
        <c:majorUnit val="15"/>
        <c:minorUnit val="5"/>
      </c:valAx>
      <c:valAx>
        <c:axId val="147155584"/>
        <c:scaling>
          <c:orientation val="minMax"/>
        </c:scaling>
        <c:axPos val="l"/>
        <c:majorGridlines/>
        <c:numFmt formatCode="0.0" sourceLinked="1"/>
        <c:tickLblPos val="nextTo"/>
        <c:crossAx val="1471540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scale2!$U$5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scale2!$U$7:$U$67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scale2!$V$5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scale2!$V$7:$V$67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scale2!$W$5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scale2!$W$7:$W$67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scale2!$X$5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scale2!$X$7:$X$67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scale2!$Y$5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scale2!$Y$7:$Y$67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scale2!$Z$5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scale2!$Z$7:$Z$67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scale2!$AA$5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scale2!$AA$7:$AA$67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scale2!$AB$5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scale2!$AB$7:$AB$67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7484672"/>
        <c:axId val="147486208"/>
      </c:scatterChart>
      <c:valAx>
        <c:axId val="147484672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7486208"/>
        <c:crosses val="autoZero"/>
        <c:crossBetween val="midCat"/>
        <c:majorUnit val="15"/>
        <c:minorUnit val="5"/>
      </c:valAx>
      <c:valAx>
        <c:axId val="147486208"/>
        <c:scaling>
          <c:orientation val="minMax"/>
        </c:scaling>
        <c:axPos val="l"/>
        <c:majorGridlines/>
        <c:numFmt formatCode="0.0" sourceLinked="1"/>
        <c:tickLblPos val="nextTo"/>
        <c:crossAx val="14748467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scale2!$AC$5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scale2!$AC$7:$AC$67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scale2!$AD$5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scale2!$AD$7:$AD$67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scale2!$AE$5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scale2!$AE$7:$AE$67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scale2!$AF$5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scale2!$AF$7:$AF$67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scale2!$AG$5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scale2!$AG$7:$AG$67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scale2!$AH$5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scale2!$AH$7:$AH$67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scale2!$AI$5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scale2!$AI$7:$AI$67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scale2!$AJ$5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scale2!$A$7:$A$67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scale2!$AJ$7:$AJ$67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7560320"/>
        <c:axId val="147561856"/>
      </c:scatterChart>
      <c:valAx>
        <c:axId val="147560320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7561856"/>
        <c:crosses val="autoZero"/>
        <c:crossBetween val="midCat"/>
        <c:majorUnit val="15"/>
        <c:minorUnit val="5"/>
      </c:valAx>
      <c:valAx>
        <c:axId val="147561856"/>
        <c:scaling>
          <c:orientation val="minMax"/>
        </c:scaling>
        <c:axPos val="l"/>
        <c:majorGridlines/>
        <c:numFmt formatCode="0.0" sourceLinked="1"/>
        <c:tickLblPos val="nextTo"/>
        <c:crossAx val="1475603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scale3!$E$5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scale3!$E$7:$E$67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scale3!$F$5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scale3!$F$7:$F$67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scale3!$G$5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scale3!$G$7:$G$67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scale3!$H$5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scale3!$H$7:$H$67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scale3!$I$5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scale3!$I$7:$I$67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scale3!$J$5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scale3!$J$7:$J$67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scale3!$K$5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scale3!$K$7:$K$67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scale3!$L$5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scale3!$L$7:$L$67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7706624"/>
        <c:axId val="147708160"/>
      </c:scatterChart>
      <c:valAx>
        <c:axId val="147706624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7708160"/>
        <c:crosses val="autoZero"/>
        <c:crossBetween val="midCat"/>
        <c:majorUnit val="15"/>
        <c:minorUnit val="5"/>
      </c:valAx>
      <c:valAx>
        <c:axId val="147708160"/>
        <c:scaling>
          <c:orientation val="minMax"/>
        </c:scaling>
        <c:axPos val="l"/>
        <c:majorGridlines/>
        <c:numFmt formatCode="0.0" sourceLinked="1"/>
        <c:tickLblPos val="nextTo"/>
        <c:crossAx val="1477066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scale3!$M$5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scale3!$M$7:$M$67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scale3!$N$5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scale3!$N$7:$N$67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scale3!$O$5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scale3!$O$7:$O$67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scale3!$P$5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scale3!$P$7:$P$67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scale3!$Q$5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scale3!$Q$7:$Q$67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scale3!$R$5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scale3!$R$7:$R$67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scale3!$S$5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scale3!$S$7:$S$67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scale3!$T$5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scale3!$T$7:$T$67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7610624"/>
        <c:axId val="147645184"/>
      </c:scatterChart>
      <c:valAx>
        <c:axId val="147610624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7645184"/>
        <c:crosses val="autoZero"/>
        <c:crossBetween val="midCat"/>
        <c:majorUnit val="15"/>
        <c:minorUnit val="5"/>
      </c:valAx>
      <c:valAx>
        <c:axId val="147645184"/>
        <c:scaling>
          <c:orientation val="minMax"/>
        </c:scaling>
        <c:axPos val="l"/>
        <c:majorGridlines/>
        <c:numFmt formatCode="0.0" sourceLinked="1"/>
        <c:tickLblPos val="nextTo"/>
        <c:crossAx val="1476106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scale3!$U$5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scale3!$U$7:$U$67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scale3!$V$5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scale3!$V$7:$V$67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scale3!$W$5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scale3!$W$7:$W$67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scale3!$X$5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scale3!$X$7:$X$67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scale3!$Y$5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scale3!$Y$7:$Y$67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scale3!$Z$5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scale3!$Z$7:$Z$67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scale3!$AA$5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scale3!$AA$7:$AA$67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scale3!$AB$5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scale3!$AB$7:$AB$67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8080512"/>
        <c:axId val="148082048"/>
      </c:scatterChart>
      <c:valAx>
        <c:axId val="148080512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8082048"/>
        <c:crosses val="autoZero"/>
        <c:crossBetween val="midCat"/>
        <c:majorUnit val="15"/>
        <c:minorUnit val="5"/>
      </c:valAx>
      <c:valAx>
        <c:axId val="148082048"/>
        <c:scaling>
          <c:orientation val="minMax"/>
        </c:scaling>
        <c:axPos val="l"/>
        <c:majorGridlines/>
        <c:numFmt formatCode="0.0" sourceLinked="1"/>
        <c:tickLblPos val="nextTo"/>
        <c:crossAx val="14808051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scale3!$AC$5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scale3!$AC$7:$AC$67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1"/>
          <c:order val="1"/>
          <c:tx>
            <c:strRef>
              <c:f>scale3!$AD$5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scale3!$AD$7:$AD$67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2"/>
          <c:order val="2"/>
          <c:tx>
            <c:strRef>
              <c:f>scale3!$AE$5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scale3!$AE$7:$AE$67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3"/>
          <c:order val="3"/>
          <c:tx>
            <c:strRef>
              <c:f>scale3!$AF$5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scale3!$AF$7:$AF$67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4"/>
          <c:order val="4"/>
          <c:tx>
            <c:strRef>
              <c:f>scale3!$AG$5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scale3!$AG$7:$AG$67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5"/>
          <c:order val="5"/>
          <c:tx>
            <c:strRef>
              <c:f>scale3!$AH$5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scale3!$AH$7:$AH$67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6"/>
          <c:order val="6"/>
          <c:tx>
            <c:strRef>
              <c:f>scale3!$AI$5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scale3!$AI$7:$AI$67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ser>
          <c:idx val="7"/>
          <c:order val="7"/>
          <c:tx>
            <c:strRef>
              <c:f>scale3!$AJ$5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scale3!$A$7:$A$67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scale3!$AJ$7:$AJ$67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</c:ser>
        <c:axId val="148185088"/>
        <c:axId val="148186624"/>
      </c:scatterChart>
      <c:valAx>
        <c:axId val="148185088"/>
        <c:scaling>
          <c:orientation val="minMax"/>
          <c:max val="90"/>
          <c:min val="-90"/>
        </c:scaling>
        <c:axPos val="b"/>
        <c:numFmt formatCode="General" sourceLinked="1"/>
        <c:tickLblPos val="nextTo"/>
        <c:crossAx val="148186624"/>
        <c:crosses val="autoZero"/>
        <c:crossBetween val="midCat"/>
        <c:majorUnit val="15"/>
        <c:minorUnit val="5"/>
      </c:valAx>
      <c:valAx>
        <c:axId val="148186624"/>
        <c:scaling>
          <c:orientation val="minMax"/>
        </c:scaling>
        <c:axPos val="l"/>
        <c:majorGridlines/>
        <c:numFmt formatCode="0.0" sourceLinked="1"/>
        <c:tickLblPos val="nextTo"/>
        <c:crossAx val="1481850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data0!$B$2:$B$62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data0!$C$2:$C$62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data0!$D$2:$D$62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data0!$E$2:$E$62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data0!$F$2:$F$62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data0!$G$2:$G$62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data0!$H$2:$H$62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data0!$I$2:$I$62</c:f>
              <c:numCache>
                <c:formatCode>0.0</c:formatCode>
                <c:ptCount val="61"/>
              </c:numCache>
            </c:numRef>
          </c:yVal>
          <c:smooth val="1"/>
        </c:ser>
        <c:axId val="148273792"/>
        <c:axId val="148283776"/>
      </c:scatterChart>
      <c:valAx>
        <c:axId val="14827379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8283776"/>
        <c:crosses val="autoZero"/>
        <c:crossBetween val="midCat"/>
        <c:majorUnit val="15"/>
        <c:minorUnit val="5"/>
      </c:valAx>
      <c:valAx>
        <c:axId val="1482837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82737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data0!$Q$2:$Q$182</c:f>
              <c:numCache>
                <c:formatCode>0.0</c:formatCode>
                <c:ptCount val="181"/>
              </c:numCache>
            </c:numRef>
          </c:yVal>
          <c:smooth val="1"/>
        </c:ser>
        <c:axId val="148341888"/>
        <c:axId val="148343424"/>
      </c:scatterChart>
      <c:valAx>
        <c:axId val="1483418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8343424"/>
        <c:crosses val="autoZero"/>
        <c:crossBetween val="midCat"/>
        <c:majorUnit val="15"/>
        <c:minorUnit val="5"/>
      </c:valAx>
      <c:valAx>
        <c:axId val="1483434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83418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data0!$Y$2:$Y$182</c:f>
              <c:numCache>
                <c:formatCode>0.0</c:formatCode>
                <c:ptCount val="181"/>
              </c:numCache>
            </c:numRef>
          </c:yVal>
          <c:smooth val="1"/>
        </c:ser>
        <c:axId val="148602240"/>
        <c:axId val="148616320"/>
      </c:scatterChart>
      <c:valAx>
        <c:axId val="14860224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8616320"/>
        <c:crosses val="autoZero"/>
        <c:crossBetween val="midCat"/>
        <c:majorUnit val="15"/>
        <c:minorUnit val="5"/>
      </c:valAx>
      <c:valAx>
        <c:axId val="1486163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860224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data0!$AG$2:$AG$182</c:f>
              <c:numCache>
                <c:formatCode>0.0</c:formatCode>
                <c:ptCount val="181"/>
              </c:numCache>
            </c:numRef>
          </c:yVal>
          <c:smooth val="1"/>
        </c:ser>
        <c:axId val="148539264"/>
        <c:axId val="148540800"/>
      </c:scatterChart>
      <c:valAx>
        <c:axId val="14853926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8540800"/>
        <c:crosses val="autoZero"/>
        <c:crossBetween val="midCat"/>
        <c:majorUnit val="15"/>
        <c:minorUnit val="5"/>
      </c:valAx>
      <c:valAx>
        <c:axId val="14854080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85392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data0!$J$2:$J$62</c:f>
              <c:numCache>
                <c:formatCode>0.0</c:formatCode>
                <c:ptCount val="61"/>
              </c:numCache>
            </c:numRef>
          </c:yVal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data0!$K$2:$K$62</c:f>
              <c:numCache>
                <c:formatCode>0.0</c:formatCode>
                <c:ptCount val="61"/>
              </c:numCache>
            </c:numRef>
          </c:yVal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data0!$L$2:$L$62</c:f>
              <c:numCache>
                <c:formatCode>0.0</c:formatCode>
                <c:ptCount val="61"/>
              </c:numCache>
            </c:numRef>
          </c:yVal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data0!$M$2:$M$62</c:f>
              <c:numCache>
                <c:formatCode>0.0</c:formatCode>
                <c:ptCount val="61"/>
              </c:numCache>
            </c:numRef>
          </c:yVal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data0!$N$2:$N$62</c:f>
              <c:numCache>
                <c:formatCode>0.0</c:formatCode>
                <c:ptCount val="61"/>
              </c:numCache>
            </c:numRef>
          </c:yVal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data0!$O$2:$O$62</c:f>
              <c:numCache>
                <c:formatCode>0.0</c:formatCode>
                <c:ptCount val="61"/>
              </c:numCache>
            </c:numRef>
          </c:yVal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data0!$P$2:$P$62</c:f>
              <c:numCache>
                <c:formatCode>0.0</c:formatCode>
                <c:ptCount val="61"/>
              </c:numCache>
            </c:numRef>
          </c:yVal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data0!$Q$2:$Q$62</c:f>
              <c:numCache>
                <c:formatCode>0.0</c:formatCode>
                <c:ptCount val="61"/>
              </c:numCache>
            </c:numRef>
          </c:yVal>
        </c:ser>
        <c:axId val="148758912"/>
        <c:axId val="148760448"/>
      </c:scatterChart>
      <c:valAx>
        <c:axId val="14875891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8760448"/>
        <c:crosses val="autoZero"/>
        <c:crossBetween val="midCat"/>
        <c:majorUnit val="15"/>
        <c:minorUnit val="5"/>
      </c:valAx>
      <c:valAx>
        <c:axId val="148760448"/>
        <c:scaling>
          <c:orientation val="minMax"/>
        </c:scaling>
        <c:axPos val="l"/>
        <c:majorGridlines/>
        <c:numFmt formatCode="0.0" sourceLinked="1"/>
        <c:tickLblPos val="nextTo"/>
        <c:crossAx val="14875891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data0!$R$2:$R$62</c:f>
              <c:numCache>
                <c:formatCode>0.0</c:formatCode>
                <c:ptCount val="61"/>
              </c:numCache>
            </c:numRef>
          </c:yVal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data0!$S$2:$S$62</c:f>
              <c:numCache>
                <c:formatCode>0.0</c:formatCode>
                <c:ptCount val="61"/>
              </c:numCache>
            </c:numRef>
          </c:yVal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data0!$T$2:$T$62</c:f>
              <c:numCache>
                <c:formatCode>0.0</c:formatCode>
                <c:ptCount val="61"/>
              </c:numCache>
            </c:numRef>
          </c:yVal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data0!$U$2:$U$62</c:f>
              <c:numCache>
                <c:formatCode>0.0</c:formatCode>
                <c:ptCount val="61"/>
              </c:numCache>
            </c:numRef>
          </c:yVal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data0!$V$2:$V$62</c:f>
              <c:numCache>
                <c:formatCode>0.0</c:formatCode>
                <c:ptCount val="61"/>
              </c:numCache>
            </c:numRef>
          </c:yVal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data0!$W$2:$W$62</c:f>
              <c:numCache>
                <c:formatCode>0.0</c:formatCode>
                <c:ptCount val="61"/>
              </c:numCache>
            </c:numRef>
          </c:yVal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data0!$X$2:$X$62</c:f>
              <c:numCache>
                <c:formatCode>0.0</c:formatCode>
                <c:ptCount val="61"/>
              </c:numCache>
            </c:numRef>
          </c:yVal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data0!$Y$2:$Y$62</c:f>
              <c:numCache>
                <c:formatCode>0.0</c:formatCode>
                <c:ptCount val="61"/>
              </c:numCache>
            </c:numRef>
          </c:yVal>
        </c:ser>
        <c:axId val="148810752"/>
        <c:axId val="148837120"/>
      </c:scatterChart>
      <c:valAx>
        <c:axId val="14881075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8837120"/>
        <c:crosses val="autoZero"/>
        <c:crossBetween val="midCat"/>
        <c:majorUnit val="15"/>
        <c:minorUnit val="5"/>
      </c:valAx>
      <c:valAx>
        <c:axId val="148837120"/>
        <c:scaling>
          <c:orientation val="minMax"/>
        </c:scaling>
        <c:axPos val="l"/>
        <c:majorGridlines/>
        <c:numFmt formatCode="0.0" sourceLinked="1"/>
        <c:tickLblPos val="nextTo"/>
        <c:crossAx val="1488107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data0!$Z$2:$Z$62</c:f>
              <c:numCache>
                <c:formatCode>0.0</c:formatCode>
                <c:ptCount val="61"/>
              </c:numCache>
            </c:numRef>
          </c:yVal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data0!$AA$2:$AA$62</c:f>
              <c:numCache>
                <c:formatCode>0.0</c:formatCode>
                <c:ptCount val="61"/>
              </c:numCache>
            </c:numRef>
          </c:yVal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data0!$AB$2:$AB$62</c:f>
              <c:numCache>
                <c:formatCode>0.0</c:formatCode>
                <c:ptCount val="61"/>
              </c:numCache>
            </c:numRef>
          </c:yVal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data0!$AC$2:$AC$62</c:f>
              <c:numCache>
                <c:formatCode>0.0</c:formatCode>
                <c:ptCount val="61"/>
              </c:numCache>
            </c:numRef>
          </c:yVal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data0!$AD$2:$AD$62</c:f>
              <c:numCache>
                <c:formatCode>0.0</c:formatCode>
                <c:ptCount val="61"/>
              </c:numCache>
            </c:numRef>
          </c:yVal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data0!$AE$2:$AE$62</c:f>
              <c:numCache>
                <c:formatCode>0.0</c:formatCode>
                <c:ptCount val="61"/>
              </c:numCache>
            </c:numRef>
          </c:yVal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data0!$AF$2:$AF$62</c:f>
              <c:numCache>
                <c:formatCode>0.0</c:formatCode>
                <c:ptCount val="61"/>
              </c:numCache>
            </c:numRef>
          </c:yVal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data0!$AG$2:$AG$62</c:f>
              <c:numCache>
                <c:formatCode>0.0</c:formatCode>
                <c:ptCount val="61"/>
              </c:numCache>
            </c:numRef>
          </c:yVal>
        </c:ser>
        <c:axId val="148891136"/>
        <c:axId val="148892672"/>
      </c:scatterChart>
      <c:valAx>
        <c:axId val="14889113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8892672"/>
        <c:crosses val="autoZero"/>
        <c:crossBetween val="midCat"/>
        <c:majorUnit val="15"/>
        <c:minorUnit val="5"/>
      </c:valAx>
      <c:valAx>
        <c:axId val="148892672"/>
        <c:scaling>
          <c:orientation val="minMax"/>
        </c:scaling>
        <c:axPos val="l"/>
        <c:majorGridlines/>
        <c:numFmt formatCode="0.0" sourceLinked="1"/>
        <c:tickLblPos val="nextTo"/>
        <c:crossAx val="1488911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data1!$I$2:$I$182</c:f>
              <c:numCache>
                <c:formatCode>0.0</c:formatCode>
                <c:ptCount val="181"/>
              </c:numCache>
            </c:numRef>
          </c:yVal>
          <c:smooth val="1"/>
        </c:ser>
        <c:axId val="149153664"/>
        <c:axId val="149155200"/>
      </c:scatterChart>
      <c:valAx>
        <c:axId val="14915366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9155200"/>
        <c:crosses val="autoZero"/>
        <c:crossBetween val="midCat"/>
        <c:majorUnit val="15"/>
        <c:minorUnit val="5"/>
      </c:valAx>
      <c:valAx>
        <c:axId val="14915520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91536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data1!$Q$2:$Q$182</c:f>
              <c:numCache>
                <c:formatCode>0.0</c:formatCode>
                <c:ptCount val="181"/>
              </c:numCache>
            </c:numRef>
          </c:yVal>
          <c:smooth val="1"/>
        </c:ser>
        <c:axId val="149176704"/>
        <c:axId val="149178240"/>
      </c:scatterChart>
      <c:valAx>
        <c:axId val="14917670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9178240"/>
        <c:crosses val="autoZero"/>
        <c:crossBetween val="midCat"/>
        <c:majorUnit val="15"/>
        <c:minorUnit val="5"/>
      </c:valAx>
      <c:valAx>
        <c:axId val="14917824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91767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data1!$Y$2:$Y$182</c:f>
              <c:numCache>
                <c:formatCode>0.0</c:formatCode>
                <c:ptCount val="181"/>
              </c:numCache>
            </c:numRef>
          </c:yVal>
          <c:smooth val="1"/>
        </c:ser>
        <c:axId val="149215872"/>
        <c:axId val="149246336"/>
      </c:scatterChart>
      <c:valAx>
        <c:axId val="1492158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9246336"/>
        <c:crosses val="autoZero"/>
        <c:crossBetween val="midCat"/>
        <c:majorUnit val="15"/>
        <c:minorUnit val="5"/>
      </c:valAx>
      <c:valAx>
        <c:axId val="14924633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921587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data1!$AG$2:$AG$182</c:f>
              <c:numCache>
                <c:formatCode>0.0</c:formatCode>
                <c:ptCount val="181"/>
              </c:numCache>
            </c:numRef>
          </c:yVal>
          <c:smooth val="1"/>
        </c:ser>
        <c:axId val="149369984"/>
        <c:axId val="149371520"/>
      </c:scatterChart>
      <c:valAx>
        <c:axId val="14936998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9371520"/>
        <c:crosses val="autoZero"/>
        <c:crossBetween val="midCat"/>
        <c:majorUnit val="15"/>
        <c:minorUnit val="5"/>
      </c:valAx>
      <c:valAx>
        <c:axId val="1493715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936998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data1!$Q$2:$Q$182</c:f>
              <c:numCache>
                <c:formatCode>0.0</c:formatCode>
                <c:ptCount val="181"/>
              </c:numCache>
            </c:numRef>
          </c:yVal>
        </c:ser>
        <c:axId val="149429632"/>
        <c:axId val="149439616"/>
      </c:scatterChart>
      <c:valAx>
        <c:axId val="14942963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9439616"/>
        <c:crosses val="autoZero"/>
        <c:crossBetween val="midCat"/>
        <c:majorUnit val="15"/>
        <c:minorUnit val="5"/>
      </c:valAx>
      <c:valAx>
        <c:axId val="149439616"/>
        <c:scaling>
          <c:orientation val="minMax"/>
        </c:scaling>
        <c:axPos val="l"/>
        <c:majorGridlines/>
        <c:numFmt formatCode="0.0" sourceLinked="1"/>
        <c:tickLblPos val="nextTo"/>
        <c:crossAx val="1494296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data1!$Y$2:$Y$182</c:f>
              <c:numCache>
                <c:formatCode>0.0</c:formatCode>
                <c:ptCount val="181"/>
              </c:numCache>
            </c:numRef>
          </c:yVal>
        </c:ser>
        <c:axId val="149559168"/>
        <c:axId val="149560704"/>
      </c:scatterChart>
      <c:valAx>
        <c:axId val="14955916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9560704"/>
        <c:crosses val="autoZero"/>
        <c:crossBetween val="midCat"/>
        <c:majorUnit val="15"/>
        <c:minorUnit val="5"/>
      </c:valAx>
      <c:valAx>
        <c:axId val="149560704"/>
        <c:scaling>
          <c:orientation val="minMax"/>
        </c:scaling>
        <c:axPos val="l"/>
        <c:majorGridlines/>
        <c:numFmt formatCode="0.0" sourceLinked="1"/>
        <c:tickLblPos val="nextTo"/>
        <c:crossAx val="1495591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data1!$AG$2:$AG$182</c:f>
              <c:numCache>
                <c:formatCode>0.0</c:formatCode>
                <c:ptCount val="181"/>
              </c:numCache>
            </c:numRef>
          </c:yVal>
        </c:ser>
        <c:axId val="149700992"/>
        <c:axId val="149702528"/>
      </c:scatterChart>
      <c:valAx>
        <c:axId val="14970099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9702528"/>
        <c:crosses val="autoZero"/>
        <c:crossBetween val="midCat"/>
        <c:majorUnit val="15"/>
        <c:minorUnit val="5"/>
      </c:valAx>
      <c:valAx>
        <c:axId val="149702528"/>
        <c:scaling>
          <c:orientation val="minMax"/>
        </c:scaling>
        <c:axPos val="l"/>
        <c:majorGridlines/>
        <c:numFmt formatCode="0.0" sourceLinked="1"/>
        <c:tickLblPos val="nextTo"/>
        <c:crossAx val="1497009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data2!$B$2:$B$62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1"/>
          <c:order val="1"/>
          <c:tx>
            <c:strRef>
              <c:f>data2!$C$1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data2!$C$2:$C$62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2"/>
          <c:order val="2"/>
          <c:tx>
            <c:strRef>
              <c:f>data2!$D$1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data2!$D$2:$D$62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3"/>
          <c:order val="3"/>
          <c:tx>
            <c:strRef>
              <c:f>data2!$E$1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data2!$E$2:$E$62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4"/>
          <c:order val="4"/>
          <c:tx>
            <c:strRef>
              <c:f>data2!$F$1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data2!$F$2:$F$62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5"/>
          <c:order val="5"/>
          <c:tx>
            <c:strRef>
              <c:f>data2!$G$1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data2!$G$2:$G$62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6"/>
          <c:order val="6"/>
          <c:tx>
            <c:strRef>
              <c:f>data2!$H$1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data2!$H$2:$H$62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7"/>
          <c:order val="7"/>
          <c:tx>
            <c:strRef>
              <c:f>data2!$I$1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data2!$I$2:$I$62</c:f>
              <c:numCache>
                <c:formatCode>0.0</c:formatCode>
                <c:ptCount val="61"/>
              </c:numCache>
            </c:numRef>
          </c:yVal>
          <c:smooth val="1"/>
        </c:ser>
        <c:axId val="149855232"/>
        <c:axId val="149877504"/>
      </c:scatterChart>
      <c:valAx>
        <c:axId val="1498552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9877504"/>
        <c:crosses val="autoZero"/>
        <c:crossBetween val="midCat"/>
        <c:majorUnit val="15"/>
        <c:minorUnit val="5"/>
      </c:valAx>
      <c:valAx>
        <c:axId val="14987750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98552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data2!$J$2:$J$62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data2!$K$2:$K$62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data2!$L$2:$L$62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data2!$M$2:$M$62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data2!$N$2:$N$62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data2!$O$2:$O$62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data2!$P$2:$P$62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data2!$Q$2:$Q$62</c:f>
              <c:numCache>
                <c:formatCode>0.0</c:formatCode>
                <c:ptCount val="61"/>
              </c:numCache>
            </c:numRef>
          </c:yVal>
          <c:smooth val="1"/>
        </c:ser>
        <c:axId val="149927424"/>
        <c:axId val="149928960"/>
      </c:scatterChart>
      <c:valAx>
        <c:axId val="14992742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9928960"/>
        <c:crosses val="autoZero"/>
        <c:crossBetween val="midCat"/>
        <c:majorUnit val="15"/>
        <c:minorUnit val="5"/>
      </c:valAx>
      <c:valAx>
        <c:axId val="14992896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99274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data2!$R$2:$R$62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data2!$S$2:$S$62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data2!$T$2:$T$62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data2!$U$2:$U$62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data2!$V$2:$V$62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data2!$W$2:$W$62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data2!$X$2:$X$62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data2!$Y$2:$Y$62</c:f>
              <c:numCache>
                <c:formatCode>0.0</c:formatCode>
                <c:ptCount val="61"/>
              </c:numCache>
            </c:numRef>
          </c:yVal>
          <c:smooth val="1"/>
        </c:ser>
        <c:axId val="150008192"/>
        <c:axId val="150009728"/>
      </c:scatterChart>
      <c:valAx>
        <c:axId val="15000819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0009728"/>
        <c:crosses val="autoZero"/>
        <c:crossBetween val="midCat"/>
        <c:majorUnit val="15"/>
        <c:minorUnit val="5"/>
      </c:valAx>
      <c:valAx>
        <c:axId val="1500097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00081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data2!$Z$2:$Z$62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data2!$AA$2:$AA$62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data2!$AB$2:$AB$62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data2!$AC$2:$AC$62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data2!$AD$2:$AD$62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data2!$AE$2:$AE$62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data2!$AF$2:$AF$62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data2!$AG$2:$AG$62</c:f>
              <c:numCache>
                <c:formatCode>0.0</c:formatCode>
                <c:ptCount val="61"/>
              </c:numCache>
            </c:numRef>
          </c:yVal>
          <c:smooth val="1"/>
        </c:ser>
        <c:axId val="150071936"/>
        <c:axId val="150094208"/>
      </c:scatterChart>
      <c:valAx>
        <c:axId val="15007193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0094208"/>
        <c:crosses val="autoZero"/>
        <c:crossBetween val="midCat"/>
        <c:majorUnit val="15"/>
        <c:minorUnit val="5"/>
      </c:valAx>
      <c:valAx>
        <c:axId val="15009420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00719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data3!$B$2:$B$62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1"/>
          <c:order val="1"/>
          <c:tx>
            <c:strRef>
              <c:f>data3!$C$1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data3!$C$2:$C$62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2"/>
          <c:order val="2"/>
          <c:tx>
            <c:strRef>
              <c:f>data3!$D$1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data3!$D$2:$D$62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3"/>
          <c:order val="3"/>
          <c:tx>
            <c:strRef>
              <c:f>data3!$E$1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data3!$E$2:$E$62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4"/>
          <c:order val="4"/>
          <c:tx>
            <c:strRef>
              <c:f>data3!$F$1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data3!$F$2:$F$62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5"/>
          <c:order val="5"/>
          <c:tx>
            <c:strRef>
              <c:f>data3!$G$1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data3!$G$2:$G$62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6"/>
          <c:order val="6"/>
          <c:tx>
            <c:strRef>
              <c:f>data3!$H$1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data3!$H$2:$H$62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7"/>
          <c:order val="7"/>
          <c:tx>
            <c:strRef>
              <c:f>data3!$I$1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data3!$I$2:$I$62</c:f>
              <c:numCache>
                <c:formatCode>0.0</c:formatCode>
                <c:ptCount val="61"/>
              </c:numCache>
            </c:numRef>
          </c:yVal>
          <c:smooth val="1"/>
        </c:ser>
        <c:axId val="150383616"/>
        <c:axId val="150393600"/>
      </c:scatterChart>
      <c:valAx>
        <c:axId val="1503836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0393600"/>
        <c:crosses val="autoZero"/>
        <c:crossBetween val="midCat"/>
        <c:majorUnit val="15"/>
        <c:minorUnit val="5"/>
      </c:valAx>
      <c:valAx>
        <c:axId val="15039360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03836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data3!$J$2:$J$62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data3!$K$2:$K$62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data3!$L$2:$L$62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data3!$M$2:$M$62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data3!$N$2:$N$62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data3!$O$2:$O$62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data3!$P$2:$P$62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data3!$Q$2:$Q$62</c:f>
              <c:numCache>
                <c:formatCode>0.0</c:formatCode>
                <c:ptCount val="61"/>
              </c:numCache>
            </c:numRef>
          </c:yVal>
          <c:smooth val="1"/>
        </c:ser>
        <c:axId val="150406656"/>
        <c:axId val="150408192"/>
      </c:scatterChart>
      <c:valAx>
        <c:axId val="1504066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0408192"/>
        <c:crosses val="autoZero"/>
        <c:crossBetween val="midCat"/>
        <c:majorUnit val="15"/>
        <c:minorUnit val="5"/>
      </c:valAx>
      <c:valAx>
        <c:axId val="1504081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040665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data3!$R$2:$R$62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data3!$S$2:$S$62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data3!$T$2:$T$62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data3!$U$2:$U$62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data3!$V$2:$V$62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data3!$W$2:$W$62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data3!$X$2:$X$62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data3!$Y$2:$Y$62</c:f>
              <c:numCache>
                <c:formatCode>0.0</c:formatCode>
                <c:ptCount val="61"/>
              </c:numCache>
            </c:numRef>
          </c:yVal>
          <c:smooth val="1"/>
        </c:ser>
        <c:axId val="150479232"/>
        <c:axId val="150480768"/>
      </c:scatterChart>
      <c:valAx>
        <c:axId val="1504792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0480768"/>
        <c:crosses val="autoZero"/>
        <c:crossBetween val="midCat"/>
        <c:majorUnit val="15"/>
        <c:minorUnit val="5"/>
      </c:valAx>
      <c:valAx>
        <c:axId val="1504807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04792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data3!$Z$2:$Z$62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data3!$AA$2:$AA$62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data3!$AB$2:$AB$62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data3!$AC$2:$AC$62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data3!$AD$2:$AD$62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data3!$AE$2:$AE$62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data3!$AF$2:$AF$62</c:f>
              <c:numCache>
                <c:formatCode>0.0</c:formatCode>
                <c:ptCount val="61"/>
              </c:numCache>
            </c:numRef>
          </c:yVal>
          <c:smooth val="1"/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data3!$A$2:$A$62</c:f>
              <c:numCache>
                <c:formatCode>General</c:formatCode>
                <c:ptCount val="61"/>
                <c:pt idx="0">
                  <c:v>-90</c:v>
                </c:pt>
                <c:pt idx="1">
                  <c:v>-87</c:v>
                </c:pt>
                <c:pt idx="2">
                  <c:v>-84</c:v>
                </c:pt>
                <c:pt idx="3">
                  <c:v>-81</c:v>
                </c:pt>
                <c:pt idx="4">
                  <c:v>-78</c:v>
                </c:pt>
                <c:pt idx="5">
                  <c:v>-75</c:v>
                </c:pt>
                <c:pt idx="6">
                  <c:v>-72</c:v>
                </c:pt>
                <c:pt idx="7">
                  <c:v>-69</c:v>
                </c:pt>
                <c:pt idx="8">
                  <c:v>-66</c:v>
                </c:pt>
                <c:pt idx="9">
                  <c:v>-63</c:v>
                </c:pt>
                <c:pt idx="10">
                  <c:v>-60</c:v>
                </c:pt>
                <c:pt idx="11">
                  <c:v>-57</c:v>
                </c:pt>
                <c:pt idx="12">
                  <c:v>-54</c:v>
                </c:pt>
                <c:pt idx="13">
                  <c:v>-51</c:v>
                </c:pt>
                <c:pt idx="14">
                  <c:v>-48</c:v>
                </c:pt>
                <c:pt idx="15">
                  <c:v>-45</c:v>
                </c:pt>
                <c:pt idx="16">
                  <c:v>-42</c:v>
                </c:pt>
                <c:pt idx="17">
                  <c:v>-39</c:v>
                </c:pt>
                <c:pt idx="18">
                  <c:v>-36</c:v>
                </c:pt>
                <c:pt idx="19">
                  <c:v>-33</c:v>
                </c:pt>
                <c:pt idx="20">
                  <c:v>-30</c:v>
                </c:pt>
                <c:pt idx="21">
                  <c:v>-27</c:v>
                </c:pt>
                <c:pt idx="22">
                  <c:v>-24</c:v>
                </c:pt>
                <c:pt idx="23">
                  <c:v>-21</c:v>
                </c:pt>
                <c:pt idx="24">
                  <c:v>-18</c:v>
                </c:pt>
                <c:pt idx="25">
                  <c:v>-15</c:v>
                </c:pt>
                <c:pt idx="26">
                  <c:v>-12</c:v>
                </c:pt>
                <c:pt idx="27">
                  <c:v>-9</c:v>
                </c:pt>
                <c:pt idx="28">
                  <c:v>-6</c:v>
                </c:pt>
                <c:pt idx="29">
                  <c:v>-3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18</c:v>
                </c:pt>
                <c:pt idx="37">
                  <c:v>21</c:v>
                </c:pt>
                <c:pt idx="38">
                  <c:v>24</c:v>
                </c:pt>
                <c:pt idx="39">
                  <c:v>27</c:v>
                </c:pt>
                <c:pt idx="40">
                  <c:v>30</c:v>
                </c:pt>
                <c:pt idx="41">
                  <c:v>33</c:v>
                </c:pt>
                <c:pt idx="42">
                  <c:v>36</c:v>
                </c:pt>
                <c:pt idx="43">
                  <c:v>39</c:v>
                </c:pt>
                <c:pt idx="44">
                  <c:v>42</c:v>
                </c:pt>
                <c:pt idx="45">
                  <c:v>45</c:v>
                </c:pt>
                <c:pt idx="46">
                  <c:v>48</c:v>
                </c:pt>
                <c:pt idx="47">
                  <c:v>51</c:v>
                </c:pt>
                <c:pt idx="48">
                  <c:v>54</c:v>
                </c:pt>
                <c:pt idx="49">
                  <c:v>57</c:v>
                </c:pt>
                <c:pt idx="50">
                  <c:v>60</c:v>
                </c:pt>
                <c:pt idx="51">
                  <c:v>63</c:v>
                </c:pt>
                <c:pt idx="52">
                  <c:v>66</c:v>
                </c:pt>
                <c:pt idx="53">
                  <c:v>69</c:v>
                </c:pt>
                <c:pt idx="54">
                  <c:v>72</c:v>
                </c:pt>
                <c:pt idx="55">
                  <c:v>75</c:v>
                </c:pt>
                <c:pt idx="56">
                  <c:v>78</c:v>
                </c:pt>
                <c:pt idx="57">
                  <c:v>81</c:v>
                </c:pt>
                <c:pt idx="58">
                  <c:v>84</c:v>
                </c:pt>
                <c:pt idx="59">
                  <c:v>87</c:v>
                </c:pt>
                <c:pt idx="60">
                  <c:v>90</c:v>
                </c:pt>
              </c:numCache>
            </c:numRef>
          </c:xVal>
          <c:yVal>
            <c:numRef>
              <c:f>data3!$AG$2:$AG$62</c:f>
              <c:numCache>
                <c:formatCode>0.0</c:formatCode>
                <c:ptCount val="61"/>
              </c:numCache>
            </c:numRef>
          </c:yVal>
          <c:smooth val="1"/>
        </c:ser>
        <c:axId val="150522496"/>
        <c:axId val="150557056"/>
      </c:scatterChart>
      <c:valAx>
        <c:axId val="15052249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0557056"/>
        <c:crosses val="autoZero"/>
        <c:crossBetween val="midCat"/>
        <c:majorUnit val="15"/>
        <c:minorUnit val="5"/>
      </c:valAx>
      <c:valAx>
        <c:axId val="1505570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05224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4" Type="http://schemas.openxmlformats.org/officeDocument/2006/relationships/chart" Target="../charts/chart4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4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5" Type="http://schemas.openxmlformats.org/officeDocument/2006/relationships/chart" Target="../charts/chart53.xml"/><Relationship Id="rId4" Type="http://schemas.openxmlformats.org/officeDocument/2006/relationships/chart" Target="../charts/chart5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4" Type="http://schemas.openxmlformats.org/officeDocument/2006/relationships/chart" Target="../charts/chart5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4" Type="http://schemas.openxmlformats.org/officeDocument/2006/relationships/chart" Target="../charts/chart6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335075</xdr:colOff>
      <xdr:row>8</xdr:row>
      <xdr:rowOff>151379</xdr:rowOff>
    </xdr:from>
    <xdr:to>
      <xdr:col>7</xdr:col>
      <xdr:colOff>585106</xdr:colOff>
      <xdr:row>23</xdr:row>
      <xdr:rowOff>6803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595314</xdr:colOff>
      <xdr:row>8</xdr:row>
      <xdr:rowOff>176891</xdr:rowOff>
    </xdr:from>
    <xdr:to>
      <xdr:col>16</xdr:col>
      <xdr:colOff>23814</xdr:colOff>
      <xdr:row>23</xdr:row>
      <xdr:rowOff>56128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24</xdr:row>
      <xdr:rowOff>11908</xdr:rowOff>
    </xdr:from>
    <xdr:to>
      <xdr:col>6</xdr:col>
      <xdr:colOff>202406</xdr:colOff>
      <xdr:row>38</xdr:row>
      <xdr:rowOff>23814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190500</xdr:colOff>
      <xdr:row>24</xdr:row>
      <xdr:rowOff>0</xdr:rowOff>
    </xdr:from>
    <xdr:to>
      <xdr:col>12</xdr:col>
      <xdr:colOff>582044</xdr:colOff>
      <xdr:row>38</xdr:row>
      <xdr:rowOff>81643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583406</xdr:colOff>
      <xdr:row>24</xdr:row>
      <xdr:rowOff>0</xdr:rowOff>
    </xdr:from>
    <xdr:to>
      <xdr:col>18</xdr:col>
      <xdr:colOff>451076</xdr:colOff>
      <xdr:row>38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452438</xdr:colOff>
      <xdr:row>24</xdr:row>
      <xdr:rowOff>0</xdr:rowOff>
    </xdr:from>
    <xdr:to>
      <xdr:col>25</xdr:col>
      <xdr:colOff>10544</xdr:colOff>
      <xdr:row>38</xdr:row>
      <xdr:rowOff>81643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39</xdr:row>
      <xdr:rowOff>11908</xdr:rowOff>
    </xdr:from>
    <xdr:to>
      <xdr:col>6</xdr:col>
      <xdr:colOff>202406</xdr:colOff>
      <xdr:row>53</xdr:row>
      <xdr:rowOff>23814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190500</xdr:colOff>
      <xdr:row>39</xdr:row>
      <xdr:rowOff>0</xdr:rowOff>
    </xdr:from>
    <xdr:to>
      <xdr:col>12</xdr:col>
      <xdr:colOff>582044</xdr:colOff>
      <xdr:row>53</xdr:row>
      <xdr:rowOff>81643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583406</xdr:colOff>
      <xdr:row>39</xdr:row>
      <xdr:rowOff>0</xdr:rowOff>
    </xdr:from>
    <xdr:to>
      <xdr:col>18</xdr:col>
      <xdr:colOff>451076</xdr:colOff>
      <xdr:row>53</xdr:row>
      <xdr:rowOff>81643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452438</xdr:colOff>
      <xdr:row>39</xdr:row>
      <xdr:rowOff>0</xdr:rowOff>
    </xdr:from>
    <xdr:to>
      <xdr:col>25</xdr:col>
      <xdr:colOff>10544</xdr:colOff>
      <xdr:row>53</xdr:row>
      <xdr:rowOff>81643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54</xdr:row>
      <xdr:rowOff>11908</xdr:rowOff>
    </xdr:from>
    <xdr:to>
      <xdr:col>6</xdr:col>
      <xdr:colOff>202406</xdr:colOff>
      <xdr:row>68</xdr:row>
      <xdr:rowOff>23814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190500</xdr:colOff>
      <xdr:row>54</xdr:row>
      <xdr:rowOff>0</xdr:rowOff>
    </xdr:from>
    <xdr:to>
      <xdr:col>12</xdr:col>
      <xdr:colOff>582044</xdr:colOff>
      <xdr:row>68</xdr:row>
      <xdr:rowOff>81643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583406</xdr:colOff>
      <xdr:row>54</xdr:row>
      <xdr:rowOff>0</xdr:rowOff>
    </xdr:from>
    <xdr:to>
      <xdr:col>18</xdr:col>
      <xdr:colOff>451076</xdr:colOff>
      <xdr:row>68</xdr:row>
      <xdr:rowOff>81643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452438</xdr:colOff>
      <xdr:row>54</xdr:row>
      <xdr:rowOff>0</xdr:rowOff>
    </xdr:from>
    <xdr:to>
      <xdr:col>25</xdr:col>
      <xdr:colOff>10544</xdr:colOff>
      <xdr:row>68</xdr:row>
      <xdr:rowOff>81643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69</xdr:row>
      <xdr:rowOff>11908</xdr:rowOff>
    </xdr:from>
    <xdr:to>
      <xdr:col>6</xdr:col>
      <xdr:colOff>202406</xdr:colOff>
      <xdr:row>83</xdr:row>
      <xdr:rowOff>23814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190500</xdr:colOff>
      <xdr:row>69</xdr:row>
      <xdr:rowOff>0</xdr:rowOff>
    </xdr:from>
    <xdr:to>
      <xdr:col>12</xdr:col>
      <xdr:colOff>582044</xdr:colOff>
      <xdr:row>83</xdr:row>
      <xdr:rowOff>81643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583406</xdr:colOff>
      <xdr:row>69</xdr:row>
      <xdr:rowOff>0</xdr:rowOff>
    </xdr:from>
    <xdr:to>
      <xdr:col>18</xdr:col>
      <xdr:colOff>451076</xdr:colOff>
      <xdr:row>83</xdr:row>
      <xdr:rowOff>81643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452438</xdr:colOff>
      <xdr:row>69</xdr:row>
      <xdr:rowOff>0</xdr:rowOff>
    </xdr:from>
    <xdr:to>
      <xdr:col>25</xdr:col>
      <xdr:colOff>10544</xdr:colOff>
      <xdr:row>83</xdr:row>
      <xdr:rowOff>81643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</xdr:colOff>
      <xdr:row>12</xdr:row>
      <xdr:rowOff>1</xdr:rowOff>
    </xdr:from>
    <xdr:to>
      <xdr:col>27</xdr:col>
      <xdr:colOff>435429</xdr:colOff>
      <xdr:row>26</xdr:row>
      <xdr:rowOff>81643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13607</xdr:colOff>
      <xdr:row>11</xdr:row>
      <xdr:rowOff>176893</xdr:rowOff>
    </xdr:from>
    <xdr:to>
      <xdr:col>37</xdr:col>
      <xdr:colOff>449035</xdr:colOff>
      <xdr:row>26</xdr:row>
      <xdr:rowOff>68036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517069</xdr:colOff>
      <xdr:row>26</xdr:row>
      <xdr:rowOff>176894</xdr:rowOff>
    </xdr:from>
    <xdr:to>
      <xdr:col>27</xdr:col>
      <xdr:colOff>435426</xdr:colOff>
      <xdr:row>41</xdr:row>
      <xdr:rowOff>68036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13607</xdr:colOff>
      <xdr:row>42</xdr:row>
      <xdr:rowOff>0</xdr:rowOff>
    </xdr:from>
    <xdr:to>
      <xdr:col>27</xdr:col>
      <xdr:colOff>449035</xdr:colOff>
      <xdr:row>56</xdr:row>
      <xdr:rowOff>81642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0</xdr:colOff>
      <xdr:row>26</xdr:row>
      <xdr:rowOff>176893</xdr:rowOff>
    </xdr:from>
    <xdr:to>
      <xdr:col>37</xdr:col>
      <xdr:colOff>435428</xdr:colOff>
      <xdr:row>41</xdr:row>
      <xdr:rowOff>68035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0</xdr:colOff>
      <xdr:row>41</xdr:row>
      <xdr:rowOff>176893</xdr:rowOff>
    </xdr:from>
    <xdr:to>
      <xdr:col>37</xdr:col>
      <xdr:colOff>435428</xdr:colOff>
      <xdr:row>56</xdr:row>
      <xdr:rowOff>68035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503463</xdr:colOff>
      <xdr:row>67</xdr:row>
      <xdr:rowOff>-1</xdr:rowOff>
    </xdr:from>
    <xdr:to>
      <xdr:col>30</xdr:col>
      <xdr:colOff>503463</xdr:colOff>
      <xdr:row>81</xdr:row>
      <xdr:rowOff>81642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607218</xdr:colOff>
      <xdr:row>7</xdr:row>
      <xdr:rowOff>23813</xdr:rowOff>
    </xdr:from>
    <xdr:to>
      <xdr:col>11</xdr:col>
      <xdr:colOff>547687</xdr:colOff>
      <xdr:row>21</xdr:row>
      <xdr:rowOff>95251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7</xdr:row>
      <xdr:rowOff>0</xdr:rowOff>
    </xdr:from>
    <xdr:to>
      <xdr:col>19</xdr:col>
      <xdr:colOff>559594</xdr:colOff>
      <xdr:row>21</xdr:row>
      <xdr:rowOff>71438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7</xdr:row>
      <xdr:rowOff>0</xdr:rowOff>
    </xdr:from>
    <xdr:to>
      <xdr:col>27</xdr:col>
      <xdr:colOff>559594</xdr:colOff>
      <xdr:row>21</xdr:row>
      <xdr:rowOff>71438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0</xdr:colOff>
      <xdr:row>7</xdr:row>
      <xdr:rowOff>0</xdr:rowOff>
    </xdr:from>
    <xdr:to>
      <xdr:col>35</xdr:col>
      <xdr:colOff>559594</xdr:colOff>
      <xdr:row>21</xdr:row>
      <xdr:rowOff>71438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11906</xdr:colOff>
      <xdr:row>7</xdr:row>
      <xdr:rowOff>23812</xdr:rowOff>
    </xdr:from>
    <xdr:to>
      <xdr:col>11</xdr:col>
      <xdr:colOff>595313</xdr:colOff>
      <xdr:row>21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7</xdr:row>
      <xdr:rowOff>0</xdr:rowOff>
    </xdr:from>
    <xdr:to>
      <xdr:col>19</xdr:col>
      <xdr:colOff>583407</xdr:colOff>
      <xdr:row>21</xdr:row>
      <xdr:rowOff>71438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7</xdr:row>
      <xdr:rowOff>0</xdr:rowOff>
    </xdr:from>
    <xdr:to>
      <xdr:col>27</xdr:col>
      <xdr:colOff>583407</xdr:colOff>
      <xdr:row>21</xdr:row>
      <xdr:rowOff>71438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0</xdr:colOff>
      <xdr:row>7</xdr:row>
      <xdr:rowOff>0</xdr:rowOff>
    </xdr:from>
    <xdr:to>
      <xdr:col>35</xdr:col>
      <xdr:colOff>583407</xdr:colOff>
      <xdr:row>21</xdr:row>
      <xdr:rowOff>71438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11906</xdr:colOff>
      <xdr:row>7</xdr:row>
      <xdr:rowOff>11906</xdr:rowOff>
    </xdr:from>
    <xdr:to>
      <xdr:col>11</xdr:col>
      <xdr:colOff>607220</xdr:colOff>
      <xdr:row>21</xdr:row>
      <xdr:rowOff>83344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7</xdr:row>
      <xdr:rowOff>0</xdr:rowOff>
    </xdr:from>
    <xdr:to>
      <xdr:col>19</xdr:col>
      <xdr:colOff>595314</xdr:colOff>
      <xdr:row>21</xdr:row>
      <xdr:rowOff>71438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7</xdr:row>
      <xdr:rowOff>0</xdr:rowOff>
    </xdr:from>
    <xdr:to>
      <xdr:col>27</xdr:col>
      <xdr:colOff>595314</xdr:colOff>
      <xdr:row>21</xdr:row>
      <xdr:rowOff>71438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0</xdr:colOff>
      <xdr:row>7</xdr:row>
      <xdr:rowOff>0</xdr:rowOff>
    </xdr:from>
    <xdr:to>
      <xdr:col>35</xdr:col>
      <xdr:colOff>595314</xdr:colOff>
      <xdr:row>21</xdr:row>
      <xdr:rowOff>71438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11906</xdr:colOff>
      <xdr:row>7</xdr:row>
      <xdr:rowOff>11906</xdr:rowOff>
    </xdr:from>
    <xdr:to>
      <xdr:col>11</xdr:col>
      <xdr:colOff>607219</xdr:colOff>
      <xdr:row>21</xdr:row>
      <xdr:rowOff>83344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7</xdr:row>
      <xdr:rowOff>0</xdr:rowOff>
    </xdr:from>
    <xdr:to>
      <xdr:col>19</xdr:col>
      <xdr:colOff>595313</xdr:colOff>
      <xdr:row>21</xdr:row>
      <xdr:rowOff>71438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7</xdr:row>
      <xdr:rowOff>0</xdr:rowOff>
    </xdr:from>
    <xdr:to>
      <xdr:col>27</xdr:col>
      <xdr:colOff>595313</xdr:colOff>
      <xdr:row>21</xdr:row>
      <xdr:rowOff>71438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0</xdr:colOff>
      <xdr:row>7</xdr:row>
      <xdr:rowOff>0</xdr:rowOff>
    </xdr:from>
    <xdr:to>
      <xdr:col>35</xdr:col>
      <xdr:colOff>595313</xdr:colOff>
      <xdr:row>21</xdr:row>
      <xdr:rowOff>71438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357188</xdr:colOff>
      <xdr:row>2</xdr:row>
      <xdr:rowOff>11909</xdr:rowOff>
    </xdr:from>
    <xdr:to>
      <xdr:col>8</xdr:col>
      <xdr:colOff>464344</xdr:colOff>
      <xdr:row>16</xdr:row>
      <xdr:rowOff>23815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package" Target="../embeddings/Microsoft_Office_PowerPoint_Presentation1.pptx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161"/>
  <sheetViews>
    <sheetView tabSelected="1" topLeftCell="E1" zoomScale="110" zoomScaleNormal="110" workbookViewId="0">
      <selection activeCell="T6" sqref="T6"/>
    </sheetView>
  </sheetViews>
  <sheetFormatPr defaultRowHeight="15"/>
  <cols>
    <col min="1" max="1" width="5" bestFit="1" customWidth="1"/>
    <col min="2" max="2" width="25" customWidth="1"/>
    <col min="3" max="3" width="7.7109375" bestFit="1" customWidth="1"/>
    <col min="4" max="5" width="7.140625" bestFit="1" customWidth="1"/>
    <col min="6" max="6" width="7.140625" customWidth="1"/>
    <col min="7" max="7" width="5.7109375" bestFit="1" customWidth="1"/>
    <col min="8" max="8" width="9.140625" customWidth="1"/>
    <col min="13" max="13" width="13.42578125" customWidth="1"/>
    <col min="14" max="14" width="9.28515625" customWidth="1"/>
    <col min="19" max="19" width="10.85546875" customWidth="1"/>
  </cols>
  <sheetData>
    <row r="1" spans="1:24" ht="15.75" thickBot="1">
      <c r="A1" s="106" t="s">
        <v>7</v>
      </c>
      <c r="B1" s="107"/>
      <c r="C1" s="107"/>
      <c r="D1" s="107"/>
      <c r="E1" s="107"/>
      <c r="F1" s="108"/>
      <c r="G1" s="7"/>
      <c r="K1" s="1"/>
    </row>
    <row r="2" spans="1:24" ht="15.75" thickBot="1">
      <c r="A2" s="12" t="s">
        <v>0</v>
      </c>
      <c r="B2" s="8" t="s">
        <v>1</v>
      </c>
      <c r="C2" s="8" t="s">
        <v>25</v>
      </c>
      <c r="D2" s="8" t="s">
        <v>2</v>
      </c>
      <c r="E2" s="8" t="s">
        <v>26</v>
      </c>
      <c r="F2" s="13" t="s">
        <v>3</v>
      </c>
      <c r="H2" s="36"/>
      <c r="I2" s="63" t="s">
        <v>27</v>
      </c>
      <c r="J2" s="57"/>
      <c r="K2" s="58"/>
      <c r="M2" s="109" t="s">
        <v>24</v>
      </c>
      <c r="N2" s="110"/>
      <c r="R2" s="103" t="s">
        <v>38</v>
      </c>
      <c r="S2" s="104"/>
      <c r="T2" s="105"/>
      <c r="V2" s="98" t="s">
        <v>52</v>
      </c>
      <c r="W2" s="98"/>
      <c r="X2" s="98"/>
    </row>
    <row r="3" spans="1:24">
      <c r="A3" s="14">
        <v>1</v>
      </c>
      <c r="B3" s="16" t="s">
        <v>5</v>
      </c>
      <c r="C3" s="17" t="e">
        <f>'4-axis|Calc'!B5</f>
        <v>#VALUE!</v>
      </c>
      <c r="D3" s="17" t="e">
        <f>'4-axis|Calc'!C5</f>
        <v>#VALUE!</v>
      </c>
      <c r="E3" s="17" t="e">
        <f>'4-axis|Calc'!D5</f>
        <v>#VALUE!</v>
      </c>
      <c r="F3" s="18" t="s">
        <v>4</v>
      </c>
      <c r="H3" s="59"/>
      <c r="I3" s="61">
        <f>2*ACOS(0.5)*180/PI()</f>
        <v>119.99999999999999</v>
      </c>
      <c r="J3" s="24"/>
      <c r="K3" s="60"/>
      <c r="M3" s="56" t="s">
        <v>18</v>
      </c>
      <c r="N3" s="95">
        <v>4000</v>
      </c>
      <c r="R3" s="111" t="s">
        <v>39</v>
      </c>
      <c r="S3" s="112"/>
      <c r="T3" s="92">
        <v>1</v>
      </c>
      <c r="V3" s="97" t="s">
        <v>54</v>
      </c>
      <c r="W3" s="97"/>
      <c r="X3" s="94">
        <v>0.8</v>
      </c>
    </row>
    <row r="4" spans="1:24" ht="15.75" thickBot="1">
      <c r="A4" s="15">
        <f>A3+1</f>
        <v>2</v>
      </c>
      <c r="B4" s="19" t="s">
        <v>6</v>
      </c>
      <c r="C4" s="20" t="e">
        <f>'4-axis|Calc'!B8</f>
        <v>#VALUE!</v>
      </c>
      <c r="D4" s="20" t="e">
        <f>'4-axis|Calc'!C8</f>
        <v>#VALUE!</v>
      </c>
      <c r="E4" s="20" t="e">
        <f>'4-axis|Calc'!D8</f>
        <v>#VALUE!</v>
      </c>
      <c r="F4" s="21" t="s">
        <v>4</v>
      </c>
      <c r="H4" s="59"/>
      <c r="I4" s="62">
        <f>2*ACOS(0.9)*180/PI()</f>
        <v>51.683865526334252</v>
      </c>
      <c r="J4" s="24"/>
      <c r="K4" s="60"/>
      <c r="M4" s="32" t="s">
        <v>19</v>
      </c>
      <c r="N4" s="96">
        <v>12</v>
      </c>
      <c r="O4" s="23"/>
      <c r="R4" s="111" t="s">
        <v>40</v>
      </c>
      <c r="S4" s="112"/>
      <c r="T4" s="92">
        <v>1</v>
      </c>
      <c r="V4" s="97" t="s">
        <v>55</v>
      </c>
      <c r="W4" s="97"/>
      <c r="X4" s="94">
        <v>0.7</v>
      </c>
    </row>
    <row r="5" spans="1:24" s="29" customFormat="1" ht="15.75" thickBot="1">
      <c r="A5" s="64"/>
      <c r="B5" s="25"/>
      <c r="C5" s="26"/>
      <c r="D5" s="26"/>
      <c r="E5" s="26"/>
      <c r="F5" s="83"/>
      <c r="H5" s="59"/>
      <c r="I5" s="26"/>
      <c r="J5" s="24"/>
      <c r="K5" s="60"/>
      <c r="M5" s="25"/>
      <c r="N5" s="25"/>
      <c r="O5" s="23"/>
      <c r="R5" s="111" t="s">
        <v>49</v>
      </c>
      <c r="S5" s="112"/>
      <c r="T5" s="92">
        <v>0</v>
      </c>
      <c r="V5" s="97" t="s">
        <v>56</v>
      </c>
      <c r="W5" s="97"/>
      <c r="X5" s="94">
        <v>0.2</v>
      </c>
    </row>
    <row r="6" spans="1:24" ht="15.75" thickBot="1">
      <c r="A6" s="4"/>
      <c r="B6" s="65" t="s">
        <v>28</v>
      </c>
      <c r="C6" s="66" t="e">
        <f>'4-axis|Calc'!V7</f>
        <v>#DIV/0!</v>
      </c>
      <c r="D6" s="7"/>
      <c r="E6" s="68" t="s">
        <v>37</v>
      </c>
      <c r="F6" s="69" t="e">
        <f>'4-axis|Calc'!V8</f>
        <v>#DIV/0!</v>
      </c>
      <c r="G6" s="7"/>
      <c r="H6" s="36"/>
      <c r="I6" s="25"/>
      <c r="J6" s="58"/>
      <c r="K6" s="60"/>
      <c r="R6" s="101" t="s">
        <v>46</v>
      </c>
      <c r="S6" s="102"/>
      <c r="T6" s="93">
        <v>0</v>
      </c>
      <c r="V6" s="97" t="s">
        <v>53</v>
      </c>
      <c r="W6" s="97"/>
      <c r="X6" s="94">
        <v>1.5</v>
      </c>
    </row>
    <row r="7" spans="1:24" ht="15.75" thickBot="1">
      <c r="A7" s="4"/>
      <c r="B7" s="67" t="s">
        <v>29</v>
      </c>
      <c r="C7" s="33">
        <f>'4-axis|Calc'!V6</f>
        <v>0</v>
      </c>
      <c r="D7" s="10"/>
      <c r="E7" s="70" t="s">
        <v>36</v>
      </c>
      <c r="F7" s="82" t="e">
        <f>'4-axis|Calc'!V9</f>
        <v>#DIV/0!</v>
      </c>
      <c r="G7" s="7"/>
      <c r="H7" s="7"/>
      <c r="V7" s="97" t="s">
        <v>50</v>
      </c>
      <c r="W7" s="97"/>
      <c r="X7" s="94">
        <v>30</v>
      </c>
    </row>
    <row r="8" spans="1:24" ht="15.75" thickBot="1">
      <c r="A8" s="4"/>
      <c r="D8" s="9"/>
      <c r="E8" s="70" t="s">
        <v>30</v>
      </c>
      <c r="F8" s="69" t="e">
        <f>(C7-C6)/C6</f>
        <v>#DIV/0!</v>
      </c>
      <c r="K8" s="1"/>
      <c r="V8" s="97" t="s">
        <v>51</v>
      </c>
      <c r="W8" s="97"/>
      <c r="X8" s="4">
        <f>(X6-X5)/TAN(X7*PI()/180)-X3+X4</f>
        <v>2.1516660498395406</v>
      </c>
    </row>
    <row r="9" spans="1:24">
      <c r="A9" s="4"/>
      <c r="D9" s="9"/>
      <c r="E9" s="9"/>
      <c r="K9" s="1"/>
    </row>
    <row r="10" spans="1:24">
      <c r="A10" s="4"/>
      <c r="D10" s="9"/>
      <c r="E10" s="9"/>
      <c r="K10" s="1"/>
      <c r="N10" s="98"/>
      <c r="O10" s="98"/>
      <c r="P10" s="98"/>
    </row>
    <row r="11" spans="1:24">
      <c r="A11" s="4"/>
      <c r="D11" s="9"/>
      <c r="E11" s="9"/>
      <c r="K11" s="1"/>
    </row>
    <row r="12" spans="1:24">
      <c r="A12" s="4"/>
      <c r="D12" s="3"/>
      <c r="E12" s="3"/>
      <c r="F12" s="2"/>
      <c r="K12" s="1"/>
    </row>
    <row r="13" spans="1:24">
      <c r="D13" s="10"/>
      <c r="E13" s="6"/>
      <c r="K13" s="1"/>
      <c r="O13" s="27"/>
    </row>
    <row r="14" spans="1:24">
      <c r="D14" s="9"/>
      <c r="E14" s="9"/>
      <c r="K14" s="1"/>
    </row>
    <row r="15" spans="1:24">
      <c r="D15" s="9"/>
      <c r="E15" s="9"/>
      <c r="K15" s="1"/>
    </row>
    <row r="16" spans="1:24" ht="15.75" thickBot="1">
      <c r="D16" s="9"/>
      <c r="E16" s="9"/>
      <c r="K16" s="1"/>
    </row>
    <row r="17" spans="4:19">
      <c r="D17" s="9"/>
      <c r="E17" s="9"/>
      <c r="K17" s="1"/>
      <c r="R17" s="99" t="s">
        <v>41</v>
      </c>
      <c r="S17" s="100"/>
    </row>
    <row r="18" spans="4:19">
      <c r="K18" s="1"/>
      <c r="O18" s="1"/>
      <c r="R18" s="85" t="s">
        <v>42</v>
      </c>
      <c r="S18" s="84">
        <v>9.6999999999999993</v>
      </c>
    </row>
    <row r="19" spans="4:19">
      <c r="K19" s="1"/>
      <c r="O19" s="1"/>
      <c r="R19" s="85" t="s">
        <v>43</v>
      </c>
      <c r="S19" s="84">
        <v>10.9</v>
      </c>
    </row>
    <row r="20" spans="4:19">
      <c r="K20" s="1"/>
      <c r="O20" s="28"/>
      <c r="R20" s="85" t="s">
        <v>44</v>
      </c>
      <c r="S20" s="89">
        <f>R21*S21</f>
        <v>109.4866</v>
      </c>
    </row>
    <row r="21" spans="4:19">
      <c r="K21" s="1"/>
      <c r="O21" s="28"/>
      <c r="R21" s="90">
        <v>8.7799999999999994</v>
      </c>
      <c r="S21" s="91">
        <v>12.47</v>
      </c>
    </row>
    <row r="22" spans="4:19">
      <c r="K22" s="1"/>
      <c r="R22" s="88" t="s">
        <v>45</v>
      </c>
      <c r="S22" s="84">
        <v>3200</v>
      </c>
    </row>
    <row r="23" spans="4:19" ht="15.75" thickBot="1">
      <c r="K23" s="1"/>
      <c r="R23" s="86" t="s">
        <v>48</v>
      </c>
      <c r="S23" s="87" t="s">
        <v>47</v>
      </c>
    </row>
    <row r="24" spans="4:19">
      <c r="K24" s="1"/>
    </row>
    <row r="25" spans="4:19">
      <c r="K25" s="1"/>
    </row>
    <row r="26" spans="4:19">
      <c r="K26" s="1"/>
    </row>
    <row r="27" spans="4:19">
      <c r="K27" s="1"/>
    </row>
    <row r="28" spans="4:19">
      <c r="K28" s="1"/>
    </row>
    <row r="29" spans="4:19">
      <c r="K29" s="1"/>
    </row>
    <row r="30" spans="4:19">
      <c r="K30" s="1"/>
    </row>
    <row r="31" spans="4:19">
      <c r="K31" s="1"/>
    </row>
    <row r="32" spans="4:19">
      <c r="K32" s="1"/>
    </row>
    <row r="33" spans="11:11">
      <c r="K33" s="1"/>
    </row>
    <row r="34" spans="11:11">
      <c r="K34" s="1"/>
    </row>
    <row r="35" spans="11:11">
      <c r="K35" s="1"/>
    </row>
    <row r="36" spans="11:11">
      <c r="K36" s="1"/>
    </row>
    <row r="37" spans="11:11">
      <c r="K37" s="1"/>
    </row>
    <row r="38" spans="11:11">
      <c r="K38" s="1"/>
    </row>
    <row r="39" spans="11:11">
      <c r="K39" s="1"/>
    </row>
    <row r="40" spans="11:11">
      <c r="K40" s="1"/>
    </row>
    <row r="41" spans="11:11">
      <c r="K41" s="1"/>
    </row>
    <row r="42" spans="11:11">
      <c r="K42" s="1"/>
    </row>
    <row r="43" spans="11:11">
      <c r="K43" s="1"/>
    </row>
    <row r="44" spans="11:11">
      <c r="K44" s="1"/>
    </row>
    <row r="45" spans="11:11">
      <c r="K45" s="1"/>
    </row>
    <row r="46" spans="11:11">
      <c r="K46" s="1"/>
    </row>
    <row r="47" spans="11:11">
      <c r="K47" s="1"/>
    </row>
    <row r="48" spans="11:11">
      <c r="K48" s="1"/>
    </row>
    <row r="49" spans="11:11">
      <c r="K49" s="1"/>
    </row>
    <row r="50" spans="11:11">
      <c r="K50" s="1"/>
    </row>
    <row r="51" spans="11:11">
      <c r="K51" s="1"/>
    </row>
    <row r="52" spans="11:11">
      <c r="K52" s="1"/>
    </row>
    <row r="53" spans="11:11">
      <c r="K53" s="1"/>
    </row>
    <row r="54" spans="11:11">
      <c r="K54" s="1"/>
    </row>
    <row r="55" spans="11:11">
      <c r="K55" s="1"/>
    </row>
    <row r="56" spans="11:11">
      <c r="K56" s="1"/>
    </row>
    <row r="57" spans="11:11">
      <c r="K57" s="1"/>
    </row>
    <row r="58" spans="11:11">
      <c r="K58" s="1"/>
    </row>
    <row r="59" spans="11:11">
      <c r="K59" s="1"/>
    </row>
    <row r="60" spans="11:11">
      <c r="K60" s="1"/>
    </row>
    <row r="61" spans="11:11">
      <c r="K61" s="1"/>
    </row>
    <row r="62" spans="11:11">
      <c r="K62" s="1"/>
    </row>
    <row r="63" spans="11:11">
      <c r="K63" s="1"/>
    </row>
    <row r="64" spans="11:11">
      <c r="K64" s="1"/>
    </row>
    <row r="65" spans="11:11">
      <c r="K65" s="1"/>
    </row>
    <row r="66" spans="11:11">
      <c r="K66" s="1"/>
    </row>
    <row r="67" spans="11:11">
      <c r="K67" s="1"/>
    </row>
    <row r="68" spans="11:11">
      <c r="K68" s="1"/>
    </row>
    <row r="69" spans="11:11">
      <c r="K69" s="1"/>
    </row>
    <row r="70" spans="11:11">
      <c r="K70" s="1"/>
    </row>
    <row r="71" spans="11:11">
      <c r="K71" s="1"/>
    </row>
    <row r="72" spans="11:11">
      <c r="K72" s="1"/>
    </row>
    <row r="73" spans="11:11">
      <c r="K73" s="1"/>
    </row>
    <row r="74" spans="11:11">
      <c r="K74" s="1"/>
    </row>
    <row r="75" spans="11:11">
      <c r="K75" s="1"/>
    </row>
    <row r="76" spans="11:11">
      <c r="K76" s="1"/>
    </row>
    <row r="77" spans="11:11">
      <c r="K77" s="1"/>
    </row>
    <row r="78" spans="11:11">
      <c r="K78" s="1"/>
    </row>
    <row r="79" spans="11:11">
      <c r="K79" s="1"/>
    </row>
    <row r="80" spans="11:11">
      <c r="K80" s="1"/>
    </row>
    <row r="81" spans="11:11">
      <c r="K81" s="1"/>
    </row>
    <row r="82" spans="11:11">
      <c r="K82" s="1"/>
    </row>
    <row r="83" spans="11:11">
      <c r="K83" s="1"/>
    </row>
    <row r="84" spans="11:11">
      <c r="K84" s="1"/>
    </row>
    <row r="85" spans="11:11">
      <c r="K85" s="1"/>
    </row>
    <row r="86" spans="11:11">
      <c r="K86" s="1"/>
    </row>
    <row r="87" spans="11:11">
      <c r="K87" s="1"/>
    </row>
    <row r="88" spans="11:11">
      <c r="K88" s="1"/>
    </row>
    <row r="89" spans="11:11">
      <c r="K89" s="1"/>
    </row>
    <row r="90" spans="11:11">
      <c r="K90" s="1"/>
    </row>
    <row r="91" spans="11:11">
      <c r="K91" s="1"/>
    </row>
    <row r="92" spans="11:11">
      <c r="K92" s="1"/>
    </row>
    <row r="93" spans="11:11">
      <c r="K93" s="1"/>
    </row>
    <row r="94" spans="11:11">
      <c r="K94" s="1"/>
    </row>
    <row r="95" spans="11:11">
      <c r="K95" s="1"/>
    </row>
    <row r="96" spans="11:11">
      <c r="K96" s="1"/>
    </row>
    <row r="97" spans="11:11">
      <c r="K97" s="1"/>
    </row>
    <row r="98" spans="11:11">
      <c r="K98" s="1"/>
    </row>
    <row r="99" spans="11:11">
      <c r="K99" s="1"/>
    </row>
    <row r="100" spans="11:11">
      <c r="K100" s="1"/>
    </row>
    <row r="101" spans="11:11">
      <c r="K101" s="1"/>
    </row>
    <row r="102" spans="11:11">
      <c r="K102" s="1"/>
    </row>
    <row r="103" spans="11:11">
      <c r="K103" s="1"/>
    </row>
    <row r="104" spans="11:11">
      <c r="K104" s="1"/>
    </row>
    <row r="105" spans="11:11">
      <c r="K105" s="1"/>
    </row>
    <row r="106" spans="11:11">
      <c r="K106" s="1"/>
    </row>
    <row r="107" spans="11:11">
      <c r="K107" s="1"/>
    </row>
    <row r="108" spans="11:11">
      <c r="K108" s="1"/>
    </row>
    <row r="109" spans="11:11">
      <c r="K109" s="1"/>
    </row>
    <row r="110" spans="11:11">
      <c r="K110" s="1"/>
    </row>
    <row r="111" spans="11:11">
      <c r="K111" s="1"/>
    </row>
    <row r="112" spans="11:11">
      <c r="K112" s="1"/>
    </row>
    <row r="113" spans="11:11">
      <c r="K113" s="1"/>
    </row>
    <row r="114" spans="11:11">
      <c r="K114" s="1"/>
    </row>
    <row r="115" spans="11:11">
      <c r="K115" s="1"/>
    </row>
    <row r="116" spans="11:11">
      <c r="K116" s="1"/>
    </row>
    <row r="117" spans="11:11">
      <c r="K117" s="1"/>
    </row>
    <row r="118" spans="11:11">
      <c r="K118" s="1"/>
    </row>
    <row r="119" spans="11:11">
      <c r="K119" s="1"/>
    </row>
    <row r="120" spans="11:11">
      <c r="K120" s="1"/>
    </row>
    <row r="121" spans="11:11">
      <c r="K121" s="1"/>
    </row>
    <row r="122" spans="11:11">
      <c r="K122" s="1"/>
    </row>
    <row r="123" spans="11:11">
      <c r="K123" s="1"/>
    </row>
    <row r="124" spans="11:11">
      <c r="K124" s="1"/>
    </row>
    <row r="125" spans="11:11">
      <c r="K125" s="1"/>
    </row>
    <row r="126" spans="11:11">
      <c r="K126" s="1"/>
    </row>
    <row r="127" spans="11:11">
      <c r="K127" s="1"/>
    </row>
    <row r="128" spans="11:11">
      <c r="K128" s="1"/>
    </row>
    <row r="129" spans="11:11">
      <c r="K129" s="1"/>
    </row>
    <row r="130" spans="11:11">
      <c r="K130" s="1"/>
    </row>
    <row r="131" spans="11:11">
      <c r="K131" s="1"/>
    </row>
    <row r="132" spans="11:11">
      <c r="K132" s="1"/>
    </row>
    <row r="133" spans="11:11">
      <c r="K133" s="1"/>
    </row>
    <row r="134" spans="11:11">
      <c r="K134" s="1"/>
    </row>
    <row r="135" spans="11:11">
      <c r="K135" s="1"/>
    </row>
    <row r="136" spans="11:11">
      <c r="K136" s="1"/>
    </row>
    <row r="137" spans="11:11">
      <c r="K137" s="1"/>
    </row>
    <row r="138" spans="11:11">
      <c r="K138" s="1"/>
    </row>
    <row r="139" spans="11:11">
      <c r="K139" s="1"/>
    </row>
    <row r="140" spans="11:11">
      <c r="K140" s="1"/>
    </row>
    <row r="141" spans="11:11">
      <c r="K141" s="1"/>
    </row>
    <row r="142" spans="11:11">
      <c r="K142" s="1"/>
    </row>
    <row r="143" spans="11:11">
      <c r="K143" s="1"/>
    </row>
    <row r="144" spans="11:11">
      <c r="K144" s="1"/>
    </row>
    <row r="145" spans="11:11">
      <c r="K145" s="1"/>
    </row>
    <row r="146" spans="11:11">
      <c r="K146" s="1"/>
    </row>
    <row r="147" spans="11:11">
      <c r="K147" s="1"/>
    </row>
    <row r="148" spans="11:11">
      <c r="K148" s="1"/>
    </row>
    <row r="149" spans="11:11">
      <c r="K149" s="1"/>
    </row>
    <row r="150" spans="11:11">
      <c r="K150" s="1"/>
    </row>
    <row r="151" spans="11:11">
      <c r="K151" s="1"/>
    </row>
    <row r="152" spans="11:11">
      <c r="K152" s="1"/>
    </row>
    <row r="153" spans="11:11">
      <c r="K153" s="1"/>
    </row>
    <row r="154" spans="11:11">
      <c r="K154" s="1"/>
    </row>
    <row r="155" spans="11:11">
      <c r="K155" s="1"/>
    </row>
    <row r="156" spans="11:11">
      <c r="K156" s="1"/>
    </row>
    <row r="157" spans="11:11">
      <c r="K157" s="1"/>
    </row>
    <row r="158" spans="11:11">
      <c r="K158" s="1"/>
    </row>
    <row r="159" spans="11:11">
      <c r="K159" s="1"/>
    </row>
    <row r="160" spans="11:11">
      <c r="K160" s="1"/>
    </row>
    <row r="161" spans="11:11">
      <c r="K161" s="1"/>
    </row>
  </sheetData>
  <mergeCells count="16">
    <mergeCell ref="R17:S17"/>
    <mergeCell ref="R6:S6"/>
    <mergeCell ref="R2:T2"/>
    <mergeCell ref="A1:F1"/>
    <mergeCell ref="N10:P10"/>
    <mergeCell ref="M2:N2"/>
    <mergeCell ref="R3:S3"/>
    <mergeCell ref="R4:S4"/>
    <mergeCell ref="R5:S5"/>
    <mergeCell ref="V8:W8"/>
    <mergeCell ref="V2:X2"/>
    <mergeCell ref="V3:W3"/>
    <mergeCell ref="V4:W4"/>
    <mergeCell ref="V5:W5"/>
    <mergeCell ref="V6:W6"/>
    <mergeCell ref="V7:W7"/>
  </mergeCells>
  <pageMargins left="0.7" right="0.7" top="0.75" bottom="0.75" header="0.3" footer="0.3"/>
  <pageSetup scale="180" orientation="landscape" horizontalDpi="300" verticalDpi="300" r:id="rId1"/>
  <drawing r:id="rId2"/>
  <legacyDrawing r:id="rId3"/>
  <oleObjects>
    <oleObject progId="PowerPoint.Show.12" shapeId="1027" r:id="rId4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0"/>
  <dimension ref="A1:BF190"/>
  <sheetViews>
    <sheetView zoomScale="70" zoomScaleNormal="70" workbookViewId="0">
      <pane xSplit="21450" ySplit="5505" topLeftCell="AW56"/>
      <selection activeCell="I1" sqref="I1"/>
      <selection pane="topRight" activeCell="AP32" sqref="AP32"/>
      <selection pane="bottomLeft" activeCell="M75" sqref="M75"/>
      <selection pane="bottomRight" activeCell="AO42" sqref="AO42"/>
    </sheetView>
  </sheetViews>
  <sheetFormatPr defaultRowHeight="15"/>
  <cols>
    <col min="2" max="4" width="9.140625" style="29" bestFit="1" customWidth="1"/>
    <col min="5" max="6" width="5.85546875" style="29" customWidth="1"/>
    <col min="7" max="7" width="5.85546875" style="29" bestFit="1" customWidth="1"/>
    <col min="8" max="8" width="5.85546875" bestFit="1" customWidth="1"/>
    <col min="9" max="9" width="5.85546875" style="29" bestFit="1" customWidth="1"/>
    <col min="10" max="10" width="6.5703125" style="29" bestFit="1" customWidth="1"/>
    <col min="11" max="11" width="5.85546875" bestFit="1" customWidth="1"/>
    <col min="12" max="12" width="5.7109375" style="29" bestFit="1" customWidth="1"/>
    <col min="13" max="13" width="6.5703125" style="29" bestFit="1" customWidth="1"/>
    <col min="14" max="14" width="5.85546875" bestFit="1" customWidth="1"/>
    <col min="15" max="15" width="5.7109375" style="29" bestFit="1" customWidth="1"/>
    <col min="16" max="16" width="6.5703125" style="29" bestFit="1" customWidth="1"/>
    <col min="17" max="17" width="5.85546875" bestFit="1" customWidth="1"/>
    <col min="18" max="18" width="5.7109375" style="29" bestFit="1" customWidth="1"/>
    <col min="19" max="19" width="7.7109375" bestFit="1" customWidth="1"/>
    <col min="20" max="20" width="7.7109375" customWidth="1"/>
    <col min="21" max="24" width="7.7109375" bestFit="1" customWidth="1"/>
    <col min="25" max="25" width="8.28515625" bestFit="1" customWidth="1"/>
    <col min="26" max="27" width="8.140625" bestFit="1" customWidth="1"/>
    <col min="28" max="51" width="7.7109375" bestFit="1" customWidth="1"/>
  </cols>
  <sheetData>
    <row r="1" spans="1:58" s="29" customFormat="1">
      <c r="A1" s="29" t="str">
        <f>setCalcEnable(1)</f>
        <v>Calc Enable=</v>
      </c>
    </row>
    <row r="2" spans="1:58" s="29" customFormat="1">
      <c r="A2" s="27" t="e">
        <f>V7/2</f>
        <v>#DIV/0!</v>
      </c>
      <c r="C2" s="30" t="s">
        <v>8</v>
      </c>
    </row>
    <row r="3" spans="1:58" s="29" customFormat="1">
      <c r="A3" s="53" t="s">
        <v>20</v>
      </c>
      <c r="B3" s="27" t="e">
        <f>transition($A$10:$A$70,B$10:B$70,$A$2)</f>
        <v>#VALUE!</v>
      </c>
      <c r="C3" s="27" t="e">
        <f>transition($A$10:$A$70,C$10:C$70,$A$2)</f>
        <v>#VALUE!</v>
      </c>
      <c r="D3" s="27" t="e">
        <f>transition($A$10:$A$70,D$10:D$70,$A$2)</f>
        <v>#VALUE!</v>
      </c>
      <c r="E3" s="74"/>
      <c r="F3" s="74"/>
    </row>
    <row r="4" spans="1:58" s="29" customFormat="1" ht="15.75" thickBot="1">
      <c r="A4" s="54" t="s">
        <v>21</v>
      </c>
      <c r="B4" s="27" t="e">
        <f>transition($A$10:$A$70,B$10:B$70,-$A$2)</f>
        <v>#VALUE!</v>
      </c>
      <c r="C4" s="27" t="e">
        <f>transition($A$10:$A$70,C$10:C$70,-$A$2)</f>
        <v>#VALUE!</v>
      </c>
      <c r="D4" s="27" t="e">
        <f>transition($A$10:$A$70,D$10:D$70,-$A$2)</f>
        <v>#VALUE!</v>
      </c>
      <c r="E4" s="74"/>
      <c r="F4" s="74"/>
    </row>
    <row r="5" spans="1:58" s="29" customFormat="1" ht="15.75" thickBot="1">
      <c r="A5" s="53" t="s">
        <v>5</v>
      </c>
      <c r="B5" s="27" t="e">
        <f>B4-B3</f>
        <v>#VALUE!</v>
      </c>
      <c r="C5" s="27" t="e">
        <f t="shared" ref="C5:D5" si="0">C4-C3</f>
        <v>#VALUE!</v>
      </c>
      <c r="D5" s="27" t="e">
        <f t="shared" si="0"/>
        <v>#VALUE!</v>
      </c>
      <c r="E5" s="74"/>
      <c r="F5" s="74"/>
      <c r="G5" s="113" t="s">
        <v>9</v>
      </c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5"/>
      <c r="T5" s="34" t="s">
        <v>11</v>
      </c>
      <c r="U5" s="22"/>
      <c r="V5" s="35">
        <f>COUNT(data3!B62:AG62)</f>
        <v>0</v>
      </c>
      <c r="X5" s="31"/>
      <c r="Y5" s="31"/>
      <c r="Z5" s="31"/>
      <c r="AA5" s="31"/>
    </row>
    <row r="6" spans="1:58" ht="15.75" thickBot="1">
      <c r="A6" s="27" t="e">
        <f>V7*0.9</f>
        <v>#DIV/0!</v>
      </c>
      <c r="B6" s="27" t="e">
        <f>transition($A$10:$A$70,B$10:B$70,$A$6)</f>
        <v>#VALUE!</v>
      </c>
      <c r="C6" s="27" t="e">
        <f>transition($A$10:$A$70,C$10:C$70,$A$6)</f>
        <v>#VALUE!</v>
      </c>
      <c r="D6" s="27" t="e">
        <f>transition($A$10:$A$70,D$10:D$70,$A$6)</f>
        <v>#VALUE!</v>
      </c>
      <c r="E6" s="74"/>
      <c r="F6" s="74"/>
      <c r="G6" s="121">
        <v>0</v>
      </c>
      <c r="H6" s="122"/>
      <c r="I6" s="122"/>
      <c r="J6" s="122">
        <f>G6+1</f>
        <v>1</v>
      </c>
      <c r="K6" s="122"/>
      <c r="L6" s="122"/>
      <c r="M6" s="122">
        <f>J6+1</f>
        <v>2</v>
      </c>
      <c r="N6" s="122"/>
      <c r="O6" s="122"/>
      <c r="P6" s="122">
        <f>M6+1</f>
        <v>3</v>
      </c>
      <c r="Q6" s="122"/>
      <c r="R6" s="123"/>
      <c r="T6" s="116" t="s">
        <v>12</v>
      </c>
      <c r="U6" s="117"/>
      <c r="V6" s="81">
        <f>MAX(data0!B2:AG62,data1!B2:AG62,data2!B2:AG62,data3!B2:AG62)</f>
        <v>0</v>
      </c>
      <c r="X6" s="31"/>
      <c r="Y6" s="42"/>
      <c r="Z6" s="42"/>
      <c r="AA6" s="42"/>
      <c r="AC6" s="1"/>
      <c r="AD6" s="1"/>
      <c r="AE6" s="1"/>
      <c r="BA6" s="29"/>
      <c r="BB6" s="29"/>
      <c r="BC6" s="29"/>
      <c r="BD6" s="29"/>
      <c r="BE6" s="29"/>
      <c r="BF6" s="29"/>
    </row>
    <row r="7" spans="1:58" s="29" customFormat="1" ht="15.75" thickBot="1">
      <c r="B7" s="27" t="e">
        <f>transition($A$10:$A$70,B$10:B$70,-$A$6)</f>
        <v>#VALUE!</v>
      </c>
      <c r="C7" s="27" t="e">
        <f>transition($A$10:$A$70,C$10:C$70,-$A$6)</f>
        <v>#VALUE!</v>
      </c>
      <c r="D7" s="27" t="e">
        <f>transition($A$10:$A$70,D$10:D$70,-$A$6)</f>
        <v>#VALUE!</v>
      </c>
      <c r="E7" s="74"/>
      <c r="F7" s="74"/>
      <c r="G7" s="121" t="s">
        <v>10</v>
      </c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3"/>
      <c r="T7" s="116" t="s">
        <v>14</v>
      </c>
      <c r="U7" s="117"/>
      <c r="V7" s="77" t="e">
        <f>MAX(C10:C70)</f>
        <v>#DIV/0!</v>
      </c>
      <c r="X7" s="31"/>
      <c r="Y7" s="42"/>
      <c r="Z7" s="42"/>
      <c r="AA7" s="42"/>
      <c r="AC7" s="1"/>
      <c r="AD7" s="1"/>
      <c r="AE7" s="1"/>
    </row>
    <row r="8" spans="1:58" ht="15.75" thickBot="1">
      <c r="A8" s="55">
        <v>0.9</v>
      </c>
      <c r="B8" s="27" t="e">
        <f t="shared" ref="B8" si="1">B7-B6</f>
        <v>#VALUE!</v>
      </c>
      <c r="C8" s="27" t="e">
        <f>C7-C6</f>
        <v>#VALUE!</v>
      </c>
      <c r="D8" s="27" t="e">
        <f t="shared" ref="D8" si="2">D7-D6</f>
        <v>#VALUE!</v>
      </c>
      <c r="E8" s="74"/>
      <c r="F8" s="74"/>
      <c r="G8" s="118">
        <v>-90</v>
      </c>
      <c r="H8" s="119"/>
      <c r="I8" s="120"/>
      <c r="J8" s="124">
        <v>-45</v>
      </c>
      <c r="K8" s="119"/>
      <c r="L8" s="120"/>
      <c r="M8" s="124">
        <v>0</v>
      </c>
      <c r="N8" s="119"/>
      <c r="O8" s="120"/>
      <c r="P8" s="124">
        <v>45</v>
      </c>
      <c r="Q8" s="119"/>
      <c r="R8" s="125"/>
      <c r="T8" s="116" t="s">
        <v>34</v>
      </c>
      <c r="U8" s="117"/>
      <c r="V8" s="43" t="e">
        <f>MAX(E10:F70)/V7</f>
        <v>#DIV/0!</v>
      </c>
      <c r="X8" s="31"/>
      <c r="Y8" s="42"/>
      <c r="Z8" s="42"/>
      <c r="AA8" s="42"/>
      <c r="AC8" s="1"/>
      <c r="AD8" s="1"/>
      <c r="AE8" s="1"/>
      <c r="AZ8" s="29"/>
      <c r="BA8" s="29"/>
      <c r="BB8" s="29"/>
      <c r="BC8" s="29"/>
      <c r="BD8" s="29"/>
      <c r="BE8" s="29"/>
      <c r="BF8" s="29"/>
    </row>
    <row r="9" spans="1:58" s="29" customFormat="1" ht="15.75" thickBot="1">
      <c r="C9" s="31"/>
      <c r="D9" s="31"/>
      <c r="E9" s="76"/>
      <c r="F9" s="76"/>
      <c r="G9" s="41" t="s">
        <v>16</v>
      </c>
      <c r="H9" s="78" t="s">
        <v>13</v>
      </c>
      <c r="I9" s="38" t="s">
        <v>15</v>
      </c>
      <c r="J9" s="37" t="str">
        <f t="shared" ref="J9:P9" si="3">G9</f>
        <v>-1.5σ</v>
      </c>
      <c r="K9" s="78" t="str">
        <f t="shared" si="3"/>
        <v>avg</v>
      </c>
      <c r="L9" s="39" t="str">
        <f t="shared" si="3"/>
        <v>+1.5σ</v>
      </c>
      <c r="M9" s="40" t="str">
        <f t="shared" si="3"/>
        <v>-1.5σ</v>
      </c>
      <c r="N9" s="78" t="str">
        <f t="shared" si="3"/>
        <v>avg</v>
      </c>
      <c r="O9" s="39" t="str">
        <f t="shared" si="3"/>
        <v>+1.5σ</v>
      </c>
      <c r="P9" s="40" t="str">
        <f t="shared" si="3"/>
        <v>-1.5σ</v>
      </c>
      <c r="Q9" s="78" t="str">
        <f t="shared" ref="Q9:R9" si="4">N9</f>
        <v>avg</v>
      </c>
      <c r="R9" s="79" t="str">
        <f t="shared" si="4"/>
        <v>+1.5σ</v>
      </c>
      <c r="T9" s="116" t="s">
        <v>35</v>
      </c>
      <c r="U9" s="117"/>
      <c r="V9" s="43" t="e">
        <f>T65+1.5*T66</f>
        <v>#DIV/0!</v>
      </c>
      <c r="X9" s="31"/>
      <c r="Y9" s="42"/>
      <c r="Z9" s="42"/>
      <c r="AA9" s="42"/>
      <c r="AC9" s="1"/>
      <c r="AD9" s="1"/>
      <c r="AE9" s="1"/>
    </row>
    <row r="10" spans="1:58">
      <c r="A10">
        <f>data0!A2</f>
        <v>-90</v>
      </c>
      <c r="B10" s="27" t="e">
        <f>MIN(G10,J10,M10,P10)</f>
        <v>#DIV/0!</v>
      </c>
      <c r="C10" s="27" t="e">
        <f>AVERAGE(H10,K10,N10,Q10)</f>
        <v>#DIV/0!</v>
      </c>
      <c r="D10" s="27" t="e">
        <f>MAX(I10,L10,O10,R10)</f>
        <v>#DIV/0!</v>
      </c>
      <c r="E10" s="74" t="e">
        <f>C10-B10</f>
        <v>#DIV/0!</v>
      </c>
      <c r="F10" s="74" t="e">
        <f t="shared" ref="F10:F70" si="5">D10-C10</f>
        <v>#DIV/0!</v>
      </c>
      <c r="G10" s="45" t="e">
        <f>2*H10-I10</f>
        <v>#DIV/0!</v>
      </c>
      <c r="H10" s="24" t="e">
        <f>scale0!C7</f>
        <v>#DIV/0!</v>
      </c>
      <c r="I10" s="46" t="e">
        <f>H10+1.5*scale0!D7</f>
        <v>#DIV/0!</v>
      </c>
      <c r="J10" s="47" t="e">
        <f>2*K10-L10</f>
        <v>#DIV/0!</v>
      </c>
      <c r="K10" s="24" t="e">
        <f>scale1!C7</f>
        <v>#DIV/0!</v>
      </c>
      <c r="L10" s="46" t="e">
        <f>K10+1.5*scale1!D7</f>
        <v>#DIV/0!</v>
      </c>
      <c r="M10" s="47" t="e">
        <f>2*N10-O10</f>
        <v>#DIV/0!</v>
      </c>
      <c r="N10" s="24" t="e">
        <f>scale2!C7</f>
        <v>#DIV/0!</v>
      </c>
      <c r="O10" s="46" t="e">
        <f>N10+1.5*scale2!D7</f>
        <v>#DIV/0!</v>
      </c>
      <c r="P10" s="47" t="e">
        <f>2*Q10-R10</f>
        <v>#DIV/0!</v>
      </c>
      <c r="Q10" s="24" t="e">
        <f>scale3!C7</f>
        <v>#DIV/0!</v>
      </c>
      <c r="R10" s="48" t="e">
        <f>Q10+1.5*scale3!D7</f>
        <v>#DIV/0!</v>
      </c>
      <c r="AZ10" s="29"/>
      <c r="BA10" s="29"/>
      <c r="BB10" s="29"/>
      <c r="BC10" s="29"/>
      <c r="BD10" s="29"/>
      <c r="BE10" s="29"/>
      <c r="BF10" s="29"/>
    </row>
    <row r="11" spans="1:58">
      <c r="A11">
        <f>data0!A3</f>
        <v>-87</v>
      </c>
      <c r="B11" s="27" t="e">
        <f t="shared" ref="B11:B70" si="6">MIN(G11,J11,M11,P11)</f>
        <v>#DIV/0!</v>
      </c>
      <c r="C11" s="74" t="e">
        <f t="shared" ref="C11:C70" si="7">AVERAGE(H11,K11,N11,Q11)</f>
        <v>#DIV/0!</v>
      </c>
      <c r="D11" s="27" t="e">
        <f t="shared" ref="D11:D70" si="8">MAX(I11,L11,O11,R11)</f>
        <v>#DIV/0!</v>
      </c>
      <c r="E11" s="74" t="e">
        <f t="shared" ref="E11:E70" si="9">C11-B11</f>
        <v>#DIV/0!</v>
      </c>
      <c r="F11" s="74" t="e">
        <f t="shared" si="5"/>
        <v>#DIV/0!</v>
      </c>
      <c r="G11" s="45" t="e">
        <f t="shared" ref="G11:G70" si="10">2*H11-I11</f>
        <v>#DIV/0!</v>
      </c>
      <c r="H11" s="24" t="e">
        <f>scale0!C8</f>
        <v>#DIV/0!</v>
      </c>
      <c r="I11" s="46" t="e">
        <f>H11+1.5*scale0!D8</f>
        <v>#DIV/0!</v>
      </c>
      <c r="J11" s="47" t="e">
        <f t="shared" ref="J11:J70" si="11">2*K11-L11</f>
        <v>#DIV/0!</v>
      </c>
      <c r="K11" s="24" t="e">
        <f>scale1!C8</f>
        <v>#DIV/0!</v>
      </c>
      <c r="L11" s="46" t="e">
        <f>K11+1.5*scale1!D8</f>
        <v>#DIV/0!</v>
      </c>
      <c r="M11" s="47" t="e">
        <f t="shared" ref="M11:M70" si="12">2*N11-O11</f>
        <v>#DIV/0!</v>
      </c>
      <c r="N11" s="24" t="e">
        <f>scale2!C8</f>
        <v>#DIV/0!</v>
      </c>
      <c r="O11" s="46" t="e">
        <f>N11+1.5*scale2!D8</f>
        <v>#DIV/0!</v>
      </c>
      <c r="P11" s="47" t="e">
        <f t="shared" ref="P11:P70" si="13">2*Q11-R11</f>
        <v>#DIV/0!</v>
      </c>
      <c r="Q11" s="24" t="e">
        <f>scale3!C8</f>
        <v>#DIV/0!</v>
      </c>
      <c r="R11" s="48" t="e">
        <f>Q11+1.5*scale3!D8</f>
        <v>#DIV/0!</v>
      </c>
      <c r="AZ11" s="29"/>
      <c r="BA11" s="29"/>
      <c r="BB11" s="29"/>
      <c r="BC11" s="29"/>
      <c r="BD11" s="29"/>
      <c r="BE11" s="29"/>
      <c r="BF11" s="29"/>
    </row>
    <row r="12" spans="1:58">
      <c r="A12">
        <f>data0!A4</f>
        <v>-84</v>
      </c>
      <c r="B12" s="27" t="e">
        <f t="shared" si="6"/>
        <v>#DIV/0!</v>
      </c>
      <c r="C12" s="74" t="e">
        <f t="shared" si="7"/>
        <v>#DIV/0!</v>
      </c>
      <c r="D12" s="27" t="e">
        <f t="shared" si="8"/>
        <v>#DIV/0!</v>
      </c>
      <c r="E12" s="74" t="e">
        <f t="shared" si="9"/>
        <v>#DIV/0!</v>
      </c>
      <c r="F12" s="74" t="e">
        <f t="shared" si="5"/>
        <v>#DIV/0!</v>
      </c>
      <c r="G12" s="45" t="e">
        <f t="shared" si="10"/>
        <v>#DIV/0!</v>
      </c>
      <c r="H12" s="24" t="e">
        <f>scale0!C9</f>
        <v>#DIV/0!</v>
      </c>
      <c r="I12" s="46" t="e">
        <f>H12+1.5*scale0!D9</f>
        <v>#DIV/0!</v>
      </c>
      <c r="J12" s="47" t="e">
        <f t="shared" si="11"/>
        <v>#DIV/0!</v>
      </c>
      <c r="K12" s="24" t="e">
        <f>scale1!C9</f>
        <v>#DIV/0!</v>
      </c>
      <c r="L12" s="46" t="e">
        <f>K12+1.5*scale1!D9</f>
        <v>#DIV/0!</v>
      </c>
      <c r="M12" s="47" t="e">
        <f t="shared" si="12"/>
        <v>#DIV/0!</v>
      </c>
      <c r="N12" s="24" t="e">
        <f>scale2!C9</f>
        <v>#DIV/0!</v>
      </c>
      <c r="O12" s="46" t="e">
        <f>N12+1.5*scale2!D9</f>
        <v>#DIV/0!</v>
      </c>
      <c r="P12" s="47" t="e">
        <f t="shared" si="13"/>
        <v>#DIV/0!</v>
      </c>
      <c r="Q12" s="24" t="e">
        <f>scale3!C9</f>
        <v>#DIV/0!</v>
      </c>
      <c r="R12" s="48" t="e">
        <f>Q12+1.5*scale3!D9</f>
        <v>#DIV/0!</v>
      </c>
      <c r="AZ12" s="29"/>
      <c r="BA12" s="29"/>
      <c r="BB12" s="29"/>
      <c r="BC12" s="29"/>
      <c r="BD12" s="29"/>
      <c r="BE12" s="29"/>
      <c r="BF12" s="29"/>
    </row>
    <row r="13" spans="1:58">
      <c r="A13">
        <f>data0!A5</f>
        <v>-81</v>
      </c>
      <c r="B13" s="27" t="e">
        <f t="shared" si="6"/>
        <v>#DIV/0!</v>
      </c>
      <c r="C13" s="74" t="e">
        <f t="shared" si="7"/>
        <v>#DIV/0!</v>
      </c>
      <c r="D13" s="27" t="e">
        <f t="shared" si="8"/>
        <v>#DIV/0!</v>
      </c>
      <c r="E13" s="74" t="e">
        <f t="shared" si="9"/>
        <v>#DIV/0!</v>
      </c>
      <c r="F13" s="74" t="e">
        <f t="shared" si="5"/>
        <v>#DIV/0!</v>
      </c>
      <c r="G13" s="45" t="e">
        <f t="shared" si="10"/>
        <v>#DIV/0!</v>
      </c>
      <c r="H13" s="24" t="e">
        <f>scale0!C10</f>
        <v>#DIV/0!</v>
      </c>
      <c r="I13" s="46" t="e">
        <f>H13+1.5*scale0!D10</f>
        <v>#DIV/0!</v>
      </c>
      <c r="J13" s="47" t="e">
        <f t="shared" si="11"/>
        <v>#DIV/0!</v>
      </c>
      <c r="K13" s="24" t="e">
        <f>scale1!C10</f>
        <v>#DIV/0!</v>
      </c>
      <c r="L13" s="46" t="e">
        <f>K13+1.5*scale1!D10</f>
        <v>#DIV/0!</v>
      </c>
      <c r="M13" s="47" t="e">
        <f t="shared" si="12"/>
        <v>#DIV/0!</v>
      </c>
      <c r="N13" s="24" t="e">
        <f>scale2!C10</f>
        <v>#DIV/0!</v>
      </c>
      <c r="O13" s="46" t="e">
        <f>N13+1.5*scale2!D10</f>
        <v>#DIV/0!</v>
      </c>
      <c r="P13" s="47" t="e">
        <f t="shared" si="13"/>
        <v>#DIV/0!</v>
      </c>
      <c r="Q13" s="24" t="e">
        <f>scale3!C10</f>
        <v>#DIV/0!</v>
      </c>
      <c r="R13" s="48" t="e">
        <f>Q13+1.5*scale3!D10</f>
        <v>#DIV/0!</v>
      </c>
      <c r="AZ13" s="29"/>
      <c r="BA13" s="29"/>
      <c r="BB13" s="29"/>
      <c r="BC13" s="29"/>
      <c r="BD13" s="29"/>
      <c r="BE13" s="29"/>
      <c r="BF13" s="29"/>
    </row>
    <row r="14" spans="1:58">
      <c r="A14">
        <f>data0!A6</f>
        <v>-78</v>
      </c>
      <c r="B14" s="27" t="e">
        <f t="shared" si="6"/>
        <v>#DIV/0!</v>
      </c>
      <c r="C14" s="74" t="e">
        <f t="shared" si="7"/>
        <v>#DIV/0!</v>
      </c>
      <c r="D14" s="27" t="e">
        <f t="shared" si="8"/>
        <v>#DIV/0!</v>
      </c>
      <c r="E14" s="74" t="e">
        <f t="shared" si="9"/>
        <v>#DIV/0!</v>
      </c>
      <c r="F14" s="74" t="e">
        <f t="shared" si="5"/>
        <v>#DIV/0!</v>
      </c>
      <c r="G14" s="45" t="e">
        <f t="shared" si="10"/>
        <v>#DIV/0!</v>
      </c>
      <c r="H14" s="24" t="e">
        <f>scale0!C11</f>
        <v>#DIV/0!</v>
      </c>
      <c r="I14" s="46" t="e">
        <f>H14+1.5*scale0!D11</f>
        <v>#DIV/0!</v>
      </c>
      <c r="J14" s="47" t="e">
        <f t="shared" si="11"/>
        <v>#DIV/0!</v>
      </c>
      <c r="K14" s="24" t="e">
        <f>scale1!C11</f>
        <v>#DIV/0!</v>
      </c>
      <c r="L14" s="46" t="e">
        <f>K14+1.5*scale1!D11</f>
        <v>#DIV/0!</v>
      </c>
      <c r="M14" s="47" t="e">
        <f t="shared" si="12"/>
        <v>#DIV/0!</v>
      </c>
      <c r="N14" s="24" t="e">
        <f>scale2!C11</f>
        <v>#DIV/0!</v>
      </c>
      <c r="O14" s="46" t="e">
        <f>N14+1.5*scale2!D11</f>
        <v>#DIV/0!</v>
      </c>
      <c r="P14" s="47" t="e">
        <f t="shared" si="13"/>
        <v>#DIV/0!</v>
      </c>
      <c r="Q14" s="24" t="e">
        <f>scale3!C11</f>
        <v>#DIV/0!</v>
      </c>
      <c r="R14" s="48" t="e">
        <f>Q14+1.5*scale3!D11</f>
        <v>#DIV/0!</v>
      </c>
      <c r="AZ14" s="29"/>
      <c r="BA14" s="29"/>
      <c r="BB14" s="29"/>
      <c r="BC14" s="29"/>
      <c r="BD14" s="29"/>
      <c r="BE14" s="29"/>
      <c r="BF14" s="29"/>
    </row>
    <row r="15" spans="1:58">
      <c r="A15">
        <f>data0!A7</f>
        <v>-75</v>
      </c>
      <c r="B15" s="27" t="e">
        <f t="shared" si="6"/>
        <v>#DIV/0!</v>
      </c>
      <c r="C15" s="74" t="e">
        <f t="shared" si="7"/>
        <v>#DIV/0!</v>
      </c>
      <c r="D15" s="27" t="e">
        <f t="shared" si="8"/>
        <v>#DIV/0!</v>
      </c>
      <c r="E15" s="74" t="e">
        <f t="shared" si="9"/>
        <v>#DIV/0!</v>
      </c>
      <c r="F15" s="74" t="e">
        <f t="shared" si="5"/>
        <v>#DIV/0!</v>
      </c>
      <c r="G15" s="45" t="e">
        <f t="shared" si="10"/>
        <v>#DIV/0!</v>
      </c>
      <c r="H15" s="24" t="e">
        <f>scale0!C12</f>
        <v>#DIV/0!</v>
      </c>
      <c r="I15" s="46" t="e">
        <f>H15+1.5*scale0!D12</f>
        <v>#DIV/0!</v>
      </c>
      <c r="J15" s="47" t="e">
        <f t="shared" si="11"/>
        <v>#DIV/0!</v>
      </c>
      <c r="K15" s="24" t="e">
        <f>scale1!C12</f>
        <v>#DIV/0!</v>
      </c>
      <c r="L15" s="46" t="e">
        <f>K15+1.5*scale1!D12</f>
        <v>#DIV/0!</v>
      </c>
      <c r="M15" s="47" t="e">
        <f t="shared" si="12"/>
        <v>#DIV/0!</v>
      </c>
      <c r="N15" s="24" t="e">
        <f>scale2!C12</f>
        <v>#DIV/0!</v>
      </c>
      <c r="O15" s="46" t="e">
        <f>N15+1.5*scale2!D12</f>
        <v>#DIV/0!</v>
      </c>
      <c r="P15" s="47" t="e">
        <f t="shared" si="13"/>
        <v>#DIV/0!</v>
      </c>
      <c r="Q15" s="24" t="e">
        <f>scale3!C12</f>
        <v>#DIV/0!</v>
      </c>
      <c r="R15" s="48" t="e">
        <f>Q15+1.5*scale3!D12</f>
        <v>#DIV/0!</v>
      </c>
      <c r="AZ15" s="29"/>
      <c r="BA15" s="29"/>
      <c r="BB15" s="29"/>
      <c r="BC15" s="29"/>
      <c r="BD15" s="29"/>
      <c r="BE15" s="29"/>
      <c r="BF15" s="29"/>
    </row>
    <row r="16" spans="1:58">
      <c r="A16">
        <f>data0!A8</f>
        <v>-72</v>
      </c>
      <c r="B16" s="27" t="e">
        <f t="shared" si="6"/>
        <v>#DIV/0!</v>
      </c>
      <c r="C16" s="74" t="e">
        <f t="shared" si="7"/>
        <v>#DIV/0!</v>
      </c>
      <c r="D16" s="27" t="e">
        <f t="shared" si="8"/>
        <v>#DIV/0!</v>
      </c>
      <c r="E16" s="74" t="e">
        <f t="shared" si="9"/>
        <v>#DIV/0!</v>
      </c>
      <c r="F16" s="74" t="e">
        <f t="shared" si="5"/>
        <v>#DIV/0!</v>
      </c>
      <c r="G16" s="45" t="e">
        <f t="shared" si="10"/>
        <v>#DIV/0!</v>
      </c>
      <c r="H16" s="24" t="e">
        <f>scale0!C13</f>
        <v>#DIV/0!</v>
      </c>
      <c r="I16" s="46" t="e">
        <f>H16+1.5*scale0!D13</f>
        <v>#DIV/0!</v>
      </c>
      <c r="J16" s="47" t="e">
        <f t="shared" si="11"/>
        <v>#DIV/0!</v>
      </c>
      <c r="K16" s="24" t="e">
        <f>scale1!C13</f>
        <v>#DIV/0!</v>
      </c>
      <c r="L16" s="46" t="e">
        <f>K16+1.5*scale1!D13</f>
        <v>#DIV/0!</v>
      </c>
      <c r="M16" s="47" t="e">
        <f t="shared" si="12"/>
        <v>#DIV/0!</v>
      </c>
      <c r="N16" s="24" t="e">
        <f>scale2!C13</f>
        <v>#DIV/0!</v>
      </c>
      <c r="O16" s="46" t="e">
        <f>N16+1.5*scale2!D13</f>
        <v>#DIV/0!</v>
      </c>
      <c r="P16" s="47" t="e">
        <f t="shared" si="13"/>
        <v>#DIV/0!</v>
      </c>
      <c r="Q16" s="24" t="e">
        <f>scale3!C13</f>
        <v>#DIV/0!</v>
      </c>
      <c r="R16" s="48" t="e">
        <f>Q16+1.5*scale3!D13</f>
        <v>#DIV/0!</v>
      </c>
      <c r="AZ16" s="29"/>
      <c r="BA16" s="29"/>
      <c r="BB16" s="29"/>
      <c r="BC16" s="29"/>
      <c r="BD16" s="29"/>
      <c r="BE16" s="29"/>
      <c r="BF16" s="29"/>
    </row>
    <row r="17" spans="1:58">
      <c r="A17">
        <f>data0!A9</f>
        <v>-69</v>
      </c>
      <c r="B17" s="27" t="e">
        <f t="shared" si="6"/>
        <v>#DIV/0!</v>
      </c>
      <c r="C17" s="74" t="e">
        <f t="shared" si="7"/>
        <v>#DIV/0!</v>
      </c>
      <c r="D17" s="27" t="e">
        <f t="shared" si="8"/>
        <v>#DIV/0!</v>
      </c>
      <c r="E17" s="74" t="e">
        <f t="shared" si="9"/>
        <v>#DIV/0!</v>
      </c>
      <c r="F17" s="74" t="e">
        <f t="shared" si="5"/>
        <v>#DIV/0!</v>
      </c>
      <c r="G17" s="45" t="e">
        <f t="shared" si="10"/>
        <v>#DIV/0!</v>
      </c>
      <c r="H17" s="24" t="e">
        <f>scale0!C14</f>
        <v>#DIV/0!</v>
      </c>
      <c r="I17" s="46" t="e">
        <f>H17+1.5*scale0!D14</f>
        <v>#DIV/0!</v>
      </c>
      <c r="J17" s="47" t="e">
        <f t="shared" si="11"/>
        <v>#DIV/0!</v>
      </c>
      <c r="K17" s="24" t="e">
        <f>scale1!C14</f>
        <v>#DIV/0!</v>
      </c>
      <c r="L17" s="46" t="e">
        <f>K17+1.5*scale1!D14</f>
        <v>#DIV/0!</v>
      </c>
      <c r="M17" s="47" t="e">
        <f t="shared" si="12"/>
        <v>#DIV/0!</v>
      </c>
      <c r="N17" s="24" t="e">
        <f>scale2!C14</f>
        <v>#DIV/0!</v>
      </c>
      <c r="O17" s="46" t="e">
        <f>N17+1.5*scale2!D14</f>
        <v>#DIV/0!</v>
      </c>
      <c r="P17" s="47" t="e">
        <f t="shared" si="13"/>
        <v>#DIV/0!</v>
      </c>
      <c r="Q17" s="24" t="e">
        <f>scale3!C14</f>
        <v>#DIV/0!</v>
      </c>
      <c r="R17" s="48" t="e">
        <f>Q17+1.5*scale3!D14</f>
        <v>#DIV/0!</v>
      </c>
      <c r="AZ17" s="29"/>
      <c r="BA17" s="29"/>
      <c r="BB17" s="29"/>
      <c r="BC17" s="29"/>
      <c r="BD17" s="29"/>
      <c r="BE17" s="29"/>
      <c r="BF17" s="29"/>
    </row>
    <row r="18" spans="1:58">
      <c r="A18">
        <f>data0!A10</f>
        <v>-66</v>
      </c>
      <c r="B18" s="27" t="e">
        <f t="shared" si="6"/>
        <v>#DIV/0!</v>
      </c>
      <c r="C18" s="74" t="e">
        <f t="shared" si="7"/>
        <v>#DIV/0!</v>
      </c>
      <c r="D18" s="27" t="e">
        <f t="shared" si="8"/>
        <v>#DIV/0!</v>
      </c>
      <c r="E18" s="74" t="e">
        <f t="shared" si="9"/>
        <v>#DIV/0!</v>
      </c>
      <c r="F18" s="74" t="e">
        <f t="shared" si="5"/>
        <v>#DIV/0!</v>
      </c>
      <c r="G18" s="45" t="e">
        <f t="shared" si="10"/>
        <v>#DIV/0!</v>
      </c>
      <c r="H18" s="24" t="e">
        <f>scale0!C15</f>
        <v>#DIV/0!</v>
      </c>
      <c r="I18" s="46" t="e">
        <f>H18+1.5*scale0!D15</f>
        <v>#DIV/0!</v>
      </c>
      <c r="J18" s="47" t="e">
        <f t="shared" si="11"/>
        <v>#DIV/0!</v>
      </c>
      <c r="K18" s="24" t="e">
        <f>scale1!C15</f>
        <v>#DIV/0!</v>
      </c>
      <c r="L18" s="46" t="e">
        <f>K18+1.5*scale1!D15</f>
        <v>#DIV/0!</v>
      </c>
      <c r="M18" s="47" t="e">
        <f t="shared" si="12"/>
        <v>#DIV/0!</v>
      </c>
      <c r="N18" s="24" t="e">
        <f>scale2!C15</f>
        <v>#DIV/0!</v>
      </c>
      <c r="O18" s="46" t="e">
        <f>N18+1.5*scale2!D15</f>
        <v>#DIV/0!</v>
      </c>
      <c r="P18" s="47" t="e">
        <f t="shared" si="13"/>
        <v>#DIV/0!</v>
      </c>
      <c r="Q18" s="24" t="e">
        <f>scale3!C15</f>
        <v>#DIV/0!</v>
      </c>
      <c r="R18" s="48" t="e">
        <f>Q18+1.5*scale3!D15</f>
        <v>#DIV/0!</v>
      </c>
      <c r="AZ18" s="29"/>
      <c r="BA18" s="29"/>
      <c r="BB18" s="29"/>
      <c r="BC18" s="29"/>
      <c r="BD18" s="29"/>
      <c r="BE18" s="29"/>
      <c r="BF18" s="29"/>
    </row>
    <row r="19" spans="1:58">
      <c r="A19">
        <f>data0!A11</f>
        <v>-63</v>
      </c>
      <c r="B19" s="27" t="e">
        <f t="shared" si="6"/>
        <v>#DIV/0!</v>
      </c>
      <c r="C19" s="74" t="e">
        <f t="shared" si="7"/>
        <v>#DIV/0!</v>
      </c>
      <c r="D19" s="27" t="e">
        <f t="shared" si="8"/>
        <v>#DIV/0!</v>
      </c>
      <c r="E19" s="74" t="e">
        <f t="shared" si="9"/>
        <v>#DIV/0!</v>
      </c>
      <c r="F19" s="74" t="e">
        <f t="shared" si="5"/>
        <v>#DIV/0!</v>
      </c>
      <c r="G19" s="45" t="e">
        <f t="shared" si="10"/>
        <v>#DIV/0!</v>
      </c>
      <c r="H19" s="24" t="e">
        <f>scale0!C16</f>
        <v>#DIV/0!</v>
      </c>
      <c r="I19" s="46" t="e">
        <f>H19+1.5*scale0!D16</f>
        <v>#DIV/0!</v>
      </c>
      <c r="J19" s="47" t="e">
        <f t="shared" si="11"/>
        <v>#DIV/0!</v>
      </c>
      <c r="K19" s="24" t="e">
        <f>scale1!C16</f>
        <v>#DIV/0!</v>
      </c>
      <c r="L19" s="46" t="e">
        <f>K19+1.5*scale1!D16</f>
        <v>#DIV/0!</v>
      </c>
      <c r="M19" s="47" t="e">
        <f t="shared" si="12"/>
        <v>#DIV/0!</v>
      </c>
      <c r="N19" s="24" t="e">
        <f>scale2!C16</f>
        <v>#DIV/0!</v>
      </c>
      <c r="O19" s="46" t="e">
        <f>N19+1.5*scale2!D16</f>
        <v>#DIV/0!</v>
      </c>
      <c r="P19" s="47" t="e">
        <f t="shared" si="13"/>
        <v>#DIV/0!</v>
      </c>
      <c r="Q19" s="24" t="e">
        <f>scale3!C16</f>
        <v>#DIV/0!</v>
      </c>
      <c r="R19" s="48" t="e">
        <f>Q19+1.5*scale3!D16</f>
        <v>#DIV/0!</v>
      </c>
      <c r="AZ19" s="29"/>
      <c r="BA19" s="29"/>
      <c r="BB19" s="29"/>
      <c r="BC19" s="29"/>
      <c r="BD19" s="29"/>
      <c r="BE19" s="29"/>
      <c r="BF19" s="29"/>
    </row>
    <row r="20" spans="1:58">
      <c r="A20">
        <f>data0!A12</f>
        <v>-60</v>
      </c>
      <c r="B20" s="27" t="e">
        <f t="shared" si="6"/>
        <v>#DIV/0!</v>
      </c>
      <c r="C20" s="74" t="e">
        <f t="shared" si="7"/>
        <v>#DIV/0!</v>
      </c>
      <c r="D20" s="27" t="e">
        <f t="shared" si="8"/>
        <v>#DIV/0!</v>
      </c>
      <c r="E20" s="74" t="e">
        <f t="shared" si="9"/>
        <v>#DIV/0!</v>
      </c>
      <c r="F20" s="74" t="e">
        <f t="shared" si="5"/>
        <v>#DIV/0!</v>
      </c>
      <c r="G20" s="45" t="e">
        <f t="shared" si="10"/>
        <v>#DIV/0!</v>
      </c>
      <c r="H20" s="24" t="e">
        <f>scale0!C17</f>
        <v>#DIV/0!</v>
      </c>
      <c r="I20" s="46" t="e">
        <f>H20+1.5*scale0!D17</f>
        <v>#DIV/0!</v>
      </c>
      <c r="J20" s="47" t="e">
        <f t="shared" si="11"/>
        <v>#DIV/0!</v>
      </c>
      <c r="K20" s="24" t="e">
        <f>scale1!C17</f>
        <v>#DIV/0!</v>
      </c>
      <c r="L20" s="46" t="e">
        <f>K20+1.5*scale1!D17</f>
        <v>#DIV/0!</v>
      </c>
      <c r="M20" s="47" t="e">
        <f t="shared" si="12"/>
        <v>#DIV/0!</v>
      </c>
      <c r="N20" s="24" t="e">
        <f>scale2!C17</f>
        <v>#DIV/0!</v>
      </c>
      <c r="O20" s="46" t="e">
        <f>N20+1.5*scale2!D17</f>
        <v>#DIV/0!</v>
      </c>
      <c r="P20" s="47" t="e">
        <f t="shared" si="13"/>
        <v>#DIV/0!</v>
      </c>
      <c r="Q20" s="24" t="e">
        <f>scale3!C17</f>
        <v>#DIV/0!</v>
      </c>
      <c r="R20" s="48" t="e">
        <f>Q20+1.5*scale3!D17</f>
        <v>#DIV/0!</v>
      </c>
      <c r="AZ20" s="29"/>
      <c r="BA20" s="29"/>
      <c r="BB20" s="29"/>
      <c r="BC20" s="29"/>
      <c r="BD20" s="29"/>
      <c r="BE20" s="29"/>
      <c r="BF20" s="29"/>
    </row>
    <row r="21" spans="1:58">
      <c r="A21">
        <f>data0!A13</f>
        <v>-57</v>
      </c>
      <c r="B21" s="27" t="e">
        <f t="shared" si="6"/>
        <v>#DIV/0!</v>
      </c>
      <c r="C21" s="74" t="e">
        <f t="shared" si="7"/>
        <v>#DIV/0!</v>
      </c>
      <c r="D21" s="27" t="e">
        <f t="shared" si="8"/>
        <v>#DIV/0!</v>
      </c>
      <c r="E21" s="74" t="e">
        <f t="shared" si="9"/>
        <v>#DIV/0!</v>
      </c>
      <c r="F21" s="74" t="e">
        <f t="shared" si="5"/>
        <v>#DIV/0!</v>
      </c>
      <c r="G21" s="45" t="e">
        <f t="shared" si="10"/>
        <v>#DIV/0!</v>
      </c>
      <c r="H21" s="24" t="e">
        <f>scale0!C18</f>
        <v>#DIV/0!</v>
      </c>
      <c r="I21" s="46" t="e">
        <f>H21+1.5*scale0!D18</f>
        <v>#DIV/0!</v>
      </c>
      <c r="J21" s="47" t="e">
        <f t="shared" si="11"/>
        <v>#DIV/0!</v>
      </c>
      <c r="K21" s="24" t="e">
        <f>scale1!C18</f>
        <v>#DIV/0!</v>
      </c>
      <c r="L21" s="46" t="e">
        <f>K21+1.5*scale1!D18</f>
        <v>#DIV/0!</v>
      </c>
      <c r="M21" s="47" t="e">
        <f t="shared" si="12"/>
        <v>#DIV/0!</v>
      </c>
      <c r="N21" s="24" t="e">
        <f>scale2!C18</f>
        <v>#DIV/0!</v>
      </c>
      <c r="O21" s="46" t="e">
        <f>N21+1.5*scale2!D18</f>
        <v>#DIV/0!</v>
      </c>
      <c r="P21" s="47" t="e">
        <f t="shared" si="13"/>
        <v>#DIV/0!</v>
      </c>
      <c r="Q21" s="24" t="e">
        <f>scale3!C18</f>
        <v>#DIV/0!</v>
      </c>
      <c r="R21" s="48" t="e">
        <f>Q21+1.5*scale3!D18</f>
        <v>#DIV/0!</v>
      </c>
      <c r="AZ21" s="29"/>
      <c r="BA21" s="29"/>
      <c r="BB21" s="29"/>
      <c r="BC21" s="29"/>
      <c r="BD21" s="29"/>
      <c r="BE21" s="29"/>
      <c r="BF21" s="29"/>
    </row>
    <row r="22" spans="1:58">
      <c r="A22">
        <f>data0!A14</f>
        <v>-54</v>
      </c>
      <c r="B22" s="27" t="e">
        <f t="shared" si="6"/>
        <v>#DIV/0!</v>
      </c>
      <c r="C22" s="74" t="e">
        <f t="shared" si="7"/>
        <v>#DIV/0!</v>
      </c>
      <c r="D22" s="27" t="e">
        <f t="shared" si="8"/>
        <v>#DIV/0!</v>
      </c>
      <c r="E22" s="74" t="e">
        <f t="shared" si="9"/>
        <v>#DIV/0!</v>
      </c>
      <c r="F22" s="74" t="e">
        <f t="shared" si="5"/>
        <v>#DIV/0!</v>
      </c>
      <c r="G22" s="45" t="e">
        <f t="shared" si="10"/>
        <v>#DIV/0!</v>
      </c>
      <c r="H22" s="24" t="e">
        <f>scale0!C19</f>
        <v>#DIV/0!</v>
      </c>
      <c r="I22" s="46" t="e">
        <f>H22+1.5*scale0!D19</f>
        <v>#DIV/0!</v>
      </c>
      <c r="J22" s="47" t="e">
        <f t="shared" si="11"/>
        <v>#DIV/0!</v>
      </c>
      <c r="K22" s="24" t="e">
        <f>scale1!C19</f>
        <v>#DIV/0!</v>
      </c>
      <c r="L22" s="46" t="e">
        <f>K22+1.5*scale1!D19</f>
        <v>#DIV/0!</v>
      </c>
      <c r="M22" s="47" t="e">
        <f t="shared" si="12"/>
        <v>#DIV/0!</v>
      </c>
      <c r="N22" s="24" t="e">
        <f>scale2!C19</f>
        <v>#DIV/0!</v>
      </c>
      <c r="O22" s="46" t="e">
        <f>N22+1.5*scale2!D19</f>
        <v>#DIV/0!</v>
      </c>
      <c r="P22" s="47" t="e">
        <f t="shared" si="13"/>
        <v>#DIV/0!</v>
      </c>
      <c r="Q22" s="24" t="e">
        <f>scale3!C19</f>
        <v>#DIV/0!</v>
      </c>
      <c r="R22" s="48" t="e">
        <f>Q22+1.5*scale3!D19</f>
        <v>#DIV/0!</v>
      </c>
      <c r="AZ22" s="29"/>
      <c r="BA22" s="29"/>
      <c r="BB22" s="29"/>
      <c r="BC22" s="29"/>
      <c r="BD22" s="29"/>
      <c r="BE22" s="29"/>
      <c r="BF22" s="29"/>
    </row>
    <row r="23" spans="1:58">
      <c r="A23">
        <f>data0!A15</f>
        <v>-51</v>
      </c>
      <c r="B23" s="27" t="e">
        <f t="shared" si="6"/>
        <v>#DIV/0!</v>
      </c>
      <c r="C23" s="74" t="e">
        <f t="shared" si="7"/>
        <v>#DIV/0!</v>
      </c>
      <c r="D23" s="27" t="e">
        <f t="shared" si="8"/>
        <v>#DIV/0!</v>
      </c>
      <c r="E23" s="74" t="e">
        <f t="shared" si="9"/>
        <v>#DIV/0!</v>
      </c>
      <c r="F23" s="74" t="e">
        <f t="shared" si="5"/>
        <v>#DIV/0!</v>
      </c>
      <c r="G23" s="45" t="e">
        <f t="shared" si="10"/>
        <v>#DIV/0!</v>
      </c>
      <c r="H23" s="24" t="e">
        <f>scale0!C20</f>
        <v>#DIV/0!</v>
      </c>
      <c r="I23" s="46" t="e">
        <f>H23+1.5*scale0!D20</f>
        <v>#DIV/0!</v>
      </c>
      <c r="J23" s="47" t="e">
        <f t="shared" si="11"/>
        <v>#DIV/0!</v>
      </c>
      <c r="K23" s="24" t="e">
        <f>scale1!C20</f>
        <v>#DIV/0!</v>
      </c>
      <c r="L23" s="46" t="e">
        <f>K23+1.5*scale1!D20</f>
        <v>#DIV/0!</v>
      </c>
      <c r="M23" s="47" t="e">
        <f t="shared" si="12"/>
        <v>#DIV/0!</v>
      </c>
      <c r="N23" s="24" t="e">
        <f>scale2!C20</f>
        <v>#DIV/0!</v>
      </c>
      <c r="O23" s="46" t="e">
        <f>N23+1.5*scale2!D20</f>
        <v>#DIV/0!</v>
      </c>
      <c r="P23" s="47" t="e">
        <f t="shared" si="13"/>
        <v>#DIV/0!</v>
      </c>
      <c r="Q23" s="24" t="e">
        <f>scale3!C20</f>
        <v>#DIV/0!</v>
      </c>
      <c r="R23" s="48" t="e">
        <f>Q23+1.5*scale3!D20</f>
        <v>#DIV/0!</v>
      </c>
      <c r="AZ23" s="29"/>
      <c r="BA23" s="29"/>
      <c r="BB23" s="29"/>
      <c r="BC23" s="29"/>
      <c r="BD23" s="29"/>
      <c r="BE23" s="29"/>
      <c r="BF23" s="29"/>
    </row>
    <row r="24" spans="1:58">
      <c r="A24">
        <f>data0!A16</f>
        <v>-48</v>
      </c>
      <c r="B24" s="27" t="e">
        <f t="shared" si="6"/>
        <v>#DIV/0!</v>
      </c>
      <c r="C24" s="74" t="e">
        <f t="shared" si="7"/>
        <v>#DIV/0!</v>
      </c>
      <c r="D24" s="27" t="e">
        <f t="shared" si="8"/>
        <v>#DIV/0!</v>
      </c>
      <c r="E24" s="74" t="e">
        <f t="shared" si="9"/>
        <v>#DIV/0!</v>
      </c>
      <c r="F24" s="74" t="e">
        <f t="shared" si="5"/>
        <v>#DIV/0!</v>
      </c>
      <c r="G24" s="45" t="e">
        <f t="shared" si="10"/>
        <v>#DIV/0!</v>
      </c>
      <c r="H24" s="24" t="e">
        <f>scale0!C21</f>
        <v>#DIV/0!</v>
      </c>
      <c r="I24" s="46" t="e">
        <f>H24+1.5*scale0!D21</f>
        <v>#DIV/0!</v>
      </c>
      <c r="J24" s="47" t="e">
        <f t="shared" si="11"/>
        <v>#DIV/0!</v>
      </c>
      <c r="K24" s="24" t="e">
        <f>scale1!C21</f>
        <v>#DIV/0!</v>
      </c>
      <c r="L24" s="46" t="e">
        <f>K24+1.5*scale1!D21</f>
        <v>#DIV/0!</v>
      </c>
      <c r="M24" s="47" t="e">
        <f t="shared" si="12"/>
        <v>#DIV/0!</v>
      </c>
      <c r="N24" s="24" t="e">
        <f>scale2!C21</f>
        <v>#DIV/0!</v>
      </c>
      <c r="O24" s="46" t="e">
        <f>N24+1.5*scale2!D21</f>
        <v>#DIV/0!</v>
      </c>
      <c r="P24" s="47" t="e">
        <f t="shared" si="13"/>
        <v>#DIV/0!</v>
      </c>
      <c r="Q24" s="24" t="e">
        <f>scale3!C21</f>
        <v>#DIV/0!</v>
      </c>
      <c r="R24" s="48" t="e">
        <f>Q24+1.5*scale3!D21</f>
        <v>#DIV/0!</v>
      </c>
      <c r="AZ24" s="29"/>
      <c r="BA24" s="29"/>
      <c r="BB24" s="29"/>
      <c r="BC24" s="29"/>
      <c r="BD24" s="29"/>
      <c r="BE24" s="29"/>
      <c r="BF24" s="29"/>
    </row>
    <row r="25" spans="1:58">
      <c r="A25">
        <f>data0!A17</f>
        <v>-45</v>
      </c>
      <c r="B25" s="27" t="e">
        <f t="shared" si="6"/>
        <v>#DIV/0!</v>
      </c>
      <c r="C25" s="74" t="e">
        <f t="shared" si="7"/>
        <v>#DIV/0!</v>
      </c>
      <c r="D25" s="27" t="e">
        <f t="shared" si="8"/>
        <v>#DIV/0!</v>
      </c>
      <c r="E25" s="74" t="e">
        <f t="shared" si="9"/>
        <v>#DIV/0!</v>
      </c>
      <c r="F25" s="74" t="e">
        <f t="shared" si="5"/>
        <v>#DIV/0!</v>
      </c>
      <c r="G25" s="45" t="e">
        <f t="shared" si="10"/>
        <v>#DIV/0!</v>
      </c>
      <c r="H25" s="24" t="e">
        <f>scale0!C22</f>
        <v>#DIV/0!</v>
      </c>
      <c r="I25" s="46" t="e">
        <f>H25+1.5*scale0!D22</f>
        <v>#DIV/0!</v>
      </c>
      <c r="J25" s="47" t="e">
        <f t="shared" si="11"/>
        <v>#DIV/0!</v>
      </c>
      <c r="K25" s="24" t="e">
        <f>scale1!C22</f>
        <v>#DIV/0!</v>
      </c>
      <c r="L25" s="46" t="e">
        <f>K25+1.5*scale1!D22</f>
        <v>#DIV/0!</v>
      </c>
      <c r="M25" s="47" t="e">
        <f t="shared" si="12"/>
        <v>#DIV/0!</v>
      </c>
      <c r="N25" s="24" t="e">
        <f>scale2!C22</f>
        <v>#DIV/0!</v>
      </c>
      <c r="O25" s="46" t="e">
        <f>N25+1.5*scale2!D22</f>
        <v>#DIV/0!</v>
      </c>
      <c r="P25" s="47" t="e">
        <f t="shared" si="13"/>
        <v>#DIV/0!</v>
      </c>
      <c r="Q25" s="24" t="e">
        <f>scale3!C22</f>
        <v>#DIV/0!</v>
      </c>
      <c r="R25" s="48" t="e">
        <f>Q25+1.5*scale3!D22</f>
        <v>#DIV/0!</v>
      </c>
      <c r="AZ25" s="29"/>
      <c r="BA25" s="29"/>
      <c r="BB25" s="29"/>
      <c r="BC25" s="29"/>
      <c r="BD25" s="29"/>
      <c r="BE25" s="29"/>
      <c r="BF25" s="29"/>
    </row>
    <row r="26" spans="1:58">
      <c r="A26">
        <f>data0!A18</f>
        <v>-42</v>
      </c>
      <c r="B26" s="27" t="e">
        <f t="shared" si="6"/>
        <v>#DIV/0!</v>
      </c>
      <c r="C26" s="74" t="e">
        <f t="shared" si="7"/>
        <v>#DIV/0!</v>
      </c>
      <c r="D26" s="27" t="e">
        <f t="shared" si="8"/>
        <v>#DIV/0!</v>
      </c>
      <c r="E26" s="74" t="e">
        <f t="shared" si="9"/>
        <v>#DIV/0!</v>
      </c>
      <c r="F26" s="74" t="e">
        <f t="shared" si="5"/>
        <v>#DIV/0!</v>
      </c>
      <c r="G26" s="45" t="e">
        <f t="shared" si="10"/>
        <v>#DIV/0!</v>
      </c>
      <c r="H26" s="24" t="e">
        <f>scale0!C23</f>
        <v>#DIV/0!</v>
      </c>
      <c r="I26" s="46" t="e">
        <f>H26+1.5*scale0!D23</f>
        <v>#DIV/0!</v>
      </c>
      <c r="J26" s="47" t="e">
        <f t="shared" si="11"/>
        <v>#DIV/0!</v>
      </c>
      <c r="K26" s="24" t="e">
        <f>scale1!C23</f>
        <v>#DIV/0!</v>
      </c>
      <c r="L26" s="46" t="e">
        <f>K26+1.5*scale1!D23</f>
        <v>#DIV/0!</v>
      </c>
      <c r="M26" s="47" t="e">
        <f t="shared" si="12"/>
        <v>#DIV/0!</v>
      </c>
      <c r="N26" s="24" t="e">
        <f>scale2!C23</f>
        <v>#DIV/0!</v>
      </c>
      <c r="O26" s="46" t="e">
        <f>N26+1.5*scale2!D23</f>
        <v>#DIV/0!</v>
      </c>
      <c r="P26" s="47" t="e">
        <f t="shared" si="13"/>
        <v>#DIV/0!</v>
      </c>
      <c r="Q26" s="24" t="e">
        <f>scale3!C23</f>
        <v>#DIV/0!</v>
      </c>
      <c r="R26" s="48" t="e">
        <f>Q26+1.5*scale3!D23</f>
        <v>#DIV/0!</v>
      </c>
      <c r="AZ26" s="29"/>
      <c r="BA26" s="29"/>
      <c r="BB26" s="29"/>
      <c r="BC26" s="29"/>
      <c r="BD26" s="29"/>
      <c r="BE26" s="29"/>
      <c r="BF26" s="29"/>
    </row>
    <row r="27" spans="1:58">
      <c r="A27">
        <f>data0!A19</f>
        <v>-39</v>
      </c>
      <c r="B27" s="27" t="e">
        <f t="shared" si="6"/>
        <v>#DIV/0!</v>
      </c>
      <c r="C27" s="74" t="e">
        <f t="shared" si="7"/>
        <v>#DIV/0!</v>
      </c>
      <c r="D27" s="27" t="e">
        <f t="shared" si="8"/>
        <v>#DIV/0!</v>
      </c>
      <c r="E27" s="74" t="e">
        <f t="shared" si="9"/>
        <v>#DIV/0!</v>
      </c>
      <c r="F27" s="74" t="e">
        <f t="shared" si="5"/>
        <v>#DIV/0!</v>
      </c>
      <c r="G27" s="45" t="e">
        <f t="shared" si="10"/>
        <v>#DIV/0!</v>
      </c>
      <c r="H27" s="24" t="e">
        <f>scale0!C24</f>
        <v>#DIV/0!</v>
      </c>
      <c r="I27" s="46" t="e">
        <f>H27+1.5*scale0!D24</f>
        <v>#DIV/0!</v>
      </c>
      <c r="J27" s="47" t="e">
        <f t="shared" si="11"/>
        <v>#DIV/0!</v>
      </c>
      <c r="K27" s="24" t="e">
        <f>scale1!C24</f>
        <v>#DIV/0!</v>
      </c>
      <c r="L27" s="46" t="e">
        <f>K27+1.5*scale1!D24</f>
        <v>#DIV/0!</v>
      </c>
      <c r="M27" s="47" t="e">
        <f t="shared" si="12"/>
        <v>#DIV/0!</v>
      </c>
      <c r="N27" s="24" t="e">
        <f>scale2!C24</f>
        <v>#DIV/0!</v>
      </c>
      <c r="O27" s="46" t="e">
        <f>N27+1.5*scale2!D24</f>
        <v>#DIV/0!</v>
      </c>
      <c r="P27" s="47" t="e">
        <f t="shared" si="13"/>
        <v>#DIV/0!</v>
      </c>
      <c r="Q27" s="24" t="e">
        <f>scale3!C24</f>
        <v>#DIV/0!</v>
      </c>
      <c r="R27" s="48" t="e">
        <f>Q27+1.5*scale3!D24</f>
        <v>#DIV/0!</v>
      </c>
      <c r="AZ27" s="29"/>
      <c r="BA27" s="29"/>
      <c r="BB27" s="29"/>
      <c r="BC27" s="29"/>
      <c r="BD27" s="29"/>
      <c r="BE27" s="29"/>
      <c r="BF27" s="29"/>
    </row>
    <row r="28" spans="1:58">
      <c r="A28">
        <f>data0!A20</f>
        <v>-36</v>
      </c>
      <c r="B28" s="27" t="e">
        <f t="shared" si="6"/>
        <v>#DIV/0!</v>
      </c>
      <c r="C28" s="74" t="e">
        <f t="shared" si="7"/>
        <v>#DIV/0!</v>
      </c>
      <c r="D28" s="27" t="e">
        <f t="shared" si="8"/>
        <v>#DIV/0!</v>
      </c>
      <c r="E28" s="74" t="e">
        <f t="shared" si="9"/>
        <v>#DIV/0!</v>
      </c>
      <c r="F28" s="74" t="e">
        <f t="shared" si="5"/>
        <v>#DIV/0!</v>
      </c>
      <c r="G28" s="45" t="e">
        <f t="shared" si="10"/>
        <v>#DIV/0!</v>
      </c>
      <c r="H28" s="24" t="e">
        <f>scale0!C25</f>
        <v>#DIV/0!</v>
      </c>
      <c r="I28" s="46" t="e">
        <f>H28+1.5*scale0!D25</f>
        <v>#DIV/0!</v>
      </c>
      <c r="J28" s="47" t="e">
        <f t="shared" si="11"/>
        <v>#DIV/0!</v>
      </c>
      <c r="K28" s="24" t="e">
        <f>scale1!C25</f>
        <v>#DIV/0!</v>
      </c>
      <c r="L28" s="46" t="e">
        <f>K28+1.5*scale1!D25</f>
        <v>#DIV/0!</v>
      </c>
      <c r="M28" s="47" t="e">
        <f t="shared" si="12"/>
        <v>#DIV/0!</v>
      </c>
      <c r="N28" s="24" t="e">
        <f>scale2!C25</f>
        <v>#DIV/0!</v>
      </c>
      <c r="O28" s="46" t="e">
        <f>N28+1.5*scale2!D25</f>
        <v>#DIV/0!</v>
      </c>
      <c r="P28" s="47" t="e">
        <f t="shared" si="13"/>
        <v>#DIV/0!</v>
      </c>
      <c r="Q28" s="24" t="e">
        <f>scale3!C25</f>
        <v>#DIV/0!</v>
      </c>
      <c r="R28" s="48" t="e">
        <f>Q28+1.5*scale3!D25</f>
        <v>#DIV/0!</v>
      </c>
      <c r="AZ28" s="29"/>
      <c r="BA28" s="29"/>
      <c r="BB28" s="29"/>
      <c r="BC28" s="29"/>
      <c r="BD28" s="29"/>
      <c r="BE28" s="29"/>
      <c r="BF28" s="29"/>
    </row>
    <row r="29" spans="1:58">
      <c r="A29">
        <f>data0!A21</f>
        <v>-33</v>
      </c>
      <c r="B29" s="27" t="e">
        <f t="shared" si="6"/>
        <v>#DIV/0!</v>
      </c>
      <c r="C29" s="74" t="e">
        <f t="shared" si="7"/>
        <v>#DIV/0!</v>
      </c>
      <c r="D29" s="27" t="e">
        <f t="shared" si="8"/>
        <v>#DIV/0!</v>
      </c>
      <c r="E29" s="74" t="e">
        <f t="shared" si="9"/>
        <v>#DIV/0!</v>
      </c>
      <c r="F29" s="74" t="e">
        <f t="shared" si="5"/>
        <v>#DIV/0!</v>
      </c>
      <c r="G29" s="45" t="e">
        <f t="shared" si="10"/>
        <v>#DIV/0!</v>
      </c>
      <c r="H29" s="24" t="e">
        <f>scale0!C26</f>
        <v>#DIV/0!</v>
      </c>
      <c r="I29" s="46" t="e">
        <f>H29+1.5*scale0!D26</f>
        <v>#DIV/0!</v>
      </c>
      <c r="J29" s="47" t="e">
        <f t="shared" si="11"/>
        <v>#DIV/0!</v>
      </c>
      <c r="K29" s="24" t="e">
        <f>scale1!C26</f>
        <v>#DIV/0!</v>
      </c>
      <c r="L29" s="46" t="e">
        <f>K29+1.5*scale1!D26</f>
        <v>#DIV/0!</v>
      </c>
      <c r="M29" s="47" t="e">
        <f t="shared" si="12"/>
        <v>#DIV/0!</v>
      </c>
      <c r="N29" s="24" t="e">
        <f>scale2!C26</f>
        <v>#DIV/0!</v>
      </c>
      <c r="O29" s="46" t="e">
        <f>N29+1.5*scale2!D26</f>
        <v>#DIV/0!</v>
      </c>
      <c r="P29" s="47" t="e">
        <f t="shared" si="13"/>
        <v>#DIV/0!</v>
      </c>
      <c r="Q29" s="24" t="e">
        <f>scale3!C26</f>
        <v>#DIV/0!</v>
      </c>
      <c r="R29" s="48" t="e">
        <f>Q29+1.5*scale3!D26</f>
        <v>#DIV/0!</v>
      </c>
      <c r="AZ29" s="29"/>
      <c r="BA29" s="29"/>
      <c r="BB29" s="29"/>
      <c r="BC29" s="29"/>
      <c r="BD29" s="29"/>
      <c r="BE29" s="29"/>
      <c r="BF29" s="29"/>
    </row>
    <row r="30" spans="1:58">
      <c r="A30">
        <f>data0!A22</f>
        <v>-30</v>
      </c>
      <c r="B30" s="27" t="e">
        <f t="shared" si="6"/>
        <v>#DIV/0!</v>
      </c>
      <c r="C30" s="74" t="e">
        <f t="shared" si="7"/>
        <v>#DIV/0!</v>
      </c>
      <c r="D30" s="27" t="e">
        <f t="shared" si="8"/>
        <v>#DIV/0!</v>
      </c>
      <c r="E30" s="74" t="e">
        <f t="shared" si="9"/>
        <v>#DIV/0!</v>
      </c>
      <c r="F30" s="74" t="e">
        <f t="shared" si="5"/>
        <v>#DIV/0!</v>
      </c>
      <c r="G30" s="45" t="e">
        <f t="shared" si="10"/>
        <v>#DIV/0!</v>
      </c>
      <c r="H30" s="24" t="e">
        <f>scale0!C27</f>
        <v>#DIV/0!</v>
      </c>
      <c r="I30" s="46" t="e">
        <f>H30+1.5*scale0!D27</f>
        <v>#DIV/0!</v>
      </c>
      <c r="J30" s="47" t="e">
        <f t="shared" si="11"/>
        <v>#DIV/0!</v>
      </c>
      <c r="K30" s="24" t="e">
        <f>scale1!C27</f>
        <v>#DIV/0!</v>
      </c>
      <c r="L30" s="46" t="e">
        <f>K30+1.5*scale1!D27</f>
        <v>#DIV/0!</v>
      </c>
      <c r="M30" s="47" t="e">
        <f t="shared" si="12"/>
        <v>#DIV/0!</v>
      </c>
      <c r="N30" s="24" t="e">
        <f>scale2!C27</f>
        <v>#DIV/0!</v>
      </c>
      <c r="O30" s="46" t="e">
        <f>N30+1.5*scale2!D27</f>
        <v>#DIV/0!</v>
      </c>
      <c r="P30" s="47" t="e">
        <f t="shared" si="13"/>
        <v>#DIV/0!</v>
      </c>
      <c r="Q30" s="24" t="e">
        <f>scale3!C27</f>
        <v>#DIV/0!</v>
      </c>
      <c r="R30" s="48" t="e">
        <f>Q30+1.5*scale3!D27</f>
        <v>#DIV/0!</v>
      </c>
      <c r="AZ30" s="29"/>
      <c r="BA30" s="29"/>
      <c r="BB30" s="29"/>
      <c r="BC30" s="29"/>
      <c r="BD30" s="29"/>
      <c r="BE30" s="29"/>
      <c r="BF30" s="29"/>
    </row>
    <row r="31" spans="1:58">
      <c r="A31">
        <f>data0!A23</f>
        <v>-27</v>
      </c>
      <c r="B31" s="27" t="e">
        <f t="shared" si="6"/>
        <v>#DIV/0!</v>
      </c>
      <c r="C31" s="74" t="e">
        <f t="shared" si="7"/>
        <v>#DIV/0!</v>
      </c>
      <c r="D31" s="27" t="e">
        <f t="shared" si="8"/>
        <v>#DIV/0!</v>
      </c>
      <c r="E31" s="74" t="e">
        <f t="shared" si="9"/>
        <v>#DIV/0!</v>
      </c>
      <c r="F31" s="74" t="e">
        <f t="shared" si="5"/>
        <v>#DIV/0!</v>
      </c>
      <c r="G31" s="45" t="e">
        <f t="shared" si="10"/>
        <v>#DIV/0!</v>
      </c>
      <c r="H31" s="24" t="e">
        <f>scale0!C28</f>
        <v>#DIV/0!</v>
      </c>
      <c r="I31" s="46" t="e">
        <f>H31+1.5*scale0!D28</f>
        <v>#DIV/0!</v>
      </c>
      <c r="J31" s="47" t="e">
        <f t="shared" si="11"/>
        <v>#DIV/0!</v>
      </c>
      <c r="K31" s="24" t="e">
        <f>scale1!C28</f>
        <v>#DIV/0!</v>
      </c>
      <c r="L31" s="46" t="e">
        <f>K31+1.5*scale1!D28</f>
        <v>#DIV/0!</v>
      </c>
      <c r="M31" s="47" t="e">
        <f t="shared" si="12"/>
        <v>#DIV/0!</v>
      </c>
      <c r="N31" s="24" t="e">
        <f>scale2!C28</f>
        <v>#DIV/0!</v>
      </c>
      <c r="O31" s="46" t="e">
        <f>N31+1.5*scale2!D28</f>
        <v>#DIV/0!</v>
      </c>
      <c r="P31" s="47" t="e">
        <f t="shared" si="13"/>
        <v>#DIV/0!</v>
      </c>
      <c r="Q31" s="24" t="e">
        <f>scale3!C28</f>
        <v>#DIV/0!</v>
      </c>
      <c r="R31" s="48" t="e">
        <f>Q31+1.5*scale3!D28</f>
        <v>#DIV/0!</v>
      </c>
      <c r="AZ31" s="29"/>
      <c r="BA31" s="29"/>
      <c r="BB31" s="29"/>
      <c r="BC31" s="29"/>
      <c r="BD31" s="29"/>
      <c r="BE31" s="29"/>
      <c r="BF31" s="29"/>
    </row>
    <row r="32" spans="1:58">
      <c r="A32">
        <f>data0!A24</f>
        <v>-24</v>
      </c>
      <c r="B32" s="27" t="e">
        <f t="shared" si="6"/>
        <v>#DIV/0!</v>
      </c>
      <c r="C32" s="74" t="e">
        <f t="shared" si="7"/>
        <v>#DIV/0!</v>
      </c>
      <c r="D32" s="27" t="e">
        <f t="shared" si="8"/>
        <v>#DIV/0!</v>
      </c>
      <c r="E32" s="74" t="e">
        <f t="shared" si="9"/>
        <v>#DIV/0!</v>
      </c>
      <c r="F32" s="74" t="e">
        <f t="shared" si="5"/>
        <v>#DIV/0!</v>
      </c>
      <c r="G32" s="45" t="e">
        <f t="shared" si="10"/>
        <v>#DIV/0!</v>
      </c>
      <c r="H32" s="24" t="e">
        <f>scale0!C29</f>
        <v>#DIV/0!</v>
      </c>
      <c r="I32" s="46" t="e">
        <f>H32+1.5*scale0!D29</f>
        <v>#DIV/0!</v>
      </c>
      <c r="J32" s="47" t="e">
        <f t="shared" si="11"/>
        <v>#DIV/0!</v>
      </c>
      <c r="K32" s="24" t="e">
        <f>scale1!C29</f>
        <v>#DIV/0!</v>
      </c>
      <c r="L32" s="46" t="e">
        <f>K32+1.5*scale1!D29</f>
        <v>#DIV/0!</v>
      </c>
      <c r="M32" s="47" t="e">
        <f t="shared" si="12"/>
        <v>#DIV/0!</v>
      </c>
      <c r="N32" s="24" t="e">
        <f>scale2!C29</f>
        <v>#DIV/0!</v>
      </c>
      <c r="O32" s="46" t="e">
        <f>N32+1.5*scale2!D29</f>
        <v>#DIV/0!</v>
      </c>
      <c r="P32" s="47" t="e">
        <f t="shared" si="13"/>
        <v>#DIV/0!</v>
      </c>
      <c r="Q32" s="24" t="e">
        <f>scale3!C29</f>
        <v>#DIV/0!</v>
      </c>
      <c r="R32" s="48" t="e">
        <f>Q32+1.5*scale3!D29</f>
        <v>#DIV/0!</v>
      </c>
      <c r="AZ32" s="29"/>
      <c r="BA32" s="29"/>
      <c r="BB32" s="29"/>
      <c r="BC32" s="29"/>
      <c r="BD32" s="29"/>
      <c r="BE32" s="29"/>
      <c r="BF32" s="29"/>
    </row>
    <row r="33" spans="1:58">
      <c r="A33">
        <f>data0!A25</f>
        <v>-21</v>
      </c>
      <c r="B33" s="27" t="e">
        <f t="shared" si="6"/>
        <v>#DIV/0!</v>
      </c>
      <c r="C33" s="74" t="e">
        <f t="shared" si="7"/>
        <v>#DIV/0!</v>
      </c>
      <c r="D33" s="27" t="e">
        <f t="shared" si="8"/>
        <v>#DIV/0!</v>
      </c>
      <c r="E33" s="74" t="e">
        <f t="shared" si="9"/>
        <v>#DIV/0!</v>
      </c>
      <c r="F33" s="74" t="e">
        <f t="shared" si="5"/>
        <v>#DIV/0!</v>
      </c>
      <c r="G33" s="45" t="e">
        <f t="shared" si="10"/>
        <v>#DIV/0!</v>
      </c>
      <c r="H33" s="24" t="e">
        <f>scale0!C30</f>
        <v>#DIV/0!</v>
      </c>
      <c r="I33" s="46" t="e">
        <f>H33+1.5*scale0!D30</f>
        <v>#DIV/0!</v>
      </c>
      <c r="J33" s="47" t="e">
        <f t="shared" si="11"/>
        <v>#DIV/0!</v>
      </c>
      <c r="K33" s="24" t="e">
        <f>scale1!C30</f>
        <v>#DIV/0!</v>
      </c>
      <c r="L33" s="46" t="e">
        <f>K33+1.5*scale1!D30</f>
        <v>#DIV/0!</v>
      </c>
      <c r="M33" s="47" t="e">
        <f t="shared" si="12"/>
        <v>#DIV/0!</v>
      </c>
      <c r="N33" s="24" t="e">
        <f>scale2!C30</f>
        <v>#DIV/0!</v>
      </c>
      <c r="O33" s="46" t="e">
        <f>N33+1.5*scale2!D30</f>
        <v>#DIV/0!</v>
      </c>
      <c r="P33" s="47" t="e">
        <f t="shared" si="13"/>
        <v>#DIV/0!</v>
      </c>
      <c r="Q33" s="24" t="e">
        <f>scale3!C30</f>
        <v>#DIV/0!</v>
      </c>
      <c r="R33" s="48" t="e">
        <f>Q33+1.5*scale3!D30</f>
        <v>#DIV/0!</v>
      </c>
      <c r="AZ33" s="29"/>
      <c r="BA33" s="29"/>
      <c r="BB33" s="29"/>
      <c r="BC33" s="29"/>
      <c r="BD33" s="29"/>
      <c r="BE33" s="29"/>
      <c r="BF33" s="29"/>
    </row>
    <row r="34" spans="1:58">
      <c r="A34">
        <f>data0!A26</f>
        <v>-18</v>
      </c>
      <c r="B34" s="27" t="e">
        <f t="shared" si="6"/>
        <v>#DIV/0!</v>
      </c>
      <c r="C34" s="74" t="e">
        <f t="shared" si="7"/>
        <v>#DIV/0!</v>
      </c>
      <c r="D34" s="27" t="e">
        <f t="shared" si="8"/>
        <v>#DIV/0!</v>
      </c>
      <c r="E34" s="74" t="e">
        <f t="shared" si="9"/>
        <v>#DIV/0!</v>
      </c>
      <c r="F34" s="74" t="e">
        <f t="shared" si="5"/>
        <v>#DIV/0!</v>
      </c>
      <c r="G34" s="45" t="e">
        <f t="shared" si="10"/>
        <v>#DIV/0!</v>
      </c>
      <c r="H34" s="24" t="e">
        <f>scale0!C31</f>
        <v>#DIV/0!</v>
      </c>
      <c r="I34" s="46" t="e">
        <f>H34+1.5*scale0!D31</f>
        <v>#DIV/0!</v>
      </c>
      <c r="J34" s="47" t="e">
        <f t="shared" si="11"/>
        <v>#DIV/0!</v>
      </c>
      <c r="K34" s="24" t="e">
        <f>scale1!C31</f>
        <v>#DIV/0!</v>
      </c>
      <c r="L34" s="46" t="e">
        <f>K34+1.5*scale1!D31</f>
        <v>#DIV/0!</v>
      </c>
      <c r="M34" s="47" t="e">
        <f t="shared" si="12"/>
        <v>#DIV/0!</v>
      </c>
      <c r="N34" s="24" t="e">
        <f>scale2!C31</f>
        <v>#DIV/0!</v>
      </c>
      <c r="O34" s="46" t="e">
        <f>N34+1.5*scale2!D31</f>
        <v>#DIV/0!</v>
      </c>
      <c r="P34" s="47" t="e">
        <f t="shared" si="13"/>
        <v>#DIV/0!</v>
      </c>
      <c r="Q34" s="24" t="e">
        <f>scale3!C31</f>
        <v>#DIV/0!</v>
      </c>
      <c r="R34" s="48" t="e">
        <f>Q34+1.5*scale3!D31</f>
        <v>#DIV/0!</v>
      </c>
      <c r="AZ34" s="29"/>
      <c r="BA34" s="29"/>
      <c r="BB34" s="29"/>
      <c r="BC34" s="29"/>
      <c r="BD34" s="29"/>
      <c r="BE34" s="29"/>
      <c r="BF34" s="29"/>
    </row>
    <row r="35" spans="1:58">
      <c r="A35">
        <f>data0!A27</f>
        <v>-15</v>
      </c>
      <c r="B35" s="27" t="e">
        <f>MIN(G35,J35,M35,P35)</f>
        <v>#DIV/0!</v>
      </c>
      <c r="C35" s="74" t="e">
        <f t="shared" si="7"/>
        <v>#DIV/0!</v>
      </c>
      <c r="D35" s="27" t="e">
        <f>MAX(I35,L35,O35,R35)</f>
        <v>#DIV/0!</v>
      </c>
      <c r="E35" s="74" t="e">
        <f t="shared" si="9"/>
        <v>#DIV/0!</v>
      </c>
      <c r="F35" s="74" t="e">
        <f t="shared" si="5"/>
        <v>#DIV/0!</v>
      </c>
      <c r="G35" s="45" t="e">
        <f t="shared" si="10"/>
        <v>#DIV/0!</v>
      </c>
      <c r="H35" s="24" t="e">
        <f>scale0!C32</f>
        <v>#DIV/0!</v>
      </c>
      <c r="I35" s="46" t="e">
        <f>H35+1.5*scale0!D32</f>
        <v>#DIV/0!</v>
      </c>
      <c r="J35" s="47" t="e">
        <f t="shared" si="11"/>
        <v>#DIV/0!</v>
      </c>
      <c r="K35" s="24" t="e">
        <f>scale1!C32</f>
        <v>#DIV/0!</v>
      </c>
      <c r="L35" s="46" t="e">
        <f>K35+1.5*scale1!D32</f>
        <v>#DIV/0!</v>
      </c>
      <c r="M35" s="47" t="e">
        <f t="shared" si="12"/>
        <v>#DIV/0!</v>
      </c>
      <c r="N35" s="24" t="e">
        <f>scale2!C32</f>
        <v>#DIV/0!</v>
      </c>
      <c r="O35" s="46" t="e">
        <f>N35+1.5*scale2!D32</f>
        <v>#DIV/0!</v>
      </c>
      <c r="P35" s="47" t="e">
        <f t="shared" si="13"/>
        <v>#DIV/0!</v>
      </c>
      <c r="Q35" s="24" t="e">
        <f>scale3!C32</f>
        <v>#DIV/0!</v>
      </c>
      <c r="R35" s="48" t="e">
        <f>Q35+1.5*scale3!D32</f>
        <v>#DIV/0!</v>
      </c>
      <c r="AZ35" s="29"/>
      <c r="BA35" s="29"/>
      <c r="BB35" s="29"/>
      <c r="BC35" s="29"/>
      <c r="BD35" s="29"/>
      <c r="BE35" s="29"/>
      <c r="BF35" s="29"/>
    </row>
    <row r="36" spans="1:58">
      <c r="A36">
        <f>data0!A28</f>
        <v>-12</v>
      </c>
      <c r="B36" s="27" t="e">
        <f t="shared" si="6"/>
        <v>#DIV/0!</v>
      </c>
      <c r="C36" s="74" t="e">
        <f t="shared" si="7"/>
        <v>#DIV/0!</v>
      </c>
      <c r="D36" s="27" t="e">
        <f t="shared" si="8"/>
        <v>#DIV/0!</v>
      </c>
      <c r="E36" s="74" t="e">
        <f t="shared" si="9"/>
        <v>#DIV/0!</v>
      </c>
      <c r="F36" s="74" t="e">
        <f t="shared" si="5"/>
        <v>#DIV/0!</v>
      </c>
      <c r="G36" s="45" t="e">
        <f t="shared" si="10"/>
        <v>#DIV/0!</v>
      </c>
      <c r="H36" s="24" t="e">
        <f>scale0!C33</f>
        <v>#DIV/0!</v>
      </c>
      <c r="I36" s="46" t="e">
        <f>H36+1.5*scale0!D33</f>
        <v>#DIV/0!</v>
      </c>
      <c r="J36" s="47" t="e">
        <f t="shared" si="11"/>
        <v>#DIV/0!</v>
      </c>
      <c r="K36" s="24" t="e">
        <f>scale1!C33</f>
        <v>#DIV/0!</v>
      </c>
      <c r="L36" s="46" t="e">
        <f>K36+1.5*scale1!D33</f>
        <v>#DIV/0!</v>
      </c>
      <c r="M36" s="47" t="e">
        <f t="shared" si="12"/>
        <v>#DIV/0!</v>
      </c>
      <c r="N36" s="24" t="e">
        <f>scale2!C33</f>
        <v>#DIV/0!</v>
      </c>
      <c r="O36" s="46" t="e">
        <f>N36+1.5*scale2!D33</f>
        <v>#DIV/0!</v>
      </c>
      <c r="P36" s="47" t="e">
        <f t="shared" si="13"/>
        <v>#DIV/0!</v>
      </c>
      <c r="Q36" s="24" t="e">
        <f>scale3!C33</f>
        <v>#DIV/0!</v>
      </c>
      <c r="R36" s="48" t="e">
        <f>Q36+1.5*scale3!D33</f>
        <v>#DIV/0!</v>
      </c>
      <c r="AZ36" s="29"/>
      <c r="BA36" s="29"/>
      <c r="BB36" s="29"/>
      <c r="BC36" s="29"/>
      <c r="BD36" s="29"/>
      <c r="BE36" s="29"/>
      <c r="BF36" s="29"/>
    </row>
    <row r="37" spans="1:58">
      <c r="A37">
        <f>data0!A29</f>
        <v>-9</v>
      </c>
      <c r="B37" s="27" t="e">
        <f t="shared" si="6"/>
        <v>#DIV/0!</v>
      </c>
      <c r="C37" s="74" t="e">
        <f t="shared" si="7"/>
        <v>#DIV/0!</v>
      </c>
      <c r="D37" s="27" t="e">
        <f t="shared" si="8"/>
        <v>#DIV/0!</v>
      </c>
      <c r="E37" s="74" t="e">
        <f t="shared" si="9"/>
        <v>#DIV/0!</v>
      </c>
      <c r="F37" s="74" t="e">
        <f t="shared" si="5"/>
        <v>#DIV/0!</v>
      </c>
      <c r="G37" s="45" t="e">
        <f t="shared" si="10"/>
        <v>#DIV/0!</v>
      </c>
      <c r="H37" s="24" t="e">
        <f>scale0!C34</f>
        <v>#DIV/0!</v>
      </c>
      <c r="I37" s="46" t="e">
        <f>H37+1.5*scale0!D34</f>
        <v>#DIV/0!</v>
      </c>
      <c r="J37" s="47" t="e">
        <f t="shared" si="11"/>
        <v>#DIV/0!</v>
      </c>
      <c r="K37" s="24" t="e">
        <f>scale1!C34</f>
        <v>#DIV/0!</v>
      </c>
      <c r="L37" s="46" t="e">
        <f>K37+1.5*scale1!D34</f>
        <v>#DIV/0!</v>
      </c>
      <c r="M37" s="47" t="e">
        <f t="shared" si="12"/>
        <v>#DIV/0!</v>
      </c>
      <c r="N37" s="24" t="e">
        <f>scale2!C34</f>
        <v>#DIV/0!</v>
      </c>
      <c r="O37" s="46" t="e">
        <f>N37+1.5*scale2!D34</f>
        <v>#DIV/0!</v>
      </c>
      <c r="P37" s="47" t="e">
        <f t="shared" si="13"/>
        <v>#DIV/0!</v>
      </c>
      <c r="Q37" s="24" t="e">
        <f>scale3!C34</f>
        <v>#DIV/0!</v>
      </c>
      <c r="R37" s="48" t="e">
        <f>Q37+1.5*scale3!D34</f>
        <v>#DIV/0!</v>
      </c>
      <c r="AZ37" s="29"/>
      <c r="BA37" s="29"/>
      <c r="BB37" s="29"/>
      <c r="BC37" s="29"/>
      <c r="BD37" s="29"/>
      <c r="BE37" s="29"/>
      <c r="BF37" s="29"/>
    </row>
    <row r="38" spans="1:58">
      <c r="A38">
        <f>data0!A30</f>
        <v>-6</v>
      </c>
      <c r="B38" s="27" t="e">
        <f t="shared" si="6"/>
        <v>#DIV/0!</v>
      </c>
      <c r="C38" s="74" t="e">
        <f t="shared" si="7"/>
        <v>#DIV/0!</v>
      </c>
      <c r="D38" s="27" t="e">
        <f t="shared" si="8"/>
        <v>#DIV/0!</v>
      </c>
      <c r="E38" s="74" t="e">
        <f t="shared" si="9"/>
        <v>#DIV/0!</v>
      </c>
      <c r="F38" s="74" t="e">
        <f t="shared" si="5"/>
        <v>#DIV/0!</v>
      </c>
      <c r="G38" s="45" t="e">
        <f t="shared" si="10"/>
        <v>#DIV/0!</v>
      </c>
      <c r="H38" s="24" t="e">
        <f>scale0!C35</f>
        <v>#DIV/0!</v>
      </c>
      <c r="I38" s="46" t="e">
        <f>H38+1.5*scale0!D35</f>
        <v>#DIV/0!</v>
      </c>
      <c r="J38" s="47" t="e">
        <f t="shared" si="11"/>
        <v>#DIV/0!</v>
      </c>
      <c r="K38" s="24" t="e">
        <f>scale1!C35</f>
        <v>#DIV/0!</v>
      </c>
      <c r="L38" s="46" t="e">
        <f>K38+1.5*scale1!D35</f>
        <v>#DIV/0!</v>
      </c>
      <c r="M38" s="47" t="e">
        <f t="shared" si="12"/>
        <v>#DIV/0!</v>
      </c>
      <c r="N38" s="24" t="e">
        <f>scale2!C35</f>
        <v>#DIV/0!</v>
      </c>
      <c r="O38" s="46" t="e">
        <f>N38+1.5*scale2!D35</f>
        <v>#DIV/0!</v>
      </c>
      <c r="P38" s="47" t="e">
        <f t="shared" si="13"/>
        <v>#DIV/0!</v>
      </c>
      <c r="Q38" s="24" t="e">
        <f>scale3!C35</f>
        <v>#DIV/0!</v>
      </c>
      <c r="R38" s="48" t="e">
        <f>Q38+1.5*scale3!D35</f>
        <v>#DIV/0!</v>
      </c>
      <c r="AZ38" s="29"/>
      <c r="BA38" s="29"/>
      <c r="BB38" s="29"/>
      <c r="BC38" s="29"/>
      <c r="BD38" s="29"/>
      <c r="BE38" s="29"/>
      <c r="BF38" s="29"/>
    </row>
    <row r="39" spans="1:58">
      <c r="A39">
        <f>data0!A31</f>
        <v>-3</v>
      </c>
      <c r="B39" s="27" t="e">
        <f t="shared" si="6"/>
        <v>#DIV/0!</v>
      </c>
      <c r="C39" s="74" t="e">
        <f t="shared" si="7"/>
        <v>#DIV/0!</v>
      </c>
      <c r="D39" s="27" t="e">
        <f t="shared" si="8"/>
        <v>#DIV/0!</v>
      </c>
      <c r="E39" s="74" t="e">
        <f t="shared" si="9"/>
        <v>#DIV/0!</v>
      </c>
      <c r="F39" s="74" t="e">
        <f t="shared" si="5"/>
        <v>#DIV/0!</v>
      </c>
      <c r="G39" s="45" t="e">
        <f t="shared" si="10"/>
        <v>#DIV/0!</v>
      </c>
      <c r="H39" s="24" t="e">
        <f>scale0!C36</f>
        <v>#DIV/0!</v>
      </c>
      <c r="I39" s="46" t="e">
        <f>H39+1.5*scale0!D36</f>
        <v>#DIV/0!</v>
      </c>
      <c r="J39" s="47" t="e">
        <f t="shared" si="11"/>
        <v>#DIV/0!</v>
      </c>
      <c r="K39" s="24" t="e">
        <f>scale1!C36</f>
        <v>#DIV/0!</v>
      </c>
      <c r="L39" s="46" t="e">
        <f>K39+1.5*scale1!D36</f>
        <v>#DIV/0!</v>
      </c>
      <c r="M39" s="47" t="e">
        <f t="shared" si="12"/>
        <v>#DIV/0!</v>
      </c>
      <c r="N39" s="24" t="e">
        <f>scale2!C36</f>
        <v>#DIV/0!</v>
      </c>
      <c r="O39" s="46" t="e">
        <f>N39+1.5*scale2!D36</f>
        <v>#DIV/0!</v>
      </c>
      <c r="P39" s="47" t="e">
        <f t="shared" si="13"/>
        <v>#DIV/0!</v>
      </c>
      <c r="Q39" s="24" t="e">
        <f>scale3!C36</f>
        <v>#DIV/0!</v>
      </c>
      <c r="R39" s="48" t="e">
        <f>Q39+1.5*scale3!D36</f>
        <v>#DIV/0!</v>
      </c>
      <c r="AZ39" s="29"/>
      <c r="BA39" s="29"/>
      <c r="BB39" s="29"/>
      <c r="BC39" s="29"/>
      <c r="BD39" s="29"/>
      <c r="BE39" s="29"/>
      <c r="BF39" s="29"/>
    </row>
    <row r="40" spans="1:58">
      <c r="A40">
        <f>data0!A32</f>
        <v>0</v>
      </c>
      <c r="B40" s="27" t="e">
        <f t="shared" si="6"/>
        <v>#DIV/0!</v>
      </c>
      <c r="C40" s="74" t="e">
        <f t="shared" si="7"/>
        <v>#DIV/0!</v>
      </c>
      <c r="D40" s="27" t="e">
        <f t="shared" si="8"/>
        <v>#DIV/0!</v>
      </c>
      <c r="E40" s="74" t="e">
        <f t="shared" si="9"/>
        <v>#DIV/0!</v>
      </c>
      <c r="F40" s="74" t="e">
        <f t="shared" si="5"/>
        <v>#DIV/0!</v>
      </c>
      <c r="G40" s="45" t="e">
        <f t="shared" si="10"/>
        <v>#DIV/0!</v>
      </c>
      <c r="H40" s="24" t="e">
        <f>scale0!C37</f>
        <v>#DIV/0!</v>
      </c>
      <c r="I40" s="46" t="e">
        <f>H40+1.5*scale0!D37</f>
        <v>#DIV/0!</v>
      </c>
      <c r="J40" s="47" t="e">
        <f t="shared" si="11"/>
        <v>#DIV/0!</v>
      </c>
      <c r="K40" s="24" t="e">
        <f>scale1!C37</f>
        <v>#DIV/0!</v>
      </c>
      <c r="L40" s="46" t="e">
        <f>K40+1.5*scale1!D37</f>
        <v>#DIV/0!</v>
      </c>
      <c r="M40" s="47" t="e">
        <f t="shared" si="12"/>
        <v>#DIV/0!</v>
      </c>
      <c r="N40" s="24" t="e">
        <f>scale2!C37</f>
        <v>#DIV/0!</v>
      </c>
      <c r="O40" s="46" t="e">
        <f>N40+1.5*scale2!D37</f>
        <v>#DIV/0!</v>
      </c>
      <c r="P40" s="47" t="e">
        <f t="shared" si="13"/>
        <v>#DIV/0!</v>
      </c>
      <c r="Q40" s="24" t="e">
        <f>scale3!C37</f>
        <v>#DIV/0!</v>
      </c>
      <c r="R40" s="48" t="e">
        <f>Q40+1.5*scale3!D37</f>
        <v>#DIV/0!</v>
      </c>
      <c r="AZ40" s="29"/>
      <c r="BA40" s="29"/>
      <c r="BB40" s="29"/>
      <c r="BC40" s="29"/>
      <c r="BD40" s="29"/>
      <c r="BE40" s="29"/>
      <c r="BF40" s="29"/>
    </row>
    <row r="41" spans="1:58">
      <c r="A41">
        <f>data0!A33</f>
        <v>3</v>
      </c>
      <c r="B41" s="27" t="e">
        <f t="shared" si="6"/>
        <v>#DIV/0!</v>
      </c>
      <c r="C41" s="74" t="e">
        <f t="shared" si="7"/>
        <v>#DIV/0!</v>
      </c>
      <c r="D41" s="27" t="e">
        <f t="shared" si="8"/>
        <v>#DIV/0!</v>
      </c>
      <c r="E41" s="74" t="e">
        <f t="shared" si="9"/>
        <v>#DIV/0!</v>
      </c>
      <c r="F41" s="74" t="e">
        <f t="shared" si="5"/>
        <v>#DIV/0!</v>
      </c>
      <c r="G41" s="45" t="e">
        <f t="shared" si="10"/>
        <v>#DIV/0!</v>
      </c>
      <c r="H41" s="24" t="e">
        <f>scale0!C38</f>
        <v>#DIV/0!</v>
      </c>
      <c r="I41" s="46" t="e">
        <f>H41+1.5*scale0!D38</f>
        <v>#DIV/0!</v>
      </c>
      <c r="J41" s="47" t="e">
        <f t="shared" si="11"/>
        <v>#DIV/0!</v>
      </c>
      <c r="K41" s="24" t="e">
        <f>scale1!C38</f>
        <v>#DIV/0!</v>
      </c>
      <c r="L41" s="46" t="e">
        <f>K41+1.5*scale1!D38</f>
        <v>#DIV/0!</v>
      </c>
      <c r="M41" s="47" t="e">
        <f t="shared" si="12"/>
        <v>#DIV/0!</v>
      </c>
      <c r="N41" s="24" t="e">
        <f>scale2!C38</f>
        <v>#DIV/0!</v>
      </c>
      <c r="O41" s="46" t="e">
        <f>N41+1.5*scale2!D38</f>
        <v>#DIV/0!</v>
      </c>
      <c r="P41" s="47" t="e">
        <f t="shared" si="13"/>
        <v>#DIV/0!</v>
      </c>
      <c r="Q41" s="24" t="e">
        <f>scale3!C38</f>
        <v>#DIV/0!</v>
      </c>
      <c r="R41" s="48" t="e">
        <f>Q41+1.5*scale3!D38</f>
        <v>#DIV/0!</v>
      </c>
      <c r="AZ41" s="29"/>
      <c r="BA41" s="29"/>
      <c r="BB41" s="29"/>
      <c r="BC41" s="29"/>
      <c r="BD41" s="29"/>
      <c r="BE41" s="29"/>
      <c r="BF41" s="29"/>
    </row>
    <row r="42" spans="1:58">
      <c r="A42">
        <f>data0!A34</f>
        <v>6</v>
      </c>
      <c r="B42" s="27" t="e">
        <f t="shared" si="6"/>
        <v>#DIV/0!</v>
      </c>
      <c r="C42" s="74" t="e">
        <f t="shared" si="7"/>
        <v>#DIV/0!</v>
      </c>
      <c r="D42" s="27" t="e">
        <f t="shared" si="8"/>
        <v>#DIV/0!</v>
      </c>
      <c r="E42" s="74" t="e">
        <f t="shared" si="9"/>
        <v>#DIV/0!</v>
      </c>
      <c r="F42" s="74" t="e">
        <f t="shared" si="5"/>
        <v>#DIV/0!</v>
      </c>
      <c r="G42" s="45" t="e">
        <f t="shared" si="10"/>
        <v>#DIV/0!</v>
      </c>
      <c r="H42" s="24" t="e">
        <f>scale0!C39</f>
        <v>#DIV/0!</v>
      </c>
      <c r="I42" s="46" t="e">
        <f>H42+1.5*scale0!D39</f>
        <v>#DIV/0!</v>
      </c>
      <c r="J42" s="47" t="e">
        <f t="shared" si="11"/>
        <v>#DIV/0!</v>
      </c>
      <c r="K42" s="24" t="e">
        <f>scale1!C39</f>
        <v>#DIV/0!</v>
      </c>
      <c r="L42" s="46" t="e">
        <f>K42+1.5*scale1!D39</f>
        <v>#DIV/0!</v>
      </c>
      <c r="M42" s="47" t="e">
        <f t="shared" si="12"/>
        <v>#DIV/0!</v>
      </c>
      <c r="N42" s="24" t="e">
        <f>scale2!C39</f>
        <v>#DIV/0!</v>
      </c>
      <c r="O42" s="46" t="e">
        <f>N42+1.5*scale2!D39</f>
        <v>#DIV/0!</v>
      </c>
      <c r="P42" s="47" t="e">
        <f t="shared" si="13"/>
        <v>#DIV/0!</v>
      </c>
      <c r="Q42" s="24" t="e">
        <f>scale3!C39</f>
        <v>#DIV/0!</v>
      </c>
      <c r="R42" s="48" t="e">
        <f>Q42+1.5*scale3!D39</f>
        <v>#DIV/0!</v>
      </c>
      <c r="AZ42" s="29"/>
      <c r="BA42" s="29"/>
      <c r="BB42" s="29"/>
      <c r="BC42" s="29"/>
      <c r="BD42" s="29"/>
      <c r="BE42" s="29"/>
      <c r="BF42" s="29"/>
    </row>
    <row r="43" spans="1:58">
      <c r="A43">
        <f>data0!A35</f>
        <v>9</v>
      </c>
      <c r="B43" s="27" t="e">
        <f t="shared" si="6"/>
        <v>#DIV/0!</v>
      </c>
      <c r="C43" s="74" t="e">
        <f t="shared" si="7"/>
        <v>#DIV/0!</v>
      </c>
      <c r="D43" s="27" t="e">
        <f t="shared" si="8"/>
        <v>#DIV/0!</v>
      </c>
      <c r="E43" s="74" t="e">
        <f t="shared" si="9"/>
        <v>#DIV/0!</v>
      </c>
      <c r="F43" s="74" t="e">
        <f t="shared" si="5"/>
        <v>#DIV/0!</v>
      </c>
      <c r="G43" s="45" t="e">
        <f t="shared" si="10"/>
        <v>#DIV/0!</v>
      </c>
      <c r="H43" s="24" t="e">
        <f>scale0!C40</f>
        <v>#DIV/0!</v>
      </c>
      <c r="I43" s="46" t="e">
        <f>H43+1.5*scale0!D40</f>
        <v>#DIV/0!</v>
      </c>
      <c r="J43" s="47" t="e">
        <f t="shared" si="11"/>
        <v>#DIV/0!</v>
      </c>
      <c r="K43" s="24" t="e">
        <f>scale1!C40</f>
        <v>#DIV/0!</v>
      </c>
      <c r="L43" s="46" t="e">
        <f>K43+1.5*scale1!D40</f>
        <v>#DIV/0!</v>
      </c>
      <c r="M43" s="47" t="e">
        <f t="shared" si="12"/>
        <v>#DIV/0!</v>
      </c>
      <c r="N43" s="24" t="e">
        <f>scale2!C40</f>
        <v>#DIV/0!</v>
      </c>
      <c r="O43" s="46" t="e">
        <f>N43+1.5*scale2!D40</f>
        <v>#DIV/0!</v>
      </c>
      <c r="P43" s="47" t="e">
        <f t="shared" si="13"/>
        <v>#DIV/0!</v>
      </c>
      <c r="Q43" s="24" t="e">
        <f>scale3!C40</f>
        <v>#DIV/0!</v>
      </c>
      <c r="R43" s="48" t="e">
        <f>Q43+1.5*scale3!D40</f>
        <v>#DIV/0!</v>
      </c>
      <c r="AZ43" s="29"/>
      <c r="BA43" s="29"/>
      <c r="BB43" s="29"/>
      <c r="BC43" s="29"/>
      <c r="BD43" s="29"/>
      <c r="BE43" s="29"/>
      <c r="BF43" s="29"/>
    </row>
    <row r="44" spans="1:58">
      <c r="A44">
        <f>data0!A36</f>
        <v>12</v>
      </c>
      <c r="B44" s="27" t="e">
        <f t="shared" si="6"/>
        <v>#DIV/0!</v>
      </c>
      <c r="C44" s="74" t="e">
        <f t="shared" si="7"/>
        <v>#DIV/0!</v>
      </c>
      <c r="D44" s="27" t="e">
        <f t="shared" si="8"/>
        <v>#DIV/0!</v>
      </c>
      <c r="E44" s="74" t="e">
        <f t="shared" si="9"/>
        <v>#DIV/0!</v>
      </c>
      <c r="F44" s="74" t="e">
        <f t="shared" si="5"/>
        <v>#DIV/0!</v>
      </c>
      <c r="G44" s="45" t="e">
        <f t="shared" si="10"/>
        <v>#DIV/0!</v>
      </c>
      <c r="H44" s="24" t="e">
        <f>scale0!C41</f>
        <v>#DIV/0!</v>
      </c>
      <c r="I44" s="46" t="e">
        <f>H44+1.5*scale0!D41</f>
        <v>#DIV/0!</v>
      </c>
      <c r="J44" s="47" t="e">
        <f t="shared" si="11"/>
        <v>#DIV/0!</v>
      </c>
      <c r="K44" s="24" t="e">
        <f>scale1!C41</f>
        <v>#DIV/0!</v>
      </c>
      <c r="L44" s="46" t="e">
        <f>K44+1.5*scale1!D41</f>
        <v>#DIV/0!</v>
      </c>
      <c r="M44" s="47" t="e">
        <f t="shared" si="12"/>
        <v>#DIV/0!</v>
      </c>
      <c r="N44" s="24" t="e">
        <f>scale2!C41</f>
        <v>#DIV/0!</v>
      </c>
      <c r="O44" s="46" t="e">
        <f>N44+1.5*scale2!D41</f>
        <v>#DIV/0!</v>
      </c>
      <c r="P44" s="47" t="e">
        <f t="shared" si="13"/>
        <v>#DIV/0!</v>
      </c>
      <c r="Q44" s="24" t="e">
        <f>scale3!C41</f>
        <v>#DIV/0!</v>
      </c>
      <c r="R44" s="48" t="e">
        <f>Q44+1.5*scale3!D41</f>
        <v>#DIV/0!</v>
      </c>
      <c r="AZ44" s="29"/>
      <c r="BA44" s="29"/>
      <c r="BB44" s="29"/>
      <c r="BC44" s="29"/>
      <c r="BD44" s="29"/>
      <c r="BE44" s="29"/>
      <c r="BF44" s="29"/>
    </row>
    <row r="45" spans="1:58">
      <c r="A45">
        <f>data0!A37</f>
        <v>15</v>
      </c>
      <c r="B45" s="27" t="e">
        <f t="shared" si="6"/>
        <v>#DIV/0!</v>
      </c>
      <c r="C45" s="74" t="e">
        <f t="shared" si="7"/>
        <v>#DIV/0!</v>
      </c>
      <c r="D45" s="27" t="e">
        <f t="shared" si="8"/>
        <v>#DIV/0!</v>
      </c>
      <c r="E45" s="74" t="e">
        <f t="shared" si="9"/>
        <v>#DIV/0!</v>
      </c>
      <c r="F45" s="74" t="e">
        <f t="shared" si="5"/>
        <v>#DIV/0!</v>
      </c>
      <c r="G45" s="45" t="e">
        <f t="shared" si="10"/>
        <v>#DIV/0!</v>
      </c>
      <c r="H45" s="24" t="e">
        <f>scale0!C42</f>
        <v>#DIV/0!</v>
      </c>
      <c r="I45" s="46" t="e">
        <f>H45+1.5*scale0!D42</f>
        <v>#DIV/0!</v>
      </c>
      <c r="J45" s="47" t="e">
        <f t="shared" si="11"/>
        <v>#DIV/0!</v>
      </c>
      <c r="K45" s="24" t="e">
        <f>scale1!C42</f>
        <v>#DIV/0!</v>
      </c>
      <c r="L45" s="46" t="e">
        <f>K45+1.5*scale1!D42</f>
        <v>#DIV/0!</v>
      </c>
      <c r="M45" s="47" t="e">
        <f t="shared" si="12"/>
        <v>#DIV/0!</v>
      </c>
      <c r="N45" s="24" t="e">
        <f>scale2!C42</f>
        <v>#DIV/0!</v>
      </c>
      <c r="O45" s="46" t="e">
        <f>N45+1.5*scale2!D42</f>
        <v>#DIV/0!</v>
      </c>
      <c r="P45" s="47" t="e">
        <f t="shared" si="13"/>
        <v>#DIV/0!</v>
      </c>
      <c r="Q45" s="24" t="e">
        <f>scale3!C42</f>
        <v>#DIV/0!</v>
      </c>
      <c r="R45" s="48" t="e">
        <f>Q45+1.5*scale3!D42</f>
        <v>#DIV/0!</v>
      </c>
      <c r="AZ45" s="29"/>
      <c r="BA45" s="29"/>
      <c r="BB45" s="29"/>
      <c r="BC45" s="29"/>
      <c r="BD45" s="29"/>
      <c r="BE45" s="29"/>
      <c r="BF45" s="29"/>
    </row>
    <row r="46" spans="1:58">
      <c r="A46">
        <f>data0!A38</f>
        <v>18</v>
      </c>
      <c r="B46" s="27" t="e">
        <f t="shared" si="6"/>
        <v>#DIV/0!</v>
      </c>
      <c r="C46" s="74" t="e">
        <f t="shared" si="7"/>
        <v>#DIV/0!</v>
      </c>
      <c r="D46" s="27" t="e">
        <f t="shared" si="8"/>
        <v>#DIV/0!</v>
      </c>
      <c r="E46" s="74" t="e">
        <f t="shared" si="9"/>
        <v>#DIV/0!</v>
      </c>
      <c r="F46" s="74" t="e">
        <f t="shared" si="5"/>
        <v>#DIV/0!</v>
      </c>
      <c r="G46" s="45" t="e">
        <f t="shared" si="10"/>
        <v>#DIV/0!</v>
      </c>
      <c r="H46" s="24" t="e">
        <f>scale0!C43</f>
        <v>#DIV/0!</v>
      </c>
      <c r="I46" s="46" t="e">
        <f>H46+1.5*scale0!D43</f>
        <v>#DIV/0!</v>
      </c>
      <c r="J46" s="47" t="e">
        <f t="shared" si="11"/>
        <v>#DIV/0!</v>
      </c>
      <c r="K46" s="24" t="e">
        <f>scale1!C43</f>
        <v>#DIV/0!</v>
      </c>
      <c r="L46" s="46" t="e">
        <f>K46+1.5*scale1!D43</f>
        <v>#DIV/0!</v>
      </c>
      <c r="M46" s="47" t="e">
        <f t="shared" si="12"/>
        <v>#DIV/0!</v>
      </c>
      <c r="N46" s="24" t="e">
        <f>scale2!C43</f>
        <v>#DIV/0!</v>
      </c>
      <c r="O46" s="46" t="e">
        <f>N46+1.5*scale2!D43</f>
        <v>#DIV/0!</v>
      </c>
      <c r="P46" s="47" t="e">
        <f t="shared" si="13"/>
        <v>#DIV/0!</v>
      </c>
      <c r="Q46" s="24" t="e">
        <f>scale3!C43</f>
        <v>#DIV/0!</v>
      </c>
      <c r="R46" s="48" t="e">
        <f>Q46+1.5*scale3!D43</f>
        <v>#DIV/0!</v>
      </c>
      <c r="AZ46" s="29"/>
      <c r="BA46" s="29"/>
      <c r="BB46" s="29"/>
      <c r="BC46" s="29"/>
      <c r="BD46" s="29"/>
      <c r="BE46" s="29"/>
      <c r="BF46" s="29"/>
    </row>
    <row r="47" spans="1:58">
      <c r="A47" s="29">
        <f>data0!A39</f>
        <v>21</v>
      </c>
      <c r="B47" s="27" t="e">
        <f t="shared" si="6"/>
        <v>#DIV/0!</v>
      </c>
      <c r="C47" s="74" t="e">
        <f t="shared" si="7"/>
        <v>#DIV/0!</v>
      </c>
      <c r="D47" s="27" t="e">
        <f t="shared" si="8"/>
        <v>#DIV/0!</v>
      </c>
      <c r="E47" s="74" t="e">
        <f t="shared" si="9"/>
        <v>#DIV/0!</v>
      </c>
      <c r="F47" s="74" t="e">
        <f t="shared" si="5"/>
        <v>#DIV/0!</v>
      </c>
      <c r="G47" s="45" t="e">
        <f t="shared" si="10"/>
        <v>#DIV/0!</v>
      </c>
      <c r="H47" s="24" t="e">
        <f>scale0!C44</f>
        <v>#DIV/0!</v>
      </c>
      <c r="I47" s="46" t="e">
        <f>H47+1.5*scale0!D44</f>
        <v>#DIV/0!</v>
      </c>
      <c r="J47" s="47" t="e">
        <f t="shared" si="11"/>
        <v>#DIV/0!</v>
      </c>
      <c r="K47" s="24" t="e">
        <f>scale1!C44</f>
        <v>#DIV/0!</v>
      </c>
      <c r="L47" s="46" t="e">
        <f>K47+1.5*scale1!D44</f>
        <v>#DIV/0!</v>
      </c>
      <c r="M47" s="47" t="e">
        <f t="shared" si="12"/>
        <v>#DIV/0!</v>
      </c>
      <c r="N47" s="24" t="e">
        <f>scale2!C44</f>
        <v>#DIV/0!</v>
      </c>
      <c r="O47" s="46" t="e">
        <f>N47+1.5*scale2!D44</f>
        <v>#DIV/0!</v>
      </c>
      <c r="P47" s="47" t="e">
        <f t="shared" si="13"/>
        <v>#DIV/0!</v>
      </c>
      <c r="Q47" s="24" t="e">
        <f>scale3!C44</f>
        <v>#DIV/0!</v>
      </c>
      <c r="R47" s="48" t="e">
        <f>Q47+1.5*scale3!D44</f>
        <v>#DIV/0!</v>
      </c>
      <c r="S47" s="29"/>
    </row>
    <row r="48" spans="1:58">
      <c r="A48" s="29">
        <f>data0!A40</f>
        <v>24</v>
      </c>
      <c r="B48" s="27" t="e">
        <f t="shared" si="6"/>
        <v>#DIV/0!</v>
      </c>
      <c r="C48" s="74" t="e">
        <f t="shared" si="7"/>
        <v>#DIV/0!</v>
      </c>
      <c r="D48" s="27" t="e">
        <f t="shared" si="8"/>
        <v>#DIV/0!</v>
      </c>
      <c r="E48" s="74" t="e">
        <f t="shared" si="9"/>
        <v>#DIV/0!</v>
      </c>
      <c r="F48" s="74" t="e">
        <f t="shared" si="5"/>
        <v>#DIV/0!</v>
      </c>
      <c r="G48" s="45" t="e">
        <f t="shared" si="10"/>
        <v>#DIV/0!</v>
      </c>
      <c r="H48" s="24" t="e">
        <f>scale0!C45</f>
        <v>#DIV/0!</v>
      </c>
      <c r="I48" s="46" t="e">
        <f>H48+1.5*scale0!D45</f>
        <v>#DIV/0!</v>
      </c>
      <c r="J48" s="47" t="e">
        <f t="shared" si="11"/>
        <v>#DIV/0!</v>
      </c>
      <c r="K48" s="24" t="e">
        <f>scale1!C45</f>
        <v>#DIV/0!</v>
      </c>
      <c r="L48" s="46" t="e">
        <f>K48+1.5*scale1!D45</f>
        <v>#DIV/0!</v>
      </c>
      <c r="M48" s="47" t="e">
        <f t="shared" si="12"/>
        <v>#DIV/0!</v>
      </c>
      <c r="N48" s="24" t="e">
        <f>scale2!C45</f>
        <v>#DIV/0!</v>
      </c>
      <c r="O48" s="46" t="e">
        <f>N48+1.5*scale2!D45</f>
        <v>#DIV/0!</v>
      </c>
      <c r="P48" s="47" t="e">
        <f t="shared" si="13"/>
        <v>#DIV/0!</v>
      </c>
      <c r="Q48" s="24" t="e">
        <f>scale3!C45</f>
        <v>#DIV/0!</v>
      </c>
      <c r="R48" s="48" t="e">
        <f>Q48+1.5*scale3!D45</f>
        <v>#DIV/0!</v>
      </c>
      <c r="S48" s="29"/>
    </row>
    <row r="49" spans="1:52">
      <c r="A49" s="29">
        <f>data0!A41</f>
        <v>27</v>
      </c>
      <c r="B49" s="27" t="e">
        <f t="shared" si="6"/>
        <v>#DIV/0!</v>
      </c>
      <c r="C49" s="74" t="e">
        <f t="shared" si="7"/>
        <v>#DIV/0!</v>
      </c>
      <c r="D49" s="27" t="e">
        <f t="shared" si="8"/>
        <v>#DIV/0!</v>
      </c>
      <c r="E49" s="74" t="e">
        <f t="shared" si="9"/>
        <v>#DIV/0!</v>
      </c>
      <c r="F49" s="74" t="e">
        <f t="shared" si="5"/>
        <v>#DIV/0!</v>
      </c>
      <c r="G49" s="45" t="e">
        <f t="shared" si="10"/>
        <v>#DIV/0!</v>
      </c>
      <c r="H49" s="24" t="e">
        <f>scale0!C46</f>
        <v>#DIV/0!</v>
      </c>
      <c r="I49" s="46" t="e">
        <f>H49+1.5*scale0!D46</f>
        <v>#DIV/0!</v>
      </c>
      <c r="J49" s="47" t="e">
        <f t="shared" si="11"/>
        <v>#DIV/0!</v>
      </c>
      <c r="K49" s="24" t="e">
        <f>scale1!C46</f>
        <v>#DIV/0!</v>
      </c>
      <c r="L49" s="46" t="e">
        <f>K49+1.5*scale1!D46</f>
        <v>#DIV/0!</v>
      </c>
      <c r="M49" s="47" t="e">
        <f t="shared" si="12"/>
        <v>#DIV/0!</v>
      </c>
      <c r="N49" s="24" t="e">
        <f>scale2!C46</f>
        <v>#DIV/0!</v>
      </c>
      <c r="O49" s="46" t="e">
        <f>N49+1.5*scale2!D46</f>
        <v>#DIV/0!</v>
      </c>
      <c r="P49" s="47" t="e">
        <f t="shared" si="13"/>
        <v>#DIV/0!</v>
      </c>
      <c r="Q49" s="24" t="e">
        <f>scale3!C46</f>
        <v>#DIV/0!</v>
      </c>
      <c r="R49" s="48" t="e">
        <f>Q49+1.5*scale3!D46</f>
        <v>#DIV/0!</v>
      </c>
      <c r="S49" s="29"/>
    </row>
    <row r="50" spans="1:52">
      <c r="A50" s="29">
        <f>data0!A42</f>
        <v>30</v>
      </c>
      <c r="B50" s="27" t="e">
        <f t="shared" si="6"/>
        <v>#DIV/0!</v>
      </c>
      <c r="C50" s="74" t="e">
        <f t="shared" si="7"/>
        <v>#DIV/0!</v>
      </c>
      <c r="D50" s="27" t="e">
        <f t="shared" si="8"/>
        <v>#DIV/0!</v>
      </c>
      <c r="E50" s="74" t="e">
        <f t="shared" si="9"/>
        <v>#DIV/0!</v>
      </c>
      <c r="F50" s="74" t="e">
        <f t="shared" si="5"/>
        <v>#DIV/0!</v>
      </c>
      <c r="G50" s="45" t="e">
        <f t="shared" si="10"/>
        <v>#DIV/0!</v>
      </c>
      <c r="H50" s="24" t="e">
        <f>scale0!C47</f>
        <v>#DIV/0!</v>
      </c>
      <c r="I50" s="46" t="e">
        <f>H50+1.5*scale0!D47</f>
        <v>#DIV/0!</v>
      </c>
      <c r="J50" s="47" t="e">
        <f t="shared" si="11"/>
        <v>#DIV/0!</v>
      </c>
      <c r="K50" s="24" t="e">
        <f>scale1!C47</f>
        <v>#DIV/0!</v>
      </c>
      <c r="L50" s="46" t="e">
        <f>K50+1.5*scale1!D47</f>
        <v>#DIV/0!</v>
      </c>
      <c r="M50" s="47" t="e">
        <f t="shared" si="12"/>
        <v>#DIV/0!</v>
      </c>
      <c r="N50" s="24" t="e">
        <f>scale2!C47</f>
        <v>#DIV/0!</v>
      </c>
      <c r="O50" s="46" t="e">
        <f>N50+1.5*scale2!D47</f>
        <v>#DIV/0!</v>
      </c>
      <c r="P50" s="47" t="e">
        <f t="shared" si="13"/>
        <v>#DIV/0!</v>
      </c>
      <c r="Q50" s="24" t="e">
        <f>scale3!C47</f>
        <v>#DIV/0!</v>
      </c>
      <c r="R50" s="48" t="e">
        <f>Q50+1.5*scale3!D47</f>
        <v>#DIV/0!</v>
      </c>
      <c r="S50" s="29"/>
    </row>
    <row r="51" spans="1:52">
      <c r="A51" s="29">
        <f>data0!A43</f>
        <v>33</v>
      </c>
      <c r="B51" s="27" t="e">
        <f t="shared" si="6"/>
        <v>#DIV/0!</v>
      </c>
      <c r="C51" s="74" t="e">
        <f t="shared" si="7"/>
        <v>#DIV/0!</v>
      </c>
      <c r="D51" s="27" t="e">
        <f t="shared" si="8"/>
        <v>#DIV/0!</v>
      </c>
      <c r="E51" s="74" t="e">
        <f t="shared" si="9"/>
        <v>#DIV/0!</v>
      </c>
      <c r="F51" s="74" t="e">
        <f t="shared" si="5"/>
        <v>#DIV/0!</v>
      </c>
      <c r="G51" s="45" t="e">
        <f t="shared" si="10"/>
        <v>#DIV/0!</v>
      </c>
      <c r="H51" s="24" t="e">
        <f>scale0!C48</f>
        <v>#DIV/0!</v>
      </c>
      <c r="I51" s="46" t="e">
        <f>H51+1.5*scale0!D48</f>
        <v>#DIV/0!</v>
      </c>
      <c r="J51" s="47" t="e">
        <f t="shared" si="11"/>
        <v>#DIV/0!</v>
      </c>
      <c r="K51" s="24" t="e">
        <f>scale1!C48</f>
        <v>#DIV/0!</v>
      </c>
      <c r="L51" s="46" t="e">
        <f>K51+1.5*scale1!D48</f>
        <v>#DIV/0!</v>
      </c>
      <c r="M51" s="47" t="e">
        <f t="shared" si="12"/>
        <v>#DIV/0!</v>
      </c>
      <c r="N51" s="24" t="e">
        <f>scale2!C48</f>
        <v>#DIV/0!</v>
      </c>
      <c r="O51" s="46" t="e">
        <f>N51+1.5*scale2!D48</f>
        <v>#DIV/0!</v>
      </c>
      <c r="P51" s="47" t="e">
        <f t="shared" si="13"/>
        <v>#DIV/0!</v>
      </c>
      <c r="Q51" s="24" t="e">
        <f>scale3!C48</f>
        <v>#DIV/0!</v>
      </c>
      <c r="R51" s="48" t="e">
        <f>Q51+1.5*scale3!D48</f>
        <v>#DIV/0!</v>
      </c>
      <c r="S51" s="29"/>
    </row>
    <row r="52" spans="1:52">
      <c r="A52" s="29">
        <f>data0!A44</f>
        <v>36</v>
      </c>
      <c r="B52" s="27" t="e">
        <f t="shared" si="6"/>
        <v>#DIV/0!</v>
      </c>
      <c r="C52" s="74" t="e">
        <f t="shared" si="7"/>
        <v>#DIV/0!</v>
      </c>
      <c r="D52" s="27" t="e">
        <f t="shared" si="8"/>
        <v>#DIV/0!</v>
      </c>
      <c r="E52" s="74" t="e">
        <f t="shared" si="9"/>
        <v>#DIV/0!</v>
      </c>
      <c r="F52" s="74" t="e">
        <f t="shared" si="5"/>
        <v>#DIV/0!</v>
      </c>
      <c r="G52" s="45" t="e">
        <f t="shared" si="10"/>
        <v>#DIV/0!</v>
      </c>
      <c r="H52" s="24" t="e">
        <f>scale0!C49</f>
        <v>#DIV/0!</v>
      </c>
      <c r="I52" s="46" t="e">
        <f>H52+1.5*scale0!D49</f>
        <v>#DIV/0!</v>
      </c>
      <c r="J52" s="47" t="e">
        <f t="shared" si="11"/>
        <v>#DIV/0!</v>
      </c>
      <c r="K52" s="24" t="e">
        <f>scale1!C49</f>
        <v>#DIV/0!</v>
      </c>
      <c r="L52" s="46" t="e">
        <f>K52+1.5*scale1!D49</f>
        <v>#DIV/0!</v>
      </c>
      <c r="M52" s="47" t="e">
        <f t="shared" si="12"/>
        <v>#DIV/0!</v>
      </c>
      <c r="N52" s="24" t="e">
        <f>scale2!C49</f>
        <v>#DIV/0!</v>
      </c>
      <c r="O52" s="46" t="e">
        <f>N52+1.5*scale2!D49</f>
        <v>#DIV/0!</v>
      </c>
      <c r="P52" s="47" t="e">
        <f t="shared" si="13"/>
        <v>#DIV/0!</v>
      </c>
      <c r="Q52" s="24" t="e">
        <f>scale3!C49</f>
        <v>#DIV/0!</v>
      </c>
      <c r="R52" s="48" t="e">
        <f>Q52+1.5*scale3!D49</f>
        <v>#DIV/0!</v>
      </c>
      <c r="S52" s="29"/>
    </row>
    <row r="53" spans="1:52">
      <c r="A53" s="29">
        <f>data0!A45</f>
        <v>39</v>
      </c>
      <c r="B53" s="27" t="e">
        <f t="shared" si="6"/>
        <v>#DIV/0!</v>
      </c>
      <c r="C53" s="74" t="e">
        <f t="shared" si="7"/>
        <v>#DIV/0!</v>
      </c>
      <c r="D53" s="27" t="e">
        <f t="shared" si="8"/>
        <v>#DIV/0!</v>
      </c>
      <c r="E53" s="74" t="e">
        <f t="shared" si="9"/>
        <v>#DIV/0!</v>
      </c>
      <c r="F53" s="74" t="e">
        <f t="shared" si="5"/>
        <v>#DIV/0!</v>
      </c>
      <c r="G53" s="45" t="e">
        <f t="shared" si="10"/>
        <v>#DIV/0!</v>
      </c>
      <c r="H53" s="24" t="e">
        <f>scale0!C50</f>
        <v>#DIV/0!</v>
      </c>
      <c r="I53" s="46" t="e">
        <f>H53+1.5*scale0!D50</f>
        <v>#DIV/0!</v>
      </c>
      <c r="J53" s="47" t="e">
        <f t="shared" si="11"/>
        <v>#DIV/0!</v>
      </c>
      <c r="K53" s="24" t="e">
        <f>scale1!C50</f>
        <v>#DIV/0!</v>
      </c>
      <c r="L53" s="46" t="e">
        <f>K53+1.5*scale1!D50</f>
        <v>#DIV/0!</v>
      </c>
      <c r="M53" s="47" t="e">
        <f t="shared" si="12"/>
        <v>#DIV/0!</v>
      </c>
      <c r="N53" s="24" t="e">
        <f>scale2!C50</f>
        <v>#DIV/0!</v>
      </c>
      <c r="O53" s="46" t="e">
        <f>N53+1.5*scale2!D50</f>
        <v>#DIV/0!</v>
      </c>
      <c r="P53" s="47" t="e">
        <f t="shared" si="13"/>
        <v>#DIV/0!</v>
      </c>
      <c r="Q53" s="24" t="e">
        <f>scale3!C50</f>
        <v>#DIV/0!</v>
      </c>
      <c r="R53" s="48" t="e">
        <f>Q53+1.5*scale3!D50</f>
        <v>#DIV/0!</v>
      </c>
      <c r="S53" s="29"/>
    </row>
    <row r="54" spans="1:52">
      <c r="A54" s="29">
        <f>data0!A46</f>
        <v>42</v>
      </c>
      <c r="B54" s="27" t="e">
        <f t="shared" si="6"/>
        <v>#DIV/0!</v>
      </c>
      <c r="C54" s="74" t="e">
        <f t="shared" si="7"/>
        <v>#DIV/0!</v>
      </c>
      <c r="D54" s="27" t="e">
        <f t="shared" si="8"/>
        <v>#DIV/0!</v>
      </c>
      <c r="E54" s="74" t="e">
        <f t="shared" si="9"/>
        <v>#DIV/0!</v>
      </c>
      <c r="F54" s="74" t="e">
        <f t="shared" si="5"/>
        <v>#DIV/0!</v>
      </c>
      <c r="G54" s="45" t="e">
        <f t="shared" si="10"/>
        <v>#DIV/0!</v>
      </c>
      <c r="H54" s="24" t="e">
        <f>scale0!C51</f>
        <v>#DIV/0!</v>
      </c>
      <c r="I54" s="46" t="e">
        <f>H54+1.5*scale0!D51</f>
        <v>#DIV/0!</v>
      </c>
      <c r="J54" s="47" t="e">
        <f t="shared" si="11"/>
        <v>#DIV/0!</v>
      </c>
      <c r="K54" s="24" t="e">
        <f>scale1!C51</f>
        <v>#DIV/0!</v>
      </c>
      <c r="L54" s="46" t="e">
        <f>K54+1.5*scale1!D51</f>
        <v>#DIV/0!</v>
      </c>
      <c r="M54" s="47" t="e">
        <f t="shared" si="12"/>
        <v>#DIV/0!</v>
      </c>
      <c r="N54" s="24" t="e">
        <f>scale2!C51</f>
        <v>#DIV/0!</v>
      </c>
      <c r="O54" s="46" t="e">
        <f>N54+1.5*scale2!D51</f>
        <v>#DIV/0!</v>
      </c>
      <c r="P54" s="47" t="e">
        <f t="shared" si="13"/>
        <v>#DIV/0!</v>
      </c>
      <c r="Q54" s="24" t="e">
        <f>scale3!C51</f>
        <v>#DIV/0!</v>
      </c>
      <c r="R54" s="48" t="e">
        <f>Q54+1.5*scale3!D51</f>
        <v>#DIV/0!</v>
      </c>
      <c r="S54" s="29"/>
    </row>
    <row r="55" spans="1:52">
      <c r="A55" s="29">
        <f>data0!A47</f>
        <v>45</v>
      </c>
      <c r="B55" s="27" t="e">
        <f t="shared" si="6"/>
        <v>#DIV/0!</v>
      </c>
      <c r="C55" s="74" t="e">
        <f t="shared" si="7"/>
        <v>#DIV/0!</v>
      </c>
      <c r="D55" s="27" t="e">
        <f t="shared" si="8"/>
        <v>#DIV/0!</v>
      </c>
      <c r="E55" s="74" t="e">
        <f t="shared" si="9"/>
        <v>#DIV/0!</v>
      </c>
      <c r="F55" s="74" t="e">
        <f t="shared" si="5"/>
        <v>#DIV/0!</v>
      </c>
      <c r="G55" s="45" t="e">
        <f t="shared" si="10"/>
        <v>#DIV/0!</v>
      </c>
      <c r="H55" s="24" t="e">
        <f>scale0!C52</f>
        <v>#DIV/0!</v>
      </c>
      <c r="I55" s="46" t="e">
        <f>H55+1.5*scale0!D52</f>
        <v>#DIV/0!</v>
      </c>
      <c r="J55" s="47" t="e">
        <f t="shared" si="11"/>
        <v>#DIV/0!</v>
      </c>
      <c r="K55" s="24" t="e">
        <f>scale1!C52</f>
        <v>#DIV/0!</v>
      </c>
      <c r="L55" s="46" t="e">
        <f>K55+1.5*scale1!D52</f>
        <v>#DIV/0!</v>
      </c>
      <c r="M55" s="47" t="e">
        <f t="shared" si="12"/>
        <v>#DIV/0!</v>
      </c>
      <c r="N55" s="24" t="e">
        <f>scale2!C52</f>
        <v>#DIV/0!</v>
      </c>
      <c r="O55" s="46" t="e">
        <f>N55+1.5*scale2!D52</f>
        <v>#DIV/0!</v>
      </c>
      <c r="P55" s="47" t="e">
        <f t="shared" si="13"/>
        <v>#DIV/0!</v>
      </c>
      <c r="Q55" s="24" t="e">
        <f>scale3!C52</f>
        <v>#DIV/0!</v>
      </c>
      <c r="R55" s="48" t="e">
        <f>Q55+1.5*scale3!D52</f>
        <v>#DIV/0!</v>
      </c>
      <c r="S55" s="29"/>
    </row>
    <row r="56" spans="1:52">
      <c r="A56" s="29">
        <f>data0!A48</f>
        <v>48</v>
      </c>
      <c r="B56" s="27" t="e">
        <f t="shared" si="6"/>
        <v>#DIV/0!</v>
      </c>
      <c r="C56" s="74" t="e">
        <f t="shared" si="7"/>
        <v>#DIV/0!</v>
      </c>
      <c r="D56" s="27" t="e">
        <f t="shared" si="8"/>
        <v>#DIV/0!</v>
      </c>
      <c r="E56" s="74" t="e">
        <f t="shared" si="9"/>
        <v>#DIV/0!</v>
      </c>
      <c r="F56" s="74" t="e">
        <f t="shared" si="5"/>
        <v>#DIV/0!</v>
      </c>
      <c r="G56" s="45" t="e">
        <f t="shared" si="10"/>
        <v>#DIV/0!</v>
      </c>
      <c r="H56" s="24" t="e">
        <f>scale0!C53</f>
        <v>#DIV/0!</v>
      </c>
      <c r="I56" s="46" t="e">
        <f>H56+1.5*scale0!D53</f>
        <v>#DIV/0!</v>
      </c>
      <c r="J56" s="47" t="e">
        <f t="shared" si="11"/>
        <v>#DIV/0!</v>
      </c>
      <c r="K56" s="24" t="e">
        <f>scale1!C53</f>
        <v>#DIV/0!</v>
      </c>
      <c r="L56" s="46" t="e">
        <f>K56+1.5*scale1!D53</f>
        <v>#DIV/0!</v>
      </c>
      <c r="M56" s="47" t="e">
        <f t="shared" si="12"/>
        <v>#DIV/0!</v>
      </c>
      <c r="N56" s="24" t="e">
        <f>scale2!C53</f>
        <v>#DIV/0!</v>
      </c>
      <c r="O56" s="46" t="e">
        <f>N56+1.5*scale2!D53</f>
        <v>#DIV/0!</v>
      </c>
      <c r="P56" s="47" t="e">
        <f t="shared" si="13"/>
        <v>#DIV/0!</v>
      </c>
      <c r="Q56" s="24" t="e">
        <f>scale3!C53</f>
        <v>#DIV/0!</v>
      </c>
      <c r="R56" s="48" t="e">
        <f>Q56+1.5*scale3!D53</f>
        <v>#DIV/0!</v>
      </c>
      <c r="S56" s="29"/>
    </row>
    <row r="57" spans="1:52">
      <c r="A57" s="29">
        <f>data0!A49</f>
        <v>51</v>
      </c>
      <c r="B57" s="27" t="e">
        <f t="shared" si="6"/>
        <v>#DIV/0!</v>
      </c>
      <c r="C57" s="74" t="e">
        <f t="shared" si="7"/>
        <v>#DIV/0!</v>
      </c>
      <c r="D57" s="27" t="e">
        <f t="shared" si="8"/>
        <v>#DIV/0!</v>
      </c>
      <c r="E57" s="74" t="e">
        <f t="shared" si="9"/>
        <v>#DIV/0!</v>
      </c>
      <c r="F57" s="74" t="e">
        <f t="shared" si="5"/>
        <v>#DIV/0!</v>
      </c>
      <c r="G57" s="45" t="e">
        <f t="shared" si="10"/>
        <v>#DIV/0!</v>
      </c>
      <c r="H57" s="24" t="e">
        <f>scale0!C54</f>
        <v>#DIV/0!</v>
      </c>
      <c r="I57" s="46" t="e">
        <f>H57+1.5*scale0!D54</f>
        <v>#DIV/0!</v>
      </c>
      <c r="J57" s="47" t="e">
        <f t="shared" si="11"/>
        <v>#DIV/0!</v>
      </c>
      <c r="K57" s="24" t="e">
        <f>scale1!C54</f>
        <v>#DIV/0!</v>
      </c>
      <c r="L57" s="46" t="e">
        <f>K57+1.5*scale1!D54</f>
        <v>#DIV/0!</v>
      </c>
      <c r="M57" s="47" t="e">
        <f t="shared" si="12"/>
        <v>#DIV/0!</v>
      </c>
      <c r="N57" s="24" t="e">
        <f>scale2!C54</f>
        <v>#DIV/0!</v>
      </c>
      <c r="O57" s="46" t="e">
        <f>N57+1.5*scale2!D54</f>
        <v>#DIV/0!</v>
      </c>
      <c r="P57" s="47" t="e">
        <f t="shared" si="13"/>
        <v>#DIV/0!</v>
      </c>
      <c r="Q57" s="24" t="e">
        <f>scale3!C54</f>
        <v>#DIV/0!</v>
      </c>
      <c r="R57" s="48" t="e">
        <f>Q57+1.5*scale3!D54</f>
        <v>#DIV/0!</v>
      </c>
      <c r="S57" s="29"/>
    </row>
    <row r="58" spans="1:52">
      <c r="A58" s="29">
        <f>data0!A50</f>
        <v>54</v>
      </c>
      <c r="B58" s="27" t="e">
        <f t="shared" si="6"/>
        <v>#DIV/0!</v>
      </c>
      <c r="C58" s="74" t="e">
        <f t="shared" si="7"/>
        <v>#DIV/0!</v>
      </c>
      <c r="D58" s="27" t="e">
        <f t="shared" si="8"/>
        <v>#DIV/0!</v>
      </c>
      <c r="E58" s="74" t="e">
        <f t="shared" si="9"/>
        <v>#DIV/0!</v>
      </c>
      <c r="F58" s="74" t="e">
        <f t="shared" si="5"/>
        <v>#DIV/0!</v>
      </c>
      <c r="G58" s="45" t="e">
        <f t="shared" si="10"/>
        <v>#DIV/0!</v>
      </c>
      <c r="H58" s="24" t="e">
        <f>scale0!C55</f>
        <v>#DIV/0!</v>
      </c>
      <c r="I58" s="46" t="e">
        <f>H58+1.5*scale0!D55</f>
        <v>#DIV/0!</v>
      </c>
      <c r="J58" s="47" t="e">
        <f t="shared" si="11"/>
        <v>#DIV/0!</v>
      </c>
      <c r="K58" s="24" t="e">
        <f>scale1!C55</f>
        <v>#DIV/0!</v>
      </c>
      <c r="L58" s="46" t="e">
        <f>K58+1.5*scale1!D55</f>
        <v>#DIV/0!</v>
      </c>
      <c r="M58" s="47" t="e">
        <f t="shared" si="12"/>
        <v>#DIV/0!</v>
      </c>
      <c r="N58" s="24" t="e">
        <f>scale2!C55</f>
        <v>#DIV/0!</v>
      </c>
      <c r="O58" s="46" t="e">
        <f>N58+1.5*scale2!D55</f>
        <v>#DIV/0!</v>
      </c>
      <c r="P58" s="47" t="e">
        <f t="shared" si="13"/>
        <v>#DIV/0!</v>
      </c>
      <c r="Q58" s="24" t="e">
        <f>scale3!C55</f>
        <v>#DIV/0!</v>
      </c>
      <c r="R58" s="48" t="e">
        <f>Q58+1.5*scale3!D55</f>
        <v>#DIV/0!</v>
      </c>
      <c r="S58" s="29"/>
    </row>
    <row r="59" spans="1:52">
      <c r="A59" s="29">
        <f>data0!A51</f>
        <v>57</v>
      </c>
      <c r="B59" s="27" t="e">
        <f t="shared" si="6"/>
        <v>#DIV/0!</v>
      </c>
      <c r="C59" s="74" t="e">
        <f t="shared" si="7"/>
        <v>#DIV/0!</v>
      </c>
      <c r="D59" s="27" t="e">
        <f t="shared" si="8"/>
        <v>#DIV/0!</v>
      </c>
      <c r="E59" s="74" t="e">
        <f t="shared" si="9"/>
        <v>#DIV/0!</v>
      </c>
      <c r="F59" s="74" t="e">
        <f t="shared" si="5"/>
        <v>#DIV/0!</v>
      </c>
      <c r="G59" s="45" t="e">
        <f t="shared" si="10"/>
        <v>#DIV/0!</v>
      </c>
      <c r="H59" s="24" t="e">
        <f>scale0!C56</f>
        <v>#DIV/0!</v>
      </c>
      <c r="I59" s="46" t="e">
        <f>H59+1.5*scale0!D56</f>
        <v>#DIV/0!</v>
      </c>
      <c r="J59" s="47" t="e">
        <f t="shared" si="11"/>
        <v>#DIV/0!</v>
      </c>
      <c r="K59" s="24" t="e">
        <f>scale1!C56</f>
        <v>#DIV/0!</v>
      </c>
      <c r="L59" s="46" t="e">
        <f>K59+1.5*scale1!D56</f>
        <v>#DIV/0!</v>
      </c>
      <c r="M59" s="47" t="e">
        <f t="shared" si="12"/>
        <v>#DIV/0!</v>
      </c>
      <c r="N59" s="24" t="e">
        <f>scale2!C56</f>
        <v>#DIV/0!</v>
      </c>
      <c r="O59" s="46" t="e">
        <f>N59+1.5*scale2!D56</f>
        <v>#DIV/0!</v>
      </c>
      <c r="P59" s="47" t="e">
        <f t="shared" si="13"/>
        <v>#DIV/0!</v>
      </c>
      <c r="Q59" s="24" t="e">
        <f>scale3!C56</f>
        <v>#DIV/0!</v>
      </c>
      <c r="R59" s="48" t="e">
        <f>Q59+1.5*scale3!D56</f>
        <v>#DIV/0!</v>
      </c>
      <c r="S59" s="29"/>
      <c r="T59" s="97" t="s">
        <v>22</v>
      </c>
      <c r="U59" s="97"/>
    </row>
    <row r="60" spans="1:52">
      <c r="A60" s="29">
        <f>data0!A52</f>
        <v>60</v>
      </c>
      <c r="B60" s="27" t="e">
        <f t="shared" si="6"/>
        <v>#DIV/0!</v>
      </c>
      <c r="C60" s="74" t="e">
        <f t="shared" si="7"/>
        <v>#DIV/0!</v>
      </c>
      <c r="D60" s="27" t="e">
        <f t="shared" si="8"/>
        <v>#DIV/0!</v>
      </c>
      <c r="E60" s="74" t="e">
        <f t="shared" si="9"/>
        <v>#DIV/0!</v>
      </c>
      <c r="F60" s="74" t="e">
        <f t="shared" si="5"/>
        <v>#DIV/0!</v>
      </c>
      <c r="G60" s="45" t="e">
        <f t="shared" si="10"/>
        <v>#DIV/0!</v>
      </c>
      <c r="H60" s="24" t="e">
        <f>scale0!C57</f>
        <v>#DIV/0!</v>
      </c>
      <c r="I60" s="46" t="e">
        <f>H60+1.5*scale0!D57</f>
        <v>#DIV/0!</v>
      </c>
      <c r="J60" s="47" t="e">
        <f t="shared" si="11"/>
        <v>#DIV/0!</v>
      </c>
      <c r="K60" s="24" t="e">
        <f>scale1!C57</f>
        <v>#DIV/0!</v>
      </c>
      <c r="L60" s="46" t="e">
        <f>K60+1.5*scale1!D57</f>
        <v>#DIV/0!</v>
      </c>
      <c r="M60" s="47" t="e">
        <f t="shared" si="12"/>
        <v>#DIV/0!</v>
      </c>
      <c r="N60" s="24" t="e">
        <f>scale2!C57</f>
        <v>#DIV/0!</v>
      </c>
      <c r="O60" s="46" t="e">
        <f>N60+1.5*scale2!D57</f>
        <v>#DIV/0!</v>
      </c>
      <c r="P60" s="47" t="e">
        <f t="shared" si="13"/>
        <v>#DIV/0!</v>
      </c>
      <c r="Q60" s="24" t="e">
        <f>scale3!C57</f>
        <v>#DIV/0!</v>
      </c>
      <c r="R60" s="48" t="e">
        <f>Q60+1.5*scale3!D57</f>
        <v>#DIV/0!</v>
      </c>
      <c r="S60" s="29"/>
      <c r="T60" s="29" t="s">
        <v>23</v>
      </c>
      <c r="U60">
        <f>scale0!E5</f>
        <v>0</v>
      </c>
      <c r="V60" s="29">
        <f>scale0!F5</f>
        <v>1</v>
      </c>
      <c r="W60" s="29">
        <f>scale0!G5</f>
        <v>2</v>
      </c>
      <c r="X60" s="29">
        <f>scale0!H5</f>
        <v>3</v>
      </c>
      <c r="Y60" s="29">
        <f>scale0!I5</f>
        <v>4</v>
      </c>
      <c r="Z60" s="29">
        <f>scale0!J5</f>
        <v>5</v>
      </c>
      <c r="AA60" s="29">
        <f>scale0!K5</f>
        <v>6</v>
      </c>
      <c r="AB60" s="29">
        <f>scale0!L5</f>
        <v>7</v>
      </c>
      <c r="AC60" s="29">
        <f>scale0!M5</f>
        <v>8</v>
      </c>
      <c r="AD60" s="29">
        <f>scale0!N5</f>
        <v>9</v>
      </c>
      <c r="AE60" s="29">
        <f>scale0!O5</f>
        <v>10</v>
      </c>
      <c r="AF60" s="29">
        <f>scale0!P5</f>
        <v>11</v>
      </c>
      <c r="AG60" s="29">
        <f>scale0!Q5</f>
        <v>12</v>
      </c>
      <c r="AH60" s="29">
        <f>scale0!R5</f>
        <v>13</v>
      </c>
      <c r="AI60" s="29">
        <f>scale0!S5</f>
        <v>14</v>
      </c>
      <c r="AJ60" s="29">
        <f>scale0!T5</f>
        <v>15</v>
      </c>
      <c r="AK60" s="29">
        <f>scale0!U5</f>
        <v>16</v>
      </c>
      <c r="AL60" s="29">
        <f>scale0!V5</f>
        <v>17</v>
      </c>
      <c r="AM60" s="29">
        <f>scale0!W5</f>
        <v>18</v>
      </c>
      <c r="AN60" s="29">
        <f>scale0!X5</f>
        <v>19</v>
      </c>
      <c r="AO60" s="29">
        <f>scale0!Y5</f>
        <v>20</v>
      </c>
      <c r="AP60" s="29">
        <f>scale0!Z5</f>
        <v>21</v>
      </c>
      <c r="AQ60" s="29">
        <f>scale0!AA5</f>
        <v>22</v>
      </c>
      <c r="AR60" s="29">
        <f>scale0!AB5</f>
        <v>23</v>
      </c>
      <c r="AS60" s="29">
        <f>scale0!AC5</f>
        <v>24</v>
      </c>
      <c r="AT60" s="29">
        <f>scale0!AD5</f>
        <v>25</v>
      </c>
      <c r="AU60" s="29">
        <f>scale0!AE5</f>
        <v>26</v>
      </c>
      <c r="AV60" s="29">
        <f>scale0!AF5</f>
        <v>27</v>
      </c>
      <c r="AW60" s="29">
        <f>scale0!AG5</f>
        <v>28</v>
      </c>
      <c r="AX60" s="29">
        <f>scale0!AH5</f>
        <v>29</v>
      </c>
      <c r="AY60" s="29">
        <f>scale0!AI5</f>
        <v>30</v>
      </c>
      <c r="AZ60" s="29">
        <f>scale0!AJ5</f>
        <v>31</v>
      </c>
    </row>
    <row r="61" spans="1:52">
      <c r="A61" s="29">
        <f>data0!A53</f>
        <v>63</v>
      </c>
      <c r="B61" s="27" t="e">
        <f t="shared" si="6"/>
        <v>#DIV/0!</v>
      </c>
      <c r="C61" s="74" t="e">
        <f t="shared" si="7"/>
        <v>#DIV/0!</v>
      </c>
      <c r="D61" s="27" t="e">
        <f t="shared" si="8"/>
        <v>#DIV/0!</v>
      </c>
      <c r="E61" s="74" t="e">
        <f t="shared" si="9"/>
        <v>#DIV/0!</v>
      </c>
      <c r="F61" s="74" t="e">
        <f t="shared" si="5"/>
        <v>#DIV/0!</v>
      </c>
      <c r="G61" s="45" t="e">
        <f t="shared" si="10"/>
        <v>#DIV/0!</v>
      </c>
      <c r="H61" s="24" t="e">
        <f>scale0!C58</f>
        <v>#DIV/0!</v>
      </c>
      <c r="I61" s="46" t="e">
        <f>H61+1.5*scale0!D58</f>
        <v>#DIV/0!</v>
      </c>
      <c r="J61" s="47" t="e">
        <f t="shared" si="11"/>
        <v>#DIV/0!</v>
      </c>
      <c r="K61" s="24" t="e">
        <f>scale1!C58</f>
        <v>#DIV/0!</v>
      </c>
      <c r="L61" s="46" t="e">
        <f>K61+1.5*scale1!D58</f>
        <v>#DIV/0!</v>
      </c>
      <c r="M61" s="47" t="e">
        <f t="shared" si="12"/>
        <v>#DIV/0!</v>
      </c>
      <c r="N61" s="24" t="e">
        <f>scale2!C58</f>
        <v>#DIV/0!</v>
      </c>
      <c r="O61" s="46" t="e">
        <f>N61+1.5*scale2!D58</f>
        <v>#DIV/0!</v>
      </c>
      <c r="P61" s="47" t="e">
        <f t="shared" si="13"/>
        <v>#DIV/0!</v>
      </c>
      <c r="Q61" s="24" t="e">
        <f>scale3!C58</f>
        <v>#DIV/0!</v>
      </c>
      <c r="R61" s="48" t="e">
        <f>Q61+1.5*scale3!D58</f>
        <v>#DIV/0!</v>
      </c>
      <c r="S61" s="29"/>
      <c r="T61">
        <v>0</v>
      </c>
      <c r="U61" s="1" t="e">
        <f>scale0!E69</f>
        <v>#DIV/0!</v>
      </c>
      <c r="V61" s="1" t="e">
        <f>scale0!F69</f>
        <v>#DIV/0!</v>
      </c>
      <c r="W61" s="1" t="e">
        <f>scale0!G69</f>
        <v>#DIV/0!</v>
      </c>
      <c r="X61" s="1" t="e">
        <f>scale0!H69</f>
        <v>#DIV/0!</v>
      </c>
      <c r="Y61" s="1" t="e">
        <f>scale0!I69</f>
        <v>#DIV/0!</v>
      </c>
      <c r="Z61" s="1" t="e">
        <f>scale0!J69</f>
        <v>#DIV/0!</v>
      </c>
      <c r="AA61" s="1" t="e">
        <f>scale0!K69</f>
        <v>#DIV/0!</v>
      </c>
      <c r="AB61" s="1" t="e">
        <f>scale0!L69</f>
        <v>#DIV/0!</v>
      </c>
      <c r="AC61" s="1" t="e">
        <f>scale0!M69</f>
        <v>#DIV/0!</v>
      </c>
      <c r="AD61" s="1" t="e">
        <f>scale0!N69</f>
        <v>#DIV/0!</v>
      </c>
      <c r="AE61" s="1" t="e">
        <f>scale0!O69</f>
        <v>#DIV/0!</v>
      </c>
      <c r="AF61" s="1" t="e">
        <f>scale0!P69</f>
        <v>#DIV/0!</v>
      </c>
      <c r="AG61" s="1" t="e">
        <f>scale0!Q69</f>
        <v>#DIV/0!</v>
      </c>
      <c r="AH61" s="1" t="e">
        <f>scale0!R69</f>
        <v>#DIV/0!</v>
      </c>
      <c r="AI61" s="1" t="e">
        <f>scale0!S69</f>
        <v>#DIV/0!</v>
      </c>
      <c r="AJ61" s="1" t="e">
        <f>scale0!T69</f>
        <v>#DIV/0!</v>
      </c>
      <c r="AK61" s="1" t="e">
        <f>scale0!U69</f>
        <v>#DIV/0!</v>
      </c>
      <c r="AL61" s="1" t="e">
        <f>scale0!V69</f>
        <v>#DIV/0!</v>
      </c>
      <c r="AM61" s="1" t="e">
        <f>scale0!W69</f>
        <v>#DIV/0!</v>
      </c>
      <c r="AN61" s="1" t="e">
        <f>scale0!X69</f>
        <v>#DIV/0!</v>
      </c>
      <c r="AO61" s="1" t="e">
        <f>scale0!Y69</f>
        <v>#DIV/0!</v>
      </c>
      <c r="AP61" s="1" t="e">
        <f>scale0!Z69</f>
        <v>#DIV/0!</v>
      </c>
      <c r="AQ61" s="1" t="e">
        <f>scale0!AA69</f>
        <v>#DIV/0!</v>
      </c>
      <c r="AR61" s="1" t="e">
        <f>scale0!AB69</f>
        <v>#DIV/0!</v>
      </c>
      <c r="AS61" s="1" t="e">
        <f>scale0!AC69</f>
        <v>#DIV/0!</v>
      </c>
      <c r="AT61" s="1" t="e">
        <f>scale0!AD69</f>
        <v>#DIV/0!</v>
      </c>
      <c r="AU61" s="1" t="e">
        <f>scale0!AE69</f>
        <v>#DIV/0!</v>
      </c>
      <c r="AV61" s="1" t="e">
        <f>scale0!AF69</f>
        <v>#DIV/0!</v>
      </c>
      <c r="AW61" s="1" t="e">
        <f>scale0!AG69</f>
        <v>#DIV/0!</v>
      </c>
      <c r="AX61" s="1" t="e">
        <f>scale0!AH69</f>
        <v>#DIV/0!</v>
      </c>
      <c r="AY61" s="1" t="e">
        <f>scale0!AI69</f>
        <v>#DIV/0!</v>
      </c>
      <c r="AZ61" s="1" t="e">
        <f>scale0!AJ69</f>
        <v>#DIV/0!</v>
      </c>
    </row>
    <row r="62" spans="1:52">
      <c r="A62" s="29">
        <f>data0!A54</f>
        <v>66</v>
      </c>
      <c r="B62" s="27" t="e">
        <f t="shared" si="6"/>
        <v>#DIV/0!</v>
      </c>
      <c r="C62" s="74" t="e">
        <f t="shared" si="7"/>
        <v>#DIV/0!</v>
      </c>
      <c r="D62" s="27" t="e">
        <f t="shared" si="8"/>
        <v>#DIV/0!</v>
      </c>
      <c r="E62" s="74" t="e">
        <f t="shared" si="9"/>
        <v>#DIV/0!</v>
      </c>
      <c r="F62" s="74" t="e">
        <f t="shared" si="5"/>
        <v>#DIV/0!</v>
      </c>
      <c r="G62" s="45" t="e">
        <f t="shared" si="10"/>
        <v>#DIV/0!</v>
      </c>
      <c r="H62" s="24" t="e">
        <f>scale0!C59</f>
        <v>#DIV/0!</v>
      </c>
      <c r="I62" s="46" t="e">
        <f>H62+1.5*scale0!D59</f>
        <v>#DIV/0!</v>
      </c>
      <c r="J62" s="47" t="e">
        <f t="shared" si="11"/>
        <v>#DIV/0!</v>
      </c>
      <c r="K62" s="24" t="e">
        <f>scale1!C59</f>
        <v>#DIV/0!</v>
      </c>
      <c r="L62" s="46" t="e">
        <f>K62+1.5*scale1!D59</f>
        <v>#DIV/0!</v>
      </c>
      <c r="M62" s="47" t="e">
        <f t="shared" si="12"/>
        <v>#DIV/0!</v>
      </c>
      <c r="N62" s="24" t="e">
        <f>scale2!C59</f>
        <v>#DIV/0!</v>
      </c>
      <c r="O62" s="46" t="e">
        <f>N62+1.5*scale2!D59</f>
        <v>#DIV/0!</v>
      </c>
      <c r="P62" s="47" t="e">
        <f t="shared" si="13"/>
        <v>#DIV/0!</v>
      </c>
      <c r="Q62" s="24" t="e">
        <f>scale3!C59</f>
        <v>#DIV/0!</v>
      </c>
      <c r="R62" s="48" t="e">
        <f>Q62+1.5*scale3!D59</f>
        <v>#DIV/0!</v>
      </c>
      <c r="S62" s="29"/>
      <c r="T62">
        <v>1</v>
      </c>
      <c r="U62" s="1" t="e">
        <f>scale1!E69</f>
        <v>#DIV/0!</v>
      </c>
      <c r="V62" s="1" t="e">
        <f>scale1!F69</f>
        <v>#DIV/0!</v>
      </c>
      <c r="W62" s="1" t="e">
        <f>scale1!G69</f>
        <v>#DIV/0!</v>
      </c>
      <c r="X62" s="1" t="e">
        <f>scale1!H69</f>
        <v>#DIV/0!</v>
      </c>
      <c r="Y62" s="1" t="e">
        <f>scale1!I69</f>
        <v>#DIV/0!</v>
      </c>
      <c r="Z62" s="1" t="e">
        <f>scale1!J69</f>
        <v>#DIV/0!</v>
      </c>
      <c r="AA62" s="1" t="e">
        <f>scale1!K69</f>
        <v>#DIV/0!</v>
      </c>
      <c r="AB62" s="1" t="e">
        <f>scale1!L69</f>
        <v>#DIV/0!</v>
      </c>
      <c r="AC62" s="1" t="e">
        <f>scale1!M69</f>
        <v>#DIV/0!</v>
      </c>
      <c r="AD62" s="1" t="e">
        <f>scale1!N69</f>
        <v>#DIV/0!</v>
      </c>
      <c r="AE62" s="1" t="e">
        <f>scale1!O69</f>
        <v>#DIV/0!</v>
      </c>
      <c r="AF62" s="1" t="e">
        <f>scale1!P69</f>
        <v>#DIV/0!</v>
      </c>
      <c r="AG62" s="1" t="e">
        <f>scale1!Q69</f>
        <v>#DIV/0!</v>
      </c>
      <c r="AH62" s="1" t="e">
        <f>scale1!R69</f>
        <v>#DIV/0!</v>
      </c>
      <c r="AI62" s="1" t="e">
        <f>scale1!S69</f>
        <v>#DIV/0!</v>
      </c>
      <c r="AJ62" s="1" t="e">
        <f>scale1!T69</f>
        <v>#DIV/0!</v>
      </c>
      <c r="AK62" s="1" t="e">
        <f>scale1!U69</f>
        <v>#DIV/0!</v>
      </c>
      <c r="AL62" s="1" t="e">
        <f>scale1!V69</f>
        <v>#DIV/0!</v>
      </c>
      <c r="AM62" s="1" t="e">
        <f>scale1!W69</f>
        <v>#DIV/0!</v>
      </c>
      <c r="AN62" s="1" t="e">
        <f>scale1!X69</f>
        <v>#DIV/0!</v>
      </c>
      <c r="AO62" s="1" t="e">
        <f>scale1!Y69</f>
        <v>#DIV/0!</v>
      </c>
      <c r="AP62" s="1" t="e">
        <f>scale1!Z69</f>
        <v>#DIV/0!</v>
      </c>
      <c r="AQ62" s="1" t="e">
        <f>scale1!AA69</f>
        <v>#DIV/0!</v>
      </c>
      <c r="AR62" s="1" t="e">
        <f>scale1!AB69</f>
        <v>#DIV/0!</v>
      </c>
      <c r="AS62" s="1" t="e">
        <f>scale1!AC69</f>
        <v>#DIV/0!</v>
      </c>
      <c r="AT62" s="1" t="e">
        <f>scale1!AD69</f>
        <v>#DIV/0!</v>
      </c>
      <c r="AU62" s="1" t="e">
        <f>scale1!AE69</f>
        <v>#DIV/0!</v>
      </c>
      <c r="AV62" s="1" t="e">
        <f>scale1!AF69</f>
        <v>#DIV/0!</v>
      </c>
      <c r="AW62" s="1" t="e">
        <f>scale1!AG69</f>
        <v>#DIV/0!</v>
      </c>
      <c r="AX62" s="1" t="e">
        <f>scale1!AH69</f>
        <v>#DIV/0!</v>
      </c>
      <c r="AY62" s="1" t="e">
        <f>scale1!AI69</f>
        <v>#DIV/0!</v>
      </c>
      <c r="AZ62" s="1" t="e">
        <f>scale1!AJ69</f>
        <v>#DIV/0!</v>
      </c>
    </row>
    <row r="63" spans="1:52">
      <c r="A63" s="29">
        <f>data0!A55</f>
        <v>69</v>
      </c>
      <c r="B63" s="27" t="e">
        <f t="shared" si="6"/>
        <v>#DIV/0!</v>
      </c>
      <c r="C63" s="74" t="e">
        <f t="shared" si="7"/>
        <v>#DIV/0!</v>
      </c>
      <c r="D63" s="27" t="e">
        <f t="shared" si="8"/>
        <v>#DIV/0!</v>
      </c>
      <c r="E63" s="74" t="e">
        <f t="shared" si="9"/>
        <v>#DIV/0!</v>
      </c>
      <c r="F63" s="74" t="e">
        <f t="shared" si="5"/>
        <v>#DIV/0!</v>
      </c>
      <c r="G63" s="45" t="e">
        <f t="shared" si="10"/>
        <v>#DIV/0!</v>
      </c>
      <c r="H63" s="24" t="e">
        <f>scale0!C60</f>
        <v>#DIV/0!</v>
      </c>
      <c r="I63" s="46" t="e">
        <f>H63+1.5*scale0!D60</f>
        <v>#DIV/0!</v>
      </c>
      <c r="J63" s="47" t="e">
        <f t="shared" si="11"/>
        <v>#DIV/0!</v>
      </c>
      <c r="K63" s="24" t="e">
        <f>scale1!C60</f>
        <v>#DIV/0!</v>
      </c>
      <c r="L63" s="46" t="e">
        <f>K63+1.5*scale1!D60</f>
        <v>#DIV/0!</v>
      </c>
      <c r="M63" s="47" t="e">
        <f t="shared" si="12"/>
        <v>#DIV/0!</v>
      </c>
      <c r="N63" s="24" t="e">
        <f>scale2!C60</f>
        <v>#DIV/0!</v>
      </c>
      <c r="O63" s="46" t="e">
        <f>N63+1.5*scale2!D60</f>
        <v>#DIV/0!</v>
      </c>
      <c r="P63" s="47" t="e">
        <f t="shared" si="13"/>
        <v>#DIV/0!</v>
      </c>
      <c r="Q63" s="24" t="e">
        <f>scale3!C60</f>
        <v>#DIV/0!</v>
      </c>
      <c r="R63" s="48" t="e">
        <f>Q63+1.5*scale3!D60</f>
        <v>#DIV/0!</v>
      </c>
      <c r="S63" s="29"/>
      <c r="T63">
        <v>2</v>
      </c>
      <c r="U63" s="1" t="e">
        <f>scale2!E69</f>
        <v>#DIV/0!</v>
      </c>
      <c r="V63" s="1" t="e">
        <f>scale2!F69</f>
        <v>#DIV/0!</v>
      </c>
      <c r="W63" s="1" t="e">
        <f>scale2!G69</f>
        <v>#DIV/0!</v>
      </c>
      <c r="X63" s="1" t="e">
        <f>scale2!H69</f>
        <v>#DIV/0!</v>
      </c>
      <c r="Y63" s="1" t="e">
        <f>scale2!I69</f>
        <v>#DIV/0!</v>
      </c>
      <c r="Z63" s="1" t="e">
        <f>scale2!J69</f>
        <v>#DIV/0!</v>
      </c>
      <c r="AA63" s="1" t="e">
        <f>scale2!K69</f>
        <v>#DIV/0!</v>
      </c>
      <c r="AB63" s="1" t="e">
        <f>scale2!L69</f>
        <v>#DIV/0!</v>
      </c>
      <c r="AC63" s="1" t="e">
        <f>scale2!M69</f>
        <v>#DIV/0!</v>
      </c>
      <c r="AD63" s="1" t="e">
        <f>scale2!N69</f>
        <v>#DIV/0!</v>
      </c>
      <c r="AE63" s="1" t="e">
        <f>scale2!O69</f>
        <v>#DIV/0!</v>
      </c>
      <c r="AF63" s="1" t="e">
        <f>scale2!P69</f>
        <v>#DIV/0!</v>
      </c>
      <c r="AG63" s="1" t="e">
        <f>scale2!Q69</f>
        <v>#DIV/0!</v>
      </c>
      <c r="AH63" s="1" t="e">
        <f>scale2!R69</f>
        <v>#DIV/0!</v>
      </c>
      <c r="AI63" s="1" t="e">
        <f>scale2!S69</f>
        <v>#DIV/0!</v>
      </c>
      <c r="AJ63" s="1" t="e">
        <f>scale2!T69</f>
        <v>#DIV/0!</v>
      </c>
      <c r="AK63" s="1" t="e">
        <f>scale2!U69</f>
        <v>#DIV/0!</v>
      </c>
      <c r="AL63" s="1" t="e">
        <f>scale2!V69</f>
        <v>#DIV/0!</v>
      </c>
      <c r="AM63" s="1" t="e">
        <f>scale2!W69</f>
        <v>#DIV/0!</v>
      </c>
      <c r="AN63" s="1" t="e">
        <f>scale2!X69</f>
        <v>#DIV/0!</v>
      </c>
      <c r="AO63" s="1" t="e">
        <f>scale2!Y69</f>
        <v>#DIV/0!</v>
      </c>
      <c r="AP63" s="1" t="e">
        <f>scale2!Z69</f>
        <v>#DIV/0!</v>
      </c>
      <c r="AQ63" s="1" t="e">
        <f>scale2!AA69</f>
        <v>#DIV/0!</v>
      </c>
      <c r="AR63" s="1" t="e">
        <f>scale2!AB69</f>
        <v>#DIV/0!</v>
      </c>
      <c r="AS63" s="1" t="e">
        <f>scale2!AC69</f>
        <v>#DIV/0!</v>
      </c>
      <c r="AT63" s="1" t="e">
        <f>scale2!AD69</f>
        <v>#DIV/0!</v>
      </c>
      <c r="AU63" s="1" t="e">
        <f>scale2!AE69</f>
        <v>#DIV/0!</v>
      </c>
      <c r="AV63" s="1" t="e">
        <f>scale2!AF69</f>
        <v>#DIV/0!</v>
      </c>
      <c r="AW63" s="1" t="e">
        <f>scale2!AG69</f>
        <v>#DIV/0!</v>
      </c>
      <c r="AX63" s="1" t="e">
        <f>scale2!AH69</f>
        <v>#DIV/0!</v>
      </c>
      <c r="AY63" s="1" t="e">
        <f>scale2!AI69</f>
        <v>#DIV/0!</v>
      </c>
      <c r="AZ63" s="1" t="e">
        <f>scale2!AJ69</f>
        <v>#DIV/0!</v>
      </c>
    </row>
    <row r="64" spans="1:52">
      <c r="A64" s="29">
        <f>data0!A56</f>
        <v>72</v>
      </c>
      <c r="B64" s="27" t="e">
        <f t="shared" si="6"/>
        <v>#DIV/0!</v>
      </c>
      <c r="C64" s="74" t="e">
        <f t="shared" si="7"/>
        <v>#DIV/0!</v>
      </c>
      <c r="D64" s="27" t="e">
        <f t="shared" si="8"/>
        <v>#DIV/0!</v>
      </c>
      <c r="E64" s="74" t="e">
        <f t="shared" si="9"/>
        <v>#DIV/0!</v>
      </c>
      <c r="F64" s="74" t="e">
        <f t="shared" si="5"/>
        <v>#DIV/0!</v>
      </c>
      <c r="G64" s="45" t="e">
        <f t="shared" si="10"/>
        <v>#DIV/0!</v>
      </c>
      <c r="H64" s="24" t="e">
        <f>scale0!C61</f>
        <v>#DIV/0!</v>
      </c>
      <c r="I64" s="46" t="e">
        <f>H64+1.5*scale0!D61</f>
        <v>#DIV/0!</v>
      </c>
      <c r="J64" s="47" t="e">
        <f t="shared" si="11"/>
        <v>#DIV/0!</v>
      </c>
      <c r="K64" s="24" t="e">
        <f>scale1!C61</f>
        <v>#DIV/0!</v>
      </c>
      <c r="L64" s="46" t="e">
        <f>K64+1.5*scale1!D61</f>
        <v>#DIV/0!</v>
      </c>
      <c r="M64" s="47" t="e">
        <f t="shared" si="12"/>
        <v>#DIV/0!</v>
      </c>
      <c r="N64" s="24" t="e">
        <f>scale2!C61</f>
        <v>#DIV/0!</v>
      </c>
      <c r="O64" s="46" t="e">
        <f>N64+1.5*scale2!D61</f>
        <v>#DIV/0!</v>
      </c>
      <c r="P64" s="47" t="e">
        <f t="shared" si="13"/>
        <v>#DIV/0!</v>
      </c>
      <c r="Q64" s="24" t="e">
        <f>scale3!C61</f>
        <v>#DIV/0!</v>
      </c>
      <c r="R64" s="48" t="e">
        <f>Q64+1.5*scale3!D61</f>
        <v>#DIV/0!</v>
      </c>
      <c r="S64" s="29"/>
      <c r="T64">
        <v>3</v>
      </c>
      <c r="U64" s="1" t="e">
        <f>scale3!E69</f>
        <v>#DIV/0!</v>
      </c>
      <c r="V64" s="1" t="e">
        <f>scale3!F69</f>
        <v>#DIV/0!</v>
      </c>
      <c r="W64" s="1" t="e">
        <f>scale3!G69</f>
        <v>#DIV/0!</v>
      </c>
      <c r="X64" s="1" t="e">
        <f>scale3!H69</f>
        <v>#DIV/0!</v>
      </c>
      <c r="Y64" s="1" t="e">
        <f>scale3!I69</f>
        <v>#DIV/0!</v>
      </c>
      <c r="Z64" s="1" t="e">
        <f>scale3!J69</f>
        <v>#DIV/0!</v>
      </c>
      <c r="AA64" s="1" t="e">
        <f>scale3!K69</f>
        <v>#DIV/0!</v>
      </c>
      <c r="AB64" s="1" t="e">
        <f>scale3!L69</f>
        <v>#DIV/0!</v>
      </c>
      <c r="AC64" s="1" t="e">
        <f>scale3!M69</f>
        <v>#DIV/0!</v>
      </c>
      <c r="AD64" s="1" t="e">
        <f>scale3!N69</f>
        <v>#DIV/0!</v>
      </c>
      <c r="AE64" s="1" t="e">
        <f>scale3!O69</f>
        <v>#DIV/0!</v>
      </c>
      <c r="AF64" s="1" t="e">
        <f>scale3!P69</f>
        <v>#DIV/0!</v>
      </c>
      <c r="AG64" s="1" t="e">
        <f>scale3!Q69</f>
        <v>#DIV/0!</v>
      </c>
      <c r="AH64" s="1" t="e">
        <f>scale3!R69</f>
        <v>#DIV/0!</v>
      </c>
      <c r="AI64" s="1" t="e">
        <f>scale3!S69</f>
        <v>#DIV/0!</v>
      </c>
      <c r="AJ64" s="1" t="e">
        <f>scale3!T69</f>
        <v>#DIV/0!</v>
      </c>
      <c r="AK64" s="1" t="e">
        <f>scale3!U69</f>
        <v>#DIV/0!</v>
      </c>
      <c r="AL64" s="1" t="e">
        <f>scale3!V69</f>
        <v>#DIV/0!</v>
      </c>
      <c r="AM64" s="1" t="e">
        <f>scale3!W69</f>
        <v>#DIV/0!</v>
      </c>
      <c r="AN64" s="1" t="e">
        <f>scale3!X69</f>
        <v>#DIV/0!</v>
      </c>
      <c r="AO64" s="1" t="e">
        <f>scale3!Y69</f>
        <v>#DIV/0!</v>
      </c>
      <c r="AP64" s="1" t="e">
        <f>scale3!Z69</f>
        <v>#DIV/0!</v>
      </c>
      <c r="AQ64" s="1" t="e">
        <f>scale3!AA69</f>
        <v>#DIV/0!</v>
      </c>
      <c r="AR64" s="1" t="e">
        <f>scale3!AB69</f>
        <v>#DIV/0!</v>
      </c>
      <c r="AS64" s="1" t="e">
        <f>scale3!AC69</f>
        <v>#DIV/0!</v>
      </c>
      <c r="AT64" s="1" t="e">
        <f>scale3!AD69</f>
        <v>#DIV/0!</v>
      </c>
      <c r="AU64" s="1" t="e">
        <f>scale3!AE69</f>
        <v>#DIV/0!</v>
      </c>
      <c r="AV64" s="1" t="e">
        <f>scale3!AF69</f>
        <v>#DIV/0!</v>
      </c>
      <c r="AW64" s="1" t="e">
        <f>scale3!AG69</f>
        <v>#DIV/0!</v>
      </c>
      <c r="AX64" s="1" t="e">
        <f>scale3!AH69</f>
        <v>#DIV/0!</v>
      </c>
      <c r="AY64" s="1" t="e">
        <f>scale3!AI69</f>
        <v>#DIV/0!</v>
      </c>
      <c r="AZ64" s="1" t="e">
        <f>scale3!AJ69</f>
        <v>#DIV/0!</v>
      </c>
    </row>
    <row r="65" spans="1:52">
      <c r="A65" s="29">
        <f>data0!A57</f>
        <v>75</v>
      </c>
      <c r="B65" s="27" t="e">
        <f t="shared" si="6"/>
        <v>#DIV/0!</v>
      </c>
      <c r="C65" s="74" t="e">
        <f t="shared" si="7"/>
        <v>#DIV/0!</v>
      </c>
      <c r="D65" s="27" t="e">
        <f t="shared" si="8"/>
        <v>#DIV/0!</v>
      </c>
      <c r="E65" s="74" t="e">
        <f t="shared" si="9"/>
        <v>#DIV/0!</v>
      </c>
      <c r="F65" s="74" t="e">
        <f t="shared" si="5"/>
        <v>#DIV/0!</v>
      </c>
      <c r="G65" s="45" t="e">
        <f t="shared" si="10"/>
        <v>#DIV/0!</v>
      </c>
      <c r="H65" s="24" t="e">
        <f>scale0!C62</f>
        <v>#DIV/0!</v>
      </c>
      <c r="I65" s="46" t="e">
        <f>H65+1.5*scale0!D62</f>
        <v>#DIV/0!</v>
      </c>
      <c r="J65" s="47" t="e">
        <f t="shared" si="11"/>
        <v>#DIV/0!</v>
      </c>
      <c r="K65" s="24" t="e">
        <f>scale1!C62</f>
        <v>#DIV/0!</v>
      </c>
      <c r="L65" s="46" t="e">
        <f>K65+1.5*scale1!D62</f>
        <v>#DIV/0!</v>
      </c>
      <c r="M65" s="47" t="e">
        <f t="shared" si="12"/>
        <v>#DIV/0!</v>
      </c>
      <c r="N65" s="24" t="e">
        <f>scale2!C62</f>
        <v>#DIV/0!</v>
      </c>
      <c r="O65" s="46" t="e">
        <f>N65+1.5*scale2!D62</f>
        <v>#DIV/0!</v>
      </c>
      <c r="P65" s="47" t="e">
        <f t="shared" si="13"/>
        <v>#DIV/0!</v>
      </c>
      <c r="Q65" s="24" t="e">
        <f>scale3!C62</f>
        <v>#DIV/0!</v>
      </c>
      <c r="R65" s="48" t="e">
        <f>Q65+1.5*scale3!D62</f>
        <v>#DIV/0!</v>
      </c>
      <c r="S65" s="29"/>
      <c r="T65" s="1" t="e">
        <f>AVERAGE(U65:AZ65)</f>
        <v>#DIV/0!</v>
      </c>
      <c r="U65" s="1" t="e">
        <f>MAX(U61:U64)</f>
        <v>#DIV/0!</v>
      </c>
      <c r="V65" s="1" t="e">
        <f t="shared" ref="V65:AZ65" si="14">MAX(V61:V64)</f>
        <v>#DIV/0!</v>
      </c>
      <c r="W65" s="1" t="e">
        <f t="shared" si="14"/>
        <v>#DIV/0!</v>
      </c>
      <c r="X65" s="1" t="e">
        <f t="shared" si="14"/>
        <v>#DIV/0!</v>
      </c>
      <c r="Y65" s="1" t="e">
        <f t="shared" si="14"/>
        <v>#DIV/0!</v>
      </c>
      <c r="Z65" s="1" t="e">
        <f t="shared" si="14"/>
        <v>#DIV/0!</v>
      </c>
      <c r="AA65" s="1" t="e">
        <f t="shared" si="14"/>
        <v>#DIV/0!</v>
      </c>
      <c r="AB65" s="1" t="e">
        <f t="shared" si="14"/>
        <v>#DIV/0!</v>
      </c>
      <c r="AC65" s="1" t="e">
        <f t="shared" si="14"/>
        <v>#DIV/0!</v>
      </c>
      <c r="AD65" s="1" t="e">
        <f t="shared" si="14"/>
        <v>#DIV/0!</v>
      </c>
      <c r="AE65" s="1" t="e">
        <f t="shared" si="14"/>
        <v>#DIV/0!</v>
      </c>
      <c r="AF65" s="1" t="e">
        <f t="shared" si="14"/>
        <v>#DIV/0!</v>
      </c>
      <c r="AG65" s="1" t="e">
        <f t="shared" si="14"/>
        <v>#DIV/0!</v>
      </c>
      <c r="AH65" s="1" t="e">
        <f t="shared" si="14"/>
        <v>#DIV/0!</v>
      </c>
      <c r="AI65" s="1" t="e">
        <f t="shared" si="14"/>
        <v>#DIV/0!</v>
      </c>
      <c r="AJ65" s="1" t="e">
        <f t="shared" si="14"/>
        <v>#DIV/0!</v>
      </c>
      <c r="AK65" s="1" t="e">
        <f t="shared" si="14"/>
        <v>#DIV/0!</v>
      </c>
      <c r="AL65" s="1" t="e">
        <f t="shared" si="14"/>
        <v>#DIV/0!</v>
      </c>
      <c r="AM65" s="1" t="e">
        <f t="shared" si="14"/>
        <v>#DIV/0!</v>
      </c>
      <c r="AN65" s="1" t="e">
        <f t="shared" si="14"/>
        <v>#DIV/0!</v>
      </c>
      <c r="AO65" s="1" t="e">
        <f t="shared" si="14"/>
        <v>#DIV/0!</v>
      </c>
      <c r="AP65" s="1" t="e">
        <f t="shared" si="14"/>
        <v>#DIV/0!</v>
      </c>
      <c r="AQ65" s="1" t="e">
        <f t="shared" si="14"/>
        <v>#DIV/0!</v>
      </c>
      <c r="AR65" s="1" t="e">
        <f t="shared" si="14"/>
        <v>#DIV/0!</v>
      </c>
      <c r="AS65" s="1" t="e">
        <f t="shared" si="14"/>
        <v>#DIV/0!</v>
      </c>
      <c r="AT65" s="1" t="e">
        <f t="shared" si="14"/>
        <v>#DIV/0!</v>
      </c>
      <c r="AU65" s="1" t="e">
        <f t="shared" si="14"/>
        <v>#DIV/0!</v>
      </c>
      <c r="AV65" s="1" t="e">
        <f t="shared" si="14"/>
        <v>#DIV/0!</v>
      </c>
      <c r="AW65" s="1" t="e">
        <f t="shared" si="14"/>
        <v>#DIV/0!</v>
      </c>
      <c r="AX65" s="1" t="e">
        <f t="shared" si="14"/>
        <v>#DIV/0!</v>
      </c>
      <c r="AY65" s="1" t="e">
        <f t="shared" si="14"/>
        <v>#DIV/0!</v>
      </c>
      <c r="AZ65" s="1" t="e">
        <f t="shared" si="14"/>
        <v>#DIV/0!</v>
      </c>
    </row>
    <row r="66" spans="1:52">
      <c r="A66" s="29">
        <f>data0!A58</f>
        <v>78</v>
      </c>
      <c r="B66" s="27" t="e">
        <f t="shared" si="6"/>
        <v>#DIV/0!</v>
      </c>
      <c r="C66" s="74" t="e">
        <f t="shared" si="7"/>
        <v>#DIV/0!</v>
      </c>
      <c r="D66" s="27" t="e">
        <f t="shared" si="8"/>
        <v>#DIV/0!</v>
      </c>
      <c r="E66" s="74" t="e">
        <f t="shared" si="9"/>
        <v>#DIV/0!</v>
      </c>
      <c r="F66" s="74" t="e">
        <f t="shared" si="5"/>
        <v>#DIV/0!</v>
      </c>
      <c r="G66" s="45" t="e">
        <f t="shared" si="10"/>
        <v>#DIV/0!</v>
      </c>
      <c r="H66" s="24" t="e">
        <f>scale0!C63</f>
        <v>#DIV/0!</v>
      </c>
      <c r="I66" s="46" t="e">
        <f>H66+1.5*scale0!D63</f>
        <v>#DIV/0!</v>
      </c>
      <c r="J66" s="47" t="e">
        <f t="shared" si="11"/>
        <v>#DIV/0!</v>
      </c>
      <c r="K66" s="24" t="e">
        <f>scale1!C63</f>
        <v>#DIV/0!</v>
      </c>
      <c r="L66" s="46" t="e">
        <f>K66+1.5*scale1!D63</f>
        <v>#DIV/0!</v>
      </c>
      <c r="M66" s="47" t="e">
        <f t="shared" si="12"/>
        <v>#DIV/0!</v>
      </c>
      <c r="N66" s="24" t="e">
        <f>scale2!C63</f>
        <v>#DIV/0!</v>
      </c>
      <c r="O66" s="46" t="e">
        <f>N66+1.5*scale2!D63</f>
        <v>#DIV/0!</v>
      </c>
      <c r="P66" s="47" t="e">
        <f t="shared" si="13"/>
        <v>#DIV/0!</v>
      </c>
      <c r="Q66" s="24" t="e">
        <f>scale3!C63</f>
        <v>#DIV/0!</v>
      </c>
      <c r="R66" s="48" t="e">
        <f>Q66+1.5*scale3!D63</f>
        <v>#DIV/0!</v>
      </c>
      <c r="S66" s="29"/>
      <c r="T66" s="1" t="e">
        <f>STDEV(U65:AZ65)</f>
        <v>#DIV/0!</v>
      </c>
    </row>
    <row r="67" spans="1:52">
      <c r="A67" s="29">
        <f>data0!A59</f>
        <v>81</v>
      </c>
      <c r="B67" s="27" t="e">
        <f t="shared" si="6"/>
        <v>#DIV/0!</v>
      </c>
      <c r="C67" s="74" t="e">
        <f t="shared" si="7"/>
        <v>#DIV/0!</v>
      </c>
      <c r="D67" s="27" t="e">
        <f t="shared" si="8"/>
        <v>#DIV/0!</v>
      </c>
      <c r="E67" s="74" t="e">
        <f t="shared" si="9"/>
        <v>#DIV/0!</v>
      </c>
      <c r="F67" s="74" t="e">
        <f t="shared" si="5"/>
        <v>#DIV/0!</v>
      </c>
      <c r="G67" s="45" t="e">
        <f t="shared" si="10"/>
        <v>#DIV/0!</v>
      </c>
      <c r="H67" s="24" t="e">
        <f>scale0!C64</f>
        <v>#DIV/0!</v>
      </c>
      <c r="I67" s="46" t="e">
        <f>H67+1.5*scale0!D64</f>
        <v>#DIV/0!</v>
      </c>
      <c r="J67" s="47" t="e">
        <f t="shared" si="11"/>
        <v>#DIV/0!</v>
      </c>
      <c r="K67" s="24" t="e">
        <f>scale1!C64</f>
        <v>#DIV/0!</v>
      </c>
      <c r="L67" s="46" t="e">
        <f>K67+1.5*scale1!D64</f>
        <v>#DIV/0!</v>
      </c>
      <c r="M67" s="47" t="e">
        <f t="shared" si="12"/>
        <v>#DIV/0!</v>
      </c>
      <c r="N67" s="24" t="e">
        <f>scale2!C64</f>
        <v>#DIV/0!</v>
      </c>
      <c r="O67" s="46" t="e">
        <f>N67+1.5*scale2!D64</f>
        <v>#DIV/0!</v>
      </c>
      <c r="P67" s="47" t="e">
        <f t="shared" si="13"/>
        <v>#DIV/0!</v>
      </c>
      <c r="Q67" s="24" t="e">
        <f>scale3!C64</f>
        <v>#DIV/0!</v>
      </c>
      <c r="R67" s="48" t="e">
        <f>Q67+1.5*scale3!D64</f>
        <v>#DIV/0!</v>
      </c>
      <c r="S67" s="29"/>
      <c r="U67" s="1" t="e">
        <f>SUM(U68:U73)</f>
        <v>#VALUE!</v>
      </c>
    </row>
    <row r="68" spans="1:52">
      <c r="A68" s="29">
        <f>data0!A60</f>
        <v>84</v>
      </c>
      <c r="B68" s="27" t="e">
        <f t="shared" si="6"/>
        <v>#DIV/0!</v>
      </c>
      <c r="C68" s="74" t="e">
        <f t="shared" si="7"/>
        <v>#DIV/0!</v>
      </c>
      <c r="D68" s="27" t="e">
        <f t="shared" si="8"/>
        <v>#DIV/0!</v>
      </c>
      <c r="E68" s="74" t="e">
        <f t="shared" si="9"/>
        <v>#DIV/0!</v>
      </c>
      <c r="F68" s="74" t="e">
        <f t="shared" si="5"/>
        <v>#DIV/0!</v>
      </c>
      <c r="G68" s="45" t="e">
        <f t="shared" si="10"/>
        <v>#DIV/0!</v>
      </c>
      <c r="H68" s="24" t="e">
        <f>scale0!C65</f>
        <v>#DIV/0!</v>
      </c>
      <c r="I68" s="46" t="e">
        <f>H68+1.5*scale0!D65</f>
        <v>#DIV/0!</v>
      </c>
      <c r="J68" s="47" t="e">
        <f t="shared" si="11"/>
        <v>#DIV/0!</v>
      </c>
      <c r="K68" s="24" t="e">
        <f>scale1!C65</f>
        <v>#DIV/0!</v>
      </c>
      <c r="L68" s="46" t="e">
        <f>K68+1.5*scale1!D65</f>
        <v>#DIV/0!</v>
      </c>
      <c r="M68" s="47" t="e">
        <f t="shared" si="12"/>
        <v>#DIV/0!</v>
      </c>
      <c r="N68" s="24" t="e">
        <f>scale2!C65</f>
        <v>#DIV/0!</v>
      </c>
      <c r="O68" s="46" t="e">
        <f>N68+1.5*scale2!D65</f>
        <v>#DIV/0!</v>
      </c>
      <c r="P68" s="47" t="e">
        <f t="shared" si="13"/>
        <v>#DIV/0!</v>
      </c>
      <c r="Q68" s="24" t="e">
        <f>scale3!C65</f>
        <v>#DIV/0!</v>
      </c>
      <c r="R68" s="48" t="e">
        <f>Q68+1.5*scale3!D65</f>
        <v>#DIV/0!</v>
      </c>
      <c r="S68" s="29"/>
      <c r="T68" s="1" t="e">
        <f>T65-1.5*T66</f>
        <v>#DIV/0!</v>
      </c>
      <c r="U68" s="1" t="e">
        <f>histogram(U$65:AZ$65,T$68:T$73,T68)/V$5</f>
        <v>#VALUE!</v>
      </c>
    </row>
    <row r="69" spans="1:52">
      <c r="A69" s="29">
        <f>data0!A61</f>
        <v>87</v>
      </c>
      <c r="B69" s="27" t="e">
        <f t="shared" si="6"/>
        <v>#DIV/0!</v>
      </c>
      <c r="C69" s="74" t="e">
        <f t="shared" si="7"/>
        <v>#DIV/0!</v>
      </c>
      <c r="D69" s="27" t="e">
        <f t="shared" si="8"/>
        <v>#DIV/0!</v>
      </c>
      <c r="E69" s="74" t="e">
        <f t="shared" si="9"/>
        <v>#DIV/0!</v>
      </c>
      <c r="F69" s="74" t="e">
        <f t="shared" si="5"/>
        <v>#DIV/0!</v>
      </c>
      <c r="G69" s="45" t="e">
        <f t="shared" si="10"/>
        <v>#DIV/0!</v>
      </c>
      <c r="H69" s="24" t="e">
        <f>scale0!C66</f>
        <v>#DIV/0!</v>
      </c>
      <c r="I69" s="46" t="e">
        <f>H69+1.5*scale0!D66</f>
        <v>#DIV/0!</v>
      </c>
      <c r="J69" s="47" t="e">
        <f t="shared" si="11"/>
        <v>#DIV/0!</v>
      </c>
      <c r="K69" s="24" t="e">
        <f>scale1!C66</f>
        <v>#DIV/0!</v>
      </c>
      <c r="L69" s="46" t="e">
        <f>K69+1.5*scale1!D66</f>
        <v>#DIV/0!</v>
      </c>
      <c r="M69" s="47" t="e">
        <f t="shared" si="12"/>
        <v>#DIV/0!</v>
      </c>
      <c r="N69" s="24" t="e">
        <f>scale2!C66</f>
        <v>#DIV/0!</v>
      </c>
      <c r="O69" s="46" t="e">
        <f>N69+1.5*scale2!D66</f>
        <v>#DIV/0!</v>
      </c>
      <c r="P69" s="47" t="e">
        <f t="shared" si="13"/>
        <v>#DIV/0!</v>
      </c>
      <c r="Q69" s="24" t="e">
        <f>scale3!C66</f>
        <v>#DIV/0!</v>
      </c>
      <c r="R69" s="48" t="e">
        <f>Q69+1.5*scale3!D66</f>
        <v>#DIV/0!</v>
      </c>
      <c r="S69" s="29"/>
      <c r="T69" s="1" t="e">
        <f>T68+T$66/2</f>
        <v>#DIV/0!</v>
      </c>
      <c r="U69" s="1" t="e">
        <f t="shared" ref="U69:U73" si="15">histogram(U$65:AZ$65,T$68:T$73,T69)/V$5</f>
        <v>#VALUE!</v>
      </c>
    </row>
    <row r="70" spans="1:52" ht="15.75" thickBot="1">
      <c r="A70" s="29">
        <f>data0!A62</f>
        <v>90</v>
      </c>
      <c r="B70" s="27" t="e">
        <f t="shared" si="6"/>
        <v>#DIV/0!</v>
      </c>
      <c r="C70" s="74" t="e">
        <f t="shared" si="7"/>
        <v>#DIV/0!</v>
      </c>
      <c r="D70" s="27" t="e">
        <f t="shared" si="8"/>
        <v>#DIV/0!</v>
      </c>
      <c r="E70" s="74" t="e">
        <f t="shared" si="9"/>
        <v>#DIV/0!</v>
      </c>
      <c r="F70" s="74" t="e">
        <f t="shared" si="5"/>
        <v>#DIV/0!</v>
      </c>
      <c r="G70" s="49" t="e">
        <f t="shared" si="10"/>
        <v>#DIV/0!</v>
      </c>
      <c r="H70" s="50" t="e">
        <f>scale0!C67</f>
        <v>#DIV/0!</v>
      </c>
      <c r="I70" s="51" t="e">
        <f>H70+1.5*scale0!D67</f>
        <v>#DIV/0!</v>
      </c>
      <c r="J70" s="52" t="e">
        <f t="shared" si="11"/>
        <v>#DIV/0!</v>
      </c>
      <c r="K70" s="50" t="e">
        <f>scale1!C67</f>
        <v>#DIV/0!</v>
      </c>
      <c r="L70" s="51" t="e">
        <f>K70+1.5*scale1!D67</f>
        <v>#DIV/0!</v>
      </c>
      <c r="M70" s="52" t="e">
        <f t="shared" si="12"/>
        <v>#DIV/0!</v>
      </c>
      <c r="N70" s="50" t="e">
        <f>scale2!C67</f>
        <v>#DIV/0!</v>
      </c>
      <c r="O70" s="51" t="e">
        <f>N70+1.5*scale2!D67</f>
        <v>#DIV/0!</v>
      </c>
      <c r="P70" s="52" t="e">
        <f t="shared" si="13"/>
        <v>#DIV/0!</v>
      </c>
      <c r="Q70" s="50" t="e">
        <f>scale3!C67</f>
        <v>#DIV/0!</v>
      </c>
      <c r="R70" s="44" t="e">
        <f>Q70+1.5*scale3!D67</f>
        <v>#DIV/0!</v>
      </c>
      <c r="S70" s="29"/>
      <c r="T70" s="1" t="e">
        <f t="shared" ref="T70:T73" si="16">T69+T$66/2</f>
        <v>#DIV/0!</v>
      </c>
      <c r="U70" s="1" t="e">
        <f t="shared" si="15"/>
        <v>#VALUE!</v>
      </c>
    </row>
    <row r="71" spans="1:52">
      <c r="A71" s="25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9"/>
      <c r="T71" s="1" t="e">
        <f t="shared" si="16"/>
        <v>#DIV/0!</v>
      </c>
      <c r="U71" s="1" t="e">
        <f t="shared" si="15"/>
        <v>#VALUE!</v>
      </c>
    </row>
    <row r="72" spans="1:52">
      <c r="A72" s="25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9"/>
      <c r="T72" s="1" t="e">
        <f t="shared" si="16"/>
        <v>#DIV/0!</v>
      </c>
      <c r="U72" s="1" t="e">
        <f t="shared" si="15"/>
        <v>#VALUE!</v>
      </c>
    </row>
    <row r="73" spans="1:52">
      <c r="A73" s="25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9"/>
      <c r="T73" s="1" t="e">
        <f t="shared" si="16"/>
        <v>#DIV/0!</v>
      </c>
      <c r="U73" s="1" t="e">
        <f t="shared" si="15"/>
        <v>#VALUE!</v>
      </c>
    </row>
    <row r="74" spans="1:52">
      <c r="A74" s="25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9"/>
    </row>
    <row r="75" spans="1:52">
      <c r="A75" s="25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9"/>
    </row>
    <row r="76" spans="1:52">
      <c r="A76" s="25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9"/>
    </row>
    <row r="77" spans="1:52">
      <c r="A77" s="25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9"/>
    </row>
    <row r="78" spans="1:52">
      <c r="A78" s="25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9"/>
    </row>
    <row r="79" spans="1:52">
      <c r="A79" s="25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9"/>
    </row>
    <row r="80" spans="1:52">
      <c r="A80" s="25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9"/>
    </row>
    <row r="81" spans="1:19">
      <c r="A81" s="25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9"/>
    </row>
    <row r="82" spans="1:19">
      <c r="A82" s="25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9"/>
    </row>
    <row r="83" spans="1:19">
      <c r="A83" s="25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9"/>
    </row>
    <row r="84" spans="1:19">
      <c r="A84" s="25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9"/>
    </row>
    <row r="85" spans="1:19">
      <c r="A85" s="25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9"/>
    </row>
    <row r="86" spans="1:19">
      <c r="A86" s="25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9"/>
    </row>
    <row r="87" spans="1:19">
      <c r="A87" s="25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9"/>
    </row>
    <row r="88" spans="1:19">
      <c r="A88" s="25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9"/>
    </row>
    <row r="89" spans="1:19">
      <c r="A89" s="25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9"/>
    </row>
    <row r="90" spans="1:19">
      <c r="A90" s="25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9"/>
    </row>
    <row r="91" spans="1:19">
      <c r="A91" s="25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9"/>
    </row>
    <row r="92" spans="1:19">
      <c r="A92" s="25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9"/>
    </row>
    <row r="93" spans="1:19">
      <c r="A93" s="25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9"/>
    </row>
    <row r="94" spans="1:19">
      <c r="A94" s="25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9"/>
    </row>
    <row r="95" spans="1:19">
      <c r="A95" s="25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9"/>
    </row>
    <row r="96" spans="1:19">
      <c r="A96" s="25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9"/>
    </row>
    <row r="97" spans="1:19">
      <c r="A97" s="25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9"/>
    </row>
    <row r="98" spans="1:19">
      <c r="A98" s="25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9"/>
    </row>
    <row r="99" spans="1:19">
      <c r="A99" s="25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9"/>
    </row>
    <row r="100" spans="1:19">
      <c r="A100" s="25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9"/>
    </row>
    <row r="101" spans="1:19">
      <c r="A101" s="25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9"/>
    </row>
    <row r="102" spans="1:19">
      <c r="A102" s="25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9"/>
    </row>
    <row r="103" spans="1:19">
      <c r="A103" s="25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9"/>
    </row>
    <row r="104" spans="1:19">
      <c r="A104" s="25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9"/>
    </row>
    <row r="105" spans="1:19">
      <c r="A105" s="25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9"/>
    </row>
    <row r="106" spans="1:19">
      <c r="A106" s="25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9"/>
    </row>
    <row r="107" spans="1:19">
      <c r="A107" s="25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9"/>
    </row>
    <row r="108" spans="1:19">
      <c r="A108" s="25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9"/>
    </row>
    <row r="109" spans="1:19">
      <c r="A109" s="25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9"/>
    </row>
    <row r="110" spans="1:19">
      <c r="A110" s="25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9"/>
    </row>
    <row r="111" spans="1:19">
      <c r="A111" s="25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9"/>
    </row>
    <row r="112" spans="1:19">
      <c r="A112" s="25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9"/>
    </row>
    <row r="113" spans="1:19">
      <c r="A113" s="25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9"/>
    </row>
    <row r="114" spans="1:19">
      <c r="A114" s="25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9"/>
    </row>
    <row r="115" spans="1:19">
      <c r="A115" s="25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9"/>
    </row>
    <row r="116" spans="1:19">
      <c r="A116" s="25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9"/>
    </row>
    <row r="117" spans="1:19">
      <c r="A117" s="25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9"/>
    </row>
    <row r="118" spans="1:19">
      <c r="A118" s="25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9"/>
    </row>
    <row r="119" spans="1:19">
      <c r="A119" s="25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9"/>
    </row>
    <row r="120" spans="1:19">
      <c r="A120" s="25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9"/>
    </row>
    <row r="121" spans="1:19">
      <c r="A121" s="25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9"/>
    </row>
    <row r="122" spans="1:19">
      <c r="A122" s="25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9"/>
    </row>
    <row r="123" spans="1:19">
      <c r="A123" s="25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9"/>
    </row>
    <row r="124" spans="1:19">
      <c r="A124" s="25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9"/>
    </row>
    <row r="125" spans="1:19">
      <c r="A125" s="25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9"/>
    </row>
    <row r="126" spans="1:19">
      <c r="A126" s="25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9"/>
    </row>
    <row r="127" spans="1:19">
      <c r="A127" s="25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9"/>
    </row>
    <row r="128" spans="1:19">
      <c r="A128" s="25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9"/>
    </row>
    <row r="129" spans="1:19">
      <c r="A129" s="25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9"/>
    </row>
    <row r="130" spans="1:19">
      <c r="A130" s="25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9"/>
    </row>
    <row r="131" spans="1:19">
      <c r="A131" s="25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9"/>
    </row>
    <row r="132" spans="1:19">
      <c r="A132" s="25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9"/>
    </row>
    <row r="133" spans="1:19">
      <c r="A133" s="25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9"/>
    </row>
    <row r="134" spans="1:19">
      <c r="A134" s="25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9"/>
    </row>
    <row r="135" spans="1:19">
      <c r="A135" s="25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9"/>
    </row>
    <row r="136" spans="1:19">
      <c r="A136" s="25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9"/>
    </row>
    <row r="137" spans="1:19">
      <c r="A137" s="25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9"/>
    </row>
    <row r="138" spans="1:19">
      <c r="A138" s="25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9"/>
    </row>
    <row r="139" spans="1:19">
      <c r="A139" s="25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9"/>
    </row>
    <row r="140" spans="1:19">
      <c r="A140" s="25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9"/>
    </row>
    <row r="141" spans="1:19">
      <c r="A141" s="25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9"/>
    </row>
    <row r="142" spans="1:19">
      <c r="A142" s="25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9"/>
    </row>
    <row r="143" spans="1:19">
      <c r="A143" s="25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9"/>
    </row>
    <row r="144" spans="1:19">
      <c r="A144" s="25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9"/>
    </row>
    <row r="145" spans="1:19">
      <c r="A145" s="25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9"/>
    </row>
    <row r="146" spans="1:19">
      <c r="A146" s="25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9"/>
    </row>
    <row r="147" spans="1:19">
      <c r="A147" s="25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9"/>
    </row>
    <row r="148" spans="1:19">
      <c r="A148" s="25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9"/>
    </row>
    <row r="149" spans="1:19">
      <c r="A149" s="25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9"/>
    </row>
    <row r="150" spans="1:19">
      <c r="A150" s="25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9"/>
    </row>
    <row r="151" spans="1:19">
      <c r="A151" s="25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9"/>
    </row>
    <row r="152" spans="1:19">
      <c r="A152" s="25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9"/>
    </row>
    <row r="153" spans="1:19">
      <c r="A153" s="25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9"/>
    </row>
    <row r="154" spans="1:19">
      <c r="A154" s="25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9"/>
    </row>
    <row r="155" spans="1:19">
      <c r="A155" s="25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9"/>
    </row>
    <row r="156" spans="1:19">
      <c r="A156" s="25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9"/>
    </row>
    <row r="157" spans="1:19">
      <c r="A157" s="25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9"/>
    </row>
    <row r="158" spans="1:19">
      <c r="A158" s="25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9"/>
    </row>
    <row r="159" spans="1:19">
      <c r="A159" s="25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9"/>
    </row>
    <row r="160" spans="1:19">
      <c r="A160" s="25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9"/>
    </row>
    <row r="161" spans="1:19">
      <c r="A161" s="25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9"/>
    </row>
    <row r="162" spans="1:19">
      <c r="A162" s="25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9"/>
    </row>
    <row r="163" spans="1:19">
      <c r="A163" s="25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9"/>
    </row>
    <row r="164" spans="1:19">
      <c r="A164" s="25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9"/>
    </row>
    <row r="165" spans="1:19">
      <c r="A165" s="25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9"/>
    </row>
    <row r="166" spans="1:19">
      <c r="A166" s="25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9"/>
    </row>
    <row r="167" spans="1:19">
      <c r="A167" s="25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9"/>
    </row>
    <row r="168" spans="1:19">
      <c r="A168" s="25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9"/>
    </row>
    <row r="169" spans="1:19">
      <c r="A169" s="25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9"/>
    </row>
    <row r="170" spans="1:19">
      <c r="A170" s="25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9"/>
    </row>
    <row r="171" spans="1:19">
      <c r="A171" s="25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9"/>
    </row>
    <row r="172" spans="1:19">
      <c r="A172" s="25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9"/>
    </row>
    <row r="173" spans="1:19">
      <c r="A173" s="25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9"/>
    </row>
    <row r="174" spans="1:19">
      <c r="A174" s="25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9"/>
    </row>
    <row r="175" spans="1:19">
      <c r="A175" s="25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9"/>
    </row>
    <row r="176" spans="1:19">
      <c r="A176" s="25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9"/>
    </row>
    <row r="177" spans="1:19">
      <c r="A177" s="25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9"/>
    </row>
    <row r="178" spans="1:19">
      <c r="A178" s="25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9"/>
    </row>
    <row r="179" spans="1:19">
      <c r="A179" s="25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9"/>
    </row>
    <row r="180" spans="1:19">
      <c r="A180" s="25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9"/>
    </row>
    <row r="181" spans="1:19">
      <c r="A181" s="25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9"/>
    </row>
    <row r="182" spans="1:19">
      <c r="A182" s="25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9"/>
    </row>
    <row r="183" spans="1:19">
      <c r="A183" s="25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9"/>
    </row>
    <row r="184" spans="1:19">
      <c r="A184" s="25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9"/>
    </row>
    <row r="185" spans="1:19">
      <c r="A185" s="25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9"/>
    </row>
    <row r="186" spans="1:19">
      <c r="A186" s="25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9"/>
    </row>
    <row r="187" spans="1:19">
      <c r="A187" s="25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9"/>
    </row>
    <row r="188" spans="1:19">
      <c r="A188" s="25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9"/>
    </row>
    <row r="189" spans="1:19">
      <c r="A189" s="25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9"/>
    </row>
    <row r="190" spans="1:19">
      <c r="A190" s="25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9"/>
    </row>
  </sheetData>
  <mergeCells count="15">
    <mergeCell ref="G5:R5"/>
    <mergeCell ref="T8:U8"/>
    <mergeCell ref="T59:U59"/>
    <mergeCell ref="G8:I8"/>
    <mergeCell ref="G7:R7"/>
    <mergeCell ref="G6:I6"/>
    <mergeCell ref="J6:L6"/>
    <mergeCell ref="T6:U6"/>
    <mergeCell ref="T7:U7"/>
    <mergeCell ref="M6:O6"/>
    <mergeCell ref="P6:R6"/>
    <mergeCell ref="J8:L8"/>
    <mergeCell ref="M8:O8"/>
    <mergeCell ref="P8:R8"/>
    <mergeCell ref="T9:U9"/>
  </mergeCells>
  <conditionalFormatting sqref="U65:AZ65">
    <cfRule type="top10" dxfId="15" priority="5" percent="1" rank="10"/>
  </conditionalFormatting>
  <conditionalFormatting sqref="U61:AZ61">
    <cfRule type="top10" dxfId="14" priority="4" percent="1" rank="10"/>
  </conditionalFormatting>
  <conditionalFormatting sqref="U62:AZ62">
    <cfRule type="top10" dxfId="13" priority="3" percent="1" rank="10"/>
  </conditionalFormatting>
  <conditionalFormatting sqref="U63:AZ63">
    <cfRule type="top10" dxfId="12" priority="2" percent="1" rank="10"/>
  </conditionalFormatting>
  <conditionalFormatting sqref="U64:AZ64">
    <cfRule type="top10" dxfId="11" priority="1" percent="1" rank="10"/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J378"/>
  <sheetViews>
    <sheetView zoomScale="80" zoomScaleNormal="80" workbookViewId="0">
      <pane xSplit="9525" ySplit="6720" topLeftCell="X115"/>
      <selection activeCell="I6" sqref="I6:AJ130"/>
      <selection pane="topRight" activeCell="R25" sqref="R25"/>
      <selection pane="bottomLeft" activeCell="H121" sqref="H121"/>
      <selection pane="bottomRight" activeCell="Z119" sqref="Z119"/>
    </sheetView>
  </sheetViews>
  <sheetFormatPr defaultColWidth="7.140625" defaultRowHeight="15"/>
  <cols>
    <col min="2" max="2" width="9.28515625" style="29" bestFit="1" customWidth="1"/>
    <col min="3" max="4" width="9.28515625" style="29" customWidth="1"/>
    <col min="5" max="36" width="9.28515625" bestFit="1" customWidth="1"/>
  </cols>
  <sheetData>
    <row r="1" spans="1:36" s="29" customFormat="1"/>
    <row r="2" spans="1:36" s="29" customFormat="1"/>
    <row r="3" spans="1:36" s="29" customFormat="1"/>
    <row r="4" spans="1:36" s="29" customFormat="1">
      <c r="A4" s="29" t="s">
        <v>17</v>
      </c>
      <c r="B4" s="74" t="e">
        <f>MAX(B7:B67)</f>
        <v>#DIV/0!</v>
      </c>
      <c r="C4" s="74"/>
      <c r="D4" s="74"/>
    </row>
    <row r="5" spans="1:36">
      <c r="B5" s="29" t="s">
        <v>32</v>
      </c>
      <c r="E5" s="29">
        <f>data0!B1</f>
        <v>0</v>
      </c>
      <c r="F5" s="29">
        <f>data0!C1</f>
        <v>1</v>
      </c>
      <c r="G5" s="29">
        <f>data0!D1</f>
        <v>2</v>
      </c>
      <c r="H5" s="29">
        <f>data0!E1</f>
        <v>3</v>
      </c>
      <c r="I5" s="29">
        <f>data0!F1</f>
        <v>4</v>
      </c>
      <c r="J5" s="29">
        <f>data0!G1</f>
        <v>5</v>
      </c>
      <c r="K5" s="29">
        <f>data0!H1</f>
        <v>6</v>
      </c>
      <c r="L5" s="29">
        <f>data0!I1</f>
        <v>7</v>
      </c>
      <c r="M5" s="29">
        <f>data0!J1</f>
        <v>8</v>
      </c>
      <c r="N5" s="29">
        <f>data0!K1</f>
        <v>9</v>
      </c>
      <c r="O5" s="29">
        <f>data0!L1</f>
        <v>10</v>
      </c>
      <c r="P5" s="29">
        <f>data0!M1</f>
        <v>11</v>
      </c>
      <c r="Q5" s="29">
        <f>data0!N1</f>
        <v>12</v>
      </c>
      <c r="R5" s="29">
        <f>data0!O1</f>
        <v>13</v>
      </c>
      <c r="S5" s="29">
        <f>data0!P1</f>
        <v>14</v>
      </c>
      <c r="T5" s="29">
        <f>data0!Q1</f>
        <v>15</v>
      </c>
      <c r="U5" s="29">
        <f>data0!R1</f>
        <v>16</v>
      </c>
      <c r="V5" s="29">
        <f>data0!S1</f>
        <v>17</v>
      </c>
      <c r="W5" s="29">
        <f>data0!T1</f>
        <v>18</v>
      </c>
      <c r="X5" s="29">
        <f>data0!U1</f>
        <v>19</v>
      </c>
      <c r="Y5" s="29">
        <f>data0!V1</f>
        <v>20</v>
      </c>
      <c r="Z5" s="29">
        <f>data0!W1</f>
        <v>21</v>
      </c>
      <c r="AA5" s="29">
        <f>data0!X1</f>
        <v>22</v>
      </c>
      <c r="AB5" s="29">
        <f>data0!Y1</f>
        <v>23</v>
      </c>
      <c r="AC5" s="29">
        <f>data0!Z1</f>
        <v>24</v>
      </c>
      <c r="AD5" s="29">
        <f>data0!AA1</f>
        <v>25</v>
      </c>
      <c r="AE5" s="29">
        <f>data0!AB1</f>
        <v>26</v>
      </c>
      <c r="AF5" s="29">
        <f>data0!AC1</f>
        <v>27</v>
      </c>
      <c r="AG5" s="29">
        <f>data0!AD1</f>
        <v>28</v>
      </c>
      <c r="AH5" s="29">
        <f>data0!AE1</f>
        <v>29</v>
      </c>
      <c r="AI5" s="29">
        <f>data0!AF1</f>
        <v>30</v>
      </c>
      <c r="AJ5" s="29">
        <f>data0!AG1</f>
        <v>31</v>
      </c>
    </row>
    <row r="6" spans="1:36" s="75" customFormat="1">
      <c r="A6" s="75" t="s">
        <v>31</v>
      </c>
      <c r="B6" s="75" t="e">
        <f>SUM(B7:B67)</f>
        <v>#DIV/0!</v>
      </c>
      <c r="C6" s="80" t="s">
        <v>2</v>
      </c>
      <c r="D6" s="80" t="s">
        <v>33</v>
      </c>
      <c r="E6" s="75">
        <f>SUM(data0!B2:B62)</f>
        <v>0</v>
      </c>
      <c r="F6" s="75">
        <f>SUM(data0!C2:C62)</f>
        <v>0</v>
      </c>
      <c r="G6" s="75">
        <f>SUM(data0!D2:D62)</f>
        <v>0</v>
      </c>
      <c r="H6" s="75">
        <f>SUM(data0!E2:E62)</f>
        <v>0</v>
      </c>
      <c r="I6" s="75">
        <f>SUM(data0!F2:F62)</f>
        <v>0</v>
      </c>
      <c r="J6" s="75">
        <f>SUM(data0!G2:G62)</f>
        <v>0</v>
      </c>
      <c r="K6" s="75">
        <f>SUM(data0!H2:H62)</f>
        <v>0</v>
      </c>
      <c r="L6" s="75">
        <f>SUM(data0!I2:I62)</f>
        <v>0</v>
      </c>
      <c r="M6" s="75">
        <f>SUM(data0!J2:J62)</f>
        <v>0</v>
      </c>
      <c r="N6" s="75">
        <f>SUM(data0!K2:K62)</f>
        <v>0</v>
      </c>
      <c r="O6" s="75">
        <f>SUM(data0!L2:L62)</f>
        <v>0</v>
      </c>
      <c r="P6" s="75">
        <f>SUM(data0!M2:M62)</f>
        <v>0</v>
      </c>
      <c r="Q6" s="75">
        <f>SUM(data0!N2:N62)</f>
        <v>0</v>
      </c>
      <c r="R6" s="75">
        <f>SUM(data0!O2:O62)</f>
        <v>0</v>
      </c>
      <c r="S6" s="75">
        <f>SUM(data0!P2:P62)</f>
        <v>0</v>
      </c>
      <c r="T6" s="75">
        <f>SUM(data0!Q2:Q62)</f>
        <v>0</v>
      </c>
      <c r="U6" s="75">
        <f>SUM(data0!R2:R62)</f>
        <v>0</v>
      </c>
      <c r="V6" s="75">
        <f>SUM(data0!S2:S62)</f>
        <v>0</v>
      </c>
      <c r="W6" s="75">
        <f>SUM(data0!T2:T62)</f>
        <v>0</v>
      </c>
      <c r="X6" s="75">
        <f>SUM(data0!U2:U62)</f>
        <v>0</v>
      </c>
      <c r="Y6" s="75">
        <f>SUM(data0!V2:V62)</f>
        <v>0</v>
      </c>
      <c r="Z6" s="75">
        <f>SUM(data0!W2:W62)</f>
        <v>0</v>
      </c>
      <c r="AA6" s="75">
        <f>SUM(data0!X2:X62)</f>
        <v>0</v>
      </c>
      <c r="AB6" s="75">
        <f>SUM(data0!Y2:Y62)</f>
        <v>0</v>
      </c>
      <c r="AC6" s="75">
        <f>SUM(data0!Z2:Z62)</f>
        <v>0</v>
      </c>
      <c r="AD6" s="75">
        <f>SUM(data0!AA2:AA62)</f>
        <v>0</v>
      </c>
      <c r="AE6" s="75">
        <f>SUM(data0!AB2:AB62)</f>
        <v>0</v>
      </c>
      <c r="AF6" s="75">
        <f>SUM(data0!AC2:AC62)</f>
        <v>0</v>
      </c>
      <c r="AG6" s="75">
        <f>SUM(data0!AD2:AD62)</f>
        <v>0</v>
      </c>
      <c r="AH6" s="75">
        <f>SUM(data0!AE2:AE62)</f>
        <v>0</v>
      </c>
      <c r="AI6" s="75">
        <f>SUM(data0!AF2:AF62)</f>
        <v>0</v>
      </c>
      <c r="AJ6" s="75">
        <f>SUM(data0!AG2:AG62)</f>
        <v>0</v>
      </c>
    </row>
    <row r="7" spans="1:36">
      <c r="A7" s="29">
        <f>data0!A2</f>
        <v>-90</v>
      </c>
      <c r="B7" s="74" t="e">
        <f>AVERAGE(data0!B2:AG2)</f>
        <v>#DIV/0!</v>
      </c>
      <c r="C7" s="74" t="e">
        <f>AVERAGE(E7:AJ7)</f>
        <v>#DIV/0!</v>
      </c>
      <c r="D7" s="74" t="e">
        <f>STDEV(E7:AJ7)</f>
        <v>#DIV/0!</v>
      </c>
      <c r="E7" s="74" t="e">
        <f>data0!B2*$B$6/E$6</f>
        <v>#DIV/0!</v>
      </c>
      <c r="F7" s="74" t="e">
        <f>data0!C2*$B$6/F$6</f>
        <v>#DIV/0!</v>
      </c>
      <c r="G7" s="74" t="e">
        <f>data0!D2*$B$6/G$6</f>
        <v>#DIV/0!</v>
      </c>
      <c r="H7" s="74" t="e">
        <f>data0!E2*$B$6/H$6</f>
        <v>#DIV/0!</v>
      </c>
      <c r="I7" s="74" t="e">
        <f>data0!F2*$B$6/I$6</f>
        <v>#DIV/0!</v>
      </c>
      <c r="J7" s="74" t="e">
        <f>data0!G2*$B$6/J$6</f>
        <v>#DIV/0!</v>
      </c>
      <c r="K7" s="74" t="e">
        <f>data0!H2*$B$6/K$6</f>
        <v>#DIV/0!</v>
      </c>
      <c r="L7" s="74" t="e">
        <f>data0!I2*$B$6/L$6</f>
        <v>#DIV/0!</v>
      </c>
      <c r="M7" s="74" t="e">
        <f>data0!J2*$B$6/M$6</f>
        <v>#DIV/0!</v>
      </c>
      <c r="N7" s="74" t="e">
        <f>data0!K2*$B$6/N$6</f>
        <v>#DIV/0!</v>
      </c>
      <c r="O7" s="74" t="e">
        <f>data0!L2*$B$6/O$6</f>
        <v>#DIV/0!</v>
      </c>
      <c r="P7" s="74" t="e">
        <f>data0!M2*$B$6/P$6</f>
        <v>#DIV/0!</v>
      </c>
      <c r="Q7" s="74" t="e">
        <f>data0!N2*$B$6/Q$6</f>
        <v>#DIV/0!</v>
      </c>
      <c r="R7" s="74" t="e">
        <f>data0!O2*$B$6/R$6</f>
        <v>#DIV/0!</v>
      </c>
      <c r="S7" s="74" t="e">
        <f>data0!P2*$B$6/S$6</f>
        <v>#DIV/0!</v>
      </c>
      <c r="T7" s="74" t="e">
        <f>data0!Q2*$B$6/T$6</f>
        <v>#DIV/0!</v>
      </c>
      <c r="U7" s="74" t="e">
        <f>data0!R2*$B$6/U$6</f>
        <v>#DIV/0!</v>
      </c>
      <c r="V7" s="74" t="e">
        <f>data0!S2*$B$6/V$6</f>
        <v>#DIV/0!</v>
      </c>
      <c r="W7" s="74" t="e">
        <f>data0!T2*$B$6/W$6</f>
        <v>#DIV/0!</v>
      </c>
      <c r="X7" s="74" t="e">
        <f>data0!U2*$B$6/X$6</f>
        <v>#DIV/0!</v>
      </c>
      <c r="Y7" s="74" t="e">
        <f>data0!V2*$B$6/Y$6</f>
        <v>#DIV/0!</v>
      </c>
      <c r="Z7" s="74" t="e">
        <f>data0!W2*$B$6/Z$6</f>
        <v>#DIV/0!</v>
      </c>
      <c r="AA7" s="74" t="e">
        <f>data0!X2*$B$6/AA$6</f>
        <v>#DIV/0!</v>
      </c>
      <c r="AB7" s="74" t="e">
        <f>data0!Y2*$B$6/AB$6</f>
        <v>#DIV/0!</v>
      </c>
      <c r="AC7" s="74" t="e">
        <f>data0!Z2*$B$6/AC$6</f>
        <v>#DIV/0!</v>
      </c>
      <c r="AD7" s="74" t="e">
        <f>data0!AA2*$B$6/AD$6</f>
        <v>#DIV/0!</v>
      </c>
      <c r="AE7" s="74" t="e">
        <f>data0!AB2*$B$6/AE$6</f>
        <v>#DIV/0!</v>
      </c>
      <c r="AF7" s="74" t="e">
        <f>data0!AC2*$B$6/AF$6</f>
        <v>#DIV/0!</v>
      </c>
      <c r="AG7" s="74" t="e">
        <f>data0!AD2*$B$6/AG$6</f>
        <v>#DIV/0!</v>
      </c>
      <c r="AH7" s="74" t="e">
        <f>data0!AE2*$B$6/AH$6</f>
        <v>#DIV/0!</v>
      </c>
      <c r="AI7" s="74" t="e">
        <f>data0!AF2*$B$6/AI$6</f>
        <v>#DIV/0!</v>
      </c>
      <c r="AJ7" s="74" t="e">
        <f>data0!AG2*$B$6/AJ$6</f>
        <v>#DIV/0!</v>
      </c>
    </row>
    <row r="8" spans="1:36">
      <c r="A8" s="29">
        <f>data0!A3</f>
        <v>-87</v>
      </c>
      <c r="B8" s="74" t="e">
        <f>AVERAGE(data0!B3:AG3)</f>
        <v>#DIV/0!</v>
      </c>
      <c r="C8" s="74" t="e">
        <f t="shared" ref="C8:C67" si="0">AVERAGE(E8:AJ8)</f>
        <v>#DIV/0!</v>
      </c>
      <c r="D8" s="74" t="e">
        <f t="shared" ref="D8:D67" si="1">STDEV(E8:AJ8)</f>
        <v>#DIV/0!</v>
      </c>
      <c r="E8" s="74" t="e">
        <f>data0!B3*$B$6/E$6</f>
        <v>#DIV/0!</v>
      </c>
      <c r="F8" s="74" t="e">
        <f>data0!C3*$B$6/F$6</f>
        <v>#DIV/0!</v>
      </c>
      <c r="G8" s="74" t="e">
        <f>data0!D3*$B$6/G$6</f>
        <v>#DIV/0!</v>
      </c>
      <c r="H8" s="74" t="e">
        <f>data0!E3*$B$6/H$6</f>
        <v>#DIV/0!</v>
      </c>
      <c r="I8" s="74" t="e">
        <f>data0!F3*$B$6/I$6</f>
        <v>#DIV/0!</v>
      </c>
      <c r="J8" s="74" t="e">
        <f>data0!G3*$B$6/J$6</f>
        <v>#DIV/0!</v>
      </c>
      <c r="K8" s="74" t="e">
        <f>data0!H3*$B$6/K$6</f>
        <v>#DIV/0!</v>
      </c>
      <c r="L8" s="74" t="e">
        <f>data0!I3*$B$6/L$6</f>
        <v>#DIV/0!</v>
      </c>
      <c r="M8" s="74" t="e">
        <f>data0!J3*$B$6/M$6</f>
        <v>#DIV/0!</v>
      </c>
      <c r="N8" s="74" t="e">
        <f>data0!K3*$B$6/N$6</f>
        <v>#DIV/0!</v>
      </c>
      <c r="O8" s="74" t="e">
        <f>data0!L3*$B$6/O$6</f>
        <v>#DIV/0!</v>
      </c>
      <c r="P8" s="74" t="e">
        <f>data0!M3*$B$6/P$6</f>
        <v>#DIV/0!</v>
      </c>
      <c r="Q8" s="74" t="e">
        <f>data0!N3*$B$6/Q$6</f>
        <v>#DIV/0!</v>
      </c>
      <c r="R8" s="74" t="e">
        <f>data0!O3*$B$6/R$6</f>
        <v>#DIV/0!</v>
      </c>
      <c r="S8" s="74" t="e">
        <f>data0!P3*$B$6/S$6</f>
        <v>#DIV/0!</v>
      </c>
      <c r="T8" s="74" t="e">
        <f>data0!Q3*$B$6/T$6</f>
        <v>#DIV/0!</v>
      </c>
      <c r="U8" s="74" t="e">
        <f>data0!R3*$B$6/U$6</f>
        <v>#DIV/0!</v>
      </c>
      <c r="V8" s="74" t="e">
        <f>data0!S3*$B$6/V$6</f>
        <v>#DIV/0!</v>
      </c>
      <c r="W8" s="74" t="e">
        <f>data0!T3*$B$6/W$6</f>
        <v>#DIV/0!</v>
      </c>
      <c r="X8" s="74" t="e">
        <f>data0!U3*$B$6/X$6</f>
        <v>#DIV/0!</v>
      </c>
      <c r="Y8" s="74" t="e">
        <f>data0!V3*$B$6/Y$6</f>
        <v>#DIV/0!</v>
      </c>
      <c r="Z8" s="74" t="e">
        <f>data0!W3*$B$6/Z$6</f>
        <v>#DIV/0!</v>
      </c>
      <c r="AA8" s="74" t="e">
        <f>data0!X3*$B$6/AA$6</f>
        <v>#DIV/0!</v>
      </c>
      <c r="AB8" s="74" t="e">
        <f>data0!Y3*$B$6/AB$6</f>
        <v>#DIV/0!</v>
      </c>
      <c r="AC8" s="74" t="e">
        <f>data0!Z3*$B$6/AC$6</f>
        <v>#DIV/0!</v>
      </c>
      <c r="AD8" s="74" t="e">
        <f>data0!AA3*$B$6/AD$6</f>
        <v>#DIV/0!</v>
      </c>
      <c r="AE8" s="74" t="e">
        <f>data0!AB3*$B$6/AE$6</f>
        <v>#DIV/0!</v>
      </c>
      <c r="AF8" s="74" t="e">
        <f>data0!AC3*$B$6/AF$6</f>
        <v>#DIV/0!</v>
      </c>
      <c r="AG8" s="74" t="e">
        <f>data0!AD3*$B$6/AG$6</f>
        <v>#DIV/0!</v>
      </c>
      <c r="AH8" s="74" t="e">
        <f>data0!AE3*$B$6/AH$6</f>
        <v>#DIV/0!</v>
      </c>
      <c r="AI8" s="74" t="e">
        <f>data0!AF3*$B$6/AI$6</f>
        <v>#DIV/0!</v>
      </c>
      <c r="AJ8" s="74" t="e">
        <f>data0!AG3*$B$6/AJ$6</f>
        <v>#DIV/0!</v>
      </c>
    </row>
    <row r="9" spans="1:36">
      <c r="A9" s="29">
        <f>data0!A4</f>
        <v>-84</v>
      </c>
      <c r="B9" s="74" t="e">
        <f>AVERAGE(data0!B4:AG4)</f>
        <v>#DIV/0!</v>
      </c>
      <c r="C9" s="74" t="e">
        <f t="shared" si="0"/>
        <v>#DIV/0!</v>
      </c>
      <c r="D9" s="74" t="e">
        <f t="shared" si="1"/>
        <v>#DIV/0!</v>
      </c>
      <c r="E9" s="74" t="e">
        <f>data0!B4*$B$6/E$6</f>
        <v>#DIV/0!</v>
      </c>
      <c r="F9" s="74" t="e">
        <f>data0!C4*$B$6/F$6</f>
        <v>#DIV/0!</v>
      </c>
      <c r="G9" s="74" t="e">
        <f>data0!D4*$B$6/G$6</f>
        <v>#DIV/0!</v>
      </c>
      <c r="H9" s="74" t="e">
        <f>data0!E4*$B$6/H$6</f>
        <v>#DIV/0!</v>
      </c>
      <c r="I9" s="74" t="e">
        <f>data0!F4*$B$6/I$6</f>
        <v>#DIV/0!</v>
      </c>
      <c r="J9" s="74" t="e">
        <f>data0!G4*$B$6/J$6</f>
        <v>#DIV/0!</v>
      </c>
      <c r="K9" s="74" t="e">
        <f>data0!H4*$B$6/K$6</f>
        <v>#DIV/0!</v>
      </c>
      <c r="L9" s="74" t="e">
        <f>data0!I4*$B$6/L$6</f>
        <v>#DIV/0!</v>
      </c>
      <c r="M9" s="74" t="e">
        <f>data0!J4*$B$6/M$6</f>
        <v>#DIV/0!</v>
      </c>
      <c r="N9" s="74" t="e">
        <f>data0!K4*$B$6/N$6</f>
        <v>#DIV/0!</v>
      </c>
      <c r="O9" s="74" t="e">
        <f>data0!L4*$B$6/O$6</f>
        <v>#DIV/0!</v>
      </c>
      <c r="P9" s="74" t="e">
        <f>data0!M4*$B$6/P$6</f>
        <v>#DIV/0!</v>
      </c>
      <c r="Q9" s="74" t="e">
        <f>data0!N4*$B$6/Q$6</f>
        <v>#DIV/0!</v>
      </c>
      <c r="R9" s="74" t="e">
        <f>data0!O4*$B$6/R$6</f>
        <v>#DIV/0!</v>
      </c>
      <c r="S9" s="74" t="e">
        <f>data0!P4*$B$6/S$6</f>
        <v>#DIV/0!</v>
      </c>
      <c r="T9" s="74" t="e">
        <f>data0!Q4*$B$6/T$6</f>
        <v>#DIV/0!</v>
      </c>
      <c r="U9" s="74" t="e">
        <f>data0!R4*$B$6/U$6</f>
        <v>#DIV/0!</v>
      </c>
      <c r="V9" s="74" t="e">
        <f>data0!S4*$B$6/V$6</f>
        <v>#DIV/0!</v>
      </c>
      <c r="W9" s="74" t="e">
        <f>data0!T4*$B$6/W$6</f>
        <v>#DIV/0!</v>
      </c>
      <c r="X9" s="74" t="e">
        <f>data0!U4*$B$6/X$6</f>
        <v>#DIV/0!</v>
      </c>
      <c r="Y9" s="74" t="e">
        <f>data0!V4*$B$6/Y$6</f>
        <v>#DIV/0!</v>
      </c>
      <c r="Z9" s="74" t="e">
        <f>data0!W4*$B$6/Z$6</f>
        <v>#DIV/0!</v>
      </c>
      <c r="AA9" s="74" t="e">
        <f>data0!X4*$B$6/AA$6</f>
        <v>#DIV/0!</v>
      </c>
      <c r="AB9" s="74" t="e">
        <f>data0!Y4*$B$6/AB$6</f>
        <v>#DIV/0!</v>
      </c>
      <c r="AC9" s="74" t="e">
        <f>data0!Z4*$B$6/AC$6</f>
        <v>#DIV/0!</v>
      </c>
      <c r="AD9" s="74" t="e">
        <f>data0!AA4*$B$6/AD$6</f>
        <v>#DIV/0!</v>
      </c>
      <c r="AE9" s="74" t="e">
        <f>data0!AB4*$B$6/AE$6</f>
        <v>#DIV/0!</v>
      </c>
      <c r="AF9" s="74" t="e">
        <f>data0!AC4*$B$6/AF$6</f>
        <v>#DIV/0!</v>
      </c>
      <c r="AG9" s="74" t="e">
        <f>data0!AD4*$B$6/AG$6</f>
        <v>#DIV/0!</v>
      </c>
      <c r="AH9" s="74" t="e">
        <f>data0!AE4*$B$6/AH$6</f>
        <v>#DIV/0!</v>
      </c>
      <c r="AI9" s="74" t="e">
        <f>data0!AF4*$B$6/AI$6</f>
        <v>#DIV/0!</v>
      </c>
      <c r="AJ9" s="74" t="e">
        <f>data0!AG4*$B$6/AJ$6</f>
        <v>#DIV/0!</v>
      </c>
    </row>
    <row r="10" spans="1:36">
      <c r="A10" s="29">
        <f>data0!A5</f>
        <v>-81</v>
      </c>
      <c r="B10" s="74" t="e">
        <f>AVERAGE(data0!B5:AG5)</f>
        <v>#DIV/0!</v>
      </c>
      <c r="C10" s="74" t="e">
        <f t="shared" si="0"/>
        <v>#DIV/0!</v>
      </c>
      <c r="D10" s="74" t="e">
        <f t="shared" si="1"/>
        <v>#DIV/0!</v>
      </c>
      <c r="E10" s="74" t="e">
        <f>data0!B5*$B$6/E$6</f>
        <v>#DIV/0!</v>
      </c>
      <c r="F10" s="74" t="e">
        <f>data0!C5*$B$6/F$6</f>
        <v>#DIV/0!</v>
      </c>
      <c r="G10" s="74" t="e">
        <f>data0!D5*$B$6/G$6</f>
        <v>#DIV/0!</v>
      </c>
      <c r="H10" s="74" t="e">
        <f>data0!E5*$B$6/H$6</f>
        <v>#DIV/0!</v>
      </c>
      <c r="I10" s="74" t="e">
        <f>data0!F5*$B$6/I$6</f>
        <v>#DIV/0!</v>
      </c>
      <c r="J10" s="74" t="e">
        <f>data0!G5*$B$6/J$6</f>
        <v>#DIV/0!</v>
      </c>
      <c r="K10" s="74" t="e">
        <f>data0!H5*$B$6/K$6</f>
        <v>#DIV/0!</v>
      </c>
      <c r="L10" s="74" t="e">
        <f>data0!I5*$B$6/L$6</f>
        <v>#DIV/0!</v>
      </c>
      <c r="M10" s="74" t="e">
        <f>data0!J5*$B$6/M$6</f>
        <v>#DIV/0!</v>
      </c>
      <c r="N10" s="74" t="e">
        <f>data0!K5*$B$6/N$6</f>
        <v>#DIV/0!</v>
      </c>
      <c r="O10" s="74" t="e">
        <f>data0!L5*$B$6/O$6</f>
        <v>#DIV/0!</v>
      </c>
      <c r="P10" s="74" t="e">
        <f>data0!M5*$B$6/P$6</f>
        <v>#DIV/0!</v>
      </c>
      <c r="Q10" s="74" t="e">
        <f>data0!N5*$B$6/Q$6</f>
        <v>#DIV/0!</v>
      </c>
      <c r="R10" s="74" t="e">
        <f>data0!O5*$B$6/R$6</f>
        <v>#DIV/0!</v>
      </c>
      <c r="S10" s="74" t="e">
        <f>data0!P5*$B$6/S$6</f>
        <v>#DIV/0!</v>
      </c>
      <c r="T10" s="74" t="e">
        <f>data0!Q5*$B$6/T$6</f>
        <v>#DIV/0!</v>
      </c>
      <c r="U10" s="74" t="e">
        <f>data0!R5*$B$6/U$6</f>
        <v>#DIV/0!</v>
      </c>
      <c r="V10" s="74" t="e">
        <f>data0!S5*$B$6/V$6</f>
        <v>#DIV/0!</v>
      </c>
      <c r="W10" s="74" t="e">
        <f>data0!T5*$B$6/W$6</f>
        <v>#DIV/0!</v>
      </c>
      <c r="X10" s="74" t="e">
        <f>data0!U5*$B$6/X$6</f>
        <v>#DIV/0!</v>
      </c>
      <c r="Y10" s="74" t="e">
        <f>data0!V5*$B$6/Y$6</f>
        <v>#DIV/0!</v>
      </c>
      <c r="Z10" s="74" t="e">
        <f>data0!W5*$B$6/Z$6</f>
        <v>#DIV/0!</v>
      </c>
      <c r="AA10" s="74" t="e">
        <f>data0!X5*$B$6/AA$6</f>
        <v>#DIV/0!</v>
      </c>
      <c r="AB10" s="74" t="e">
        <f>data0!Y5*$B$6/AB$6</f>
        <v>#DIV/0!</v>
      </c>
      <c r="AC10" s="74" t="e">
        <f>data0!Z5*$B$6/AC$6</f>
        <v>#DIV/0!</v>
      </c>
      <c r="AD10" s="74" t="e">
        <f>data0!AA5*$B$6/AD$6</f>
        <v>#DIV/0!</v>
      </c>
      <c r="AE10" s="74" t="e">
        <f>data0!AB5*$B$6/AE$6</f>
        <v>#DIV/0!</v>
      </c>
      <c r="AF10" s="74" t="e">
        <f>data0!AC5*$B$6/AF$6</f>
        <v>#DIV/0!</v>
      </c>
      <c r="AG10" s="74" t="e">
        <f>data0!AD5*$B$6/AG$6</f>
        <v>#DIV/0!</v>
      </c>
      <c r="AH10" s="74" t="e">
        <f>data0!AE5*$B$6/AH$6</f>
        <v>#DIV/0!</v>
      </c>
      <c r="AI10" s="74" t="e">
        <f>data0!AF5*$B$6/AI$6</f>
        <v>#DIV/0!</v>
      </c>
      <c r="AJ10" s="74" t="e">
        <f>data0!AG5*$B$6/AJ$6</f>
        <v>#DIV/0!</v>
      </c>
    </row>
    <row r="11" spans="1:36">
      <c r="A11" s="29">
        <f>data0!A6</f>
        <v>-78</v>
      </c>
      <c r="B11" s="74" t="e">
        <f>AVERAGE(data0!B6:AG6)</f>
        <v>#DIV/0!</v>
      </c>
      <c r="C11" s="74" t="e">
        <f t="shared" si="0"/>
        <v>#DIV/0!</v>
      </c>
      <c r="D11" s="74" t="e">
        <f t="shared" si="1"/>
        <v>#DIV/0!</v>
      </c>
      <c r="E11" s="74" t="e">
        <f>data0!B6*$B$6/E$6</f>
        <v>#DIV/0!</v>
      </c>
      <c r="F11" s="74" t="e">
        <f>data0!C6*$B$6/F$6</f>
        <v>#DIV/0!</v>
      </c>
      <c r="G11" s="74" t="e">
        <f>data0!D6*$B$6/G$6</f>
        <v>#DIV/0!</v>
      </c>
      <c r="H11" s="74" t="e">
        <f>data0!E6*$B$6/H$6</f>
        <v>#DIV/0!</v>
      </c>
      <c r="I11" s="74" t="e">
        <f>data0!F6*$B$6/I$6</f>
        <v>#DIV/0!</v>
      </c>
      <c r="J11" s="74" t="e">
        <f>data0!G6*$B$6/J$6</f>
        <v>#DIV/0!</v>
      </c>
      <c r="K11" s="74" t="e">
        <f>data0!H6*$B$6/K$6</f>
        <v>#DIV/0!</v>
      </c>
      <c r="L11" s="74" t="e">
        <f>data0!I6*$B$6/L$6</f>
        <v>#DIV/0!</v>
      </c>
      <c r="M11" s="74" t="e">
        <f>data0!J6*$B$6/M$6</f>
        <v>#DIV/0!</v>
      </c>
      <c r="N11" s="74" t="e">
        <f>data0!K6*$B$6/N$6</f>
        <v>#DIV/0!</v>
      </c>
      <c r="O11" s="74" t="e">
        <f>data0!L6*$B$6/O$6</f>
        <v>#DIV/0!</v>
      </c>
      <c r="P11" s="74" t="e">
        <f>data0!M6*$B$6/P$6</f>
        <v>#DIV/0!</v>
      </c>
      <c r="Q11" s="74" t="e">
        <f>data0!N6*$B$6/Q$6</f>
        <v>#DIV/0!</v>
      </c>
      <c r="R11" s="74" t="e">
        <f>data0!O6*$B$6/R$6</f>
        <v>#DIV/0!</v>
      </c>
      <c r="S11" s="74" t="e">
        <f>data0!P6*$B$6/S$6</f>
        <v>#DIV/0!</v>
      </c>
      <c r="T11" s="74" t="e">
        <f>data0!Q6*$B$6/T$6</f>
        <v>#DIV/0!</v>
      </c>
      <c r="U11" s="74" t="e">
        <f>data0!R6*$B$6/U$6</f>
        <v>#DIV/0!</v>
      </c>
      <c r="V11" s="74" t="e">
        <f>data0!S6*$B$6/V$6</f>
        <v>#DIV/0!</v>
      </c>
      <c r="W11" s="74" t="e">
        <f>data0!T6*$B$6/W$6</f>
        <v>#DIV/0!</v>
      </c>
      <c r="X11" s="74" t="e">
        <f>data0!U6*$B$6/X$6</f>
        <v>#DIV/0!</v>
      </c>
      <c r="Y11" s="74" t="e">
        <f>data0!V6*$B$6/Y$6</f>
        <v>#DIV/0!</v>
      </c>
      <c r="Z11" s="74" t="e">
        <f>data0!W6*$B$6/Z$6</f>
        <v>#DIV/0!</v>
      </c>
      <c r="AA11" s="74" t="e">
        <f>data0!X6*$B$6/AA$6</f>
        <v>#DIV/0!</v>
      </c>
      <c r="AB11" s="74" t="e">
        <f>data0!Y6*$B$6/AB$6</f>
        <v>#DIV/0!</v>
      </c>
      <c r="AC11" s="74" t="e">
        <f>data0!Z6*$B$6/AC$6</f>
        <v>#DIV/0!</v>
      </c>
      <c r="AD11" s="74" t="e">
        <f>data0!AA6*$B$6/AD$6</f>
        <v>#DIV/0!</v>
      </c>
      <c r="AE11" s="74" t="e">
        <f>data0!AB6*$B$6/AE$6</f>
        <v>#DIV/0!</v>
      </c>
      <c r="AF11" s="74" t="e">
        <f>data0!AC6*$B$6/AF$6</f>
        <v>#DIV/0!</v>
      </c>
      <c r="AG11" s="74" t="e">
        <f>data0!AD6*$B$6/AG$6</f>
        <v>#DIV/0!</v>
      </c>
      <c r="AH11" s="74" t="e">
        <f>data0!AE6*$B$6/AH$6</f>
        <v>#DIV/0!</v>
      </c>
      <c r="AI11" s="74" t="e">
        <f>data0!AF6*$B$6/AI$6</f>
        <v>#DIV/0!</v>
      </c>
      <c r="AJ11" s="74" t="e">
        <f>data0!AG6*$B$6/AJ$6</f>
        <v>#DIV/0!</v>
      </c>
    </row>
    <row r="12" spans="1:36">
      <c r="A12" s="29">
        <f>data0!A7</f>
        <v>-75</v>
      </c>
      <c r="B12" s="74" t="e">
        <f>AVERAGE(data0!B7:AG7)</f>
        <v>#DIV/0!</v>
      </c>
      <c r="C12" s="74" t="e">
        <f t="shared" si="0"/>
        <v>#DIV/0!</v>
      </c>
      <c r="D12" s="74" t="e">
        <f t="shared" si="1"/>
        <v>#DIV/0!</v>
      </c>
      <c r="E12" s="74" t="e">
        <f>data0!B7*$B$6/E$6</f>
        <v>#DIV/0!</v>
      </c>
      <c r="F12" s="74" t="e">
        <f>data0!C7*$B$6/F$6</f>
        <v>#DIV/0!</v>
      </c>
      <c r="G12" s="74" t="e">
        <f>data0!D7*$B$6/G$6</f>
        <v>#DIV/0!</v>
      </c>
      <c r="H12" s="74" t="e">
        <f>data0!E7*$B$6/H$6</f>
        <v>#DIV/0!</v>
      </c>
      <c r="I12" s="74" t="e">
        <f>data0!F7*$B$6/I$6</f>
        <v>#DIV/0!</v>
      </c>
      <c r="J12" s="74" t="e">
        <f>data0!G7*$B$6/J$6</f>
        <v>#DIV/0!</v>
      </c>
      <c r="K12" s="74" t="e">
        <f>data0!H7*$B$6/K$6</f>
        <v>#DIV/0!</v>
      </c>
      <c r="L12" s="74" t="e">
        <f>data0!I7*$B$6/L$6</f>
        <v>#DIV/0!</v>
      </c>
      <c r="M12" s="74" t="e">
        <f>data0!J7*$B$6/M$6</f>
        <v>#DIV/0!</v>
      </c>
      <c r="N12" s="74" t="e">
        <f>data0!K7*$B$6/N$6</f>
        <v>#DIV/0!</v>
      </c>
      <c r="O12" s="74" t="e">
        <f>data0!L7*$B$6/O$6</f>
        <v>#DIV/0!</v>
      </c>
      <c r="P12" s="74" t="e">
        <f>data0!M7*$B$6/P$6</f>
        <v>#DIV/0!</v>
      </c>
      <c r="Q12" s="74" t="e">
        <f>data0!N7*$B$6/Q$6</f>
        <v>#DIV/0!</v>
      </c>
      <c r="R12" s="74" t="e">
        <f>data0!O7*$B$6/R$6</f>
        <v>#DIV/0!</v>
      </c>
      <c r="S12" s="74" t="e">
        <f>data0!P7*$B$6/S$6</f>
        <v>#DIV/0!</v>
      </c>
      <c r="T12" s="74" t="e">
        <f>data0!Q7*$B$6/T$6</f>
        <v>#DIV/0!</v>
      </c>
      <c r="U12" s="74" t="e">
        <f>data0!R7*$B$6/U$6</f>
        <v>#DIV/0!</v>
      </c>
      <c r="V12" s="74" t="e">
        <f>data0!S7*$B$6/V$6</f>
        <v>#DIV/0!</v>
      </c>
      <c r="W12" s="74" t="e">
        <f>data0!T7*$B$6/W$6</f>
        <v>#DIV/0!</v>
      </c>
      <c r="X12" s="74" t="e">
        <f>data0!U7*$B$6/X$6</f>
        <v>#DIV/0!</v>
      </c>
      <c r="Y12" s="74" t="e">
        <f>data0!V7*$B$6/Y$6</f>
        <v>#DIV/0!</v>
      </c>
      <c r="Z12" s="74" t="e">
        <f>data0!W7*$B$6/Z$6</f>
        <v>#DIV/0!</v>
      </c>
      <c r="AA12" s="74" t="e">
        <f>data0!X7*$B$6/AA$6</f>
        <v>#DIV/0!</v>
      </c>
      <c r="AB12" s="74" t="e">
        <f>data0!Y7*$B$6/AB$6</f>
        <v>#DIV/0!</v>
      </c>
      <c r="AC12" s="74" t="e">
        <f>data0!Z7*$B$6/AC$6</f>
        <v>#DIV/0!</v>
      </c>
      <c r="AD12" s="74" t="e">
        <f>data0!AA7*$B$6/AD$6</f>
        <v>#DIV/0!</v>
      </c>
      <c r="AE12" s="74" t="e">
        <f>data0!AB7*$B$6/AE$6</f>
        <v>#DIV/0!</v>
      </c>
      <c r="AF12" s="74" t="e">
        <f>data0!AC7*$B$6/AF$6</f>
        <v>#DIV/0!</v>
      </c>
      <c r="AG12" s="74" t="e">
        <f>data0!AD7*$B$6/AG$6</f>
        <v>#DIV/0!</v>
      </c>
      <c r="AH12" s="74" t="e">
        <f>data0!AE7*$B$6/AH$6</f>
        <v>#DIV/0!</v>
      </c>
      <c r="AI12" s="74" t="e">
        <f>data0!AF7*$B$6/AI$6</f>
        <v>#DIV/0!</v>
      </c>
      <c r="AJ12" s="74" t="e">
        <f>data0!AG7*$B$6/AJ$6</f>
        <v>#DIV/0!</v>
      </c>
    </row>
    <row r="13" spans="1:36">
      <c r="A13" s="29">
        <f>data0!A8</f>
        <v>-72</v>
      </c>
      <c r="B13" s="74" t="e">
        <f>AVERAGE(data0!B8:AG8)</f>
        <v>#DIV/0!</v>
      </c>
      <c r="C13" s="74" t="e">
        <f t="shared" si="0"/>
        <v>#DIV/0!</v>
      </c>
      <c r="D13" s="74" t="e">
        <f t="shared" si="1"/>
        <v>#DIV/0!</v>
      </c>
      <c r="E13" s="74" t="e">
        <f>data0!B8*$B$6/E$6</f>
        <v>#DIV/0!</v>
      </c>
      <c r="F13" s="74" t="e">
        <f>data0!C8*$B$6/F$6</f>
        <v>#DIV/0!</v>
      </c>
      <c r="G13" s="74" t="e">
        <f>data0!D8*$B$6/G$6</f>
        <v>#DIV/0!</v>
      </c>
      <c r="H13" s="74" t="e">
        <f>data0!E8*$B$6/H$6</f>
        <v>#DIV/0!</v>
      </c>
      <c r="I13" s="74" t="e">
        <f>data0!F8*$B$6/I$6</f>
        <v>#DIV/0!</v>
      </c>
      <c r="J13" s="74" t="e">
        <f>data0!G8*$B$6/J$6</f>
        <v>#DIV/0!</v>
      </c>
      <c r="K13" s="74" t="e">
        <f>data0!H8*$B$6/K$6</f>
        <v>#DIV/0!</v>
      </c>
      <c r="L13" s="74" t="e">
        <f>data0!I8*$B$6/L$6</f>
        <v>#DIV/0!</v>
      </c>
      <c r="M13" s="74" t="e">
        <f>data0!J8*$B$6/M$6</f>
        <v>#DIV/0!</v>
      </c>
      <c r="N13" s="74" t="e">
        <f>data0!K8*$B$6/N$6</f>
        <v>#DIV/0!</v>
      </c>
      <c r="O13" s="74" t="e">
        <f>data0!L8*$B$6/O$6</f>
        <v>#DIV/0!</v>
      </c>
      <c r="P13" s="74" t="e">
        <f>data0!M8*$B$6/P$6</f>
        <v>#DIV/0!</v>
      </c>
      <c r="Q13" s="74" t="e">
        <f>data0!N8*$B$6/Q$6</f>
        <v>#DIV/0!</v>
      </c>
      <c r="R13" s="74" t="e">
        <f>data0!O8*$B$6/R$6</f>
        <v>#DIV/0!</v>
      </c>
      <c r="S13" s="74" t="e">
        <f>data0!P8*$B$6/S$6</f>
        <v>#DIV/0!</v>
      </c>
      <c r="T13" s="74" t="e">
        <f>data0!Q8*$B$6/T$6</f>
        <v>#DIV/0!</v>
      </c>
      <c r="U13" s="74" t="e">
        <f>data0!R8*$B$6/U$6</f>
        <v>#DIV/0!</v>
      </c>
      <c r="V13" s="74" t="e">
        <f>data0!S8*$B$6/V$6</f>
        <v>#DIV/0!</v>
      </c>
      <c r="W13" s="74" t="e">
        <f>data0!T8*$B$6/W$6</f>
        <v>#DIV/0!</v>
      </c>
      <c r="X13" s="74" t="e">
        <f>data0!U8*$B$6/X$6</f>
        <v>#DIV/0!</v>
      </c>
      <c r="Y13" s="74" t="e">
        <f>data0!V8*$B$6/Y$6</f>
        <v>#DIV/0!</v>
      </c>
      <c r="Z13" s="74" t="e">
        <f>data0!W8*$B$6/Z$6</f>
        <v>#DIV/0!</v>
      </c>
      <c r="AA13" s="74" t="e">
        <f>data0!X8*$B$6/AA$6</f>
        <v>#DIV/0!</v>
      </c>
      <c r="AB13" s="74" t="e">
        <f>data0!Y8*$B$6/AB$6</f>
        <v>#DIV/0!</v>
      </c>
      <c r="AC13" s="74" t="e">
        <f>data0!Z8*$B$6/AC$6</f>
        <v>#DIV/0!</v>
      </c>
      <c r="AD13" s="74" t="e">
        <f>data0!AA8*$B$6/AD$6</f>
        <v>#DIV/0!</v>
      </c>
      <c r="AE13" s="74" t="e">
        <f>data0!AB8*$B$6/AE$6</f>
        <v>#DIV/0!</v>
      </c>
      <c r="AF13" s="74" t="e">
        <f>data0!AC8*$B$6/AF$6</f>
        <v>#DIV/0!</v>
      </c>
      <c r="AG13" s="74" t="e">
        <f>data0!AD8*$B$6/AG$6</f>
        <v>#DIV/0!</v>
      </c>
      <c r="AH13" s="74" t="e">
        <f>data0!AE8*$B$6/AH$6</f>
        <v>#DIV/0!</v>
      </c>
      <c r="AI13" s="74" t="e">
        <f>data0!AF8*$B$6/AI$6</f>
        <v>#DIV/0!</v>
      </c>
      <c r="AJ13" s="74" t="e">
        <f>data0!AG8*$B$6/AJ$6</f>
        <v>#DIV/0!</v>
      </c>
    </row>
    <row r="14" spans="1:36">
      <c r="A14" s="29">
        <f>data0!A9</f>
        <v>-69</v>
      </c>
      <c r="B14" s="74" t="e">
        <f>AVERAGE(data0!B9:AG9)</f>
        <v>#DIV/0!</v>
      </c>
      <c r="C14" s="74" t="e">
        <f t="shared" si="0"/>
        <v>#DIV/0!</v>
      </c>
      <c r="D14" s="74" t="e">
        <f t="shared" si="1"/>
        <v>#DIV/0!</v>
      </c>
      <c r="E14" s="74" t="e">
        <f>data0!B9*$B$6/E$6</f>
        <v>#DIV/0!</v>
      </c>
      <c r="F14" s="74" t="e">
        <f>data0!C9*$B$6/F$6</f>
        <v>#DIV/0!</v>
      </c>
      <c r="G14" s="74" t="e">
        <f>data0!D9*$B$6/G$6</f>
        <v>#DIV/0!</v>
      </c>
      <c r="H14" s="74" t="e">
        <f>data0!E9*$B$6/H$6</f>
        <v>#DIV/0!</v>
      </c>
      <c r="I14" s="74" t="e">
        <f>data0!F9*$B$6/I$6</f>
        <v>#DIV/0!</v>
      </c>
      <c r="J14" s="74" t="e">
        <f>data0!G9*$B$6/J$6</f>
        <v>#DIV/0!</v>
      </c>
      <c r="K14" s="74" t="e">
        <f>data0!H9*$B$6/K$6</f>
        <v>#DIV/0!</v>
      </c>
      <c r="L14" s="74" t="e">
        <f>data0!I9*$B$6/L$6</f>
        <v>#DIV/0!</v>
      </c>
      <c r="M14" s="74" t="e">
        <f>data0!J9*$B$6/M$6</f>
        <v>#DIV/0!</v>
      </c>
      <c r="N14" s="74" t="e">
        <f>data0!K9*$B$6/N$6</f>
        <v>#DIV/0!</v>
      </c>
      <c r="O14" s="74" t="e">
        <f>data0!L9*$B$6/O$6</f>
        <v>#DIV/0!</v>
      </c>
      <c r="P14" s="74" t="e">
        <f>data0!M9*$B$6/P$6</f>
        <v>#DIV/0!</v>
      </c>
      <c r="Q14" s="74" t="e">
        <f>data0!N9*$B$6/Q$6</f>
        <v>#DIV/0!</v>
      </c>
      <c r="R14" s="74" t="e">
        <f>data0!O9*$B$6/R$6</f>
        <v>#DIV/0!</v>
      </c>
      <c r="S14" s="74" t="e">
        <f>data0!P9*$B$6/S$6</f>
        <v>#DIV/0!</v>
      </c>
      <c r="T14" s="74" t="e">
        <f>data0!Q9*$B$6/T$6</f>
        <v>#DIV/0!</v>
      </c>
      <c r="U14" s="74" t="e">
        <f>data0!R9*$B$6/U$6</f>
        <v>#DIV/0!</v>
      </c>
      <c r="V14" s="74" t="e">
        <f>data0!S9*$B$6/V$6</f>
        <v>#DIV/0!</v>
      </c>
      <c r="W14" s="74" t="e">
        <f>data0!T9*$B$6/W$6</f>
        <v>#DIV/0!</v>
      </c>
      <c r="X14" s="74" t="e">
        <f>data0!U9*$B$6/X$6</f>
        <v>#DIV/0!</v>
      </c>
      <c r="Y14" s="74" t="e">
        <f>data0!V9*$B$6/Y$6</f>
        <v>#DIV/0!</v>
      </c>
      <c r="Z14" s="74" t="e">
        <f>data0!W9*$B$6/Z$6</f>
        <v>#DIV/0!</v>
      </c>
      <c r="AA14" s="74" t="e">
        <f>data0!X9*$B$6/AA$6</f>
        <v>#DIV/0!</v>
      </c>
      <c r="AB14" s="74" t="e">
        <f>data0!Y9*$B$6/AB$6</f>
        <v>#DIV/0!</v>
      </c>
      <c r="AC14" s="74" t="e">
        <f>data0!Z9*$B$6/AC$6</f>
        <v>#DIV/0!</v>
      </c>
      <c r="AD14" s="74" t="e">
        <f>data0!AA9*$B$6/AD$6</f>
        <v>#DIV/0!</v>
      </c>
      <c r="AE14" s="74" t="e">
        <f>data0!AB9*$B$6/AE$6</f>
        <v>#DIV/0!</v>
      </c>
      <c r="AF14" s="74" t="e">
        <f>data0!AC9*$B$6/AF$6</f>
        <v>#DIV/0!</v>
      </c>
      <c r="AG14" s="74" t="e">
        <f>data0!AD9*$B$6/AG$6</f>
        <v>#DIV/0!</v>
      </c>
      <c r="AH14" s="74" t="e">
        <f>data0!AE9*$B$6/AH$6</f>
        <v>#DIV/0!</v>
      </c>
      <c r="AI14" s="74" t="e">
        <f>data0!AF9*$B$6/AI$6</f>
        <v>#DIV/0!</v>
      </c>
      <c r="AJ14" s="74" t="e">
        <f>data0!AG9*$B$6/AJ$6</f>
        <v>#DIV/0!</v>
      </c>
    </row>
    <row r="15" spans="1:36">
      <c r="A15" s="29">
        <f>data0!A10</f>
        <v>-66</v>
      </c>
      <c r="B15" s="74" t="e">
        <f>AVERAGE(data0!B10:AG10)</f>
        <v>#DIV/0!</v>
      </c>
      <c r="C15" s="74" t="e">
        <f t="shared" si="0"/>
        <v>#DIV/0!</v>
      </c>
      <c r="D15" s="74" t="e">
        <f t="shared" si="1"/>
        <v>#DIV/0!</v>
      </c>
      <c r="E15" s="74" t="e">
        <f>data0!B10*$B$6/E$6</f>
        <v>#DIV/0!</v>
      </c>
      <c r="F15" s="74" t="e">
        <f>data0!C10*$B$6/F$6</f>
        <v>#DIV/0!</v>
      </c>
      <c r="G15" s="74" t="e">
        <f>data0!D10*$B$6/G$6</f>
        <v>#DIV/0!</v>
      </c>
      <c r="H15" s="74" t="e">
        <f>data0!E10*$B$6/H$6</f>
        <v>#DIV/0!</v>
      </c>
      <c r="I15" s="74" t="e">
        <f>data0!F10*$B$6/I$6</f>
        <v>#DIV/0!</v>
      </c>
      <c r="J15" s="74" t="e">
        <f>data0!G10*$B$6/J$6</f>
        <v>#DIV/0!</v>
      </c>
      <c r="K15" s="74" t="e">
        <f>data0!H10*$B$6/K$6</f>
        <v>#DIV/0!</v>
      </c>
      <c r="L15" s="74" t="e">
        <f>data0!I10*$B$6/L$6</f>
        <v>#DIV/0!</v>
      </c>
      <c r="M15" s="74" t="e">
        <f>data0!J10*$B$6/M$6</f>
        <v>#DIV/0!</v>
      </c>
      <c r="N15" s="74" t="e">
        <f>data0!K10*$B$6/N$6</f>
        <v>#DIV/0!</v>
      </c>
      <c r="O15" s="74" t="e">
        <f>data0!L10*$B$6/O$6</f>
        <v>#DIV/0!</v>
      </c>
      <c r="P15" s="74" t="e">
        <f>data0!M10*$B$6/P$6</f>
        <v>#DIV/0!</v>
      </c>
      <c r="Q15" s="74" t="e">
        <f>data0!N10*$B$6/Q$6</f>
        <v>#DIV/0!</v>
      </c>
      <c r="R15" s="74" t="e">
        <f>data0!O10*$B$6/R$6</f>
        <v>#DIV/0!</v>
      </c>
      <c r="S15" s="74" t="e">
        <f>data0!P10*$B$6/S$6</f>
        <v>#DIV/0!</v>
      </c>
      <c r="T15" s="74" t="e">
        <f>data0!Q10*$B$6/T$6</f>
        <v>#DIV/0!</v>
      </c>
      <c r="U15" s="74" t="e">
        <f>data0!R10*$B$6/U$6</f>
        <v>#DIV/0!</v>
      </c>
      <c r="V15" s="74" t="e">
        <f>data0!S10*$B$6/V$6</f>
        <v>#DIV/0!</v>
      </c>
      <c r="W15" s="74" t="e">
        <f>data0!T10*$B$6/W$6</f>
        <v>#DIV/0!</v>
      </c>
      <c r="X15" s="74" t="e">
        <f>data0!U10*$B$6/X$6</f>
        <v>#DIV/0!</v>
      </c>
      <c r="Y15" s="74" t="e">
        <f>data0!V10*$B$6/Y$6</f>
        <v>#DIV/0!</v>
      </c>
      <c r="Z15" s="74" t="e">
        <f>data0!W10*$B$6/Z$6</f>
        <v>#DIV/0!</v>
      </c>
      <c r="AA15" s="74" t="e">
        <f>data0!X10*$B$6/AA$6</f>
        <v>#DIV/0!</v>
      </c>
      <c r="AB15" s="74" t="e">
        <f>data0!Y10*$B$6/AB$6</f>
        <v>#DIV/0!</v>
      </c>
      <c r="AC15" s="74" t="e">
        <f>data0!Z10*$B$6/AC$6</f>
        <v>#DIV/0!</v>
      </c>
      <c r="AD15" s="74" t="e">
        <f>data0!AA10*$B$6/AD$6</f>
        <v>#DIV/0!</v>
      </c>
      <c r="AE15" s="74" t="e">
        <f>data0!AB10*$B$6/AE$6</f>
        <v>#DIV/0!</v>
      </c>
      <c r="AF15" s="74" t="e">
        <f>data0!AC10*$B$6/AF$6</f>
        <v>#DIV/0!</v>
      </c>
      <c r="AG15" s="74" t="e">
        <f>data0!AD10*$B$6/AG$6</f>
        <v>#DIV/0!</v>
      </c>
      <c r="AH15" s="74" t="e">
        <f>data0!AE10*$B$6/AH$6</f>
        <v>#DIV/0!</v>
      </c>
      <c r="AI15" s="74" t="e">
        <f>data0!AF10*$B$6/AI$6</f>
        <v>#DIV/0!</v>
      </c>
      <c r="AJ15" s="74" t="e">
        <f>data0!AG10*$B$6/AJ$6</f>
        <v>#DIV/0!</v>
      </c>
    </row>
    <row r="16" spans="1:36">
      <c r="A16" s="29">
        <f>data0!A11</f>
        <v>-63</v>
      </c>
      <c r="B16" s="74" t="e">
        <f>AVERAGE(data0!B11:AG11)</f>
        <v>#DIV/0!</v>
      </c>
      <c r="C16" s="74" t="e">
        <f t="shared" si="0"/>
        <v>#DIV/0!</v>
      </c>
      <c r="D16" s="74" t="e">
        <f t="shared" si="1"/>
        <v>#DIV/0!</v>
      </c>
      <c r="E16" s="74" t="e">
        <f>data0!B11*$B$6/E$6</f>
        <v>#DIV/0!</v>
      </c>
      <c r="F16" s="74" t="e">
        <f>data0!C11*$B$6/F$6</f>
        <v>#DIV/0!</v>
      </c>
      <c r="G16" s="74" t="e">
        <f>data0!D11*$B$6/G$6</f>
        <v>#DIV/0!</v>
      </c>
      <c r="H16" s="74" t="e">
        <f>data0!E11*$B$6/H$6</f>
        <v>#DIV/0!</v>
      </c>
      <c r="I16" s="74" t="e">
        <f>data0!F11*$B$6/I$6</f>
        <v>#DIV/0!</v>
      </c>
      <c r="J16" s="74" t="e">
        <f>data0!G11*$B$6/J$6</f>
        <v>#DIV/0!</v>
      </c>
      <c r="K16" s="74" t="e">
        <f>data0!H11*$B$6/K$6</f>
        <v>#DIV/0!</v>
      </c>
      <c r="L16" s="74" t="e">
        <f>data0!I11*$B$6/L$6</f>
        <v>#DIV/0!</v>
      </c>
      <c r="M16" s="74" t="e">
        <f>data0!J11*$B$6/M$6</f>
        <v>#DIV/0!</v>
      </c>
      <c r="N16" s="74" t="e">
        <f>data0!K11*$B$6/N$6</f>
        <v>#DIV/0!</v>
      </c>
      <c r="O16" s="74" t="e">
        <f>data0!L11*$B$6/O$6</f>
        <v>#DIV/0!</v>
      </c>
      <c r="P16" s="74" t="e">
        <f>data0!M11*$B$6/P$6</f>
        <v>#DIV/0!</v>
      </c>
      <c r="Q16" s="74" t="e">
        <f>data0!N11*$B$6/Q$6</f>
        <v>#DIV/0!</v>
      </c>
      <c r="R16" s="74" t="e">
        <f>data0!O11*$B$6/R$6</f>
        <v>#DIV/0!</v>
      </c>
      <c r="S16" s="74" t="e">
        <f>data0!P11*$B$6/S$6</f>
        <v>#DIV/0!</v>
      </c>
      <c r="T16" s="74" t="e">
        <f>data0!Q11*$B$6/T$6</f>
        <v>#DIV/0!</v>
      </c>
      <c r="U16" s="74" t="e">
        <f>data0!R11*$B$6/U$6</f>
        <v>#DIV/0!</v>
      </c>
      <c r="V16" s="74" t="e">
        <f>data0!S11*$B$6/V$6</f>
        <v>#DIV/0!</v>
      </c>
      <c r="W16" s="74" t="e">
        <f>data0!T11*$B$6/W$6</f>
        <v>#DIV/0!</v>
      </c>
      <c r="X16" s="74" t="e">
        <f>data0!U11*$B$6/X$6</f>
        <v>#DIV/0!</v>
      </c>
      <c r="Y16" s="74" t="e">
        <f>data0!V11*$B$6/Y$6</f>
        <v>#DIV/0!</v>
      </c>
      <c r="Z16" s="74" t="e">
        <f>data0!W11*$B$6/Z$6</f>
        <v>#DIV/0!</v>
      </c>
      <c r="AA16" s="74" t="e">
        <f>data0!X11*$B$6/AA$6</f>
        <v>#DIV/0!</v>
      </c>
      <c r="AB16" s="74" t="e">
        <f>data0!Y11*$B$6/AB$6</f>
        <v>#DIV/0!</v>
      </c>
      <c r="AC16" s="74" t="e">
        <f>data0!Z11*$B$6/AC$6</f>
        <v>#DIV/0!</v>
      </c>
      <c r="AD16" s="74" t="e">
        <f>data0!AA11*$B$6/AD$6</f>
        <v>#DIV/0!</v>
      </c>
      <c r="AE16" s="74" t="e">
        <f>data0!AB11*$B$6/AE$6</f>
        <v>#DIV/0!</v>
      </c>
      <c r="AF16" s="74" t="e">
        <f>data0!AC11*$B$6/AF$6</f>
        <v>#DIV/0!</v>
      </c>
      <c r="AG16" s="74" t="e">
        <f>data0!AD11*$B$6/AG$6</f>
        <v>#DIV/0!</v>
      </c>
      <c r="AH16" s="74" t="e">
        <f>data0!AE11*$B$6/AH$6</f>
        <v>#DIV/0!</v>
      </c>
      <c r="AI16" s="74" t="e">
        <f>data0!AF11*$B$6/AI$6</f>
        <v>#DIV/0!</v>
      </c>
      <c r="AJ16" s="74" t="e">
        <f>data0!AG11*$B$6/AJ$6</f>
        <v>#DIV/0!</v>
      </c>
    </row>
    <row r="17" spans="1:36">
      <c r="A17" s="29">
        <f>data0!A12</f>
        <v>-60</v>
      </c>
      <c r="B17" s="74" t="e">
        <f>AVERAGE(data0!B12:AG12)</f>
        <v>#DIV/0!</v>
      </c>
      <c r="C17" s="74" t="e">
        <f t="shared" si="0"/>
        <v>#DIV/0!</v>
      </c>
      <c r="D17" s="74" t="e">
        <f t="shared" si="1"/>
        <v>#DIV/0!</v>
      </c>
      <c r="E17" s="74" t="e">
        <f>data0!B12*$B$6/E$6</f>
        <v>#DIV/0!</v>
      </c>
      <c r="F17" s="74" t="e">
        <f>data0!C12*$B$6/F$6</f>
        <v>#DIV/0!</v>
      </c>
      <c r="G17" s="74" t="e">
        <f>data0!D12*$B$6/G$6</f>
        <v>#DIV/0!</v>
      </c>
      <c r="H17" s="74" t="e">
        <f>data0!E12*$B$6/H$6</f>
        <v>#DIV/0!</v>
      </c>
      <c r="I17" s="74" t="e">
        <f>data0!F12*$B$6/I$6</f>
        <v>#DIV/0!</v>
      </c>
      <c r="J17" s="74" t="e">
        <f>data0!G12*$B$6/J$6</f>
        <v>#DIV/0!</v>
      </c>
      <c r="K17" s="74" t="e">
        <f>data0!H12*$B$6/K$6</f>
        <v>#DIV/0!</v>
      </c>
      <c r="L17" s="74" t="e">
        <f>data0!I12*$B$6/L$6</f>
        <v>#DIV/0!</v>
      </c>
      <c r="M17" s="74" t="e">
        <f>data0!J12*$B$6/M$6</f>
        <v>#DIV/0!</v>
      </c>
      <c r="N17" s="74" t="e">
        <f>data0!K12*$B$6/N$6</f>
        <v>#DIV/0!</v>
      </c>
      <c r="O17" s="74" t="e">
        <f>data0!L12*$B$6/O$6</f>
        <v>#DIV/0!</v>
      </c>
      <c r="P17" s="74" t="e">
        <f>data0!M12*$B$6/P$6</f>
        <v>#DIV/0!</v>
      </c>
      <c r="Q17" s="74" t="e">
        <f>data0!N12*$B$6/Q$6</f>
        <v>#DIV/0!</v>
      </c>
      <c r="R17" s="74" t="e">
        <f>data0!O12*$B$6/R$6</f>
        <v>#DIV/0!</v>
      </c>
      <c r="S17" s="74" t="e">
        <f>data0!P12*$B$6/S$6</f>
        <v>#DIV/0!</v>
      </c>
      <c r="T17" s="74" t="e">
        <f>data0!Q12*$B$6/T$6</f>
        <v>#DIV/0!</v>
      </c>
      <c r="U17" s="74" t="e">
        <f>data0!R12*$B$6/U$6</f>
        <v>#DIV/0!</v>
      </c>
      <c r="V17" s="74" t="e">
        <f>data0!S12*$B$6/V$6</f>
        <v>#DIV/0!</v>
      </c>
      <c r="W17" s="74" t="e">
        <f>data0!T12*$B$6/W$6</f>
        <v>#DIV/0!</v>
      </c>
      <c r="X17" s="74" t="e">
        <f>data0!U12*$B$6/X$6</f>
        <v>#DIV/0!</v>
      </c>
      <c r="Y17" s="74" t="e">
        <f>data0!V12*$B$6/Y$6</f>
        <v>#DIV/0!</v>
      </c>
      <c r="Z17" s="74" t="e">
        <f>data0!W12*$B$6/Z$6</f>
        <v>#DIV/0!</v>
      </c>
      <c r="AA17" s="74" t="e">
        <f>data0!X12*$B$6/AA$6</f>
        <v>#DIV/0!</v>
      </c>
      <c r="AB17" s="74" t="e">
        <f>data0!Y12*$B$6/AB$6</f>
        <v>#DIV/0!</v>
      </c>
      <c r="AC17" s="74" t="e">
        <f>data0!Z12*$B$6/AC$6</f>
        <v>#DIV/0!</v>
      </c>
      <c r="AD17" s="74" t="e">
        <f>data0!AA12*$B$6/AD$6</f>
        <v>#DIV/0!</v>
      </c>
      <c r="AE17" s="74" t="e">
        <f>data0!AB12*$B$6/AE$6</f>
        <v>#DIV/0!</v>
      </c>
      <c r="AF17" s="74" t="e">
        <f>data0!AC12*$B$6/AF$6</f>
        <v>#DIV/0!</v>
      </c>
      <c r="AG17" s="74" t="e">
        <f>data0!AD12*$B$6/AG$6</f>
        <v>#DIV/0!</v>
      </c>
      <c r="AH17" s="74" t="e">
        <f>data0!AE12*$B$6/AH$6</f>
        <v>#DIV/0!</v>
      </c>
      <c r="AI17" s="74" t="e">
        <f>data0!AF12*$B$6/AI$6</f>
        <v>#DIV/0!</v>
      </c>
      <c r="AJ17" s="74" t="e">
        <f>data0!AG12*$B$6/AJ$6</f>
        <v>#DIV/0!</v>
      </c>
    </row>
    <row r="18" spans="1:36">
      <c r="A18" s="29">
        <f>data0!A13</f>
        <v>-57</v>
      </c>
      <c r="B18" s="74" t="e">
        <f>AVERAGE(data0!B13:AG13)</f>
        <v>#DIV/0!</v>
      </c>
      <c r="C18" s="74" t="e">
        <f t="shared" si="0"/>
        <v>#DIV/0!</v>
      </c>
      <c r="D18" s="74" t="e">
        <f t="shared" si="1"/>
        <v>#DIV/0!</v>
      </c>
      <c r="E18" s="74" t="e">
        <f>data0!B13*$B$6/E$6</f>
        <v>#DIV/0!</v>
      </c>
      <c r="F18" s="74" t="e">
        <f>data0!C13*$B$6/F$6</f>
        <v>#DIV/0!</v>
      </c>
      <c r="G18" s="74" t="e">
        <f>data0!D13*$B$6/G$6</f>
        <v>#DIV/0!</v>
      </c>
      <c r="H18" s="74" t="e">
        <f>data0!E13*$B$6/H$6</f>
        <v>#DIV/0!</v>
      </c>
      <c r="I18" s="74" t="e">
        <f>data0!F13*$B$6/I$6</f>
        <v>#DIV/0!</v>
      </c>
      <c r="J18" s="74" t="e">
        <f>data0!G13*$B$6/J$6</f>
        <v>#DIV/0!</v>
      </c>
      <c r="K18" s="74" t="e">
        <f>data0!H13*$B$6/K$6</f>
        <v>#DIV/0!</v>
      </c>
      <c r="L18" s="74" t="e">
        <f>data0!I13*$B$6/L$6</f>
        <v>#DIV/0!</v>
      </c>
      <c r="M18" s="74" t="e">
        <f>data0!J13*$B$6/M$6</f>
        <v>#DIV/0!</v>
      </c>
      <c r="N18" s="74" t="e">
        <f>data0!K13*$B$6/N$6</f>
        <v>#DIV/0!</v>
      </c>
      <c r="O18" s="74" t="e">
        <f>data0!L13*$B$6/O$6</f>
        <v>#DIV/0!</v>
      </c>
      <c r="P18" s="74" t="e">
        <f>data0!M13*$B$6/P$6</f>
        <v>#DIV/0!</v>
      </c>
      <c r="Q18" s="74" t="e">
        <f>data0!N13*$B$6/Q$6</f>
        <v>#DIV/0!</v>
      </c>
      <c r="R18" s="74" t="e">
        <f>data0!O13*$B$6/R$6</f>
        <v>#DIV/0!</v>
      </c>
      <c r="S18" s="74" t="e">
        <f>data0!P13*$B$6/S$6</f>
        <v>#DIV/0!</v>
      </c>
      <c r="T18" s="74" t="e">
        <f>data0!Q13*$B$6/T$6</f>
        <v>#DIV/0!</v>
      </c>
      <c r="U18" s="74" t="e">
        <f>data0!R13*$B$6/U$6</f>
        <v>#DIV/0!</v>
      </c>
      <c r="V18" s="74" t="e">
        <f>data0!S13*$B$6/V$6</f>
        <v>#DIV/0!</v>
      </c>
      <c r="W18" s="74" t="e">
        <f>data0!T13*$B$6/W$6</f>
        <v>#DIV/0!</v>
      </c>
      <c r="X18" s="74" t="e">
        <f>data0!U13*$B$6/X$6</f>
        <v>#DIV/0!</v>
      </c>
      <c r="Y18" s="74" t="e">
        <f>data0!V13*$B$6/Y$6</f>
        <v>#DIV/0!</v>
      </c>
      <c r="Z18" s="74" t="e">
        <f>data0!W13*$B$6/Z$6</f>
        <v>#DIV/0!</v>
      </c>
      <c r="AA18" s="74" t="e">
        <f>data0!X13*$B$6/AA$6</f>
        <v>#DIV/0!</v>
      </c>
      <c r="AB18" s="74" t="e">
        <f>data0!Y13*$B$6/AB$6</f>
        <v>#DIV/0!</v>
      </c>
      <c r="AC18" s="74" t="e">
        <f>data0!Z13*$B$6/AC$6</f>
        <v>#DIV/0!</v>
      </c>
      <c r="AD18" s="74" t="e">
        <f>data0!AA13*$B$6/AD$6</f>
        <v>#DIV/0!</v>
      </c>
      <c r="AE18" s="74" t="e">
        <f>data0!AB13*$B$6/AE$6</f>
        <v>#DIV/0!</v>
      </c>
      <c r="AF18" s="74" t="e">
        <f>data0!AC13*$B$6/AF$6</f>
        <v>#DIV/0!</v>
      </c>
      <c r="AG18" s="74" t="e">
        <f>data0!AD13*$B$6/AG$6</f>
        <v>#DIV/0!</v>
      </c>
      <c r="AH18" s="74" t="e">
        <f>data0!AE13*$B$6/AH$6</f>
        <v>#DIV/0!</v>
      </c>
      <c r="AI18" s="74" t="e">
        <f>data0!AF13*$B$6/AI$6</f>
        <v>#DIV/0!</v>
      </c>
      <c r="AJ18" s="74" t="e">
        <f>data0!AG13*$B$6/AJ$6</f>
        <v>#DIV/0!</v>
      </c>
    </row>
    <row r="19" spans="1:36">
      <c r="A19" s="29">
        <f>data0!A14</f>
        <v>-54</v>
      </c>
      <c r="B19" s="74" t="e">
        <f>AVERAGE(data0!B14:AG14)</f>
        <v>#DIV/0!</v>
      </c>
      <c r="C19" s="74" t="e">
        <f t="shared" si="0"/>
        <v>#DIV/0!</v>
      </c>
      <c r="D19" s="74" t="e">
        <f t="shared" si="1"/>
        <v>#DIV/0!</v>
      </c>
      <c r="E19" s="74" t="e">
        <f>data0!B14*$B$6/E$6</f>
        <v>#DIV/0!</v>
      </c>
      <c r="F19" s="74" t="e">
        <f>data0!C14*$B$6/F$6</f>
        <v>#DIV/0!</v>
      </c>
      <c r="G19" s="74" t="e">
        <f>data0!D14*$B$6/G$6</f>
        <v>#DIV/0!</v>
      </c>
      <c r="H19" s="74" t="e">
        <f>data0!E14*$B$6/H$6</f>
        <v>#DIV/0!</v>
      </c>
      <c r="I19" s="74" t="e">
        <f>data0!F14*$B$6/I$6</f>
        <v>#DIV/0!</v>
      </c>
      <c r="J19" s="74" t="e">
        <f>data0!G14*$B$6/J$6</f>
        <v>#DIV/0!</v>
      </c>
      <c r="K19" s="74" t="e">
        <f>data0!H14*$B$6/K$6</f>
        <v>#DIV/0!</v>
      </c>
      <c r="L19" s="74" t="e">
        <f>data0!I14*$B$6/L$6</f>
        <v>#DIV/0!</v>
      </c>
      <c r="M19" s="74" t="e">
        <f>data0!J14*$B$6/M$6</f>
        <v>#DIV/0!</v>
      </c>
      <c r="N19" s="74" t="e">
        <f>data0!K14*$B$6/N$6</f>
        <v>#DIV/0!</v>
      </c>
      <c r="O19" s="74" t="e">
        <f>data0!L14*$B$6/O$6</f>
        <v>#DIV/0!</v>
      </c>
      <c r="P19" s="74" t="e">
        <f>data0!M14*$B$6/P$6</f>
        <v>#DIV/0!</v>
      </c>
      <c r="Q19" s="74" t="e">
        <f>data0!N14*$B$6/Q$6</f>
        <v>#DIV/0!</v>
      </c>
      <c r="R19" s="74" t="e">
        <f>data0!O14*$B$6/R$6</f>
        <v>#DIV/0!</v>
      </c>
      <c r="S19" s="74" t="e">
        <f>data0!P14*$B$6/S$6</f>
        <v>#DIV/0!</v>
      </c>
      <c r="T19" s="74" t="e">
        <f>data0!Q14*$B$6/T$6</f>
        <v>#DIV/0!</v>
      </c>
      <c r="U19" s="74" t="e">
        <f>data0!R14*$B$6/U$6</f>
        <v>#DIV/0!</v>
      </c>
      <c r="V19" s="74" t="e">
        <f>data0!S14*$B$6/V$6</f>
        <v>#DIV/0!</v>
      </c>
      <c r="W19" s="74" t="e">
        <f>data0!T14*$B$6/W$6</f>
        <v>#DIV/0!</v>
      </c>
      <c r="X19" s="74" t="e">
        <f>data0!U14*$B$6/X$6</f>
        <v>#DIV/0!</v>
      </c>
      <c r="Y19" s="74" t="e">
        <f>data0!V14*$B$6/Y$6</f>
        <v>#DIV/0!</v>
      </c>
      <c r="Z19" s="74" t="e">
        <f>data0!W14*$B$6/Z$6</f>
        <v>#DIV/0!</v>
      </c>
      <c r="AA19" s="74" t="e">
        <f>data0!X14*$B$6/AA$6</f>
        <v>#DIV/0!</v>
      </c>
      <c r="AB19" s="74" t="e">
        <f>data0!Y14*$B$6/AB$6</f>
        <v>#DIV/0!</v>
      </c>
      <c r="AC19" s="74" t="e">
        <f>data0!Z14*$B$6/AC$6</f>
        <v>#DIV/0!</v>
      </c>
      <c r="AD19" s="74" t="e">
        <f>data0!AA14*$B$6/AD$6</f>
        <v>#DIV/0!</v>
      </c>
      <c r="AE19" s="74" t="e">
        <f>data0!AB14*$B$6/AE$6</f>
        <v>#DIV/0!</v>
      </c>
      <c r="AF19" s="74" t="e">
        <f>data0!AC14*$B$6/AF$6</f>
        <v>#DIV/0!</v>
      </c>
      <c r="AG19" s="74" t="e">
        <f>data0!AD14*$B$6/AG$6</f>
        <v>#DIV/0!</v>
      </c>
      <c r="AH19" s="74" t="e">
        <f>data0!AE14*$B$6/AH$6</f>
        <v>#DIV/0!</v>
      </c>
      <c r="AI19" s="74" t="e">
        <f>data0!AF14*$B$6/AI$6</f>
        <v>#DIV/0!</v>
      </c>
      <c r="AJ19" s="74" t="e">
        <f>data0!AG14*$B$6/AJ$6</f>
        <v>#DIV/0!</v>
      </c>
    </row>
    <row r="20" spans="1:36">
      <c r="A20" s="29">
        <f>data0!A15</f>
        <v>-51</v>
      </c>
      <c r="B20" s="74" t="e">
        <f>AVERAGE(data0!B15:AG15)</f>
        <v>#DIV/0!</v>
      </c>
      <c r="C20" s="74" t="e">
        <f t="shared" si="0"/>
        <v>#DIV/0!</v>
      </c>
      <c r="D20" s="74" t="e">
        <f t="shared" si="1"/>
        <v>#DIV/0!</v>
      </c>
      <c r="E20" s="74" t="e">
        <f>data0!B15*$B$6/E$6</f>
        <v>#DIV/0!</v>
      </c>
      <c r="F20" s="74" t="e">
        <f>data0!C15*$B$6/F$6</f>
        <v>#DIV/0!</v>
      </c>
      <c r="G20" s="74" t="e">
        <f>data0!D15*$B$6/G$6</f>
        <v>#DIV/0!</v>
      </c>
      <c r="H20" s="74" t="e">
        <f>data0!E15*$B$6/H$6</f>
        <v>#DIV/0!</v>
      </c>
      <c r="I20" s="74" t="e">
        <f>data0!F15*$B$6/I$6</f>
        <v>#DIV/0!</v>
      </c>
      <c r="J20" s="74" t="e">
        <f>data0!G15*$B$6/J$6</f>
        <v>#DIV/0!</v>
      </c>
      <c r="K20" s="74" t="e">
        <f>data0!H15*$B$6/K$6</f>
        <v>#DIV/0!</v>
      </c>
      <c r="L20" s="74" t="e">
        <f>data0!I15*$B$6/L$6</f>
        <v>#DIV/0!</v>
      </c>
      <c r="M20" s="74" t="e">
        <f>data0!J15*$B$6/M$6</f>
        <v>#DIV/0!</v>
      </c>
      <c r="N20" s="74" t="e">
        <f>data0!K15*$B$6/N$6</f>
        <v>#DIV/0!</v>
      </c>
      <c r="O20" s="74" t="e">
        <f>data0!L15*$B$6/O$6</f>
        <v>#DIV/0!</v>
      </c>
      <c r="P20" s="74" t="e">
        <f>data0!M15*$B$6/P$6</f>
        <v>#DIV/0!</v>
      </c>
      <c r="Q20" s="74" t="e">
        <f>data0!N15*$B$6/Q$6</f>
        <v>#DIV/0!</v>
      </c>
      <c r="R20" s="74" t="e">
        <f>data0!O15*$B$6/R$6</f>
        <v>#DIV/0!</v>
      </c>
      <c r="S20" s="74" t="e">
        <f>data0!P15*$B$6/S$6</f>
        <v>#DIV/0!</v>
      </c>
      <c r="T20" s="74" t="e">
        <f>data0!Q15*$B$6/T$6</f>
        <v>#DIV/0!</v>
      </c>
      <c r="U20" s="74" t="e">
        <f>data0!R15*$B$6/U$6</f>
        <v>#DIV/0!</v>
      </c>
      <c r="V20" s="74" t="e">
        <f>data0!S15*$B$6/V$6</f>
        <v>#DIV/0!</v>
      </c>
      <c r="W20" s="74" t="e">
        <f>data0!T15*$B$6/W$6</f>
        <v>#DIV/0!</v>
      </c>
      <c r="X20" s="74" t="e">
        <f>data0!U15*$B$6/X$6</f>
        <v>#DIV/0!</v>
      </c>
      <c r="Y20" s="74" t="e">
        <f>data0!V15*$B$6/Y$6</f>
        <v>#DIV/0!</v>
      </c>
      <c r="Z20" s="74" t="e">
        <f>data0!W15*$B$6/Z$6</f>
        <v>#DIV/0!</v>
      </c>
      <c r="AA20" s="74" t="e">
        <f>data0!X15*$B$6/AA$6</f>
        <v>#DIV/0!</v>
      </c>
      <c r="AB20" s="74" t="e">
        <f>data0!Y15*$B$6/AB$6</f>
        <v>#DIV/0!</v>
      </c>
      <c r="AC20" s="74" t="e">
        <f>data0!Z15*$B$6/AC$6</f>
        <v>#DIV/0!</v>
      </c>
      <c r="AD20" s="74" t="e">
        <f>data0!AA15*$B$6/AD$6</f>
        <v>#DIV/0!</v>
      </c>
      <c r="AE20" s="74" t="e">
        <f>data0!AB15*$B$6/AE$6</f>
        <v>#DIV/0!</v>
      </c>
      <c r="AF20" s="74" t="e">
        <f>data0!AC15*$B$6/AF$6</f>
        <v>#DIV/0!</v>
      </c>
      <c r="AG20" s="74" t="e">
        <f>data0!AD15*$B$6/AG$6</f>
        <v>#DIV/0!</v>
      </c>
      <c r="AH20" s="74" t="e">
        <f>data0!AE15*$B$6/AH$6</f>
        <v>#DIV/0!</v>
      </c>
      <c r="AI20" s="74" t="e">
        <f>data0!AF15*$B$6/AI$6</f>
        <v>#DIV/0!</v>
      </c>
      <c r="AJ20" s="74" t="e">
        <f>data0!AG15*$B$6/AJ$6</f>
        <v>#DIV/0!</v>
      </c>
    </row>
    <row r="21" spans="1:36">
      <c r="A21" s="29">
        <f>data0!A16</f>
        <v>-48</v>
      </c>
      <c r="B21" s="74" t="e">
        <f>AVERAGE(data0!B16:AG16)</f>
        <v>#DIV/0!</v>
      </c>
      <c r="C21" s="74" t="e">
        <f t="shared" si="0"/>
        <v>#DIV/0!</v>
      </c>
      <c r="D21" s="74" t="e">
        <f t="shared" si="1"/>
        <v>#DIV/0!</v>
      </c>
      <c r="E21" s="74" t="e">
        <f>data0!B16*$B$6/E$6</f>
        <v>#DIV/0!</v>
      </c>
      <c r="F21" s="74" t="e">
        <f>data0!C16*$B$6/F$6</f>
        <v>#DIV/0!</v>
      </c>
      <c r="G21" s="74" t="e">
        <f>data0!D16*$B$6/G$6</f>
        <v>#DIV/0!</v>
      </c>
      <c r="H21" s="74" t="e">
        <f>data0!E16*$B$6/H$6</f>
        <v>#DIV/0!</v>
      </c>
      <c r="I21" s="74" t="e">
        <f>data0!F16*$B$6/I$6</f>
        <v>#DIV/0!</v>
      </c>
      <c r="J21" s="74" t="e">
        <f>data0!G16*$B$6/J$6</f>
        <v>#DIV/0!</v>
      </c>
      <c r="K21" s="74" t="e">
        <f>data0!H16*$B$6/K$6</f>
        <v>#DIV/0!</v>
      </c>
      <c r="L21" s="74" t="e">
        <f>data0!I16*$B$6/L$6</f>
        <v>#DIV/0!</v>
      </c>
      <c r="M21" s="74" t="e">
        <f>data0!J16*$B$6/M$6</f>
        <v>#DIV/0!</v>
      </c>
      <c r="N21" s="74" t="e">
        <f>data0!K16*$B$6/N$6</f>
        <v>#DIV/0!</v>
      </c>
      <c r="O21" s="74" t="e">
        <f>data0!L16*$B$6/O$6</f>
        <v>#DIV/0!</v>
      </c>
      <c r="P21" s="74" t="e">
        <f>data0!M16*$B$6/P$6</f>
        <v>#DIV/0!</v>
      </c>
      <c r="Q21" s="74" t="e">
        <f>data0!N16*$B$6/Q$6</f>
        <v>#DIV/0!</v>
      </c>
      <c r="R21" s="74" t="e">
        <f>data0!O16*$B$6/R$6</f>
        <v>#DIV/0!</v>
      </c>
      <c r="S21" s="74" t="e">
        <f>data0!P16*$B$6/S$6</f>
        <v>#DIV/0!</v>
      </c>
      <c r="T21" s="74" t="e">
        <f>data0!Q16*$B$6/T$6</f>
        <v>#DIV/0!</v>
      </c>
      <c r="U21" s="74" t="e">
        <f>data0!R16*$B$6/U$6</f>
        <v>#DIV/0!</v>
      </c>
      <c r="V21" s="74" t="e">
        <f>data0!S16*$B$6/V$6</f>
        <v>#DIV/0!</v>
      </c>
      <c r="W21" s="74" t="e">
        <f>data0!T16*$B$6/W$6</f>
        <v>#DIV/0!</v>
      </c>
      <c r="X21" s="74" t="e">
        <f>data0!U16*$B$6/X$6</f>
        <v>#DIV/0!</v>
      </c>
      <c r="Y21" s="74" t="e">
        <f>data0!V16*$B$6/Y$6</f>
        <v>#DIV/0!</v>
      </c>
      <c r="Z21" s="74" t="e">
        <f>data0!W16*$B$6/Z$6</f>
        <v>#DIV/0!</v>
      </c>
      <c r="AA21" s="74" t="e">
        <f>data0!X16*$B$6/AA$6</f>
        <v>#DIV/0!</v>
      </c>
      <c r="AB21" s="74" t="e">
        <f>data0!Y16*$B$6/AB$6</f>
        <v>#DIV/0!</v>
      </c>
      <c r="AC21" s="74" t="e">
        <f>data0!Z16*$B$6/AC$6</f>
        <v>#DIV/0!</v>
      </c>
      <c r="AD21" s="74" t="e">
        <f>data0!AA16*$B$6/AD$6</f>
        <v>#DIV/0!</v>
      </c>
      <c r="AE21" s="74" t="e">
        <f>data0!AB16*$B$6/AE$6</f>
        <v>#DIV/0!</v>
      </c>
      <c r="AF21" s="74" t="e">
        <f>data0!AC16*$B$6/AF$6</f>
        <v>#DIV/0!</v>
      </c>
      <c r="AG21" s="74" t="e">
        <f>data0!AD16*$B$6/AG$6</f>
        <v>#DIV/0!</v>
      </c>
      <c r="AH21" s="74" t="e">
        <f>data0!AE16*$B$6/AH$6</f>
        <v>#DIV/0!</v>
      </c>
      <c r="AI21" s="74" t="e">
        <f>data0!AF16*$B$6/AI$6</f>
        <v>#DIV/0!</v>
      </c>
      <c r="AJ21" s="74" t="e">
        <f>data0!AG16*$B$6/AJ$6</f>
        <v>#DIV/0!</v>
      </c>
    </row>
    <row r="22" spans="1:36">
      <c r="A22" s="29">
        <f>data0!A17</f>
        <v>-45</v>
      </c>
      <c r="B22" s="74" t="e">
        <f>AVERAGE(data0!B17:AG17)</f>
        <v>#DIV/0!</v>
      </c>
      <c r="C22" s="74" t="e">
        <f t="shared" si="0"/>
        <v>#DIV/0!</v>
      </c>
      <c r="D22" s="74" t="e">
        <f t="shared" si="1"/>
        <v>#DIV/0!</v>
      </c>
      <c r="E22" s="74" t="e">
        <f>data0!B17*$B$6/E$6</f>
        <v>#DIV/0!</v>
      </c>
      <c r="F22" s="74" t="e">
        <f>data0!C17*$B$6/F$6</f>
        <v>#DIV/0!</v>
      </c>
      <c r="G22" s="74" t="e">
        <f>data0!D17*$B$6/G$6</f>
        <v>#DIV/0!</v>
      </c>
      <c r="H22" s="74" t="e">
        <f>data0!E17*$B$6/H$6</f>
        <v>#DIV/0!</v>
      </c>
      <c r="I22" s="74" t="e">
        <f>data0!F17*$B$6/I$6</f>
        <v>#DIV/0!</v>
      </c>
      <c r="J22" s="74" t="e">
        <f>data0!G17*$B$6/J$6</f>
        <v>#DIV/0!</v>
      </c>
      <c r="K22" s="74" t="e">
        <f>data0!H17*$B$6/K$6</f>
        <v>#DIV/0!</v>
      </c>
      <c r="L22" s="74" t="e">
        <f>data0!I17*$B$6/L$6</f>
        <v>#DIV/0!</v>
      </c>
      <c r="M22" s="74" t="e">
        <f>data0!J17*$B$6/M$6</f>
        <v>#DIV/0!</v>
      </c>
      <c r="N22" s="74" t="e">
        <f>data0!K17*$B$6/N$6</f>
        <v>#DIV/0!</v>
      </c>
      <c r="O22" s="74" t="e">
        <f>data0!L17*$B$6/O$6</f>
        <v>#DIV/0!</v>
      </c>
      <c r="P22" s="74" t="e">
        <f>data0!M17*$B$6/P$6</f>
        <v>#DIV/0!</v>
      </c>
      <c r="Q22" s="74" t="e">
        <f>data0!N17*$B$6/Q$6</f>
        <v>#DIV/0!</v>
      </c>
      <c r="R22" s="74" t="e">
        <f>data0!O17*$B$6/R$6</f>
        <v>#DIV/0!</v>
      </c>
      <c r="S22" s="74" t="e">
        <f>data0!P17*$B$6/S$6</f>
        <v>#DIV/0!</v>
      </c>
      <c r="T22" s="74" t="e">
        <f>data0!Q17*$B$6/T$6</f>
        <v>#DIV/0!</v>
      </c>
      <c r="U22" s="74" t="e">
        <f>data0!R17*$B$6/U$6</f>
        <v>#DIV/0!</v>
      </c>
      <c r="V22" s="74" t="e">
        <f>data0!S17*$B$6/V$6</f>
        <v>#DIV/0!</v>
      </c>
      <c r="W22" s="74" t="e">
        <f>data0!T17*$B$6/W$6</f>
        <v>#DIV/0!</v>
      </c>
      <c r="X22" s="74" t="e">
        <f>data0!U17*$B$6/X$6</f>
        <v>#DIV/0!</v>
      </c>
      <c r="Y22" s="74" t="e">
        <f>data0!V17*$B$6/Y$6</f>
        <v>#DIV/0!</v>
      </c>
      <c r="Z22" s="74" t="e">
        <f>data0!W17*$B$6/Z$6</f>
        <v>#DIV/0!</v>
      </c>
      <c r="AA22" s="74" t="e">
        <f>data0!X17*$B$6/AA$6</f>
        <v>#DIV/0!</v>
      </c>
      <c r="AB22" s="74" t="e">
        <f>data0!Y17*$B$6/AB$6</f>
        <v>#DIV/0!</v>
      </c>
      <c r="AC22" s="74" t="e">
        <f>data0!Z17*$B$6/AC$6</f>
        <v>#DIV/0!</v>
      </c>
      <c r="AD22" s="74" t="e">
        <f>data0!AA17*$B$6/AD$6</f>
        <v>#DIV/0!</v>
      </c>
      <c r="AE22" s="74" t="e">
        <f>data0!AB17*$B$6/AE$6</f>
        <v>#DIV/0!</v>
      </c>
      <c r="AF22" s="74" t="e">
        <f>data0!AC17*$B$6/AF$6</f>
        <v>#DIV/0!</v>
      </c>
      <c r="AG22" s="74" t="e">
        <f>data0!AD17*$B$6/AG$6</f>
        <v>#DIV/0!</v>
      </c>
      <c r="AH22" s="74" t="e">
        <f>data0!AE17*$B$6/AH$6</f>
        <v>#DIV/0!</v>
      </c>
      <c r="AI22" s="74" t="e">
        <f>data0!AF17*$B$6/AI$6</f>
        <v>#DIV/0!</v>
      </c>
      <c r="AJ22" s="74" t="e">
        <f>data0!AG17*$B$6/AJ$6</f>
        <v>#DIV/0!</v>
      </c>
    </row>
    <row r="23" spans="1:36">
      <c r="A23" s="29">
        <f>data0!A18</f>
        <v>-42</v>
      </c>
      <c r="B23" s="74" t="e">
        <f>AVERAGE(data0!B18:AG18)</f>
        <v>#DIV/0!</v>
      </c>
      <c r="C23" s="74" t="e">
        <f t="shared" si="0"/>
        <v>#DIV/0!</v>
      </c>
      <c r="D23" s="74" t="e">
        <f t="shared" si="1"/>
        <v>#DIV/0!</v>
      </c>
      <c r="E23" s="74" t="e">
        <f>data0!B18*$B$6/E$6</f>
        <v>#DIV/0!</v>
      </c>
      <c r="F23" s="74" t="e">
        <f>data0!C18*$B$6/F$6</f>
        <v>#DIV/0!</v>
      </c>
      <c r="G23" s="74" t="e">
        <f>data0!D18*$B$6/G$6</f>
        <v>#DIV/0!</v>
      </c>
      <c r="H23" s="74" t="e">
        <f>data0!E18*$B$6/H$6</f>
        <v>#DIV/0!</v>
      </c>
      <c r="I23" s="74" t="e">
        <f>data0!F18*$B$6/I$6</f>
        <v>#DIV/0!</v>
      </c>
      <c r="J23" s="74" t="e">
        <f>data0!G18*$B$6/J$6</f>
        <v>#DIV/0!</v>
      </c>
      <c r="K23" s="74" t="e">
        <f>data0!H18*$B$6/K$6</f>
        <v>#DIV/0!</v>
      </c>
      <c r="L23" s="74" t="e">
        <f>data0!I18*$B$6/L$6</f>
        <v>#DIV/0!</v>
      </c>
      <c r="M23" s="74" t="e">
        <f>data0!J18*$B$6/M$6</f>
        <v>#DIV/0!</v>
      </c>
      <c r="N23" s="74" t="e">
        <f>data0!K18*$B$6/N$6</f>
        <v>#DIV/0!</v>
      </c>
      <c r="O23" s="74" t="e">
        <f>data0!L18*$B$6/O$6</f>
        <v>#DIV/0!</v>
      </c>
      <c r="P23" s="74" t="e">
        <f>data0!M18*$B$6/P$6</f>
        <v>#DIV/0!</v>
      </c>
      <c r="Q23" s="74" t="e">
        <f>data0!N18*$B$6/Q$6</f>
        <v>#DIV/0!</v>
      </c>
      <c r="R23" s="74" t="e">
        <f>data0!O18*$B$6/R$6</f>
        <v>#DIV/0!</v>
      </c>
      <c r="S23" s="74" t="e">
        <f>data0!P18*$B$6/S$6</f>
        <v>#DIV/0!</v>
      </c>
      <c r="T23" s="74" t="e">
        <f>data0!Q18*$B$6/T$6</f>
        <v>#DIV/0!</v>
      </c>
      <c r="U23" s="74" t="e">
        <f>data0!R18*$B$6/U$6</f>
        <v>#DIV/0!</v>
      </c>
      <c r="V23" s="74" t="e">
        <f>data0!S18*$B$6/V$6</f>
        <v>#DIV/0!</v>
      </c>
      <c r="W23" s="74" t="e">
        <f>data0!T18*$B$6/W$6</f>
        <v>#DIV/0!</v>
      </c>
      <c r="X23" s="74" t="e">
        <f>data0!U18*$B$6/X$6</f>
        <v>#DIV/0!</v>
      </c>
      <c r="Y23" s="74" t="e">
        <f>data0!V18*$B$6/Y$6</f>
        <v>#DIV/0!</v>
      </c>
      <c r="Z23" s="74" t="e">
        <f>data0!W18*$B$6/Z$6</f>
        <v>#DIV/0!</v>
      </c>
      <c r="AA23" s="74" t="e">
        <f>data0!X18*$B$6/AA$6</f>
        <v>#DIV/0!</v>
      </c>
      <c r="AB23" s="74" t="e">
        <f>data0!Y18*$B$6/AB$6</f>
        <v>#DIV/0!</v>
      </c>
      <c r="AC23" s="74" t="e">
        <f>data0!Z18*$B$6/AC$6</f>
        <v>#DIV/0!</v>
      </c>
      <c r="AD23" s="74" t="e">
        <f>data0!AA18*$B$6/AD$6</f>
        <v>#DIV/0!</v>
      </c>
      <c r="AE23" s="74" t="e">
        <f>data0!AB18*$B$6/AE$6</f>
        <v>#DIV/0!</v>
      </c>
      <c r="AF23" s="74" t="e">
        <f>data0!AC18*$B$6/AF$6</f>
        <v>#DIV/0!</v>
      </c>
      <c r="AG23" s="74" t="e">
        <f>data0!AD18*$B$6/AG$6</f>
        <v>#DIV/0!</v>
      </c>
      <c r="AH23" s="74" t="e">
        <f>data0!AE18*$B$6/AH$6</f>
        <v>#DIV/0!</v>
      </c>
      <c r="AI23" s="74" t="e">
        <f>data0!AF18*$B$6/AI$6</f>
        <v>#DIV/0!</v>
      </c>
      <c r="AJ23" s="74" t="e">
        <f>data0!AG18*$B$6/AJ$6</f>
        <v>#DIV/0!</v>
      </c>
    </row>
    <row r="24" spans="1:36">
      <c r="A24" s="29">
        <f>data0!A19</f>
        <v>-39</v>
      </c>
      <c r="B24" s="74" t="e">
        <f>AVERAGE(data0!B19:AG19)</f>
        <v>#DIV/0!</v>
      </c>
      <c r="C24" s="74" t="e">
        <f t="shared" si="0"/>
        <v>#DIV/0!</v>
      </c>
      <c r="D24" s="74" t="e">
        <f t="shared" si="1"/>
        <v>#DIV/0!</v>
      </c>
      <c r="E24" s="74" t="e">
        <f>data0!B19*$B$6/E$6</f>
        <v>#DIV/0!</v>
      </c>
      <c r="F24" s="74" t="e">
        <f>data0!C19*$B$6/F$6</f>
        <v>#DIV/0!</v>
      </c>
      <c r="G24" s="74" t="e">
        <f>data0!D19*$B$6/G$6</f>
        <v>#DIV/0!</v>
      </c>
      <c r="H24" s="74" t="e">
        <f>data0!E19*$B$6/H$6</f>
        <v>#DIV/0!</v>
      </c>
      <c r="I24" s="74" t="e">
        <f>data0!F19*$B$6/I$6</f>
        <v>#DIV/0!</v>
      </c>
      <c r="J24" s="74" t="e">
        <f>data0!G19*$B$6/J$6</f>
        <v>#DIV/0!</v>
      </c>
      <c r="K24" s="74" t="e">
        <f>data0!H19*$B$6/K$6</f>
        <v>#DIV/0!</v>
      </c>
      <c r="L24" s="74" t="e">
        <f>data0!I19*$B$6/L$6</f>
        <v>#DIV/0!</v>
      </c>
      <c r="M24" s="74" t="e">
        <f>data0!J19*$B$6/M$6</f>
        <v>#DIV/0!</v>
      </c>
      <c r="N24" s="74" t="e">
        <f>data0!K19*$B$6/N$6</f>
        <v>#DIV/0!</v>
      </c>
      <c r="O24" s="74" t="e">
        <f>data0!L19*$B$6/O$6</f>
        <v>#DIV/0!</v>
      </c>
      <c r="P24" s="74" t="e">
        <f>data0!M19*$B$6/P$6</f>
        <v>#DIV/0!</v>
      </c>
      <c r="Q24" s="74" t="e">
        <f>data0!N19*$B$6/Q$6</f>
        <v>#DIV/0!</v>
      </c>
      <c r="R24" s="74" t="e">
        <f>data0!O19*$B$6/R$6</f>
        <v>#DIV/0!</v>
      </c>
      <c r="S24" s="74" t="e">
        <f>data0!P19*$B$6/S$6</f>
        <v>#DIV/0!</v>
      </c>
      <c r="T24" s="74" t="e">
        <f>data0!Q19*$B$6/T$6</f>
        <v>#DIV/0!</v>
      </c>
      <c r="U24" s="74" t="e">
        <f>data0!R19*$B$6/U$6</f>
        <v>#DIV/0!</v>
      </c>
      <c r="V24" s="74" t="e">
        <f>data0!S19*$B$6/V$6</f>
        <v>#DIV/0!</v>
      </c>
      <c r="W24" s="74" t="e">
        <f>data0!T19*$B$6/W$6</f>
        <v>#DIV/0!</v>
      </c>
      <c r="X24" s="74" t="e">
        <f>data0!U19*$B$6/X$6</f>
        <v>#DIV/0!</v>
      </c>
      <c r="Y24" s="74" t="e">
        <f>data0!V19*$B$6/Y$6</f>
        <v>#DIV/0!</v>
      </c>
      <c r="Z24" s="74" t="e">
        <f>data0!W19*$B$6/Z$6</f>
        <v>#DIV/0!</v>
      </c>
      <c r="AA24" s="74" t="e">
        <f>data0!X19*$B$6/AA$6</f>
        <v>#DIV/0!</v>
      </c>
      <c r="AB24" s="74" t="e">
        <f>data0!Y19*$B$6/AB$6</f>
        <v>#DIV/0!</v>
      </c>
      <c r="AC24" s="74" t="e">
        <f>data0!Z19*$B$6/AC$6</f>
        <v>#DIV/0!</v>
      </c>
      <c r="AD24" s="74" t="e">
        <f>data0!AA19*$B$6/AD$6</f>
        <v>#DIV/0!</v>
      </c>
      <c r="AE24" s="74" t="e">
        <f>data0!AB19*$B$6/AE$6</f>
        <v>#DIV/0!</v>
      </c>
      <c r="AF24" s="74" t="e">
        <f>data0!AC19*$B$6/AF$6</f>
        <v>#DIV/0!</v>
      </c>
      <c r="AG24" s="74" t="e">
        <f>data0!AD19*$B$6/AG$6</f>
        <v>#DIV/0!</v>
      </c>
      <c r="AH24" s="74" t="e">
        <f>data0!AE19*$B$6/AH$6</f>
        <v>#DIV/0!</v>
      </c>
      <c r="AI24" s="74" t="e">
        <f>data0!AF19*$B$6/AI$6</f>
        <v>#DIV/0!</v>
      </c>
      <c r="AJ24" s="74" t="e">
        <f>data0!AG19*$B$6/AJ$6</f>
        <v>#DIV/0!</v>
      </c>
    </row>
    <row r="25" spans="1:36">
      <c r="A25" s="29">
        <f>data0!A20</f>
        <v>-36</v>
      </c>
      <c r="B25" s="74" t="e">
        <f>AVERAGE(data0!B20:AG20)</f>
        <v>#DIV/0!</v>
      </c>
      <c r="C25" s="74" t="e">
        <f t="shared" si="0"/>
        <v>#DIV/0!</v>
      </c>
      <c r="D25" s="74" t="e">
        <f t="shared" si="1"/>
        <v>#DIV/0!</v>
      </c>
      <c r="E25" s="74" t="e">
        <f>data0!B20*$B$6/E$6</f>
        <v>#DIV/0!</v>
      </c>
      <c r="F25" s="74" t="e">
        <f>data0!C20*$B$6/F$6</f>
        <v>#DIV/0!</v>
      </c>
      <c r="G25" s="74" t="e">
        <f>data0!D20*$B$6/G$6</f>
        <v>#DIV/0!</v>
      </c>
      <c r="H25" s="74" t="e">
        <f>data0!E20*$B$6/H$6</f>
        <v>#DIV/0!</v>
      </c>
      <c r="I25" s="74" t="e">
        <f>data0!F20*$B$6/I$6</f>
        <v>#DIV/0!</v>
      </c>
      <c r="J25" s="74" t="e">
        <f>data0!G20*$B$6/J$6</f>
        <v>#DIV/0!</v>
      </c>
      <c r="K25" s="74" t="e">
        <f>data0!H20*$B$6/K$6</f>
        <v>#DIV/0!</v>
      </c>
      <c r="L25" s="74" t="e">
        <f>data0!I20*$B$6/L$6</f>
        <v>#DIV/0!</v>
      </c>
      <c r="M25" s="74" t="e">
        <f>data0!J20*$B$6/M$6</f>
        <v>#DIV/0!</v>
      </c>
      <c r="N25" s="74" t="e">
        <f>data0!K20*$B$6/N$6</f>
        <v>#DIV/0!</v>
      </c>
      <c r="O25" s="74" t="e">
        <f>data0!L20*$B$6/O$6</f>
        <v>#DIV/0!</v>
      </c>
      <c r="P25" s="74" t="e">
        <f>data0!M20*$B$6/P$6</f>
        <v>#DIV/0!</v>
      </c>
      <c r="Q25" s="74" t="e">
        <f>data0!N20*$B$6/Q$6</f>
        <v>#DIV/0!</v>
      </c>
      <c r="R25" s="74" t="e">
        <f>data0!O20*$B$6/R$6</f>
        <v>#DIV/0!</v>
      </c>
      <c r="S25" s="74" t="e">
        <f>data0!P20*$B$6/S$6</f>
        <v>#DIV/0!</v>
      </c>
      <c r="T25" s="74" t="e">
        <f>data0!Q20*$B$6/T$6</f>
        <v>#DIV/0!</v>
      </c>
      <c r="U25" s="74" t="e">
        <f>data0!R20*$B$6/U$6</f>
        <v>#DIV/0!</v>
      </c>
      <c r="V25" s="74" t="e">
        <f>data0!S20*$B$6/V$6</f>
        <v>#DIV/0!</v>
      </c>
      <c r="W25" s="74" t="e">
        <f>data0!T20*$B$6/W$6</f>
        <v>#DIV/0!</v>
      </c>
      <c r="X25" s="74" t="e">
        <f>data0!U20*$B$6/X$6</f>
        <v>#DIV/0!</v>
      </c>
      <c r="Y25" s="74" t="e">
        <f>data0!V20*$B$6/Y$6</f>
        <v>#DIV/0!</v>
      </c>
      <c r="Z25" s="74" t="e">
        <f>data0!W20*$B$6/Z$6</f>
        <v>#DIV/0!</v>
      </c>
      <c r="AA25" s="74" t="e">
        <f>data0!X20*$B$6/AA$6</f>
        <v>#DIV/0!</v>
      </c>
      <c r="AB25" s="74" t="e">
        <f>data0!Y20*$B$6/AB$6</f>
        <v>#DIV/0!</v>
      </c>
      <c r="AC25" s="74" t="e">
        <f>data0!Z20*$B$6/AC$6</f>
        <v>#DIV/0!</v>
      </c>
      <c r="AD25" s="74" t="e">
        <f>data0!AA20*$B$6/AD$6</f>
        <v>#DIV/0!</v>
      </c>
      <c r="AE25" s="74" t="e">
        <f>data0!AB20*$B$6/AE$6</f>
        <v>#DIV/0!</v>
      </c>
      <c r="AF25" s="74" t="e">
        <f>data0!AC20*$B$6/AF$6</f>
        <v>#DIV/0!</v>
      </c>
      <c r="AG25" s="74" t="e">
        <f>data0!AD20*$B$6/AG$6</f>
        <v>#DIV/0!</v>
      </c>
      <c r="AH25" s="74" t="e">
        <f>data0!AE20*$B$6/AH$6</f>
        <v>#DIV/0!</v>
      </c>
      <c r="AI25" s="74" t="e">
        <f>data0!AF20*$B$6/AI$6</f>
        <v>#DIV/0!</v>
      </c>
      <c r="AJ25" s="74" t="e">
        <f>data0!AG20*$B$6/AJ$6</f>
        <v>#DIV/0!</v>
      </c>
    </row>
    <row r="26" spans="1:36">
      <c r="A26" s="29">
        <f>data0!A21</f>
        <v>-33</v>
      </c>
      <c r="B26" s="74" t="e">
        <f>AVERAGE(data0!B21:AG21)</f>
        <v>#DIV/0!</v>
      </c>
      <c r="C26" s="74" t="e">
        <f t="shared" si="0"/>
        <v>#DIV/0!</v>
      </c>
      <c r="D26" s="74" t="e">
        <f t="shared" si="1"/>
        <v>#DIV/0!</v>
      </c>
      <c r="E26" s="74" t="e">
        <f>data0!B21*$B$6/E$6</f>
        <v>#DIV/0!</v>
      </c>
      <c r="F26" s="74" t="e">
        <f>data0!C21*$B$6/F$6</f>
        <v>#DIV/0!</v>
      </c>
      <c r="G26" s="74" t="e">
        <f>data0!D21*$B$6/G$6</f>
        <v>#DIV/0!</v>
      </c>
      <c r="H26" s="74" t="e">
        <f>data0!E21*$B$6/H$6</f>
        <v>#DIV/0!</v>
      </c>
      <c r="I26" s="74" t="e">
        <f>data0!F21*$B$6/I$6</f>
        <v>#DIV/0!</v>
      </c>
      <c r="J26" s="74" t="e">
        <f>data0!G21*$B$6/J$6</f>
        <v>#DIV/0!</v>
      </c>
      <c r="K26" s="74" t="e">
        <f>data0!H21*$B$6/K$6</f>
        <v>#DIV/0!</v>
      </c>
      <c r="L26" s="74" t="e">
        <f>data0!I21*$B$6/L$6</f>
        <v>#DIV/0!</v>
      </c>
      <c r="M26" s="74" t="e">
        <f>data0!J21*$B$6/M$6</f>
        <v>#DIV/0!</v>
      </c>
      <c r="N26" s="74" t="e">
        <f>data0!K21*$B$6/N$6</f>
        <v>#DIV/0!</v>
      </c>
      <c r="O26" s="74" t="e">
        <f>data0!L21*$B$6/O$6</f>
        <v>#DIV/0!</v>
      </c>
      <c r="P26" s="74" t="e">
        <f>data0!M21*$B$6/P$6</f>
        <v>#DIV/0!</v>
      </c>
      <c r="Q26" s="74" t="e">
        <f>data0!N21*$B$6/Q$6</f>
        <v>#DIV/0!</v>
      </c>
      <c r="R26" s="74" t="e">
        <f>data0!O21*$B$6/R$6</f>
        <v>#DIV/0!</v>
      </c>
      <c r="S26" s="74" t="e">
        <f>data0!P21*$B$6/S$6</f>
        <v>#DIV/0!</v>
      </c>
      <c r="T26" s="74" t="e">
        <f>data0!Q21*$B$6/T$6</f>
        <v>#DIV/0!</v>
      </c>
      <c r="U26" s="74" t="e">
        <f>data0!R21*$B$6/U$6</f>
        <v>#DIV/0!</v>
      </c>
      <c r="V26" s="74" t="e">
        <f>data0!S21*$B$6/V$6</f>
        <v>#DIV/0!</v>
      </c>
      <c r="W26" s="74" t="e">
        <f>data0!T21*$B$6/W$6</f>
        <v>#DIV/0!</v>
      </c>
      <c r="X26" s="74" t="e">
        <f>data0!U21*$B$6/X$6</f>
        <v>#DIV/0!</v>
      </c>
      <c r="Y26" s="74" t="e">
        <f>data0!V21*$B$6/Y$6</f>
        <v>#DIV/0!</v>
      </c>
      <c r="Z26" s="74" t="e">
        <f>data0!W21*$B$6/Z$6</f>
        <v>#DIV/0!</v>
      </c>
      <c r="AA26" s="74" t="e">
        <f>data0!X21*$B$6/AA$6</f>
        <v>#DIV/0!</v>
      </c>
      <c r="AB26" s="74" t="e">
        <f>data0!Y21*$B$6/AB$6</f>
        <v>#DIV/0!</v>
      </c>
      <c r="AC26" s="74" t="e">
        <f>data0!Z21*$B$6/AC$6</f>
        <v>#DIV/0!</v>
      </c>
      <c r="AD26" s="74" t="e">
        <f>data0!AA21*$B$6/AD$6</f>
        <v>#DIV/0!</v>
      </c>
      <c r="AE26" s="74" t="e">
        <f>data0!AB21*$B$6/AE$6</f>
        <v>#DIV/0!</v>
      </c>
      <c r="AF26" s="74" t="e">
        <f>data0!AC21*$B$6/AF$6</f>
        <v>#DIV/0!</v>
      </c>
      <c r="AG26" s="74" t="e">
        <f>data0!AD21*$B$6/AG$6</f>
        <v>#DIV/0!</v>
      </c>
      <c r="AH26" s="74" t="e">
        <f>data0!AE21*$B$6/AH$6</f>
        <v>#DIV/0!</v>
      </c>
      <c r="AI26" s="74" t="e">
        <f>data0!AF21*$B$6/AI$6</f>
        <v>#DIV/0!</v>
      </c>
      <c r="AJ26" s="74" t="e">
        <f>data0!AG21*$B$6/AJ$6</f>
        <v>#DIV/0!</v>
      </c>
    </row>
    <row r="27" spans="1:36">
      <c r="A27" s="29">
        <f>data0!A22</f>
        <v>-30</v>
      </c>
      <c r="B27" s="74" t="e">
        <f>AVERAGE(data0!B22:AG22)</f>
        <v>#DIV/0!</v>
      </c>
      <c r="C27" s="74" t="e">
        <f t="shared" si="0"/>
        <v>#DIV/0!</v>
      </c>
      <c r="D27" s="74" t="e">
        <f t="shared" si="1"/>
        <v>#DIV/0!</v>
      </c>
      <c r="E27" s="74" t="e">
        <f>data0!B22*$B$6/E$6</f>
        <v>#DIV/0!</v>
      </c>
      <c r="F27" s="74" t="e">
        <f>data0!C22*$B$6/F$6</f>
        <v>#DIV/0!</v>
      </c>
      <c r="G27" s="74" t="e">
        <f>data0!D22*$B$6/G$6</f>
        <v>#DIV/0!</v>
      </c>
      <c r="H27" s="74" t="e">
        <f>data0!E22*$B$6/H$6</f>
        <v>#DIV/0!</v>
      </c>
      <c r="I27" s="74" t="e">
        <f>data0!F22*$B$6/I$6</f>
        <v>#DIV/0!</v>
      </c>
      <c r="J27" s="74" t="e">
        <f>data0!G22*$B$6/J$6</f>
        <v>#DIV/0!</v>
      </c>
      <c r="K27" s="74" t="e">
        <f>data0!H22*$B$6/K$6</f>
        <v>#DIV/0!</v>
      </c>
      <c r="L27" s="74" t="e">
        <f>data0!I22*$B$6/L$6</f>
        <v>#DIV/0!</v>
      </c>
      <c r="M27" s="74" t="e">
        <f>data0!J22*$B$6/M$6</f>
        <v>#DIV/0!</v>
      </c>
      <c r="N27" s="74" t="e">
        <f>data0!K22*$B$6/N$6</f>
        <v>#DIV/0!</v>
      </c>
      <c r="O27" s="74" t="e">
        <f>data0!L22*$B$6/O$6</f>
        <v>#DIV/0!</v>
      </c>
      <c r="P27" s="74" t="e">
        <f>data0!M22*$B$6/P$6</f>
        <v>#DIV/0!</v>
      </c>
      <c r="Q27" s="74" t="e">
        <f>data0!N22*$B$6/Q$6</f>
        <v>#DIV/0!</v>
      </c>
      <c r="R27" s="74" t="e">
        <f>data0!O22*$B$6/R$6</f>
        <v>#DIV/0!</v>
      </c>
      <c r="S27" s="74" t="e">
        <f>data0!P22*$B$6/S$6</f>
        <v>#DIV/0!</v>
      </c>
      <c r="T27" s="74" t="e">
        <f>data0!Q22*$B$6/T$6</f>
        <v>#DIV/0!</v>
      </c>
      <c r="U27" s="74" t="e">
        <f>data0!R22*$B$6/U$6</f>
        <v>#DIV/0!</v>
      </c>
      <c r="V27" s="74" t="e">
        <f>data0!S22*$B$6/V$6</f>
        <v>#DIV/0!</v>
      </c>
      <c r="W27" s="74" t="e">
        <f>data0!T22*$B$6/W$6</f>
        <v>#DIV/0!</v>
      </c>
      <c r="X27" s="74" t="e">
        <f>data0!U22*$B$6/X$6</f>
        <v>#DIV/0!</v>
      </c>
      <c r="Y27" s="74" t="e">
        <f>data0!V22*$B$6/Y$6</f>
        <v>#DIV/0!</v>
      </c>
      <c r="Z27" s="74" t="e">
        <f>data0!W22*$B$6/Z$6</f>
        <v>#DIV/0!</v>
      </c>
      <c r="AA27" s="74" t="e">
        <f>data0!X22*$B$6/AA$6</f>
        <v>#DIV/0!</v>
      </c>
      <c r="AB27" s="74" t="e">
        <f>data0!Y22*$B$6/AB$6</f>
        <v>#DIV/0!</v>
      </c>
      <c r="AC27" s="74" t="e">
        <f>data0!Z22*$B$6/AC$6</f>
        <v>#DIV/0!</v>
      </c>
      <c r="AD27" s="74" t="e">
        <f>data0!AA22*$B$6/AD$6</f>
        <v>#DIV/0!</v>
      </c>
      <c r="AE27" s="74" t="e">
        <f>data0!AB22*$B$6/AE$6</f>
        <v>#DIV/0!</v>
      </c>
      <c r="AF27" s="74" t="e">
        <f>data0!AC22*$B$6/AF$6</f>
        <v>#DIV/0!</v>
      </c>
      <c r="AG27" s="74" t="e">
        <f>data0!AD22*$B$6/AG$6</f>
        <v>#DIV/0!</v>
      </c>
      <c r="AH27" s="74" t="e">
        <f>data0!AE22*$B$6/AH$6</f>
        <v>#DIV/0!</v>
      </c>
      <c r="AI27" s="74" t="e">
        <f>data0!AF22*$B$6/AI$6</f>
        <v>#DIV/0!</v>
      </c>
      <c r="AJ27" s="74" t="e">
        <f>data0!AG22*$B$6/AJ$6</f>
        <v>#DIV/0!</v>
      </c>
    </row>
    <row r="28" spans="1:36">
      <c r="A28" s="29">
        <f>data0!A23</f>
        <v>-27</v>
      </c>
      <c r="B28" s="74" t="e">
        <f>AVERAGE(data0!B23:AG23)</f>
        <v>#DIV/0!</v>
      </c>
      <c r="C28" s="74" t="e">
        <f t="shared" si="0"/>
        <v>#DIV/0!</v>
      </c>
      <c r="D28" s="74" t="e">
        <f t="shared" si="1"/>
        <v>#DIV/0!</v>
      </c>
      <c r="E28" s="74" t="e">
        <f>data0!B23*$B$6/E$6</f>
        <v>#DIV/0!</v>
      </c>
      <c r="F28" s="74" t="e">
        <f>data0!C23*$B$6/F$6</f>
        <v>#DIV/0!</v>
      </c>
      <c r="G28" s="74" t="e">
        <f>data0!D23*$B$6/G$6</f>
        <v>#DIV/0!</v>
      </c>
      <c r="H28" s="74" t="e">
        <f>data0!E23*$B$6/H$6</f>
        <v>#DIV/0!</v>
      </c>
      <c r="I28" s="74" t="e">
        <f>data0!F23*$B$6/I$6</f>
        <v>#DIV/0!</v>
      </c>
      <c r="J28" s="74" t="e">
        <f>data0!G23*$B$6/J$6</f>
        <v>#DIV/0!</v>
      </c>
      <c r="K28" s="74" t="e">
        <f>data0!H23*$B$6/K$6</f>
        <v>#DIV/0!</v>
      </c>
      <c r="L28" s="74" t="e">
        <f>data0!I23*$B$6/L$6</f>
        <v>#DIV/0!</v>
      </c>
      <c r="M28" s="74" t="e">
        <f>data0!J23*$B$6/M$6</f>
        <v>#DIV/0!</v>
      </c>
      <c r="N28" s="74" t="e">
        <f>data0!K23*$B$6/N$6</f>
        <v>#DIV/0!</v>
      </c>
      <c r="O28" s="74" t="e">
        <f>data0!L23*$B$6/O$6</f>
        <v>#DIV/0!</v>
      </c>
      <c r="P28" s="74" t="e">
        <f>data0!M23*$B$6/P$6</f>
        <v>#DIV/0!</v>
      </c>
      <c r="Q28" s="74" t="e">
        <f>data0!N23*$B$6/Q$6</f>
        <v>#DIV/0!</v>
      </c>
      <c r="R28" s="74" t="e">
        <f>data0!O23*$B$6/R$6</f>
        <v>#DIV/0!</v>
      </c>
      <c r="S28" s="74" t="e">
        <f>data0!P23*$B$6/S$6</f>
        <v>#DIV/0!</v>
      </c>
      <c r="T28" s="74" t="e">
        <f>data0!Q23*$B$6/T$6</f>
        <v>#DIV/0!</v>
      </c>
      <c r="U28" s="74" t="e">
        <f>data0!R23*$B$6/U$6</f>
        <v>#DIV/0!</v>
      </c>
      <c r="V28" s="74" t="e">
        <f>data0!S23*$B$6/V$6</f>
        <v>#DIV/0!</v>
      </c>
      <c r="W28" s="74" t="e">
        <f>data0!T23*$B$6/W$6</f>
        <v>#DIV/0!</v>
      </c>
      <c r="X28" s="74" t="e">
        <f>data0!U23*$B$6/X$6</f>
        <v>#DIV/0!</v>
      </c>
      <c r="Y28" s="74" t="e">
        <f>data0!V23*$B$6/Y$6</f>
        <v>#DIV/0!</v>
      </c>
      <c r="Z28" s="74" t="e">
        <f>data0!W23*$B$6/Z$6</f>
        <v>#DIV/0!</v>
      </c>
      <c r="AA28" s="74" t="e">
        <f>data0!X23*$B$6/AA$6</f>
        <v>#DIV/0!</v>
      </c>
      <c r="AB28" s="74" t="e">
        <f>data0!Y23*$B$6/AB$6</f>
        <v>#DIV/0!</v>
      </c>
      <c r="AC28" s="74" t="e">
        <f>data0!Z23*$B$6/AC$6</f>
        <v>#DIV/0!</v>
      </c>
      <c r="AD28" s="74" t="e">
        <f>data0!AA23*$B$6/AD$6</f>
        <v>#DIV/0!</v>
      </c>
      <c r="AE28" s="74" t="e">
        <f>data0!AB23*$B$6/AE$6</f>
        <v>#DIV/0!</v>
      </c>
      <c r="AF28" s="74" t="e">
        <f>data0!AC23*$B$6/AF$6</f>
        <v>#DIV/0!</v>
      </c>
      <c r="AG28" s="74" t="e">
        <f>data0!AD23*$B$6/AG$6</f>
        <v>#DIV/0!</v>
      </c>
      <c r="AH28" s="74" t="e">
        <f>data0!AE23*$B$6/AH$6</f>
        <v>#DIV/0!</v>
      </c>
      <c r="AI28" s="74" t="e">
        <f>data0!AF23*$B$6/AI$6</f>
        <v>#DIV/0!</v>
      </c>
      <c r="AJ28" s="74" t="e">
        <f>data0!AG23*$B$6/AJ$6</f>
        <v>#DIV/0!</v>
      </c>
    </row>
    <row r="29" spans="1:36">
      <c r="A29" s="29">
        <f>data0!A24</f>
        <v>-24</v>
      </c>
      <c r="B29" s="74" t="e">
        <f>AVERAGE(data0!B24:AG24)</f>
        <v>#DIV/0!</v>
      </c>
      <c r="C29" s="74" t="e">
        <f t="shared" si="0"/>
        <v>#DIV/0!</v>
      </c>
      <c r="D29" s="74" t="e">
        <f t="shared" si="1"/>
        <v>#DIV/0!</v>
      </c>
      <c r="E29" s="74" t="e">
        <f>data0!B24*$B$6/E$6</f>
        <v>#DIV/0!</v>
      </c>
      <c r="F29" s="74" t="e">
        <f>data0!C24*$B$6/F$6</f>
        <v>#DIV/0!</v>
      </c>
      <c r="G29" s="74" t="e">
        <f>data0!D24*$B$6/G$6</f>
        <v>#DIV/0!</v>
      </c>
      <c r="H29" s="74" t="e">
        <f>data0!E24*$B$6/H$6</f>
        <v>#DIV/0!</v>
      </c>
      <c r="I29" s="74" t="e">
        <f>data0!F24*$B$6/I$6</f>
        <v>#DIV/0!</v>
      </c>
      <c r="J29" s="74" t="e">
        <f>data0!G24*$B$6/J$6</f>
        <v>#DIV/0!</v>
      </c>
      <c r="K29" s="74" t="e">
        <f>data0!H24*$B$6/K$6</f>
        <v>#DIV/0!</v>
      </c>
      <c r="L29" s="74" t="e">
        <f>data0!I24*$B$6/L$6</f>
        <v>#DIV/0!</v>
      </c>
      <c r="M29" s="74" t="e">
        <f>data0!J24*$B$6/M$6</f>
        <v>#DIV/0!</v>
      </c>
      <c r="N29" s="74" t="e">
        <f>data0!K24*$B$6/N$6</f>
        <v>#DIV/0!</v>
      </c>
      <c r="O29" s="74" t="e">
        <f>data0!L24*$B$6/O$6</f>
        <v>#DIV/0!</v>
      </c>
      <c r="P29" s="74" t="e">
        <f>data0!M24*$B$6/P$6</f>
        <v>#DIV/0!</v>
      </c>
      <c r="Q29" s="74" t="e">
        <f>data0!N24*$B$6/Q$6</f>
        <v>#DIV/0!</v>
      </c>
      <c r="R29" s="74" t="e">
        <f>data0!O24*$B$6/R$6</f>
        <v>#DIV/0!</v>
      </c>
      <c r="S29" s="74" t="e">
        <f>data0!P24*$B$6/S$6</f>
        <v>#DIV/0!</v>
      </c>
      <c r="T29" s="74" t="e">
        <f>data0!Q24*$B$6/T$6</f>
        <v>#DIV/0!</v>
      </c>
      <c r="U29" s="74" t="e">
        <f>data0!R24*$B$6/U$6</f>
        <v>#DIV/0!</v>
      </c>
      <c r="V29" s="74" t="e">
        <f>data0!S24*$B$6/V$6</f>
        <v>#DIV/0!</v>
      </c>
      <c r="W29" s="74" t="e">
        <f>data0!T24*$B$6/W$6</f>
        <v>#DIV/0!</v>
      </c>
      <c r="X29" s="74" t="e">
        <f>data0!U24*$B$6/X$6</f>
        <v>#DIV/0!</v>
      </c>
      <c r="Y29" s="74" t="e">
        <f>data0!V24*$B$6/Y$6</f>
        <v>#DIV/0!</v>
      </c>
      <c r="Z29" s="74" t="e">
        <f>data0!W24*$B$6/Z$6</f>
        <v>#DIV/0!</v>
      </c>
      <c r="AA29" s="74" t="e">
        <f>data0!X24*$B$6/AA$6</f>
        <v>#DIV/0!</v>
      </c>
      <c r="AB29" s="74" t="e">
        <f>data0!Y24*$B$6/AB$6</f>
        <v>#DIV/0!</v>
      </c>
      <c r="AC29" s="74" t="e">
        <f>data0!Z24*$B$6/AC$6</f>
        <v>#DIV/0!</v>
      </c>
      <c r="AD29" s="74" t="e">
        <f>data0!AA24*$B$6/AD$6</f>
        <v>#DIV/0!</v>
      </c>
      <c r="AE29" s="74" t="e">
        <f>data0!AB24*$B$6/AE$6</f>
        <v>#DIV/0!</v>
      </c>
      <c r="AF29" s="74" t="e">
        <f>data0!AC24*$B$6/AF$6</f>
        <v>#DIV/0!</v>
      </c>
      <c r="AG29" s="74" t="e">
        <f>data0!AD24*$B$6/AG$6</f>
        <v>#DIV/0!</v>
      </c>
      <c r="AH29" s="74" t="e">
        <f>data0!AE24*$B$6/AH$6</f>
        <v>#DIV/0!</v>
      </c>
      <c r="AI29" s="74" t="e">
        <f>data0!AF24*$B$6/AI$6</f>
        <v>#DIV/0!</v>
      </c>
      <c r="AJ29" s="74" t="e">
        <f>data0!AG24*$B$6/AJ$6</f>
        <v>#DIV/0!</v>
      </c>
    </row>
    <row r="30" spans="1:36">
      <c r="A30" s="29">
        <f>data0!A25</f>
        <v>-21</v>
      </c>
      <c r="B30" s="74" t="e">
        <f>AVERAGE(data0!B25:AG25)</f>
        <v>#DIV/0!</v>
      </c>
      <c r="C30" s="74" t="e">
        <f t="shared" si="0"/>
        <v>#DIV/0!</v>
      </c>
      <c r="D30" s="74" t="e">
        <f t="shared" si="1"/>
        <v>#DIV/0!</v>
      </c>
      <c r="E30" s="74" t="e">
        <f>data0!B25*$B$6/E$6</f>
        <v>#DIV/0!</v>
      </c>
      <c r="F30" s="74" t="e">
        <f>data0!C25*$B$6/F$6</f>
        <v>#DIV/0!</v>
      </c>
      <c r="G30" s="74" t="e">
        <f>data0!D25*$B$6/G$6</f>
        <v>#DIV/0!</v>
      </c>
      <c r="H30" s="74" t="e">
        <f>data0!E25*$B$6/H$6</f>
        <v>#DIV/0!</v>
      </c>
      <c r="I30" s="74" t="e">
        <f>data0!F25*$B$6/I$6</f>
        <v>#DIV/0!</v>
      </c>
      <c r="J30" s="74" t="e">
        <f>data0!G25*$B$6/J$6</f>
        <v>#DIV/0!</v>
      </c>
      <c r="K30" s="74" t="e">
        <f>data0!H25*$B$6/K$6</f>
        <v>#DIV/0!</v>
      </c>
      <c r="L30" s="74" t="e">
        <f>data0!I25*$B$6/L$6</f>
        <v>#DIV/0!</v>
      </c>
      <c r="M30" s="74" t="e">
        <f>data0!J25*$B$6/M$6</f>
        <v>#DIV/0!</v>
      </c>
      <c r="N30" s="74" t="e">
        <f>data0!K25*$B$6/N$6</f>
        <v>#DIV/0!</v>
      </c>
      <c r="O30" s="74" t="e">
        <f>data0!L25*$B$6/O$6</f>
        <v>#DIV/0!</v>
      </c>
      <c r="P30" s="74" t="e">
        <f>data0!M25*$B$6/P$6</f>
        <v>#DIV/0!</v>
      </c>
      <c r="Q30" s="74" t="e">
        <f>data0!N25*$B$6/Q$6</f>
        <v>#DIV/0!</v>
      </c>
      <c r="R30" s="74" t="e">
        <f>data0!O25*$B$6/R$6</f>
        <v>#DIV/0!</v>
      </c>
      <c r="S30" s="74" t="e">
        <f>data0!P25*$B$6/S$6</f>
        <v>#DIV/0!</v>
      </c>
      <c r="T30" s="74" t="e">
        <f>data0!Q25*$B$6/T$6</f>
        <v>#DIV/0!</v>
      </c>
      <c r="U30" s="74" t="e">
        <f>data0!R25*$B$6/U$6</f>
        <v>#DIV/0!</v>
      </c>
      <c r="V30" s="74" t="e">
        <f>data0!S25*$B$6/V$6</f>
        <v>#DIV/0!</v>
      </c>
      <c r="W30" s="74" t="e">
        <f>data0!T25*$B$6/W$6</f>
        <v>#DIV/0!</v>
      </c>
      <c r="X30" s="74" t="e">
        <f>data0!U25*$B$6/X$6</f>
        <v>#DIV/0!</v>
      </c>
      <c r="Y30" s="74" t="e">
        <f>data0!V25*$B$6/Y$6</f>
        <v>#DIV/0!</v>
      </c>
      <c r="Z30" s="74" t="e">
        <f>data0!W25*$B$6/Z$6</f>
        <v>#DIV/0!</v>
      </c>
      <c r="AA30" s="74" t="e">
        <f>data0!X25*$B$6/AA$6</f>
        <v>#DIV/0!</v>
      </c>
      <c r="AB30" s="74" t="e">
        <f>data0!Y25*$B$6/AB$6</f>
        <v>#DIV/0!</v>
      </c>
      <c r="AC30" s="74" t="e">
        <f>data0!Z25*$B$6/AC$6</f>
        <v>#DIV/0!</v>
      </c>
      <c r="AD30" s="74" t="e">
        <f>data0!AA25*$B$6/AD$6</f>
        <v>#DIV/0!</v>
      </c>
      <c r="AE30" s="74" t="e">
        <f>data0!AB25*$B$6/AE$6</f>
        <v>#DIV/0!</v>
      </c>
      <c r="AF30" s="74" t="e">
        <f>data0!AC25*$B$6/AF$6</f>
        <v>#DIV/0!</v>
      </c>
      <c r="AG30" s="74" t="e">
        <f>data0!AD25*$B$6/AG$6</f>
        <v>#DIV/0!</v>
      </c>
      <c r="AH30" s="74" t="e">
        <f>data0!AE25*$B$6/AH$6</f>
        <v>#DIV/0!</v>
      </c>
      <c r="AI30" s="74" t="e">
        <f>data0!AF25*$B$6/AI$6</f>
        <v>#DIV/0!</v>
      </c>
      <c r="AJ30" s="74" t="e">
        <f>data0!AG25*$B$6/AJ$6</f>
        <v>#DIV/0!</v>
      </c>
    </row>
    <row r="31" spans="1:36">
      <c r="A31" s="29">
        <f>data0!A26</f>
        <v>-18</v>
      </c>
      <c r="B31" s="74" t="e">
        <f>AVERAGE(data0!B26:AG26)</f>
        <v>#DIV/0!</v>
      </c>
      <c r="C31" s="74" t="e">
        <f t="shared" si="0"/>
        <v>#DIV/0!</v>
      </c>
      <c r="D31" s="74" t="e">
        <f t="shared" si="1"/>
        <v>#DIV/0!</v>
      </c>
      <c r="E31" s="74" t="e">
        <f>data0!B26*$B$6/E$6</f>
        <v>#DIV/0!</v>
      </c>
      <c r="F31" s="74" t="e">
        <f>data0!C26*$B$6/F$6</f>
        <v>#DIV/0!</v>
      </c>
      <c r="G31" s="74" t="e">
        <f>data0!D26*$B$6/G$6</f>
        <v>#DIV/0!</v>
      </c>
      <c r="H31" s="74" t="e">
        <f>data0!E26*$B$6/H$6</f>
        <v>#DIV/0!</v>
      </c>
      <c r="I31" s="74" t="e">
        <f>data0!F26*$B$6/I$6</f>
        <v>#DIV/0!</v>
      </c>
      <c r="J31" s="74" t="e">
        <f>data0!G26*$B$6/J$6</f>
        <v>#DIV/0!</v>
      </c>
      <c r="K31" s="74" t="e">
        <f>data0!H26*$B$6/K$6</f>
        <v>#DIV/0!</v>
      </c>
      <c r="L31" s="74" t="e">
        <f>data0!I26*$B$6/L$6</f>
        <v>#DIV/0!</v>
      </c>
      <c r="M31" s="74" t="e">
        <f>data0!J26*$B$6/M$6</f>
        <v>#DIV/0!</v>
      </c>
      <c r="N31" s="74" t="e">
        <f>data0!K26*$B$6/N$6</f>
        <v>#DIV/0!</v>
      </c>
      <c r="O31" s="74" t="e">
        <f>data0!L26*$B$6/O$6</f>
        <v>#DIV/0!</v>
      </c>
      <c r="P31" s="74" t="e">
        <f>data0!M26*$B$6/P$6</f>
        <v>#DIV/0!</v>
      </c>
      <c r="Q31" s="74" t="e">
        <f>data0!N26*$B$6/Q$6</f>
        <v>#DIV/0!</v>
      </c>
      <c r="R31" s="74" t="e">
        <f>data0!O26*$B$6/R$6</f>
        <v>#DIV/0!</v>
      </c>
      <c r="S31" s="74" t="e">
        <f>data0!P26*$B$6/S$6</f>
        <v>#DIV/0!</v>
      </c>
      <c r="T31" s="74" t="e">
        <f>data0!Q26*$B$6/T$6</f>
        <v>#DIV/0!</v>
      </c>
      <c r="U31" s="74" t="e">
        <f>data0!R26*$B$6/U$6</f>
        <v>#DIV/0!</v>
      </c>
      <c r="V31" s="74" t="e">
        <f>data0!S26*$B$6/V$6</f>
        <v>#DIV/0!</v>
      </c>
      <c r="W31" s="74" t="e">
        <f>data0!T26*$B$6/W$6</f>
        <v>#DIV/0!</v>
      </c>
      <c r="X31" s="74" t="e">
        <f>data0!U26*$B$6/X$6</f>
        <v>#DIV/0!</v>
      </c>
      <c r="Y31" s="74" t="e">
        <f>data0!V26*$B$6/Y$6</f>
        <v>#DIV/0!</v>
      </c>
      <c r="Z31" s="74" t="e">
        <f>data0!W26*$B$6/Z$6</f>
        <v>#DIV/0!</v>
      </c>
      <c r="AA31" s="74" t="e">
        <f>data0!X26*$B$6/AA$6</f>
        <v>#DIV/0!</v>
      </c>
      <c r="AB31" s="74" t="e">
        <f>data0!Y26*$B$6/AB$6</f>
        <v>#DIV/0!</v>
      </c>
      <c r="AC31" s="74" t="e">
        <f>data0!Z26*$B$6/AC$6</f>
        <v>#DIV/0!</v>
      </c>
      <c r="AD31" s="74" t="e">
        <f>data0!AA26*$B$6/AD$6</f>
        <v>#DIV/0!</v>
      </c>
      <c r="AE31" s="74" t="e">
        <f>data0!AB26*$B$6/AE$6</f>
        <v>#DIV/0!</v>
      </c>
      <c r="AF31" s="74" t="e">
        <f>data0!AC26*$B$6/AF$6</f>
        <v>#DIV/0!</v>
      </c>
      <c r="AG31" s="74" t="e">
        <f>data0!AD26*$B$6/AG$6</f>
        <v>#DIV/0!</v>
      </c>
      <c r="AH31" s="74" t="e">
        <f>data0!AE26*$B$6/AH$6</f>
        <v>#DIV/0!</v>
      </c>
      <c r="AI31" s="74" t="e">
        <f>data0!AF26*$B$6/AI$6</f>
        <v>#DIV/0!</v>
      </c>
      <c r="AJ31" s="74" t="e">
        <f>data0!AG26*$B$6/AJ$6</f>
        <v>#DIV/0!</v>
      </c>
    </row>
    <row r="32" spans="1:36">
      <c r="A32" s="29">
        <f>data0!A27</f>
        <v>-15</v>
      </c>
      <c r="B32" s="74" t="e">
        <f>AVERAGE(data0!B27:AG27)</f>
        <v>#DIV/0!</v>
      </c>
      <c r="C32" s="74" t="e">
        <f t="shared" si="0"/>
        <v>#DIV/0!</v>
      </c>
      <c r="D32" s="74" t="e">
        <f t="shared" si="1"/>
        <v>#DIV/0!</v>
      </c>
      <c r="E32" s="74" t="e">
        <f>data0!B27*$B$6/E$6</f>
        <v>#DIV/0!</v>
      </c>
      <c r="F32" s="74" t="e">
        <f>data0!C27*$B$6/F$6</f>
        <v>#DIV/0!</v>
      </c>
      <c r="G32" s="74" t="e">
        <f>data0!D27*$B$6/G$6</f>
        <v>#DIV/0!</v>
      </c>
      <c r="H32" s="74" t="e">
        <f>data0!E27*$B$6/H$6</f>
        <v>#DIV/0!</v>
      </c>
      <c r="I32" s="74" t="e">
        <f>data0!F27*$B$6/I$6</f>
        <v>#DIV/0!</v>
      </c>
      <c r="J32" s="74" t="e">
        <f>data0!G27*$B$6/J$6</f>
        <v>#DIV/0!</v>
      </c>
      <c r="K32" s="74" t="e">
        <f>data0!H27*$B$6/K$6</f>
        <v>#DIV/0!</v>
      </c>
      <c r="L32" s="74" t="e">
        <f>data0!I27*$B$6/L$6</f>
        <v>#DIV/0!</v>
      </c>
      <c r="M32" s="74" t="e">
        <f>data0!J27*$B$6/M$6</f>
        <v>#DIV/0!</v>
      </c>
      <c r="N32" s="74" t="e">
        <f>data0!K27*$B$6/N$6</f>
        <v>#DIV/0!</v>
      </c>
      <c r="O32" s="74" t="e">
        <f>data0!L27*$B$6/O$6</f>
        <v>#DIV/0!</v>
      </c>
      <c r="P32" s="74" t="e">
        <f>data0!M27*$B$6/P$6</f>
        <v>#DIV/0!</v>
      </c>
      <c r="Q32" s="74" t="e">
        <f>data0!N27*$B$6/Q$6</f>
        <v>#DIV/0!</v>
      </c>
      <c r="R32" s="74" t="e">
        <f>data0!O27*$B$6/R$6</f>
        <v>#DIV/0!</v>
      </c>
      <c r="S32" s="74" t="e">
        <f>data0!P27*$B$6/S$6</f>
        <v>#DIV/0!</v>
      </c>
      <c r="T32" s="74" t="e">
        <f>data0!Q27*$B$6/T$6</f>
        <v>#DIV/0!</v>
      </c>
      <c r="U32" s="74" t="e">
        <f>data0!R27*$B$6/U$6</f>
        <v>#DIV/0!</v>
      </c>
      <c r="V32" s="74" t="e">
        <f>data0!S27*$B$6/V$6</f>
        <v>#DIV/0!</v>
      </c>
      <c r="W32" s="74" t="e">
        <f>data0!T27*$B$6/W$6</f>
        <v>#DIV/0!</v>
      </c>
      <c r="X32" s="74" t="e">
        <f>data0!U27*$B$6/X$6</f>
        <v>#DIV/0!</v>
      </c>
      <c r="Y32" s="74" t="e">
        <f>data0!V27*$B$6/Y$6</f>
        <v>#DIV/0!</v>
      </c>
      <c r="Z32" s="74" t="e">
        <f>data0!W27*$B$6/Z$6</f>
        <v>#DIV/0!</v>
      </c>
      <c r="AA32" s="74" t="e">
        <f>data0!X27*$B$6/AA$6</f>
        <v>#DIV/0!</v>
      </c>
      <c r="AB32" s="74" t="e">
        <f>data0!Y27*$B$6/AB$6</f>
        <v>#DIV/0!</v>
      </c>
      <c r="AC32" s="74" t="e">
        <f>data0!Z27*$B$6/AC$6</f>
        <v>#DIV/0!</v>
      </c>
      <c r="AD32" s="74" t="e">
        <f>data0!AA27*$B$6/AD$6</f>
        <v>#DIV/0!</v>
      </c>
      <c r="AE32" s="74" t="e">
        <f>data0!AB27*$B$6/AE$6</f>
        <v>#DIV/0!</v>
      </c>
      <c r="AF32" s="74" t="e">
        <f>data0!AC27*$B$6/AF$6</f>
        <v>#DIV/0!</v>
      </c>
      <c r="AG32" s="74" t="e">
        <f>data0!AD27*$B$6/AG$6</f>
        <v>#DIV/0!</v>
      </c>
      <c r="AH32" s="74" t="e">
        <f>data0!AE27*$B$6/AH$6</f>
        <v>#DIV/0!</v>
      </c>
      <c r="AI32" s="74" t="e">
        <f>data0!AF27*$B$6/AI$6</f>
        <v>#DIV/0!</v>
      </c>
      <c r="AJ32" s="74" t="e">
        <f>data0!AG27*$B$6/AJ$6</f>
        <v>#DIV/0!</v>
      </c>
    </row>
    <row r="33" spans="1:36">
      <c r="A33" s="29">
        <f>data0!A28</f>
        <v>-12</v>
      </c>
      <c r="B33" s="74" t="e">
        <f>AVERAGE(data0!B28:AG28)</f>
        <v>#DIV/0!</v>
      </c>
      <c r="C33" s="74" t="e">
        <f t="shared" si="0"/>
        <v>#DIV/0!</v>
      </c>
      <c r="D33" s="74" t="e">
        <f t="shared" si="1"/>
        <v>#DIV/0!</v>
      </c>
      <c r="E33" s="74" t="e">
        <f>data0!B28*$B$6/E$6</f>
        <v>#DIV/0!</v>
      </c>
      <c r="F33" s="74" t="e">
        <f>data0!C28*$B$6/F$6</f>
        <v>#DIV/0!</v>
      </c>
      <c r="G33" s="74" t="e">
        <f>data0!D28*$B$6/G$6</f>
        <v>#DIV/0!</v>
      </c>
      <c r="H33" s="74" t="e">
        <f>data0!E28*$B$6/H$6</f>
        <v>#DIV/0!</v>
      </c>
      <c r="I33" s="74" t="e">
        <f>data0!F28*$B$6/I$6</f>
        <v>#DIV/0!</v>
      </c>
      <c r="J33" s="74" t="e">
        <f>data0!G28*$B$6/J$6</f>
        <v>#DIV/0!</v>
      </c>
      <c r="K33" s="74" t="e">
        <f>data0!H28*$B$6/K$6</f>
        <v>#DIV/0!</v>
      </c>
      <c r="L33" s="74" t="e">
        <f>data0!I28*$B$6/L$6</f>
        <v>#DIV/0!</v>
      </c>
      <c r="M33" s="74" t="e">
        <f>data0!J28*$B$6/M$6</f>
        <v>#DIV/0!</v>
      </c>
      <c r="N33" s="74" t="e">
        <f>data0!K28*$B$6/N$6</f>
        <v>#DIV/0!</v>
      </c>
      <c r="O33" s="74" t="e">
        <f>data0!L28*$B$6/O$6</f>
        <v>#DIV/0!</v>
      </c>
      <c r="P33" s="74" t="e">
        <f>data0!M28*$B$6/P$6</f>
        <v>#DIV/0!</v>
      </c>
      <c r="Q33" s="74" t="e">
        <f>data0!N28*$B$6/Q$6</f>
        <v>#DIV/0!</v>
      </c>
      <c r="R33" s="74" t="e">
        <f>data0!O28*$B$6/R$6</f>
        <v>#DIV/0!</v>
      </c>
      <c r="S33" s="74" t="e">
        <f>data0!P28*$B$6/S$6</f>
        <v>#DIV/0!</v>
      </c>
      <c r="T33" s="74" t="e">
        <f>data0!Q28*$B$6/T$6</f>
        <v>#DIV/0!</v>
      </c>
      <c r="U33" s="74" t="e">
        <f>data0!R28*$B$6/U$6</f>
        <v>#DIV/0!</v>
      </c>
      <c r="V33" s="74" t="e">
        <f>data0!S28*$B$6/V$6</f>
        <v>#DIV/0!</v>
      </c>
      <c r="W33" s="74" t="e">
        <f>data0!T28*$B$6/W$6</f>
        <v>#DIV/0!</v>
      </c>
      <c r="X33" s="74" t="e">
        <f>data0!U28*$B$6/X$6</f>
        <v>#DIV/0!</v>
      </c>
      <c r="Y33" s="74" t="e">
        <f>data0!V28*$B$6/Y$6</f>
        <v>#DIV/0!</v>
      </c>
      <c r="Z33" s="74" t="e">
        <f>data0!W28*$B$6/Z$6</f>
        <v>#DIV/0!</v>
      </c>
      <c r="AA33" s="74" t="e">
        <f>data0!X28*$B$6/AA$6</f>
        <v>#DIV/0!</v>
      </c>
      <c r="AB33" s="74" t="e">
        <f>data0!Y28*$B$6/AB$6</f>
        <v>#DIV/0!</v>
      </c>
      <c r="AC33" s="74" t="e">
        <f>data0!Z28*$B$6/AC$6</f>
        <v>#DIV/0!</v>
      </c>
      <c r="AD33" s="74" t="e">
        <f>data0!AA28*$B$6/AD$6</f>
        <v>#DIV/0!</v>
      </c>
      <c r="AE33" s="74" t="e">
        <f>data0!AB28*$B$6/AE$6</f>
        <v>#DIV/0!</v>
      </c>
      <c r="AF33" s="74" t="e">
        <f>data0!AC28*$B$6/AF$6</f>
        <v>#DIV/0!</v>
      </c>
      <c r="AG33" s="74" t="e">
        <f>data0!AD28*$B$6/AG$6</f>
        <v>#DIV/0!</v>
      </c>
      <c r="AH33" s="74" t="e">
        <f>data0!AE28*$B$6/AH$6</f>
        <v>#DIV/0!</v>
      </c>
      <c r="AI33" s="74" t="e">
        <f>data0!AF28*$B$6/AI$6</f>
        <v>#DIV/0!</v>
      </c>
      <c r="AJ33" s="74" t="e">
        <f>data0!AG28*$B$6/AJ$6</f>
        <v>#DIV/0!</v>
      </c>
    </row>
    <row r="34" spans="1:36">
      <c r="A34" s="29">
        <f>data0!A29</f>
        <v>-9</v>
      </c>
      <c r="B34" s="74" t="e">
        <f>AVERAGE(data0!B29:AG29)</f>
        <v>#DIV/0!</v>
      </c>
      <c r="C34" s="74" t="e">
        <f t="shared" si="0"/>
        <v>#DIV/0!</v>
      </c>
      <c r="D34" s="74" t="e">
        <f t="shared" si="1"/>
        <v>#DIV/0!</v>
      </c>
      <c r="E34" s="74" t="e">
        <f>data0!B29*$B$6/E$6</f>
        <v>#DIV/0!</v>
      </c>
      <c r="F34" s="74" t="e">
        <f>data0!C29*$B$6/F$6</f>
        <v>#DIV/0!</v>
      </c>
      <c r="G34" s="74" t="e">
        <f>data0!D29*$B$6/G$6</f>
        <v>#DIV/0!</v>
      </c>
      <c r="H34" s="74" t="e">
        <f>data0!E29*$B$6/H$6</f>
        <v>#DIV/0!</v>
      </c>
      <c r="I34" s="74" t="e">
        <f>data0!F29*$B$6/I$6</f>
        <v>#DIV/0!</v>
      </c>
      <c r="J34" s="74" t="e">
        <f>data0!G29*$B$6/J$6</f>
        <v>#DIV/0!</v>
      </c>
      <c r="K34" s="74" t="e">
        <f>data0!H29*$B$6/K$6</f>
        <v>#DIV/0!</v>
      </c>
      <c r="L34" s="74" t="e">
        <f>data0!I29*$B$6/L$6</f>
        <v>#DIV/0!</v>
      </c>
      <c r="M34" s="74" t="e">
        <f>data0!J29*$B$6/M$6</f>
        <v>#DIV/0!</v>
      </c>
      <c r="N34" s="74" t="e">
        <f>data0!K29*$B$6/N$6</f>
        <v>#DIV/0!</v>
      </c>
      <c r="O34" s="74" t="e">
        <f>data0!L29*$B$6/O$6</f>
        <v>#DIV/0!</v>
      </c>
      <c r="P34" s="74" t="e">
        <f>data0!M29*$B$6/P$6</f>
        <v>#DIV/0!</v>
      </c>
      <c r="Q34" s="74" t="e">
        <f>data0!N29*$B$6/Q$6</f>
        <v>#DIV/0!</v>
      </c>
      <c r="R34" s="74" t="e">
        <f>data0!O29*$B$6/R$6</f>
        <v>#DIV/0!</v>
      </c>
      <c r="S34" s="74" t="e">
        <f>data0!P29*$B$6/S$6</f>
        <v>#DIV/0!</v>
      </c>
      <c r="T34" s="74" t="e">
        <f>data0!Q29*$B$6/T$6</f>
        <v>#DIV/0!</v>
      </c>
      <c r="U34" s="74" t="e">
        <f>data0!R29*$B$6/U$6</f>
        <v>#DIV/0!</v>
      </c>
      <c r="V34" s="74" t="e">
        <f>data0!S29*$B$6/V$6</f>
        <v>#DIV/0!</v>
      </c>
      <c r="W34" s="74" t="e">
        <f>data0!T29*$B$6/W$6</f>
        <v>#DIV/0!</v>
      </c>
      <c r="X34" s="74" t="e">
        <f>data0!U29*$B$6/X$6</f>
        <v>#DIV/0!</v>
      </c>
      <c r="Y34" s="74" t="e">
        <f>data0!V29*$B$6/Y$6</f>
        <v>#DIV/0!</v>
      </c>
      <c r="Z34" s="74" t="e">
        <f>data0!W29*$B$6/Z$6</f>
        <v>#DIV/0!</v>
      </c>
      <c r="AA34" s="74" t="e">
        <f>data0!X29*$B$6/AA$6</f>
        <v>#DIV/0!</v>
      </c>
      <c r="AB34" s="74" t="e">
        <f>data0!Y29*$B$6/AB$6</f>
        <v>#DIV/0!</v>
      </c>
      <c r="AC34" s="74" t="e">
        <f>data0!Z29*$B$6/AC$6</f>
        <v>#DIV/0!</v>
      </c>
      <c r="AD34" s="74" t="e">
        <f>data0!AA29*$B$6/AD$6</f>
        <v>#DIV/0!</v>
      </c>
      <c r="AE34" s="74" t="e">
        <f>data0!AB29*$B$6/AE$6</f>
        <v>#DIV/0!</v>
      </c>
      <c r="AF34" s="74" t="e">
        <f>data0!AC29*$B$6/AF$6</f>
        <v>#DIV/0!</v>
      </c>
      <c r="AG34" s="74" t="e">
        <f>data0!AD29*$B$6/AG$6</f>
        <v>#DIV/0!</v>
      </c>
      <c r="AH34" s="74" t="e">
        <f>data0!AE29*$B$6/AH$6</f>
        <v>#DIV/0!</v>
      </c>
      <c r="AI34" s="74" t="e">
        <f>data0!AF29*$B$6/AI$6</f>
        <v>#DIV/0!</v>
      </c>
      <c r="AJ34" s="74" t="e">
        <f>data0!AG29*$B$6/AJ$6</f>
        <v>#DIV/0!</v>
      </c>
    </row>
    <row r="35" spans="1:36">
      <c r="A35" s="29">
        <f>data0!A30</f>
        <v>-6</v>
      </c>
      <c r="B35" s="74" t="e">
        <f>AVERAGE(data0!B30:AG30)</f>
        <v>#DIV/0!</v>
      </c>
      <c r="C35" s="74" t="e">
        <f t="shared" si="0"/>
        <v>#DIV/0!</v>
      </c>
      <c r="D35" s="74" t="e">
        <f t="shared" si="1"/>
        <v>#DIV/0!</v>
      </c>
      <c r="E35" s="74" t="e">
        <f>data0!B30*$B$6/E$6</f>
        <v>#DIV/0!</v>
      </c>
      <c r="F35" s="74" t="e">
        <f>data0!C30*$B$6/F$6</f>
        <v>#DIV/0!</v>
      </c>
      <c r="G35" s="74" t="e">
        <f>data0!D30*$B$6/G$6</f>
        <v>#DIV/0!</v>
      </c>
      <c r="H35" s="74" t="e">
        <f>data0!E30*$B$6/H$6</f>
        <v>#DIV/0!</v>
      </c>
      <c r="I35" s="74" t="e">
        <f>data0!F30*$B$6/I$6</f>
        <v>#DIV/0!</v>
      </c>
      <c r="J35" s="74" t="e">
        <f>data0!G30*$B$6/J$6</f>
        <v>#DIV/0!</v>
      </c>
      <c r="K35" s="74" t="e">
        <f>data0!H30*$B$6/K$6</f>
        <v>#DIV/0!</v>
      </c>
      <c r="L35" s="74" t="e">
        <f>data0!I30*$B$6/L$6</f>
        <v>#DIV/0!</v>
      </c>
      <c r="M35" s="74" t="e">
        <f>data0!J30*$B$6/M$6</f>
        <v>#DIV/0!</v>
      </c>
      <c r="N35" s="74" t="e">
        <f>data0!K30*$B$6/N$6</f>
        <v>#DIV/0!</v>
      </c>
      <c r="O35" s="74" t="e">
        <f>data0!L30*$B$6/O$6</f>
        <v>#DIV/0!</v>
      </c>
      <c r="P35" s="74" t="e">
        <f>data0!M30*$B$6/P$6</f>
        <v>#DIV/0!</v>
      </c>
      <c r="Q35" s="74" t="e">
        <f>data0!N30*$B$6/Q$6</f>
        <v>#DIV/0!</v>
      </c>
      <c r="R35" s="74" t="e">
        <f>data0!O30*$B$6/R$6</f>
        <v>#DIV/0!</v>
      </c>
      <c r="S35" s="74" t="e">
        <f>data0!P30*$B$6/S$6</f>
        <v>#DIV/0!</v>
      </c>
      <c r="T35" s="74" t="e">
        <f>data0!Q30*$B$6/T$6</f>
        <v>#DIV/0!</v>
      </c>
      <c r="U35" s="74" t="e">
        <f>data0!R30*$B$6/U$6</f>
        <v>#DIV/0!</v>
      </c>
      <c r="V35" s="74" t="e">
        <f>data0!S30*$B$6/V$6</f>
        <v>#DIV/0!</v>
      </c>
      <c r="W35" s="74" t="e">
        <f>data0!T30*$B$6/W$6</f>
        <v>#DIV/0!</v>
      </c>
      <c r="X35" s="74" t="e">
        <f>data0!U30*$B$6/X$6</f>
        <v>#DIV/0!</v>
      </c>
      <c r="Y35" s="74" t="e">
        <f>data0!V30*$B$6/Y$6</f>
        <v>#DIV/0!</v>
      </c>
      <c r="Z35" s="74" t="e">
        <f>data0!W30*$B$6/Z$6</f>
        <v>#DIV/0!</v>
      </c>
      <c r="AA35" s="74" t="e">
        <f>data0!X30*$B$6/AA$6</f>
        <v>#DIV/0!</v>
      </c>
      <c r="AB35" s="74" t="e">
        <f>data0!Y30*$B$6/AB$6</f>
        <v>#DIV/0!</v>
      </c>
      <c r="AC35" s="74" t="e">
        <f>data0!Z30*$B$6/AC$6</f>
        <v>#DIV/0!</v>
      </c>
      <c r="AD35" s="74" t="e">
        <f>data0!AA30*$B$6/AD$6</f>
        <v>#DIV/0!</v>
      </c>
      <c r="AE35" s="74" t="e">
        <f>data0!AB30*$B$6/AE$6</f>
        <v>#DIV/0!</v>
      </c>
      <c r="AF35" s="74" t="e">
        <f>data0!AC30*$B$6/AF$6</f>
        <v>#DIV/0!</v>
      </c>
      <c r="AG35" s="74" t="e">
        <f>data0!AD30*$B$6/AG$6</f>
        <v>#DIV/0!</v>
      </c>
      <c r="AH35" s="74" t="e">
        <f>data0!AE30*$B$6/AH$6</f>
        <v>#DIV/0!</v>
      </c>
      <c r="AI35" s="74" t="e">
        <f>data0!AF30*$B$6/AI$6</f>
        <v>#DIV/0!</v>
      </c>
      <c r="AJ35" s="74" t="e">
        <f>data0!AG30*$B$6/AJ$6</f>
        <v>#DIV/0!</v>
      </c>
    </row>
    <row r="36" spans="1:36">
      <c r="A36" s="29">
        <f>data0!A31</f>
        <v>-3</v>
      </c>
      <c r="B36" s="74" t="e">
        <f>AVERAGE(data0!B31:AG31)</f>
        <v>#DIV/0!</v>
      </c>
      <c r="C36" s="74" t="e">
        <f t="shared" si="0"/>
        <v>#DIV/0!</v>
      </c>
      <c r="D36" s="74" t="e">
        <f t="shared" si="1"/>
        <v>#DIV/0!</v>
      </c>
      <c r="E36" s="74" t="e">
        <f>data0!B31*$B$6/E$6</f>
        <v>#DIV/0!</v>
      </c>
      <c r="F36" s="74" t="e">
        <f>data0!C31*$B$6/F$6</f>
        <v>#DIV/0!</v>
      </c>
      <c r="G36" s="74" t="e">
        <f>data0!D31*$B$6/G$6</f>
        <v>#DIV/0!</v>
      </c>
      <c r="H36" s="74" t="e">
        <f>data0!E31*$B$6/H$6</f>
        <v>#DIV/0!</v>
      </c>
      <c r="I36" s="74" t="e">
        <f>data0!F31*$B$6/I$6</f>
        <v>#DIV/0!</v>
      </c>
      <c r="J36" s="74" t="e">
        <f>data0!G31*$B$6/J$6</f>
        <v>#DIV/0!</v>
      </c>
      <c r="K36" s="74" t="e">
        <f>data0!H31*$B$6/K$6</f>
        <v>#DIV/0!</v>
      </c>
      <c r="L36" s="74" t="e">
        <f>data0!I31*$B$6/L$6</f>
        <v>#DIV/0!</v>
      </c>
      <c r="M36" s="74" t="e">
        <f>data0!J31*$B$6/M$6</f>
        <v>#DIV/0!</v>
      </c>
      <c r="N36" s="74" t="e">
        <f>data0!K31*$B$6/N$6</f>
        <v>#DIV/0!</v>
      </c>
      <c r="O36" s="74" t="e">
        <f>data0!L31*$B$6/O$6</f>
        <v>#DIV/0!</v>
      </c>
      <c r="P36" s="74" t="e">
        <f>data0!M31*$B$6/P$6</f>
        <v>#DIV/0!</v>
      </c>
      <c r="Q36" s="74" t="e">
        <f>data0!N31*$B$6/Q$6</f>
        <v>#DIV/0!</v>
      </c>
      <c r="R36" s="74" t="e">
        <f>data0!O31*$B$6/R$6</f>
        <v>#DIV/0!</v>
      </c>
      <c r="S36" s="74" t="e">
        <f>data0!P31*$B$6/S$6</f>
        <v>#DIV/0!</v>
      </c>
      <c r="T36" s="74" t="e">
        <f>data0!Q31*$B$6/T$6</f>
        <v>#DIV/0!</v>
      </c>
      <c r="U36" s="74" t="e">
        <f>data0!R31*$B$6/U$6</f>
        <v>#DIV/0!</v>
      </c>
      <c r="V36" s="74" t="e">
        <f>data0!S31*$B$6/V$6</f>
        <v>#DIV/0!</v>
      </c>
      <c r="W36" s="74" t="e">
        <f>data0!T31*$B$6/W$6</f>
        <v>#DIV/0!</v>
      </c>
      <c r="X36" s="74" t="e">
        <f>data0!U31*$B$6/X$6</f>
        <v>#DIV/0!</v>
      </c>
      <c r="Y36" s="74" t="e">
        <f>data0!V31*$B$6/Y$6</f>
        <v>#DIV/0!</v>
      </c>
      <c r="Z36" s="74" t="e">
        <f>data0!W31*$B$6/Z$6</f>
        <v>#DIV/0!</v>
      </c>
      <c r="AA36" s="74" t="e">
        <f>data0!X31*$B$6/AA$6</f>
        <v>#DIV/0!</v>
      </c>
      <c r="AB36" s="74" t="e">
        <f>data0!Y31*$B$6/AB$6</f>
        <v>#DIV/0!</v>
      </c>
      <c r="AC36" s="74" t="e">
        <f>data0!Z31*$B$6/AC$6</f>
        <v>#DIV/0!</v>
      </c>
      <c r="AD36" s="74" t="e">
        <f>data0!AA31*$B$6/AD$6</f>
        <v>#DIV/0!</v>
      </c>
      <c r="AE36" s="74" t="e">
        <f>data0!AB31*$B$6/AE$6</f>
        <v>#DIV/0!</v>
      </c>
      <c r="AF36" s="74" t="e">
        <f>data0!AC31*$B$6/AF$6</f>
        <v>#DIV/0!</v>
      </c>
      <c r="AG36" s="74" t="e">
        <f>data0!AD31*$B$6/AG$6</f>
        <v>#DIV/0!</v>
      </c>
      <c r="AH36" s="74" t="e">
        <f>data0!AE31*$B$6/AH$6</f>
        <v>#DIV/0!</v>
      </c>
      <c r="AI36" s="74" t="e">
        <f>data0!AF31*$B$6/AI$6</f>
        <v>#DIV/0!</v>
      </c>
      <c r="AJ36" s="74" t="e">
        <f>data0!AG31*$B$6/AJ$6</f>
        <v>#DIV/0!</v>
      </c>
    </row>
    <row r="37" spans="1:36">
      <c r="A37" s="29">
        <f>data0!A32</f>
        <v>0</v>
      </c>
      <c r="B37" s="74" t="e">
        <f>AVERAGE(data0!B32:AG32)</f>
        <v>#DIV/0!</v>
      </c>
      <c r="C37" s="74" t="e">
        <f t="shared" si="0"/>
        <v>#DIV/0!</v>
      </c>
      <c r="D37" s="74" t="e">
        <f t="shared" si="1"/>
        <v>#DIV/0!</v>
      </c>
      <c r="E37" s="74" t="e">
        <f>data0!B32*$B$6/E$6</f>
        <v>#DIV/0!</v>
      </c>
      <c r="F37" s="74" t="e">
        <f>data0!C32*$B$6/F$6</f>
        <v>#DIV/0!</v>
      </c>
      <c r="G37" s="74" t="e">
        <f>data0!D32*$B$6/G$6</f>
        <v>#DIV/0!</v>
      </c>
      <c r="H37" s="74" t="e">
        <f>data0!E32*$B$6/H$6</f>
        <v>#DIV/0!</v>
      </c>
      <c r="I37" s="74" t="e">
        <f>data0!F32*$B$6/I$6</f>
        <v>#DIV/0!</v>
      </c>
      <c r="J37" s="74" t="e">
        <f>data0!G32*$B$6/J$6</f>
        <v>#DIV/0!</v>
      </c>
      <c r="K37" s="74" t="e">
        <f>data0!H32*$B$6/K$6</f>
        <v>#DIV/0!</v>
      </c>
      <c r="L37" s="74" t="e">
        <f>data0!I32*$B$6/L$6</f>
        <v>#DIV/0!</v>
      </c>
      <c r="M37" s="74" t="e">
        <f>data0!J32*$B$6/M$6</f>
        <v>#DIV/0!</v>
      </c>
      <c r="N37" s="74" t="e">
        <f>data0!K32*$B$6/N$6</f>
        <v>#DIV/0!</v>
      </c>
      <c r="O37" s="74" t="e">
        <f>data0!L32*$B$6/O$6</f>
        <v>#DIV/0!</v>
      </c>
      <c r="P37" s="74" t="e">
        <f>data0!M32*$B$6/P$6</f>
        <v>#DIV/0!</v>
      </c>
      <c r="Q37" s="74" t="e">
        <f>data0!N32*$B$6/Q$6</f>
        <v>#DIV/0!</v>
      </c>
      <c r="R37" s="74" t="e">
        <f>data0!O32*$B$6/R$6</f>
        <v>#DIV/0!</v>
      </c>
      <c r="S37" s="74" t="e">
        <f>data0!P32*$B$6/S$6</f>
        <v>#DIV/0!</v>
      </c>
      <c r="T37" s="74" t="e">
        <f>data0!Q32*$B$6/T$6</f>
        <v>#DIV/0!</v>
      </c>
      <c r="U37" s="74" t="e">
        <f>data0!R32*$B$6/U$6</f>
        <v>#DIV/0!</v>
      </c>
      <c r="V37" s="74" t="e">
        <f>data0!S32*$B$6/V$6</f>
        <v>#DIV/0!</v>
      </c>
      <c r="W37" s="74" t="e">
        <f>data0!T32*$B$6/W$6</f>
        <v>#DIV/0!</v>
      </c>
      <c r="X37" s="74" t="e">
        <f>data0!U32*$B$6/X$6</f>
        <v>#DIV/0!</v>
      </c>
      <c r="Y37" s="74" t="e">
        <f>data0!V32*$B$6/Y$6</f>
        <v>#DIV/0!</v>
      </c>
      <c r="Z37" s="74" t="e">
        <f>data0!W32*$B$6/Z$6</f>
        <v>#DIV/0!</v>
      </c>
      <c r="AA37" s="74" t="e">
        <f>data0!X32*$B$6/AA$6</f>
        <v>#DIV/0!</v>
      </c>
      <c r="AB37" s="74" t="e">
        <f>data0!Y32*$B$6/AB$6</f>
        <v>#DIV/0!</v>
      </c>
      <c r="AC37" s="74" t="e">
        <f>data0!Z32*$B$6/AC$6</f>
        <v>#DIV/0!</v>
      </c>
      <c r="AD37" s="74" t="e">
        <f>data0!AA32*$B$6/AD$6</f>
        <v>#DIV/0!</v>
      </c>
      <c r="AE37" s="74" t="e">
        <f>data0!AB32*$B$6/AE$6</f>
        <v>#DIV/0!</v>
      </c>
      <c r="AF37" s="74" t="e">
        <f>data0!AC32*$B$6/AF$6</f>
        <v>#DIV/0!</v>
      </c>
      <c r="AG37" s="74" t="e">
        <f>data0!AD32*$B$6/AG$6</f>
        <v>#DIV/0!</v>
      </c>
      <c r="AH37" s="74" t="e">
        <f>data0!AE32*$B$6/AH$6</f>
        <v>#DIV/0!</v>
      </c>
      <c r="AI37" s="74" t="e">
        <f>data0!AF32*$B$6/AI$6</f>
        <v>#DIV/0!</v>
      </c>
      <c r="AJ37" s="74" t="e">
        <f>data0!AG32*$B$6/AJ$6</f>
        <v>#DIV/0!</v>
      </c>
    </row>
    <row r="38" spans="1:36">
      <c r="A38" s="29">
        <f>data0!A33</f>
        <v>3</v>
      </c>
      <c r="B38" s="74" t="e">
        <f>AVERAGE(data0!B33:AG33)</f>
        <v>#DIV/0!</v>
      </c>
      <c r="C38" s="74" t="e">
        <f t="shared" si="0"/>
        <v>#DIV/0!</v>
      </c>
      <c r="D38" s="74" t="e">
        <f t="shared" si="1"/>
        <v>#DIV/0!</v>
      </c>
      <c r="E38" s="74" t="e">
        <f>data0!B33*$B$6/E$6</f>
        <v>#DIV/0!</v>
      </c>
      <c r="F38" s="74" t="e">
        <f>data0!C33*$B$6/F$6</f>
        <v>#DIV/0!</v>
      </c>
      <c r="G38" s="74" t="e">
        <f>data0!D33*$B$6/G$6</f>
        <v>#DIV/0!</v>
      </c>
      <c r="H38" s="74" t="e">
        <f>data0!E33*$B$6/H$6</f>
        <v>#DIV/0!</v>
      </c>
      <c r="I38" s="74" t="e">
        <f>data0!F33*$B$6/I$6</f>
        <v>#DIV/0!</v>
      </c>
      <c r="J38" s="74" t="e">
        <f>data0!G33*$B$6/J$6</f>
        <v>#DIV/0!</v>
      </c>
      <c r="K38" s="74" t="e">
        <f>data0!H33*$B$6/K$6</f>
        <v>#DIV/0!</v>
      </c>
      <c r="L38" s="74" t="e">
        <f>data0!I33*$B$6/L$6</f>
        <v>#DIV/0!</v>
      </c>
      <c r="M38" s="74" t="e">
        <f>data0!J33*$B$6/M$6</f>
        <v>#DIV/0!</v>
      </c>
      <c r="N38" s="74" t="e">
        <f>data0!K33*$B$6/N$6</f>
        <v>#DIV/0!</v>
      </c>
      <c r="O38" s="74" t="e">
        <f>data0!L33*$B$6/O$6</f>
        <v>#DIV/0!</v>
      </c>
      <c r="P38" s="74" t="e">
        <f>data0!M33*$B$6/P$6</f>
        <v>#DIV/0!</v>
      </c>
      <c r="Q38" s="74" t="e">
        <f>data0!N33*$B$6/Q$6</f>
        <v>#DIV/0!</v>
      </c>
      <c r="R38" s="74" t="e">
        <f>data0!O33*$B$6/R$6</f>
        <v>#DIV/0!</v>
      </c>
      <c r="S38" s="74" t="e">
        <f>data0!P33*$B$6/S$6</f>
        <v>#DIV/0!</v>
      </c>
      <c r="T38" s="74" t="e">
        <f>data0!Q33*$B$6/T$6</f>
        <v>#DIV/0!</v>
      </c>
      <c r="U38" s="74" t="e">
        <f>data0!R33*$B$6/U$6</f>
        <v>#DIV/0!</v>
      </c>
      <c r="V38" s="74" t="e">
        <f>data0!S33*$B$6/V$6</f>
        <v>#DIV/0!</v>
      </c>
      <c r="W38" s="74" t="e">
        <f>data0!T33*$B$6/W$6</f>
        <v>#DIV/0!</v>
      </c>
      <c r="X38" s="74" t="e">
        <f>data0!U33*$B$6/X$6</f>
        <v>#DIV/0!</v>
      </c>
      <c r="Y38" s="74" t="e">
        <f>data0!V33*$B$6/Y$6</f>
        <v>#DIV/0!</v>
      </c>
      <c r="Z38" s="74" t="e">
        <f>data0!W33*$B$6/Z$6</f>
        <v>#DIV/0!</v>
      </c>
      <c r="AA38" s="74" t="e">
        <f>data0!X33*$B$6/AA$6</f>
        <v>#DIV/0!</v>
      </c>
      <c r="AB38" s="74" t="e">
        <f>data0!Y33*$B$6/AB$6</f>
        <v>#DIV/0!</v>
      </c>
      <c r="AC38" s="74" t="e">
        <f>data0!Z33*$B$6/AC$6</f>
        <v>#DIV/0!</v>
      </c>
      <c r="AD38" s="74" t="e">
        <f>data0!AA33*$B$6/AD$6</f>
        <v>#DIV/0!</v>
      </c>
      <c r="AE38" s="74" t="e">
        <f>data0!AB33*$B$6/AE$6</f>
        <v>#DIV/0!</v>
      </c>
      <c r="AF38" s="74" t="e">
        <f>data0!AC33*$B$6/AF$6</f>
        <v>#DIV/0!</v>
      </c>
      <c r="AG38" s="74" t="e">
        <f>data0!AD33*$B$6/AG$6</f>
        <v>#DIV/0!</v>
      </c>
      <c r="AH38" s="74" t="e">
        <f>data0!AE33*$B$6/AH$6</f>
        <v>#DIV/0!</v>
      </c>
      <c r="AI38" s="74" t="e">
        <f>data0!AF33*$B$6/AI$6</f>
        <v>#DIV/0!</v>
      </c>
      <c r="AJ38" s="74" t="e">
        <f>data0!AG33*$B$6/AJ$6</f>
        <v>#DIV/0!</v>
      </c>
    </row>
    <row r="39" spans="1:36">
      <c r="A39" s="29">
        <f>data0!A34</f>
        <v>6</v>
      </c>
      <c r="B39" s="74" t="e">
        <f>AVERAGE(data0!B34:AG34)</f>
        <v>#DIV/0!</v>
      </c>
      <c r="C39" s="74" t="e">
        <f t="shared" si="0"/>
        <v>#DIV/0!</v>
      </c>
      <c r="D39" s="74" t="e">
        <f t="shared" si="1"/>
        <v>#DIV/0!</v>
      </c>
      <c r="E39" s="74" t="e">
        <f>data0!B34*$B$6/E$6</f>
        <v>#DIV/0!</v>
      </c>
      <c r="F39" s="74" t="e">
        <f>data0!C34*$B$6/F$6</f>
        <v>#DIV/0!</v>
      </c>
      <c r="G39" s="74" t="e">
        <f>data0!D34*$B$6/G$6</f>
        <v>#DIV/0!</v>
      </c>
      <c r="H39" s="74" t="e">
        <f>data0!E34*$B$6/H$6</f>
        <v>#DIV/0!</v>
      </c>
      <c r="I39" s="74" t="e">
        <f>data0!F34*$B$6/I$6</f>
        <v>#DIV/0!</v>
      </c>
      <c r="J39" s="74" t="e">
        <f>data0!G34*$B$6/J$6</f>
        <v>#DIV/0!</v>
      </c>
      <c r="K39" s="74" t="e">
        <f>data0!H34*$B$6/K$6</f>
        <v>#DIV/0!</v>
      </c>
      <c r="L39" s="74" t="e">
        <f>data0!I34*$B$6/L$6</f>
        <v>#DIV/0!</v>
      </c>
      <c r="M39" s="74" t="e">
        <f>data0!J34*$B$6/M$6</f>
        <v>#DIV/0!</v>
      </c>
      <c r="N39" s="74" t="e">
        <f>data0!K34*$B$6/N$6</f>
        <v>#DIV/0!</v>
      </c>
      <c r="O39" s="74" t="e">
        <f>data0!L34*$B$6/O$6</f>
        <v>#DIV/0!</v>
      </c>
      <c r="P39" s="74" t="e">
        <f>data0!M34*$B$6/P$6</f>
        <v>#DIV/0!</v>
      </c>
      <c r="Q39" s="74" t="e">
        <f>data0!N34*$B$6/Q$6</f>
        <v>#DIV/0!</v>
      </c>
      <c r="R39" s="74" t="e">
        <f>data0!O34*$B$6/R$6</f>
        <v>#DIV/0!</v>
      </c>
      <c r="S39" s="74" t="e">
        <f>data0!P34*$B$6/S$6</f>
        <v>#DIV/0!</v>
      </c>
      <c r="T39" s="74" t="e">
        <f>data0!Q34*$B$6/T$6</f>
        <v>#DIV/0!</v>
      </c>
      <c r="U39" s="74" t="e">
        <f>data0!R34*$B$6/U$6</f>
        <v>#DIV/0!</v>
      </c>
      <c r="V39" s="74" t="e">
        <f>data0!S34*$B$6/V$6</f>
        <v>#DIV/0!</v>
      </c>
      <c r="W39" s="74" t="e">
        <f>data0!T34*$B$6/W$6</f>
        <v>#DIV/0!</v>
      </c>
      <c r="X39" s="74" t="e">
        <f>data0!U34*$B$6/X$6</f>
        <v>#DIV/0!</v>
      </c>
      <c r="Y39" s="74" t="e">
        <f>data0!V34*$B$6/Y$6</f>
        <v>#DIV/0!</v>
      </c>
      <c r="Z39" s="74" t="e">
        <f>data0!W34*$B$6/Z$6</f>
        <v>#DIV/0!</v>
      </c>
      <c r="AA39" s="74" t="e">
        <f>data0!X34*$B$6/AA$6</f>
        <v>#DIV/0!</v>
      </c>
      <c r="AB39" s="74" t="e">
        <f>data0!Y34*$B$6/AB$6</f>
        <v>#DIV/0!</v>
      </c>
      <c r="AC39" s="74" t="e">
        <f>data0!Z34*$B$6/AC$6</f>
        <v>#DIV/0!</v>
      </c>
      <c r="AD39" s="74" t="e">
        <f>data0!AA34*$B$6/AD$6</f>
        <v>#DIV/0!</v>
      </c>
      <c r="AE39" s="74" t="e">
        <f>data0!AB34*$B$6/AE$6</f>
        <v>#DIV/0!</v>
      </c>
      <c r="AF39" s="74" t="e">
        <f>data0!AC34*$B$6/AF$6</f>
        <v>#DIV/0!</v>
      </c>
      <c r="AG39" s="74" t="e">
        <f>data0!AD34*$B$6/AG$6</f>
        <v>#DIV/0!</v>
      </c>
      <c r="AH39" s="74" t="e">
        <f>data0!AE34*$B$6/AH$6</f>
        <v>#DIV/0!</v>
      </c>
      <c r="AI39" s="74" t="e">
        <f>data0!AF34*$B$6/AI$6</f>
        <v>#DIV/0!</v>
      </c>
      <c r="AJ39" s="74" t="e">
        <f>data0!AG34*$B$6/AJ$6</f>
        <v>#DIV/0!</v>
      </c>
    </row>
    <row r="40" spans="1:36">
      <c r="A40" s="29">
        <f>data0!A35</f>
        <v>9</v>
      </c>
      <c r="B40" s="74" t="e">
        <f>AVERAGE(data0!B35:AG35)</f>
        <v>#DIV/0!</v>
      </c>
      <c r="C40" s="74" t="e">
        <f t="shared" si="0"/>
        <v>#DIV/0!</v>
      </c>
      <c r="D40" s="74" t="e">
        <f t="shared" si="1"/>
        <v>#DIV/0!</v>
      </c>
      <c r="E40" s="74" t="e">
        <f>data0!B35*$B$6/E$6</f>
        <v>#DIV/0!</v>
      </c>
      <c r="F40" s="74" t="e">
        <f>data0!C35*$B$6/F$6</f>
        <v>#DIV/0!</v>
      </c>
      <c r="G40" s="74" t="e">
        <f>data0!D35*$B$6/G$6</f>
        <v>#DIV/0!</v>
      </c>
      <c r="H40" s="74" t="e">
        <f>data0!E35*$B$6/H$6</f>
        <v>#DIV/0!</v>
      </c>
      <c r="I40" s="74" t="e">
        <f>data0!F35*$B$6/I$6</f>
        <v>#DIV/0!</v>
      </c>
      <c r="J40" s="74" t="e">
        <f>data0!G35*$B$6/J$6</f>
        <v>#DIV/0!</v>
      </c>
      <c r="K40" s="74" t="e">
        <f>data0!H35*$B$6/K$6</f>
        <v>#DIV/0!</v>
      </c>
      <c r="L40" s="74" t="e">
        <f>data0!I35*$B$6/L$6</f>
        <v>#DIV/0!</v>
      </c>
      <c r="M40" s="74" t="e">
        <f>data0!J35*$B$6/M$6</f>
        <v>#DIV/0!</v>
      </c>
      <c r="N40" s="74" t="e">
        <f>data0!K35*$B$6/N$6</f>
        <v>#DIV/0!</v>
      </c>
      <c r="O40" s="74" t="e">
        <f>data0!L35*$B$6/O$6</f>
        <v>#DIV/0!</v>
      </c>
      <c r="P40" s="74" t="e">
        <f>data0!M35*$B$6/P$6</f>
        <v>#DIV/0!</v>
      </c>
      <c r="Q40" s="74" t="e">
        <f>data0!N35*$B$6/Q$6</f>
        <v>#DIV/0!</v>
      </c>
      <c r="R40" s="74" t="e">
        <f>data0!O35*$B$6/R$6</f>
        <v>#DIV/0!</v>
      </c>
      <c r="S40" s="74" t="e">
        <f>data0!P35*$B$6/S$6</f>
        <v>#DIV/0!</v>
      </c>
      <c r="T40" s="74" t="e">
        <f>data0!Q35*$B$6/T$6</f>
        <v>#DIV/0!</v>
      </c>
      <c r="U40" s="74" t="e">
        <f>data0!R35*$B$6/U$6</f>
        <v>#DIV/0!</v>
      </c>
      <c r="V40" s="74" t="e">
        <f>data0!S35*$B$6/V$6</f>
        <v>#DIV/0!</v>
      </c>
      <c r="W40" s="74" t="e">
        <f>data0!T35*$B$6/W$6</f>
        <v>#DIV/0!</v>
      </c>
      <c r="X40" s="74" t="e">
        <f>data0!U35*$B$6/X$6</f>
        <v>#DIV/0!</v>
      </c>
      <c r="Y40" s="74" t="e">
        <f>data0!V35*$B$6/Y$6</f>
        <v>#DIV/0!</v>
      </c>
      <c r="Z40" s="74" t="e">
        <f>data0!W35*$B$6/Z$6</f>
        <v>#DIV/0!</v>
      </c>
      <c r="AA40" s="74" t="e">
        <f>data0!X35*$B$6/AA$6</f>
        <v>#DIV/0!</v>
      </c>
      <c r="AB40" s="74" t="e">
        <f>data0!Y35*$B$6/AB$6</f>
        <v>#DIV/0!</v>
      </c>
      <c r="AC40" s="74" t="e">
        <f>data0!Z35*$B$6/AC$6</f>
        <v>#DIV/0!</v>
      </c>
      <c r="AD40" s="74" t="e">
        <f>data0!AA35*$B$6/AD$6</f>
        <v>#DIV/0!</v>
      </c>
      <c r="AE40" s="74" t="e">
        <f>data0!AB35*$B$6/AE$6</f>
        <v>#DIV/0!</v>
      </c>
      <c r="AF40" s="74" t="e">
        <f>data0!AC35*$B$6/AF$6</f>
        <v>#DIV/0!</v>
      </c>
      <c r="AG40" s="74" t="e">
        <f>data0!AD35*$B$6/AG$6</f>
        <v>#DIV/0!</v>
      </c>
      <c r="AH40" s="74" t="e">
        <f>data0!AE35*$B$6/AH$6</f>
        <v>#DIV/0!</v>
      </c>
      <c r="AI40" s="74" t="e">
        <f>data0!AF35*$B$6/AI$6</f>
        <v>#DIV/0!</v>
      </c>
      <c r="AJ40" s="74" t="e">
        <f>data0!AG35*$B$6/AJ$6</f>
        <v>#DIV/0!</v>
      </c>
    </row>
    <row r="41" spans="1:36">
      <c r="A41" s="29">
        <f>data0!A36</f>
        <v>12</v>
      </c>
      <c r="B41" s="74" t="e">
        <f>AVERAGE(data0!B36:AG36)</f>
        <v>#DIV/0!</v>
      </c>
      <c r="C41" s="74" t="e">
        <f t="shared" si="0"/>
        <v>#DIV/0!</v>
      </c>
      <c r="D41" s="74" t="e">
        <f t="shared" si="1"/>
        <v>#DIV/0!</v>
      </c>
      <c r="E41" s="74" t="e">
        <f>data0!B36*$B$6/E$6</f>
        <v>#DIV/0!</v>
      </c>
      <c r="F41" s="74" t="e">
        <f>data0!C36*$B$6/F$6</f>
        <v>#DIV/0!</v>
      </c>
      <c r="G41" s="74" t="e">
        <f>data0!D36*$B$6/G$6</f>
        <v>#DIV/0!</v>
      </c>
      <c r="H41" s="74" t="e">
        <f>data0!E36*$B$6/H$6</f>
        <v>#DIV/0!</v>
      </c>
      <c r="I41" s="74" t="e">
        <f>data0!F36*$B$6/I$6</f>
        <v>#DIV/0!</v>
      </c>
      <c r="J41" s="74" t="e">
        <f>data0!G36*$B$6/J$6</f>
        <v>#DIV/0!</v>
      </c>
      <c r="K41" s="74" t="e">
        <f>data0!H36*$B$6/K$6</f>
        <v>#DIV/0!</v>
      </c>
      <c r="L41" s="74" t="e">
        <f>data0!I36*$B$6/L$6</f>
        <v>#DIV/0!</v>
      </c>
      <c r="M41" s="74" t="e">
        <f>data0!J36*$B$6/M$6</f>
        <v>#DIV/0!</v>
      </c>
      <c r="N41" s="74" t="e">
        <f>data0!K36*$B$6/N$6</f>
        <v>#DIV/0!</v>
      </c>
      <c r="O41" s="74" t="e">
        <f>data0!L36*$B$6/O$6</f>
        <v>#DIV/0!</v>
      </c>
      <c r="P41" s="74" t="e">
        <f>data0!M36*$B$6/P$6</f>
        <v>#DIV/0!</v>
      </c>
      <c r="Q41" s="74" t="e">
        <f>data0!N36*$B$6/Q$6</f>
        <v>#DIV/0!</v>
      </c>
      <c r="R41" s="74" t="e">
        <f>data0!O36*$B$6/R$6</f>
        <v>#DIV/0!</v>
      </c>
      <c r="S41" s="74" t="e">
        <f>data0!P36*$B$6/S$6</f>
        <v>#DIV/0!</v>
      </c>
      <c r="T41" s="74" t="e">
        <f>data0!Q36*$B$6/T$6</f>
        <v>#DIV/0!</v>
      </c>
      <c r="U41" s="74" t="e">
        <f>data0!R36*$B$6/U$6</f>
        <v>#DIV/0!</v>
      </c>
      <c r="V41" s="74" t="e">
        <f>data0!S36*$B$6/V$6</f>
        <v>#DIV/0!</v>
      </c>
      <c r="W41" s="74" t="e">
        <f>data0!T36*$B$6/W$6</f>
        <v>#DIV/0!</v>
      </c>
      <c r="X41" s="74" t="e">
        <f>data0!U36*$B$6/X$6</f>
        <v>#DIV/0!</v>
      </c>
      <c r="Y41" s="74" t="e">
        <f>data0!V36*$B$6/Y$6</f>
        <v>#DIV/0!</v>
      </c>
      <c r="Z41" s="74" t="e">
        <f>data0!W36*$B$6/Z$6</f>
        <v>#DIV/0!</v>
      </c>
      <c r="AA41" s="74" t="e">
        <f>data0!X36*$B$6/AA$6</f>
        <v>#DIV/0!</v>
      </c>
      <c r="AB41" s="74" t="e">
        <f>data0!Y36*$B$6/AB$6</f>
        <v>#DIV/0!</v>
      </c>
      <c r="AC41" s="74" t="e">
        <f>data0!Z36*$B$6/AC$6</f>
        <v>#DIV/0!</v>
      </c>
      <c r="AD41" s="74" t="e">
        <f>data0!AA36*$B$6/AD$6</f>
        <v>#DIV/0!</v>
      </c>
      <c r="AE41" s="74" t="e">
        <f>data0!AB36*$B$6/AE$6</f>
        <v>#DIV/0!</v>
      </c>
      <c r="AF41" s="74" t="e">
        <f>data0!AC36*$B$6/AF$6</f>
        <v>#DIV/0!</v>
      </c>
      <c r="AG41" s="74" t="e">
        <f>data0!AD36*$B$6/AG$6</f>
        <v>#DIV/0!</v>
      </c>
      <c r="AH41" s="74" t="e">
        <f>data0!AE36*$B$6/AH$6</f>
        <v>#DIV/0!</v>
      </c>
      <c r="AI41" s="74" t="e">
        <f>data0!AF36*$B$6/AI$6</f>
        <v>#DIV/0!</v>
      </c>
      <c r="AJ41" s="74" t="e">
        <f>data0!AG36*$B$6/AJ$6</f>
        <v>#DIV/0!</v>
      </c>
    </row>
    <row r="42" spans="1:36">
      <c r="A42" s="29">
        <f>data0!A37</f>
        <v>15</v>
      </c>
      <c r="B42" s="74" t="e">
        <f>AVERAGE(data0!B37:AG37)</f>
        <v>#DIV/0!</v>
      </c>
      <c r="C42" s="74" t="e">
        <f t="shared" si="0"/>
        <v>#DIV/0!</v>
      </c>
      <c r="D42" s="74" t="e">
        <f t="shared" si="1"/>
        <v>#DIV/0!</v>
      </c>
      <c r="E42" s="74" t="e">
        <f>data0!B37*$B$6/E$6</f>
        <v>#DIV/0!</v>
      </c>
      <c r="F42" s="74" t="e">
        <f>data0!C37*$B$6/F$6</f>
        <v>#DIV/0!</v>
      </c>
      <c r="G42" s="74" t="e">
        <f>data0!D37*$B$6/G$6</f>
        <v>#DIV/0!</v>
      </c>
      <c r="H42" s="74" t="e">
        <f>data0!E37*$B$6/H$6</f>
        <v>#DIV/0!</v>
      </c>
      <c r="I42" s="74" t="e">
        <f>data0!F37*$B$6/I$6</f>
        <v>#DIV/0!</v>
      </c>
      <c r="J42" s="74" t="e">
        <f>data0!G37*$B$6/J$6</f>
        <v>#DIV/0!</v>
      </c>
      <c r="K42" s="74" t="e">
        <f>data0!H37*$B$6/K$6</f>
        <v>#DIV/0!</v>
      </c>
      <c r="L42" s="74" t="e">
        <f>data0!I37*$B$6/L$6</f>
        <v>#DIV/0!</v>
      </c>
      <c r="M42" s="74" t="e">
        <f>data0!J37*$B$6/M$6</f>
        <v>#DIV/0!</v>
      </c>
      <c r="N42" s="74" t="e">
        <f>data0!K37*$B$6/N$6</f>
        <v>#DIV/0!</v>
      </c>
      <c r="O42" s="74" t="e">
        <f>data0!L37*$B$6/O$6</f>
        <v>#DIV/0!</v>
      </c>
      <c r="P42" s="74" t="e">
        <f>data0!M37*$B$6/P$6</f>
        <v>#DIV/0!</v>
      </c>
      <c r="Q42" s="74" t="e">
        <f>data0!N37*$B$6/Q$6</f>
        <v>#DIV/0!</v>
      </c>
      <c r="R42" s="74" t="e">
        <f>data0!O37*$B$6/R$6</f>
        <v>#DIV/0!</v>
      </c>
      <c r="S42" s="74" t="e">
        <f>data0!P37*$B$6/S$6</f>
        <v>#DIV/0!</v>
      </c>
      <c r="T42" s="74" t="e">
        <f>data0!Q37*$B$6/T$6</f>
        <v>#DIV/0!</v>
      </c>
      <c r="U42" s="74" t="e">
        <f>data0!R37*$B$6/U$6</f>
        <v>#DIV/0!</v>
      </c>
      <c r="V42" s="74" t="e">
        <f>data0!S37*$B$6/V$6</f>
        <v>#DIV/0!</v>
      </c>
      <c r="W42" s="74" t="e">
        <f>data0!T37*$B$6/W$6</f>
        <v>#DIV/0!</v>
      </c>
      <c r="X42" s="74" t="e">
        <f>data0!U37*$B$6/X$6</f>
        <v>#DIV/0!</v>
      </c>
      <c r="Y42" s="74" t="e">
        <f>data0!V37*$B$6/Y$6</f>
        <v>#DIV/0!</v>
      </c>
      <c r="Z42" s="74" t="e">
        <f>data0!W37*$B$6/Z$6</f>
        <v>#DIV/0!</v>
      </c>
      <c r="AA42" s="74" t="e">
        <f>data0!X37*$B$6/AA$6</f>
        <v>#DIV/0!</v>
      </c>
      <c r="AB42" s="74" t="e">
        <f>data0!Y37*$B$6/AB$6</f>
        <v>#DIV/0!</v>
      </c>
      <c r="AC42" s="74" t="e">
        <f>data0!Z37*$B$6/AC$6</f>
        <v>#DIV/0!</v>
      </c>
      <c r="AD42" s="74" t="e">
        <f>data0!AA37*$B$6/AD$6</f>
        <v>#DIV/0!</v>
      </c>
      <c r="AE42" s="74" t="e">
        <f>data0!AB37*$B$6/AE$6</f>
        <v>#DIV/0!</v>
      </c>
      <c r="AF42" s="74" t="e">
        <f>data0!AC37*$B$6/AF$6</f>
        <v>#DIV/0!</v>
      </c>
      <c r="AG42" s="74" t="e">
        <f>data0!AD37*$B$6/AG$6</f>
        <v>#DIV/0!</v>
      </c>
      <c r="AH42" s="74" t="e">
        <f>data0!AE37*$B$6/AH$6</f>
        <v>#DIV/0!</v>
      </c>
      <c r="AI42" s="74" t="e">
        <f>data0!AF37*$B$6/AI$6</f>
        <v>#DIV/0!</v>
      </c>
      <c r="AJ42" s="74" t="e">
        <f>data0!AG37*$B$6/AJ$6</f>
        <v>#DIV/0!</v>
      </c>
    </row>
    <row r="43" spans="1:36">
      <c r="A43" s="29">
        <f>data0!A38</f>
        <v>18</v>
      </c>
      <c r="B43" s="74" t="e">
        <f>AVERAGE(data0!B38:AG38)</f>
        <v>#DIV/0!</v>
      </c>
      <c r="C43" s="74" t="e">
        <f t="shared" si="0"/>
        <v>#DIV/0!</v>
      </c>
      <c r="D43" s="74" t="e">
        <f t="shared" si="1"/>
        <v>#DIV/0!</v>
      </c>
      <c r="E43" s="74" t="e">
        <f>data0!B38*$B$6/E$6</f>
        <v>#DIV/0!</v>
      </c>
      <c r="F43" s="74" t="e">
        <f>data0!C38*$B$6/F$6</f>
        <v>#DIV/0!</v>
      </c>
      <c r="G43" s="74" t="e">
        <f>data0!D38*$B$6/G$6</f>
        <v>#DIV/0!</v>
      </c>
      <c r="H43" s="74" t="e">
        <f>data0!E38*$B$6/H$6</f>
        <v>#DIV/0!</v>
      </c>
      <c r="I43" s="74" t="e">
        <f>data0!F38*$B$6/I$6</f>
        <v>#DIV/0!</v>
      </c>
      <c r="J43" s="74" t="e">
        <f>data0!G38*$B$6/J$6</f>
        <v>#DIV/0!</v>
      </c>
      <c r="K43" s="74" t="e">
        <f>data0!H38*$B$6/K$6</f>
        <v>#DIV/0!</v>
      </c>
      <c r="L43" s="74" t="e">
        <f>data0!I38*$B$6/L$6</f>
        <v>#DIV/0!</v>
      </c>
      <c r="M43" s="74" t="e">
        <f>data0!J38*$B$6/M$6</f>
        <v>#DIV/0!</v>
      </c>
      <c r="N43" s="74" t="e">
        <f>data0!K38*$B$6/N$6</f>
        <v>#DIV/0!</v>
      </c>
      <c r="O43" s="74" t="e">
        <f>data0!L38*$B$6/O$6</f>
        <v>#DIV/0!</v>
      </c>
      <c r="P43" s="74" t="e">
        <f>data0!M38*$B$6/P$6</f>
        <v>#DIV/0!</v>
      </c>
      <c r="Q43" s="74" t="e">
        <f>data0!N38*$B$6/Q$6</f>
        <v>#DIV/0!</v>
      </c>
      <c r="R43" s="74" t="e">
        <f>data0!O38*$B$6/R$6</f>
        <v>#DIV/0!</v>
      </c>
      <c r="S43" s="74" t="e">
        <f>data0!P38*$B$6/S$6</f>
        <v>#DIV/0!</v>
      </c>
      <c r="T43" s="74" t="e">
        <f>data0!Q38*$B$6/T$6</f>
        <v>#DIV/0!</v>
      </c>
      <c r="U43" s="74" t="e">
        <f>data0!R38*$B$6/U$6</f>
        <v>#DIV/0!</v>
      </c>
      <c r="V43" s="74" t="e">
        <f>data0!S38*$B$6/V$6</f>
        <v>#DIV/0!</v>
      </c>
      <c r="W43" s="74" t="e">
        <f>data0!T38*$B$6/W$6</f>
        <v>#DIV/0!</v>
      </c>
      <c r="X43" s="74" t="e">
        <f>data0!U38*$B$6/X$6</f>
        <v>#DIV/0!</v>
      </c>
      <c r="Y43" s="74" t="e">
        <f>data0!V38*$B$6/Y$6</f>
        <v>#DIV/0!</v>
      </c>
      <c r="Z43" s="74" t="e">
        <f>data0!W38*$B$6/Z$6</f>
        <v>#DIV/0!</v>
      </c>
      <c r="AA43" s="74" t="e">
        <f>data0!X38*$B$6/AA$6</f>
        <v>#DIV/0!</v>
      </c>
      <c r="AB43" s="74" t="e">
        <f>data0!Y38*$B$6/AB$6</f>
        <v>#DIV/0!</v>
      </c>
      <c r="AC43" s="74" t="e">
        <f>data0!Z38*$B$6/AC$6</f>
        <v>#DIV/0!</v>
      </c>
      <c r="AD43" s="74" t="e">
        <f>data0!AA38*$B$6/AD$6</f>
        <v>#DIV/0!</v>
      </c>
      <c r="AE43" s="74" t="e">
        <f>data0!AB38*$B$6/AE$6</f>
        <v>#DIV/0!</v>
      </c>
      <c r="AF43" s="74" t="e">
        <f>data0!AC38*$B$6/AF$6</f>
        <v>#DIV/0!</v>
      </c>
      <c r="AG43" s="74" t="e">
        <f>data0!AD38*$B$6/AG$6</f>
        <v>#DIV/0!</v>
      </c>
      <c r="AH43" s="74" t="e">
        <f>data0!AE38*$B$6/AH$6</f>
        <v>#DIV/0!</v>
      </c>
      <c r="AI43" s="74" t="e">
        <f>data0!AF38*$B$6/AI$6</f>
        <v>#DIV/0!</v>
      </c>
      <c r="AJ43" s="74" t="e">
        <f>data0!AG38*$B$6/AJ$6</f>
        <v>#DIV/0!</v>
      </c>
    </row>
    <row r="44" spans="1:36">
      <c r="A44" s="29">
        <f>data0!A39</f>
        <v>21</v>
      </c>
      <c r="B44" s="74" t="e">
        <f>AVERAGE(data0!B39:AG39)</f>
        <v>#DIV/0!</v>
      </c>
      <c r="C44" s="74" t="e">
        <f t="shared" si="0"/>
        <v>#DIV/0!</v>
      </c>
      <c r="D44" s="74" t="e">
        <f t="shared" si="1"/>
        <v>#DIV/0!</v>
      </c>
      <c r="E44" s="74" t="e">
        <f>data0!B39*$B$6/E$6</f>
        <v>#DIV/0!</v>
      </c>
      <c r="F44" s="74" t="e">
        <f>data0!C39*$B$6/F$6</f>
        <v>#DIV/0!</v>
      </c>
      <c r="G44" s="74" t="e">
        <f>data0!D39*$B$6/G$6</f>
        <v>#DIV/0!</v>
      </c>
      <c r="H44" s="74" t="e">
        <f>data0!E39*$B$6/H$6</f>
        <v>#DIV/0!</v>
      </c>
      <c r="I44" s="74" t="e">
        <f>data0!F39*$B$6/I$6</f>
        <v>#DIV/0!</v>
      </c>
      <c r="J44" s="74" t="e">
        <f>data0!G39*$B$6/J$6</f>
        <v>#DIV/0!</v>
      </c>
      <c r="K44" s="74" t="e">
        <f>data0!H39*$B$6/K$6</f>
        <v>#DIV/0!</v>
      </c>
      <c r="L44" s="74" t="e">
        <f>data0!I39*$B$6/L$6</f>
        <v>#DIV/0!</v>
      </c>
      <c r="M44" s="74" t="e">
        <f>data0!J39*$B$6/M$6</f>
        <v>#DIV/0!</v>
      </c>
      <c r="N44" s="74" t="e">
        <f>data0!K39*$B$6/N$6</f>
        <v>#DIV/0!</v>
      </c>
      <c r="O44" s="74" t="e">
        <f>data0!L39*$B$6/O$6</f>
        <v>#DIV/0!</v>
      </c>
      <c r="P44" s="74" t="e">
        <f>data0!M39*$B$6/P$6</f>
        <v>#DIV/0!</v>
      </c>
      <c r="Q44" s="74" t="e">
        <f>data0!N39*$B$6/Q$6</f>
        <v>#DIV/0!</v>
      </c>
      <c r="R44" s="74" t="e">
        <f>data0!O39*$B$6/R$6</f>
        <v>#DIV/0!</v>
      </c>
      <c r="S44" s="74" t="e">
        <f>data0!P39*$B$6/S$6</f>
        <v>#DIV/0!</v>
      </c>
      <c r="T44" s="74" t="e">
        <f>data0!Q39*$B$6/T$6</f>
        <v>#DIV/0!</v>
      </c>
      <c r="U44" s="74" t="e">
        <f>data0!R39*$B$6/U$6</f>
        <v>#DIV/0!</v>
      </c>
      <c r="V44" s="74" t="e">
        <f>data0!S39*$B$6/V$6</f>
        <v>#DIV/0!</v>
      </c>
      <c r="W44" s="74" t="e">
        <f>data0!T39*$B$6/W$6</f>
        <v>#DIV/0!</v>
      </c>
      <c r="X44" s="74" t="e">
        <f>data0!U39*$B$6/X$6</f>
        <v>#DIV/0!</v>
      </c>
      <c r="Y44" s="74" t="e">
        <f>data0!V39*$B$6/Y$6</f>
        <v>#DIV/0!</v>
      </c>
      <c r="Z44" s="74" t="e">
        <f>data0!W39*$B$6/Z$6</f>
        <v>#DIV/0!</v>
      </c>
      <c r="AA44" s="74" t="e">
        <f>data0!X39*$B$6/AA$6</f>
        <v>#DIV/0!</v>
      </c>
      <c r="AB44" s="74" t="e">
        <f>data0!Y39*$B$6/AB$6</f>
        <v>#DIV/0!</v>
      </c>
      <c r="AC44" s="74" t="e">
        <f>data0!Z39*$B$6/AC$6</f>
        <v>#DIV/0!</v>
      </c>
      <c r="AD44" s="74" t="e">
        <f>data0!AA39*$B$6/AD$6</f>
        <v>#DIV/0!</v>
      </c>
      <c r="AE44" s="74" t="e">
        <f>data0!AB39*$B$6/AE$6</f>
        <v>#DIV/0!</v>
      </c>
      <c r="AF44" s="74" t="e">
        <f>data0!AC39*$B$6/AF$6</f>
        <v>#DIV/0!</v>
      </c>
      <c r="AG44" s="74" t="e">
        <f>data0!AD39*$B$6/AG$6</f>
        <v>#DIV/0!</v>
      </c>
      <c r="AH44" s="74" t="e">
        <f>data0!AE39*$B$6/AH$6</f>
        <v>#DIV/0!</v>
      </c>
      <c r="AI44" s="74" t="e">
        <f>data0!AF39*$B$6/AI$6</f>
        <v>#DIV/0!</v>
      </c>
      <c r="AJ44" s="74" t="e">
        <f>data0!AG39*$B$6/AJ$6</f>
        <v>#DIV/0!</v>
      </c>
    </row>
    <row r="45" spans="1:36">
      <c r="A45" s="29">
        <f>data0!A40</f>
        <v>24</v>
      </c>
      <c r="B45" s="74" t="e">
        <f>AVERAGE(data0!B40:AG40)</f>
        <v>#DIV/0!</v>
      </c>
      <c r="C45" s="74" t="e">
        <f t="shared" si="0"/>
        <v>#DIV/0!</v>
      </c>
      <c r="D45" s="74" t="e">
        <f t="shared" si="1"/>
        <v>#DIV/0!</v>
      </c>
      <c r="E45" s="74" t="e">
        <f>data0!B40*$B$6/E$6</f>
        <v>#DIV/0!</v>
      </c>
      <c r="F45" s="74" t="e">
        <f>data0!C40*$B$6/F$6</f>
        <v>#DIV/0!</v>
      </c>
      <c r="G45" s="74" t="e">
        <f>data0!D40*$B$6/G$6</f>
        <v>#DIV/0!</v>
      </c>
      <c r="H45" s="74" t="e">
        <f>data0!E40*$B$6/H$6</f>
        <v>#DIV/0!</v>
      </c>
      <c r="I45" s="74" t="e">
        <f>data0!F40*$B$6/I$6</f>
        <v>#DIV/0!</v>
      </c>
      <c r="J45" s="74" t="e">
        <f>data0!G40*$B$6/J$6</f>
        <v>#DIV/0!</v>
      </c>
      <c r="K45" s="74" t="e">
        <f>data0!H40*$B$6/K$6</f>
        <v>#DIV/0!</v>
      </c>
      <c r="L45" s="74" t="e">
        <f>data0!I40*$B$6/L$6</f>
        <v>#DIV/0!</v>
      </c>
      <c r="M45" s="74" t="e">
        <f>data0!J40*$B$6/M$6</f>
        <v>#DIV/0!</v>
      </c>
      <c r="N45" s="74" t="e">
        <f>data0!K40*$B$6/N$6</f>
        <v>#DIV/0!</v>
      </c>
      <c r="O45" s="74" t="e">
        <f>data0!L40*$B$6/O$6</f>
        <v>#DIV/0!</v>
      </c>
      <c r="P45" s="74" t="e">
        <f>data0!M40*$B$6/P$6</f>
        <v>#DIV/0!</v>
      </c>
      <c r="Q45" s="74" t="e">
        <f>data0!N40*$B$6/Q$6</f>
        <v>#DIV/0!</v>
      </c>
      <c r="R45" s="74" t="e">
        <f>data0!O40*$B$6/R$6</f>
        <v>#DIV/0!</v>
      </c>
      <c r="S45" s="74" t="e">
        <f>data0!P40*$B$6/S$6</f>
        <v>#DIV/0!</v>
      </c>
      <c r="T45" s="74" t="e">
        <f>data0!Q40*$B$6/T$6</f>
        <v>#DIV/0!</v>
      </c>
      <c r="U45" s="74" t="e">
        <f>data0!R40*$B$6/U$6</f>
        <v>#DIV/0!</v>
      </c>
      <c r="V45" s="74" t="e">
        <f>data0!S40*$B$6/V$6</f>
        <v>#DIV/0!</v>
      </c>
      <c r="W45" s="74" t="e">
        <f>data0!T40*$B$6/W$6</f>
        <v>#DIV/0!</v>
      </c>
      <c r="X45" s="74" t="e">
        <f>data0!U40*$B$6/X$6</f>
        <v>#DIV/0!</v>
      </c>
      <c r="Y45" s="74" t="e">
        <f>data0!V40*$B$6/Y$6</f>
        <v>#DIV/0!</v>
      </c>
      <c r="Z45" s="74" t="e">
        <f>data0!W40*$B$6/Z$6</f>
        <v>#DIV/0!</v>
      </c>
      <c r="AA45" s="74" t="e">
        <f>data0!X40*$B$6/AA$6</f>
        <v>#DIV/0!</v>
      </c>
      <c r="AB45" s="74" t="e">
        <f>data0!Y40*$B$6/AB$6</f>
        <v>#DIV/0!</v>
      </c>
      <c r="AC45" s="74" t="e">
        <f>data0!Z40*$B$6/AC$6</f>
        <v>#DIV/0!</v>
      </c>
      <c r="AD45" s="74" t="e">
        <f>data0!AA40*$B$6/AD$6</f>
        <v>#DIV/0!</v>
      </c>
      <c r="AE45" s="74" t="e">
        <f>data0!AB40*$B$6/AE$6</f>
        <v>#DIV/0!</v>
      </c>
      <c r="AF45" s="74" t="e">
        <f>data0!AC40*$B$6/AF$6</f>
        <v>#DIV/0!</v>
      </c>
      <c r="AG45" s="74" t="e">
        <f>data0!AD40*$B$6/AG$6</f>
        <v>#DIV/0!</v>
      </c>
      <c r="AH45" s="74" t="e">
        <f>data0!AE40*$B$6/AH$6</f>
        <v>#DIV/0!</v>
      </c>
      <c r="AI45" s="74" t="e">
        <f>data0!AF40*$B$6/AI$6</f>
        <v>#DIV/0!</v>
      </c>
      <c r="AJ45" s="74" t="e">
        <f>data0!AG40*$B$6/AJ$6</f>
        <v>#DIV/0!</v>
      </c>
    </row>
    <row r="46" spans="1:36">
      <c r="A46" s="29">
        <f>data0!A41</f>
        <v>27</v>
      </c>
      <c r="B46" s="74" t="e">
        <f>AVERAGE(data0!B41:AG41)</f>
        <v>#DIV/0!</v>
      </c>
      <c r="C46" s="74" t="e">
        <f t="shared" si="0"/>
        <v>#DIV/0!</v>
      </c>
      <c r="D46" s="74" t="e">
        <f t="shared" si="1"/>
        <v>#DIV/0!</v>
      </c>
      <c r="E46" s="74" t="e">
        <f>data0!B41*$B$6/E$6</f>
        <v>#DIV/0!</v>
      </c>
      <c r="F46" s="74" t="e">
        <f>data0!C41*$B$6/F$6</f>
        <v>#DIV/0!</v>
      </c>
      <c r="G46" s="74" t="e">
        <f>data0!D41*$B$6/G$6</f>
        <v>#DIV/0!</v>
      </c>
      <c r="H46" s="74" t="e">
        <f>data0!E41*$B$6/H$6</f>
        <v>#DIV/0!</v>
      </c>
      <c r="I46" s="74" t="e">
        <f>data0!F41*$B$6/I$6</f>
        <v>#DIV/0!</v>
      </c>
      <c r="J46" s="74" t="e">
        <f>data0!G41*$B$6/J$6</f>
        <v>#DIV/0!</v>
      </c>
      <c r="K46" s="74" t="e">
        <f>data0!H41*$B$6/K$6</f>
        <v>#DIV/0!</v>
      </c>
      <c r="L46" s="74" t="e">
        <f>data0!I41*$B$6/L$6</f>
        <v>#DIV/0!</v>
      </c>
      <c r="M46" s="74" t="e">
        <f>data0!J41*$B$6/M$6</f>
        <v>#DIV/0!</v>
      </c>
      <c r="N46" s="74" t="e">
        <f>data0!K41*$B$6/N$6</f>
        <v>#DIV/0!</v>
      </c>
      <c r="O46" s="74" t="e">
        <f>data0!L41*$B$6/O$6</f>
        <v>#DIV/0!</v>
      </c>
      <c r="P46" s="74" t="e">
        <f>data0!M41*$B$6/P$6</f>
        <v>#DIV/0!</v>
      </c>
      <c r="Q46" s="74" t="e">
        <f>data0!N41*$B$6/Q$6</f>
        <v>#DIV/0!</v>
      </c>
      <c r="R46" s="74" t="e">
        <f>data0!O41*$B$6/R$6</f>
        <v>#DIV/0!</v>
      </c>
      <c r="S46" s="74" t="e">
        <f>data0!P41*$B$6/S$6</f>
        <v>#DIV/0!</v>
      </c>
      <c r="T46" s="74" t="e">
        <f>data0!Q41*$B$6/T$6</f>
        <v>#DIV/0!</v>
      </c>
      <c r="U46" s="74" t="e">
        <f>data0!R41*$B$6/U$6</f>
        <v>#DIV/0!</v>
      </c>
      <c r="V46" s="74" t="e">
        <f>data0!S41*$B$6/V$6</f>
        <v>#DIV/0!</v>
      </c>
      <c r="W46" s="74" t="e">
        <f>data0!T41*$B$6/W$6</f>
        <v>#DIV/0!</v>
      </c>
      <c r="X46" s="74" t="e">
        <f>data0!U41*$B$6/X$6</f>
        <v>#DIV/0!</v>
      </c>
      <c r="Y46" s="74" t="e">
        <f>data0!V41*$B$6/Y$6</f>
        <v>#DIV/0!</v>
      </c>
      <c r="Z46" s="74" t="e">
        <f>data0!W41*$B$6/Z$6</f>
        <v>#DIV/0!</v>
      </c>
      <c r="AA46" s="74" t="e">
        <f>data0!X41*$B$6/AA$6</f>
        <v>#DIV/0!</v>
      </c>
      <c r="AB46" s="74" t="e">
        <f>data0!Y41*$B$6/AB$6</f>
        <v>#DIV/0!</v>
      </c>
      <c r="AC46" s="74" t="e">
        <f>data0!Z41*$B$6/AC$6</f>
        <v>#DIV/0!</v>
      </c>
      <c r="AD46" s="74" t="e">
        <f>data0!AA41*$B$6/AD$6</f>
        <v>#DIV/0!</v>
      </c>
      <c r="AE46" s="74" t="e">
        <f>data0!AB41*$B$6/AE$6</f>
        <v>#DIV/0!</v>
      </c>
      <c r="AF46" s="74" t="e">
        <f>data0!AC41*$B$6/AF$6</f>
        <v>#DIV/0!</v>
      </c>
      <c r="AG46" s="74" t="e">
        <f>data0!AD41*$B$6/AG$6</f>
        <v>#DIV/0!</v>
      </c>
      <c r="AH46" s="74" t="e">
        <f>data0!AE41*$B$6/AH$6</f>
        <v>#DIV/0!</v>
      </c>
      <c r="AI46" s="74" t="e">
        <f>data0!AF41*$B$6/AI$6</f>
        <v>#DIV/0!</v>
      </c>
      <c r="AJ46" s="74" t="e">
        <f>data0!AG41*$B$6/AJ$6</f>
        <v>#DIV/0!</v>
      </c>
    </row>
    <row r="47" spans="1:36">
      <c r="A47" s="29">
        <f>data0!A42</f>
        <v>30</v>
      </c>
      <c r="B47" s="74" t="e">
        <f>AVERAGE(data0!B42:AG42)</f>
        <v>#DIV/0!</v>
      </c>
      <c r="C47" s="74" t="e">
        <f t="shared" si="0"/>
        <v>#DIV/0!</v>
      </c>
      <c r="D47" s="74" t="e">
        <f t="shared" si="1"/>
        <v>#DIV/0!</v>
      </c>
      <c r="E47" s="74" t="e">
        <f>data0!B42*$B$6/E$6</f>
        <v>#DIV/0!</v>
      </c>
      <c r="F47" s="74" t="e">
        <f>data0!C42*$B$6/F$6</f>
        <v>#DIV/0!</v>
      </c>
      <c r="G47" s="74" t="e">
        <f>data0!D42*$B$6/G$6</f>
        <v>#DIV/0!</v>
      </c>
      <c r="H47" s="74" t="e">
        <f>data0!E42*$B$6/H$6</f>
        <v>#DIV/0!</v>
      </c>
      <c r="I47" s="74" t="e">
        <f>data0!F42*$B$6/I$6</f>
        <v>#DIV/0!</v>
      </c>
      <c r="J47" s="74" t="e">
        <f>data0!G42*$B$6/J$6</f>
        <v>#DIV/0!</v>
      </c>
      <c r="K47" s="74" t="e">
        <f>data0!H42*$B$6/K$6</f>
        <v>#DIV/0!</v>
      </c>
      <c r="L47" s="74" t="e">
        <f>data0!I42*$B$6/L$6</f>
        <v>#DIV/0!</v>
      </c>
      <c r="M47" s="74" t="e">
        <f>data0!J42*$B$6/M$6</f>
        <v>#DIV/0!</v>
      </c>
      <c r="N47" s="74" t="e">
        <f>data0!K42*$B$6/N$6</f>
        <v>#DIV/0!</v>
      </c>
      <c r="O47" s="74" t="e">
        <f>data0!L42*$B$6/O$6</f>
        <v>#DIV/0!</v>
      </c>
      <c r="P47" s="74" t="e">
        <f>data0!M42*$B$6/P$6</f>
        <v>#DIV/0!</v>
      </c>
      <c r="Q47" s="74" t="e">
        <f>data0!N42*$B$6/Q$6</f>
        <v>#DIV/0!</v>
      </c>
      <c r="R47" s="74" t="e">
        <f>data0!O42*$B$6/R$6</f>
        <v>#DIV/0!</v>
      </c>
      <c r="S47" s="74" t="e">
        <f>data0!P42*$B$6/S$6</f>
        <v>#DIV/0!</v>
      </c>
      <c r="T47" s="74" t="e">
        <f>data0!Q42*$B$6/T$6</f>
        <v>#DIV/0!</v>
      </c>
      <c r="U47" s="74" t="e">
        <f>data0!R42*$B$6/U$6</f>
        <v>#DIV/0!</v>
      </c>
      <c r="V47" s="74" t="e">
        <f>data0!S42*$B$6/V$6</f>
        <v>#DIV/0!</v>
      </c>
      <c r="W47" s="74" t="e">
        <f>data0!T42*$B$6/W$6</f>
        <v>#DIV/0!</v>
      </c>
      <c r="X47" s="74" t="e">
        <f>data0!U42*$B$6/X$6</f>
        <v>#DIV/0!</v>
      </c>
      <c r="Y47" s="74" t="e">
        <f>data0!V42*$B$6/Y$6</f>
        <v>#DIV/0!</v>
      </c>
      <c r="Z47" s="74" t="e">
        <f>data0!W42*$B$6/Z$6</f>
        <v>#DIV/0!</v>
      </c>
      <c r="AA47" s="74" t="e">
        <f>data0!X42*$B$6/AA$6</f>
        <v>#DIV/0!</v>
      </c>
      <c r="AB47" s="74" t="e">
        <f>data0!Y42*$B$6/AB$6</f>
        <v>#DIV/0!</v>
      </c>
      <c r="AC47" s="74" t="e">
        <f>data0!Z42*$B$6/AC$6</f>
        <v>#DIV/0!</v>
      </c>
      <c r="AD47" s="74" t="e">
        <f>data0!AA42*$B$6/AD$6</f>
        <v>#DIV/0!</v>
      </c>
      <c r="AE47" s="74" t="e">
        <f>data0!AB42*$B$6/AE$6</f>
        <v>#DIV/0!</v>
      </c>
      <c r="AF47" s="74" t="e">
        <f>data0!AC42*$B$6/AF$6</f>
        <v>#DIV/0!</v>
      </c>
      <c r="AG47" s="74" t="e">
        <f>data0!AD42*$B$6/AG$6</f>
        <v>#DIV/0!</v>
      </c>
      <c r="AH47" s="74" t="e">
        <f>data0!AE42*$B$6/AH$6</f>
        <v>#DIV/0!</v>
      </c>
      <c r="AI47" s="74" t="e">
        <f>data0!AF42*$B$6/AI$6</f>
        <v>#DIV/0!</v>
      </c>
      <c r="AJ47" s="74" t="e">
        <f>data0!AG42*$B$6/AJ$6</f>
        <v>#DIV/0!</v>
      </c>
    </row>
    <row r="48" spans="1:36">
      <c r="A48" s="29">
        <f>data0!A43</f>
        <v>33</v>
      </c>
      <c r="B48" s="74" t="e">
        <f>AVERAGE(data0!B43:AG43)</f>
        <v>#DIV/0!</v>
      </c>
      <c r="C48" s="74" t="e">
        <f t="shared" si="0"/>
        <v>#DIV/0!</v>
      </c>
      <c r="D48" s="74" t="e">
        <f t="shared" si="1"/>
        <v>#DIV/0!</v>
      </c>
      <c r="E48" s="74" t="e">
        <f>data0!B43*$B$6/E$6</f>
        <v>#DIV/0!</v>
      </c>
      <c r="F48" s="74" t="e">
        <f>data0!C43*$B$6/F$6</f>
        <v>#DIV/0!</v>
      </c>
      <c r="G48" s="74" t="e">
        <f>data0!D43*$B$6/G$6</f>
        <v>#DIV/0!</v>
      </c>
      <c r="H48" s="74" t="e">
        <f>data0!E43*$B$6/H$6</f>
        <v>#DIV/0!</v>
      </c>
      <c r="I48" s="74" t="e">
        <f>data0!F43*$B$6/I$6</f>
        <v>#DIV/0!</v>
      </c>
      <c r="J48" s="74" t="e">
        <f>data0!G43*$B$6/J$6</f>
        <v>#DIV/0!</v>
      </c>
      <c r="K48" s="74" t="e">
        <f>data0!H43*$B$6/K$6</f>
        <v>#DIV/0!</v>
      </c>
      <c r="L48" s="74" t="e">
        <f>data0!I43*$B$6/L$6</f>
        <v>#DIV/0!</v>
      </c>
      <c r="M48" s="74" t="e">
        <f>data0!J43*$B$6/M$6</f>
        <v>#DIV/0!</v>
      </c>
      <c r="N48" s="74" t="e">
        <f>data0!K43*$B$6/N$6</f>
        <v>#DIV/0!</v>
      </c>
      <c r="O48" s="74" t="e">
        <f>data0!L43*$B$6/O$6</f>
        <v>#DIV/0!</v>
      </c>
      <c r="P48" s="74" t="e">
        <f>data0!M43*$B$6/P$6</f>
        <v>#DIV/0!</v>
      </c>
      <c r="Q48" s="74" t="e">
        <f>data0!N43*$B$6/Q$6</f>
        <v>#DIV/0!</v>
      </c>
      <c r="R48" s="74" t="e">
        <f>data0!O43*$B$6/R$6</f>
        <v>#DIV/0!</v>
      </c>
      <c r="S48" s="74" t="e">
        <f>data0!P43*$B$6/S$6</f>
        <v>#DIV/0!</v>
      </c>
      <c r="T48" s="74" t="e">
        <f>data0!Q43*$B$6/T$6</f>
        <v>#DIV/0!</v>
      </c>
      <c r="U48" s="74" t="e">
        <f>data0!R43*$B$6/U$6</f>
        <v>#DIV/0!</v>
      </c>
      <c r="V48" s="74" t="e">
        <f>data0!S43*$B$6/V$6</f>
        <v>#DIV/0!</v>
      </c>
      <c r="W48" s="74" t="e">
        <f>data0!T43*$B$6/W$6</f>
        <v>#DIV/0!</v>
      </c>
      <c r="X48" s="74" t="e">
        <f>data0!U43*$B$6/X$6</f>
        <v>#DIV/0!</v>
      </c>
      <c r="Y48" s="74" t="e">
        <f>data0!V43*$B$6/Y$6</f>
        <v>#DIV/0!</v>
      </c>
      <c r="Z48" s="74" t="e">
        <f>data0!W43*$B$6/Z$6</f>
        <v>#DIV/0!</v>
      </c>
      <c r="AA48" s="74" t="e">
        <f>data0!X43*$B$6/AA$6</f>
        <v>#DIV/0!</v>
      </c>
      <c r="AB48" s="74" t="e">
        <f>data0!Y43*$B$6/AB$6</f>
        <v>#DIV/0!</v>
      </c>
      <c r="AC48" s="74" t="e">
        <f>data0!Z43*$B$6/AC$6</f>
        <v>#DIV/0!</v>
      </c>
      <c r="AD48" s="74" t="e">
        <f>data0!AA43*$B$6/AD$6</f>
        <v>#DIV/0!</v>
      </c>
      <c r="AE48" s="74" t="e">
        <f>data0!AB43*$B$6/AE$6</f>
        <v>#DIV/0!</v>
      </c>
      <c r="AF48" s="74" t="e">
        <f>data0!AC43*$B$6/AF$6</f>
        <v>#DIV/0!</v>
      </c>
      <c r="AG48" s="74" t="e">
        <f>data0!AD43*$B$6/AG$6</f>
        <v>#DIV/0!</v>
      </c>
      <c r="AH48" s="74" t="e">
        <f>data0!AE43*$B$6/AH$6</f>
        <v>#DIV/0!</v>
      </c>
      <c r="AI48" s="74" t="e">
        <f>data0!AF43*$B$6/AI$6</f>
        <v>#DIV/0!</v>
      </c>
      <c r="AJ48" s="74" t="e">
        <f>data0!AG43*$B$6/AJ$6</f>
        <v>#DIV/0!</v>
      </c>
    </row>
    <row r="49" spans="1:36">
      <c r="A49" s="29">
        <f>data0!A44</f>
        <v>36</v>
      </c>
      <c r="B49" s="74" t="e">
        <f>AVERAGE(data0!B44:AG44)</f>
        <v>#DIV/0!</v>
      </c>
      <c r="C49" s="74" t="e">
        <f t="shared" si="0"/>
        <v>#DIV/0!</v>
      </c>
      <c r="D49" s="74" t="e">
        <f t="shared" si="1"/>
        <v>#DIV/0!</v>
      </c>
      <c r="E49" s="74" t="e">
        <f>data0!B44*$B$6/E$6</f>
        <v>#DIV/0!</v>
      </c>
      <c r="F49" s="74" t="e">
        <f>data0!C44*$B$6/F$6</f>
        <v>#DIV/0!</v>
      </c>
      <c r="G49" s="74" t="e">
        <f>data0!D44*$B$6/G$6</f>
        <v>#DIV/0!</v>
      </c>
      <c r="H49" s="74" t="e">
        <f>data0!E44*$B$6/H$6</f>
        <v>#DIV/0!</v>
      </c>
      <c r="I49" s="74" t="e">
        <f>data0!F44*$B$6/I$6</f>
        <v>#DIV/0!</v>
      </c>
      <c r="J49" s="74" t="e">
        <f>data0!G44*$B$6/J$6</f>
        <v>#DIV/0!</v>
      </c>
      <c r="K49" s="74" t="e">
        <f>data0!H44*$B$6/K$6</f>
        <v>#DIV/0!</v>
      </c>
      <c r="L49" s="74" t="e">
        <f>data0!I44*$B$6/L$6</f>
        <v>#DIV/0!</v>
      </c>
      <c r="M49" s="74" t="e">
        <f>data0!J44*$B$6/M$6</f>
        <v>#DIV/0!</v>
      </c>
      <c r="N49" s="74" t="e">
        <f>data0!K44*$B$6/N$6</f>
        <v>#DIV/0!</v>
      </c>
      <c r="O49" s="74" t="e">
        <f>data0!L44*$B$6/O$6</f>
        <v>#DIV/0!</v>
      </c>
      <c r="P49" s="74" t="e">
        <f>data0!M44*$B$6/P$6</f>
        <v>#DIV/0!</v>
      </c>
      <c r="Q49" s="74" t="e">
        <f>data0!N44*$B$6/Q$6</f>
        <v>#DIV/0!</v>
      </c>
      <c r="R49" s="74" t="e">
        <f>data0!O44*$B$6/R$6</f>
        <v>#DIV/0!</v>
      </c>
      <c r="S49" s="74" t="e">
        <f>data0!P44*$B$6/S$6</f>
        <v>#DIV/0!</v>
      </c>
      <c r="T49" s="74" t="e">
        <f>data0!Q44*$B$6/T$6</f>
        <v>#DIV/0!</v>
      </c>
      <c r="U49" s="74" t="e">
        <f>data0!R44*$B$6/U$6</f>
        <v>#DIV/0!</v>
      </c>
      <c r="V49" s="74" t="e">
        <f>data0!S44*$B$6/V$6</f>
        <v>#DIV/0!</v>
      </c>
      <c r="W49" s="74" t="e">
        <f>data0!T44*$B$6/W$6</f>
        <v>#DIV/0!</v>
      </c>
      <c r="X49" s="74" t="e">
        <f>data0!U44*$B$6/X$6</f>
        <v>#DIV/0!</v>
      </c>
      <c r="Y49" s="74" t="e">
        <f>data0!V44*$B$6/Y$6</f>
        <v>#DIV/0!</v>
      </c>
      <c r="Z49" s="74" t="e">
        <f>data0!W44*$B$6/Z$6</f>
        <v>#DIV/0!</v>
      </c>
      <c r="AA49" s="74" t="e">
        <f>data0!X44*$B$6/AA$6</f>
        <v>#DIV/0!</v>
      </c>
      <c r="AB49" s="74" t="e">
        <f>data0!Y44*$B$6/AB$6</f>
        <v>#DIV/0!</v>
      </c>
      <c r="AC49" s="74" t="e">
        <f>data0!Z44*$B$6/AC$6</f>
        <v>#DIV/0!</v>
      </c>
      <c r="AD49" s="74" t="e">
        <f>data0!AA44*$B$6/AD$6</f>
        <v>#DIV/0!</v>
      </c>
      <c r="AE49" s="74" t="e">
        <f>data0!AB44*$B$6/AE$6</f>
        <v>#DIV/0!</v>
      </c>
      <c r="AF49" s="74" t="e">
        <f>data0!AC44*$B$6/AF$6</f>
        <v>#DIV/0!</v>
      </c>
      <c r="AG49" s="74" t="e">
        <f>data0!AD44*$B$6/AG$6</f>
        <v>#DIV/0!</v>
      </c>
      <c r="AH49" s="74" t="e">
        <f>data0!AE44*$B$6/AH$6</f>
        <v>#DIV/0!</v>
      </c>
      <c r="AI49" s="74" t="e">
        <f>data0!AF44*$B$6/AI$6</f>
        <v>#DIV/0!</v>
      </c>
      <c r="AJ49" s="74" t="e">
        <f>data0!AG44*$B$6/AJ$6</f>
        <v>#DIV/0!</v>
      </c>
    </row>
    <row r="50" spans="1:36">
      <c r="A50" s="29">
        <f>data0!A45</f>
        <v>39</v>
      </c>
      <c r="B50" s="74" t="e">
        <f>AVERAGE(data0!B45:AG45)</f>
        <v>#DIV/0!</v>
      </c>
      <c r="C50" s="74" t="e">
        <f t="shared" si="0"/>
        <v>#DIV/0!</v>
      </c>
      <c r="D50" s="74" t="e">
        <f t="shared" si="1"/>
        <v>#DIV/0!</v>
      </c>
      <c r="E50" s="74" t="e">
        <f>data0!B45*$B$6/E$6</f>
        <v>#DIV/0!</v>
      </c>
      <c r="F50" s="74" t="e">
        <f>data0!C45*$B$6/F$6</f>
        <v>#DIV/0!</v>
      </c>
      <c r="G50" s="74" t="e">
        <f>data0!D45*$B$6/G$6</f>
        <v>#DIV/0!</v>
      </c>
      <c r="H50" s="74" t="e">
        <f>data0!E45*$B$6/H$6</f>
        <v>#DIV/0!</v>
      </c>
      <c r="I50" s="74" t="e">
        <f>data0!F45*$B$6/I$6</f>
        <v>#DIV/0!</v>
      </c>
      <c r="J50" s="74" t="e">
        <f>data0!G45*$B$6/J$6</f>
        <v>#DIV/0!</v>
      </c>
      <c r="K50" s="74" t="e">
        <f>data0!H45*$B$6/K$6</f>
        <v>#DIV/0!</v>
      </c>
      <c r="L50" s="74" t="e">
        <f>data0!I45*$B$6/L$6</f>
        <v>#DIV/0!</v>
      </c>
      <c r="M50" s="74" t="e">
        <f>data0!J45*$B$6/M$6</f>
        <v>#DIV/0!</v>
      </c>
      <c r="N50" s="74" t="e">
        <f>data0!K45*$B$6/N$6</f>
        <v>#DIV/0!</v>
      </c>
      <c r="O50" s="74" t="e">
        <f>data0!L45*$B$6/O$6</f>
        <v>#DIV/0!</v>
      </c>
      <c r="P50" s="74" t="e">
        <f>data0!M45*$B$6/P$6</f>
        <v>#DIV/0!</v>
      </c>
      <c r="Q50" s="74" t="e">
        <f>data0!N45*$B$6/Q$6</f>
        <v>#DIV/0!</v>
      </c>
      <c r="R50" s="74" t="e">
        <f>data0!O45*$B$6/R$6</f>
        <v>#DIV/0!</v>
      </c>
      <c r="S50" s="74" t="e">
        <f>data0!P45*$B$6/S$6</f>
        <v>#DIV/0!</v>
      </c>
      <c r="T50" s="74" t="e">
        <f>data0!Q45*$B$6/T$6</f>
        <v>#DIV/0!</v>
      </c>
      <c r="U50" s="74" t="e">
        <f>data0!R45*$B$6/U$6</f>
        <v>#DIV/0!</v>
      </c>
      <c r="V50" s="74" t="e">
        <f>data0!S45*$B$6/V$6</f>
        <v>#DIV/0!</v>
      </c>
      <c r="W50" s="74" t="e">
        <f>data0!T45*$B$6/W$6</f>
        <v>#DIV/0!</v>
      </c>
      <c r="X50" s="74" t="e">
        <f>data0!U45*$B$6/X$6</f>
        <v>#DIV/0!</v>
      </c>
      <c r="Y50" s="74" t="e">
        <f>data0!V45*$B$6/Y$6</f>
        <v>#DIV/0!</v>
      </c>
      <c r="Z50" s="74" t="e">
        <f>data0!W45*$B$6/Z$6</f>
        <v>#DIV/0!</v>
      </c>
      <c r="AA50" s="74" t="e">
        <f>data0!X45*$B$6/AA$6</f>
        <v>#DIV/0!</v>
      </c>
      <c r="AB50" s="74" t="e">
        <f>data0!Y45*$B$6/AB$6</f>
        <v>#DIV/0!</v>
      </c>
      <c r="AC50" s="74" t="e">
        <f>data0!Z45*$B$6/AC$6</f>
        <v>#DIV/0!</v>
      </c>
      <c r="AD50" s="74" t="e">
        <f>data0!AA45*$B$6/AD$6</f>
        <v>#DIV/0!</v>
      </c>
      <c r="AE50" s="74" t="e">
        <f>data0!AB45*$B$6/AE$6</f>
        <v>#DIV/0!</v>
      </c>
      <c r="AF50" s="74" t="e">
        <f>data0!AC45*$B$6/AF$6</f>
        <v>#DIV/0!</v>
      </c>
      <c r="AG50" s="74" t="e">
        <f>data0!AD45*$B$6/AG$6</f>
        <v>#DIV/0!</v>
      </c>
      <c r="AH50" s="74" t="e">
        <f>data0!AE45*$B$6/AH$6</f>
        <v>#DIV/0!</v>
      </c>
      <c r="AI50" s="74" t="e">
        <f>data0!AF45*$B$6/AI$6</f>
        <v>#DIV/0!</v>
      </c>
      <c r="AJ50" s="74" t="e">
        <f>data0!AG45*$B$6/AJ$6</f>
        <v>#DIV/0!</v>
      </c>
    </row>
    <row r="51" spans="1:36">
      <c r="A51" s="29">
        <f>data0!A46</f>
        <v>42</v>
      </c>
      <c r="B51" s="74" t="e">
        <f>AVERAGE(data0!B46:AG46)</f>
        <v>#DIV/0!</v>
      </c>
      <c r="C51" s="74" t="e">
        <f t="shared" si="0"/>
        <v>#DIV/0!</v>
      </c>
      <c r="D51" s="74" t="e">
        <f t="shared" si="1"/>
        <v>#DIV/0!</v>
      </c>
      <c r="E51" s="74" t="e">
        <f>data0!B46*$B$6/E$6</f>
        <v>#DIV/0!</v>
      </c>
      <c r="F51" s="74" t="e">
        <f>data0!C46*$B$6/F$6</f>
        <v>#DIV/0!</v>
      </c>
      <c r="G51" s="74" t="e">
        <f>data0!D46*$B$6/G$6</f>
        <v>#DIV/0!</v>
      </c>
      <c r="H51" s="74" t="e">
        <f>data0!E46*$B$6/H$6</f>
        <v>#DIV/0!</v>
      </c>
      <c r="I51" s="74" t="e">
        <f>data0!F46*$B$6/I$6</f>
        <v>#DIV/0!</v>
      </c>
      <c r="J51" s="74" t="e">
        <f>data0!G46*$B$6/J$6</f>
        <v>#DIV/0!</v>
      </c>
      <c r="K51" s="74" t="e">
        <f>data0!H46*$B$6/K$6</f>
        <v>#DIV/0!</v>
      </c>
      <c r="L51" s="74" t="e">
        <f>data0!I46*$B$6/L$6</f>
        <v>#DIV/0!</v>
      </c>
      <c r="M51" s="74" t="e">
        <f>data0!J46*$B$6/M$6</f>
        <v>#DIV/0!</v>
      </c>
      <c r="N51" s="74" t="e">
        <f>data0!K46*$B$6/N$6</f>
        <v>#DIV/0!</v>
      </c>
      <c r="O51" s="74" t="e">
        <f>data0!L46*$B$6/O$6</f>
        <v>#DIV/0!</v>
      </c>
      <c r="P51" s="74" t="e">
        <f>data0!M46*$B$6/P$6</f>
        <v>#DIV/0!</v>
      </c>
      <c r="Q51" s="74" t="e">
        <f>data0!N46*$B$6/Q$6</f>
        <v>#DIV/0!</v>
      </c>
      <c r="R51" s="74" t="e">
        <f>data0!O46*$B$6/R$6</f>
        <v>#DIV/0!</v>
      </c>
      <c r="S51" s="74" t="e">
        <f>data0!P46*$B$6/S$6</f>
        <v>#DIV/0!</v>
      </c>
      <c r="T51" s="74" t="e">
        <f>data0!Q46*$B$6/T$6</f>
        <v>#DIV/0!</v>
      </c>
      <c r="U51" s="74" t="e">
        <f>data0!R46*$B$6/U$6</f>
        <v>#DIV/0!</v>
      </c>
      <c r="V51" s="74" t="e">
        <f>data0!S46*$B$6/V$6</f>
        <v>#DIV/0!</v>
      </c>
      <c r="W51" s="74" t="e">
        <f>data0!T46*$B$6/W$6</f>
        <v>#DIV/0!</v>
      </c>
      <c r="X51" s="74" t="e">
        <f>data0!U46*$B$6/X$6</f>
        <v>#DIV/0!</v>
      </c>
      <c r="Y51" s="74" t="e">
        <f>data0!V46*$B$6/Y$6</f>
        <v>#DIV/0!</v>
      </c>
      <c r="Z51" s="74" t="e">
        <f>data0!W46*$B$6/Z$6</f>
        <v>#DIV/0!</v>
      </c>
      <c r="AA51" s="74" t="e">
        <f>data0!X46*$B$6/AA$6</f>
        <v>#DIV/0!</v>
      </c>
      <c r="AB51" s="74" t="e">
        <f>data0!Y46*$B$6/AB$6</f>
        <v>#DIV/0!</v>
      </c>
      <c r="AC51" s="74" t="e">
        <f>data0!Z46*$B$6/AC$6</f>
        <v>#DIV/0!</v>
      </c>
      <c r="AD51" s="74" t="e">
        <f>data0!AA46*$B$6/AD$6</f>
        <v>#DIV/0!</v>
      </c>
      <c r="AE51" s="74" t="e">
        <f>data0!AB46*$B$6/AE$6</f>
        <v>#DIV/0!</v>
      </c>
      <c r="AF51" s="74" t="e">
        <f>data0!AC46*$B$6/AF$6</f>
        <v>#DIV/0!</v>
      </c>
      <c r="AG51" s="74" t="e">
        <f>data0!AD46*$B$6/AG$6</f>
        <v>#DIV/0!</v>
      </c>
      <c r="AH51" s="74" t="e">
        <f>data0!AE46*$B$6/AH$6</f>
        <v>#DIV/0!</v>
      </c>
      <c r="AI51" s="74" t="e">
        <f>data0!AF46*$B$6/AI$6</f>
        <v>#DIV/0!</v>
      </c>
      <c r="AJ51" s="74" t="e">
        <f>data0!AG46*$B$6/AJ$6</f>
        <v>#DIV/0!</v>
      </c>
    </row>
    <row r="52" spans="1:36">
      <c r="A52" s="29">
        <f>data0!A47</f>
        <v>45</v>
      </c>
      <c r="B52" s="74" t="e">
        <f>AVERAGE(data0!B47:AG47)</f>
        <v>#DIV/0!</v>
      </c>
      <c r="C52" s="74" t="e">
        <f t="shared" si="0"/>
        <v>#DIV/0!</v>
      </c>
      <c r="D52" s="74" t="e">
        <f t="shared" si="1"/>
        <v>#DIV/0!</v>
      </c>
      <c r="E52" s="74" t="e">
        <f>data0!B47*$B$6/E$6</f>
        <v>#DIV/0!</v>
      </c>
      <c r="F52" s="74" t="e">
        <f>data0!C47*$B$6/F$6</f>
        <v>#DIV/0!</v>
      </c>
      <c r="G52" s="74" t="e">
        <f>data0!D47*$B$6/G$6</f>
        <v>#DIV/0!</v>
      </c>
      <c r="H52" s="74" t="e">
        <f>data0!E47*$B$6/H$6</f>
        <v>#DIV/0!</v>
      </c>
      <c r="I52" s="74" t="e">
        <f>data0!F47*$B$6/I$6</f>
        <v>#DIV/0!</v>
      </c>
      <c r="J52" s="74" t="e">
        <f>data0!G47*$B$6/J$6</f>
        <v>#DIV/0!</v>
      </c>
      <c r="K52" s="74" t="e">
        <f>data0!H47*$B$6/K$6</f>
        <v>#DIV/0!</v>
      </c>
      <c r="L52" s="74" t="e">
        <f>data0!I47*$B$6/L$6</f>
        <v>#DIV/0!</v>
      </c>
      <c r="M52" s="74" t="e">
        <f>data0!J47*$B$6/M$6</f>
        <v>#DIV/0!</v>
      </c>
      <c r="N52" s="74" t="e">
        <f>data0!K47*$B$6/N$6</f>
        <v>#DIV/0!</v>
      </c>
      <c r="O52" s="74" t="e">
        <f>data0!L47*$B$6/O$6</f>
        <v>#DIV/0!</v>
      </c>
      <c r="P52" s="74" t="e">
        <f>data0!M47*$B$6/P$6</f>
        <v>#DIV/0!</v>
      </c>
      <c r="Q52" s="74" t="e">
        <f>data0!N47*$B$6/Q$6</f>
        <v>#DIV/0!</v>
      </c>
      <c r="R52" s="74" t="e">
        <f>data0!O47*$B$6/R$6</f>
        <v>#DIV/0!</v>
      </c>
      <c r="S52" s="74" t="e">
        <f>data0!P47*$B$6/S$6</f>
        <v>#DIV/0!</v>
      </c>
      <c r="T52" s="74" t="e">
        <f>data0!Q47*$B$6/T$6</f>
        <v>#DIV/0!</v>
      </c>
      <c r="U52" s="74" t="e">
        <f>data0!R47*$B$6/U$6</f>
        <v>#DIV/0!</v>
      </c>
      <c r="V52" s="74" t="e">
        <f>data0!S47*$B$6/V$6</f>
        <v>#DIV/0!</v>
      </c>
      <c r="W52" s="74" t="e">
        <f>data0!T47*$B$6/W$6</f>
        <v>#DIV/0!</v>
      </c>
      <c r="X52" s="74" t="e">
        <f>data0!U47*$B$6/X$6</f>
        <v>#DIV/0!</v>
      </c>
      <c r="Y52" s="74" t="e">
        <f>data0!V47*$B$6/Y$6</f>
        <v>#DIV/0!</v>
      </c>
      <c r="Z52" s="74" t="e">
        <f>data0!W47*$B$6/Z$6</f>
        <v>#DIV/0!</v>
      </c>
      <c r="AA52" s="74" t="e">
        <f>data0!X47*$B$6/AA$6</f>
        <v>#DIV/0!</v>
      </c>
      <c r="AB52" s="74" t="e">
        <f>data0!Y47*$B$6/AB$6</f>
        <v>#DIV/0!</v>
      </c>
      <c r="AC52" s="74" t="e">
        <f>data0!Z47*$B$6/AC$6</f>
        <v>#DIV/0!</v>
      </c>
      <c r="AD52" s="74" t="e">
        <f>data0!AA47*$B$6/AD$6</f>
        <v>#DIV/0!</v>
      </c>
      <c r="AE52" s="74" t="e">
        <f>data0!AB47*$B$6/AE$6</f>
        <v>#DIV/0!</v>
      </c>
      <c r="AF52" s="74" t="e">
        <f>data0!AC47*$B$6/AF$6</f>
        <v>#DIV/0!</v>
      </c>
      <c r="AG52" s="74" t="e">
        <f>data0!AD47*$B$6/AG$6</f>
        <v>#DIV/0!</v>
      </c>
      <c r="AH52" s="74" t="e">
        <f>data0!AE47*$B$6/AH$6</f>
        <v>#DIV/0!</v>
      </c>
      <c r="AI52" s="74" t="e">
        <f>data0!AF47*$B$6/AI$6</f>
        <v>#DIV/0!</v>
      </c>
      <c r="AJ52" s="74" t="e">
        <f>data0!AG47*$B$6/AJ$6</f>
        <v>#DIV/0!</v>
      </c>
    </row>
    <row r="53" spans="1:36">
      <c r="A53" s="29">
        <f>data0!A48</f>
        <v>48</v>
      </c>
      <c r="B53" s="74" t="e">
        <f>AVERAGE(data0!B48:AG48)</f>
        <v>#DIV/0!</v>
      </c>
      <c r="C53" s="74" t="e">
        <f t="shared" si="0"/>
        <v>#DIV/0!</v>
      </c>
      <c r="D53" s="74" t="e">
        <f t="shared" si="1"/>
        <v>#DIV/0!</v>
      </c>
      <c r="E53" s="74" t="e">
        <f>data0!B48*$B$6/E$6</f>
        <v>#DIV/0!</v>
      </c>
      <c r="F53" s="74" t="e">
        <f>data0!C48*$B$6/F$6</f>
        <v>#DIV/0!</v>
      </c>
      <c r="G53" s="74" t="e">
        <f>data0!D48*$B$6/G$6</f>
        <v>#DIV/0!</v>
      </c>
      <c r="H53" s="74" t="e">
        <f>data0!E48*$B$6/H$6</f>
        <v>#DIV/0!</v>
      </c>
      <c r="I53" s="74" t="e">
        <f>data0!F48*$B$6/I$6</f>
        <v>#DIV/0!</v>
      </c>
      <c r="J53" s="74" t="e">
        <f>data0!G48*$B$6/J$6</f>
        <v>#DIV/0!</v>
      </c>
      <c r="K53" s="74" t="e">
        <f>data0!H48*$B$6/K$6</f>
        <v>#DIV/0!</v>
      </c>
      <c r="L53" s="74" t="e">
        <f>data0!I48*$B$6/L$6</f>
        <v>#DIV/0!</v>
      </c>
      <c r="M53" s="74" t="e">
        <f>data0!J48*$B$6/M$6</f>
        <v>#DIV/0!</v>
      </c>
      <c r="N53" s="74" t="e">
        <f>data0!K48*$B$6/N$6</f>
        <v>#DIV/0!</v>
      </c>
      <c r="O53" s="74" t="e">
        <f>data0!L48*$B$6/O$6</f>
        <v>#DIV/0!</v>
      </c>
      <c r="P53" s="74" t="e">
        <f>data0!M48*$B$6/P$6</f>
        <v>#DIV/0!</v>
      </c>
      <c r="Q53" s="74" t="e">
        <f>data0!N48*$B$6/Q$6</f>
        <v>#DIV/0!</v>
      </c>
      <c r="R53" s="74" t="e">
        <f>data0!O48*$B$6/R$6</f>
        <v>#DIV/0!</v>
      </c>
      <c r="S53" s="74" t="e">
        <f>data0!P48*$B$6/S$6</f>
        <v>#DIV/0!</v>
      </c>
      <c r="T53" s="74" t="e">
        <f>data0!Q48*$B$6/T$6</f>
        <v>#DIV/0!</v>
      </c>
      <c r="U53" s="74" t="e">
        <f>data0!R48*$B$6/U$6</f>
        <v>#DIV/0!</v>
      </c>
      <c r="V53" s="74" t="e">
        <f>data0!S48*$B$6/V$6</f>
        <v>#DIV/0!</v>
      </c>
      <c r="W53" s="74" t="e">
        <f>data0!T48*$B$6/W$6</f>
        <v>#DIV/0!</v>
      </c>
      <c r="X53" s="74" t="e">
        <f>data0!U48*$B$6/X$6</f>
        <v>#DIV/0!</v>
      </c>
      <c r="Y53" s="74" t="e">
        <f>data0!V48*$B$6/Y$6</f>
        <v>#DIV/0!</v>
      </c>
      <c r="Z53" s="74" t="e">
        <f>data0!W48*$B$6/Z$6</f>
        <v>#DIV/0!</v>
      </c>
      <c r="AA53" s="74" t="e">
        <f>data0!X48*$B$6/AA$6</f>
        <v>#DIV/0!</v>
      </c>
      <c r="AB53" s="74" t="e">
        <f>data0!Y48*$B$6/AB$6</f>
        <v>#DIV/0!</v>
      </c>
      <c r="AC53" s="74" t="e">
        <f>data0!Z48*$B$6/AC$6</f>
        <v>#DIV/0!</v>
      </c>
      <c r="AD53" s="74" t="e">
        <f>data0!AA48*$B$6/AD$6</f>
        <v>#DIV/0!</v>
      </c>
      <c r="AE53" s="74" t="e">
        <f>data0!AB48*$B$6/AE$6</f>
        <v>#DIV/0!</v>
      </c>
      <c r="AF53" s="74" t="e">
        <f>data0!AC48*$B$6/AF$6</f>
        <v>#DIV/0!</v>
      </c>
      <c r="AG53" s="74" t="e">
        <f>data0!AD48*$B$6/AG$6</f>
        <v>#DIV/0!</v>
      </c>
      <c r="AH53" s="74" t="e">
        <f>data0!AE48*$B$6/AH$6</f>
        <v>#DIV/0!</v>
      </c>
      <c r="AI53" s="74" t="e">
        <f>data0!AF48*$B$6/AI$6</f>
        <v>#DIV/0!</v>
      </c>
      <c r="AJ53" s="74" t="e">
        <f>data0!AG48*$B$6/AJ$6</f>
        <v>#DIV/0!</v>
      </c>
    </row>
    <row r="54" spans="1:36">
      <c r="A54" s="29">
        <f>data0!A49</f>
        <v>51</v>
      </c>
      <c r="B54" s="74" t="e">
        <f>AVERAGE(data0!B49:AG49)</f>
        <v>#DIV/0!</v>
      </c>
      <c r="C54" s="74" t="e">
        <f t="shared" si="0"/>
        <v>#DIV/0!</v>
      </c>
      <c r="D54" s="74" t="e">
        <f t="shared" si="1"/>
        <v>#DIV/0!</v>
      </c>
      <c r="E54" s="74" t="e">
        <f>data0!B49*$B$6/E$6</f>
        <v>#DIV/0!</v>
      </c>
      <c r="F54" s="74" t="e">
        <f>data0!C49*$B$6/F$6</f>
        <v>#DIV/0!</v>
      </c>
      <c r="G54" s="74" t="e">
        <f>data0!D49*$B$6/G$6</f>
        <v>#DIV/0!</v>
      </c>
      <c r="H54" s="74" t="e">
        <f>data0!E49*$B$6/H$6</f>
        <v>#DIV/0!</v>
      </c>
      <c r="I54" s="74" t="e">
        <f>data0!F49*$B$6/I$6</f>
        <v>#DIV/0!</v>
      </c>
      <c r="J54" s="74" t="e">
        <f>data0!G49*$B$6/J$6</f>
        <v>#DIV/0!</v>
      </c>
      <c r="K54" s="74" t="e">
        <f>data0!H49*$B$6/K$6</f>
        <v>#DIV/0!</v>
      </c>
      <c r="L54" s="74" t="e">
        <f>data0!I49*$B$6/L$6</f>
        <v>#DIV/0!</v>
      </c>
      <c r="M54" s="74" t="e">
        <f>data0!J49*$B$6/M$6</f>
        <v>#DIV/0!</v>
      </c>
      <c r="N54" s="74" t="e">
        <f>data0!K49*$B$6/N$6</f>
        <v>#DIV/0!</v>
      </c>
      <c r="O54" s="74" t="e">
        <f>data0!L49*$B$6/O$6</f>
        <v>#DIV/0!</v>
      </c>
      <c r="P54" s="74" t="e">
        <f>data0!M49*$B$6/P$6</f>
        <v>#DIV/0!</v>
      </c>
      <c r="Q54" s="74" t="e">
        <f>data0!N49*$B$6/Q$6</f>
        <v>#DIV/0!</v>
      </c>
      <c r="R54" s="74" t="e">
        <f>data0!O49*$B$6/R$6</f>
        <v>#DIV/0!</v>
      </c>
      <c r="S54" s="74" t="e">
        <f>data0!P49*$B$6/S$6</f>
        <v>#DIV/0!</v>
      </c>
      <c r="T54" s="74" t="e">
        <f>data0!Q49*$B$6/T$6</f>
        <v>#DIV/0!</v>
      </c>
      <c r="U54" s="74" t="e">
        <f>data0!R49*$B$6/U$6</f>
        <v>#DIV/0!</v>
      </c>
      <c r="V54" s="74" t="e">
        <f>data0!S49*$B$6/V$6</f>
        <v>#DIV/0!</v>
      </c>
      <c r="W54" s="74" t="e">
        <f>data0!T49*$B$6/W$6</f>
        <v>#DIV/0!</v>
      </c>
      <c r="X54" s="74" t="e">
        <f>data0!U49*$B$6/X$6</f>
        <v>#DIV/0!</v>
      </c>
      <c r="Y54" s="74" t="e">
        <f>data0!V49*$B$6/Y$6</f>
        <v>#DIV/0!</v>
      </c>
      <c r="Z54" s="74" t="e">
        <f>data0!W49*$B$6/Z$6</f>
        <v>#DIV/0!</v>
      </c>
      <c r="AA54" s="74" t="e">
        <f>data0!X49*$B$6/AA$6</f>
        <v>#DIV/0!</v>
      </c>
      <c r="AB54" s="74" t="e">
        <f>data0!Y49*$B$6/AB$6</f>
        <v>#DIV/0!</v>
      </c>
      <c r="AC54" s="74" t="e">
        <f>data0!Z49*$B$6/AC$6</f>
        <v>#DIV/0!</v>
      </c>
      <c r="AD54" s="74" t="e">
        <f>data0!AA49*$B$6/AD$6</f>
        <v>#DIV/0!</v>
      </c>
      <c r="AE54" s="74" t="e">
        <f>data0!AB49*$B$6/AE$6</f>
        <v>#DIV/0!</v>
      </c>
      <c r="AF54" s="74" t="e">
        <f>data0!AC49*$B$6/AF$6</f>
        <v>#DIV/0!</v>
      </c>
      <c r="AG54" s="74" t="e">
        <f>data0!AD49*$B$6/AG$6</f>
        <v>#DIV/0!</v>
      </c>
      <c r="AH54" s="74" t="e">
        <f>data0!AE49*$B$6/AH$6</f>
        <v>#DIV/0!</v>
      </c>
      <c r="AI54" s="74" t="e">
        <f>data0!AF49*$B$6/AI$6</f>
        <v>#DIV/0!</v>
      </c>
      <c r="AJ54" s="74" t="e">
        <f>data0!AG49*$B$6/AJ$6</f>
        <v>#DIV/0!</v>
      </c>
    </row>
    <row r="55" spans="1:36">
      <c r="A55" s="29">
        <f>data0!A50</f>
        <v>54</v>
      </c>
      <c r="B55" s="74" t="e">
        <f>AVERAGE(data0!B50:AG50)</f>
        <v>#DIV/0!</v>
      </c>
      <c r="C55" s="74" t="e">
        <f t="shared" si="0"/>
        <v>#DIV/0!</v>
      </c>
      <c r="D55" s="74" t="e">
        <f t="shared" si="1"/>
        <v>#DIV/0!</v>
      </c>
      <c r="E55" s="74" t="e">
        <f>data0!B50*$B$6/E$6</f>
        <v>#DIV/0!</v>
      </c>
      <c r="F55" s="74" t="e">
        <f>data0!C50*$B$6/F$6</f>
        <v>#DIV/0!</v>
      </c>
      <c r="G55" s="74" t="e">
        <f>data0!D50*$B$6/G$6</f>
        <v>#DIV/0!</v>
      </c>
      <c r="H55" s="74" t="e">
        <f>data0!E50*$B$6/H$6</f>
        <v>#DIV/0!</v>
      </c>
      <c r="I55" s="74" t="e">
        <f>data0!F50*$B$6/I$6</f>
        <v>#DIV/0!</v>
      </c>
      <c r="J55" s="74" t="e">
        <f>data0!G50*$B$6/J$6</f>
        <v>#DIV/0!</v>
      </c>
      <c r="K55" s="74" t="e">
        <f>data0!H50*$B$6/K$6</f>
        <v>#DIV/0!</v>
      </c>
      <c r="L55" s="74" t="e">
        <f>data0!I50*$B$6/L$6</f>
        <v>#DIV/0!</v>
      </c>
      <c r="M55" s="74" t="e">
        <f>data0!J50*$B$6/M$6</f>
        <v>#DIV/0!</v>
      </c>
      <c r="N55" s="74" t="e">
        <f>data0!K50*$B$6/N$6</f>
        <v>#DIV/0!</v>
      </c>
      <c r="O55" s="74" t="e">
        <f>data0!L50*$B$6/O$6</f>
        <v>#DIV/0!</v>
      </c>
      <c r="P55" s="74" t="e">
        <f>data0!M50*$B$6/P$6</f>
        <v>#DIV/0!</v>
      </c>
      <c r="Q55" s="74" t="e">
        <f>data0!N50*$B$6/Q$6</f>
        <v>#DIV/0!</v>
      </c>
      <c r="R55" s="74" t="e">
        <f>data0!O50*$B$6/R$6</f>
        <v>#DIV/0!</v>
      </c>
      <c r="S55" s="74" t="e">
        <f>data0!P50*$B$6/S$6</f>
        <v>#DIV/0!</v>
      </c>
      <c r="T55" s="74" t="e">
        <f>data0!Q50*$B$6/T$6</f>
        <v>#DIV/0!</v>
      </c>
      <c r="U55" s="74" t="e">
        <f>data0!R50*$B$6/U$6</f>
        <v>#DIV/0!</v>
      </c>
      <c r="V55" s="74" t="e">
        <f>data0!S50*$B$6/V$6</f>
        <v>#DIV/0!</v>
      </c>
      <c r="W55" s="74" t="e">
        <f>data0!T50*$B$6/W$6</f>
        <v>#DIV/0!</v>
      </c>
      <c r="X55" s="74" t="e">
        <f>data0!U50*$B$6/X$6</f>
        <v>#DIV/0!</v>
      </c>
      <c r="Y55" s="74" t="e">
        <f>data0!V50*$B$6/Y$6</f>
        <v>#DIV/0!</v>
      </c>
      <c r="Z55" s="74" t="e">
        <f>data0!W50*$B$6/Z$6</f>
        <v>#DIV/0!</v>
      </c>
      <c r="AA55" s="74" t="e">
        <f>data0!X50*$B$6/AA$6</f>
        <v>#DIV/0!</v>
      </c>
      <c r="AB55" s="74" t="e">
        <f>data0!Y50*$B$6/AB$6</f>
        <v>#DIV/0!</v>
      </c>
      <c r="AC55" s="74" t="e">
        <f>data0!Z50*$B$6/AC$6</f>
        <v>#DIV/0!</v>
      </c>
      <c r="AD55" s="74" t="e">
        <f>data0!AA50*$B$6/AD$6</f>
        <v>#DIV/0!</v>
      </c>
      <c r="AE55" s="74" t="e">
        <f>data0!AB50*$B$6/AE$6</f>
        <v>#DIV/0!</v>
      </c>
      <c r="AF55" s="74" t="e">
        <f>data0!AC50*$B$6/AF$6</f>
        <v>#DIV/0!</v>
      </c>
      <c r="AG55" s="74" t="e">
        <f>data0!AD50*$B$6/AG$6</f>
        <v>#DIV/0!</v>
      </c>
      <c r="AH55" s="74" t="e">
        <f>data0!AE50*$B$6/AH$6</f>
        <v>#DIV/0!</v>
      </c>
      <c r="AI55" s="74" t="e">
        <f>data0!AF50*$B$6/AI$6</f>
        <v>#DIV/0!</v>
      </c>
      <c r="AJ55" s="74" t="e">
        <f>data0!AG50*$B$6/AJ$6</f>
        <v>#DIV/0!</v>
      </c>
    </row>
    <row r="56" spans="1:36">
      <c r="A56" s="29">
        <f>data0!A51</f>
        <v>57</v>
      </c>
      <c r="B56" s="74" t="e">
        <f>AVERAGE(data0!B51:AG51)</f>
        <v>#DIV/0!</v>
      </c>
      <c r="C56" s="74" t="e">
        <f t="shared" si="0"/>
        <v>#DIV/0!</v>
      </c>
      <c r="D56" s="74" t="e">
        <f t="shared" si="1"/>
        <v>#DIV/0!</v>
      </c>
      <c r="E56" s="74" t="e">
        <f>data0!B51*$B$6/E$6</f>
        <v>#DIV/0!</v>
      </c>
      <c r="F56" s="74" t="e">
        <f>data0!C51*$B$6/F$6</f>
        <v>#DIV/0!</v>
      </c>
      <c r="G56" s="74" t="e">
        <f>data0!D51*$B$6/G$6</f>
        <v>#DIV/0!</v>
      </c>
      <c r="H56" s="74" t="e">
        <f>data0!E51*$B$6/H$6</f>
        <v>#DIV/0!</v>
      </c>
      <c r="I56" s="74" t="e">
        <f>data0!F51*$B$6/I$6</f>
        <v>#DIV/0!</v>
      </c>
      <c r="J56" s="74" t="e">
        <f>data0!G51*$B$6/J$6</f>
        <v>#DIV/0!</v>
      </c>
      <c r="K56" s="74" t="e">
        <f>data0!H51*$B$6/K$6</f>
        <v>#DIV/0!</v>
      </c>
      <c r="L56" s="74" t="e">
        <f>data0!I51*$B$6/L$6</f>
        <v>#DIV/0!</v>
      </c>
      <c r="M56" s="74" t="e">
        <f>data0!J51*$B$6/M$6</f>
        <v>#DIV/0!</v>
      </c>
      <c r="N56" s="74" t="e">
        <f>data0!K51*$B$6/N$6</f>
        <v>#DIV/0!</v>
      </c>
      <c r="O56" s="74" t="e">
        <f>data0!L51*$B$6/O$6</f>
        <v>#DIV/0!</v>
      </c>
      <c r="P56" s="74" t="e">
        <f>data0!M51*$B$6/P$6</f>
        <v>#DIV/0!</v>
      </c>
      <c r="Q56" s="74" t="e">
        <f>data0!N51*$B$6/Q$6</f>
        <v>#DIV/0!</v>
      </c>
      <c r="R56" s="74" t="e">
        <f>data0!O51*$B$6/R$6</f>
        <v>#DIV/0!</v>
      </c>
      <c r="S56" s="74" t="e">
        <f>data0!P51*$B$6/S$6</f>
        <v>#DIV/0!</v>
      </c>
      <c r="T56" s="74" t="e">
        <f>data0!Q51*$B$6/T$6</f>
        <v>#DIV/0!</v>
      </c>
      <c r="U56" s="74" t="e">
        <f>data0!R51*$B$6/U$6</f>
        <v>#DIV/0!</v>
      </c>
      <c r="V56" s="74" t="e">
        <f>data0!S51*$B$6/V$6</f>
        <v>#DIV/0!</v>
      </c>
      <c r="W56" s="74" t="e">
        <f>data0!T51*$B$6/W$6</f>
        <v>#DIV/0!</v>
      </c>
      <c r="X56" s="74" t="e">
        <f>data0!U51*$B$6/X$6</f>
        <v>#DIV/0!</v>
      </c>
      <c r="Y56" s="74" t="e">
        <f>data0!V51*$B$6/Y$6</f>
        <v>#DIV/0!</v>
      </c>
      <c r="Z56" s="74" t="e">
        <f>data0!W51*$B$6/Z$6</f>
        <v>#DIV/0!</v>
      </c>
      <c r="AA56" s="74" t="e">
        <f>data0!X51*$B$6/AA$6</f>
        <v>#DIV/0!</v>
      </c>
      <c r="AB56" s="74" t="e">
        <f>data0!Y51*$B$6/AB$6</f>
        <v>#DIV/0!</v>
      </c>
      <c r="AC56" s="74" t="e">
        <f>data0!Z51*$B$6/AC$6</f>
        <v>#DIV/0!</v>
      </c>
      <c r="AD56" s="74" t="e">
        <f>data0!AA51*$B$6/AD$6</f>
        <v>#DIV/0!</v>
      </c>
      <c r="AE56" s="74" t="e">
        <f>data0!AB51*$B$6/AE$6</f>
        <v>#DIV/0!</v>
      </c>
      <c r="AF56" s="74" t="e">
        <f>data0!AC51*$B$6/AF$6</f>
        <v>#DIV/0!</v>
      </c>
      <c r="AG56" s="74" t="e">
        <f>data0!AD51*$B$6/AG$6</f>
        <v>#DIV/0!</v>
      </c>
      <c r="AH56" s="74" t="e">
        <f>data0!AE51*$B$6/AH$6</f>
        <v>#DIV/0!</v>
      </c>
      <c r="AI56" s="74" t="e">
        <f>data0!AF51*$B$6/AI$6</f>
        <v>#DIV/0!</v>
      </c>
      <c r="AJ56" s="74" t="e">
        <f>data0!AG51*$B$6/AJ$6</f>
        <v>#DIV/0!</v>
      </c>
    </row>
    <row r="57" spans="1:36">
      <c r="A57" s="29">
        <f>data0!A52</f>
        <v>60</v>
      </c>
      <c r="B57" s="74" t="e">
        <f>AVERAGE(data0!B52:AG52)</f>
        <v>#DIV/0!</v>
      </c>
      <c r="C57" s="74" t="e">
        <f t="shared" si="0"/>
        <v>#DIV/0!</v>
      </c>
      <c r="D57" s="74" t="e">
        <f t="shared" si="1"/>
        <v>#DIV/0!</v>
      </c>
      <c r="E57" s="74" t="e">
        <f>data0!B52*$B$6/E$6</f>
        <v>#DIV/0!</v>
      </c>
      <c r="F57" s="74" t="e">
        <f>data0!C52*$B$6/F$6</f>
        <v>#DIV/0!</v>
      </c>
      <c r="G57" s="74" t="e">
        <f>data0!D52*$B$6/G$6</f>
        <v>#DIV/0!</v>
      </c>
      <c r="H57" s="74" t="e">
        <f>data0!E52*$B$6/H$6</f>
        <v>#DIV/0!</v>
      </c>
      <c r="I57" s="74" t="e">
        <f>data0!F52*$B$6/I$6</f>
        <v>#DIV/0!</v>
      </c>
      <c r="J57" s="74" t="e">
        <f>data0!G52*$B$6/J$6</f>
        <v>#DIV/0!</v>
      </c>
      <c r="K57" s="74" t="e">
        <f>data0!H52*$B$6/K$6</f>
        <v>#DIV/0!</v>
      </c>
      <c r="L57" s="74" t="e">
        <f>data0!I52*$B$6/L$6</f>
        <v>#DIV/0!</v>
      </c>
      <c r="M57" s="74" t="e">
        <f>data0!J52*$B$6/M$6</f>
        <v>#DIV/0!</v>
      </c>
      <c r="N57" s="74" t="e">
        <f>data0!K52*$B$6/N$6</f>
        <v>#DIV/0!</v>
      </c>
      <c r="O57" s="74" t="e">
        <f>data0!L52*$B$6/O$6</f>
        <v>#DIV/0!</v>
      </c>
      <c r="P57" s="74" t="e">
        <f>data0!M52*$B$6/P$6</f>
        <v>#DIV/0!</v>
      </c>
      <c r="Q57" s="74" t="e">
        <f>data0!N52*$B$6/Q$6</f>
        <v>#DIV/0!</v>
      </c>
      <c r="R57" s="74" t="e">
        <f>data0!O52*$B$6/R$6</f>
        <v>#DIV/0!</v>
      </c>
      <c r="S57" s="74" t="e">
        <f>data0!P52*$B$6/S$6</f>
        <v>#DIV/0!</v>
      </c>
      <c r="T57" s="74" t="e">
        <f>data0!Q52*$B$6/T$6</f>
        <v>#DIV/0!</v>
      </c>
      <c r="U57" s="74" t="e">
        <f>data0!R52*$B$6/U$6</f>
        <v>#DIV/0!</v>
      </c>
      <c r="V57" s="74" t="e">
        <f>data0!S52*$B$6/V$6</f>
        <v>#DIV/0!</v>
      </c>
      <c r="W57" s="74" t="e">
        <f>data0!T52*$B$6/W$6</f>
        <v>#DIV/0!</v>
      </c>
      <c r="X57" s="74" t="e">
        <f>data0!U52*$B$6/X$6</f>
        <v>#DIV/0!</v>
      </c>
      <c r="Y57" s="74" t="e">
        <f>data0!V52*$B$6/Y$6</f>
        <v>#DIV/0!</v>
      </c>
      <c r="Z57" s="74" t="e">
        <f>data0!W52*$B$6/Z$6</f>
        <v>#DIV/0!</v>
      </c>
      <c r="AA57" s="74" t="e">
        <f>data0!X52*$B$6/AA$6</f>
        <v>#DIV/0!</v>
      </c>
      <c r="AB57" s="74" t="e">
        <f>data0!Y52*$B$6/AB$6</f>
        <v>#DIV/0!</v>
      </c>
      <c r="AC57" s="74" t="e">
        <f>data0!Z52*$B$6/AC$6</f>
        <v>#DIV/0!</v>
      </c>
      <c r="AD57" s="74" t="e">
        <f>data0!AA52*$B$6/AD$6</f>
        <v>#DIV/0!</v>
      </c>
      <c r="AE57" s="74" t="e">
        <f>data0!AB52*$B$6/AE$6</f>
        <v>#DIV/0!</v>
      </c>
      <c r="AF57" s="74" t="e">
        <f>data0!AC52*$B$6/AF$6</f>
        <v>#DIV/0!</v>
      </c>
      <c r="AG57" s="74" t="e">
        <f>data0!AD52*$B$6/AG$6</f>
        <v>#DIV/0!</v>
      </c>
      <c r="AH57" s="74" t="e">
        <f>data0!AE52*$B$6/AH$6</f>
        <v>#DIV/0!</v>
      </c>
      <c r="AI57" s="74" t="e">
        <f>data0!AF52*$B$6/AI$6</f>
        <v>#DIV/0!</v>
      </c>
      <c r="AJ57" s="74" t="e">
        <f>data0!AG52*$B$6/AJ$6</f>
        <v>#DIV/0!</v>
      </c>
    </row>
    <row r="58" spans="1:36">
      <c r="A58" s="29">
        <f>data0!A53</f>
        <v>63</v>
      </c>
      <c r="B58" s="74" t="e">
        <f>AVERAGE(data0!B53:AG53)</f>
        <v>#DIV/0!</v>
      </c>
      <c r="C58" s="74" t="e">
        <f t="shared" si="0"/>
        <v>#DIV/0!</v>
      </c>
      <c r="D58" s="74" t="e">
        <f t="shared" si="1"/>
        <v>#DIV/0!</v>
      </c>
      <c r="E58" s="74" t="e">
        <f>data0!B53*$B$6/E$6</f>
        <v>#DIV/0!</v>
      </c>
      <c r="F58" s="74" t="e">
        <f>data0!C53*$B$6/F$6</f>
        <v>#DIV/0!</v>
      </c>
      <c r="G58" s="74" t="e">
        <f>data0!D53*$B$6/G$6</f>
        <v>#DIV/0!</v>
      </c>
      <c r="H58" s="74" t="e">
        <f>data0!E53*$B$6/H$6</f>
        <v>#DIV/0!</v>
      </c>
      <c r="I58" s="74" t="e">
        <f>data0!F53*$B$6/I$6</f>
        <v>#DIV/0!</v>
      </c>
      <c r="J58" s="74" t="e">
        <f>data0!G53*$B$6/J$6</f>
        <v>#DIV/0!</v>
      </c>
      <c r="K58" s="74" t="e">
        <f>data0!H53*$B$6/K$6</f>
        <v>#DIV/0!</v>
      </c>
      <c r="L58" s="74" t="e">
        <f>data0!I53*$B$6/L$6</f>
        <v>#DIV/0!</v>
      </c>
      <c r="M58" s="74" t="e">
        <f>data0!J53*$B$6/M$6</f>
        <v>#DIV/0!</v>
      </c>
      <c r="N58" s="74" t="e">
        <f>data0!K53*$B$6/N$6</f>
        <v>#DIV/0!</v>
      </c>
      <c r="O58" s="74" t="e">
        <f>data0!L53*$B$6/O$6</f>
        <v>#DIV/0!</v>
      </c>
      <c r="P58" s="74" t="e">
        <f>data0!M53*$B$6/P$6</f>
        <v>#DIV/0!</v>
      </c>
      <c r="Q58" s="74" t="e">
        <f>data0!N53*$B$6/Q$6</f>
        <v>#DIV/0!</v>
      </c>
      <c r="R58" s="74" t="e">
        <f>data0!O53*$B$6/R$6</f>
        <v>#DIV/0!</v>
      </c>
      <c r="S58" s="74" t="e">
        <f>data0!P53*$B$6/S$6</f>
        <v>#DIV/0!</v>
      </c>
      <c r="T58" s="74" t="e">
        <f>data0!Q53*$B$6/T$6</f>
        <v>#DIV/0!</v>
      </c>
      <c r="U58" s="74" t="e">
        <f>data0!R53*$B$6/U$6</f>
        <v>#DIV/0!</v>
      </c>
      <c r="V58" s="74" t="e">
        <f>data0!S53*$B$6/V$6</f>
        <v>#DIV/0!</v>
      </c>
      <c r="W58" s="74" t="e">
        <f>data0!T53*$B$6/W$6</f>
        <v>#DIV/0!</v>
      </c>
      <c r="X58" s="74" t="e">
        <f>data0!U53*$B$6/X$6</f>
        <v>#DIV/0!</v>
      </c>
      <c r="Y58" s="74" t="e">
        <f>data0!V53*$B$6/Y$6</f>
        <v>#DIV/0!</v>
      </c>
      <c r="Z58" s="74" t="e">
        <f>data0!W53*$B$6/Z$6</f>
        <v>#DIV/0!</v>
      </c>
      <c r="AA58" s="74" t="e">
        <f>data0!X53*$B$6/AA$6</f>
        <v>#DIV/0!</v>
      </c>
      <c r="AB58" s="74" t="e">
        <f>data0!Y53*$B$6/AB$6</f>
        <v>#DIV/0!</v>
      </c>
      <c r="AC58" s="74" t="e">
        <f>data0!Z53*$B$6/AC$6</f>
        <v>#DIV/0!</v>
      </c>
      <c r="AD58" s="74" t="e">
        <f>data0!AA53*$B$6/AD$6</f>
        <v>#DIV/0!</v>
      </c>
      <c r="AE58" s="74" t="e">
        <f>data0!AB53*$B$6/AE$6</f>
        <v>#DIV/0!</v>
      </c>
      <c r="AF58" s="74" t="e">
        <f>data0!AC53*$B$6/AF$6</f>
        <v>#DIV/0!</v>
      </c>
      <c r="AG58" s="74" t="e">
        <f>data0!AD53*$B$6/AG$6</f>
        <v>#DIV/0!</v>
      </c>
      <c r="AH58" s="74" t="e">
        <f>data0!AE53*$B$6/AH$6</f>
        <v>#DIV/0!</v>
      </c>
      <c r="AI58" s="74" t="e">
        <f>data0!AF53*$B$6/AI$6</f>
        <v>#DIV/0!</v>
      </c>
      <c r="AJ58" s="74" t="e">
        <f>data0!AG53*$B$6/AJ$6</f>
        <v>#DIV/0!</v>
      </c>
    </row>
    <row r="59" spans="1:36">
      <c r="A59" s="29">
        <f>data0!A54</f>
        <v>66</v>
      </c>
      <c r="B59" s="74" t="e">
        <f>AVERAGE(data0!B54:AG54)</f>
        <v>#DIV/0!</v>
      </c>
      <c r="C59" s="74" t="e">
        <f t="shared" si="0"/>
        <v>#DIV/0!</v>
      </c>
      <c r="D59" s="74" t="e">
        <f t="shared" si="1"/>
        <v>#DIV/0!</v>
      </c>
      <c r="E59" s="74" t="e">
        <f>data0!B54*$B$6/E$6</f>
        <v>#DIV/0!</v>
      </c>
      <c r="F59" s="74" t="e">
        <f>data0!C54*$B$6/F$6</f>
        <v>#DIV/0!</v>
      </c>
      <c r="G59" s="74" t="e">
        <f>data0!D54*$B$6/G$6</f>
        <v>#DIV/0!</v>
      </c>
      <c r="H59" s="74" t="e">
        <f>data0!E54*$B$6/H$6</f>
        <v>#DIV/0!</v>
      </c>
      <c r="I59" s="74" t="e">
        <f>data0!F54*$B$6/I$6</f>
        <v>#DIV/0!</v>
      </c>
      <c r="J59" s="74" t="e">
        <f>data0!G54*$B$6/J$6</f>
        <v>#DIV/0!</v>
      </c>
      <c r="K59" s="74" t="e">
        <f>data0!H54*$B$6/K$6</f>
        <v>#DIV/0!</v>
      </c>
      <c r="L59" s="74" t="e">
        <f>data0!I54*$B$6/L$6</f>
        <v>#DIV/0!</v>
      </c>
      <c r="M59" s="74" t="e">
        <f>data0!J54*$B$6/M$6</f>
        <v>#DIV/0!</v>
      </c>
      <c r="N59" s="74" t="e">
        <f>data0!K54*$B$6/N$6</f>
        <v>#DIV/0!</v>
      </c>
      <c r="O59" s="74" t="e">
        <f>data0!L54*$B$6/O$6</f>
        <v>#DIV/0!</v>
      </c>
      <c r="P59" s="74" t="e">
        <f>data0!M54*$B$6/P$6</f>
        <v>#DIV/0!</v>
      </c>
      <c r="Q59" s="74" t="e">
        <f>data0!N54*$B$6/Q$6</f>
        <v>#DIV/0!</v>
      </c>
      <c r="R59" s="74" t="e">
        <f>data0!O54*$B$6/R$6</f>
        <v>#DIV/0!</v>
      </c>
      <c r="S59" s="74" t="e">
        <f>data0!P54*$B$6/S$6</f>
        <v>#DIV/0!</v>
      </c>
      <c r="T59" s="74" t="e">
        <f>data0!Q54*$B$6/T$6</f>
        <v>#DIV/0!</v>
      </c>
      <c r="U59" s="74" t="e">
        <f>data0!R54*$B$6/U$6</f>
        <v>#DIV/0!</v>
      </c>
      <c r="V59" s="74" t="e">
        <f>data0!S54*$B$6/V$6</f>
        <v>#DIV/0!</v>
      </c>
      <c r="W59" s="74" t="e">
        <f>data0!T54*$B$6/W$6</f>
        <v>#DIV/0!</v>
      </c>
      <c r="X59" s="74" t="e">
        <f>data0!U54*$B$6/X$6</f>
        <v>#DIV/0!</v>
      </c>
      <c r="Y59" s="74" t="e">
        <f>data0!V54*$B$6/Y$6</f>
        <v>#DIV/0!</v>
      </c>
      <c r="Z59" s="74" t="e">
        <f>data0!W54*$B$6/Z$6</f>
        <v>#DIV/0!</v>
      </c>
      <c r="AA59" s="74" t="e">
        <f>data0!X54*$B$6/AA$6</f>
        <v>#DIV/0!</v>
      </c>
      <c r="AB59" s="74" t="e">
        <f>data0!Y54*$B$6/AB$6</f>
        <v>#DIV/0!</v>
      </c>
      <c r="AC59" s="74" t="e">
        <f>data0!Z54*$B$6/AC$6</f>
        <v>#DIV/0!</v>
      </c>
      <c r="AD59" s="74" t="e">
        <f>data0!AA54*$B$6/AD$6</f>
        <v>#DIV/0!</v>
      </c>
      <c r="AE59" s="74" t="e">
        <f>data0!AB54*$B$6/AE$6</f>
        <v>#DIV/0!</v>
      </c>
      <c r="AF59" s="74" t="e">
        <f>data0!AC54*$B$6/AF$6</f>
        <v>#DIV/0!</v>
      </c>
      <c r="AG59" s="74" t="e">
        <f>data0!AD54*$B$6/AG$6</f>
        <v>#DIV/0!</v>
      </c>
      <c r="AH59" s="74" t="e">
        <f>data0!AE54*$B$6/AH$6</f>
        <v>#DIV/0!</v>
      </c>
      <c r="AI59" s="74" t="e">
        <f>data0!AF54*$B$6/AI$6</f>
        <v>#DIV/0!</v>
      </c>
      <c r="AJ59" s="74" t="e">
        <f>data0!AG54*$B$6/AJ$6</f>
        <v>#DIV/0!</v>
      </c>
    </row>
    <row r="60" spans="1:36">
      <c r="A60" s="29">
        <f>data0!A55</f>
        <v>69</v>
      </c>
      <c r="B60" s="74" t="e">
        <f>AVERAGE(data0!B55:AG55)</f>
        <v>#DIV/0!</v>
      </c>
      <c r="C60" s="74" t="e">
        <f t="shared" si="0"/>
        <v>#DIV/0!</v>
      </c>
      <c r="D60" s="74" t="e">
        <f t="shared" si="1"/>
        <v>#DIV/0!</v>
      </c>
      <c r="E60" s="74" t="e">
        <f>data0!B55*$B$6/E$6</f>
        <v>#DIV/0!</v>
      </c>
      <c r="F60" s="74" t="e">
        <f>data0!C55*$B$6/F$6</f>
        <v>#DIV/0!</v>
      </c>
      <c r="G60" s="74" t="e">
        <f>data0!D55*$B$6/G$6</f>
        <v>#DIV/0!</v>
      </c>
      <c r="H60" s="74" t="e">
        <f>data0!E55*$B$6/H$6</f>
        <v>#DIV/0!</v>
      </c>
      <c r="I60" s="74" t="e">
        <f>data0!F55*$B$6/I$6</f>
        <v>#DIV/0!</v>
      </c>
      <c r="J60" s="74" t="e">
        <f>data0!G55*$B$6/J$6</f>
        <v>#DIV/0!</v>
      </c>
      <c r="K60" s="74" t="e">
        <f>data0!H55*$B$6/K$6</f>
        <v>#DIV/0!</v>
      </c>
      <c r="L60" s="74" t="e">
        <f>data0!I55*$B$6/L$6</f>
        <v>#DIV/0!</v>
      </c>
      <c r="M60" s="74" t="e">
        <f>data0!J55*$B$6/M$6</f>
        <v>#DIV/0!</v>
      </c>
      <c r="N60" s="74" t="e">
        <f>data0!K55*$B$6/N$6</f>
        <v>#DIV/0!</v>
      </c>
      <c r="O60" s="74" t="e">
        <f>data0!L55*$B$6/O$6</f>
        <v>#DIV/0!</v>
      </c>
      <c r="P60" s="74" t="e">
        <f>data0!M55*$B$6/P$6</f>
        <v>#DIV/0!</v>
      </c>
      <c r="Q60" s="74" t="e">
        <f>data0!N55*$B$6/Q$6</f>
        <v>#DIV/0!</v>
      </c>
      <c r="R60" s="74" t="e">
        <f>data0!O55*$B$6/R$6</f>
        <v>#DIV/0!</v>
      </c>
      <c r="S60" s="74" t="e">
        <f>data0!P55*$B$6/S$6</f>
        <v>#DIV/0!</v>
      </c>
      <c r="T60" s="74" t="e">
        <f>data0!Q55*$B$6/T$6</f>
        <v>#DIV/0!</v>
      </c>
      <c r="U60" s="74" t="e">
        <f>data0!R55*$B$6/U$6</f>
        <v>#DIV/0!</v>
      </c>
      <c r="V60" s="74" t="e">
        <f>data0!S55*$B$6/V$6</f>
        <v>#DIV/0!</v>
      </c>
      <c r="W60" s="74" t="e">
        <f>data0!T55*$B$6/W$6</f>
        <v>#DIV/0!</v>
      </c>
      <c r="X60" s="74" t="e">
        <f>data0!U55*$B$6/X$6</f>
        <v>#DIV/0!</v>
      </c>
      <c r="Y60" s="74" t="e">
        <f>data0!V55*$B$6/Y$6</f>
        <v>#DIV/0!</v>
      </c>
      <c r="Z60" s="74" t="e">
        <f>data0!W55*$B$6/Z$6</f>
        <v>#DIV/0!</v>
      </c>
      <c r="AA60" s="74" t="e">
        <f>data0!X55*$B$6/AA$6</f>
        <v>#DIV/0!</v>
      </c>
      <c r="AB60" s="74" t="e">
        <f>data0!Y55*$B$6/AB$6</f>
        <v>#DIV/0!</v>
      </c>
      <c r="AC60" s="74" t="e">
        <f>data0!Z55*$B$6/AC$6</f>
        <v>#DIV/0!</v>
      </c>
      <c r="AD60" s="74" t="e">
        <f>data0!AA55*$B$6/AD$6</f>
        <v>#DIV/0!</v>
      </c>
      <c r="AE60" s="74" t="e">
        <f>data0!AB55*$B$6/AE$6</f>
        <v>#DIV/0!</v>
      </c>
      <c r="AF60" s="74" t="e">
        <f>data0!AC55*$B$6/AF$6</f>
        <v>#DIV/0!</v>
      </c>
      <c r="AG60" s="74" t="e">
        <f>data0!AD55*$B$6/AG$6</f>
        <v>#DIV/0!</v>
      </c>
      <c r="AH60" s="74" t="e">
        <f>data0!AE55*$B$6/AH$6</f>
        <v>#DIV/0!</v>
      </c>
      <c r="AI60" s="74" t="e">
        <f>data0!AF55*$B$6/AI$6</f>
        <v>#DIV/0!</v>
      </c>
      <c r="AJ60" s="74" t="e">
        <f>data0!AG55*$B$6/AJ$6</f>
        <v>#DIV/0!</v>
      </c>
    </row>
    <row r="61" spans="1:36">
      <c r="A61" s="29">
        <f>data0!A56</f>
        <v>72</v>
      </c>
      <c r="B61" s="74" t="e">
        <f>AVERAGE(data0!B56:AG56)</f>
        <v>#DIV/0!</v>
      </c>
      <c r="C61" s="74" t="e">
        <f t="shared" si="0"/>
        <v>#DIV/0!</v>
      </c>
      <c r="D61" s="74" t="e">
        <f t="shared" si="1"/>
        <v>#DIV/0!</v>
      </c>
      <c r="E61" s="74" t="e">
        <f>data0!B56*$B$6/E$6</f>
        <v>#DIV/0!</v>
      </c>
      <c r="F61" s="74" t="e">
        <f>data0!C56*$B$6/F$6</f>
        <v>#DIV/0!</v>
      </c>
      <c r="G61" s="74" t="e">
        <f>data0!D56*$B$6/G$6</f>
        <v>#DIV/0!</v>
      </c>
      <c r="H61" s="74" t="e">
        <f>data0!E56*$B$6/H$6</f>
        <v>#DIV/0!</v>
      </c>
      <c r="I61" s="74" t="e">
        <f>data0!F56*$B$6/I$6</f>
        <v>#DIV/0!</v>
      </c>
      <c r="J61" s="74" t="e">
        <f>data0!G56*$B$6/J$6</f>
        <v>#DIV/0!</v>
      </c>
      <c r="K61" s="74" t="e">
        <f>data0!H56*$B$6/K$6</f>
        <v>#DIV/0!</v>
      </c>
      <c r="L61" s="74" t="e">
        <f>data0!I56*$B$6/L$6</f>
        <v>#DIV/0!</v>
      </c>
      <c r="M61" s="74" t="e">
        <f>data0!J56*$B$6/M$6</f>
        <v>#DIV/0!</v>
      </c>
      <c r="N61" s="74" t="e">
        <f>data0!K56*$B$6/N$6</f>
        <v>#DIV/0!</v>
      </c>
      <c r="O61" s="74" t="e">
        <f>data0!L56*$B$6/O$6</f>
        <v>#DIV/0!</v>
      </c>
      <c r="P61" s="74" t="e">
        <f>data0!M56*$B$6/P$6</f>
        <v>#DIV/0!</v>
      </c>
      <c r="Q61" s="74" t="e">
        <f>data0!N56*$B$6/Q$6</f>
        <v>#DIV/0!</v>
      </c>
      <c r="R61" s="74" t="e">
        <f>data0!O56*$B$6/R$6</f>
        <v>#DIV/0!</v>
      </c>
      <c r="S61" s="74" t="e">
        <f>data0!P56*$B$6/S$6</f>
        <v>#DIV/0!</v>
      </c>
      <c r="T61" s="74" t="e">
        <f>data0!Q56*$B$6/T$6</f>
        <v>#DIV/0!</v>
      </c>
      <c r="U61" s="74" t="e">
        <f>data0!R56*$B$6/U$6</f>
        <v>#DIV/0!</v>
      </c>
      <c r="V61" s="74" t="e">
        <f>data0!S56*$B$6/V$6</f>
        <v>#DIV/0!</v>
      </c>
      <c r="W61" s="74" t="e">
        <f>data0!T56*$B$6/W$6</f>
        <v>#DIV/0!</v>
      </c>
      <c r="X61" s="74" t="e">
        <f>data0!U56*$B$6/X$6</f>
        <v>#DIV/0!</v>
      </c>
      <c r="Y61" s="74" t="e">
        <f>data0!V56*$B$6/Y$6</f>
        <v>#DIV/0!</v>
      </c>
      <c r="Z61" s="74" t="e">
        <f>data0!W56*$B$6/Z$6</f>
        <v>#DIV/0!</v>
      </c>
      <c r="AA61" s="74" t="e">
        <f>data0!X56*$B$6/AA$6</f>
        <v>#DIV/0!</v>
      </c>
      <c r="AB61" s="74" t="e">
        <f>data0!Y56*$B$6/AB$6</f>
        <v>#DIV/0!</v>
      </c>
      <c r="AC61" s="74" t="e">
        <f>data0!Z56*$B$6/AC$6</f>
        <v>#DIV/0!</v>
      </c>
      <c r="AD61" s="74" t="e">
        <f>data0!AA56*$B$6/AD$6</f>
        <v>#DIV/0!</v>
      </c>
      <c r="AE61" s="74" t="e">
        <f>data0!AB56*$B$6/AE$6</f>
        <v>#DIV/0!</v>
      </c>
      <c r="AF61" s="74" t="e">
        <f>data0!AC56*$B$6/AF$6</f>
        <v>#DIV/0!</v>
      </c>
      <c r="AG61" s="74" t="e">
        <f>data0!AD56*$B$6/AG$6</f>
        <v>#DIV/0!</v>
      </c>
      <c r="AH61" s="74" t="e">
        <f>data0!AE56*$B$6/AH$6</f>
        <v>#DIV/0!</v>
      </c>
      <c r="AI61" s="74" t="e">
        <f>data0!AF56*$B$6/AI$6</f>
        <v>#DIV/0!</v>
      </c>
      <c r="AJ61" s="74" t="e">
        <f>data0!AG56*$B$6/AJ$6</f>
        <v>#DIV/0!</v>
      </c>
    </row>
    <row r="62" spans="1:36">
      <c r="A62" s="29">
        <f>data0!A57</f>
        <v>75</v>
      </c>
      <c r="B62" s="74" t="e">
        <f>AVERAGE(data0!B57:AG57)</f>
        <v>#DIV/0!</v>
      </c>
      <c r="C62" s="74" t="e">
        <f t="shared" si="0"/>
        <v>#DIV/0!</v>
      </c>
      <c r="D62" s="74" t="e">
        <f t="shared" si="1"/>
        <v>#DIV/0!</v>
      </c>
      <c r="E62" s="74" t="e">
        <f>data0!B57*$B$6/E$6</f>
        <v>#DIV/0!</v>
      </c>
      <c r="F62" s="74" t="e">
        <f>data0!C57*$B$6/F$6</f>
        <v>#DIV/0!</v>
      </c>
      <c r="G62" s="74" t="e">
        <f>data0!D57*$B$6/G$6</f>
        <v>#DIV/0!</v>
      </c>
      <c r="H62" s="74" t="e">
        <f>data0!E57*$B$6/H$6</f>
        <v>#DIV/0!</v>
      </c>
      <c r="I62" s="74" t="e">
        <f>data0!F57*$B$6/I$6</f>
        <v>#DIV/0!</v>
      </c>
      <c r="J62" s="74" t="e">
        <f>data0!G57*$B$6/J$6</f>
        <v>#DIV/0!</v>
      </c>
      <c r="K62" s="74" t="e">
        <f>data0!H57*$B$6/K$6</f>
        <v>#DIV/0!</v>
      </c>
      <c r="L62" s="74" t="e">
        <f>data0!I57*$B$6/L$6</f>
        <v>#DIV/0!</v>
      </c>
      <c r="M62" s="74" t="e">
        <f>data0!J57*$B$6/M$6</f>
        <v>#DIV/0!</v>
      </c>
      <c r="N62" s="74" t="e">
        <f>data0!K57*$B$6/N$6</f>
        <v>#DIV/0!</v>
      </c>
      <c r="O62" s="74" t="e">
        <f>data0!L57*$B$6/O$6</f>
        <v>#DIV/0!</v>
      </c>
      <c r="P62" s="74" t="e">
        <f>data0!M57*$B$6/P$6</f>
        <v>#DIV/0!</v>
      </c>
      <c r="Q62" s="74" t="e">
        <f>data0!N57*$B$6/Q$6</f>
        <v>#DIV/0!</v>
      </c>
      <c r="R62" s="74" t="e">
        <f>data0!O57*$B$6/R$6</f>
        <v>#DIV/0!</v>
      </c>
      <c r="S62" s="74" t="e">
        <f>data0!P57*$B$6/S$6</f>
        <v>#DIV/0!</v>
      </c>
      <c r="T62" s="74" t="e">
        <f>data0!Q57*$B$6/T$6</f>
        <v>#DIV/0!</v>
      </c>
      <c r="U62" s="74" t="e">
        <f>data0!R57*$B$6/U$6</f>
        <v>#DIV/0!</v>
      </c>
      <c r="V62" s="74" t="e">
        <f>data0!S57*$B$6/V$6</f>
        <v>#DIV/0!</v>
      </c>
      <c r="W62" s="74" t="e">
        <f>data0!T57*$B$6/W$6</f>
        <v>#DIV/0!</v>
      </c>
      <c r="X62" s="74" t="e">
        <f>data0!U57*$B$6/X$6</f>
        <v>#DIV/0!</v>
      </c>
      <c r="Y62" s="74" t="e">
        <f>data0!V57*$B$6/Y$6</f>
        <v>#DIV/0!</v>
      </c>
      <c r="Z62" s="74" t="e">
        <f>data0!W57*$B$6/Z$6</f>
        <v>#DIV/0!</v>
      </c>
      <c r="AA62" s="74" t="e">
        <f>data0!X57*$B$6/AA$6</f>
        <v>#DIV/0!</v>
      </c>
      <c r="AB62" s="74" t="e">
        <f>data0!Y57*$B$6/AB$6</f>
        <v>#DIV/0!</v>
      </c>
      <c r="AC62" s="74" t="e">
        <f>data0!Z57*$B$6/AC$6</f>
        <v>#DIV/0!</v>
      </c>
      <c r="AD62" s="74" t="e">
        <f>data0!AA57*$B$6/AD$6</f>
        <v>#DIV/0!</v>
      </c>
      <c r="AE62" s="74" t="e">
        <f>data0!AB57*$B$6/AE$6</f>
        <v>#DIV/0!</v>
      </c>
      <c r="AF62" s="74" t="e">
        <f>data0!AC57*$B$6/AF$6</f>
        <v>#DIV/0!</v>
      </c>
      <c r="AG62" s="74" t="e">
        <f>data0!AD57*$B$6/AG$6</f>
        <v>#DIV/0!</v>
      </c>
      <c r="AH62" s="74" t="e">
        <f>data0!AE57*$B$6/AH$6</f>
        <v>#DIV/0!</v>
      </c>
      <c r="AI62" s="74" t="e">
        <f>data0!AF57*$B$6/AI$6</f>
        <v>#DIV/0!</v>
      </c>
      <c r="AJ62" s="74" t="e">
        <f>data0!AG57*$B$6/AJ$6</f>
        <v>#DIV/0!</v>
      </c>
    </row>
    <row r="63" spans="1:36">
      <c r="A63" s="29">
        <f>data0!A58</f>
        <v>78</v>
      </c>
      <c r="B63" s="74" t="e">
        <f>AVERAGE(data0!B58:AG58)</f>
        <v>#DIV/0!</v>
      </c>
      <c r="C63" s="74" t="e">
        <f t="shared" si="0"/>
        <v>#DIV/0!</v>
      </c>
      <c r="D63" s="74" t="e">
        <f t="shared" si="1"/>
        <v>#DIV/0!</v>
      </c>
      <c r="E63" s="74" t="e">
        <f>data0!B58*$B$6/E$6</f>
        <v>#DIV/0!</v>
      </c>
      <c r="F63" s="74" t="e">
        <f>data0!C58*$B$6/F$6</f>
        <v>#DIV/0!</v>
      </c>
      <c r="G63" s="74" t="e">
        <f>data0!D58*$B$6/G$6</f>
        <v>#DIV/0!</v>
      </c>
      <c r="H63" s="74" t="e">
        <f>data0!E58*$B$6/H$6</f>
        <v>#DIV/0!</v>
      </c>
      <c r="I63" s="74" t="e">
        <f>data0!F58*$B$6/I$6</f>
        <v>#DIV/0!</v>
      </c>
      <c r="J63" s="74" t="e">
        <f>data0!G58*$B$6/J$6</f>
        <v>#DIV/0!</v>
      </c>
      <c r="K63" s="74" t="e">
        <f>data0!H58*$B$6/K$6</f>
        <v>#DIV/0!</v>
      </c>
      <c r="L63" s="74" t="e">
        <f>data0!I58*$B$6/L$6</f>
        <v>#DIV/0!</v>
      </c>
      <c r="M63" s="74" t="e">
        <f>data0!J58*$B$6/M$6</f>
        <v>#DIV/0!</v>
      </c>
      <c r="N63" s="74" t="e">
        <f>data0!K58*$B$6/N$6</f>
        <v>#DIV/0!</v>
      </c>
      <c r="O63" s="74" t="e">
        <f>data0!L58*$B$6/O$6</f>
        <v>#DIV/0!</v>
      </c>
      <c r="P63" s="74" t="e">
        <f>data0!M58*$B$6/P$6</f>
        <v>#DIV/0!</v>
      </c>
      <c r="Q63" s="74" t="e">
        <f>data0!N58*$B$6/Q$6</f>
        <v>#DIV/0!</v>
      </c>
      <c r="R63" s="74" t="e">
        <f>data0!O58*$B$6/R$6</f>
        <v>#DIV/0!</v>
      </c>
      <c r="S63" s="74" t="e">
        <f>data0!P58*$B$6/S$6</f>
        <v>#DIV/0!</v>
      </c>
      <c r="T63" s="74" t="e">
        <f>data0!Q58*$B$6/T$6</f>
        <v>#DIV/0!</v>
      </c>
      <c r="U63" s="74" t="e">
        <f>data0!R58*$B$6/U$6</f>
        <v>#DIV/0!</v>
      </c>
      <c r="V63" s="74" t="e">
        <f>data0!S58*$B$6/V$6</f>
        <v>#DIV/0!</v>
      </c>
      <c r="W63" s="74" t="e">
        <f>data0!T58*$B$6/W$6</f>
        <v>#DIV/0!</v>
      </c>
      <c r="X63" s="74" t="e">
        <f>data0!U58*$B$6/X$6</f>
        <v>#DIV/0!</v>
      </c>
      <c r="Y63" s="74" t="e">
        <f>data0!V58*$B$6/Y$6</f>
        <v>#DIV/0!</v>
      </c>
      <c r="Z63" s="74" t="e">
        <f>data0!W58*$B$6/Z$6</f>
        <v>#DIV/0!</v>
      </c>
      <c r="AA63" s="74" t="e">
        <f>data0!X58*$B$6/AA$6</f>
        <v>#DIV/0!</v>
      </c>
      <c r="AB63" s="74" t="e">
        <f>data0!Y58*$B$6/AB$6</f>
        <v>#DIV/0!</v>
      </c>
      <c r="AC63" s="74" t="e">
        <f>data0!Z58*$B$6/AC$6</f>
        <v>#DIV/0!</v>
      </c>
      <c r="AD63" s="74" t="e">
        <f>data0!AA58*$B$6/AD$6</f>
        <v>#DIV/0!</v>
      </c>
      <c r="AE63" s="74" t="e">
        <f>data0!AB58*$B$6/AE$6</f>
        <v>#DIV/0!</v>
      </c>
      <c r="AF63" s="74" t="e">
        <f>data0!AC58*$B$6/AF$6</f>
        <v>#DIV/0!</v>
      </c>
      <c r="AG63" s="74" t="e">
        <f>data0!AD58*$B$6/AG$6</f>
        <v>#DIV/0!</v>
      </c>
      <c r="AH63" s="74" t="e">
        <f>data0!AE58*$B$6/AH$6</f>
        <v>#DIV/0!</v>
      </c>
      <c r="AI63" s="74" t="e">
        <f>data0!AF58*$B$6/AI$6</f>
        <v>#DIV/0!</v>
      </c>
      <c r="AJ63" s="74" t="e">
        <f>data0!AG58*$B$6/AJ$6</f>
        <v>#DIV/0!</v>
      </c>
    </row>
    <row r="64" spans="1:36">
      <c r="A64" s="29">
        <f>data0!A59</f>
        <v>81</v>
      </c>
      <c r="B64" s="74" t="e">
        <f>AVERAGE(data0!B59:AG59)</f>
        <v>#DIV/0!</v>
      </c>
      <c r="C64" s="74" t="e">
        <f t="shared" si="0"/>
        <v>#DIV/0!</v>
      </c>
      <c r="D64" s="74" t="e">
        <f t="shared" si="1"/>
        <v>#DIV/0!</v>
      </c>
      <c r="E64" s="74" t="e">
        <f>data0!B59*$B$6/E$6</f>
        <v>#DIV/0!</v>
      </c>
      <c r="F64" s="74" t="e">
        <f>data0!C59*$B$6/F$6</f>
        <v>#DIV/0!</v>
      </c>
      <c r="G64" s="74" t="e">
        <f>data0!D59*$B$6/G$6</f>
        <v>#DIV/0!</v>
      </c>
      <c r="H64" s="74" t="e">
        <f>data0!E59*$B$6/H$6</f>
        <v>#DIV/0!</v>
      </c>
      <c r="I64" s="74" t="e">
        <f>data0!F59*$B$6/I$6</f>
        <v>#DIV/0!</v>
      </c>
      <c r="J64" s="74" t="e">
        <f>data0!G59*$B$6/J$6</f>
        <v>#DIV/0!</v>
      </c>
      <c r="K64" s="74" t="e">
        <f>data0!H59*$B$6/K$6</f>
        <v>#DIV/0!</v>
      </c>
      <c r="L64" s="74" t="e">
        <f>data0!I59*$B$6/L$6</f>
        <v>#DIV/0!</v>
      </c>
      <c r="M64" s="74" t="e">
        <f>data0!J59*$B$6/M$6</f>
        <v>#DIV/0!</v>
      </c>
      <c r="N64" s="74" t="e">
        <f>data0!K59*$B$6/N$6</f>
        <v>#DIV/0!</v>
      </c>
      <c r="O64" s="74" t="e">
        <f>data0!L59*$B$6/O$6</f>
        <v>#DIV/0!</v>
      </c>
      <c r="P64" s="74" t="e">
        <f>data0!M59*$B$6/P$6</f>
        <v>#DIV/0!</v>
      </c>
      <c r="Q64" s="74" t="e">
        <f>data0!N59*$B$6/Q$6</f>
        <v>#DIV/0!</v>
      </c>
      <c r="R64" s="74" t="e">
        <f>data0!O59*$B$6/R$6</f>
        <v>#DIV/0!</v>
      </c>
      <c r="S64" s="74" t="e">
        <f>data0!P59*$B$6/S$6</f>
        <v>#DIV/0!</v>
      </c>
      <c r="T64" s="74" t="e">
        <f>data0!Q59*$B$6/T$6</f>
        <v>#DIV/0!</v>
      </c>
      <c r="U64" s="74" t="e">
        <f>data0!R59*$B$6/U$6</f>
        <v>#DIV/0!</v>
      </c>
      <c r="V64" s="74" t="e">
        <f>data0!S59*$B$6/V$6</f>
        <v>#DIV/0!</v>
      </c>
      <c r="W64" s="74" t="e">
        <f>data0!T59*$B$6/W$6</f>
        <v>#DIV/0!</v>
      </c>
      <c r="X64" s="74" t="e">
        <f>data0!U59*$B$6/X$6</f>
        <v>#DIV/0!</v>
      </c>
      <c r="Y64" s="74" t="e">
        <f>data0!V59*$B$6/Y$6</f>
        <v>#DIV/0!</v>
      </c>
      <c r="Z64" s="74" t="e">
        <f>data0!W59*$B$6/Z$6</f>
        <v>#DIV/0!</v>
      </c>
      <c r="AA64" s="74" t="e">
        <f>data0!X59*$B$6/AA$6</f>
        <v>#DIV/0!</v>
      </c>
      <c r="AB64" s="74" t="e">
        <f>data0!Y59*$B$6/AB$6</f>
        <v>#DIV/0!</v>
      </c>
      <c r="AC64" s="74" t="e">
        <f>data0!Z59*$B$6/AC$6</f>
        <v>#DIV/0!</v>
      </c>
      <c r="AD64" s="74" t="e">
        <f>data0!AA59*$B$6/AD$6</f>
        <v>#DIV/0!</v>
      </c>
      <c r="AE64" s="74" t="e">
        <f>data0!AB59*$B$6/AE$6</f>
        <v>#DIV/0!</v>
      </c>
      <c r="AF64" s="74" t="e">
        <f>data0!AC59*$B$6/AF$6</f>
        <v>#DIV/0!</v>
      </c>
      <c r="AG64" s="74" t="e">
        <f>data0!AD59*$B$6/AG$6</f>
        <v>#DIV/0!</v>
      </c>
      <c r="AH64" s="74" t="e">
        <f>data0!AE59*$B$6/AH$6</f>
        <v>#DIV/0!</v>
      </c>
      <c r="AI64" s="74" t="e">
        <f>data0!AF59*$B$6/AI$6</f>
        <v>#DIV/0!</v>
      </c>
      <c r="AJ64" s="74" t="e">
        <f>data0!AG59*$B$6/AJ$6</f>
        <v>#DIV/0!</v>
      </c>
    </row>
    <row r="65" spans="1:36">
      <c r="A65" s="29">
        <f>data0!A60</f>
        <v>84</v>
      </c>
      <c r="B65" s="74" t="e">
        <f>AVERAGE(data0!B60:AG60)</f>
        <v>#DIV/0!</v>
      </c>
      <c r="C65" s="74" t="e">
        <f t="shared" si="0"/>
        <v>#DIV/0!</v>
      </c>
      <c r="D65" s="74" t="e">
        <f t="shared" si="1"/>
        <v>#DIV/0!</v>
      </c>
      <c r="E65" s="74" t="e">
        <f>data0!B60*$B$6/E$6</f>
        <v>#DIV/0!</v>
      </c>
      <c r="F65" s="74" t="e">
        <f>data0!C60*$B$6/F$6</f>
        <v>#DIV/0!</v>
      </c>
      <c r="G65" s="74" t="e">
        <f>data0!D60*$B$6/G$6</f>
        <v>#DIV/0!</v>
      </c>
      <c r="H65" s="74" t="e">
        <f>data0!E60*$B$6/H$6</f>
        <v>#DIV/0!</v>
      </c>
      <c r="I65" s="74" t="e">
        <f>data0!F60*$B$6/I$6</f>
        <v>#DIV/0!</v>
      </c>
      <c r="J65" s="74" t="e">
        <f>data0!G60*$B$6/J$6</f>
        <v>#DIV/0!</v>
      </c>
      <c r="K65" s="74" t="e">
        <f>data0!H60*$B$6/K$6</f>
        <v>#DIV/0!</v>
      </c>
      <c r="L65" s="74" t="e">
        <f>data0!I60*$B$6/L$6</f>
        <v>#DIV/0!</v>
      </c>
      <c r="M65" s="74" t="e">
        <f>data0!J60*$B$6/M$6</f>
        <v>#DIV/0!</v>
      </c>
      <c r="N65" s="74" t="e">
        <f>data0!K60*$B$6/N$6</f>
        <v>#DIV/0!</v>
      </c>
      <c r="O65" s="74" t="e">
        <f>data0!L60*$B$6/O$6</f>
        <v>#DIV/0!</v>
      </c>
      <c r="P65" s="74" t="e">
        <f>data0!M60*$B$6/P$6</f>
        <v>#DIV/0!</v>
      </c>
      <c r="Q65" s="74" t="e">
        <f>data0!N60*$B$6/Q$6</f>
        <v>#DIV/0!</v>
      </c>
      <c r="R65" s="74" t="e">
        <f>data0!O60*$B$6/R$6</f>
        <v>#DIV/0!</v>
      </c>
      <c r="S65" s="74" t="e">
        <f>data0!P60*$B$6/S$6</f>
        <v>#DIV/0!</v>
      </c>
      <c r="T65" s="74" t="e">
        <f>data0!Q60*$B$6/T$6</f>
        <v>#DIV/0!</v>
      </c>
      <c r="U65" s="74" t="e">
        <f>data0!R60*$B$6/U$6</f>
        <v>#DIV/0!</v>
      </c>
      <c r="V65" s="74" t="e">
        <f>data0!S60*$B$6/V$6</f>
        <v>#DIV/0!</v>
      </c>
      <c r="W65" s="74" t="e">
        <f>data0!T60*$B$6/W$6</f>
        <v>#DIV/0!</v>
      </c>
      <c r="X65" s="74" t="e">
        <f>data0!U60*$B$6/X$6</f>
        <v>#DIV/0!</v>
      </c>
      <c r="Y65" s="74" t="e">
        <f>data0!V60*$B$6/Y$6</f>
        <v>#DIV/0!</v>
      </c>
      <c r="Z65" s="74" t="e">
        <f>data0!W60*$B$6/Z$6</f>
        <v>#DIV/0!</v>
      </c>
      <c r="AA65" s="74" t="e">
        <f>data0!X60*$B$6/AA$6</f>
        <v>#DIV/0!</v>
      </c>
      <c r="AB65" s="74" t="e">
        <f>data0!Y60*$B$6/AB$6</f>
        <v>#DIV/0!</v>
      </c>
      <c r="AC65" s="74" t="e">
        <f>data0!Z60*$B$6/AC$6</f>
        <v>#DIV/0!</v>
      </c>
      <c r="AD65" s="74" t="e">
        <f>data0!AA60*$B$6/AD$6</f>
        <v>#DIV/0!</v>
      </c>
      <c r="AE65" s="74" t="e">
        <f>data0!AB60*$B$6/AE$6</f>
        <v>#DIV/0!</v>
      </c>
      <c r="AF65" s="74" t="e">
        <f>data0!AC60*$B$6/AF$6</f>
        <v>#DIV/0!</v>
      </c>
      <c r="AG65" s="74" t="e">
        <f>data0!AD60*$B$6/AG$6</f>
        <v>#DIV/0!</v>
      </c>
      <c r="AH65" s="74" t="e">
        <f>data0!AE60*$B$6/AH$6</f>
        <v>#DIV/0!</v>
      </c>
      <c r="AI65" s="74" t="e">
        <f>data0!AF60*$B$6/AI$6</f>
        <v>#DIV/0!</v>
      </c>
      <c r="AJ65" s="74" t="e">
        <f>data0!AG60*$B$6/AJ$6</f>
        <v>#DIV/0!</v>
      </c>
    </row>
    <row r="66" spans="1:36">
      <c r="A66" s="29">
        <f>data0!A61</f>
        <v>87</v>
      </c>
      <c r="B66" s="74" t="e">
        <f>AVERAGE(data0!B61:AG61)</f>
        <v>#DIV/0!</v>
      </c>
      <c r="C66" s="74" t="e">
        <f t="shared" si="0"/>
        <v>#DIV/0!</v>
      </c>
      <c r="D66" s="74" t="e">
        <f t="shared" si="1"/>
        <v>#DIV/0!</v>
      </c>
      <c r="E66" s="74" t="e">
        <f>data0!B61*$B$6/E$6</f>
        <v>#DIV/0!</v>
      </c>
      <c r="F66" s="74" t="e">
        <f>data0!C61*$B$6/F$6</f>
        <v>#DIV/0!</v>
      </c>
      <c r="G66" s="74" t="e">
        <f>data0!D61*$B$6/G$6</f>
        <v>#DIV/0!</v>
      </c>
      <c r="H66" s="74" t="e">
        <f>data0!E61*$B$6/H$6</f>
        <v>#DIV/0!</v>
      </c>
      <c r="I66" s="74" t="e">
        <f>data0!F61*$B$6/I$6</f>
        <v>#DIV/0!</v>
      </c>
      <c r="J66" s="74" t="e">
        <f>data0!G61*$B$6/J$6</f>
        <v>#DIV/0!</v>
      </c>
      <c r="K66" s="74" t="e">
        <f>data0!H61*$B$6/K$6</f>
        <v>#DIV/0!</v>
      </c>
      <c r="L66" s="74" t="e">
        <f>data0!I61*$B$6/L$6</f>
        <v>#DIV/0!</v>
      </c>
      <c r="M66" s="74" t="e">
        <f>data0!J61*$B$6/M$6</f>
        <v>#DIV/0!</v>
      </c>
      <c r="N66" s="74" t="e">
        <f>data0!K61*$B$6/N$6</f>
        <v>#DIV/0!</v>
      </c>
      <c r="O66" s="74" t="e">
        <f>data0!L61*$B$6/O$6</f>
        <v>#DIV/0!</v>
      </c>
      <c r="P66" s="74" t="e">
        <f>data0!M61*$B$6/P$6</f>
        <v>#DIV/0!</v>
      </c>
      <c r="Q66" s="74" t="e">
        <f>data0!N61*$B$6/Q$6</f>
        <v>#DIV/0!</v>
      </c>
      <c r="R66" s="74" t="e">
        <f>data0!O61*$B$6/R$6</f>
        <v>#DIV/0!</v>
      </c>
      <c r="S66" s="74" t="e">
        <f>data0!P61*$B$6/S$6</f>
        <v>#DIV/0!</v>
      </c>
      <c r="T66" s="74" t="e">
        <f>data0!Q61*$B$6/T$6</f>
        <v>#DIV/0!</v>
      </c>
      <c r="U66" s="74" t="e">
        <f>data0!R61*$B$6/U$6</f>
        <v>#DIV/0!</v>
      </c>
      <c r="V66" s="74" t="e">
        <f>data0!S61*$B$6/V$6</f>
        <v>#DIV/0!</v>
      </c>
      <c r="W66" s="74" t="e">
        <f>data0!T61*$B$6/W$6</f>
        <v>#DIV/0!</v>
      </c>
      <c r="X66" s="74" t="e">
        <f>data0!U61*$B$6/X$6</f>
        <v>#DIV/0!</v>
      </c>
      <c r="Y66" s="74" t="e">
        <f>data0!V61*$B$6/Y$6</f>
        <v>#DIV/0!</v>
      </c>
      <c r="Z66" s="74" t="e">
        <f>data0!W61*$B$6/Z$6</f>
        <v>#DIV/0!</v>
      </c>
      <c r="AA66" s="74" t="e">
        <f>data0!X61*$B$6/AA$6</f>
        <v>#DIV/0!</v>
      </c>
      <c r="AB66" s="74" t="e">
        <f>data0!Y61*$B$6/AB$6</f>
        <v>#DIV/0!</v>
      </c>
      <c r="AC66" s="74" t="e">
        <f>data0!Z61*$B$6/AC$6</f>
        <v>#DIV/0!</v>
      </c>
      <c r="AD66" s="74" t="e">
        <f>data0!AA61*$B$6/AD$6</f>
        <v>#DIV/0!</v>
      </c>
      <c r="AE66" s="74" t="e">
        <f>data0!AB61*$B$6/AE$6</f>
        <v>#DIV/0!</v>
      </c>
      <c r="AF66" s="74" t="e">
        <f>data0!AC61*$B$6/AF$6</f>
        <v>#DIV/0!</v>
      </c>
      <c r="AG66" s="74" t="e">
        <f>data0!AD61*$B$6/AG$6</f>
        <v>#DIV/0!</v>
      </c>
      <c r="AH66" s="74" t="e">
        <f>data0!AE61*$B$6/AH$6</f>
        <v>#DIV/0!</v>
      </c>
      <c r="AI66" s="74" t="e">
        <f>data0!AF61*$B$6/AI$6</f>
        <v>#DIV/0!</v>
      </c>
      <c r="AJ66" s="74" t="e">
        <f>data0!AG61*$B$6/AJ$6</f>
        <v>#DIV/0!</v>
      </c>
    </row>
    <row r="67" spans="1:36">
      <c r="A67" s="29">
        <f>data0!A62</f>
        <v>90</v>
      </c>
      <c r="B67" s="74" t="e">
        <f>AVERAGE(data0!B62:AG62)</f>
        <v>#DIV/0!</v>
      </c>
      <c r="C67" s="74" t="e">
        <f t="shared" si="0"/>
        <v>#DIV/0!</v>
      </c>
      <c r="D67" s="74" t="e">
        <f t="shared" si="1"/>
        <v>#DIV/0!</v>
      </c>
      <c r="E67" s="74" t="e">
        <f>data0!B62*$B$6/E$6</f>
        <v>#DIV/0!</v>
      </c>
      <c r="F67" s="74" t="e">
        <f>data0!C62*$B$6/F$6</f>
        <v>#DIV/0!</v>
      </c>
      <c r="G67" s="74" t="e">
        <f>data0!D62*$B$6/G$6</f>
        <v>#DIV/0!</v>
      </c>
      <c r="H67" s="74" t="e">
        <f>data0!E62*$B$6/H$6</f>
        <v>#DIV/0!</v>
      </c>
      <c r="I67" s="74" t="e">
        <f>data0!F62*$B$6/I$6</f>
        <v>#DIV/0!</v>
      </c>
      <c r="J67" s="74" t="e">
        <f>data0!G62*$B$6/J$6</f>
        <v>#DIV/0!</v>
      </c>
      <c r="K67" s="74" t="e">
        <f>data0!H62*$B$6/K$6</f>
        <v>#DIV/0!</v>
      </c>
      <c r="L67" s="74" t="e">
        <f>data0!I62*$B$6/L$6</f>
        <v>#DIV/0!</v>
      </c>
      <c r="M67" s="74" t="e">
        <f>data0!J62*$B$6/M$6</f>
        <v>#DIV/0!</v>
      </c>
      <c r="N67" s="74" t="e">
        <f>data0!K62*$B$6/N$6</f>
        <v>#DIV/0!</v>
      </c>
      <c r="O67" s="74" t="e">
        <f>data0!L62*$B$6/O$6</f>
        <v>#DIV/0!</v>
      </c>
      <c r="P67" s="74" t="e">
        <f>data0!M62*$B$6/P$6</f>
        <v>#DIV/0!</v>
      </c>
      <c r="Q67" s="74" t="e">
        <f>data0!N62*$B$6/Q$6</f>
        <v>#DIV/0!</v>
      </c>
      <c r="R67" s="74" t="e">
        <f>data0!O62*$B$6/R$6</f>
        <v>#DIV/0!</v>
      </c>
      <c r="S67" s="74" t="e">
        <f>data0!P62*$B$6/S$6</f>
        <v>#DIV/0!</v>
      </c>
      <c r="T67" s="74" t="e">
        <f>data0!Q62*$B$6/T$6</f>
        <v>#DIV/0!</v>
      </c>
      <c r="U67" s="74" t="e">
        <f>data0!R62*$B$6/U$6</f>
        <v>#DIV/0!</v>
      </c>
      <c r="V67" s="74" t="e">
        <f>data0!S62*$B$6/V$6</f>
        <v>#DIV/0!</v>
      </c>
      <c r="W67" s="74" t="e">
        <f>data0!T62*$B$6/W$6</f>
        <v>#DIV/0!</v>
      </c>
      <c r="X67" s="74" t="e">
        <f>data0!U62*$B$6/X$6</f>
        <v>#DIV/0!</v>
      </c>
      <c r="Y67" s="74" t="e">
        <f>data0!V62*$B$6/Y$6</f>
        <v>#DIV/0!</v>
      </c>
      <c r="Z67" s="74" t="e">
        <f>data0!W62*$B$6/Z$6</f>
        <v>#DIV/0!</v>
      </c>
      <c r="AA67" s="74" t="e">
        <f>data0!X62*$B$6/AA$6</f>
        <v>#DIV/0!</v>
      </c>
      <c r="AB67" s="74" t="e">
        <f>data0!Y62*$B$6/AB$6</f>
        <v>#DIV/0!</v>
      </c>
      <c r="AC67" s="74" t="e">
        <f>data0!Z62*$B$6/AC$6</f>
        <v>#DIV/0!</v>
      </c>
      <c r="AD67" s="74" t="e">
        <f>data0!AA62*$B$6/AD$6</f>
        <v>#DIV/0!</v>
      </c>
      <c r="AE67" s="74" t="e">
        <f>data0!AB62*$B$6/AE$6</f>
        <v>#DIV/0!</v>
      </c>
      <c r="AF67" s="74" t="e">
        <f>data0!AC62*$B$6/AF$6</f>
        <v>#DIV/0!</v>
      </c>
      <c r="AG67" s="74" t="e">
        <f>data0!AD62*$B$6/AG$6</f>
        <v>#DIV/0!</v>
      </c>
      <c r="AH67" s="74" t="e">
        <f>data0!AE62*$B$6/AH$6</f>
        <v>#DIV/0!</v>
      </c>
      <c r="AI67" s="74" t="e">
        <f>data0!AF62*$B$6/AI$6</f>
        <v>#DIV/0!</v>
      </c>
      <c r="AJ67" s="74" t="e">
        <f>data0!AG62*$B$6/AJ$6</f>
        <v>#DIV/0!</v>
      </c>
    </row>
    <row r="68" spans="1:36">
      <c r="A68" s="29"/>
      <c r="B68" s="74"/>
      <c r="C68" s="74"/>
      <c r="D68" s="74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 s="29" customFormat="1">
      <c r="B69" s="74"/>
      <c r="C69" s="74"/>
      <c r="D69" s="74"/>
      <c r="E69" s="1" t="e">
        <f>MAX(E70:E130)</f>
        <v>#DIV/0!</v>
      </c>
      <c r="F69" s="1" t="e">
        <f t="shared" ref="F69:I69" si="2">MAX(F70:F130)</f>
        <v>#DIV/0!</v>
      </c>
      <c r="G69" s="1" t="e">
        <f t="shared" si="2"/>
        <v>#DIV/0!</v>
      </c>
      <c r="H69" s="1" t="e">
        <f t="shared" si="2"/>
        <v>#DIV/0!</v>
      </c>
      <c r="I69" s="1" t="e">
        <f t="shared" si="2"/>
        <v>#DIV/0!</v>
      </c>
      <c r="J69" s="1" t="e">
        <f t="shared" ref="J69:AJ69" si="3">MAX(J70:J130)</f>
        <v>#DIV/0!</v>
      </c>
      <c r="K69" s="1" t="e">
        <f t="shared" si="3"/>
        <v>#DIV/0!</v>
      </c>
      <c r="L69" s="1" t="e">
        <f t="shared" si="3"/>
        <v>#DIV/0!</v>
      </c>
      <c r="M69" s="1" t="e">
        <f t="shared" si="3"/>
        <v>#DIV/0!</v>
      </c>
      <c r="N69" s="1" t="e">
        <f t="shared" si="3"/>
        <v>#DIV/0!</v>
      </c>
      <c r="O69" s="1" t="e">
        <f t="shared" si="3"/>
        <v>#DIV/0!</v>
      </c>
      <c r="P69" s="1" t="e">
        <f t="shared" si="3"/>
        <v>#DIV/0!</v>
      </c>
      <c r="Q69" s="1" t="e">
        <f t="shared" si="3"/>
        <v>#DIV/0!</v>
      </c>
      <c r="R69" s="1" t="e">
        <f t="shared" si="3"/>
        <v>#DIV/0!</v>
      </c>
      <c r="S69" s="1" t="e">
        <f t="shared" si="3"/>
        <v>#DIV/0!</v>
      </c>
      <c r="T69" s="1" t="e">
        <f t="shared" si="3"/>
        <v>#DIV/0!</v>
      </c>
      <c r="U69" s="1" t="e">
        <f t="shared" si="3"/>
        <v>#DIV/0!</v>
      </c>
      <c r="V69" s="1" t="e">
        <f t="shared" si="3"/>
        <v>#DIV/0!</v>
      </c>
      <c r="W69" s="1" t="e">
        <f t="shared" si="3"/>
        <v>#DIV/0!</v>
      </c>
      <c r="X69" s="1" t="e">
        <f t="shared" si="3"/>
        <v>#DIV/0!</v>
      </c>
      <c r="Y69" s="1" t="e">
        <f t="shared" si="3"/>
        <v>#DIV/0!</v>
      </c>
      <c r="Z69" s="1" t="e">
        <f t="shared" si="3"/>
        <v>#DIV/0!</v>
      </c>
      <c r="AA69" s="1" t="e">
        <f t="shared" si="3"/>
        <v>#DIV/0!</v>
      </c>
      <c r="AB69" s="1" t="e">
        <f t="shared" si="3"/>
        <v>#DIV/0!</v>
      </c>
      <c r="AC69" s="1" t="e">
        <f t="shared" si="3"/>
        <v>#DIV/0!</v>
      </c>
      <c r="AD69" s="1" t="e">
        <f t="shared" si="3"/>
        <v>#DIV/0!</v>
      </c>
      <c r="AE69" s="1" t="e">
        <f t="shared" si="3"/>
        <v>#DIV/0!</v>
      </c>
      <c r="AF69" s="1" t="e">
        <f t="shared" si="3"/>
        <v>#DIV/0!</v>
      </c>
      <c r="AG69" s="1" t="e">
        <f t="shared" si="3"/>
        <v>#DIV/0!</v>
      </c>
      <c r="AH69" s="1" t="e">
        <f t="shared" si="3"/>
        <v>#DIV/0!</v>
      </c>
      <c r="AI69" s="1" t="e">
        <f t="shared" si="3"/>
        <v>#DIV/0!</v>
      </c>
      <c r="AJ69" s="1" t="e">
        <f t="shared" si="3"/>
        <v>#DIV/0!</v>
      </c>
    </row>
    <row r="70" spans="1:36">
      <c r="A70" s="29">
        <f t="shared" ref="A70:A101" si="4">A7</f>
        <v>-90</v>
      </c>
      <c r="B70" s="74"/>
      <c r="C70" s="74"/>
      <c r="D70" s="74"/>
      <c r="E70" s="1" t="e">
        <f t="shared" ref="E70:I79" si="5">(E7-$B7)/$B$4</f>
        <v>#DIV/0!</v>
      </c>
      <c r="F70" s="1" t="e">
        <f t="shared" si="5"/>
        <v>#DIV/0!</v>
      </c>
      <c r="G70" s="1" t="e">
        <f t="shared" si="5"/>
        <v>#DIV/0!</v>
      </c>
      <c r="H70" s="1" t="e">
        <f t="shared" si="5"/>
        <v>#DIV/0!</v>
      </c>
      <c r="I70" s="1" t="e">
        <f t="shared" si="5"/>
        <v>#DIV/0!</v>
      </c>
      <c r="J70" s="1" t="e">
        <f t="shared" ref="J70:AJ70" si="6">(J7-$B7)/$B$4</f>
        <v>#DIV/0!</v>
      </c>
      <c r="K70" s="1" t="e">
        <f t="shared" si="6"/>
        <v>#DIV/0!</v>
      </c>
      <c r="L70" s="1" t="e">
        <f t="shared" si="6"/>
        <v>#DIV/0!</v>
      </c>
      <c r="M70" s="1" t="e">
        <f t="shared" si="6"/>
        <v>#DIV/0!</v>
      </c>
      <c r="N70" s="1" t="e">
        <f t="shared" si="6"/>
        <v>#DIV/0!</v>
      </c>
      <c r="O70" s="1" t="e">
        <f t="shared" si="6"/>
        <v>#DIV/0!</v>
      </c>
      <c r="P70" s="1" t="e">
        <f t="shared" si="6"/>
        <v>#DIV/0!</v>
      </c>
      <c r="Q70" s="1" t="e">
        <f t="shared" si="6"/>
        <v>#DIV/0!</v>
      </c>
      <c r="R70" s="1" t="e">
        <f t="shared" si="6"/>
        <v>#DIV/0!</v>
      </c>
      <c r="S70" s="1" t="e">
        <f t="shared" si="6"/>
        <v>#DIV/0!</v>
      </c>
      <c r="T70" s="1" t="e">
        <f t="shared" si="6"/>
        <v>#DIV/0!</v>
      </c>
      <c r="U70" s="1" t="e">
        <f t="shared" si="6"/>
        <v>#DIV/0!</v>
      </c>
      <c r="V70" s="1" t="e">
        <f t="shared" si="6"/>
        <v>#DIV/0!</v>
      </c>
      <c r="W70" s="1" t="e">
        <f t="shared" si="6"/>
        <v>#DIV/0!</v>
      </c>
      <c r="X70" s="1" t="e">
        <f t="shared" si="6"/>
        <v>#DIV/0!</v>
      </c>
      <c r="Y70" s="1" t="e">
        <f t="shared" si="6"/>
        <v>#DIV/0!</v>
      </c>
      <c r="Z70" s="1" t="e">
        <f t="shared" si="6"/>
        <v>#DIV/0!</v>
      </c>
      <c r="AA70" s="1" t="e">
        <f t="shared" si="6"/>
        <v>#DIV/0!</v>
      </c>
      <c r="AB70" s="1" t="e">
        <f t="shared" si="6"/>
        <v>#DIV/0!</v>
      </c>
      <c r="AC70" s="1" t="e">
        <f t="shared" si="6"/>
        <v>#DIV/0!</v>
      </c>
      <c r="AD70" s="1" t="e">
        <f t="shared" si="6"/>
        <v>#DIV/0!</v>
      </c>
      <c r="AE70" s="1" t="e">
        <f t="shared" si="6"/>
        <v>#DIV/0!</v>
      </c>
      <c r="AF70" s="1" t="e">
        <f t="shared" si="6"/>
        <v>#DIV/0!</v>
      </c>
      <c r="AG70" s="1" t="e">
        <f t="shared" si="6"/>
        <v>#DIV/0!</v>
      </c>
      <c r="AH70" s="1" t="e">
        <f t="shared" si="6"/>
        <v>#DIV/0!</v>
      </c>
      <c r="AI70" s="1" t="e">
        <f t="shared" si="6"/>
        <v>#DIV/0!</v>
      </c>
      <c r="AJ70" s="1" t="e">
        <f t="shared" si="6"/>
        <v>#DIV/0!</v>
      </c>
    </row>
    <row r="71" spans="1:36">
      <c r="A71" s="29">
        <f t="shared" si="4"/>
        <v>-87</v>
      </c>
      <c r="B71" s="74"/>
      <c r="C71" s="74"/>
      <c r="D71" s="74"/>
      <c r="E71" s="1" t="e">
        <f t="shared" si="5"/>
        <v>#DIV/0!</v>
      </c>
      <c r="F71" s="1" t="e">
        <f t="shared" si="5"/>
        <v>#DIV/0!</v>
      </c>
      <c r="G71" s="1" t="e">
        <f t="shared" si="5"/>
        <v>#DIV/0!</v>
      </c>
      <c r="H71" s="1" t="e">
        <f t="shared" si="5"/>
        <v>#DIV/0!</v>
      </c>
      <c r="I71" s="1" t="e">
        <f t="shared" si="5"/>
        <v>#DIV/0!</v>
      </c>
      <c r="J71" s="1" t="e">
        <f t="shared" ref="J71:AJ71" si="7">(J8-$B8)/$B$4</f>
        <v>#DIV/0!</v>
      </c>
      <c r="K71" s="1" t="e">
        <f t="shared" si="7"/>
        <v>#DIV/0!</v>
      </c>
      <c r="L71" s="1" t="e">
        <f t="shared" si="7"/>
        <v>#DIV/0!</v>
      </c>
      <c r="M71" s="1" t="e">
        <f t="shared" si="7"/>
        <v>#DIV/0!</v>
      </c>
      <c r="N71" s="1" t="e">
        <f t="shared" si="7"/>
        <v>#DIV/0!</v>
      </c>
      <c r="O71" s="1" t="e">
        <f t="shared" si="7"/>
        <v>#DIV/0!</v>
      </c>
      <c r="P71" s="1" t="e">
        <f t="shared" si="7"/>
        <v>#DIV/0!</v>
      </c>
      <c r="Q71" s="1" t="e">
        <f t="shared" si="7"/>
        <v>#DIV/0!</v>
      </c>
      <c r="R71" s="1" t="e">
        <f t="shared" si="7"/>
        <v>#DIV/0!</v>
      </c>
      <c r="S71" s="1" t="e">
        <f t="shared" si="7"/>
        <v>#DIV/0!</v>
      </c>
      <c r="T71" s="1" t="e">
        <f t="shared" si="7"/>
        <v>#DIV/0!</v>
      </c>
      <c r="U71" s="1" t="e">
        <f t="shared" si="7"/>
        <v>#DIV/0!</v>
      </c>
      <c r="V71" s="1" t="e">
        <f t="shared" si="7"/>
        <v>#DIV/0!</v>
      </c>
      <c r="W71" s="1" t="e">
        <f t="shared" si="7"/>
        <v>#DIV/0!</v>
      </c>
      <c r="X71" s="1" t="e">
        <f t="shared" si="7"/>
        <v>#DIV/0!</v>
      </c>
      <c r="Y71" s="1" t="e">
        <f t="shared" si="7"/>
        <v>#DIV/0!</v>
      </c>
      <c r="Z71" s="1" t="e">
        <f t="shared" si="7"/>
        <v>#DIV/0!</v>
      </c>
      <c r="AA71" s="1" t="e">
        <f t="shared" si="7"/>
        <v>#DIV/0!</v>
      </c>
      <c r="AB71" s="1" t="e">
        <f t="shared" si="7"/>
        <v>#DIV/0!</v>
      </c>
      <c r="AC71" s="1" t="e">
        <f t="shared" si="7"/>
        <v>#DIV/0!</v>
      </c>
      <c r="AD71" s="1" t="e">
        <f t="shared" si="7"/>
        <v>#DIV/0!</v>
      </c>
      <c r="AE71" s="1" t="e">
        <f t="shared" si="7"/>
        <v>#DIV/0!</v>
      </c>
      <c r="AF71" s="1" t="e">
        <f t="shared" si="7"/>
        <v>#DIV/0!</v>
      </c>
      <c r="AG71" s="1" t="e">
        <f t="shared" si="7"/>
        <v>#DIV/0!</v>
      </c>
      <c r="AH71" s="1" t="e">
        <f t="shared" si="7"/>
        <v>#DIV/0!</v>
      </c>
      <c r="AI71" s="1" t="e">
        <f t="shared" si="7"/>
        <v>#DIV/0!</v>
      </c>
      <c r="AJ71" s="1" t="e">
        <f t="shared" si="7"/>
        <v>#DIV/0!</v>
      </c>
    </row>
    <row r="72" spans="1:36">
      <c r="A72" s="29">
        <f t="shared" si="4"/>
        <v>-84</v>
      </c>
      <c r="B72" s="74"/>
      <c r="C72" s="74"/>
      <c r="D72" s="74"/>
      <c r="E72" s="1" t="e">
        <f t="shared" si="5"/>
        <v>#DIV/0!</v>
      </c>
      <c r="F72" s="1" t="e">
        <f t="shared" si="5"/>
        <v>#DIV/0!</v>
      </c>
      <c r="G72" s="1" t="e">
        <f t="shared" si="5"/>
        <v>#DIV/0!</v>
      </c>
      <c r="H72" s="1" t="e">
        <f t="shared" si="5"/>
        <v>#DIV/0!</v>
      </c>
      <c r="I72" s="1" t="e">
        <f t="shared" si="5"/>
        <v>#DIV/0!</v>
      </c>
      <c r="J72" s="1" t="e">
        <f t="shared" ref="J72:AJ72" si="8">(J9-$B9)/$B$4</f>
        <v>#DIV/0!</v>
      </c>
      <c r="K72" s="1" t="e">
        <f t="shared" si="8"/>
        <v>#DIV/0!</v>
      </c>
      <c r="L72" s="1" t="e">
        <f t="shared" si="8"/>
        <v>#DIV/0!</v>
      </c>
      <c r="M72" s="1" t="e">
        <f t="shared" si="8"/>
        <v>#DIV/0!</v>
      </c>
      <c r="N72" s="1" t="e">
        <f t="shared" si="8"/>
        <v>#DIV/0!</v>
      </c>
      <c r="O72" s="1" t="e">
        <f t="shared" si="8"/>
        <v>#DIV/0!</v>
      </c>
      <c r="P72" s="1" t="e">
        <f t="shared" si="8"/>
        <v>#DIV/0!</v>
      </c>
      <c r="Q72" s="1" t="e">
        <f t="shared" si="8"/>
        <v>#DIV/0!</v>
      </c>
      <c r="R72" s="1" t="e">
        <f t="shared" si="8"/>
        <v>#DIV/0!</v>
      </c>
      <c r="S72" s="1" t="e">
        <f t="shared" si="8"/>
        <v>#DIV/0!</v>
      </c>
      <c r="T72" s="1" t="e">
        <f t="shared" si="8"/>
        <v>#DIV/0!</v>
      </c>
      <c r="U72" s="1" t="e">
        <f t="shared" si="8"/>
        <v>#DIV/0!</v>
      </c>
      <c r="V72" s="1" t="e">
        <f t="shared" si="8"/>
        <v>#DIV/0!</v>
      </c>
      <c r="W72" s="1" t="e">
        <f t="shared" si="8"/>
        <v>#DIV/0!</v>
      </c>
      <c r="X72" s="1" t="e">
        <f t="shared" si="8"/>
        <v>#DIV/0!</v>
      </c>
      <c r="Y72" s="1" t="e">
        <f t="shared" si="8"/>
        <v>#DIV/0!</v>
      </c>
      <c r="Z72" s="1" t="e">
        <f t="shared" si="8"/>
        <v>#DIV/0!</v>
      </c>
      <c r="AA72" s="1" t="e">
        <f t="shared" si="8"/>
        <v>#DIV/0!</v>
      </c>
      <c r="AB72" s="1" t="e">
        <f t="shared" si="8"/>
        <v>#DIV/0!</v>
      </c>
      <c r="AC72" s="1" t="e">
        <f t="shared" si="8"/>
        <v>#DIV/0!</v>
      </c>
      <c r="AD72" s="1" t="e">
        <f t="shared" si="8"/>
        <v>#DIV/0!</v>
      </c>
      <c r="AE72" s="1" t="e">
        <f t="shared" si="8"/>
        <v>#DIV/0!</v>
      </c>
      <c r="AF72" s="1" t="e">
        <f t="shared" si="8"/>
        <v>#DIV/0!</v>
      </c>
      <c r="AG72" s="1" t="e">
        <f t="shared" si="8"/>
        <v>#DIV/0!</v>
      </c>
      <c r="AH72" s="1" t="e">
        <f t="shared" si="8"/>
        <v>#DIV/0!</v>
      </c>
      <c r="AI72" s="1" t="e">
        <f t="shared" si="8"/>
        <v>#DIV/0!</v>
      </c>
      <c r="AJ72" s="1" t="e">
        <f t="shared" si="8"/>
        <v>#DIV/0!</v>
      </c>
    </row>
    <row r="73" spans="1:36">
      <c r="A73" s="29">
        <f t="shared" si="4"/>
        <v>-81</v>
      </c>
      <c r="B73" s="74"/>
      <c r="C73" s="74"/>
      <c r="D73" s="74"/>
      <c r="E73" s="1" t="e">
        <f t="shared" si="5"/>
        <v>#DIV/0!</v>
      </c>
      <c r="F73" s="1" t="e">
        <f t="shared" si="5"/>
        <v>#DIV/0!</v>
      </c>
      <c r="G73" s="1" t="e">
        <f t="shared" si="5"/>
        <v>#DIV/0!</v>
      </c>
      <c r="H73" s="1" t="e">
        <f t="shared" si="5"/>
        <v>#DIV/0!</v>
      </c>
      <c r="I73" s="1" t="e">
        <f t="shared" si="5"/>
        <v>#DIV/0!</v>
      </c>
      <c r="J73" s="1" t="e">
        <f t="shared" ref="J73:AJ73" si="9">(J10-$B10)/$B$4</f>
        <v>#DIV/0!</v>
      </c>
      <c r="K73" s="1" t="e">
        <f t="shared" si="9"/>
        <v>#DIV/0!</v>
      </c>
      <c r="L73" s="1" t="e">
        <f t="shared" si="9"/>
        <v>#DIV/0!</v>
      </c>
      <c r="M73" s="1" t="e">
        <f t="shared" si="9"/>
        <v>#DIV/0!</v>
      </c>
      <c r="N73" s="1" t="e">
        <f t="shared" si="9"/>
        <v>#DIV/0!</v>
      </c>
      <c r="O73" s="1" t="e">
        <f t="shared" si="9"/>
        <v>#DIV/0!</v>
      </c>
      <c r="P73" s="1" t="e">
        <f t="shared" si="9"/>
        <v>#DIV/0!</v>
      </c>
      <c r="Q73" s="1" t="e">
        <f t="shared" si="9"/>
        <v>#DIV/0!</v>
      </c>
      <c r="R73" s="1" t="e">
        <f t="shared" si="9"/>
        <v>#DIV/0!</v>
      </c>
      <c r="S73" s="1" t="e">
        <f t="shared" si="9"/>
        <v>#DIV/0!</v>
      </c>
      <c r="T73" s="1" t="e">
        <f t="shared" si="9"/>
        <v>#DIV/0!</v>
      </c>
      <c r="U73" s="1" t="e">
        <f t="shared" si="9"/>
        <v>#DIV/0!</v>
      </c>
      <c r="V73" s="1" t="e">
        <f t="shared" si="9"/>
        <v>#DIV/0!</v>
      </c>
      <c r="W73" s="1" t="e">
        <f t="shared" si="9"/>
        <v>#DIV/0!</v>
      </c>
      <c r="X73" s="1" t="e">
        <f t="shared" si="9"/>
        <v>#DIV/0!</v>
      </c>
      <c r="Y73" s="1" t="e">
        <f t="shared" si="9"/>
        <v>#DIV/0!</v>
      </c>
      <c r="Z73" s="1" t="e">
        <f t="shared" si="9"/>
        <v>#DIV/0!</v>
      </c>
      <c r="AA73" s="1" t="e">
        <f t="shared" si="9"/>
        <v>#DIV/0!</v>
      </c>
      <c r="AB73" s="1" t="e">
        <f t="shared" si="9"/>
        <v>#DIV/0!</v>
      </c>
      <c r="AC73" s="1" t="e">
        <f t="shared" si="9"/>
        <v>#DIV/0!</v>
      </c>
      <c r="AD73" s="1" t="e">
        <f t="shared" si="9"/>
        <v>#DIV/0!</v>
      </c>
      <c r="AE73" s="1" t="e">
        <f t="shared" si="9"/>
        <v>#DIV/0!</v>
      </c>
      <c r="AF73" s="1" t="e">
        <f t="shared" si="9"/>
        <v>#DIV/0!</v>
      </c>
      <c r="AG73" s="1" t="e">
        <f t="shared" si="9"/>
        <v>#DIV/0!</v>
      </c>
      <c r="AH73" s="1" t="e">
        <f t="shared" si="9"/>
        <v>#DIV/0!</v>
      </c>
      <c r="AI73" s="1" t="e">
        <f t="shared" si="9"/>
        <v>#DIV/0!</v>
      </c>
      <c r="AJ73" s="1" t="e">
        <f t="shared" si="9"/>
        <v>#DIV/0!</v>
      </c>
    </row>
    <row r="74" spans="1:36">
      <c r="A74" s="29">
        <f t="shared" si="4"/>
        <v>-78</v>
      </c>
      <c r="B74" s="74"/>
      <c r="C74" s="74"/>
      <c r="D74" s="74"/>
      <c r="E74" s="1" t="e">
        <f t="shared" si="5"/>
        <v>#DIV/0!</v>
      </c>
      <c r="F74" s="1" t="e">
        <f t="shared" si="5"/>
        <v>#DIV/0!</v>
      </c>
      <c r="G74" s="1" t="e">
        <f t="shared" si="5"/>
        <v>#DIV/0!</v>
      </c>
      <c r="H74" s="1" t="e">
        <f t="shared" si="5"/>
        <v>#DIV/0!</v>
      </c>
      <c r="I74" s="1" t="e">
        <f t="shared" si="5"/>
        <v>#DIV/0!</v>
      </c>
      <c r="J74" s="1" t="e">
        <f t="shared" ref="J74:AJ74" si="10">(J11-$B11)/$B$4</f>
        <v>#DIV/0!</v>
      </c>
      <c r="K74" s="1" t="e">
        <f t="shared" si="10"/>
        <v>#DIV/0!</v>
      </c>
      <c r="L74" s="1" t="e">
        <f t="shared" si="10"/>
        <v>#DIV/0!</v>
      </c>
      <c r="M74" s="1" t="e">
        <f t="shared" si="10"/>
        <v>#DIV/0!</v>
      </c>
      <c r="N74" s="1" t="e">
        <f t="shared" si="10"/>
        <v>#DIV/0!</v>
      </c>
      <c r="O74" s="1" t="e">
        <f t="shared" si="10"/>
        <v>#DIV/0!</v>
      </c>
      <c r="P74" s="1" t="e">
        <f t="shared" si="10"/>
        <v>#DIV/0!</v>
      </c>
      <c r="Q74" s="1" t="e">
        <f t="shared" si="10"/>
        <v>#DIV/0!</v>
      </c>
      <c r="R74" s="1" t="e">
        <f t="shared" si="10"/>
        <v>#DIV/0!</v>
      </c>
      <c r="S74" s="1" t="e">
        <f t="shared" si="10"/>
        <v>#DIV/0!</v>
      </c>
      <c r="T74" s="1" t="e">
        <f t="shared" si="10"/>
        <v>#DIV/0!</v>
      </c>
      <c r="U74" s="1" t="e">
        <f t="shared" si="10"/>
        <v>#DIV/0!</v>
      </c>
      <c r="V74" s="1" t="e">
        <f t="shared" si="10"/>
        <v>#DIV/0!</v>
      </c>
      <c r="W74" s="1" t="e">
        <f t="shared" si="10"/>
        <v>#DIV/0!</v>
      </c>
      <c r="X74" s="1" t="e">
        <f t="shared" si="10"/>
        <v>#DIV/0!</v>
      </c>
      <c r="Y74" s="1" t="e">
        <f t="shared" si="10"/>
        <v>#DIV/0!</v>
      </c>
      <c r="Z74" s="1" t="e">
        <f t="shared" si="10"/>
        <v>#DIV/0!</v>
      </c>
      <c r="AA74" s="1" t="e">
        <f t="shared" si="10"/>
        <v>#DIV/0!</v>
      </c>
      <c r="AB74" s="1" t="e">
        <f t="shared" si="10"/>
        <v>#DIV/0!</v>
      </c>
      <c r="AC74" s="1" t="e">
        <f t="shared" si="10"/>
        <v>#DIV/0!</v>
      </c>
      <c r="AD74" s="1" t="e">
        <f t="shared" si="10"/>
        <v>#DIV/0!</v>
      </c>
      <c r="AE74" s="1" t="e">
        <f t="shared" si="10"/>
        <v>#DIV/0!</v>
      </c>
      <c r="AF74" s="1" t="e">
        <f t="shared" si="10"/>
        <v>#DIV/0!</v>
      </c>
      <c r="AG74" s="1" t="e">
        <f t="shared" si="10"/>
        <v>#DIV/0!</v>
      </c>
      <c r="AH74" s="1" t="e">
        <f t="shared" si="10"/>
        <v>#DIV/0!</v>
      </c>
      <c r="AI74" s="1" t="e">
        <f t="shared" si="10"/>
        <v>#DIV/0!</v>
      </c>
      <c r="AJ74" s="1" t="e">
        <f t="shared" si="10"/>
        <v>#DIV/0!</v>
      </c>
    </row>
    <row r="75" spans="1:36">
      <c r="A75" s="29">
        <f t="shared" si="4"/>
        <v>-75</v>
      </c>
      <c r="B75" s="74"/>
      <c r="C75" s="74"/>
      <c r="D75" s="74"/>
      <c r="E75" s="1" t="e">
        <f t="shared" si="5"/>
        <v>#DIV/0!</v>
      </c>
      <c r="F75" s="1" t="e">
        <f t="shared" si="5"/>
        <v>#DIV/0!</v>
      </c>
      <c r="G75" s="1" t="e">
        <f t="shared" si="5"/>
        <v>#DIV/0!</v>
      </c>
      <c r="H75" s="1" t="e">
        <f t="shared" si="5"/>
        <v>#DIV/0!</v>
      </c>
      <c r="I75" s="1" t="e">
        <f t="shared" si="5"/>
        <v>#DIV/0!</v>
      </c>
      <c r="J75" s="1" t="e">
        <f t="shared" ref="J75:AJ75" si="11">(J12-$B12)/$B$4</f>
        <v>#DIV/0!</v>
      </c>
      <c r="K75" s="1" t="e">
        <f t="shared" si="11"/>
        <v>#DIV/0!</v>
      </c>
      <c r="L75" s="1" t="e">
        <f t="shared" si="11"/>
        <v>#DIV/0!</v>
      </c>
      <c r="M75" s="1" t="e">
        <f t="shared" si="11"/>
        <v>#DIV/0!</v>
      </c>
      <c r="N75" s="1" t="e">
        <f t="shared" si="11"/>
        <v>#DIV/0!</v>
      </c>
      <c r="O75" s="1" t="e">
        <f t="shared" si="11"/>
        <v>#DIV/0!</v>
      </c>
      <c r="P75" s="1" t="e">
        <f t="shared" si="11"/>
        <v>#DIV/0!</v>
      </c>
      <c r="Q75" s="1" t="e">
        <f t="shared" si="11"/>
        <v>#DIV/0!</v>
      </c>
      <c r="R75" s="1" t="e">
        <f t="shared" si="11"/>
        <v>#DIV/0!</v>
      </c>
      <c r="S75" s="1" t="e">
        <f t="shared" si="11"/>
        <v>#DIV/0!</v>
      </c>
      <c r="T75" s="1" t="e">
        <f t="shared" si="11"/>
        <v>#DIV/0!</v>
      </c>
      <c r="U75" s="1" t="e">
        <f t="shared" si="11"/>
        <v>#DIV/0!</v>
      </c>
      <c r="V75" s="1" t="e">
        <f t="shared" si="11"/>
        <v>#DIV/0!</v>
      </c>
      <c r="W75" s="1" t="e">
        <f t="shared" si="11"/>
        <v>#DIV/0!</v>
      </c>
      <c r="X75" s="1" t="e">
        <f t="shared" si="11"/>
        <v>#DIV/0!</v>
      </c>
      <c r="Y75" s="1" t="e">
        <f t="shared" si="11"/>
        <v>#DIV/0!</v>
      </c>
      <c r="Z75" s="1" t="e">
        <f t="shared" si="11"/>
        <v>#DIV/0!</v>
      </c>
      <c r="AA75" s="1" t="e">
        <f t="shared" si="11"/>
        <v>#DIV/0!</v>
      </c>
      <c r="AB75" s="1" t="e">
        <f t="shared" si="11"/>
        <v>#DIV/0!</v>
      </c>
      <c r="AC75" s="1" t="e">
        <f t="shared" si="11"/>
        <v>#DIV/0!</v>
      </c>
      <c r="AD75" s="1" t="e">
        <f t="shared" si="11"/>
        <v>#DIV/0!</v>
      </c>
      <c r="AE75" s="1" t="e">
        <f t="shared" si="11"/>
        <v>#DIV/0!</v>
      </c>
      <c r="AF75" s="1" t="e">
        <f t="shared" si="11"/>
        <v>#DIV/0!</v>
      </c>
      <c r="AG75" s="1" t="e">
        <f t="shared" si="11"/>
        <v>#DIV/0!</v>
      </c>
      <c r="AH75" s="1" t="e">
        <f t="shared" si="11"/>
        <v>#DIV/0!</v>
      </c>
      <c r="AI75" s="1" t="e">
        <f t="shared" si="11"/>
        <v>#DIV/0!</v>
      </c>
      <c r="AJ75" s="1" t="e">
        <f t="shared" si="11"/>
        <v>#DIV/0!</v>
      </c>
    </row>
    <row r="76" spans="1:36">
      <c r="A76" s="29">
        <f t="shared" si="4"/>
        <v>-72</v>
      </c>
      <c r="B76" s="74"/>
      <c r="C76" s="74"/>
      <c r="D76" s="74"/>
      <c r="E76" s="1" t="e">
        <f t="shared" si="5"/>
        <v>#DIV/0!</v>
      </c>
      <c r="F76" s="1" t="e">
        <f t="shared" si="5"/>
        <v>#DIV/0!</v>
      </c>
      <c r="G76" s="1" t="e">
        <f t="shared" si="5"/>
        <v>#DIV/0!</v>
      </c>
      <c r="H76" s="1" t="e">
        <f t="shared" si="5"/>
        <v>#DIV/0!</v>
      </c>
      <c r="I76" s="1" t="e">
        <f t="shared" si="5"/>
        <v>#DIV/0!</v>
      </c>
      <c r="J76" s="1" t="e">
        <f t="shared" ref="J76:AJ76" si="12">(J13-$B13)/$B$4</f>
        <v>#DIV/0!</v>
      </c>
      <c r="K76" s="1" t="e">
        <f t="shared" si="12"/>
        <v>#DIV/0!</v>
      </c>
      <c r="L76" s="1" t="e">
        <f t="shared" si="12"/>
        <v>#DIV/0!</v>
      </c>
      <c r="M76" s="1" t="e">
        <f t="shared" si="12"/>
        <v>#DIV/0!</v>
      </c>
      <c r="N76" s="1" t="e">
        <f t="shared" si="12"/>
        <v>#DIV/0!</v>
      </c>
      <c r="O76" s="1" t="e">
        <f t="shared" si="12"/>
        <v>#DIV/0!</v>
      </c>
      <c r="P76" s="1" t="e">
        <f t="shared" si="12"/>
        <v>#DIV/0!</v>
      </c>
      <c r="Q76" s="1" t="e">
        <f t="shared" si="12"/>
        <v>#DIV/0!</v>
      </c>
      <c r="R76" s="1" t="e">
        <f t="shared" si="12"/>
        <v>#DIV/0!</v>
      </c>
      <c r="S76" s="1" t="e">
        <f t="shared" si="12"/>
        <v>#DIV/0!</v>
      </c>
      <c r="T76" s="1" t="e">
        <f t="shared" si="12"/>
        <v>#DIV/0!</v>
      </c>
      <c r="U76" s="1" t="e">
        <f t="shared" si="12"/>
        <v>#DIV/0!</v>
      </c>
      <c r="V76" s="1" t="e">
        <f t="shared" si="12"/>
        <v>#DIV/0!</v>
      </c>
      <c r="W76" s="1" t="e">
        <f t="shared" si="12"/>
        <v>#DIV/0!</v>
      </c>
      <c r="X76" s="1" t="e">
        <f t="shared" si="12"/>
        <v>#DIV/0!</v>
      </c>
      <c r="Y76" s="1" t="e">
        <f t="shared" si="12"/>
        <v>#DIV/0!</v>
      </c>
      <c r="Z76" s="1" t="e">
        <f t="shared" si="12"/>
        <v>#DIV/0!</v>
      </c>
      <c r="AA76" s="1" t="e">
        <f t="shared" si="12"/>
        <v>#DIV/0!</v>
      </c>
      <c r="AB76" s="1" t="e">
        <f t="shared" si="12"/>
        <v>#DIV/0!</v>
      </c>
      <c r="AC76" s="1" t="e">
        <f t="shared" si="12"/>
        <v>#DIV/0!</v>
      </c>
      <c r="AD76" s="1" t="e">
        <f t="shared" si="12"/>
        <v>#DIV/0!</v>
      </c>
      <c r="AE76" s="1" t="e">
        <f t="shared" si="12"/>
        <v>#DIV/0!</v>
      </c>
      <c r="AF76" s="1" t="e">
        <f t="shared" si="12"/>
        <v>#DIV/0!</v>
      </c>
      <c r="AG76" s="1" t="e">
        <f t="shared" si="12"/>
        <v>#DIV/0!</v>
      </c>
      <c r="AH76" s="1" t="e">
        <f t="shared" si="12"/>
        <v>#DIV/0!</v>
      </c>
      <c r="AI76" s="1" t="e">
        <f t="shared" si="12"/>
        <v>#DIV/0!</v>
      </c>
      <c r="AJ76" s="1" t="e">
        <f t="shared" si="12"/>
        <v>#DIV/0!</v>
      </c>
    </row>
    <row r="77" spans="1:36">
      <c r="A77" s="29">
        <f t="shared" si="4"/>
        <v>-69</v>
      </c>
      <c r="B77" s="74"/>
      <c r="C77" s="74"/>
      <c r="D77" s="74"/>
      <c r="E77" s="1" t="e">
        <f t="shared" si="5"/>
        <v>#DIV/0!</v>
      </c>
      <c r="F77" s="1" t="e">
        <f t="shared" si="5"/>
        <v>#DIV/0!</v>
      </c>
      <c r="G77" s="1" t="e">
        <f t="shared" si="5"/>
        <v>#DIV/0!</v>
      </c>
      <c r="H77" s="1" t="e">
        <f t="shared" si="5"/>
        <v>#DIV/0!</v>
      </c>
      <c r="I77" s="1" t="e">
        <f t="shared" si="5"/>
        <v>#DIV/0!</v>
      </c>
      <c r="J77" s="1" t="e">
        <f t="shared" ref="J77:AJ77" si="13">(J14-$B14)/$B$4</f>
        <v>#DIV/0!</v>
      </c>
      <c r="K77" s="1" t="e">
        <f t="shared" si="13"/>
        <v>#DIV/0!</v>
      </c>
      <c r="L77" s="1" t="e">
        <f t="shared" si="13"/>
        <v>#DIV/0!</v>
      </c>
      <c r="M77" s="1" t="e">
        <f t="shared" si="13"/>
        <v>#DIV/0!</v>
      </c>
      <c r="N77" s="1" t="e">
        <f t="shared" si="13"/>
        <v>#DIV/0!</v>
      </c>
      <c r="O77" s="1" t="e">
        <f t="shared" si="13"/>
        <v>#DIV/0!</v>
      </c>
      <c r="P77" s="1" t="e">
        <f t="shared" si="13"/>
        <v>#DIV/0!</v>
      </c>
      <c r="Q77" s="1" t="e">
        <f t="shared" si="13"/>
        <v>#DIV/0!</v>
      </c>
      <c r="R77" s="1" t="e">
        <f t="shared" si="13"/>
        <v>#DIV/0!</v>
      </c>
      <c r="S77" s="1" t="e">
        <f t="shared" si="13"/>
        <v>#DIV/0!</v>
      </c>
      <c r="T77" s="1" t="e">
        <f t="shared" si="13"/>
        <v>#DIV/0!</v>
      </c>
      <c r="U77" s="1" t="e">
        <f t="shared" si="13"/>
        <v>#DIV/0!</v>
      </c>
      <c r="V77" s="1" t="e">
        <f t="shared" si="13"/>
        <v>#DIV/0!</v>
      </c>
      <c r="W77" s="1" t="e">
        <f t="shared" si="13"/>
        <v>#DIV/0!</v>
      </c>
      <c r="X77" s="1" t="e">
        <f t="shared" si="13"/>
        <v>#DIV/0!</v>
      </c>
      <c r="Y77" s="1" t="e">
        <f t="shared" si="13"/>
        <v>#DIV/0!</v>
      </c>
      <c r="Z77" s="1" t="e">
        <f t="shared" si="13"/>
        <v>#DIV/0!</v>
      </c>
      <c r="AA77" s="1" t="e">
        <f t="shared" si="13"/>
        <v>#DIV/0!</v>
      </c>
      <c r="AB77" s="1" t="e">
        <f t="shared" si="13"/>
        <v>#DIV/0!</v>
      </c>
      <c r="AC77" s="1" t="e">
        <f t="shared" si="13"/>
        <v>#DIV/0!</v>
      </c>
      <c r="AD77" s="1" t="e">
        <f t="shared" si="13"/>
        <v>#DIV/0!</v>
      </c>
      <c r="AE77" s="1" t="e">
        <f t="shared" si="13"/>
        <v>#DIV/0!</v>
      </c>
      <c r="AF77" s="1" t="e">
        <f t="shared" si="13"/>
        <v>#DIV/0!</v>
      </c>
      <c r="AG77" s="1" t="e">
        <f t="shared" si="13"/>
        <v>#DIV/0!</v>
      </c>
      <c r="AH77" s="1" t="e">
        <f t="shared" si="13"/>
        <v>#DIV/0!</v>
      </c>
      <c r="AI77" s="1" t="e">
        <f t="shared" si="13"/>
        <v>#DIV/0!</v>
      </c>
      <c r="AJ77" s="1" t="e">
        <f t="shared" si="13"/>
        <v>#DIV/0!</v>
      </c>
    </row>
    <row r="78" spans="1:36">
      <c r="A78" s="29">
        <f t="shared" si="4"/>
        <v>-66</v>
      </c>
      <c r="B78" s="74"/>
      <c r="C78" s="74"/>
      <c r="D78" s="74"/>
      <c r="E78" s="1" t="e">
        <f t="shared" si="5"/>
        <v>#DIV/0!</v>
      </c>
      <c r="F78" s="1" t="e">
        <f t="shared" si="5"/>
        <v>#DIV/0!</v>
      </c>
      <c r="G78" s="1" t="e">
        <f t="shared" si="5"/>
        <v>#DIV/0!</v>
      </c>
      <c r="H78" s="1" t="e">
        <f t="shared" si="5"/>
        <v>#DIV/0!</v>
      </c>
      <c r="I78" s="1" t="e">
        <f t="shared" si="5"/>
        <v>#DIV/0!</v>
      </c>
      <c r="J78" s="1" t="e">
        <f t="shared" ref="J78:AJ78" si="14">(J15-$B15)/$B$4</f>
        <v>#DIV/0!</v>
      </c>
      <c r="K78" s="1" t="e">
        <f t="shared" si="14"/>
        <v>#DIV/0!</v>
      </c>
      <c r="L78" s="1" t="e">
        <f t="shared" si="14"/>
        <v>#DIV/0!</v>
      </c>
      <c r="M78" s="1" t="e">
        <f t="shared" si="14"/>
        <v>#DIV/0!</v>
      </c>
      <c r="N78" s="1" t="e">
        <f t="shared" si="14"/>
        <v>#DIV/0!</v>
      </c>
      <c r="O78" s="1" t="e">
        <f t="shared" si="14"/>
        <v>#DIV/0!</v>
      </c>
      <c r="P78" s="1" t="e">
        <f t="shared" si="14"/>
        <v>#DIV/0!</v>
      </c>
      <c r="Q78" s="1" t="e">
        <f t="shared" si="14"/>
        <v>#DIV/0!</v>
      </c>
      <c r="R78" s="1" t="e">
        <f t="shared" si="14"/>
        <v>#DIV/0!</v>
      </c>
      <c r="S78" s="1" t="e">
        <f t="shared" si="14"/>
        <v>#DIV/0!</v>
      </c>
      <c r="T78" s="1" t="e">
        <f t="shared" si="14"/>
        <v>#DIV/0!</v>
      </c>
      <c r="U78" s="1" t="e">
        <f t="shared" si="14"/>
        <v>#DIV/0!</v>
      </c>
      <c r="V78" s="1" t="e">
        <f t="shared" si="14"/>
        <v>#DIV/0!</v>
      </c>
      <c r="W78" s="1" t="e">
        <f t="shared" si="14"/>
        <v>#DIV/0!</v>
      </c>
      <c r="X78" s="1" t="e">
        <f t="shared" si="14"/>
        <v>#DIV/0!</v>
      </c>
      <c r="Y78" s="1" t="e">
        <f t="shared" si="14"/>
        <v>#DIV/0!</v>
      </c>
      <c r="Z78" s="1" t="e">
        <f t="shared" si="14"/>
        <v>#DIV/0!</v>
      </c>
      <c r="AA78" s="1" t="e">
        <f t="shared" si="14"/>
        <v>#DIV/0!</v>
      </c>
      <c r="AB78" s="1" t="e">
        <f t="shared" si="14"/>
        <v>#DIV/0!</v>
      </c>
      <c r="AC78" s="1" t="e">
        <f t="shared" si="14"/>
        <v>#DIV/0!</v>
      </c>
      <c r="AD78" s="1" t="e">
        <f t="shared" si="14"/>
        <v>#DIV/0!</v>
      </c>
      <c r="AE78" s="1" t="e">
        <f t="shared" si="14"/>
        <v>#DIV/0!</v>
      </c>
      <c r="AF78" s="1" t="e">
        <f t="shared" si="14"/>
        <v>#DIV/0!</v>
      </c>
      <c r="AG78" s="1" t="e">
        <f t="shared" si="14"/>
        <v>#DIV/0!</v>
      </c>
      <c r="AH78" s="1" t="e">
        <f t="shared" si="14"/>
        <v>#DIV/0!</v>
      </c>
      <c r="AI78" s="1" t="e">
        <f t="shared" si="14"/>
        <v>#DIV/0!</v>
      </c>
      <c r="AJ78" s="1" t="e">
        <f t="shared" si="14"/>
        <v>#DIV/0!</v>
      </c>
    </row>
    <row r="79" spans="1:36">
      <c r="A79" s="29">
        <f t="shared" si="4"/>
        <v>-63</v>
      </c>
      <c r="B79" s="74"/>
      <c r="C79" s="74"/>
      <c r="D79" s="74"/>
      <c r="E79" s="1" t="e">
        <f t="shared" si="5"/>
        <v>#DIV/0!</v>
      </c>
      <c r="F79" s="1" t="e">
        <f t="shared" si="5"/>
        <v>#DIV/0!</v>
      </c>
      <c r="G79" s="1" t="e">
        <f t="shared" si="5"/>
        <v>#DIV/0!</v>
      </c>
      <c r="H79" s="1" t="e">
        <f t="shared" si="5"/>
        <v>#DIV/0!</v>
      </c>
      <c r="I79" s="1" t="e">
        <f t="shared" si="5"/>
        <v>#DIV/0!</v>
      </c>
      <c r="J79" s="1" t="e">
        <f t="shared" ref="J79:AJ79" si="15">(J16-$B16)/$B$4</f>
        <v>#DIV/0!</v>
      </c>
      <c r="K79" s="1" t="e">
        <f t="shared" si="15"/>
        <v>#DIV/0!</v>
      </c>
      <c r="L79" s="1" t="e">
        <f t="shared" si="15"/>
        <v>#DIV/0!</v>
      </c>
      <c r="M79" s="1" t="e">
        <f t="shared" si="15"/>
        <v>#DIV/0!</v>
      </c>
      <c r="N79" s="1" t="e">
        <f t="shared" si="15"/>
        <v>#DIV/0!</v>
      </c>
      <c r="O79" s="1" t="e">
        <f t="shared" si="15"/>
        <v>#DIV/0!</v>
      </c>
      <c r="P79" s="1" t="e">
        <f t="shared" si="15"/>
        <v>#DIV/0!</v>
      </c>
      <c r="Q79" s="1" t="e">
        <f t="shared" si="15"/>
        <v>#DIV/0!</v>
      </c>
      <c r="R79" s="1" t="e">
        <f t="shared" si="15"/>
        <v>#DIV/0!</v>
      </c>
      <c r="S79" s="1" t="e">
        <f t="shared" si="15"/>
        <v>#DIV/0!</v>
      </c>
      <c r="T79" s="1" t="e">
        <f t="shared" si="15"/>
        <v>#DIV/0!</v>
      </c>
      <c r="U79" s="1" t="e">
        <f t="shared" si="15"/>
        <v>#DIV/0!</v>
      </c>
      <c r="V79" s="1" t="e">
        <f t="shared" si="15"/>
        <v>#DIV/0!</v>
      </c>
      <c r="W79" s="1" t="e">
        <f t="shared" si="15"/>
        <v>#DIV/0!</v>
      </c>
      <c r="X79" s="1" t="e">
        <f t="shared" si="15"/>
        <v>#DIV/0!</v>
      </c>
      <c r="Y79" s="1" t="e">
        <f t="shared" si="15"/>
        <v>#DIV/0!</v>
      </c>
      <c r="Z79" s="1" t="e">
        <f t="shared" si="15"/>
        <v>#DIV/0!</v>
      </c>
      <c r="AA79" s="1" t="e">
        <f t="shared" si="15"/>
        <v>#DIV/0!</v>
      </c>
      <c r="AB79" s="1" t="e">
        <f t="shared" si="15"/>
        <v>#DIV/0!</v>
      </c>
      <c r="AC79" s="1" t="e">
        <f t="shared" si="15"/>
        <v>#DIV/0!</v>
      </c>
      <c r="AD79" s="1" t="e">
        <f t="shared" si="15"/>
        <v>#DIV/0!</v>
      </c>
      <c r="AE79" s="1" t="e">
        <f t="shared" si="15"/>
        <v>#DIV/0!</v>
      </c>
      <c r="AF79" s="1" t="e">
        <f t="shared" si="15"/>
        <v>#DIV/0!</v>
      </c>
      <c r="AG79" s="1" t="e">
        <f t="shared" si="15"/>
        <v>#DIV/0!</v>
      </c>
      <c r="AH79" s="1" t="e">
        <f t="shared" si="15"/>
        <v>#DIV/0!</v>
      </c>
      <c r="AI79" s="1" t="e">
        <f t="shared" si="15"/>
        <v>#DIV/0!</v>
      </c>
      <c r="AJ79" s="1" t="e">
        <f t="shared" si="15"/>
        <v>#DIV/0!</v>
      </c>
    </row>
    <row r="80" spans="1:36">
      <c r="A80" s="29">
        <f t="shared" si="4"/>
        <v>-60</v>
      </c>
      <c r="B80" s="74"/>
      <c r="C80" s="74"/>
      <c r="D80" s="74"/>
      <c r="E80" s="1" t="e">
        <f t="shared" ref="E80:I89" si="16">(E17-$B17)/$B$4</f>
        <v>#DIV/0!</v>
      </c>
      <c r="F80" s="1" t="e">
        <f t="shared" si="16"/>
        <v>#DIV/0!</v>
      </c>
      <c r="G80" s="1" t="e">
        <f t="shared" si="16"/>
        <v>#DIV/0!</v>
      </c>
      <c r="H80" s="1" t="e">
        <f t="shared" si="16"/>
        <v>#DIV/0!</v>
      </c>
      <c r="I80" s="1" t="e">
        <f t="shared" si="16"/>
        <v>#DIV/0!</v>
      </c>
      <c r="J80" s="1" t="e">
        <f t="shared" ref="J80:AJ80" si="17">(J17-$B17)/$B$4</f>
        <v>#DIV/0!</v>
      </c>
      <c r="K80" s="1" t="e">
        <f t="shared" si="17"/>
        <v>#DIV/0!</v>
      </c>
      <c r="L80" s="1" t="e">
        <f t="shared" si="17"/>
        <v>#DIV/0!</v>
      </c>
      <c r="M80" s="1" t="e">
        <f t="shared" si="17"/>
        <v>#DIV/0!</v>
      </c>
      <c r="N80" s="1" t="e">
        <f t="shared" si="17"/>
        <v>#DIV/0!</v>
      </c>
      <c r="O80" s="1" t="e">
        <f t="shared" si="17"/>
        <v>#DIV/0!</v>
      </c>
      <c r="P80" s="1" t="e">
        <f t="shared" si="17"/>
        <v>#DIV/0!</v>
      </c>
      <c r="Q80" s="1" t="e">
        <f t="shared" si="17"/>
        <v>#DIV/0!</v>
      </c>
      <c r="R80" s="1" t="e">
        <f t="shared" si="17"/>
        <v>#DIV/0!</v>
      </c>
      <c r="S80" s="1" t="e">
        <f t="shared" si="17"/>
        <v>#DIV/0!</v>
      </c>
      <c r="T80" s="1" t="e">
        <f t="shared" si="17"/>
        <v>#DIV/0!</v>
      </c>
      <c r="U80" s="1" t="e">
        <f t="shared" si="17"/>
        <v>#DIV/0!</v>
      </c>
      <c r="V80" s="1" t="e">
        <f t="shared" si="17"/>
        <v>#DIV/0!</v>
      </c>
      <c r="W80" s="1" t="e">
        <f t="shared" si="17"/>
        <v>#DIV/0!</v>
      </c>
      <c r="X80" s="1" t="e">
        <f t="shared" si="17"/>
        <v>#DIV/0!</v>
      </c>
      <c r="Y80" s="1" t="e">
        <f t="shared" si="17"/>
        <v>#DIV/0!</v>
      </c>
      <c r="Z80" s="1" t="e">
        <f t="shared" si="17"/>
        <v>#DIV/0!</v>
      </c>
      <c r="AA80" s="1" t="e">
        <f t="shared" si="17"/>
        <v>#DIV/0!</v>
      </c>
      <c r="AB80" s="1" t="e">
        <f t="shared" si="17"/>
        <v>#DIV/0!</v>
      </c>
      <c r="AC80" s="1" t="e">
        <f t="shared" si="17"/>
        <v>#DIV/0!</v>
      </c>
      <c r="AD80" s="1" t="e">
        <f t="shared" si="17"/>
        <v>#DIV/0!</v>
      </c>
      <c r="AE80" s="1" t="e">
        <f t="shared" si="17"/>
        <v>#DIV/0!</v>
      </c>
      <c r="AF80" s="1" t="e">
        <f t="shared" si="17"/>
        <v>#DIV/0!</v>
      </c>
      <c r="AG80" s="1" t="e">
        <f t="shared" si="17"/>
        <v>#DIV/0!</v>
      </c>
      <c r="AH80" s="1" t="e">
        <f t="shared" si="17"/>
        <v>#DIV/0!</v>
      </c>
      <c r="AI80" s="1" t="e">
        <f t="shared" si="17"/>
        <v>#DIV/0!</v>
      </c>
      <c r="AJ80" s="1" t="e">
        <f t="shared" si="17"/>
        <v>#DIV/0!</v>
      </c>
    </row>
    <row r="81" spans="1:36">
      <c r="A81" s="29">
        <f t="shared" si="4"/>
        <v>-57</v>
      </c>
      <c r="B81" s="74"/>
      <c r="C81" s="74"/>
      <c r="D81" s="74"/>
      <c r="E81" s="1" t="e">
        <f t="shared" si="16"/>
        <v>#DIV/0!</v>
      </c>
      <c r="F81" s="1" t="e">
        <f t="shared" si="16"/>
        <v>#DIV/0!</v>
      </c>
      <c r="G81" s="1" t="e">
        <f t="shared" si="16"/>
        <v>#DIV/0!</v>
      </c>
      <c r="H81" s="1" t="e">
        <f t="shared" si="16"/>
        <v>#DIV/0!</v>
      </c>
      <c r="I81" s="1" t="e">
        <f t="shared" si="16"/>
        <v>#DIV/0!</v>
      </c>
      <c r="J81" s="1" t="e">
        <f t="shared" ref="J81:AJ81" si="18">(J18-$B18)/$B$4</f>
        <v>#DIV/0!</v>
      </c>
      <c r="K81" s="1" t="e">
        <f t="shared" si="18"/>
        <v>#DIV/0!</v>
      </c>
      <c r="L81" s="1" t="e">
        <f t="shared" si="18"/>
        <v>#DIV/0!</v>
      </c>
      <c r="M81" s="1" t="e">
        <f t="shared" si="18"/>
        <v>#DIV/0!</v>
      </c>
      <c r="N81" s="1" t="e">
        <f t="shared" si="18"/>
        <v>#DIV/0!</v>
      </c>
      <c r="O81" s="1" t="e">
        <f t="shared" si="18"/>
        <v>#DIV/0!</v>
      </c>
      <c r="P81" s="1" t="e">
        <f t="shared" si="18"/>
        <v>#DIV/0!</v>
      </c>
      <c r="Q81" s="1" t="e">
        <f t="shared" si="18"/>
        <v>#DIV/0!</v>
      </c>
      <c r="R81" s="1" t="e">
        <f t="shared" si="18"/>
        <v>#DIV/0!</v>
      </c>
      <c r="S81" s="1" t="e">
        <f t="shared" si="18"/>
        <v>#DIV/0!</v>
      </c>
      <c r="T81" s="1" t="e">
        <f t="shared" si="18"/>
        <v>#DIV/0!</v>
      </c>
      <c r="U81" s="1" t="e">
        <f t="shared" si="18"/>
        <v>#DIV/0!</v>
      </c>
      <c r="V81" s="1" t="e">
        <f t="shared" si="18"/>
        <v>#DIV/0!</v>
      </c>
      <c r="W81" s="1" t="e">
        <f t="shared" si="18"/>
        <v>#DIV/0!</v>
      </c>
      <c r="X81" s="1" t="e">
        <f t="shared" si="18"/>
        <v>#DIV/0!</v>
      </c>
      <c r="Y81" s="1" t="e">
        <f t="shared" si="18"/>
        <v>#DIV/0!</v>
      </c>
      <c r="Z81" s="1" t="e">
        <f t="shared" si="18"/>
        <v>#DIV/0!</v>
      </c>
      <c r="AA81" s="1" t="e">
        <f t="shared" si="18"/>
        <v>#DIV/0!</v>
      </c>
      <c r="AB81" s="1" t="e">
        <f t="shared" si="18"/>
        <v>#DIV/0!</v>
      </c>
      <c r="AC81" s="1" t="e">
        <f t="shared" si="18"/>
        <v>#DIV/0!</v>
      </c>
      <c r="AD81" s="1" t="e">
        <f t="shared" si="18"/>
        <v>#DIV/0!</v>
      </c>
      <c r="AE81" s="1" t="e">
        <f t="shared" si="18"/>
        <v>#DIV/0!</v>
      </c>
      <c r="AF81" s="1" t="e">
        <f t="shared" si="18"/>
        <v>#DIV/0!</v>
      </c>
      <c r="AG81" s="1" t="e">
        <f t="shared" si="18"/>
        <v>#DIV/0!</v>
      </c>
      <c r="AH81" s="1" t="e">
        <f t="shared" si="18"/>
        <v>#DIV/0!</v>
      </c>
      <c r="AI81" s="1" t="e">
        <f t="shared" si="18"/>
        <v>#DIV/0!</v>
      </c>
      <c r="AJ81" s="1" t="e">
        <f t="shared" si="18"/>
        <v>#DIV/0!</v>
      </c>
    </row>
    <row r="82" spans="1:36">
      <c r="A82" s="29">
        <f t="shared" si="4"/>
        <v>-54</v>
      </c>
      <c r="B82" s="74"/>
      <c r="C82" s="74"/>
      <c r="D82" s="74"/>
      <c r="E82" s="1" t="e">
        <f t="shared" si="16"/>
        <v>#DIV/0!</v>
      </c>
      <c r="F82" s="1" t="e">
        <f t="shared" si="16"/>
        <v>#DIV/0!</v>
      </c>
      <c r="G82" s="1" t="e">
        <f t="shared" si="16"/>
        <v>#DIV/0!</v>
      </c>
      <c r="H82" s="1" t="e">
        <f t="shared" si="16"/>
        <v>#DIV/0!</v>
      </c>
      <c r="I82" s="1" t="e">
        <f t="shared" si="16"/>
        <v>#DIV/0!</v>
      </c>
      <c r="J82" s="1" t="e">
        <f t="shared" ref="J82:AJ82" si="19">(J19-$B19)/$B$4</f>
        <v>#DIV/0!</v>
      </c>
      <c r="K82" s="1" t="e">
        <f t="shared" si="19"/>
        <v>#DIV/0!</v>
      </c>
      <c r="L82" s="1" t="e">
        <f t="shared" si="19"/>
        <v>#DIV/0!</v>
      </c>
      <c r="M82" s="1" t="e">
        <f t="shared" si="19"/>
        <v>#DIV/0!</v>
      </c>
      <c r="N82" s="1" t="e">
        <f t="shared" si="19"/>
        <v>#DIV/0!</v>
      </c>
      <c r="O82" s="1" t="e">
        <f t="shared" si="19"/>
        <v>#DIV/0!</v>
      </c>
      <c r="P82" s="1" t="e">
        <f t="shared" si="19"/>
        <v>#DIV/0!</v>
      </c>
      <c r="Q82" s="1" t="e">
        <f t="shared" si="19"/>
        <v>#DIV/0!</v>
      </c>
      <c r="R82" s="1" t="e">
        <f t="shared" si="19"/>
        <v>#DIV/0!</v>
      </c>
      <c r="S82" s="1" t="e">
        <f t="shared" si="19"/>
        <v>#DIV/0!</v>
      </c>
      <c r="T82" s="1" t="e">
        <f t="shared" si="19"/>
        <v>#DIV/0!</v>
      </c>
      <c r="U82" s="1" t="e">
        <f t="shared" si="19"/>
        <v>#DIV/0!</v>
      </c>
      <c r="V82" s="1" t="e">
        <f t="shared" si="19"/>
        <v>#DIV/0!</v>
      </c>
      <c r="W82" s="1" t="e">
        <f t="shared" si="19"/>
        <v>#DIV/0!</v>
      </c>
      <c r="X82" s="1" t="e">
        <f t="shared" si="19"/>
        <v>#DIV/0!</v>
      </c>
      <c r="Y82" s="1" t="e">
        <f t="shared" si="19"/>
        <v>#DIV/0!</v>
      </c>
      <c r="Z82" s="1" t="e">
        <f t="shared" si="19"/>
        <v>#DIV/0!</v>
      </c>
      <c r="AA82" s="1" t="e">
        <f t="shared" si="19"/>
        <v>#DIV/0!</v>
      </c>
      <c r="AB82" s="1" t="e">
        <f t="shared" si="19"/>
        <v>#DIV/0!</v>
      </c>
      <c r="AC82" s="1" t="e">
        <f t="shared" si="19"/>
        <v>#DIV/0!</v>
      </c>
      <c r="AD82" s="1" t="e">
        <f t="shared" si="19"/>
        <v>#DIV/0!</v>
      </c>
      <c r="AE82" s="1" t="e">
        <f t="shared" si="19"/>
        <v>#DIV/0!</v>
      </c>
      <c r="AF82" s="1" t="e">
        <f t="shared" si="19"/>
        <v>#DIV/0!</v>
      </c>
      <c r="AG82" s="1" t="e">
        <f t="shared" si="19"/>
        <v>#DIV/0!</v>
      </c>
      <c r="AH82" s="1" t="e">
        <f t="shared" si="19"/>
        <v>#DIV/0!</v>
      </c>
      <c r="AI82" s="1" t="e">
        <f t="shared" si="19"/>
        <v>#DIV/0!</v>
      </c>
      <c r="AJ82" s="1" t="e">
        <f t="shared" si="19"/>
        <v>#DIV/0!</v>
      </c>
    </row>
    <row r="83" spans="1:36">
      <c r="A83" s="29">
        <f t="shared" si="4"/>
        <v>-51</v>
      </c>
      <c r="B83" s="74"/>
      <c r="C83" s="74"/>
      <c r="D83" s="74"/>
      <c r="E83" s="1" t="e">
        <f t="shared" si="16"/>
        <v>#DIV/0!</v>
      </c>
      <c r="F83" s="1" t="e">
        <f t="shared" si="16"/>
        <v>#DIV/0!</v>
      </c>
      <c r="G83" s="1" t="e">
        <f t="shared" si="16"/>
        <v>#DIV/0!</v>
      </c>
      <c r="H83" s="1" t="e">
        <f t="shared" si="16"/>
        <v>#DIV/0!</v>
      </c>
      <c r="I83" s="1" t="e">
        <f t="shared" si="16"/>
        <v>#DIV/0!</v>
      </c>
      <c r="J83" s="1" t="e">
        <f t="shared" ref="J83:AJ83" si="20">(J20-$B20)/$B$4</f>
        <v>#DIV/0!</v>
      </c>
      <c r="K83" s="1" t="e">
        <f t="shared" si="20"/>
        <v>#DIV/0!</v>
      </c>
      <c r="L83" s="1" t="e">
        <f t="shared" si="20"/>
        <v>#DIV/0!</v>
      </c>
      <c r="M83" s="1" t="e">
        <f t="shared" si="20"/>
        <v>#DIV/0!</v>
      </c>
      <c r="N83" s="1" t="e">
        <f t="shared" si="20"/>
        <v>#DIV/0!</v>
      </c>
      <c r="O83" s="1" t="e">
        <f t="shared" si="20"/>
        <v>#DIV/0!</v>
      </c>
      <c r="P83" s="1" t="e">
        <f t="shared" si="20"/>
        <v>#DIV/0!</v>
      </c>
      <c r="Q83" s="1" t="e">
        <f t="shared" si="20"/>
        <v>#DIV/0!</v>
      </c>
      <c r="R83" s="1" t="e">
        <f t="shared" si="20"/>
        <v>#DIV/0!</v>
      </c>
      <c r="S83" s="1" t="e">
        <f t="shared" si="20"/>
        <v>#DIV/0!</v>
      </c>
      <c r="T83" s="1" t="e">
        <f t="shared" si="20"/>
        <v>#DIV/0!</v>
      </c>
      <c r="U83" s="1" t="e">
        <f t="shared" si="20"/>
        <v>#DIV/0!</v>
      </c>
      <c r="V83" s="1" t="e">
        <f t="shared" si="20"/>
        <v>#DIV/0!</v>
      </c>
      <c r="W83" s="1" t="e">
        <f t="shared" si="20"/>
        <v>#DIV/0!</v>
      </c>
      <c r="X83" s="1" t="e">
        <f t="shared" si="20"/>
        <v>#DIV/0!</v>
      </c>
      <c r="Y83" s="1" t="e">
        <f t="shared" si="20"/>
        <v>#DIV/0!</v>
      </c>
      <c r="Z83" s="1" t="e">
        <f t="shared" si="20"/>
        <v>#DIV/0!</v>
      </c>
      <c r="AA83" s="1" t="e">
        <f t="shared" si="20"/>
        <v>#DIV/0!</v>
      </c>
      <c r="AB83" s="1" t="e">
        <f t="shared" si="20"/>
        <v>#DIV/0!</v>
      </c>
      <c r="AC83" s="1" t="e">
        <f t="shared" si="20"/>
        <v>#DIV/0!</v>
      </c>
      <c r="AD83" s="1" t="e">
        <f t="shared" si="20"/>
        <v>#DIV/0!</v>
      </c>
      <c r="AE83" s="1" t="e">
        <f t="shared" si="20"/>
        <v>#DIV/0!</v>
      </c>
      <c r="AF83" s="1" t="e">
        <f t="shared" si="20"/>
        <v>#DIV/0!</v>
      </c>
      <c r="AG83" s="1" t="e">
        <f t="shared" si="20"/>
        <v>#DIV/0!</v>
      </c>
      <c r="AH83" s="1" t="e">
        <f t="shared" si="20"/>
        <v>#DIV/0!</v>
      </c>
      <c r="AI83" s="1" t="e">
        <f t="shared" si="20"/>
        <v>#DIV/0!</v>
      </c>
      <c r="AJ83" s="1" t="e">
        <f t="shared" si="20"/>
        <v>#DIV/0!</v>
      </c>
    </row>
    <row r="84" spans="1:36">
      <c r="A84" s="29">
        <f t="shared" si="4"/>
        <v>-48</v>
      </c>
      <c r="B84" s="74"/>
      <c r="C84" s="74"/>
      <c r="D84" s="74"/>
      <c r="E84" s="1" t="e">
        <f t="shared" si="16"/>
        <v>#DIV/0!</v>
      </c>
      <c r="F84" s="1" t="e">
        <f t="shared" si="16"/>
        <v>#DIV/0!</v>
      </c>
      <c r="G84" s="1" t="e">
        <f t="shared" si="16"/>
        <v>#DIV/0!</v>
      </c>
      <c r="H84" s="1" t="e">
        <f t="shared" si="16"/>
        <v>#DIV/0!</v>
      </c>
      <c r="I84" s="1" t="e">
        <f t="shared" si="16"/>
        <v>#DIV/0!</v>
      </c>
      <c r="J84" s="1" t="e">
        <f t="shared" ref="J84:AJ84" si="21">(J21-$B21)/$B$4</f>
        <v>#DIV/0!</v>
      </c>
      <c r="K84" s="1" t="e">
        <f t="shared" si="21"/>
        <v>#DIV/0!</v>
      </c>
      <c r="L84" s="1" t="e">
        <f t="shared" si="21"/>
        <v>#DIV/0!</v>
      </c>
      <c r="M84" s="1" t="e">
        <f t="shared" si="21"/>
        <v>#DIV/0!</v>
      </c>
      <c r="N84" s="1" t="e">
        <f t="shared" si="21"/>
        <v>#DIV/0!</v>
      </c>
      <c r="O84" s="1" t="e">
        <f t="shared" si="21"/>
        <v>#DIV/0!</v>
      </c>
      <c r="P84" s="1" t="e">
        <f t="shared" si="21"/>
        <v>#DIV/0!</v>
      </c>
      <c r="Q84" s="1" t="e">
        <f t="shared" si="21"/>
        <v>#DIV/0!</v>
      </c>
      <c r="R84" s="1" t="e">
        <f t="shared" si="21"/>
        <v>#DIV/0!</v>
      </c>
      <c r="S84" s="1" t="e">
        <f t="shared" si="21"/>
        <v>#DIV/0!</v>
      </c>
      <c r="T84" s="1" t="e">
        <f t="shared" si="21"/>
        <v>#DIV/0!</v>
      </c>
      <c r="U84" s="1" t="e">
        <f t="shared" si="21"/>
        <v>#DIV/0!</v>
      </c>
      <c r="V84" s="1" t="e">
        <f t="shared" si="21"/>
        <v>#DIV/0!</v>
      </c>
      <c r="W84" s="1" t="e">
        <f t="shared" si="21"/>
        <v>#DIV/0!</v>
      </c>
      <c r="X84" s="1" t="e">
        <f t="shared" si="21"/>
        <v>#DIV/0!</v>
      </c>
      <c r="Y84" s="1" t="e">
        <f t="shared" si="21"/>
        <v>#DIV/0!</v>
      </c>
      <c r="Z84" s="1" t="e">
        <f t="shared" si="21"/>
        <v>#DIV/0!</v>
      </c>
      <c r="AA84" s="1" t="e">
        <f t="shared" si="21"/>
        <v>#DIV/0!</v>
      </c>
      <c r="AB84" s="1" t="e">
        <f t="shared" si="21"/>
        <v>#DIV/0!</v>
      </c>
      <c r="AC84" s="1" t="e">
        <f t="shared" si="21"/>
        <v>#DIV/0!</v>
      </c>
      <c r="AD84" s="1" t="e">
        <f t="shared" si="21"/>
        <v>#DIV/0!</v>
      </c>
      <c r="AE84" s="1" t="e">
        <f t="shared" si="21"/>
        <v>#DIV/0!</v>
      </c>
      <c r="AF84" s="1" t="e">
        <f t="shared" si="21"/>
        <v>#DIV/0!</v>
      </c>
      <c r="AG84" s="1" t="e">
        <f t="shared" si="21"/>
        <v>#DIV/0!</v>
      </c>
      <c r="AH84" s="1" t="e">
        <f t="shared" si="21"/>
        <v>#DIV/0!</v>
      </c>
      <c r="AI84" s="1" t="e">
        <f t="shared" si="21"/>
        <v>#DIV/0!</v>
      </c>
      <c r="AJ84" s="1" t="e">
        <f t="shared" si="21"/>
        <v>#DIV/0!</v>
      </c>
    </row>
    <row r="85" spans="1:36">
      <c r="A85" s="29">
        <f t="shared" si="4"/>
        <v>-45</v>
      </c>
      <c r="B85" s="74"/>
      <c r="C85" s="74"/>
      <c r="D85" s="74"/>
      <c r="E85" s="1" t="e">
        <f t="shared" si="16"/>
        <v>#DIV/0!</v>
      </c>
      <c r="F85" s="1" t="e">
        <f t="shared" si="16"/>
        <v>#DIV/0!</v>
      </c>
      <c r="G85" s="1" t="e">
        <f t="shared" si="16"/>
        <v>#DIV/0!</v>
      </c>
      <c r="H85" s="1" t="e">
        <f t="shared" si="16"/>
        <v>#DIV/0!</v>
      </c>
      <c r="I85" s="1" t="e">
        <f t="shared" si="16"/>
        <v>#DIV/0!</v>
      </c>
      <c r="J85" s="1" t="e">
        <f t="shared" ref="J85:AJ85" si="22">(J22-$B22)/$B$4</f>
        <v>#DIV/0!</v>
      </c>
      <c r="K85" s="1" t="e">
        <f t="shared" si="22"/>
        <v>#DIV/0!</v>
      </c>
      <c r="L85" s="1" t="e">
        <f t="shared" si="22"/>
        <v>#DIV/0!</v>
      </c>
      <c r="M85" s="1" t="e">
        <f t="shared" si="22"/>
        <v>#DIV/0!</v>
      </c>
      <c r="N85" s="1" t="e">
        <f t="shared" si="22"/>
        <v>#DIV/0!</v>
      </c>
      <c r="O85" s="1" t="e">
        <f t="shared" si="22"/>
        <v>#DIV/0!</v>
      </c>
      <c r="P85" s="1" t="e">
        <f t="shared" si="22"/>
        <v>#DIV/0!</v>
      </c>
      <c r="Q85" s="1" t="e">
        <f t="shared" si="22"/>
        <v>#DIV/0!</v>
      </c>
      <c r="R85" s="1" t="e">
        <f t="shared" si="22"/>
        <v>#DIV/0!</v>
      </c>
      <c r="S85" s="1" t="e">
        <f t="shared" si="22"/>
        <v>#DIV/0!</v>
      </c>
      <c r="T85" s="1" t="e">
        <f t="shared" si="22"/>
        <v>#DIV/0!</v>
      </c>
      <c r="U85" s="1" t="e">
        <f t="shared" si="22"/>
        <v>#DIV/0!</v>
      </c>
      <c r="V85" s="1" t="e">
        <f t="shared" si="22"/>
        <v>#DIV/0!</v>
      </c>
      <c r="W85" s="1" t="e">
        <f t="shared" si="22"/>
        <v>#DIV/0!</v>
      </c>
      <c r="X85" s="1" t="e">
        <f t="shared" si="22"/>
        <v>#DIV/0!</v>
      </c>
      <c r="Y85" s="1" t="e">
        <f t="shared" si="22"/>
        <v>#DIV/0!</v>
      </c>
      <c r="Z85" s="1" t="e">
        <f t="shared" si="22"/>
        <v>#DIV/0!</v>
      </c>
      <c r="AA85" s="1" t="e">
        <f t="shared" si="22"/>
        <v>#DIV/0!</v>
      </c>
      <c r="AB85" s="1" t="e">
        <f t="shared" si="22"/>
        <v>#DIV/0!</v>
      </c>
      <c r="AC85" s="1" t="e">
        <f t="shared" si="22"/>
        <v>#DIV/0!</v>
      </c>
      <c r="AD85" s="1" t="e">
        <f t="shared" si="22"/>
        <v>#DIV/0!</v>
      </c>
      <c r="AE85" s="1" t="e">
        <f t="shared" si="22"/>
        <v>#DIV/0!</v>
      </c>
      <c r="AF85" s="1" t="e">
        <f t="shared" si="22"/>
        <v>#DIV/0!</v>
      </c>
      <c r="AG85" s="1" t="e">
        <f t="shared" si="22"/>
        <v>#DIV/0!</v>
      </c>
      <c r="AH85" s="1" t="e">
        <f t="shared" si="22"/>
        <v>#DIV/0!</v>
      </c>
      <c r="AI85" s="1" t="e">
        <f t="shared" si="22"/>
        <v>#DIV/0!</v>
      </c>
      <c r="AJ85" s="1" t="e">
        <f t="shared" si="22"/>
        <v>#DIV/0!</v>
      </c>
    </row>
    <row r="86" spans="1:36">
      <c r="A86" s="29">
        <f t="shared" si="4"/>
        <v>-42</v>
      </c>
      <c r="B86" s="74"/>
      <c r="C86" s="74"/>
      <c r="D86" s="74"/>
      <c r="E86" s="1" t="e">
        <f t="shared" si="16"/>
        <v>#DIV/0!</v>
      </c>
      <c r="F86" s="1" t="e">
        <f t="shared" si="16"/>
        <v>#DIV/0!</v>
      </c>
      <c r="G86" s="1" t="e">
        <f t="shared" si="16"/>
        <v>#DIV/0!</v>
      </c>
      <c r="H86" s="1" t="e">
        <f t="shared" si="16"/>
        <v>#DIV/0!</v>
      </c>
      <c r="I86" s="1" t="e">
        <f t="shared" si="16"/>
        <v>#DIV/0!</v>
      </c>
      <c r="J86" s="1" t="e">
        <f t="shared" ref="J86:AJ86" si="23">(J23-$B23)/$B$4</f>
        <v>#DIV/0!</v>
      </c>
      <c r="K86" s="1" t="e">
        <f t="shared" si="23"/>
        <v>#DIV/0!</v>
      </c>
      <c r="L86" s="1" t="e">
        <f t="shared" si="23"/>
        <v>#DIV/0!</v>
      </c>
      <c r="M86" s="1" t="e">
        <f t="shared" si="23"/>
        <v>#DIV/0!</v>
      </c>
      <c r="N86" s="1" t="e">
        <f t="shared" si="23"/>
        <v>#DIV/0!</v>
      </c>
      <c r="O86" s="1" t="e">
        <f t="shared" si="23"/>
        <v>#DIV/0!</v>
      </c>
      <c r="P86" s="1" t="e">
        <f t="shared" si="23"/>
        <v>#DIV/0!</v>
      </c>
      <c r="Q86" s="1" t="e">
        <f t="shared" si="23"/>
        <v>#DIV/0!</v>
      </c>
      <c r="R86" s="1" t="e">
        <f t="shared" si="23"/>
        <v>#DIV/0!</v>
      </c>
      <c r="S86" s="1" t="e">
        <f t="shared" si="23"/>
        <v>#DIV/0!</v>
      </c>
      <c r="T86" s="1" t="e">
        <f t="shared" si="23"/>
        <v>#DIV/0!</v>
      </c>
      <c r="U86" s="1" t="e">
        <f t="shared" si="23"/>
        <v>#DIV/0!</v>
      </c>
      <c r="V86" s="1" t="e">
        <f t="shared" si="23"/>
        <v>#DIV/0!</v>
      </c>
      <c r="W86" s="1" t="e">
        <f t="shared" si="23"/>
        <v>#DIV/0!</v>
      </c>
      <c r="X86" s="1" t="e">
        <f t="shared" si="23"/>
        <v>#DIV/0!</v>
      </c>
      <c r="Y86" s="1" t="e">
        <f t="shared" si="23"/>
        <v>#DIV/0!</v>
      </c>
      <c r="Z86" s="1" t="e">
        <f t="shared" si="23"/>
        <v>#DIV/0!</v>
      </c>
      <c r="AA86" s="1" t="e">
        <f t="shared" si="23"/>
        <v>#DIV/0!</v>
      </c>
      <c r="AB86" s="1" t="e">
        <f t="shared" si="23"/>
        <v>#DIV/0!</v>
      </c>
      <c r="AC86" s="1" t="e">
        <f t="shared" si="23"/>
        <v>#DIV/0!</v>
      </c>
      <c r="AD86" s="1" t="e">
        <f t="shared" si="23"/>
        <v>#DIV/0!</v>
      </c>
      <c r="AE86" s="1" t="e">
        <f t="shared" si="23"/>
        <v>#DIV/0!</v>
      </c>
      <c r="AF86" s="1" t="e">
        <f t="shared" si="23"/>
        <v>#DIV/0!</v>
      </c>
      <c r="AG86" s="1" t="e">
        <f t="shared" si="23"/>
        <v>#DIV/0!</v>
      </c>
      <c r="AH86" s="1" t="e">
        <f t="shared" si="23"/>
        <v>#DIV/0!</v>
      </c>
      <c r="AI86" s="1" t="e">
        <f t="shared" si="23"/>
        <v>#DIV/0!</v>
      </c>
      <c r="AJ86" s="1" t="e">
        <f t="shared" si="23"/>
        <v>#DIV/0!</v>
      </c>
    </row>
    <row r="87" spans="1:36">
      <c r="A87" s="29">
        <f t="shared" si="4"/>
        <v>-39</v>
      </c>
      <c r="B87" s="74"/>
      <c r="C87" s="74"/>
      <c r="D87" s="74"/>
      <c r="E87" s="1" t="e">
        <f t="shared" si="16"/>
        <v>#DIV/0!</v>
      </c>
      <c r="F87" s="1" t="e">
        <f t="shared" si="16"/>
        <v>#DIV/0!</v>
      </c>
      <c r="G87" s="1" t="e">
        <f t="shared" si="16"/>
        <v>#DIV/0!</v>
      </c>
      <c r="H87" s="1" t="e">
        <f t="shared" si="16"/>
        <v>#DIV/0!</v>
      </c>
      <c r="I87" s="1" t="e">
        <f t="shared" si="16"/>
        <v>#DIV/0!</v>
      </c>
      <c r="J87" s="1" t="e">
        <f t="shared" ref="J87:AJ87" si="24">(J24-$B24)/$B$4</f>
        <v>#DIV/0!</v>
      </c>
      <c r="K87" s="1" t="e">
        <f t="shared" si="24"/>
        <v>#DIV/0!</v>
      </c>
      <c r="L87" s="1" t="e">
        <f t="shared" si="24"/>
        <v>#DIV/0!</v>
      </c>
      <c r="M87" s="1" t="e">
        <f t="shared" si="24"/>
        <v>#DIV/0!</v>
      </c>
      <c r="N87" s="1" t="e">
        <f t="shared" si="24"/>
        <v>#DIV/0!</v>
      </c>
      <c r="O87" s="1" t="e">
        <f t="shared" si="24"/>
        <v>#DIV/0!</v>
      </c>
      <c r="P87" s="1" t="e">
        <f t="shared" si="24"/>
        <v>#DIV/0!</v>
      </c>
      <c r="Q87" s="1" t="e">
        <f t="shared" si="24"/>
        <v>#DIV/0!</v>
      </c>
      <c r="R87" s="1" t="e">
        <f t="shared" si="24"/>
        <v>#DIV/0!</v>
      </c>
      <c r="S87" s="1" t="e">
        <f t="shared" si="24"/>
        <v>#DIV/0!</v>
      </c>
      <c r="T87" s="1" t="e">
        <f t="shared" si="24"/>
        <v>#DIV/0!</v>
      </c>
      <c r="U87" s="1" t="e">
        <f t="shared" si="24"/>
        <v>#DIV/0!</v>
      </c>
      <c r="V87" s="1" t="e">
        <f t="shared" si="24"/>
        <v>#DIV/0!</v>
      </c>
      <c r="W87" s="1" t="e">
        <f t="shared" si="24"/>
        <v>#DIV/0!</v>
      </c>
      <c r="X87" s="1" t="e">
        <f t="shared" si="24"/>
        <v>#DIV/0!</v>
      </c>
      <c r="Y87" s="1" t="e">
        <f t="shared" si="24"/>
        <v>#DIV/0!</v>
      </c>
      <c r="Z87" s="1" t="e">
        <f t="shared" si="24"/>
        <v>#DIV/0!</v>
      </c>
      <c r="AA87" s="1" t="e">
        <f t="shared" si="24"/>
        <v>#DIV/0!</v>
      </c>
      <c r="AB87" s="1" t="e">
        <f t="shared" si="24"/>
        <v>#DIV/0!</v>
      </c>
      <c r="AC87" s="1" t="e">
        <f t="shared" si="24"/>
        <v>#DIV/0!</v>
      </c>
      <c r="AD87" s="1" t="e">
        <f t="shared" si="24"/>
        <v>#DIV/0!</v>
      </c>
      <c r="AE87" s="1" t="e">
        <f t="shared" si="24"/>
        <v>#DIV/0!</v>
      </c>
      <c r="AF87" s="1" t="e">
        <f t="shared" si="24"/>
        <v>#DIV/0!</v>
      </c>
      <c r="AG87" s="1" t="e">
        <f t="shared" si="24"/>
        <v>#DIV/0!</v>
      </c>
      <c r="AH87" s="1" t="e">
        <f t="shared" si="24"/>
        <v>#DIV/0!</v>
      </c>
      <c r="AI87" s="1" t="e">
        <f t="shared" si="24"/>
        <v>#DIV/0!</v>
      </c>
      <c r="AJ87" s="1" t="e">
        <f t="shared" si="24"/>
        <v>#DIV/0!</v>
      </c>
    </row>
    <row r="88" spans="1:36">
      <c r="A88" s="29">
        <f t="shared" si="4"/>
        <v>-36</v>
      </c>
      <c r="B88" s="74"/>
      <c r="C88" s="74"/>
      <c r="D88" s="74"/>
      <c r="E88" s="1" t="e">
        <f t="shared" si="16"/>
        <v>#DIV/0!</v>
      </c>
      <c r="F88" s="1" t="e">
        <f t="shared" si="16"/>
        <v>#DIV/0!</v>
      </c>
      <c r="G88" s="1" t="e">
        <f t="shared" si="16"/>
        <v>#DIV/0!</v>
      </c>
      <c r="H88" s="1" t="e">
        <f t="shared" si="16"/>
        <v>#DIV/0!</v>
      </c>
      <c r="I88" s="1" t="e">
        <f t="shared" si="16"/>
        <v>#DIV/0!</v>
      </c>
      <c r="J88" s="1" t="e">
        <f t="shared" ref="J88:AJ88" si="25">(J25-$B25)/$B$4</f>
        <v>#DIV/0!</v>
      </c>
      <c r="K88" s="1" t="e">
        <f t="shared" si="25"/>
        <v>#DIV/0!</v>
      </c>
      <c r="L88" s="1" t="e">
        <f t="shared" si="25"/>
        <v>#DIV/0!</v>
      </c>
      <c r="M88" s="1" t="e">
        <f t="shared" si="25"/>
        <v>#DIV/0!</v>
      </c>
      <c r="N88" s="1" t="e">
        <f t="shared" si="25"/>
        <v>#DIV/0!</v>
      </c>
      <c r="O88" s="1" t="e">
        <f t="shared" si="25"/>
        <v>#DIV/0!</v>
      </c>
      <c r="P88" s="1" t="e">
        <f t="shared" si="25"/>
        <v>#DIV/0!</v>
      </c>
      <c r="Q88" s="1" t="e">
        <f t="shared" si="25"/>
        <v>#DIV/0!</v>
      </c>
      <c r="R88" s="1" t="e">
        <f t="shared" si="25"/>
        <v>#DIV/0!</v>
      </c>
      <c r="S88" s="1" t="e">
        <f t="shared" si="25"/>
        <v>#DIV/0!</v>
      </c>
      <c r="T88" s="1" t="e">
        <f t="shared" si="25"/>
        <v>#DIV/0!</v>
      </c>
      <c r="U88" s="1" t="e">
        <f t="shared" si="25"/>
        <v>#DIV/0!</v>
      </c>
      <c r="V88" s="1" t="e">
        <f t="shared" si="25"/>
        <v>#DIV/0!</v>
      </c>
      <c r="W88" s="1" t="e">
        <f t="shared" si="25"/>
        <v>#DIV/0!</v>
      </c>
      <c r="X88" s="1" t="e">
        <f t="shared" si="25"/>
        <v>#DIV/0!</v>
      </c>
      <c r="Y88" s="1" t="e">
        <f t="shared" si="25"/>
        <v>#DIV/0!</v>
      </c>
      <c r="Z88" s="1" t="e">
        <f t="shared" si="25"/>
        <v>#DIV/0!</v>
      </c>
      <c r="AA88" s="1" t="e">
        <f t="shared" si="25"/>
        <v>#DIV/0!</v>
      </c>
      <c r="AB88" s="1" t="e">
        <f t="shared" si="25"/>
        <v>#DIV/0!</v>
      </c>
      <c r="AC88" s="1" t="e">
        <f t="shared" si="25"/>
        <v>#DIV/0!</v>
      </c>
      <c r="AD88" s="1" t="e">
        <f t="shared" si="25"/>
        <v>#DIV/0!</v>
      </c>
      <c r="AE88" s="1" t="e">
        <f t="shared" si="25"/>
        <v>#DIV/0!</v>
      </c>
      <c r="AF88" s="1" t="e">
        <f t="shared" si="25"/>
        <v>#DIV/0!</v>
      </c>
      <c r="AG88" s="1" t="e">
        <f t="shared" si="25"/>
        <v>#DIV/0!</v>
      </c>
      <c r="AH88" s="1" t="e">
        <f t="shared" si="25"/>
        <v>#DIV/0!</v>
      </c>
      <c r="AI88" s="1" t="e">
        <f t="shared" si="25"/>
        <v>#DIV/0!</v>
      </c>
      <c r="AJ88" s="1" t="e">
        <f t="shared" si="25"/>
        <v>#DIV/0!</v>
      </c>
    </row>
    <row r="89" spans="1:36">
      <c r="A89" s="29">
        <f t="shared" si="4"/>
        <v>-33</v>
      </c>
      <c r="B89" s="74"/>
      <c r="C89" s="74"/>
      <c r="D89" s="74"/>
      <c r="E89" s="1" t="e">
        <f t="shared" si="16"/>
        <v>#DIV/0!</v>
      </c>
      <c r="F89" s="1" t="e">
        <f t="shared" si="16"/>
        <v>#DIV/0!</v>
      </c>
      <c r="G89" s="1" t="e">
        <f t="shared" si="16"/>
        <v>#DIV/0!</v>
      </c>
      <c r="H89" s="1" t="e">
        <f t="shared" si="16"/>
        <v>#DIV/0!</v>
      </c>
      <c r="I89" s="1" t="e">
        <f t="shared" si="16"/>
        <v>#DIV/0!</v>
      </c>
      <c r="J89" s="1" t="e">
        <f t="shared" ref="J89:AJ89" si="26">(J26-$B26)/$B$4</f>
        <v>#DIV/0!</v>
      </c>
      <c r="K89" s="1" t="e">
        <f t="shared" si="26"/>
        <v>#DIV/0!</v>
      </c>
      <c r="L89" s="1" t="e">
        <f t="shared" si="26"/>
        <v>#DIV/0!</v>
      </c>
      <c r="M89" s="1" t="e">
        <f t="shared" si="26"/>
        <v>#DIV/0!</v>
      </c>
      <c r="N89" s="1" t="e">
        <f t="shared" si="26"/>
        <v>#DIV/0!</v>
      </c>
      <c r="O89" s="1" t="e">
        <f t="shared" si="26"/>
        <v>#DIV/0!</v>
      </c>
      <c r="P89" s="1" t="e">
        <f t="shared" si="26"/>
        <v>#DIV/0!</v>
      </c>
      <c r="Q89" s="1" t="e">
        <f t="shared" si="26"/>
        <v>#DIV/0!</v>
      </c>
      <c r="R89" s="1" t="e">
        <f t="shared" si="26"/>
        <v>#DIV/0!</v>
      </c>
      <c r="S89" s="1" t="e">
        <f t="shared" si="26"/>
        <v>#DIV/0!</v>
      </c>
      <c r="T89" s="1" t="e">
        <f t="shared" si="26"/>
        <v>#DIV/0!</v>
      </c>
      <c r="U89" s="1" t="e">
        <f t="shared" si="26"/>
        <v>#DIV/0!</v>
      </c>
      <c r="V89" s="1" t="e">
        <f t="shared" si="26"/>
        <v>#DIV/0!</v>
      </c>
      <c r="W89" s="1" t="e">
        <f t="shared" si="26"/>
        <v>#DIV/0!</v>
      </c>
      <c r="X89" s="1" t="e">
        <f t="shared" si="26"/>
        <v>#DIV/0!</v>
      </c>
      <c r="Y89" s="1" t="e">
        <f t="shared" si="26"/>
        <v>#DIV/0!</v>
      </c>
      <c r="Z89" s="1" t="e">
        <f t="shared" si="26"/>
        <v>#DIV/0!</v>
      </c>
      <c r="AA89" s="1" t="e">
        <f t="shared" si="26"/>
        <v>#DIV/0!</v>
      </c>
      <c r="AB89" s="1" t="e">
        <f t="shared" si="26"/>
        <v>#DIV/0!</v>
      </c>
      <c r="AC89" s="1" t="e">
        <f t="shared" si="26"/>
        <v>#DIV/0!</v>
      </c>
      <c r="AD89" s="1" t="e">
        <f t="shared" si="26"/>
        <v>#DIV/0!</v>
      </c>
      <c r="AE89" s="1" t="e">
        <f t="shared" si="26"/>
        <v>#DIV/0!</v>
      </c>
      <c r="AF89" s="1" t="e">
        <f t="shared" si="26"/>
        <v>#DIV/0!</v>
      </c>
      <c r="AG89" s="1" t="e">
        <f t="shared" si="26"/>
        <v>#DIV/0!</v>
      </c>
      <c r="AH89" s="1" t="e">
        <f t="shared" si="26"/>
        <v>#DIV/0!</v>
      </c>
      <c r="AI89" s="1" t="e">
        <f t="shared" si="26"/>
        <v>#DIV/0!</v>
      </c>
      <c r="AJ89" s="1" t="e">
        <f t="shared" si="26"/>
        <v>#DIV/0!</v>
      </c>
    </row>
    <row r="90" spans="1:36">
      <c r="A90" s="29">
        <f t="shared" si="4"/>
        <v>-30</v>
      </c>
      <c r="B90" s="74"/>
      <c r="C90" s="74"/>
      <c r="D90" s="74"/>
      <c r="E90" s="1" t="e">
        <f t="shared" ref="E90:I99" si="27">(E27-$B27)/$B$4</f>
        <v>#DIV/0!</v>
      </c>
      <c r="F90" s="1" t="e">
        <f t="shared" si="27"/>
        <v>#DIV/0!</v>
      </c>
      <c r="G90" s="1" t="e">
        <f t="shared" si="27"/>
        <v>#DIV/0!</v>
      </c>
      <c r="H90" s="1" t="e">
        <f t="shared" si="27"/>
        <v>#DIV/0!</v>
      </c>
      <c r="I90" s="1" t="e">
        <f t="shared" si="27"/>
        <v>#DIV/0!</v>
      </c>
      <c r="J90" s="1" t="e">
        <f t="shared" ref="J90:AJ90" si="28">(J27-$B27)/$B$4</f>
        <v>#DIV/0!</v>
      </c>
      <c r="K90" s="1" t="e">
        <f t="shared" si="28"/>
        <v>#DIV/0!</v>
      </c>
      <c r="L90" s="1" t="e">
        <f t="shared" si="28"/>
        <v>#DIV/0!</v>
      </c>
      <c r="M90" s="1" t="e">
        <f t="shared" si="28"/>
        <v>#DIV/0!</v>
      </c>
      <c r="N90" s="1" t="e">
        <f t="shared" si="28"/>
        <v>#DIV/0!</v>
      </c>
      <c r="O90" s="1" t="e">
        <f t="shared" si="28"/>
        <v>#DIV/0!</v>
      </c>
      <c r="P90" s="1" t="e">
        <f t="shared" si="28"/>
        <v>#DIV/0!</v>
      </c>
      <c r="Q90" s="1" t="e">
        <f t="shared" si="28"/>
        <v>#DIV/0!</v>
      </c>
      <c r="R90" s="1" t="e">
        <f t="shared" si="28"/>
        <v>#DIV/0!</v>
      </c>
      <c r="S90" s="1" t="e">
        <f t="shared" si="28"/>
        <v>#DIV/0!</v>
      </c>
      <c r="T90" s="1" t="e">
        <f t="shared" si="28"/>
        <v>#DIV/0!</v>
      </c>
      <c r="U90" s="1" t="e">
        <f t="shared" si="28"/>
        <v>#DIV/0!</v>
      </c>
      <c r="V90" s="1" t="e">
        <f t="shared" si="28"/>
        <v>#DIV/0!</v>
      </c>
      <c r="W90" s="1" t="e">
        <f t="shared" si="28"/>
        <v>#DIV/0!</v>
      </c>
      <c r="X90" s="1" t="e">
        <f t="shared" si="28"/>
        <v>#DIV/0!</v>
      </c>
      <c r="Y90" s="1" t="e">
        <f t="shared" si="28"/>
        <v>#DIV/0!</v>
      </c>
      <c r="Z90" s="1" t="e">
        <f t="shared" si="28"/>
        <v>#DIV/0!</v>
      </c>
      <c r="AA90" s="1" t="e">
        <f t="shared" si="28"/>
        <v>#DIV/0!</v>
      </c>
      <c r="AB90" s="1" t="e">
        <f t="shared" si="28"/>
        <v>#DIV/0!</v>
      </c>
      <c r="AC90" s="1" t="e">
        <f t="shared" si="28"/>
        <v>#DIV/0!</v>
      </c>
      <c r="AD90" s="1" t="e">
        <f t="shared" si="28"/>
        <v>#DIV/0!</v>
      </c>
      <c r="AE90" s="1" t="e">
        <f t="shared" si="28"/>
        <v>#DIV/0!</v>
      </c>
      <c r="AF90" s="1" t="e">
        <f t="shared" si="28"/>
        <v>#DIV/0!</v>
      </c>
      <c r="AG90" s="1" t="e">
        <f t="shared" si="28"/>
        <v>#DIV/0!</v>
      </c>
      <c r="AH90" s="1" t="e">
        <f t="shared" si="28"/>
        <v>#DIV/0!</v>
      </c>
      <c r="AI90" s="1" t="e">
        <f t="shared" si="28"/>
        <v>#DIV/0!</v>
      </c>
      <c r="AJ90" s="1" t="e">
        <f t="shared" si="28"/>
        <v>#DIV/0!</v>
      </c>
    </row>
    <row r="91" spans="1:36">
      <c r="A91" s="29">
        <f t="shared" si="4"/>
        <v>-27</v>
      </c>
      <c r="B91" s="74"/>
      <c r="C91" s="74"/>
      <c r="D91" s="74"/>
      <c r="E91" s="1" t="e">
        <f t="shared" si="27"/>
        <v>#DIV/0!</v>
      </c>
      <c r="F91" s="1" t="e">
        <f t="shared" si="27"/>
        <v>#DIV/0!</v>
      </c>
      <c r="G91" s="1" t="e">
        <f t="shared" si="27"/>
        <v>#DIV/0!</v>
      </c>
      <c r="H91" s="1" t="e">
        <f t="shared" si="27"/>
        <v>#DIV/0!</v>
      </c>
      <c r="I91" s="1" t="e">
        <f t="shared" si="27"/>
        <v>#DIV/0!</v>
      </c>
      <c r="J91" s="1" t="e">
        <f t="shared" ref="J91:AJ91" si="29">(J28-$B28)/$B$4</f>
        <v>#DIV/0!</v>
      </c>
      <c r="K91" s="1" t="e">
        <f t="shared" si="29"/>
        <v>#DIV/0!</v>
      </c>
      <c r="L91" s="1" t="e">
        <f t="shared" si="29"/>
        <v>#DIV/0!</v>
      </c>
      <c r="M91" s="1" t="e">
        <f t="shared" si="29"/>
        <v>#DIV/0!</v>
      </c>
      <c r="N91" s="1" t="e">
        <f t="shared" si="29"/>
        <v>#DIV/0!</v>
      </c>
      <c r="O91" s="1" t="e">
        <f t="shared" si="29"/>
        <v>#DIV/0!</v>
      </c>
      <c r="P91" s="1" t="e">
        <f t="shared" si="29"/>
        <v>#DIV/0!</v>
      </c>
      <c r="Q91" s="1" t="e">
        <f t="shared" si="29"/>
        <v>#DIV/0!</v>
      </c>
      <c r="R91" s="1" t="e">
        <f t="shared" si="29"/>
        <v>#DIV/0!</v>
      </c>
      <c r="S91" s="1" t="e">
        <f t="shared" si="29"/>
        <v>#DIV/0!</v>
      </c>
      <c r="T91" s="1" t="e">
        <f t="shared" si="29"/>
        <v>#DIV/0!</v>
      </c>
      <c r="U91" s="1" t="e">
        <f t="shared" si="29"/>
        <v>#DIV/0!</v>
      </c>
      <c r="V91" s="1" t="e">
        <f t="shared" si="29"/>
        <v>#DIV/0!</v>
      </c>
      <c r="W91" s="1" t="e">
        <f t="shared" si="29"/>
        <v>#DIV/0!</v>
      </c>
      <c r="X91" s="1" t="e">
        <f t="shared" si="29"/>
        <v>#DIV/0!</v>
      </c>
      <c r="Y91" s="1" t="e">
        <f t="shared" si="29"/>
        <v>#DIV/0!</v>
      </c>
      <c r="Z91" s="1" t="e">
        <f t="shared" si="29"/>
        <v>#DIV/0!</v>
      </c>
      <c r="AA91" s="1" t="e">
        <f t="shared" si="29"/>
        <v>#DIV/0!</v>
      </c>
      <c r="AB91" s="1" t="e">
        <f t="shared" si="29"/>
        <v>#DIV/0!</v>
      </c>
      <c r="AC91" s="1" t="e">
        <f t="shared" si="29"/>
        <v>#DIV/0!</v>
      </c>
      <c r="AD91" s="1" t="e">
        <f t="shared" si="29"/>
        <v>#DIV/0!</v>
      </c>
      <c r="AE91" s="1" t="e">
        <f t="shared" si="29"/>
        <v>#DIV/0!</v>
      </c>
      <c r="AF91" s="1" t="e">
        <f t="shared" si="29"/>
        <v>#DIV/0!</v>
      </c>
      <c r="AG91" s="1" t="e">
        <f t="shared" si="29"/>
        <v>#DIV/0!</v>
      </c>
      <c r="AH91" s="1" t="e">
        <f t="shared" si="29"/>
        <v>#DIV/0!</v>
      </c>
      <c r="AI91" s="1" t="e">
        <f t="shared" si="29"/>
        <v>#DIV/0!</v>
      </c>
      <c r="AJ91" s="1" t="e">
        <f t="shared" si="29"/>
        <v>#DIV/0!</v>
      </c>
    </row>
    <row r="92" spans="1:36">
      <c r="A92" s="29">
        <f t="shared" si="4"/>
        <v>-24</v>
      </c>
      <c r="B92" s="74"/>
      <c r="C92" s="74"/>
      <c r="D92" s="74"/>
      <c r="E92" s="1" t="e">
        <f t="shared" si="27"/>
        <v>#DIV/0!</v>
      </c>
      <c r="F92" s="1" t="e">
        <f t="shared" si="27"/>
        <v>#DIV/0!</v>
      </c>
      <c r="G92" s="1" t="e">
        <f t="shared" si="27"/>
        <v>#DIV/0!</v>
      </c>
      <c r="H92" s="1" t="e">
        <f t="shared" si="27"/>
        <v>#DIV/0!</v>
      </c>
      <c r="I92" s="1" t="e">
        <f t="shared" si="27"/>
        <v>#DIV/0!</v>
      </c>
      <c r="J92" s="1" t="e">
        <f t="shared" ref="J92:AJ92" si="30">(J29-$B29)/$B$4</f>
        <v>#DIV/0!</v>
      </c>
      <c r="K92" s="1" t="e">
        <f t="shared" si="30"/>
        <v>#DIV/0!</v>
      </c>
      <c r="L92" s="1" t="e">
        <f t="shared" si="30"/>
        <v>#DIV/0!</v>
      </c>
      <c r="M92" s="1" t="e">
        <f t="shared" si="30"/>
        <v>#DIV/0!</v>
      </c>
      <c r="N92" s="1" t="e">
        <f t="shared" si="30"/>
        <v>#DIV/0!</v>
      </c>
      <c r="O92" s="1" t="e">
        <f t="shared" si="30"/>
        <v>#DIV/0!</v>
      </c>
      <c r="P92" s="1" t="e">
        <f t="shared" si="30"/>
        <v>#DIV/0!</v>
      </c>
      <c r="Q92" s="1" t="e">
        <f t="shared" si="30"/>
        <v>#DIV/0!</v>
      </c>
      <c r="R92" s="1" t="e">
        <f t="shared" si="30"/>
        <v>#DIV/0!</v>
      </c>
      <c r="S92" s="1" t="e">
        <f t="shared" si="30"/>
        <v>#DIV/0!</v>
      </c>
      <c r="T92" s="1" t="e">
        <f t="shared" si="30"/>
        <v>#DIV/0!</v>
      </c>
      <c r="U92" s="1" t="e">
        <f t="shared" si="30"/>
        <v>#DIV/0!</v>
      </c>
      <c r="V92" s="1" t="e">
        <f t="shared" si="30"/>
        <v>#DIV/0!</v>
      </c>
      <c r="W92" s="1" t="e">
        <f t="shared" si="30"/>
        <v>#DIV/0!</v>
      </c>
      <c r="X92" s="1" t="e">
        <f t="shared" si="30"/>
        <v>#DIV/0!</v>
      </c>
      <c r="Y92" s="1" t="e">
        <f t="shared" si="30"/>
        <v>#DIV/0!</v>
      </c>
      <c r="Z92" s="1" t="e">
        <f t="shared" si="30"/>
        <v>#DIV/0!</v>
      </c>
      <c r="AA92" s="1" t="e">
        <f t="shared" si="30"/>
        <v>#DIV/0!</v>
      </c>
      <c r="AB92" s="1" t="e">
        <f t="shared" si="30"/>
        <v>#DIV/0!</v>
      </c>
      <c r="AC92" s="1" t="e">
        <f t="shared" si="30"/>
        <v>#DIV/0!</v>
      </c>
      <c r="AD92" s="1" t="e">
        <f t="shared" si="30"/>
        <v>#DIV/0!</v>
      </c>
      <c r="AE92" s="1" t="e">
        <f t="shared" si="30"/>
        <v>#DIV/0!</v>
      </c>
      <c r="AF92" s="1" t="e">
        <f t="shared" si="30"/>
        <v>#DIV/0!</v>
      </c>
      <c r="AG92" s="1" t="e">
        <f t="shared" si="30"/>
        <v>#DIV/0!</v>
      </c>
      <c r="AH92" s="1" t="e">
        <f t="shared" si="30"/>
        <v>#DIV/0!</v>
      </c>
      <c r="AI92" s="1" t="e">
        <f t="shared" si="30"/>
        <v>#DIV/0!</v>
      </c>
      <c r="AJ92" s="1" t="e">
        <f t="shared" si="30"/>
        <v>#DIV/0!</v>
      </c>
    </row>
    <row r="93" spans="1:36">
      <c r="A93" s="29">
        <f t="shared" si="4"/>
        <v>-21</v>
      </c>
      <c r="B93" s="74"/>
      <c r="C93" s="74"/>
      <c r="D93" s="74"/>
      <c r="E93" s="1" t="e">
        <f t="shared" si="27"/>
        <v>#DIV/0!</v>
      </c>
      <c r="F93" s="1" t="e">
        <f t="shared" si="27"/>
        <v>#DIV/0!</v>
      </c>
      <c r="G93" s="1" t="e">
        <f t="shared" si="27"/>
        <v>#DIV/0!</v>
      </c>
      <c r="H93" s="1" t="e">
        <f t="shared" si="27"/>
        <v>#DIV/0!</v>
      </c>
      <c r="I93" s="1" t="e">
        <f t="shared" si="27"/>
        <v>#DIV/0!</v>
      </c>
      <c r="J93" s="1" t="e">
        <f t="shared" ref="J93:AJ93" si="31">(J30-$B30)/$B$4</f>
        <v>#DIV/0!</v>
      </c>
      <c r="K93" s="1" t="e">
        <f t="shared" si="31"/>
        <v>#DIV/0!</v>
      </c>
      <c r="L93" s="1" t="e">
        <f t="shared" si="31"/>
        <v>#DIV/0!</v>
      </c>
      <c r="M93" s="1" t="e">
        <f t="shared" si="31"/>
        <v>#DIV/0!</v>
      </c>
      <c r="N93" s="1" t="e">
        <f t="shared" si="31"/>
        <v>#DIV/0!</v>
      </c>
      <c r="O93" s="1" t="e">
        <f t="shared" si="31"/>
        <v>#DIV/0!</v>
      </c>
      <c r="P93" s="1" t="e">
        <f t="shared" si="31"/>
        <v>#DIV/0!</v>
      </c>
      <c r="Q93" s="1" t="e">
        <f t="shared" si="31"/>
        <v>#DIV/0!</v>
      </c>
      <c r="R93" s="1" t="e">
        <f t="shared" si="31"/>
        <v>#DIV/0!</v>
      </c>
      <c r="S93" s="1" t="e">
        <f t="shared" si="31"/>
        <v>#DIV/0!</v>
      </c>
      <c r="T93" s="1" t="e">
        <f t="shared" si="31"/>
        <v>#DIV/0!</v>
      </c>
      <c r="U93" s="1" t="e">
        <f t="shared" si="31"/>
        <v>#DIV/0!</v>
      </c>
      <c r="V93" s="1" t="e">
        <f t="shared" si="31"/>
        <v>#DIV/0!</v>
      </c>
      <c r="W93" s="1" t="e">
        <f t="shared" si="31"/>
        <v>#DIV/0!</v>
      </c>
      <c r="X93" s="1" t="e">
        <f t="shared" si="31"/>
        <v>#DIV/0!</v>
      </c>
      <c r="Y93" s="1" t="e">
        <f t="shared" si="31"/>
        <v>#DIV/0!</v>
      </c>
      <c r="Z93" s="1" t="e">
        <f t="shared" si="31"/>
        <v>#DIV/0!</v>
      </c>
      <c r="AA93" s="1" t="e">
        <f t="shared" si="31"/>
        <v>#DIV/0!</v>
      </c>
      <c r="AB93" s="1" t="e">
        <f t="shared" si="31"/>
        <v>#DIV/0!</v>
      </c>
      <c r="AC93" s="1" t="e">
        <f t="shared" si="31"/>
        <v>#DIV/0!</v>
      </c>
      <c r="AD93" s="1" t="e">
        <f t="shared" si="31"/>
        <v>#DIV/0!</v>
      </c>
      <c r="AE93" s="1" t="e">
        <f t="shared" si="31"/>
        <v>#DIV/0!</v>
      </c>
      <c r="AF93" s="1" t="e">
        <f t="shared" si="31"/>
        <v>#DIV/0!</v>
      </c>
      <c r="AG93" s="1" t="e">
        <f t="shared" si="31"/>
        <v>#DIV/0!</v>
      </c>
      <c r="AH93" s="1" t="e">
        <f t="shared" si="31"/>
        <v>#DIV/0!</v>
      </c>
      <c r="AI93" s="1" t="e">
        <f t="shared" si="31"/>
        <v>#DIV/0!</v>
      </c>
      <c r="AJ93" s="1" t="e">
        <f t="shared" si="31"/>
        <v>#DIV/0!</v>
      </c>
    </row>
    <row r="94" spans="1:36">
      <c r="A94" s="29">
        <f t="shared" si="4"/>
        <v>-18</v>
      </c>
      <c r="B94" s="74"/>
      <c r="C94" s="74"/>
      <c r="D94" s="74"/>
      <c r="E94" s="1" t="e">
        <f t="shared" si="27"/>
        <v>#DIV/0!</v>
      </c>
      <c r="F94" s="1" t="e">
        <f t="shared" si="27"/>
        <v>#DIV/0!</v>
      </c>
      <c r="G94" s="1" t="e">
        <f t="shared" si="27"/>
        <v>#DIV/0!</v>
      </c>
      <c r="H94" s="1" t="e">
        <f t="shared" si="27"/>
        <v>#DIV/0!</v>
      </c>
      <c r="I94" s="1" t="e">
        <f t="shared" si="27"/>
        <v>#DIV/0!</v>
      </c>
      <c r="J94" s="1" t="e">
        <f t="shared" ref="J94:AJ94" si="32">(J31-$B31)/$B$4</f>
        <v>#DIV/0!</v>
      </c>
      <c r="K94" s="1" t="e">
        <f t="shared" si="32"/>
        <v>#DIV/0!</v>
      </c>
      <c r="L94" s="1" t="e">
        <f t="shared" si="32"/>
        <v>#DIV/0!</v>
      </c>
      <c r="M94" s="1" t="e">
        <f t="shared" si="32"/>
        <v>#DIV/0!</v>
      </c>
      <c r="N94" s="1" t="e">
        <f t="shared" si="32"/>
        <v>#DIV/0!</v>
      </c>
      <c r="O94" s="1" t="e">
        <f t="shared" si="32"/>
        <v>#DIV/0!</v>
      </c>
      <c r="P94" s="1" t="e">
        <f t="shared" si="32"/>
        <v>#DIV/0!</v>
      </c>
      <c r="Q94" s="1" t="e">
        <f t="shared" si="32"/>
        <v>#DIV/0!</v>
      </c>
      <c r="R94" s="1" t="e">
        <f t="shared" si="32"/>
        <v>#DIV/0!</v>
      </c>
      <c r="S94" s="1" t="e">
        <f t="shared" si="32"/>
        <v>#DIV/0!</v>
      </c>
      <c r="T94" s="1" t="e">
        <f t="shared" si="32"/>
        <v>#DIV/0!</v>
      </c>
      <c r="U94" s="1" t="e">
        <f t="shared" si="32"/>
        <v>#DIV/0!</v>
      </c>
      <c r="V94" s="1" t="e">
        <f t="shared" si="32"/>
        <v>#DIV/0!</v>
      </c>
      <c r="W94" s="1" t="e">
        <f t="shared" si="32"/>
        <v>#DIV/0!</v>
      </c>
      <c r="X94" s="1" t="e">
        <f t="shared" si="32"/>
        <v>#DIV/0!</v>
      </c>
      <c r="Y94" s="1" t="e">
        <f t="shared" si="32"/>
        <v>#DIV/0!</v>
      </c>
      <c r="Z94" s="1" t="e">
        <f t="shared" si="32"/>
        <v>#DIV/0!</v>
      </c>
      <c r="AA94" s="1" t="e">
        <f t="shared" si="32"/>
        <v>#DIV/0!</v>
      </c>
      <c r="AB94" s="1" t="e">
        <f t="shared" si="32"/>
        <v>#DIV/0!</v>
      </c>
      <c r="AC94" s="1" t="e">
        <f t="shared" si="32"/>
        <v>#DIV/0!</v>
      </c>
      <c r="AD94" s="1" t="e">
        <f t="shared" si="32"/>
        <v>#DIV/0!</v>
      </c>
      <c r="AE94" s="1" t="e">
        <f t="shared" si="32"/>
        <v>#DIV/0!</v>
      </c>
      <c r="AF94" s="1" t="e">
        <f t="shared" si="32"/>
        <v>#DIV/0!</v>
      </c>
      <c r="AG94" s="1" t="e">
        <f t="shared" si="32"/>
        <v>#DIV/0!</v>
      </c>
      <c r="AH94" s="1" t="e">
        <f t="shared" si="32"/>
        <v>#DIV/0!</v>
      </c>
      <c r="AI94" s="1" t="e">
        <f t="shared" si="32"/>
        <v>#DIV/0!</v>
      </c>
      <c r="AJ94" s="1" t="e">
        <f t="shared" si="32"/>
        <v>#DIV/0!</v>
      </c>
    </row>
    <row r="95" spans="1:36">
      <c r="A95" s="29">
        <f t="shared" si="4"/>
        <v>-15</v>
      </c>
      <c r="B95" s="74"/>
      <c r="C95" s="74"/>
      <c r="D95" s="74"/>
      <c r="E95" s="1" t="e">
        <f t="shared" si="27"/>
        <v>#DIV/0!</v>
      </c>
      <c r="F95" s="1" t="e">
        <f t="shared" si="27"/>
        <v>#DIV/0!</v>
      </c>
      <c r="G95" s="1" t="e">
        <f t="shared" si="27"/>
        <v>#DIV/0!</v>
      </c>
      <c r="H95" s="1" t="e">
        <f t="shared" si="27"/>
        <v>#DIV/0!</v>
      </c>
      <c r="I95" s="1" t="e">
        <f t="shared" si="27"/>
        <v>#DIV/0!</v>
      </c>
      <c r="J95" s="1" t="e">
        <f t="shared" ref="J95:AJ95" si="33">(J32-$B32)/$B$4</f>
        <v>#DIV/0!</v>
      </c>
      <c r="K95" s="1" t="e">
        <f t="shared" si="33"/>
        <v>#DIV/0!</v>
      </c>
      <c r="L95" s="1" t="e">
        <f t="shared" si="33"/>
        <v>#DIV/0!</v>
      </c>
      <c r="M95" s="1" t="e">
        <f t="shared" si="33"/>
        <v>#DIV/0!</v>
      </c>
      <c r="N95" s="1" t="e">
        <f t="shared" si="33"/>
        <v>#DIV/0!</v>
      </c>
      <c r="O95" s="1" t="e">
        <f t="shared" si="33"/>
        <v>#DIV/0!</v>
      </c>
      <c r="P95" s="1" t="e">
        <f t="shared" si="33"/>
        <v>#DIV/0!</v>
      </c>
      <c r="Q95" s="1" t="e">
        <f t="shared" si="33"/>
        <v>#DIV/0!</v>
      </c>
      <c r="R95" s="1" t="e">
        <f t="shared" si="33"/>
        <v>#DIV/0!</v>
      </c>
      <c r="S95" s="1" t="e">
        <f t="shared" si="33"/>
        <v>#DIV/0!</v>
      </c>
      <c r="T95" s="1" t="e">
        <f t="shared" si="33"/>
        <v>#DIV/0!</v>
      </c>
      <c r="U95" s="1" t="e">
        <f t="shared" si="33"/>
        <v>#DIV/0!</v>
      </c>
      <c r="V95" s="1" t="e">
        <f t="shared" si="33"/>
        <v>#DIV/0!</v>
      </c>
      <c r="W95" s="1" t="e">
        <f t="shared" si="33"/>
        <v>#DIV/0!</v>
      </c>
      <c r="X95" s="1" t="e">
        <f t="shared" si="33"/>
        <v>#DIV/0!</v>
      </c>
      <c r="Y95" s="1" t="e">
        <f t="shared" si="33"/>
        <v>#DIV/0!</v>
      </c>
      <c r="Z95" s="1" t="e">
        <f t="shared" si="33"/>
        <v>#DIV/0!</v>
      </c>
      <c r="AA95" s="1" t="e">
        <f t="shared" si="33"/>
        <v>#DIV/0!</v>
      </c>
      <c r="AB95" s="1" t="e">
        <f t="shared" si="33"/>
        <v>#DIV/0!</v>
      </c>
      <c r="AC95" s="1" t="e">
        <f t="shared" si="33"/>
        <v>#DIV/0!</v>
      </c>
      <c r="AD95" s="1" t="e">
        <f t="shared" si="33"/>
        <v>#DIV/0!</v>
      </c>
      <c r="AE95" s="1" t="e">
        <f t="shared" si="33"/>
        <v>#DIV/0!</v>
      </c>
      <c r="AF95" s="1" t="e">
        <f t="shared" si="33"/>
        <v>#DIV/0!</v>
      </c>
      <c r="AG95" s="1" t="e">
        <f t="shared" si="33"/>
        <v>#DIV/0!</v>
      </c>
      <c r="AH95" s="1" t="e">
        <f t="shared" si="33"/>
        <v>#DIV/0!</v>
      </c>
      <c r="AI95" s="1" t="e">
        <f t="shared" si="33"/>
        <v>#DIV/0!</v>
      </c>
      <c r="AJ95" s="1" t="e">
        <f t="shared" si="33"/>
        <v>#DIV/0!</v>
      </c>
    </row>
    <row r="96" spans="1:36">
      <c r="A96" s="29">
        <f t="shared" si="4"/>
        <v>-12</v>
      </c>
      <c r="B96" s="74"/>
      <c r="C96" s="74"/>
      <c r="D96" s="74"/>
      <c r="E96" s="1" t="e">
        <f t="shared" si="27"/>
        <v>#DIV/0!</v>
      </c>
      <c r="F96" s="1" t="e">
        <f t="shared" si="27"/>
        <v>#DIV/0!</v>
      </c>
      <c r="G96" s="1" t="e">
        <f t="shared" si="27"/>
        <v>#DIV/0!</v>
      </c>
      <c r="H96" s="1" t="e">
        <f t="shared" si="27"/>
        <v>#DIV/0!</v>
      </c>
      <c r="I96" s="1" t="e">
        <f t="shared" si="27"/>
        <v>#DIV/0!</v>
      </c>
      <c r="J96" s="1" t="e">
        <f t="shared" ref="J96:AJ96" si="34">(J33-$B33)/$B$4</f>
        <v>#DIV/0!</v>
      </c>
      <c r="K96" s="1" t="e">
        <f t="shared" si="34"/>
        <v>#DIV/0!</v>
      </c>
      <c r="L96" s="1" t="e">
        <f t="shared" si="34"/>
        <v>#DIV/0!</v>
      </c>
      <c r="M96" s="1" t="e">
        <f t="shared" si="34"/>
        <v>#DIV/0!</v>
      </c>
      <c r="N96" s="1" t="e">
        <f t="shared" si="34"/>
        <v>#DIV/0!</v>
      </c>
      <c r="O96" s="1" t="e">
        <f t="shared" si="34"/>
        <v>#DIV/0!</v>
      </c>
      <c r="P96" s="1" t="e">
        <f t="shared" si="34"/>
        <v>#DIV/0!</v>
      </c>
      <c r="Q96" s="1" t="e">
        <f t="shared" si="34"/>
        <v>#DIV/0!</v>
      </c>
      <c r="R96" s="1" t="e">
        <f t="shared" si="34"/>
        <v>#DIV/0!</v>
      </c>
      <c r="S96" s="1" t="e">
        <f t="shared" si="34"/>
        <v>#DIV/0!</v>
      </c>
      <c r="T96" s="1" t="e">
        <f t="shared" si="34"/>
        <v>#DIV/0!</v>
      </c>
      <c r="U96" s="1" t="e">
        <f t="shared" si="34"/>
        <v>#DIV/0!</v>
      </c>
      <c r="V96" s="1" t="e">
        <f t="shared" si="34"/>
        <v>#DIV/0!</v>
      </c>
      <c r="W96" s="1" t="e">
        <f t="shared" si="34"/>
        <v>#DIV/0!</v>
      </c>
      <c r="X96" s="1" t="e">
        <f t="shared" si="34"/>
        <v>#DIV/0!</v>
      </c>
      <c r="Y96" s="1" t="e">
        <f t="shared" si="34"/>
        <v>#DIV/0!</v>
      </c>
      <c r="Z96" s="1" t="e">
        <f t="shared" si="34"/>
        <v>#DIV/0!</v>
      </c>
      <c r="AA96" s="1" t="e">
        <f t="shared" si="34"/>
        <v>#DIV/0!</v>
      </c>
      <c r="AB96" s="1" t="e">
        <f t="shared" si="34"/>
        <v>#DIV/0!</v>
      </c>
      <c r="AC96" s="1" t="e">
        <f t="shared" si="34"/>
        <v>#DIV/0!</v>
      </c>
      <c r="AD96" s="1" t="e">
        <f t="shared" si="34"/>
        <v>#DIV/0!</v>
      </c>
      <c r="AE96" s="1" t="e">
        <f t="shared" si="34"/>
        <v>#DIV/0!</v>
      </c>
      <c r="AF96" s="1" t="e">
        <f t="shared" si="34"/>
        <v>#DIV/0!</v>
      </c>
      <c r="AG96" s="1" t="e">
        <f t="shared" si="34"/>
        <v>#DIV/0!</v>
      </c>
      <c r="AH96" s="1" t="e">
        <f t="shared" si="34"/>
        <v>#DIV/0!</v>
      </c>
      <c r="AI96" s="1" t="e">
        <f t="shared" si="34"/>
        <v>#DIV/0!</v>
      </c>
      <c r="AJ96" s="1" t="e">
        <f t="shared" si="34"/>
        <v>#DIV/0!</v>
      </c>
    </row>
    <row r="97" spans="1:36">
      <c r="A97" s="29">
        <f t="shared" si="4"/>
        <v>-9</v>
      </c>
      <c r="B97" s="74"/>
      <c r="C97" s="74"/>
      <c r="D97" s="74"/>
      <c r="E97" s="1" t="e">
        <f t="shared" si="27"/>
        <v>#DIV/0!</v>
      </c>
      <c r="F97" s="1" t="e">
        <f t="shared" si="27"/>
        <v>#DIV/0!</v>
      </c>
      <c r="G97" s="1" t="e">
        <f t="shared" si="27"/>
        <v>#DIV/0!</v>
      </c>
      <c r="H97" s="1" t="e">
        <f t="shared" si="27"/>
        <v>#DIV/0!</v>
      </c>
      <c r="I97" s="1" t="e">
        <f t="shared" si="27"/>
        <v>#DIV/0!</v>
      </c>
      <c r="J97" s="1" t="e">
        <f t="shared" ref="J97:AJ97" si="35">(J34-$B34)/$B$4</f>
        <v>#DIV/0!</v>
      </c>
      <c r="K97" s="1" t="e">
        <f t="shared" si="35"/>
        <v>#DIV/0!</v>
      </c>
      <c r="L97" s="1" t="e">
        <f t="shared" si="35"/>
        <v>#DIV/0!</v>
      </c>
      <c r="M97" s="1" t="e">
        <f t="shared" si="35"/>
        <v>#DIV/0!</v>
      </c>
      <c r="N97" s="1" t="e">
        <f t="shared" si="35"/>
        <v>#DIV/0!</v>
      </c>
      <c r="O97" s="1" t="e">
        <f t="shared" si="35"/>
        <v>#DIV/0!</v>
      </c>
      <c r="P97" s="1" t="e">
        <f t="shared" si="35"/>
        <v>#DIV/0!</v>
      </c>
      <c r="Q97" s="1" t="e">
        <f t="shared" si="35"/>
        <v>#DIV/0!</v>
      </c>
      <c r="R97" s="1" t="e">
        <f t="shared" si="35"/>
        <v>#DIV/0!</v>
      </c>
      <c r="S97" s="1" t="e">
        <f t="shared" si="35"/>
        <v>#DIV/0!</v>
      </c>
      <c r="T97" s="1" t="e">
        <f t="shared" si="35"/>
        <v>#DIV/0!</v>
      </c>
      <c r="U97" s="1" t="e">
        <f t="shared" si="35"/>
        <v>#DIV/0!</v>
      </c>
      <c r="V97" s="1" t="e">
        <f t="shared" si="35"/>
        <v>#DIV/0!</v>
      </c>
      <c r="W97" s="1" t="e">
        <f t="shared" si="35"/>
        <v>#DIV/0!</v>
      </c>
      <c r="X97" s="1" t="e">
        <f t="shared" si="35"/>
        <v>#DIV/0!</v>
      </c>
      <c r="Y97" s="1" t="e">
        <f t="shared" si="35"/>
        <v>#DIV/0!</v>
      </c>
      <c r="Z97" s="1" t="e">
        <f t="shared" si="35"/>
        <v>#DIV/0!</v>
      </c>
      <c r="AA97" s="1" t="e">
        <f t="shared" si="35"/>
        <v>#DIV/0!</v>
      </c>
      <c r="AB97" s="1" t="e">
        <f t="shared" si="35"/>
        <v>#DIV/0!</v>
      </c>
      <c r="AC97" s="1" t="e">
        <f t="shared" si="35"/>
        <v>#DIV/0!</v>
      </c>
      <c r="AD97" s="1" t="e">
        <f t="shared" si="35"/>
        <v>#DIV/0!</v>
      </c>
      <c r="AE97" s="1" t="e">
        <f t="shared" si="35"/>
        <v>#DIV/0!</v>
      </c>
      <c r="AF97" s="1" t="e">
        <f t="shared" si="35"/>
        <v>#DIV/0!</v>
      </c>
      <c r="AG97" s="1" t="e">
        <f t="shared" si="35"/>
        <v>#DIV/0!</v>
      </c>
      <c r="AH97" s="1" t="e">
        <f t="shared" si="35"/>
        <v>#DIV/0!</v>
      </c>
      <c r="AI97" s="1" t="e">
        <f t="shared" si="35"/>
        <v>#DIV/0!</v>
      </c>
      <c r="AJ97" s="1" t="e">
        <f t="shared" si="35"/>
        <v>#DIV/0!</v>
      </c>
    </row>
    <row r="98" spans="1:36">
      <c r="A98" s="29">
        <f t="shared" si="4"/>
        <v>-6</v>
      </c>
      <c r="B98" s="74"/>
      <c r="C98" s="74"/>
      <c r="D98" s="74"/>
      <c r="E98" s="1" t="e">
        <f t="shared" si="27"/>
        <v>#DIV/0!</v>
      </c>
      <c r="F98" s="1" t="e">
        <f t="shared" si="27"/>
        <v>#DIV/0!</v>
      </c>
      <c r="G98" s="1" t="e">
        <f t="shared" si="27"/>
        <v>#DIV/0!</v>
      </c>
      <c r="H98" s="1" t="e">
        <f t="shared" si="27"/>
        <v>#DIV/0!</v>
      </c>
      <c r="I98" s="1" t="e">
        <f t="shared" si="27"/>
        <v>#DIV/0!</v>
      </c>
      <c r="J98" s="1" t="e">
        <f t="shared" ref="J98:AJ98" si="36">(J35-$B35)/$B$4</f>
        <v>#DIV/0!</v>
      </c>
      <c r="K98" s="1" t="e">
        <f t="shared" si="36"/>
        <v>#DIV/0!</v>
      </c>
      <c r="L98" s="1" t="e">
        <f t="shared" si="36"/>
        <v>#DIV/0!</v>
      </c>
      <c r="M98" s="1" t="e">
        <f t="shared" si="36"/>
        <v>#DIV/0!</v>
      </c>
      <c r="N98" s="1" t="e">
        <f t="shared" si="36"/>
        <v>#DIV/0!</v>
      </c>
      <c r="O98" s="1" t="e">
        <f t="shared" si="36"/>
        <v>#DIV/0!</v>
      </c>
      <c r="P98" s="1" t="e">
        <f t="shared" si="36"/>
        <v>#DIV/0!</v>
      </c>
      <c r="Q98" s="1" t="e">
        <f t="shared" si="36"/>
        <v>#DIV/0!</v>
      </c>
      <c r="R98" s="1" t="e">
        <f t="shared" si="36"/>
        <v>#DIV/0!</v>
      </c>
      <c r="S98" s="1" t="e">
        <f t="shared" si="36"/>
        <v>#DIV/0!</v>
      </c>
      <c r="T98" s="1" t="e">
        <f t="shared" si="36"/>
        <v>#DIV/0!</v>
      </c>
      <c r="U98" s="1" t="e">
        <f t="shared" si="36"/>
        <v>#DIV/0!</v>
      </c>
      <c r="V98" s="1" t="e">
        <f t="shared" si="36"/>
        <v>#DIV/0!</v>
      </c>
      <c r="W98" s="1" t="e">
        <f t="shared" si="36"/>
        <v>#DIV/0!</v>
      </c>
      <c r="X98" s="1" t="e">
        <f t="shared" si="36"/>
        <v>#DIV/0!</v>
      </c>
      <c r="Y98" s="1" t="e">
        <f t="shared" si="36"/>
        <v>#DIV/0!</v>
      </c>
      <c r="Z98" s="1" t="e">
        <f t="shared" si="36"/>
        <v>#DIV/0!</v>
      </c>
      <c r="AA98" s="1" t="e">
        <f t="shared" si="36"/>
        <v>#DIV/0!</v>
      </c>
      <c r="AB98" s="1" t="e">
        <f t="shared" si="36"/>
        <v>#DIV/0!</v>
      </c>
      <c r="AC98" s="1" t="e">
        <f t="shared" si="36"/>
        <v>#DIV/0!</v>
      </c>
      <c r="AD98" s="1" t="e">
        <f t="shared" si="36"/>
        <v>#DIV/0!</v>
      </c>
      <c r="AE98" s="1" t="e">
        <f t="shared" si="36"/>
        <v>#DIV/0!</v>
      </c>
      <c r="AF98" s="1" t="e">
        <f t="shared" si="36"/>
        <v>#DIV/0!</v>
      </c>
      <c r="AG98" s="1" t="e">
        <f t="shared" si="36"/>
        <v>#DIV/0!</v>
      </c>
      <c r="AH98" s="1" t="e">
        <f t="shared" si="36"/>
        <v>#DIV/0!</v>
      </c>
      <c r="AI98" s="1" t="e">
        <f t="shared" si="36"/>
        <v>#DIV/0!</v>
      </c>
      <c r="AJ98" s="1" t="e">
        <f t="shared" si="36"/>
        <v>#DIV/0!</v>
      </c>
    </row>
    <row r="99" spans="1:36">
      <c r="A99" s="29">
        <f t="shared" si="4"/>
        <v>-3</v>
      </c>
      <c r="B99" s="74"/>
      <c r="C99" s="74"/>
      <c r="D99" s="74"/>
      <c r="E99" s="1" t="e">
        <f t="shared" si="27"/>
        <v>#DIV/0!</v>
      </c>
      <c r="F99" s="1" t="e">
        <f t="shared" si="27"/>
        <v>#DIV/0!</v>
      </c>
      <c r="G99" s="1" t="e">
        <f t="shared" si="27"/>
        <v>#DIV/0!</v>
      </c>
      <c r="H99" s="1" t="e">
        <f t="shared" si="27"/>
        <v>#DIV/0!</v>
      </c>
      <c r="I99" s="1" t="e">
        <f t="shared" si="27"/>
        <v>#DIV/0!</v>
      </c>
      <c r="J99" s="1" t="e">
        <f t="shared" ref="J99:AJ99" si="37">(J36-$B36)/$B$4</f>
        <v>#DIV/0!</v>
      </c>
      <c r="K99" s="1" t="e">
        <f t="shared" si="37"/>
        <v>#DIV/0!</v>
      </c>
      <c r="L99" s="1" t="e">
        <f t="shared" si="37"/>
        <v>#DIV/0!</v>
      </c>
      <c r="M99" s="1" t="e">
        <f t="shared" si="37"/>
        <v>#DIV/0!</v>
      </c>
      <c r="N99" s="1" t="e">
        <f t="shared" si="37"/>
        <v>#DIV/0!</v>
      </c>
      <c r="O99" s="1" t="e">
        <f t="shared" si="37"/>
        <v>#DIV/0!</v>
      </c>
      <c r="P99" s="1" t="e">
        <f t="shared" si="37"/>
        <v>#DIV/0!</v>
      </c>
      <c r="Q99" s="1" t="e">
        <f t="shared" si="37"/>
        <v>#DIV/0!</v>
      </c>
      <c r="R99" s="1" t="e">
        <f t="shared" si="37"/>
        <v>#DIV/0!</v>
      </c>
      <c r="S99" s="1" t="e">
        <f t="shared" si="37"/>
        <v>#DIV/0!</v>
      </c>
      <c r="T99" s="1" t="e">
        <f t="shared" si="37"/>
        <v>#DIV/0!</v>
      </c>
      <c r="U99" s="1" t="e">
        <f t="shared" si="37"/>
        <v>#DIV/0!</v>
      </c>
      <c r="V99" s="1" t="e">
        <f t="shared" si="37"/>
        <v>#DIV/0!</v>
      </c>
      <c r="W99" s="1" t="e">
        <f t="shared" si="37"/>
        <v>#DIV/0!</v>
      </c>
      <c r="X99" s="1" t="e">
        <f t="shared" si="37"/>
        <v>#DIV/0!</v>
      </c>
      <c r="Y99" s="1" t="e">
        <f t="shared" si="37"/>
        <v>#DIV/0!</v>
      </c>
      <c r="Z99" s="1" t="e">
        <f t="shared" si="37"/>
        <v>#DIV/0!</v>
      </c>
      <c r="AA99" s="1" t="e">
        <f t="shared" si="37"/>
        <v>#DIV/0!</v>
      </c>
      <c r="AB99" s="1" t="e">
        <f t="shared" si="37"/>
        <v>#DIV/0!</v>
      </c>
      <c r="AC99" s="1" t="e">
        <f t="shared" si="37"/>
        <v>#DIV/0!</v>
      </c>
      <c r="AD99" s="1" t="e">
        <f t="shared" si="37"/>
        <v>#DIV/0!</v>
      </c>
      <c r="AE99" s="1" t="e">
        <f t="shared" si="37"/>
        <v>#DIV/0!</v>
      </c>
      <c r="AF99" s="1" t="e">
        <f t="shared" si="37"/>
        <v>#DIV/0!</v>
      </c>
      <c r="AG99" s="1" t="e">
        <f t="shared" si="37"/>
        <v>#DIV/0!</v>
      </c>
      <c r="AH99" s="1" t="e">
        <f t="shared" si="37"/>
        <v>#DIV/0!</v>
      </c>
      <c r="AI99" s="1" t="e">
        <f t="shared" si="37"/>
        <v>#DIV/0!</v>
      </c>
      <c r="AJ99" s="1" t="e">
        <f t="shared" si="37"/>
        <v>#DIV/0!</v>
      </c>
    </row>
    <row r="100" spans="1:36">
      <c r="A100" s="29">
        <f t="shared" si="4"/>
        <v>0</v>
      </c>
      <c r="B100" s="74"/>
      <c r="C100" s="74"/>
      <c r="D100" s="74"/>
      <c r="E100" s="1" t="e">
        <f t="shared" ref="E100:I109" si="38">(E37-$B37)/$B$4</f>
        <v>#DIV/0!</v>
      </c>
      <c r="F100" s="1" t="e">
        <f t="shared" si="38"/>
        <v>#DIV/0!</v>
      </c>
      <c r="G100" s="1" t="e">
        <f t="shared" si="38"/>
        <v>#DIV/0!</v>
      </c>
      <c r="H100" s="1" t="e">
        <f t="shared" si="38"/>
        <v>#DIV/0!</v>
      </c>
      <c r="I100" s="1" t="e">
        <f t="shared" si="38"/>
        <v>#DIV/0!</v>
      </c>
      <c r="J100" s="1" t="e">
        <f t="shared" ref="J100:AJ100" si="39">(J37-$B37)/$B$4</f>
        <v>#DIV/0!</v>
      </c>
      <c r="K100" s="1" t="e">
        <f t="shared" si="39"/>
        <v>#DIV/0!</v>
      </c>
      <c r="L100" s="1" t="e">
        <f t="shared" si="39"/>
        <v>#DIV/0!</v>
      </c>
      <c r="M100" s="1" t="e">
        <f t="shared" si="39"/>
        <v>#DIV/0!</v>
      </c>
      <c r="N100" s="1" t="e">
        <f t="shared" si="39"/>
        <v>#DIV/0!</v>
      </c>
      <c r="O100" s="1" t="e">
        <f t="shared" si="39"/>
        <v>#DIV/0!</v>
      </c>
      <c r="P100" s="1" t="e">
        <f t="shared" si="39"/>
        <v>#DIV/0!</v>
      </c>
      <c r="Q100" s="1" t="e">
        <f t="shared" si="39"/>
        <v>#DIV/0!</v>
      </c>
      <c r="R100" s="1" t="e">
        <f t="shared" si="39"/>
        <v>#DIV/0!</v>
      </c>
      <c r="S100" s="1" t="e">
        <f t="shared" si="39"/>
        <v>#DIV/0!</v>
      </c>
      <c r="T100" s="1" t="e">
        <f t="shared" si="39"/>
        <v>#DIV/0!</v>
      </c>
      <c r="U100" s="1" t="e">
        <f t="shared" si="39"/>
        <v>#DIV/0!</v>
      </c>
      <c r="V100" s="1" t="e">
        <f t="shared" si="39"/>
        <v>#DIV/0!</v>
      </c>
      <c r="W100" s="1" t="e">
        <f t="shared" si="39"/>
        <v>#DIV/0!</v>
      </c>
      <c r="X100" s="1" t="e">
        <f t="shared" si="39"/>
        <v>#DIV/0!</v>
      </c>
      <c r="Y100" s="1" t="e">
        <f t="shared" si="39"/>
        <v>#DIV/0!</v>
      </c>
      <c r="Z100" s="1" t="e">
        <f t="shared" si="39"/>
        <v>#DIV/0!</v>
      </c>
      <c r="AA100" s="1" t="e">
        <f t="shared" si="39"/>
        <v>#DIV/0!</v>
      </c>
      <c r="AB100" s="1" t="e">
        <f t="shared" si="39"/>
        <v>#DIV/0!</v>
      </c>
      <c r="AC100" s="1" t="e">
        <f t="shared" si="39"/>
        <v>#DIV/0!</v>
      </c>
      <c r="AD100" s="1" t="e">
        <f t="shared" si="39"/>
        <v>#DIV/0!</v>
      </c>
      <c r="AE100" s="1" t="e">
        <f t="shared" si="39"/>
        <v>#DIV/0!</v>
      </c>
      <c r="AF100" s="1" t="e">
        <f t="shared" si="39"/>
        <v>#DIV/0!</v>
      </c>
      <c r="AG100" s="1" t="e">
        <f t="shared" si="39"/>
        <v>#DIV/0!</v>
      </c>
      <c r="AH100" s="1" t="e">
        <f t="shared" si="39"/>
        <v>#DIV/0!</v>
      </c>
      <c r="AI100" s="1" t="e">
        <f t="shared" si="39"/>
        <v>#DIV/0!</v>
      </c>
      <c r="AJ100" s="1" t="e">
        <f t="shared" si="39"/>
        <v>#DIV/0!</v>
      </c>
    </row>
    <row r="101" spans="1:36">
      <c r="A101" s="29">
        <f t="shared" si="4"/>
        <v>3</v>
      </c>
      <c r="B101" s="74"/>
      <c r="C101" s="74"/>
      <c r="D101" s="74"/>
      <c r="E101" s="1" t="e">
        <f t="shared" si="38"/>
        <v>#DIV/0!</v>
      </c>
      <c r="F101" s="1" t="e">
        <f t="shared" si="38"/>
        <v>#DIV/0!</v>
      </c>
      <c r="G101" s="1" t="e">
        <f t="shared" si="38"/>
        <v>#DIV/0!</v>
      </c>
      <c r="H101" s="1" t="e">
        <f t="shared" si="38"/>
        <v>#DIV/0!</v>
      </c>
      <c r="I101" s="1" t="e">
        <f t="shared" si="38"/>
        <v>#DIV/0!</v>
      </c>
      <c r="J101" s="1" t="e">
        <f t="shared" ref="J101:AJ101" si="40">(J38-$B38)/$B$4</f>
        <v>#DIV/0!</v>
      </c>
      <c r="K101" s="1" t="e">
        <f t="shared" si="40"/>
        <v>#DIV/0!</v>
      </c>
      <c r="L101" s="1" t="e">
        <f t="shared" si="40"/>
        <v>#DIV/0!</v>
      </c>
      <c r="M101" s="1" t="e">
        <f t="shared" si="40"/>
        <v>#DIV/0!</v>
      </c>
      <c r="N101" s="1" t="e">
        <f t="shared" si="40"/>
        <v>#DIV/0!</v>
      </c>
      <c r="O101" s="1" t="e">
        <f t="shared" si="40"/>
        <v>#DIV/0!</v>
      </c>
      <c r="P101" s="1" t="e">
        <f t="shared" si="40"/>
        <v>#DIV/0!</v>
      </c>
      <c r="Q101" s="1" t="e">
        <f t="shared" si="40"/>
        <v>#DIV/0!</v>
      </c>
      <c r="R101" s="1" t="e">
        <f t="shared" si="40"/>
        <v>#DIV/0!</v>
      </c>
      <c r="S101" s="1" t="e">
        <f t="shared" si="40"/>
        <v>#DIV/0!</v>
      </c>
      <c r="T101" s="1" t="e">
        <f t="shared" si="40"/>
        <v>#DIV/0!</v>
      </c>
      <c r="U101" s="1" t="e">
        <f t="shared" si="40"/>
        <v>#DIV/0!</v>
      </c>
      <c r="V101" s="1" t="e">
        <f t="shared" si="40"/>
        <v>#DIV/0!</v>
      </c>
      <c r="W101" s="1" t="e">
        <f t="shared" si="40"/>
        <v>#DIV/0!</v>
      </c>
      <c r="X101" s="1" t="e">
        <f t="shared" si="40"/>
        <v>#DIV/0!</v>
      </c>
      <c r="Y101" s="1" t="e">
        <f t="shared" si="40"/>
        <v>#DIV/0!</v>
      </c>
      <c r="Z101" s="1" t="e">
        <f t="shared" si="40"/>
        <v>#DIV/0!</v>
      </c>
      <c r="AA101" s="1" t="e">
        <f t="shared" si="40"/>
        <v>#DIV/0!</v>
      </c>
      <c r="AB101" s="1" t="e">
        <f t="shared" si="40"/>
        <v>#DIV/0!</v>
      </c>
      <c r="AC101" s="1" t="e">
        <f t="shared" si="40"/>
        <v>#DIV/0!</v>
      </c>
      <c r="AD101" s="1" t="e">
        <f t="shared" si="40"/>
        <v>#DIV/0!</v>
      </c>
      <c r="AE101" s="1" t="e">
        <f t="shared" si="40"/>
        <v>#DIV/0!</v>
      </c>
      <c r="AF101" s="1" t="e">
        <f t="shared" si="40"/>
        <v>#DIV/0!</v>
      </c>
      <c r="AG101" s="1" t="e">
        <f t="shared" si="40"/>
        <v>#DIV/0!</v>
      </c>
      <c r="AH101" s="1" t="e">
        <f t="shared" si="40"/>
        <v>#DIV/0!</v>
      </c>
      <c r="AI101" s="1" t="e">
        <f t="shared" si="40"/>
        <v>#DIV/0!</v>
      </c>
      <c r="AJ101" s="1" t="e">
        <f t="shared" si="40"/>
        <v>#DIV/0!</v>
      </c>
    </row>
    <row r="102" spans="1:36">
      <c r="A102" s="29">
        <f t="shared" ref="A102:A130" si="41">A39</f>
        <v>6</v>
      </c>
      <c r="B102" s="74"/>
      <c r="C102" s="74"/>
      <c r="D102" s="74"/>
      <c r="E102" s="1" t="e">
        <f t="shared" si="38"/>
        <v>#DIV/0!</v>
      </c>
      <c r="F102" s="1" t="e">
        <f t="shared" si="38"/>
        <v>#DIV/0!</v>
      </c>
      <c r="G102" s="1" t="e">
        <f t="shared" si="38"/>
        <v>#DIV/0!</v>
      </c>
      <c r="H102" s="1" t="e">
        <f t="shared" si="38"/>
        <v>#DIV/0!</v>
      </c>
      <c r="I102" s="1" t="e">
        <f t="shared" si="38"/>
        <v>#DIV/0!</v>
      </c>
      <c r="J102" s="1" t="e">
        <f t="shared" ref="J102:AJ102" si="42">(J39-$B39)/$B$4</f>
        <v>#DIV/0!</v>
      </c>
      <c r="K102" s="1" t="e">
        <f t="shared" si="42"/>
        <v>#DIV/0!</v>
      </c>
      <c r="L102" s="1" t="e">
        <f t="shared" si="42"/>
        <v>#DIV/0!</v>
      </c>
      <c r="M102" s="1" t="e">
        <f t="shared" si="42"/>
        <v>#DIV/0!</v>
      </c>
      <c r="N102" s="1" t="e">
        <f t="shared" si="42"/>
        <v>#DIV/0!</v>
      </c>
      <c r="O102" s="1" t="e">
        <f t="shared" si="42"/>
        <v>#DIV/0!</v>
      </c>
      <c r="P102" s="1" t="e">
        <f t="shared" si="42"/>
        <v>#DIV/0!</v>
      </c>
      <c r="Q102" s="1" t="e">
        <f t="shared" si="42"/>
        <v>#DIV/0!</v>
      </c>
      <c r="R102" s="1" t="e">
        <f t="shared" si="42"/>
        <v>#DIV/0!</v>
      </c>
      <c r="S102" s="1" t="e">
        <f t="shared" si="42"/>
        <v>#DIV/0!</v>
      </c>
      <c r="T102" s="1" t="e">
        <f t="shared" si="42"/>
        <v>#DIV/0!</v>
      </c>
      <c r="U102" s="1" t="e">
        <f t="shared" si="42"/>
        <v>#DIV/0!</v>
      </c>
      <c r="V102" s="1" t="e">
        <f t="shared" si="42"/>
        <v>#DIV/0!</v>
      </c>
      <c r="W102" s="1" t="e">
        <f t="shared" si="42"/>
        <v>#DIV/0!</v>
      </c>
      <c r="X102" s="1" t="e">
        <f t="shared" si="42"/>
        <v>#DIV/0!</v>
      </c>
      <c r="Y102" s="1" t="e">
        <f t="shared" si="42"/>
        <v>#DIV/0!</v>
      </c>
      <c r="Z102" s="1" t="e">
        <f t="shared" si="42"/>
        <v>#DIV/0!</v>
      </c>
      <c r="AA102" s="1" t="e">
        <f t="shared" si="42"/>
        <v>#DIV/0!</v>
      </c>
      <c r="AB102" s="1" t="e">
        <f t="shared" si="42"/>
        <v>#DIV/0!</v>
      </c>
      <c r="AC102" s="1" t="e">
        <f t="shared" si="42"/>
        <v>#DIV/0!</v>
      </c>
      <c r="AD102" s="1" t="e">
        <f t="shared" si="42"/>
        <v>#DIV/0!</v>
      </c>
      <c r="AE102" s="1" t="e">
        <f t="shared" si="42"/>
        <v>#DIV/0!</v>
      </c>
      <c r="AF102" s="1" t="e">
        <f t="shared" si="42"/>
        <v>#DIV/0!</v>
      </c>
      <c r="AG102" s="1" t="e">
        <f t="shared" si="42"/>
        <v>#DIV/0!</v>
      </c>
      <c r="AH102" s="1" t="e">
        <f t="shared" si="42"/>
        <v>#DIV/0!</v>
      </c>
      <c r="AI102" s="1" t="e">
        <f t="shared" si="42"/>
        <v>#DIV/0!</v>
      </c>
      <c r="AJ102" s="1" t="e">
        <f t="shared" si="42"/>
        <v>#DIV/0!</v>
      </c>
    </row>
    <row r="103" spans="1:36">
      <c r="A103" s="29">
        <f t="shared" si="41"/>
        <v>9</v>
      </c>
      <c r="B103" s="74"/>
      <c r="C103" s="74"/>
      <c r="D103" s="74"/>
      <c r="E103" s="1" t="e">
        <f t="shared" si="38"/>
        <v>#DIV/0!</v>
      </c>
      <c r="F103" s="1" t="e">
        <f t="shared" si="38"/>
        <v>#DIV/0!</v>
      </c>
      <c r="G103" s="1" t="e">
        <f t="shared" si="38"/>
        <v>#DIV/0!</v>
      </c>
      <c r="H103" s="1" t="e">
        <f t="shared" si="38"/>
        <v>#DIV/0!</v>
      </c>
      <c r="I103" s="1" t="e">
        <f t="shared" si="38"/>
        <v>#DIV/0!</v>
      </c>
      <c r="J103" s="1" t="e">
        <f t="shared" ref="J103:AJ103" si="43">(J40-$B40)/$B$4</f>
        <v>#DIV/0!</v>
      </c>
      <c r="K103" s="1" t="e">
        <f t="shared" si="43"/>
        <v>#DIV/0!</v>
      </c>
      <c r="L103" s="1" t="e">
        <f t="shared" si="43"/>
        <v>#DIV/0!</v>
      </c>
      <c r="M103" s="1" t="e">
        <f t="shared" si="43"/>
        <v>#DIV/0!</v>
      </c>
      <c r="N103" s="1" t="e">
        <f t="shared" si="43"/>
        <v>#DIV/0!</v>
      </c>
      <c r="O103" s="1" t="e">
        <f t="shared" si="43"/>
        <v>#DIV/0!</v>
      </c>
      <c r="P103" s="1" t="e">
        <f t="shared" si="43"/>
        <v>#DIV/0!</v>
      </c>
      <c r="Q103" s="1" t="e">
        <f t="shared" si="43"/>
        <v>#DIV/0!</v>
      </c>
      <c r="R103" s="1" t="e">
        <f t="shared" si="43"/>
        <v>#DIV/0!</v>
      </c>
      <c r="S103" s="1" t="e">
        <f t="shared" si="43"/>
        <v>#DIV/0!</v>
      </c>
      <c r="T103" s="1" t="e">
        <f t="shared" si="43"/>
        <v>#DIV/0!</v>
      </c>
      <c r="U103" s="1" t="e">
        <f t="shared" si="43"/>
        <v>#DIV/0!</v>
      </c>
      <c r="V103" s="1" t="e">
        <f t="shared" si="43"/>
        <v>#DIV/0!</v>
      </c>
      <c r="W103" s="1" t="e">
        <f t="shared" si="43"/>
        <v>#DIV/0!</v>
      </c>
      <c r="X103" s="1" t="e">
        <f t="shared" si="43"/>
        <v>#DIV/0!</v>
      </c>
      <c r="Y103" s="1" t="e">
        <f t="shared" si="43"/>
        <v>#DIV/0!</v>
      </c>
      <c r="Z103" s="1" t="e">
        <f t="shared" si="43"/>
        <v>#DIV/0!</v>
      </c>
      <c r="AA103" s="1" t="e">
        <f t="shared" si="43"/>
        <v>#DIV/0!</v>
      </c>
      <c r="AB103" s="1" t="e">
        <f t="shared" si="43"/>
        <v>#DIV/0!</v>
      </c>
      <c r="AC103" s="1" t="e">
        <f t="shared" si="43"/>
        <v>#DIV/0!</v>
      </c>
      <c r="AD103" s="1" t="e">
        <f t="shared" si="43"/>
        <v>#DIV/0!</v>
      </c>
      <c r="AE103" s="1" t="e">
        <f t="shared" si="43"/>
        <v>#DIV/0!</v>
      </c>
      <c r="AF103" s="1" t="e">
        <f t="shared" si="43"/>
        <v>#DIV/0!</v>
      </c>
      <c r="AG103" s="1" t="e">
        <f t="shared" si="43"/>
        <v>#DIV/0!</v>
      </c>
      <c r="AH103" s="1" t="e">
        <f t="shared" si="43"/>
        <v>#DIV/0!</v>
      </c>
      <c r="AI103" s="1" t="e">
        <f t="shared" si="43"/>
        <v>#DIV/0!</v>
      </c>
      <c r="AJ103" s="1" t="e">
        <f t="shared" si="43"/>
        <v>#DIV/0!</v>
      </c>
    </row>
    <row r="104" spans="1:36">
      <c r="A104" s="29">
        <f t="shared" si="41"/>
        <v>12</v>
      </c>
      <c r="B104" s="74"/>
      <c r="C104" s="74"/>
      <c r="D104" s="74"/>
      <c r="E104" s="1" t="e">
        <f t="shared" si="38"/>
        <v>#DIV/0!</v>
      </c>
      <c r="F104" s="1" t="e">
        <f t="shared" si="38"/>
        <v>#DIV/0!</v>
      </c>
      <c r="G104" s="1" t="e">
        <f t="shared" si="38"/>
        <v>#DIV/0!</v>
      </c>
      <c r="H104" s="1" t="e">
        <f t="shared" si="38"/>
        <v>#DIV/0!</v>
      </c>
      <c r="I104" s="1" t="e">
        <f t="shared" si="38"/>
        <v>#DIV/0!</v>
      </c>
      <c r="J104" s="1" t="e">
        <f t="shared" ref="J104:AJ104" si="44">(J41-$B41)/$B$4</f>
        <v>#DIV/0!</v>
      </c>
      <c r="K104" s="1" t="e">
        <f t="shared" si="44"/>
        <v>#DIV/0!</v>
      </c>
      <c r="L104" s="1" t="e">
        <f t="shared" si="44"/>
        <v>#DIV/0!</v>
      </c>
      <c r="M104" s="1" t="e">
        <f t="shared" si="44"/>
        <v>#DIV/0!</v>
      </c>
      <c r="N104" s="1" t="e">
        <f t="shared" si="44"/>
        <v>#DIV/0!</v>
      </c>
      <c r="O104" s="1" t="e">
        <f t="shared" si="44"/>
        <v>#DIV/0!</v>
      </c>
      <c r="P104" s="1" t="e">
        <f t="shared" si="44"/>
        <v>#DIV/0!</v>
      </c>
      <c r="Q104" s="1" t="e">
        <f t="shared" si="44"/>
        <v>#DIV/0!</v>
      </c>
      <c r="R104" s="1" t="e">
        <f t="shared" si="44"/>
        <v>#DIV/0!</v>
      </c>
      <c r="S104" s="1" t="e">
        <f t="shared" si="44"/>
        <v>#DIV/0!</v>
      </c>
      <c r="T104" s="1" t="e">
        <f t="shared" si="44"/>
        <v>#DIV/0!</v>
      </c>
      <c r="U104" s="1" t="e">
        <f t="shared" si="44"/>
        <v>#DIV/0!</v>
      </c>
      <c r="V104" s="1" t="e">
        <f t="shared" si="44"/>
        <v>#DIV/0!</v>
      </c>
      <c r="W104" s="1" t="e">
        <f t="shared" si="44"/>
        <v>#DIV/0!</v>
      </c>
      <c r="X104" s="1" t="e">
        <f t="shared" si="44"/>
        <v>#DIV/0!</v>
      </c>
      <c r="Y104" s="1" t="e">
        <f t="shared" si="44"/>
        <v>#DIV/0!</v>
      </c>
      <c r="Z104" s="1" t="e">
        <f t="shared" si="44"/>
        <v>#DIV/0!</v>
      </c>
      <c r="AA104" s="1" t="e">
        <f t="shared" si="44"/>
        <v>#DIV/0!</v>
      </c>
      <c r="AB104" s="1" t="e">
        <f t="shared" si="44"/>
        <v>#DIV/0!</v>
      </c>
      <c r="AC104" s="1" t="e">
        <f t="shared" si="44"/>
        <v>#DIV/0!</v>
      </c>
      <c r="AD104" s="1" t="e">
        <f t="shared" si="44"/>
        <v>#DIV/0!</v>
      </c>
      <c r="AE104" s="1" t="e">
        <f t="shared" si="44"/>
        <v>#DIV/0!</v>
      </c>
      <c r="AF104" s="1" t="e">
        <f t="shared" si="44"/>
        <v>#DIV/0!</v>
      </c>
      <c r="AG104" s="1" t="e">
        <f t="shared" si="44"/>
        <v>#DIV/0!</v>
      </c>
      <c r="AH104" s="1" t="e">
        <f t="shared" si="44"/>
        <v>#DIV/0!</v>
      </c>
      <c r="AI104" s="1" t="e">
        <f t="shared" si="44"/>
        <v>#DIV/0!</v>
      </c>
      <c r="AJ104" s="1" t="e">
        <f t="shared" si="44"/>
        <v>#DIV/0!</v>
      </c>
    </row>
    <row r="105" spans="1:36">
      <c r="A105" s="29">
        <f t="shared" si="41"/>
        <v>15</v>
      </c>
      <c r="B105" s="74"/>
      <c r="C105" s="74"/>
      <c r="D105" s="74"/>
      <c r="E105" s="1" t="e">
        <f t="shared" si="38"/>
        <v>#DIV/0!</v>
      </c>
      <c r="F105" s="1" t="e">
        <f t="shared" si="38"/>
        <v>#DIV/0!</v>
      </c>
      <c r="G105" s="1" t="e">
        <f t="shared" si="38"/>
        <v>#DIV/0!</v>
      </c>
      <c r="H105" s="1" t="e">
        <f t="shared" si="38"/>
        <v>#DIV/0!</v>
      </c>
      <c r="I105" s="1" t="e">
        <f t="shared" si="38"/>
        <v>#DIV/0!</v>
      </c>
      <c r="J105" s="1" t="e">
        <f t="shared" ref="J105:AJ105" si="45">(J42-$B42)/$B$4</f>
        <v>#DIV/0!</v>
      </c>
      <c r="K105" s="1" t="e">
        <f t="shared" si="45"/>
        <v>#DIV/0!</v>
      </c>
      <c r="L105" s="1" t="e">
        <f t="shared" si="45"/>
        <v>#DIV/0!</v>
      </c>
      <c r="M105" s="1" t="e">
        <f t="shared" si="45"/>
        <v>#DIV/0!</v>
      </c>
      <c r="N105" s="1" t="e">
        <f t="shared" si="45"/>
        <v>#DIV/0!</v>
      </c>
      <c r="O105" s="1" t="e">
        <f t="shared" si="45"/>
        <v>#DIV/0!</v>
      </c>
      <c r="P105" s="1" t="e">
        <f t="shared" si="45"/>
        <v>#DIV/0!</v>
      </c>
      <c r="Q105" s="1" t="e">
        <f t="shared" si="45"/>
        <v>#DIV/0!</v>
      </c>
      <c r="R105" s="1" t="e">
        <f t="shared" si="45"/>
        <v>#DIV/0!</v>
      </c>
      <c r="S105" s="1" t="e">
        <f t="shared" si="45"/>
        <v>#DIV/0!</v>
      </c>
      <c r="T105" s="1" t="e">
        <f t="shared" si="45"/>
        <v>#DIV/0!</v>
      </c>
      <c r="U105" s="1" t="e">
        <f t="shared" si="45"/>
        <v>#DIV/0!</v>
      </c>
      <c r="V105" s="1" t="e">
        <f t="shared" si="45"/>
        <v>#DIV/0!</v>
      </c>
      <c r="W105" s="1" t="e">
        <f t="shared" si="45"/>
        <v>#DIV/0!</v>
      </c>
      <c r="X105" s="1" t="e">
        <f t="shared" si="45"/>
        <v>#DIV/0!</v>
      </c>
      <c r="Y105" s="1" t="e">
        <f t="shared" si="45"/>
        <v>#DIV/0!</v>
      </c>
      <c r="Z105" s="1" t="e">
        <f t="shared" si="45"/>
        <v>#DIV/0!</v>
      </c>
      <c r="AA105" s="1" t="e">
        <f t="shared" si="45"/>
        <v>#DIV/0!</v>
      </c>
      <c r="AB105" s="1" t="e">
        <f t="shared" si="45"/>
        <v>#DIV/0!</v>
      </c>
      <c r="AC105" s="1" t="e">
        <f t="shared" si="45"/>
        <v>#DIV/0!</v>
      </c>
      <c r="AD105" s="1" t="e">
        <f t="shared" si="45"/>
        <v>#DIV/0!</v>
      </c>
      <c r="AE105" s="1" t="e">
        <f t="shared" si="45"/>
        <v>#DIV/0!</v>
      </c>
      <c r="AF105" s="1" t="e">
        <f t="shared" si="45"/>
        <v>#DIV/0!</v>
      </c>
      <c r="AG105" s="1" t="e">
        <f t="shared" si="45"/>
        <v>#DIV/0!</v>
      </c>
      <c r="AH105" s="1" t="e">
        <f t="shared" si="45"/>
        <v>#DIV/0!</v>
      </c>
      <c r="AI105" s="1" t="e">
        <f t="shared" si="45"/>
        <v>#DIV/0!</v>
      </c>
      <c r="AJ105" s="1" t="e">
        <f t="shared" si="45"/>
        <v>#DIV/0!</v>
      </c>
    </row>
    <row r="106" spans="1:36">
      <c r="A106" s="29">
        <f t="shared" si="41"/>
        <v>18</v>
      </c>
      <c r="B106" s="74"/>
      <c r="C106" s="74"/>
      <c r="D106" s="74"/>
      <c r="E106" s="1" t="e">
        <f t="shared" si="38"/>
        <v>#DIV/0!</v>
      </c>
      <c r="F106" s="1" t="e">
        <f t="shared" si="38"/>
        <v>#DIV/0!</v>
      </c>
      <c r="G106" s="1" t="e">
        <f t="shared" si="38"/>
        <v>#DIV/0!</v>
      </c>
      <c r="H106" s="1" t="e">
        <f t="shared" si="38"/>
        <v>#DIV/0!</v>
      </c>
      <c r="I106" s="1" t="e">
        <f t="shared" si="38"/>
        <v>#DIV/0!</v>
      </c>
      <c r="J106" s="1" t="e">
        <f t="shared" ref="J106:AJ106" si="46">(J43-$B43)/$B$4</f>
        <v>#DIV/0!</v>
      </c>
      <c r="K106" s="1" t="e">
        <f t="shared" si="46"/>
        <v>#DIV/0!</v>
      </c>
      <c r="L106" s="1" t="e">
        <f t="shared" si="46"/>
        <v>#DIV/0!</v>
      </c>
      <c r="M106" s="1" t="e">
        <f t="shared" si="46"/>
        <v>#DIV/0!</v>
      </c>
      <c r="N106" s="1" t="e">
        <f t="shared" si="46"/>
        <v>#DIV/0!</v>
      </c>
      <c r="O106" s="1" t="e">
        <f t="shared" si="46"/>
        <v>#DIV/0!</v>
      </c>
      <c r="P106" s="1" t="e">
        <f t="shared" si="46"/>
        <v>#DIV/0!</v>
      </c>
      <c r="Q106" s="1" t="e">
        <f t="shared" si="46"/>
        <v>#DIV/0!</v>
      </c>
      <c r="R106" s="1" t="e">
        <f t="shared" si="46"/>
        <v>#DIV/0!</v>
      </c>
      <c r="S106" s="1" t="e">
        <f t="shared" si="46"/>
        <v>#DIV/0!</v>
      </c>
      <c r="T106" s="1" t="e">
        <f t="shared" si="46"/>
        <v>#DIV/0!</v>
      </c>
      <c r="U106" s="1" t="e">
        <f t="shared" si="46"/>
        <v>#DIV/0!</v>
      </c>
      <c r="V106" s="1" t="e">
        <f t="shared" si="46"/>
        <v>#DIV/0!</v>
      </c>
      <c r="W106" s="1" t="e">
        <f t="shared" si="46"/>
        <v>#DIV/0!</v>
      </c>
      <c r="X106" s="1" t="e">
        <f t="shared" si="46"/>
        <v>#DIV/0!</v>
      </c>
      <c r="Y106" s="1" t="e">
        <f t="shared" si="46"/>
        <v>#DIV/0!</v>
      </c>
      <c r="Z106" s="1" t="e">
        <f t="shared" si="46"/>
        <v>#DIV/0!</v>
      </c>
      <c r="AA106" s="1" t="e">
        <f t="shared" si="46"/>
        <v>#DIV/0!</v>
      </c>
      <c r="AB106" s="1" t="e">
        <f t="shared" si="46"/>
        <v>#DIV/0!</v>
      </c>
      <c r="AC106" s="1" t="e">
        <f t="shared" si="46"/>
        <v>#DIV/0!</v>
      </c>
      <c r="AD106" s="1" t="e">
        <f t="shared" si="46"/>
        <v>#DIV/0!</v>
      </c>
      <c r="AE106" s="1" t="e">
        <f t="shared" si="46"/>
        <v>#DIV/0!</v>
      </c>
      <c r="AF106" s="1" t="e">
        <f t="shared" si="46"/>
        <v>#DIV/0!</v>
      </c>
      <c r="AG106" s="1" t="e">
        <f t="shared" si="46"/>
        <v>#DIV/0!</v>
      </c>
      <c r="AH106" s="1" t="e">
        <f t="shared" si="46"/>
        <v>#DIV/0!</v>
      </c>
      <c r="AI106" s="1" t="e">
        <f t="shared" si="46"/>
        <v>#DIV/0!</v>
      </c>
      <c r="AJ106" s="1" t="e">
        <f t="shared" si="46"/>
        <v>#DIV/0!</v>
      </c>
    </row>
    <row r="107" spans="1:36">
      <c r="A107" s="29">
        <f t="shared" si="41"/>
        <v>21</v>
      </c>
      <c r="B107" s="74"/>
      <c r="C107" s="74"/>
      <c r="D107" s="74"/>
      <c r="E107" s="1" t="e">
        <f t="shared" si="38"/>
        <v>#DIV/0!</v>
      </c>
      <c r="F107" s="1" t="e">
        <f t="shared" si="38"/>
        <v>#DIV/0!</v>
      </c>
      <c r="G107" s="1" t="e">
        <f t="shared" si="38"/>
        <v>#DIV/0!</v>
      </c>
      <c r="H107" s="1" t="e">
        <f t="shared" si="38"/>
        <v>#DIV/0!</v>
      </c>
      <c r="I107" s="1" t="e">
        <f t="shared" si="38"/>
        <v>#DIV/0!</v>
      </c>
      <c r="J107" s="1" t="e">
        <f t="shared" ref="J107:AJ107" si="47">(J44-$B44)/$B$4</f>
        <v>#DIV/0!</v>
      </c>
      <c r="K107" s="1" t="e">
        <f t="shared" si="47"/>
        <v>#DIV/0!</v>
      </c>
      <c r="L107" s="1" t="e">
        <f t="shared" si="47"/>
        <v>#DIV/0!</v>
      </c>
      <c r="M107" s="1" t="e">
        <f t="shared" si="47"/>
        <v>#DIV/0!</v>
      </c>
      <c r="N107" s="1" t="e">
        <f t="shared" si="47"/>
        <v>#DIV/0!</v>
      </c>
      <c r="O107" s="1" t="e">
        <f t="shared" si="47"/>
        <v>#DIV/0!</v>
      </c>
      <c r="P107" s="1" t="e">
        <f t="shared" si="47"/>
        <v>#DIV/0!</v>
      </c>
      <c r="Q107" s="1" t="e">
        <f t="shared" si="47"/>
        <v>#DIV/0!</v>
      </c>
      <c r="R107" s="1" t="e">
        <f t="shared" si="47"/>
        <v>#DIV/0!</v>
      </c>
      <c r="S107" s="1" t="e">
        <f t="shared" si="47"/>
        <v>#DIV/0!</v>
      </c>
      <c r="T107" s="1" t="e">
        <f t="shared" si="47"/>
        <v>#DIV/0!</v>
      </c>
      <c r="U107" s="1" t="e">
        <f t="shared" si="47"/>
        <v>#DIV/0!</v>
      </c>
      <c r="V107" s="1" t="e">
        <f t="shared" si="47"/>
        <v>#DIV/0!</v>
      </c>
      <c r="W107" s="1" t="e">
        <f t="shared" si="47"/>
        <v>#DIV/0!</v>
      </c>
      <c r="X107" s="1" t="e">
        <f t="shared" si="47"/>
        <v>#DIV/0!</v>
      </c>
      <c r="Y107" s="1" t="e">
        <f t="shared" si="47"/>
        <v>#DIV/0!</v>
      </c>
      <c r="Z107" s="1" t="e">
        <f t="shared" si="47"/>
        <v>#DIV/0!</v>
      </c>
      <c r="AA107" s="1" t="e">
        <f t="shared" si="47"/>
        <v>#DIV/0!</v>
      </c>
      <c r="AB107" s="1" t="e">
        <f t="shared" si="47"/>
        <v>#DIV/0!</v>
      </c>
      <c r="AC107" s="1" t="e">
        <f t="shared" si="47"/>
        <v>#DIV/0!</v>
      </c>
      <c r="AD107" s="1" t="e">
        <f t="shared" si="47"/>
        <v>#DIV/0!</v>
      </c>
      <c r="AE107" s="1" t="e">
        <f t="shared" si="47"/>
        <v>#DIV/0!</v>
      </c>
      <c r="AF107" s="1" t="e">
        <f t="shared" si="47"/>
        <v>#DIV/0!</v>
      </c>
      <c r="AG107" s="1" t="e">
        <f t="shared" si="47"/>
        <v>#DIV/0!</v>
      </c>
      <c r="AH107" s="1" t="e">
        <f t="shared" si="47"/>
        <v>#DIV/0!</v>
      </c>
      <c r="AI107" s="1" t="e">
        <f t="shared" si="47"/>
        <v>#DIV/0!</v>
      </c>
      <c r="AJ107" s="1" t="e">
        <f t="shared" si="47"/>
        <v>#DIV/0!</v>
      </c>
    </row>
    <row r="108" spans="1:36">
      <c r="A108" s="29">
        <f t="shared" si="41"/>
        <v>24</v>
      </c>
      <c r="B108" s="74"/>
      <c r="C108" s="74"/>
      <c r="D108" s="74"/>
      <c r="E108" s="1" t="e">
        <f t="shared" si="38"/>
        <v>#DIV/0!</v>
      </c>
      <c r="F108" s="1" t="e">
        <f t="shared" si="38"/>
        <v>#DIV/0!</v>
      </c>
      <c r="G108" s="1" t="e">
        <f t="shared" si="38"/>
        <v>#DIV/0!</v>
      </c>
      <c r="H108" s="1" t="e">
        <f t="shared" si="38"/>
        <v>#DIV/0!</v>
      </c>
      <c r="I108" s="1" t="e">
        <f t="shared" si="38"/>
        <v>#DIV/0!</v>
      </c>
      <c r="J108" s="1" t="e">
        <f t="shared" ref="J108:AJ108" si="48">(J45-$B45)/$B$4</f>
        <v>#DIV/0!</v>
      </c>
      <c r="K108" s="1" t="e">
        <f t="shared" si="48"/>
        <v>#DIV/0!</v>
      </c>
      <c r="L108" s="1" t="e">
        <f t="shared" si="48"/>
        <v>#DIV/0!</v>
      </c>
      <c r="M108" s="1" t="e">
        <f t="shared" si="48"/>
        <v>#DIV/0!</v>
      </c>
      <c r="N108" s="1" t="e">
        <f t="shared" si="48"/>
        <v>#DIV/0!</v>
      </c>
      <c r="O108" s="1" t="e">
        <f t="shared" si="48"/>
        <v>#DIV/0!</v>
      </c>
      <c r="P108" s="1" t="e">
        <f t="shared" si="48"/>
        <v>#DIV/0!</v>
      </c>
      <c r="Q108" s="1" t="e">
        <f t="shared" si="48"/>
        <v>#DIV/0!</v>
      </c>
      <c r="R108" s="1" t="e">
        <f t="shared" si="48"/>
        <v>#DIV/0!</v>
      </c>
      <c r="S108" s="1" t="e">
        <f t="shared" si="48"/>
        <v>#DIV/0!</v>
      </c>
      <c r="T108" s="1" t="e">
        <f t="shared" si="48"/>
        <v>#DIV/0!</v>
      </c>
      <c r="U108" s="1" t="e">
        <f t="shared" si="48"/>
        <v>#DIV/0!</v>
      </c>
      <c r="V108" s="1" t="e">
        <f t="shared" si="48"/>
        <v>#DIV/0!</v>
      </c>
      <c r="W108" s="1" t="e">
        <f t="shared" si="48"/>
        <v>#DIV/0!</v>
      </c>
      <c r="X108" s="1" t="e">
        <f t="shared" si="48"/>
        <v>#DIV/0!</v>
      </c>
      <c r="Y108" s="1" t="e">
        <f t="shared" si="48"/>
        <v>#DIV/0!</v>
      </c>
      <c r="Z108" s="1" t="e">
        <f t="shared" si="48"/>
        <v>#DIV/0!</v>
      </c>
      <c r="AA108" s="1" t="e">
        <f t="shared" si="48"/>
        <v>#DIV/0!</v>
      </c>
      <c r="AB108" s="1" t="e">
        <f t="shared" si="48"/>
        <v>#DIV/0!</v>
      </c>
      <c r="AC108" s="1" t="e">
        <f t="shared" si="48"/>
        <v>#DIV/0!</v>
      </c>
      <c r="AD108" s="1" t="e">
        <f t="shared" si="48"/>
        <v>#DIV/0!</v>
      </c>
      <c r="AE108" s="1" t="e">
        <f t="shared" si="48"/>
        <v>#DIV/0!</v>
      </c>
      <c r="AF108" s="1" t="e">
        <f t="shared" si="48"/>
        <v>#DIV/0!</v>
      </c>
      <c r="AG108" s="1" t="e">
        <f t="shared" si="48"/>
        <v>#DIV/0!</v>
      </c>
      <c r="AH108" s="1" t="e">
        <f t="shared" si="48"/>
        <v>#DIV/0!</v>
      </c>
      <c r="AI108" s="1" t="e">
        <f t="shared" si="48"/>
        <v>#DIV/0!</v>
      </c>
      <c r="AJ108" s="1" t="e">
        <f t="shared" si="48"/>
        <v>#DIV/0!</v>
      </c>
    </row>
    <row r="109" spans="1:36">
      <c r="A109" s="29">
        <f t="shared" si="41"/>
        <v>27</v>
      </c>
      <c r="B109" s="74"/>
      <c r="C109" s="74"/>
      <c r="D109" s="74"/>
      <c r="E109" s="1" t="e">
        <f t="shared" si="38"/>
        <v>#DIV/0!</v>
      </c>
      <c r="F109" s="1" t="e">
        <f t="shared" si="38"/>
        <v>#DIV/0!</v>
      </c>
      <c r="G109" s="1" t="e">
        <f t="shared" si="38"/>
        <v>#DIV/0!</v>
      </c>
      <c r="H109" s="1" t="e">
        <f t="shared" si="38"/>
        <v>#DIV/0!</v>
      </c>
      <c r="I109" s="1" t="e">
        <f t="shared" si="38"/>
        <v>#DIV/0!</v>
      </c>
      <c r="J109" s="1" t="e">
        <f t="shared" ref="J109:AJ109" si="49">(J46-$B46)/$B$4</f>
        <v>#DIV/0!</v>
      </c>
      <c r="K109" s="1" t="e">
        <f t="shared" si="49"/>
        <v>#DIV/0!</v>
      </c>
      <c r="L109" s="1" t="e">
        <f t="shared" si="49"/>
        <v>#DIV/0!</v>
      </c>
      <c r="M109" s="1" t="e">
        <f t="shared" si="49"/>
        <v>#DIV/0!</v>
      </c>
      <c r="N109" s="1" t="e">
        <f t="shared" si="49"/>
        <v>#DIV/0!</v>
      </c>
      <c r="O109" s="1" t="e">
        <f t="shared" si="49"/>
        <v>#DIV/0!</v>
      </c>
      <c r="P109" s="1" t="e">
        <f t="shared" si="49"/>
        <v>#DIV/0!</v>
      </c>
      <c r="Q109" s="1" t="e">
        <f t="shared" si="49"/>
        <v>#DIV/0!</v>
      </c>
      <c r="R109" s="1" t="e">
        <f t="shared" si="49"/>
        <v>#DIV/0!</v>
      </c>
      <c r="S109" s="1" t="e">
        <f t="shared" si="49"/>
        <v>#DIV/0!</v>
      </c>
      <c r="T109" s="1" t="e">
        <f t="shared" si="49"/>
        <v>#DIV/0!</v>
      </c>
      <c r="U109" s="1" t="e">
        <f t="shared" si="49"/>
        <v>#DIV/0!</v>
      </c>
      <c r="V109" s="1" t="e">
        <f t="shared" si="49"/>
        <v>#DIV/0!</v>
      </c>
      <c r="W109" s="1" t="e">
        <f t="shared" si="49"/>
        <v>#DIV/0!</v>
      </c>
      <c r="X109" s="1" t="e">
        <f t="shared" si="49"/>
        <v>#DIV/0!</v>
      </c>
      <c r="Y109" s="1" t="e">
        <f t="shared" si="49"/>
        <v>#DIV/0!</v>
      </c>
      <c r="Z109" s="1" t="e">
        <f t="shared" si="49"/>
        <v>#DIV/0!</v>
      </c>
      <c r="AA109" s="1" t="e">
        <f t="shared" si="49"/>
        <v>#DIV/0!</v>
      </c>
      <c r="AB109" s="1" t="e">
        <f t="shared" si="49"/>
        <v>#DIV/0!</v>
      </c>
      <c r="AC109" s="1" t="e">
        <f t="shared" si="49"/>
        <v>#DIV/0!</v>
      </c>
      <c r="AD109" s="1" t="e">
        <f t="shared" si="49"/>
        <v>#DIV/0!</v>
      </c>
      <c r="AE109" s="1" t="e">
        <f t="shared" si="49"/>
        <v>#DIV/0!</v>
      </c>
      <c r="AF109" s="1" t="e">
        <f t="shared" si="49"/>
        <v>#DIV/0!</v>
      </c>
      <c r="AG109" s="1" t="e">
        <f t="shared" si="49"/>
        <v>#DIV/0!</v>
      </c>
      <c r="AH109" s="1" t="e">
        <f t="shared" si="49"/>
        <v>#DIV/0!</v>
      </c>
      <c r="AI109" s="1" t="e">
        <f t="shared" si="49"/>
        <v>#DIV/0!</v>
      </c>
      <c r="AJ109" s="1" t="e">
        <f t="shared" si="49"/>
        <v>#DIV/0!</v>
      </c>
    </row>
    <row r="110" spans="1:36">
      <c r="A110" s="29">
        <f t="shared" si="41"/>
        <v>30</v>
      </c>
      <c r="B110" s="74"/>
      <c r="C110" s="74"/>
      <c r="D110" s="74"/>
      <c r="E110" s="1" t="e">
        <f t="shared" ref="E110:I119" si="50">(E47-$B47)/$B$4</f>
        <v>#DIV/0!</v>
      </c>
      <c r="F110" s="1" t="e">
        <f t="shared" si="50"/>
        <v>#DIV/0!</v>
      </c>
      <c r="G110" s="1" t="e">
        <f t="shared" si="50"/>
        <v>#DIV/0!</v>
      </c>
      <c r="H110" s="1" t="e">
        <f t="shared" si="50"/>
        <v>#DIV/0!</v>
      </c>
      <c r="I110" s="1" t="e">
        <f t="shared" si="50"/>
        <v>#DIV/0!</v>
      </c>
      <c r="J110" s="1" t="e">
        <f t="shared" ref="J110:AJ110" si="51">(J47-$B47)/$B$4</f>
        <v>#DIV/0!</v>
      </c>
      <c r="K110" s="1" t="e">
        <f t="shared" si="51"/>
        <v>#DIV/0!</v>
      </c>
      <c r="L110" s="1" t="e">
        <f t="shared" si="51"/>
        <v>#DIV/0!</v>
      </c>
      <c r="M110" s="1" t="e">
        <f t="shared" si="51"/>
        <v>#DIV/0!</v>
      </c>
      <c r="N110" s="1" t="e">
        <f t="shared" si="51"/>
        <v>#DIV/0!</v>
      </c>
      <c r="O110" s="1" t="e">
        <f t="shared" si="51"/>
        <v>#DIV/0!</v>
      </c>
      <c r="P110" s="1" t="e">
        <f t="shared" si="51"/>
        <v>#DIV/0!</v>
      </c>
      <c r="Q110" s="1" t="e">
        <f t="shared" si="51"/>
        <v>#DIV/0!</v>
      </c>
      <c r="R110" s="1" t="e">
        <f t="shared" si="51"/>
        <v>#DIV/0!</v>
      </c>
      <c r="S110" s="1" t="e">
        <f t="shared" si="51"/>
        <v>#DIV/0!</v>
      </c>
      <c r="T110" s="1" t="e">
        <f t="shared" si="51"/>
        <v>#DIV/0!</v>
      </c>
      <c r="U110" s="1" t="e">
        <f t="shared" si="51"/>
        <v>#DIV/0!</v>
      </c>
      <c r="V110" s="1" t="e">
        <f t="shared" si="51"/>
        <v>#DIV/0!</v>
      </c>
      <c r="W110" s="1" t="e">
        <f t="shared" si="51"/>
        <v>#DIV/0!</v>
      </c>
      <c r="X110" s="1" t="e">
        <f t="shared" si="51"/>
        <v>#DIV/0!</v>
      </c>
      <c r="Y110" s="1" t="e">
        <f t="shared" si="51"/>
        <v>#DIV/0!</v>
      </c>
      <c r="Z110" s="1" t="e">
        <f t="shared" si="51"/>
        <v>#DIV/0!</v>
      </c>
      <c r="AA110" s="1" t="e">
        <f t="shared" si="51"/>
        <v>#DIV/0!</v>
      </c>
      <c r="AB110" s="1" t="e">
        <f t="shared" si="51"/>
        <v>#DIV/0!</v>
      </c>
      <c r="AC110" s="1" t="e">
        <f t="shared" si="51"/>
        <v>#DIV/0!</v>
      </c>
      <c r="AD110" s="1" t="e">
        <f t="shared" si="51"/>
        <v>#DIV/0!</v>
      </c>
      <c r="AE110" s="1" t="e">
        <f t="shared" si="51"/>
        <v>#DIV/0!</v>
      </c>
      <c r="AF110" s="1" t="e">
        <f t="shared" si="51"/>
        <v>#DIV/0!</v>
      </c>
      <c r="AG110" s="1" t="e">
        <f t="shared" si="51"/>
        <v>#DIV/0!</v>
      </c>
      <c r="AH110" s="1" t="e">
        <f t="shared" si="51"/>
        <v>#DIV/0!</v>
      </c>
      <c r="AI110" s="1" t="e">
        <f t="shared" si="51"/>
        <v>#DIV/0!</v>
      </c>
      <c r="AJ110" s="1" t="e">
        <f t="shared" si="51"/>
        <v>#DIV/0!</v>
      </c>
    </row>
    <row r="111" spans="1:36">
      <c r="A111" s="29">
        <f t="shared" si="41"/>
        <v>33</v>
      </c>
      <c r="B111" s="74"/>
      <c r="C111" s="74"/>
      <c r="D111" s="74"/>
      <c r="E111" s="1" t="e">
        <f t="shared" si="50"/>
        <v>#DIV/0!</v>
      </c>
      <c r="F111" s="1" t="e">
        <f t="shared" si="50"/>
        <v>#DIV/0!</v>
      </c>
      <c r="G111" s="1" t="e">
        <f t="shared" si="50"/>
        <v>#DIV/0!</v>
      </c>
      <c r="H111" s="1" t="e">
        <f t="shared" si="50"/>
        <v>#DIV/0!</v>
      </c>
      <c r="I111" s="1" t="e">
        <f t="shared" si="50"/>
        <v>#DIV/0!</v>
      </c>
      <c r="J111" s="1" t="e">
        <f t="shared" ref="J111:AJ111" si="52">(J48-$B48)/$B$4</f>
        <v>#DIV/0!</v>
      </c>
      <c r="K111" s="1" t="e">
        <f t="shared" si="52"/>
        <v>#DIV/0!</v>
      </c>
      <c r="L111" s="1" t="e">
        <f t="shared" si="52"/>
        <v>#DIV/0!</v>
      </c>
      <c r="M111" s="1" t="e">
        <f t="shared" si="52"/>
        <v>#DIV/0!</v>
      </c>
      <c r="N111" s="1" t="e">
        <f t="shared" si="52"/>
        <v>#DIV/0!</v>
      </c>
      <c r="O111" s="1" t="e">
        <f t="shared" si="52"/>
        <v>#DIV/0!</v>
      </c>
      <c r="P111" s="1" t="e">
        <f t="shared" si="52"/>
        <v>#DIV/0!</v>
      </c>
      <c r="Q111" s="1" t="e">
        <f t="shared" si="52"/>
        <v>#DIV/0!</v>
      </c>
      <c r="R111" s="1" t="e">
        <f t="shared" si="52"/>
        <v>#DIV/0!</v>
      </c>
      <c r="S111" s="1" t="e">
        <f t="shared" si="52"/>
        <v>#DIV/0!</v>
      </c>
      <c r="T111" s="1" t="e">
        <f t="shared" si="52"/>
        <v>#DIV/0!</v>
      </c>
      <c r="U111" s="1" t="e">
        <f t="shared" si="52"/>
        <v>#DIV/0!</v>
      </c>
      <c r="V111" s="1" t="e">
        <f t="shared" si="52"/>
        <v>#DIV/0!</v>
      </c>
      <c r="W111" s="1" t="e">
        <f t="shared" si="52"/>
        <v>#DIV/0!</v>
      </c>
      <c r="X111" s="1" t="e">
        <f t="shared" si="52"/>
        <v>#DIV/0!</v>
      </c>
      <c r="Y111" s="1" t="e">
        <f t="shared" si="52"/>
        <v>#DIV/0!</v>
      </c>
      <c r="Z111" s="1" t="e">
        <f t="shared" si="52"/>
        <v>#DIV/0!</v>
      </c>
      <c r="AA111" s="1" t="e">
        <f t="shared" si="52"/>
        <v>#DIV/0!</v>
      </c>
      <c r="AB111" s="1" t="e">
        <f t="shared" si="52"/>
        <v>#DIV/0!</v>
      </c>
      <c r="AC111" s="1" t="e">
        <f t="shared" si="52"/>
        <v>#DIV/0!</v>
      </c>
      <c r="AD111" s="1" t="e">
        <f t="shared" si="52"/>
        <v>#DIV/0!</v>
      </c>
      <c r="AE111" s="1" t="e">
        <f t="shared" si="52"/>
        <v>#DIV/0!</v>
      </c>
      <c r="AF111" s="1" t="e">
        <f t="shared" si="52"/>
        <v>#DIV/0!</v>
      </c>
      <c r="AG111" s="1" t="e">
        <f t="shared" si="52"/>
        <v>#DIV/0!</v>
      </c>
      <c r="AH111" s="1" t="e">
        <f t="shared" si="52"/>
        <v>#DIV/0!</v>
      </c>
      <c r="AI111" s="1" t="e">
        <f t="shared" si="52"/>
        <v>#DIV/0!</v>
      </c>
      <c r="AJ111" s="1" t="e">
        <f t="shared" si="52"/>
        <v>#DIV/0!</v>
      </c>
    </row>
    <row r="112" spans="1:36">
      <c r="A112" s="29">
        <f t="shared" si="41"/>
        <v>36</v>
      </c>
      <c r="B112" s="74"/>
      <c r="C112" s="74"/>
      <c r="D112" s="74"/>
      <c r="E112" s="1" t="e">
        <f t="shared" si="50"/>
        <v>#DIV/0!</v>
      </c>
      <c r="F112" s="1" t="e">
        <f t="shared" si="50"/>
        <v>#DIV/0!</v>
      </c>
      <c r="G112" s="1" t="e">
        <f t="shared" si="50"/>
        <v>#DIV/0!</v>
      </c>
      <c r="H112" s="1" t="e">
        <f t="shared" si="50"/>
        <v>#DIV/0!</v>
      </c>
      <c r="I112" s="1" t="e">
        <f t="shared" si="50"/>
        <v>#DIV/0!</v>
      </c>
      <c r="J112" s="1" t="e">
        <f t="shared" ref="J112:AJ112" si="53">(J49-$B49)/$B$4</f>
        <v>#DIV/0!</v>
      </c>
      <c r="K112" s="1" t="e">
        <f t="shared" si="53"/>
        <v>#DIV/0!</v>
      </c>
      <c r="L112" s="1" t="e">
        <f t="shared" si="53"/>
        <v>#DIV/0!</v>
      </c>
      <c r="M112" s="1" t="e">
        <f t="shared" si="53"/>
        <v>#DIV/0!</v>
      </c>
      <c r="N112" s="1" t="e">
        <f t="shared" si="53"/>
        <v>#DIV/0!</v>
      </c>
      <c r="O112" s="1" t="e">
        <f t="shared" si="53"/>
        <v>#DIV/0!</v>
      </c>
      <c r="P112" s="1" t="e">
        <f t="shared" si="53"/>
        <v>#DIV/0!</v>
      </c>
      <c r="Q112" s="1" t="e">
        <f t="shared" si="53"/>
        <v>#DIV/0!</v>
      </c>
      <c r="R112" s="1" t="e">
        <f t="shared" si="53"/>
        <v>#DIV/0!</v>
      </c>
      <c r="S112" s="1" t="e">
        <f t="shared" si="53"/>
        <v>#DIV/0!</v>
      </c>
      <c r="T112" s="1" t="e">
        <f t="shared" si="53"/>
        <v>#DIV/0!</v>
      </c>
      <c r="U112" s="1" t="e">
        <f t="shared" si="53"/>
        <v>#DIV/0!</v>
      </c>
      <c r="V112" s="1" t="e">
        <f t="shared" si="53"/>
        <v>#DIV/0!</v>
      </c>
      <c r="W112" s="1" t="e">
        <f t="shared" si="53"/>
        <v>#DIV/0!</v>
      </c>
      <c r="X112" s="1" t="e">
        <f t="shared" si="53"/>
        <v>#DIV/0!</v>
      </c>
      <c r="Y112" s="1" t="e">
        <f t="shared" si="53"/>
        <v>#DIV/0!</v>
      </c>
      <c r="Z112" s="1" t="e">
        <f t="shared" si="53"/>
        <v>#DIV/0!</v>
      </c>
      <c r="AA112" s="1" t="e">
        <f t="shared" si="53"/>
        <v>#DIV/0!</v>
      </c>
      <c r="AB112" s="1" t="e">
        <f t="shared" si="53"/>
        <v>#DIV/0!</v>
      </c>
      <c r="AC112" s="1" t="e">
        <f t="shared" si="53"/>
        <v>#DIV/0!</v>
      </c>
      <c r="AD112" s="1" t="e">
        <f t="shared" si="53"/>
        <v>#DIV/0!</v>
      </c>
      <c r="AE112" s="1" t="e">
        <f t="shared" si="53"/>
        <v>#DIV/0!</v>
      </c>
      <c r="AF112" s="1" t="e">
        <f t="shared" si="53"/>
        <v>#DIV/0!</v>
      </c>
      <c r="AG112" s="1" t="e">
        <f t="shared" si="53"/>
        <v>#DIV/0!</v>
      </c>
      <c r="AH112" s="1" t="e">
        <f t="shared" si="53"/>
        <v>#DIV/0!</v>
      </c>
      <c r="AI112" s="1" t="e">
        <f t="shared" si="53"/>
        <v>#DIV/0!</v>
      </c>
      <c r="AJ112" s="1" t="e">
        <f t="shared" si="53"/>
        <v>#DIV/0!</v>
      </c>
    </row>
    <row r="113" spans="1:36">
      <c r="A113" s="29">
        <f t="shared" si="41"/>
        <v>39</v>
      </c>
      <c r="B113" s="74"/>
      <c r="C113" s="74"/>
      <c r="D113" s="74"/>
      <c r="E113" s="1" t="e">
        <f t="shared" si="50"/>
        <v>#DIV/0!</v>
      </c>
      <c r="F113" s="1" t="e">
        <f t="shared" si="50"/>
        <v>#DIV/0!</v>
      </c>
      <c r="G113" s="1" t="e">
        <f t="shared" si="50"/>
        <v>#DIV/0!</v>
      </c>
      <c r="H113" s="1" t="e">
        <f t="shared" si="50"/>
        <v>#DIV/0!</v>
      </c>
      <c r="I113" s="1" t="e">
        <f t="shared" si="50"/>
        <v>#DIV/0!</v>
      </c>
      <c r="J113" s="1" t="e">
        <f t="shared" ref="J113:AJ113" si="54">(J50-$B50)/$B$4</f>
        <v>#DIV/0!</v>
      </c>
      <c r="K113" s="1" t="e">
        <f t="shared" si="54"/>
        <v>#DIV/0!</v>
      </c>
      <c r="L113" s="1" t="e">
        <f t="shared" si="54"/>
        <v>#DIV/0!</v>
      </c>
      <c r="M113" s="1" t="e">
        <f t="shared" si="54"/>
        <v>#DIV/0!</v>
      </c>
      <c r="N113" s="1" t="e">
        <f t="shared" si="54"/>
        <v>#DIV/0!</v>
      </c>
      <c r="O113" s="1" t="e">
        <f t="shared" si="54"/>
        <v>#DIV/0!</v>
      </c>
      <c r="P113" s="1" t="e">
        <f t="shared" si="54"/>
        <v>#DIV/0!</v>
      </c>
      <c r="Q113" s="1" t="e">
        <f t="shared" si="54"/>
        <v>#DIV/0!</v>
      </c>
      <c r="R113" s="1" t="e">
        <f t="shared" si="54"/>
        <v>#DIV/0!</v>
      </c>
      <c r="S113" s="1" t="e">
        <f t="shared" si="54"/>
        <v>#DIV/0!</v>
      </c>
      <c r="T113" s="1" t="e">
        <f t="shared" si="54"/>
        <v>#DIV/0!</v>
      </c>
      <c r="U113" s="1" t="e">
        <f t="shared" si="54"/>
        <v>#DIV/0!</v>
      </c>
      <c r="V113" s="1" t="e">
        <f t="shared" si="54"/>
        <v>#DIV/0!</v>
      </c>
      <c r="W113" s="1" t="e">
        <f t="shared" si="54"/>
        <v>#DIV/0!</v>
      </c>
      <c r="X113" s="1" t="e">
        <f t="shared" si="54"/>
        <v>#DIV/0!</v>
      </c>
      <c r="Y113" s="1" t="e">
        <f t="shared" si="54"/>
        <v>#DIV/0!</v>
      </c>
      <c r="Z113" s="1" t="e">
        <f t="shared" si="54"/>
        <v>#DIV/0!</v>
      </c>
      <c r="AA113" s="1" t="e">
        <f t="shared" si="54"/>
        <v>#DIV/0!</v>
      </c>
      <c r="AB113" s="1" t="e">
        <f t="shared" si="54"/>
        <v>#DIV/0!</v>
      </c>
      <c r="AC113" s="1" t="e">
        <f t="shared" si="54"/>
        <v>#DIV/0!</v>
      </c>
      <c r="AD113" s="1" t="e">
        <f t="shared" si="54"/>
        <v>#DIV/0!</v>
      </c>
      <c r="AE113" s="1" t="e">
        <f t="shared" si="54"/>
        <v>#DIV/0!</v>
      </c>
      <c r="AF113" s="1" t="e">
        <f t="shared" si="54"/>
        <v>#DIV/0!</v>
      </c>
      <c r="AG113" s="1" t="e">
        <f t="shared" si="54"/>
        <v>#DIV/0!</v>
      </c>
      <c r="AH113" s="1" t="e">
        <f t="shared" si="54"/>
        <v>#DIV/0!</v>
      </c>
      <c r="AI113" s="1" t="e">
        <f t="shared" si="54"/>
        <v>#DIV/0!</v>
      </c>
      <c r="AJ113" s="1" t="e">
        <f t="shared" si="54"/>
        <v>#DIV/0!</v>
      </c>
    </row>
    <row r="114" spans="1:36">
      <c r="A114" s="29">
        <f t="shared" si="41"/>
        <v>42</v>
      </c>
      <c r="B114" s="74"/>
      <c r="C114" s="74"/>
      <c r="D114" s="74"/>
      <c r="E114" s="1" t="e">
        <f t="shared" si="50"/>
        <v>#DIV/0!</v>
      </c>
      <c r="F114" s="1" t="e">
        <f t="shared" si="50"/>
        <v>#DIV/0!</v>
      </c>
      <c r="G114" s="1" t="e">
        <f t="shared" si="50"/>
        <v>#DIV/0!</v>
      </c>
      <c r="H114" s="1" t="e">
        <f t="shared" si="50"/>
        <v>#DIV/0!</v>
      </c>
      <c r="I114" s="1" t="e">
        <f t="shared" si="50"/>
        <v>#DIV/0!</v>
      </c>
      <c r="J114" s="1" t="e">
        <f t="shared" ref="J114:AJ114" si="55">(J51-$B51)/$B$4</f>
        <v>#DIV/0!</v>
      </c>
      <c r="K114" s="1" t="e">
        <f t="shared" si="55"/>
        <v>#DIV/0!</v>
      </c>
      <c r="L114" s="1" t="e">
        <f t="shared" si="55"/>
        <v>#DIV/0!</v>
      </c>
      <c r="M114" s="1" t="e">
        <f t="shared" si="55"/>
        <v>#DIV/0!</v>
      </c>
      <c r="N114" s="1" t="e">
        <f t="shared" si="55"/>
        <v>#DIV/0!</v>
      </c>
      <c r="O114" s="1" t="e">
        <f t="shared" si="55"/>
        <v>#DIV/0!</v>
      </c>
      <c r="P114" s="1" t="e">
        <f t="shared" si="55"/>
        <v>#DIV/0!</v>
      </c>
      <c r="Q114" s="1" t="e">
        <f t="shared" si="55"/>
        <v>#DIV/0!</v>
      </c>
      <c r="R114" s="1" t="e">
        <f t="shared" si="55"/>
        <v>#DIV/0!</v>
      </c>
      <c r="S114" s="1" t="e">
        <f t="shared" si="55"/>
        <v>#DIV/0!</v>
      </c>
      <c r="T114" s="1" t="e">
        <f t="shared" si="55"/>
        <v>#DIV/0!</v>
      </c>
      <c r="U114" s="1" t="e">
        <f t="shared" si="55"/>
        <v>#DIV/0!</v>
      </c>
      <c r="V114" s="1" t="e">
        <f t="shared" si="55"/>
        <v>#DIV/0!</v>
      </c>
      <c r="W114" s="1" t="e">
        <f t="shared" si="55"/>
        <v>#DIV/0!</v>
      </c>
      <c r="X114" s="1" t="e">
        <f t="shared" si="55"/>
        <v>#DIV/0!</v>
      </c>
      <c r="Y114" s="1" t="e">
        <f t="shared" si="55"/>
        <v>#DIV/0!</v>
      </c>
      <c r="Z114" s="1" t="e">
        <f t="shared" si="55"/>
        <v>#DIV/0!</v>
      </c>
      <c r="AA114" s="1" t="e">
        <f t="shared" si="55"/>
        <v>#DIV/0!</v>
      </c>
      <c r="AB114" s="1" t="e">
        <f t="shared" si="55"/>
        <v>#DIV/0!</v>
      </c>
      <c r="AC114" s="1" t="e">
        <f t="shared" si="55"/>
        <v>#DIV/0!</v>
      </c>
      <c r="AD114" s="1" t="e">
        <f t="shared" si="55"/>
        <v>#DIV/0!</v>
      </c>
      <c r="AE114" s="1" t="e">
        <f t="shared" si="55"/>
        <v>#DIV/0!</v>
      </c>
      <c r="AF114" s="1" t="e">
        <f t="shared" si="55"/>
        <v>#DIV/0!</v>
      </c>
      <c r="AG114" s="1" t="e">
        <f t="shared" si="55"/>
        <v>#DIV/0!</v>
      </c>
      <c r="AH114" s="1" t="e">
        <f t="shared" si="55"/>
        <v>#DIV/0!</v>
      </c>
      <c r="AI114" s="1" t="e">
        <f t="shared" si="55"/>
        <v>#DIV/0!</v>
      </c>
      <c r="AJ114" s="1" t="e">
        <f t="shared" si="55"/>
        <v>#DIV/0!</v>
      </c>
    </row>
    <row r="115" spans="1:36">
      <c r="A115" s="29">
        <f t="shared" si="41"/>
        <v>45</v>
      </c>
      <c r="B115" s="74"/>
      <c r="C115" s="74"/>
      <c r="D115" s="74"/>
      <c r="E115" s="1" t="e">
        <f t="shared" si="50"/>
        <v>#DIV/0!</v>
      </c>
      <c r="F115" s="1" t="e">
        <f t="shared" si="50"/>
        <v>#DIV/0!</v>
      </c>
      <c r="G115" s="1" t="e">
        <f t="shared" si="50"/>
        <v>#DIV/0!</v>
      </c>
      <c r="H115" s="1" t="e">
        <f t="shared" si="50"/>
        <v>#DIV/0!</v>
      </c>
      <c r="I115" s="1" t="e">
        <f t="shared" si="50"/>
        <v>#DIV/0!</v>
      </c>
      <c r="J115" s="1" t="e">
        <f t="shared" ref="J115:AJ115" si="56">(J52-$B52)/$B$4</f>
        <v>#DIV/0!</v>
      </c>
      <c r="K115" s="1" t="e">
        <f t="shared" si="56"/>
        <v>#DIV/0!</v>
      </c>
      <c r="L115" s="1" t="e">
        <f t="shared" si="56"/>
        <v>#DIV/0!</v>
      </c>
      <c r="M115" s="1" t="e">
        <f t="shared" si="56"/>
        <v>#DIV/0!</v>
      </c>
      <c r="N115" s="1" t="e">
        <f t="shared" si="56"/>
        <v>#DIV/0!</v>
      </c>
      <c r="O115" s="1" t="e">
        <f t="shared" si="56"/>
        <v>#DIV/0!</v>
      </c>
      <c r="P115" s="1" t="e">
        <f t="shared" si="56"/>
        <v>#DIV/0!</v>
      </c>
      <c r="Q115" s="1" t="e">
        <f t="shared" si="56"/>
        <v>#DIV/0!</v>
      </c>
      <c r="R115" s="1" t="e">
        <f t="shared" si="56"/>
        <v>#DIV/0!</v>
      </c>
      <c r="S115" s="1" t="e">
        <f t="shared" si="56"/>
        <v>#DIV/0!</v>
      </c>
      <c r="T115" s="1" t="e">
        <f t="shared" si="56"/>
        <v>#DIV/0!</v>
      </c>
      <c r="U115" s="1" t="e">
        <f t="shared" si="56"/>
        <v>#DIV/0!</v>
      </c>
      <c r="V115" s="1" t="e">
        <f t="shared" si="56"/>
        <v>#DIV/0!</v>
      </c>
      <c r="W115" s="1" t="e">
        <f t="shared" si="56"/>
        <v>#DIV/0!</v>
      </c>
      <c r="X115" s="1" t="e">
        <f t="shared" si="56"/>
        <v>#DIV/0!</v>
      </c>
      <c r="Y115" s="1" t="e">
        <f t="shared" si="56"/>
        <v>#DIV/0!</v>
      </c>
      <c r="Z115" s="1" t="e">
        <f t="shared" si="56"/>
        <v>#DIV/0!</v>
      </c>
      <c r="AA115" s="1" t="e">
        <f t="shared" si="56"/>
        <v>#DIV/0!</v>
      </c>
      <c r="AB115" s="1" t="e">
        <f t="shared" si="56"/>
        <v>#DIV/0!</v>
      </c>
      <c r="AC115" s="1" t="e">
        <f t="shared" si="56"/>
        <v>#DIV/0!</v>
      </c>
      <c r="AD115" s="1" t="e">
        <f t="shared" si="56"/>
        <v>#DIV/0!</v>
      </c>
      <c r="AE115" s="1" t="e">
        <f t="shared" si="56"/>
        <v>#DIV/0!</v>
      </c>
      <c r="AF115" s="1" t="e">
        <f t="shared" si="56"/>
        <v>#DIV/0!</v>
      </c>
      <c r="AG115" s="1" t="e">
        <f t="shared" si="56"/>
        <v>#DIV/0!</v>
      </c>
      <c r="AH115" s="1" t="e">
        <f t="shared" si="56"/>
        <v>#DIV/0!</v>
      </c>
      <c r="AI115" s="1" t="e">
        <f t="shared" si="56"/>
        <v>#DIV/0!</v>
      </c>
      <c r="AJ115" s="1" t="e">
        <f t="shared" si="56"/>
        <v>#DIV/0!</v>
      </c>
    </row>
    <row r="116" spans="1:36">
      <c r="A116" s="29">
        <f t="shared" si="41"/>
        <v>48</v>
      </c>
      <c r="B116" s="74"/>
      <c r="C116" s="74"/>
      <c r="D116" s="74"/>
      <c r="E116" s="1" t="e">
        <f t="shared" si="50"/>
        <v>#DIV/0!</v>
      </c>
      <c r="F116" s="1" t="e">
        <f t="shared" si="50"/>
        <v>#DIV/0!</v>
      </c>
      <c r="G116" s="1" t="e">
        <f t="shared" si="50"/>
        <v>#DIV/0!</v>
      </c>
      <c r="H116" s="1" t="e">
        <f t="shared" si="50"/>
        <v>#DIV/0!</v>
      </c>
      <c r="I116" s="1" t="e">
        <f t="shared" si="50"/>
        <v>#DIV/0!</v>
      </c>
      <c r="J116" s="1" t="e">
        <f t="shared" ref="J116:AJ116" si="57">(J53-$B53)/$B$4</f>
        <v>#DIV/0!</v>
      </c>
      <c r="K116" s="1" t="e">
        <f t="shared" si="57"/>
        <v>#DIV/0!</v>
      </c>
      <c r="L116" s="1" t="e">
        <f t="shared" si="57"/>
        <v>#DIV/0!</v>
      </c>
      <c r="M116" s="1" t="e">
        <f t="shared" si="57"/>
        <v>#DIV/0!</v>
      </c>
      <c r="N116" s="1" t="e">
        <f t="shared" si="57"/>
        <v>#DIV/0!</v>
      </c>
      <c r="O116" s="1" t="e">
        <f t="shared" si="57"/>
        <v>#DIV/0!</v>
      </c>
      <c r="P116" s="1" t="e">
        <f t="shared" si="57"/>
        <v>#DIV/0!</v>
      </c>
      <c r="Q116" s="1" t="e">
        <f t="shared" si="57"/>
        <v>#DIV/0!</v>
      </c>
      <c r="R116" s="1" t="e">
        <f t="shared" si="57"/>
        <v>#DIV/0!</v>
      </c>
      <c r="S116" s="1" t="e">
        <f t="shared" si="57"/>
        <v>#DIV/0!</v>
      </c>
      <c r="T116" s="1" t="e">
        <f t="shared" si="57"/>
        <v>#DIV/0!</v>
      </c>
      <c r="U116" s="1" t="e">
        <f t="shared" si="57"/>
        <v>#DIV/0!</v>
      </c>
      <c r="V116" s="1" t="e">
        <f t="shared" si="57"/>
        <v>#DIV/0!</v>
      </c>
      <c r="W116" s="1" t="e">
        <f t="shared" si="57"/>
        <v>#DIV/0!</v>
      </c>
      <c r="X116" s="1" t="e">
        <f t="shared" si="57"/>
        <v>#DIV/0!</v>
      </c>
      <c r="Y116" s="1" t="e">
        <f t="shared" si="57"/>
        <v>#DIV/0!</v>
      </c>
      <c r="Z116" s="1" t="e">
        <f t="shared" si="57"/>
        <v>#DIV/0!</v>
      </c>
      <c r="AA116" s="1" t="e">
        <f t="shared" si="57"/>
        <v>#DIV/0!</v>
      </c>
      <c r="AB116" s="1" t="e">
        <f t="shared" si="57"/>
        <v>#DIV/0!</v>
      </c>
      <c r="AC116" s="1" t="e">
        <f t="shared" si="57"/>
        <v>#DIV/0!</v>
      </c>
      <c r="AD116" s="1" t="e">
        <f t="shared" si="57"/>
        <v>#DIV/0!</v>
      </c>
      <c r="AE116" s="1" t="e">
        <f t="shared" si="57"/>
        <v>#DIV/0!</v>
      </c>
      <c r="AF116" s="1" t="e">
        <f t="shared" si="57"/>
        <v>#DIV/0!</v>
      </c>
      <c r="AG116" s="1" t="e">
        <f t="shared" si="57"/>
        <v>#DIV/0!</v>
      </c>
      <c r="AH116" s="1" t="e">
        <f t="shared" si="57"/>
        <v>#DIV/0!</v>
      </c>
      <c r="AI116" s="1" t="e">
        <f t="shared" si="57"/>
        <v>#DIV/0!</v>
      </c>
      <c r="AJ116" s="1" t="e">
        <f t="shared" si="57"/>
        <v>#DIV/0!</v>
      </c>
    </row>
    <row r="117" spans="1:36">
      <c r="A117" s="29">
        <f t="shared" si="41"/>
        <v>51</v>
      </c>
      <c r="B117" s="74"/>
      <c r="C117" s="74"/>
      <c r="D117" s="74"/>
      <c r="E117" s="1" t="e">
        <f t="shared" si="50"/>
        <v>#DIV/0!</v>
      </c>
      <c r="F117" s="1" t="e">
        <f t="shared" si="50"/>
        <v>#DIV/0!</v>
      </c>
      <c r="G117" s="1" t="e">
        <f t="shared" si="50"/>
        <v>#DIV/0!</v>
      </c>
      <c r="H117" s="1" t="e">
        <f t="shared" si="50"/>
        <v>#DIV/0!</v>
      </c>
      <c r="I117" s="1" t="e">
        <f t="shared" si="50"/>
        <v>#DIV/0!</v>
      </c>
      <c r="J117" s="1" t="e">
        <f t="shared" ref="J117:AJ117" si="58">(J54-$B54)/$B$4</f>
        <v>#DIV/0!</v>
      </c>
      <c r="K117" s="1" t="e">
        <f t="shared" si="58"/>
        <v>#DIV/0!</v>
      </c>
      <c r="L117" s="1" t="e">
        <f t="shared" si="58"/>
        <v>#DIV/0!</v>
      </c>
      <c r="M117" s="1" t="e">
        <f t="shared" si="58"/>
        <v>#DIV/0!</v>
      </c>
      <c r="N117" s="1" t="e">
        <f t="shared" si="58"/>
        <v>#DIV/0!</v>
      </c>
      <c r="O117" s="1" t="e">
        <f t="shared" si="58"/>
        <v>#DIV/0!</v>
      </c>
      <c r="P117" s="1" t="e">
        <f t="shared" si="58"/>
        <v>#DIV/0!</v>
      </c>
      <c r="Q117" s="1" t="e">
        <f t="shared" si="58"/>
        <v>#DIV/0!</v>
      </c>
      <c r="R117" s="1" t="e">
        <f t="shared" si="58"/>
        <v>#DIV/0!</v>
      </c>
      <c r="S117" s="1" t="e">
        <f t="shared" si="58"/>
        <v>#DIV/0!</v>
      </c>
      <c r="T117" s="1" t="e">
        <f t="shared" si="58"/>
        <v>#DIV/0!</v>
      </c>
      <c r="U117" s="1" t="e">
        <f t="shared" si="58"/>
        <v>#DIV/0!</v>
      </c>
      <c r="V117" s="1" t="e">
        <f t="shared" si="58"/>
        <v>#DIV/0!</v>
      </c>
      <c r="W117" s="1" t="e">
        <f t="shared" si="58"/>
        <v>#DIV/0!</v>
      </c>
      <c r="X117" s="1" t="e">
        <f t="shared" si="58"/>
        <v>#DIV/0!</v>
      </c>
      <c r="Y117" s="1" t="e">
        <f t="shared" si="58"/>
        <v>#DIV/0!</v>
      </c>
      <c r="Z117" s="1" t="e">
        <f t="shared" si="58"/>
        <v>#DIV/0!</v>
      </c>
      <c r="AA117" s="1" t="e">
        <f t="shared" si="58"/>
        <v>#DIV/0!</v>
      </c>
      <c r="AB117" s="1" t="e">
        <f t="shared" si="58"/>
        <v>#DIV/0!</v>
      </c>
      <c r="AC117" s="1" t="e">
        <f t="shared" si="58"/>
        <v>#DIV/0!</v>
      </c>
      <c r="AD117" s="1" t="e">
        <f t="shared" si="58"/>
        <v>#DIV/0!</v>
      </c>
      <c r="AE117" s="1" t="e">
        <f t="shared" si="58"/>
        <v>#DIV/0!</v>
      </c>
      <c r="AF117" s="1" t="e">
        <f t="shared" si="58"/>
        <v>#DIV/0!</v>
      </c>
      <c r="AG117" s="1" t="e">
        <f t="shared" si="58"/>
        <v>#DIV/0!</v>
      </c>
      <c r="AH117" s="1" t="e">
        <f t="shared" si="58"/>
        <v>#DIV/0!</v>
      </c>
      <c r="AI117" s="1" t="e">
        <f t="shared" si="58"/>
        <v>#DIV/0!</v>
      </c>
      <c r="AJ117" s="1" t="e">
        <f t="shared" si="58"/>
        <v>#DIV/0!</v>
      </c>
    </row>
    <row r="118" spans="1:36">
      <c r="A118" s="29">
        <f t="shared" si="41"/>
        <v>54</v>
      </c>
      <c r="B118" s="74"/>
      <c r="C118" s="74"/>
      <c r="D118" s="74"/>
      <c r="E118" s="1" t="e">
        <f t="shared" si="50"/>
        <v>#DIV/0!</v>
      </c>
      <c r="F118" s="1" t="e">
        <f t="shared" si="50"/>
        <v>#DIV/0!</v>
      </c>
      <c r="G118" s="1" t="e">
        <f t="shared" si="50"/>
        <v>#DIV/0!</v>
      </c>
      <c r="H118" s="1" t="e">
        <f t="shared" si="50"/>
        <v>#DIV/0!</v>
      </c>
      <c r="I118" s="1" t="e">
        <f t="shared" si="50"/>
        <v>#DIV/0!</v>
      </c>
      <c r="J118" s="1" t="e">
        <f t="shared" ref="J118:AJ118" si="59">(J55-$B55)/$B$4</f>
        <v>#DIV/0!</v>
      </c>
      <c r="K118" s="1" t="e">
        <f t="shared" si="59"/>
        <v>#DIV/0!</v>
      </c>
      <c r="L118" s="1" t="e">
        <f t="shared" si="59"/>
        <v>#DIV/0!</v>
      </c>
      <c r="M118" s="1" t="e">
        <f t="shared" si="59"/>
        <v>#DIV/0!</v>
      </c>
      <c r="N118" s="1" t="e">
        <f t="shared" si="59"/>
        <v>#DIV/0!</v>
      </c>
      <c r="O118" s="1" t="e">
        <f t="shared" si="59"/>
        <v>#DIV/0!</v>
      </c>
      <c r="P118" s="1" t="e">
        <f t="shared" si="59"/>
        <v>#DIV/0!</v>
      </c>
      <c r="Q118" s="1" t="e">
        <f t="shared" si="59"/>
        <v>#DIV/0!</v>
      </c>
      <c r="R118" s="1" t="e">
        <f t="shared" si="59"/>
        <v>#DIV/0!</v>
      </c>
      <c r="S118" s="1" t="e">
        <f t="shared" si="59"/>
        <v>#DIV/0!</v>
      </c>
      <c r="T118" s="1" t="e">
        <f t="shared" si="59"/>
        <v>#DIV/0!</v>
      </c>
      <c r="U118" s="1" t="e">
        <f t="shared" si="59"/>
        <v>#DIV/0!</v>
      </c>
      <c r="V118" s="1" t="e">
        <f t="shared" si="59"/>
        <v>#DIV/0!</v>
      </c>
      <c r="W118" s="1" t="e">
        <f t="shared" si="59"/>
        <v>#DIV/0!</v>
      </c>
      <c r="X118" s="1" t="e">
        <f t="shared" si="59"/>
        <v>#DIV/0!</v>
      </c>
      <c r="Y118" s="1" t="e">
        <f t="shared" si="59"/>
        <v>#DIV/0!</v>
      </c>
      <c r="Z118" s="1" t="e">
        <f t="shared" si="59"/>
        <v>#DIV/0!</v>
      </c>
      <c r="AA118" s="1" t="e">
        <f t="shared" si="59"/>
        <v>#DIV/0!</v>
      </c>
      <c r="AB118" s="1" t="e">
        <f t="shared" si="59"/>
        <v>#DIV/0!</v>
      </c>
      <c r="AC118" s="1" t="e">
        <f t="shared" si="59"/>
        <v>#DIV/0!</v>
      </c>
      <c r="AD118" s="1" t="e">
        <f t="shared" si="59"/>
        <v>#DIV/0!</v>
      </c>
      <c r="AE118" s="1" t="e">
        <f t="shared" si="59"/>
        <v>#DIV/0!</v>
      </c>
      <c r="AF118" s="1" t="e">
        <f t="shared" si="59"/>
        <v>#DIV/0!</v>
      </c>
      <c r="AG118" s="1" t="e">
        <f t="shared" si="59"/>
        <v>#DIV/0!</v>
      </c>
      <c r="AH118" s="1" t="e">
        <f t="shared" si="59"/>
        <v>#DIV/0!</v>
      </c>
      <c r="AI118" s="1" t="e">
        <f t="shared" si="59"/>
        <v>#DIV/0!</v>
      </c>
      <c r="AJ118" s="1" t="e">
        <f t="shared" si="59"/>
        <v>#DIV/0!</v>
      </c>
    </row>
    <row r="119" spans="1:36">
      <c r="A119" s="29">
        <f t="shared" si="41"/>
        <v>57</v>
      </c>
      <c r="B119" s="74"/>
      <c r="C119" s="74"/>
      <c r="D119" s="74"/>
      <c r="E119" s="1" t="e">
        <f t="shared" si="50"/>
        <v>#DIV/0!</v>
      </c>
      <c r="F119" s="1" t="e">
        <f t="shared" si="50"/>
        <v>#DIV/0!</v>
      </c>
      <c r="G119" s="1" t="e">
        <f t="shared" si="50"/>
        <v>#DIV/0!</v>
      </c>
      <c r="H119" s="1" t="e">
        <f t="shared" si="50"/>
        <v>#DIV/0!</v>
      </c>
      <c r="I119" s="1" t="e">
        <f t="shared" si="50"/>
        <v>#DIV/0!</v>
      </c>
      <c r="J119" s="1" t="e">
        <f t="shared" ref="J119:AJ119" si="60">(J56-$B56)/$B$4</f>
        <v>#DIV/0!</v>
      </c>
      <c r="K119" s="1" t="e">
        <f t="shared" si="60"/>
        <v>#DIV/0!</v>
      </c>
      <c r="L119" s="1" t="e">
        <f t="shared" si="60"/>
        <v>#DIV/0!</v>
      </c>
      <c r="M119" s="1" t="e">
        <f t="shared" si="60"/>
        <v>#DIV/0!</v>
      </c>
      <c r="N119" s="1" t="e">
        <f t="shared" si="60"/>
        <v>#DIV/0!</v>
      </c>
      <c r="O119" s="1" t="e">
        <f t="shared" si="60"/>
        <v>#DIV/0!</v>
      </c>
      <c r="P119" s="1" t="e">
        <f t="shared" si="60"/>
        <v>#DIV/0!</v>
      </c>
      <c r="Q119" s="1" t="e">
        <f t="shared" si="60"/>
        <v>#DIV/0!</v>
      </c>
      <c r="R119" s="1" t="e">
        <f t="shared" si="60"/>
        <v>#DIV/0!</v>
      </c>
      <c r="S119" s="1" t="e">
        <f t="shared" si="60"/>
        <v>#DIV/0!</v>
      </c>
      <c r="T119" s="1" t="e">
        <f t="shared" si="60"/>
        <v>#DIV/0!</v>
      </c>
      <c r="U119" s="1" t="e">
        <f t="shared" si="60"/>
        <v>#DIV/0!</v>
      </c>
      <c r="V119" s="1" t="e">
        <f t="shared" si="60"/>
        <v>#DIV/0!</v>
      </c>
      <c r="W119" s="1" t="e">
        <f t="shared" si="60"/>
        <v>#DIV/0!</v>
      </c>
      <c r="X119" s="1" t="e">
        <f t="shared" si="60"/>
        <v>#DIV/0!</v>
      </c>
      <c r="Y119" s="1" t="e">
        <f t="shared" si="60"/>
        <v>#DIV/0!</v>
      </c>
      <c r="Z119" s="1" t="e">
        <f t="shared" si="60"/>
        <v>#DIV/0!</v>
      </c>
      <c r="AA119" s="1" t="e">
        <f t="shared" si="60"/>
        <v>#DIV/0!</v>
      </c>
      <c r="AB119" s="1" t="e">
        <f t="shared" si="60"/>
        <v>#DIV/0!</v>
      </c>
      <c r="AC119" s="1" t="e">
        <f t="shared" si="60"/>
        <v>#DIV/0!</v>
      </c>
      <c r="AD119" s="1" t="e">
        <f t="shared" si="60"/>
        <v>#DIV/0!</v>
      </c>
      <c r="AE119" s="1" t="e">
        <f t="shared" si="60"/>
        <v>#DIV/0!</v>
      </c>
      <c r="AF119" s="1" t="e">
        <f t="shared" si="60"/>
        <v>#DIV/0!</v>
      </c>
      <c r="AG119" s="1" t="e">
        <f t="shared" si="60"/>
        <v>#DIV/0!</v>
      </c>
      <c r="AH119" s="1" t="e">
        <f t="shared" si="60"/>
        <v>#DIV/0!</v>
      </c>
      <c r="AI119" s="1" t="e">
        <f t="shared" si="60"/>
        <v>#DIV/0!</v>
      </c>
      <c r="AJ119" s="1" t="e">
        <f t="shared" si="60"/>
        <v>#DIV/0!</v>
      </c>
    </row>
    <row r="120" spans="1:36">
      <c r="A120" s="29">
        <f t="shared" si="41"/>
        <v>60</v>
      </c>
      <c r="B120" s="74"/>
      <c r="C120" s="74"/>
      <c r="D120" s="74"/>
      <c r="E120" s="1" t="e">
        <f t="shared" ref="E120:I129" si="61">(E57-$B57)/$B$4</f>
        <v>#DIV/0!</v>
      </c>
      <c r="F120" s="1" t="e">
        <f t="shared" si="61"/>
        <v>#DIV/0!</v>
      </c>
      <c r="G120" s="1" t="e">
        <f t="shared" si="61"/>
        <v>#DIV/0!</v>
      </c>
      <c r="H120" s="1" t="e">
        <f t="shared" si="61"/>
        <v>#DIV/0!</v>
      </c>
      <c r="I120" s="1" t="e">
        <f t="shared" si="61"/>
        <v>#DIV/0!</v>
      </c>
      <c r="J120" s="1" t="e">
        <f t="shared" ref="J120:AJ120" si="62">(J57-$B57)/$B$4</f>
        <v>#DIV/0!</v>
      </c>
      <c r="K120" s="1" t="e">
        <f t="shared" si="62"/>
        <v>#DIV/0!</v>
      </c>
      <c r="L120" s="1" t="e">
        <f t="shared" si="62"/>
        <v>#DIV/0!</v>
      </c>
      <c r="M120" s="1" t="e">
        <f t="shared" si="62"/>
        <v>#DIV/0!</v>
      </c>
      <c r="N120" s="1" t="e">
        <f t="shared" si="62"/>
        <v>#DIV/0!</v>
      </c>
      <c r="O120" s="1" t="e">
        <f t="shared" si="62"/>
        <v>#DIV/0!</v>
      </c>
      <c r="P120" s="1" t="e">
        <f t="shared" si="62"/>
        <v>#DIV/0!</v>
      </c>
      <c r="Q120" s="1" t="e">
        <f t="shared" si="62"/>
        <v>#DIV/0!</v>
      </c>
      <c r="R120" s="1" t="e">
        <f t="shared" si="62"/>
        <v>#DIV/0!</v>
      </c>
      <c r="S120" s="1" t="e">
        <f t="shared" si="62"/>
        <v>#DIV/0!</v>
      </c>
      <c r="T120" s="1" t="e">
        <f t="shared" si="62"/>
        <v>#DIV/0!</v>
      </c>
      <c r="U120" s="1" t="e">
        <f t="shared" si="62"/>
        <v>#DIV/0!</v>
      </c>
      <c r="V120" s="1" t="e">
        <f t="shared" si="62"/>
        <v>#DIV/0!</v>
      </c>
      <c r="W120" s="1" t="e">
        <f t="shared" si="62"/>
        <v>#DIV/0!</v>
      </c>
      <c r="X120" s="1" t="e">
        <f t="shared" si="62"/>
        <v>#DIV/0!</v>
      </c>
      <c r="Y120" s="1" t="e">
        <f t="shared" si="62"/>
        <v>#DIV/0!</v>
      </c>
      <c r="Z120" s="1" t="e">
        <f t="shared" si="62"/>
        <v>#DIV/0!</v>
      </c>
      <c r="AA120" s="1" t="e">
        <f t="shared" si="62"/>
        <v>#DIV/0!</v>
      </c>
      <c r="AB120" s="1" t="e">
        <f t="shared" si="62"/>
        <v>#DIV/0!</v>
      </c>
      <c r="AC120" s="1" t="e">
        <f t="shared" si="62"/>
        <v>#DIV/0!</v>
      </c>
      <c r="AD120" s="1" t="e">
        <f t="shared" si="62"/>
        <v>#DIV/0!</v>
      </c>
      <c r="AE120" s="1" t="e">
        <f t="shared" si="62"/>
        <v>#DIV/0!</v>
      </c>
      <c r="AF120" s="1" t="e">
        <f t="shared" si="62"/>
        <v>#DIV/0!</v>
      </c>
      <c r="AG120" s="1" t="e">
        <f t="shared" si="62"/>
        <v>#DIV/0!</v>
      </c>
      <c r="AH120" s="1" t="e">
        <f t="shared" si="62"/>
        <v>#DIV/0!</v>
      </c>
      <c r="AI120" s="1" t="e">
        <f t="shared" si="62"/>
        <v>#DIV/0!</v>
      </c>
      <c r="AJ120" s="1" t="e">
        <f t="shared" si="62"/>
        <v>#DIV/0!</v>
      </c>
    </row>
    <row r="121" spans="1:36">
      <c r="A121" s="29">
        <f t="shared" si="41"/>
        <v>63</v>
      </c>
      <c r="B121" s="74"/>
      <c r="C121" s="74"/>
      <c r="D121" s="74"/>
      <c r="E121" s="1" t="e">
        <f t="shared" si="61"/>
        <v>#DIV/0!</v>
      </c>
      <c r="F121" s="1" t="e">
        <f t="shared" si="61"/>
        <v>#DIV/0!</v>
      </c>
      <c r="G121" s="1" t="e">
        <f t="shared" si="61"/>
        <v>#DIV/0!</v>
      </c>
      <c r="H121" s="1" t="e">
        <f t="shared" si="61"/>
        <v>#DIV/0!</v>
      </c>
      <c r="I121" s="1" t="e">
        <f t="shared" si="61"/>
        <v>#DIV/0!</v>
      </c>
      <c r="J121" s="1" t="e">
        <f t="shared" ref="J121:AJ121" si="63">(J58-$B58)/$B$4</f>
        <v>#DIV/0!</v>
      </c>
      <c r="K121" s="1" t="e">
        <f t="shared" si="63"/>
        <v>#DIV/0!</v>
      </c>
      <c r="L121" s="1" t="e">
        <f t="shared" si="63"/>
        <v>#DIV/0!</v>
      </c>
      <c r="M121" s="1" t="e">
        <f t="shared" si="63"/>
        <v>#DIV/0!</v>
      </c>
      <c r="N121" s="1" t="e">
        <f t="shared" si="63"/>
        <v>#DIV/0!</v>
      </c>
      <c r="O121" s="1" t="e">
        <f t="shared" si="63"/>
        <v>#DIV/0!</v>
      </c>
      <c r="P121" s="1" t="e">
        <f t="shared" si="63"/>
        <v>#DIV/0!</v>
      </c>
      <c r="Q121" s="1" t="e">
        <f t="shared" si="63"/>
        <v>#DIV/0!</v>
      </c>
      <c r="R121" s="1" t="e">
        <f t="shared" si="63"/>
        <v>#DIV/0!</v>
      </c>
      <c r="S121" s="1" t="e">
        <f t="shared" si="63"/>
        <v>#DIV/0!</v>
      </c>
      <c r="T121" s="1" t="e">
        <f t="shared" si="63"/>
        <v>#DIV/0!</v>
      </c>
      <c r="U121" s="1" t="e">
        <f t="shared" si="63"/>
        <v>#DIV/0!</v>
      </c>
      <c r="V121" s="1" t="e">
        <f t="shared" si="63"/>
        <v>#DIV/0!</v>
      </c>
      <c r="W121" s="1" t="e">
        <f t="shared" si="63"/>
        <v>#DIV/0!</v>
      </c>
      <c r="X121" s="1" t="e">
        <f t="shared" si="63"/>
        <v>#DIV/0!</v>
      </c>
      <c r="Y121" s="1" t="e">
        <f t="shared" si="63"/>
        <v>#DIV/0!</v>
      </c>
      <c r="Z121" s="1" t="e">
        <f t="shared" si="63"/>
        <v>#DIV/0!</v>
      </c>
      <c r="AA121" s="1" t="e">
        <f t="shared" si="63"/>
        <v>#DIV/0!</v>
      </c>
      <c r="AB121" s="1" t="e">
        <f t="shared" si="63"/>
        <v>#DIV/0!</v>
      </c>
      <c r="AC121" s="1" t="e">
        <f t="shared" si="63"/>
        <v>#DIV/0!</v>
      </c>
      <c r="AD121" s="1" t="e">
        <f t="shared" si="63"/>
        <v>#DIV/0!</v>
      </c>
      <c r="AE121" s="1" t="e">
        <f t="shared" si="63"/>
        <v>#DIV/0!</v>
      </c>
      <c r="AF121" s="1" t="e">
        <f t="shared" si="63"/>
        <v>#DIV/0!</v>
      </c>
      <c r="AG121" s="1" t="e">
        <f t="shared" si="63"/>
        <v>#DIV/0!</v>
      </c>
      <c r="AH121" s="1" t="e">
        <f t="shared" si="63"/>
        <v>#DIV/0!</v>
      </c>
      <c r="AI121" s="1" t="e">
        <f t="shared" si="63"/>
        <v>#DIV/0!</v>
      </c>
      <c r="AJ121" s="1" t="e">
        <f t="shared" si="63"/>
        <v>#DIV/0!</v>
      </c>
    </row>
    <row r="122" spans="1:36">
      <c r="A122" s="29">
        <f t="shared" si="41"/>
        <v>66</v>
      </c>
      <c r="B122" s="74"/>
      <c r="C122" s="74"/>
      <c r="D122" s="74"/>
      <c r="E122" s="1" t="e">
        <f t="shared" si="61"/>
        <v>#DIV/0!</v>
      </c>
      <c r="F122" s="1" t="e">
        <f t="shared" si="61"/>
        <v>#DIV/0!</v>
      </c>
      <c r="G122" s="1" t="e">
        <f t="shared" si="61"/>
        <v>#DIV/0!</v>
      </c>
      <c r="H122" s="1" t="e">
        <f t="shared" si="61"/>
        <v>#DIV/0!</v>
      </c>
      <c r="I122" s="1" t="e">
        <f t="shared" si="61"/>
        <v>#DIV/0!</v>
      </c>
      <c r="J122" s="1" t="e">
        <f t="shared" ref="J122:AJ122" si="64">(J59-$B59)/$B$4</f>
        <v>#DIV/0!</v>
      </c>
      <c r="K122" s="1" t="e">
        <f t="shared" si="64"/>
        <v>#DIV/0!</v>
      </c>
      <c r="L122" s="1" t="e">
        <f t="shared" si="64"/>
        <v>#DIV/0!</v>
      </c>
      <c r="M122" s="1" t="e">
        <f t="shared" si="64"/>
        <v>#DIV/0!</v>
      </c>
      <c r="N122" s="1" t="e">
        <f t="shared" si="64"/>
        <v>#DIV/0!</v>
      </c>
      <c r="O122" s="1" t="e">
        <f t="shared" si="64"/>
        <v>#DIV/0!</v>
      </c>
      <c r="P122" s="1" t="e">
        <f t="shared" si="64"/>
        <v>#DIV/0!</v>
      </c>
      <c r="Q122" s="1" t="e">
        <f t="shared" si="64"/>
        <v>#DIV/0!</v>
      </c>
      <c r="R122" s="1" t="e">
        <f t="shared" si="64"/>
        <v>#DIV/0!</v>
      </c>
      <c r="S122" s="1" t="e">
        <f t="shared" si="64"/>
        <v>#DIV/0!</v>
      </c>
      <c r="T122" s="1" t="e">
        <f t="shared" si="64"/>
        <v>#DIV/0!</v>
      </c>
      <c r="U122" s="1" t="e">
        <f t="shared" si="64"/>
        <v>#DIV/0!</v>
      </c>
      <c r="V122" s="1" t="e">
        <f t="shared" si="64"/>
        <v>#DIV/0!</v>
      </c>
      <c r="W122" s="1" t="e">
        <f t="shared" si="64"/>
        <v>#DIV/0!</v>
      </c>
      <c r="X122" s="1" t="e">
        <f t="shared" si="64"/>
        <v>#DIV/0!</v>
      </c>
      <c r="Y122" s="1" t="e">
        <f t="shared" si="64"/>
        <v>#DIV/0!</v>
      </c>
      <c r="Z122" s="1" t="e">
        <f t="shared" si="64"/>
        <v>#DIV/0!</v>
      </c>
      <c r="AA122" s="1" t="e">
        <f t="shared" si="64"/>
        <v>#DIV/0!</v>
      </c>
      <c r="AB122" s="1" t="e">
        <f t="shared" si="64"/>
        <v>#DIV/0!</v>
      </c>
      <c r="AC122" s="1" t="e">
        <f t="shared" si="64"/>
        <v>#DIV/0!</v>
      </c>
      <c r="AD122" s="1" t="e">
        <f t="shared" si="64"/>
        <v>#DIV/0!</v>
      </c>
      <c r="AE122" s="1" t="e">
        <f t="shared" si="64"/>
        <v>#DIV/0!</v>
      </c>
      <c r="AF122" s="1" t="e">
        <f t="shared" si="64"/>
        <v>#DIV/0!</v>
      </c>
      <c r="AG122" s="1" t="e">
        <f t="shared" si="64"/>
        <v>#DIV/0!</v>
      </c>
      <c r="AH122" s="1" t="e">
        <f t="shared" si="64"/>
        <v>#DIV/0!</v>
      </c>
      <c r="AI122" s="1" t="e">
        <f t="shared" si="64"/>
        <v>#DIV/0!</v>
      </c>
      <c r="AJ122" s="1" t="e">
        <f t="shared" si="64"/>
        <v>#DIV/0!</v>
      </c>
    </row>
    <row r="123" spans="1:36">
      <c r="A123" s="29">
        <f t="shared" si="41"/>
        <v>69</v>
      </c>
      <c r="B123" s="74"/>
      <c r="C123" s="74"/>
      <c r="D123" s="74"/>
      <c r="E123" s="1" t="e">
        <f t="shared" si="61"/>
        <v>#DIV/0!</v>
      </c>
      <c r="F123" s="1" t="e">
        <f t="shared" si="61"/>
        <v>#DIV/0!</v>
      </c>
      <c r="G123" s="1" t="e">
        <f t="shared" si="61"/>
        <v>#DIV/0!</v>
      </c>
      <c r="H123" s="1" t="e">
        <f t="shared" si="61"/>
        <v>#DIV/0!</v>
      </c>
      <c r="I123" s="1" t="e">
        <f t="shared" si="61"/>
        <v>#DIV/0!</v>
      </c>
      <c r="J123" s="1" t="e">
        <f t="shared" ref="J123:AJ123" si="65">(J60-$B60)/$B$4</f>
        <v>#DIV/0!</v>
      </c>
      <c r="K123" s="1" t="e">
        <f t="shared" si="65"/>
        <v>#DIV/0!</v>
      </c>
      <c r="L123" s="1" t="e">
        <f t="shared" si="65"/>
        <v>#DIV/0!</v>
      </c>
      <c r="M123" s="1" t="e">
        <f t="shared" si="65"/>
        <v>#DIV/0!</v>
      </c>
      <c r="N123" s="1" t="e">
        <f t="shared" si="65"/>
        <v>#DIV/0!</v>
      </c>
      <c r="O123" s="1" t="e">
        <f t="shared" si="65"/>
        <v>#DIV/0!</v>
      </c>
      <c r="P123" s="1" t="e">
        <f t="shared" si="65"/>
        <v>#DIV/0!</v>
      </c>
      <c r="Q123" s="1" t="e">
        <f t="shared" si="65"/>
        <v>#DIV/0!</v>
      </c>
      <c r="R123" s="1" t="e">
        <f t="shared" si="65"/>
        <v>#DIV/0!</v>
      </c>
      <c r="S123" s="1" t="e">
        <f t="shared" si="65"/>
        <v>#DIV/0!</v>
      </c>
      <c r="T123" s="1" t="e">
        <f t="shared" si="65"/>
        <v>#DIV/0!</v>
      </c>
      <c r="U123" s="1" t="e">
        <f t="shared" si="65"/>
        <v>#DIV/0!</v>
      </c>
      <c r="V123" s="1" t="e">
        <f t="shared" si="65"/>
        <v>#DIV/0!</v>
      </c>
      <c r="W123" s="1" t="e">
        <f t="shared" si="65"/>
        <v>#DIV/0!</v>
      </c>
      <c r="X123" s="1" t="e">
        <f t="shared" si="65"/>
        <v>#DIV/0!</v>
      </c>
      <c r="Y123" s="1" t="e">
        <f t="shared" si="65"/>
        <v>#DIV/0!</v>
      </c>
      <c r="Z123" s="1" t="e">
        <f t="shared" si="65"/>
        <v>#DIV/0!</v>
      </c>
      <c r="AA123" s="1" t="e">
        <f t="shared" si="65"/>
        <v>#DIV/0!</v>
      </c>
      <c r="AB123" s="1" t="e">
        <f t="shared" si="65"/>
        <v>#DIV/0!</v>
      </c>
      <c r="AC123" s="1" t="e">
        <f t="shared" si="65"/>
        <v>#DIV/0!</v>
      </c>
      <c r="AD123" s="1" t="e">
        <f t="shared" si="65"/>
        <v>#DIV/0!</v>
      </c>
      <c r="AE123" s="1" t="e">
        <f t="shared" si="65"/>
        <v>#DIV/0!</v>
      </c>
      <c r="AF123" s="1" t="e">
        <f t="shared" si="65"/>
        <v>#DIV/0!</v>
      </c>
      <c r="AG123" s="1" t="e">
        <f t="shared" si="65"/>
        <v>#DIV/0!</v>
      </c>
      <c r="AH123" s="1" t="e">
        <f t="shared" si="65"/>
        <v>#DIV/0!</v>
      </c>
      <c r="AI123" s="1" t="e">
        <f t="shared" si="65"/>
        <v>#DIV/0!</v>
      </c>
      <c r="AJ123" s="1" t="e">
        <f t="shared" si="65"/>
        <v>#DIV/0!</v>
      </c>
    </row>
    <row r="124" spans="1:36">
      <c r="A124" s="29">
        <f t="shared" si="41"/>
        <v>72</v>
      </c>
      <c r="B124" s="74"/>
      <c r="C124" s="74"/>
      <c r="D124" s="74"/>
      <c r="E124" s="1" t="e">
        <f t="shared" si="61"/>
        <v>#DIV/0!</v>
      </c>
      <c r="F124" s="1" t="e">
        <f t="shared" si="61"/>
        <v>#DIV/0!</v>
      </c>
      <c r="G124" s="1" t="e">
        <f t="shared" si="61"/>
        <v>#DIV/0!</v>
      </c>
      <c r="H124" s="1" t="e">
        <f t="shared" si="61"/>
        <v>#DIV/0!</v>
      </c>
      <c r="I124" s="1" t="e">
        <f t="shared" si="61"/>
        <v>#DIV/0!</v>
      </c>
      <c r="J124" s="1" t="e">
        <f t="shared" ref="J124:AJ124" si="66">(J61-$B61)/$B$4</f>
        <v>#DIV/0!</v>
      </c>
      <c r="K124" s="1" t="e">
        <f t="shared" si="66"/>
        <v>#DIV/0!</v>
      </c>
      <c r="L124" s="1" t="e">
        <f t="shared" si="66"/>
        <v>#DIV/0!</v>
      </c>
      <c r="M124" s="1" t="e">
        <f t="shared" si="66"/>
        <v>#DIV/0!</v>
      </c>
      <c r="N124" s="1" t="e">
        <f t="shared" si="66"/>
        <v>#DIV/0!</v>
      </c>
      <c r="O124" s="1" t="e">
        <f t="shared" si="66"/>
        <v>#DIV/0!</v>
      </c>
      <c r="P124" s="1" t="e">
        <f t="shared" si="66"/>
        <v>#DIV/0!</v>
      </c>
      <c r="Q124" s="1" t="e">
        <f t="shared" si="66"/>
        <v>#DIV/0!</v>
      </c>
      <c r="R124" s="1" t="e">
        <f t="shared" si="66"/>
        <v>#DIV/0!</v>
      </c>
      <c r="S124" s="1" t="e">
        <f t="shared" si="66"/>
        <v>#DIV/0!</v>
      </c>
      <c r="T124" s="1" t="e">
        <f t="shared" si="66"/>
        <v>#DIV/0!</v>
      </c>
      <c r="U124" s="1" t="e">
        <f t="shared" si="66"/>
        <v>#DIV/0!</v>
      </c>
      <c r="V124" s="1" t="e">
        <f t="shared" si="66"/>
        <v>#DIV/0!</v>
      </c>
      <c r="W124" s="1" t="e">
        <f t="shared" si="66"/>
        <v>#DIV/0!</v>
      </c>
      <c r="X124" s="1" t="e">
        <f t="shared" si="66"/>
        <v>#DIV/0!</v>
      </c>
      <c r="Y124" s="1" t="e">
        <f t="shared" si="66"/>
        <v>#DIV/0!</v>
      </c>
      <c r="Z124" s="1" t="e">
        <f t="shared" si="66"/>
        <v>#DIV/0!</v>
      </c>
      <c r="AA124" s="1" t="e">
        <f t="shared" si="66"/>
        <v>#DIV/0!</v>
      </c>
      <c r="AB124" s="1" t="e">
        <f t="shared" si="66"/>
        <v>#DIV/0!</v>
      </c>
      <c r="AC124" s="1" t="e">
        <f t="shared" si="66"/>
        <v>#DIV/0!</v>
      </c>
      <c r="AD124" s="1" t="e">
        <f t="shared" si="66"/>
        <v>#DIV/0!</v>
      </c>
      <c r="AE124" s="1" t="e">
        <f t="shared" si="66"/>
        <v>#DIV/0!</v>
      </c>
      <c r="AF124" s="1" t="e">
        <f t="shared" si="66"/>
        <v>#DIV/0!</v>
      </c>
      <c r="AG124" s="1" t="e">
        <f t="shared" si="66"/>
        <v>#DIV/0!</v>
      </c>
      <c r="AH124" s="1" t="e">
        <f t="shared" si="66"/>
        <v>#DIV/0!</v>
      </c>
      <c r="AI124" s="1" t="e">
        <f t="shared" si="66"/>
        <v>#DIV/0!</v>
      </c>
      <c r="AJ124" s="1" t="e">
        <f t="shared" si="66"/>
        <v>#DIV/0!</v>
      </c>
    </row>
    <row r="125" spans="1:36">
      <c r="A125" s="29">
        <f t="shared" si="41"/>
        <v>75</v>
      </c>
      <c r="B125" s="74"/>
      <c r="C125" s="74"/>
      <c r="D125" s="74"/>
      <c r="E125" s="1" t="e">
        <f t="shared" si="61"/>
        <v>#DIV/0!</v>
      </c>
      <c r="F125" s="1" t="e">
        <f t="shared" si="61"/>
        <v>#DIV/0!</v>
      </c>
      <c r="G125" s="1" t="e">
        <f t="shared" si="61"/>
        <v>#DIV/0!</v>
      </c>
      <c r="H125" s="1" t="e">
        <f t="shared" si="61"/>
        <v>#DIV/0!</v>
      </c>
      <c r="I125" s="1" t="e">
        <f t="shared" si="61"/>
        <v>#DIV/0!</v>
      </c>
      <c r="J125" s="1" t="e">
        <f t="shared" ref="J125:AJ125" si="67">(J62-$B62)/$B$4</f>
        <v>#DIV/0!</v>
      </c>
      <c r="K125" s="1" t="e">
        <f t="shared" si="67"/>
        <v>#DIV/0!</v>
      </c>
      <c r="L125" s="1" t="e">
        <f t="shared" si="67"/>
        <v>#DIV/0!</v>
      </c>
      <c r="M125" s="1" t="e">
        <f t="shared" si="67"/>
        <v>#DIV/0!</v>
      </c>
      <c r="N125" s="1" t="e">
        <f t="shared" si="67"/>
        <v>#DIV/0!</v>
      </c>
      <c r="O125" s="1" t="e">
        <f t="shared" si="67"/>
        <v>#DIV/0!</v>
      </c>
      <c r="P125" s="1" t="e">
        <f t="shared" si="67"/>
        <v>#DIV/0!</v>
      </c>
      <c r="Q125" s="1" t="e">
        <f t="shared" si="67"/>
        <v>#DIV/0!</v>
      </c>
      <c r="R125" s="1" t="e">
        <f t="shared" si="67"/>
        <v>#DIV/0!</v>
      </c>
      <c r="S125" s="1" t="e">
        <f t="shared" si="67"/>
        <v>#DIV/0!</v>
      </c>
      <c r="T125" s="1" t="e">
        <f t="shared" si="67"/>
        <v>#DIV/0!</v>
      </c>
      <c r="U125" s="1" t="e">
        <f t="shared" si="67"/>
        <v>#DIV/0!</v>
      </c>
      <c r="V125" s="1" t="e">
        <f t="shared" si="67"/>
        <v>#DIV/0!</v>
      </c>
      <c r="W125" s="1" t="e">
        <f t="shared" si="67"/>
        <v>#DIV/0!</v>
      </c>
      <c r="X125" s="1" t="e">
        <f t="shared" si="67"/>
        <v>#DIV/0!</v>
      </c>
      <c r="Y125" s="1" t="e">
        <f t="shared" si="67"/>
        <v>#DIV/0!</v>
      </c>
      <c r="Z125" s="1" t="e">
        <f t="shared" si="67"/>
        <v>#DIV/0!</v>
      </c>
      <c r="AA125" s="1" t="e">
        <f t="shared" si="67"/>
        <v>#DIV/0!</v>
      </c>
      <c r="AB125" s="1" t="e">
        <f t="shared" si="67"/>
        <v>#DIV/0!</v>
      </c>
      <c r="AC125" s="1" t="e">
        <f t="shared" si="67"/>
        <v>#DIV/0!</v>
      </c>
      <c r="AD125" s="1" t="e">
        <f t="shared" si="67"/>
        <v>#DIV/0!</v>
      </c>
      <c r="AE125" s="1" t="e">
        <f t="shared" si="67"/>
        <v>#DIV/0!</v>
      </c>
      <c r="AF125" s="1" t="e">
        <f t="shared" si="67"/>
        <v>#DIV/0!</v>
      </c>
      <c r="AG125" s="1" t="e">
        <f t="shared" si="67"/>
        <v>#DIV/0!</v>
      </c>
      <c r="AH125" s="1" t="e">
        <f t="shared" si="67"/>
        <v>#DIV/0!</v>
      </c>
      <c r="AI125" s="1" t="e">
        <f t="shared" si="67"/>
        <v>#DIV/0!</v>
      </c>
      <c r="AJ125" s="1" t="e">
        <f t="shared" si="67"/>
        <v>#DIV/0!</v>
      </c>
    </row>
    <row r="126" spans="1:36">
      <c r="A126" s="29">
        <f t="shared" si="41"/>
        <v>78</v>
      </c>
      <c r="B126" s="74"/>
      <c r="C126" s="74"/>
      <c r="D126" s="74"/>
      <c r="E126" s="1" t="e">
        <f t="shared" si="61"/>
        <v>#DIV/0!</v>
      </c>
      <c r="F126" s="1" t="e">
        <f t="shared" si="61"/>
        <v>#DIV/0!</v>
      </c>
      <c r="G126" s="1" t="e">
        <f t="shared" si="61"/>
        <v>#DIV/0!</v>
      </c>
      <c r="H126" s="1" t="e">
        <f t="shared" si="61"/>
        <v>#DIV/0!</v>
      </c>
      <c r="I126" s="1" t="e">
        <f t="shared" si="61"/>
        <v>#DIV/0!</v>
      </c>
      <c r="J126" s="1" t="e">
        <f t="shared" ref="J126:AJ126" si="68">(J63-$B63)/$B$4</f>
        <v>#DIV/0!</v>
      </c>
      <c r="K126" s="1" t="e">
        <f t="shared" si="68"/>
        <v>#DIV/0!</v>
      </c>
      <c r="L126" s="1" t="e">
        <f t="shared" si="68"/>
        <v>#DIV/0!</v>
      </c>
      <c r="M126" s="1" t="e">
        <f t="shared" si="68"/>
        <v>#DIV/0!</v>
      </c>
      <c r="N126" s="1" t="e">
        <f t="shared" si="68"/>
        <v>#DIV/0!</v>
      </c>
      <c r="O126" s="1" t="e">
        <f t="shared" si="68"/>
        <v>#DIV/0!</v>
      </c>
      <c r="P126" s="1" t="e">
        <f t="shared" si="68"/>
        <v>#DIV/0!</v>
      </c>
      <c r="Q126" s="1" t="e">
        <f t="shared" si="68"/>
        <v>#DIV/0!</v>
      </c>
      <c r="R126" s="1" t="e">
        <f t="shared" si="68"/>
        <v>#DIV/0!</v>
      </c>
      <c r="S126" s="1" t="e">
        <f t="shared" si="68"/>
        <v>#DIV/0!</v>
      </c>
      <c r="T126" s="1" t="e">
        <f t="shared" si="68"/>
        <v>#DIV/0!</v>
      </c>
      <c r="U126" s="1" t="e">
        <f t="shared" si="68"/>
        <v>#DIV/0!</v>
      </c>
      <c r="V126" s="1" t="e">
        <f t="shared" si="68"/>
        <v>#DIV/0!</v>
      </c>
      <c r="W126" s="1" t="e">
        <f t="shared" si="68"/>
        <v>#DIV/0!</v>
      </c>
      <c r="X126" s="1" t="e">
        <f t="shared" si="68"/>
        <v>#DIV/0!</v>
      </c>
      <c r="Y126" s="1" t="e">
        <f t="shared" si="68"/>
        <v>#DIV/0!</v>
      </c>
      <c r="Z126" s="1" t="e">
        <f t="shared" si="68"/>
        <v>#DIV/0!</v>
      </c>
      <c r="AA126" s="1" t="e">
        <f t="shared" si="68"/>
        <v>#DIV/0!</v>
      </c>
      <c r="AB126" s="1" t="e">
        <f t="shared" si="68"/>
        <v>#DIV/0!</v>
      </c>
      <c r="AC126" s="1" t="e">
        <f t="shared" si="68"/>
        <v>#DIV/0!</v>
      </c>
      <c r="AD126" s="1" t="e">
        <f t="shared" si="68"/>
        <v>#DIV/0!</v>
      </c>
      <c r="AE126" s="1" t="e">
        <f t="shared" si="68"/>
        <v>#DIV/0!</v>
      </c>
      <c r="AF126" s="1" t="e">
        <f t="shared" si="68"/>
        <v>#DIV/0!</v>
      </c>
      <c r="AG126" s="1" t="e">
        <f t="shared" si="68"/>
        <v>#DIV/0!</v>
      </c>
      <c r="AH126" s="1" t="e">
        <f t="shared" si="68"/>
        <v>#DIV/0!</v>
      </c>
      <c r="AI126" s="1" t="e">
        <f t="shared" si="68"/>
        <v>#DIV/0!</v>
      </c>
      <c r="AJ126" s="1" t="e">
        <f t="shared" si="68"/>
        <v>#DIV/0!</v>
      </c>
    </row>
    <row r="127" spans="1:36">
      <c r="A127" s="29">
        <f t="shared" si="41"/>
        <v>81</v>
      </c>
      <c r="B127" s="74"/>
      <c r="C127" s="74"/>
      <c r="D127" s="74"/>
      <c r="E127" s="1" t="e">
        <f t="shared" si="61"/>
        <v>#DIV/0!</v>
      </c>
      <c r="F127" s="1" t="e">
        <f t="shared" si="61"/>
        <v>#DIV/0!</v>
      </c>
      <c r="G127" s="1" t="e">
        <f t="shared" si="61"/>
        <v>#DIV/0!</v>
      </c>
      <c r="H127" s="1" t="e">
        <f t="shared" si="61"/>
        <v>#DIV/0!</v>
      </c>
      <c r="I127" s="1" t="e">
        <f t="shared" si="61"/>
        <v>#DIV/0!</v>
      </c>
      <c r="J127" s="1" t="e">
        <f t="shared" ref="J127:AJ127" si="69">(J64-$B64)/$B$4</f>
        <v>#DIV/0!</v>
      </c>
      <c r="K127" s="1" t="e">
        <f t="shared" si="69"/>
        <v>#DIV/0!</v>
      </c>
      <c r="L127" s="1" t="e">
        <f t="shared" si="69"/>
        <v>#DIV/0!</v>
      </c>
      <c r="M127" s="1" t="e">
        <f t="shared" si="69"/>
        <v>#DIV/0!</v>
      </c>
      <c r="N127" s="1" t="e">
        <f t="shared" si="69"/>
        <v>#DIV/0!</v>
      </c>
      <c r="O127" s="1" t="e">
        <f t="shared" si="69"/>
        <v>#DIV/0!</v>
      </c>
      <c r="P127" s="1" t="e">
        <f t="shared" si="69"/>
        <v>#DIV/0!</v>
      </c>
      <c r="Q127" s="1" t="e">
        <f t="shared" si="69"/>
        <v>#DIV/0!</v>
      </c>
      <c r="R127" s="1" t="e">
        <f t="shared" si="69"/>
        <v>#DIV/0!</v>
      </c>
      <c r="S127" s="1" t="e">
        <f t="shared" si="69"/>
        <v>#DIV/0!</v>
      </c>
      <c r="T127" s="1" t="e">
        <f t="shared" si="69"/>
        <v>#DIV/0!</v>
      </c>
      <c r="U127" s="1" t="e">
        <f t="shared" si="69"/>
        <v>#DIV/0!</v>
      </c>
      <c r="V127" s="1" t="e">
        <f t="shared" si="69"/>
        <v>#DIV/0!</v>
      </c>
      <c r="W127" s="1" t="e">
        <f t="shared" si="69"/>
        <v>#DIV/0!</v>
      </c>
      <c r="X127" s="1" t="e">
        <f t="shared" si="69"/>
        <v>#DIV/0!</v>
      </c>
      <c r="Y127" s="1" t="e">
        <f t="shared" si="69"/>
        <v>#DIV/0!</v>
      </c>
      <c r="Z127" s="1" t="e">
        <f t="shared" si="69"/>
        <v>#DIV/0!</v>
      </c>
      <c r="AA127" s="1" t="e">
        <f t="shared" si="69"/>
        <v>#DIV/0!</v>
      </c>
      <c r="AB127" s="1" t="e">
        <f t="shared" si="69"/>
        <v>#DIV/0!</v>
      </c>
      <c r="AC127" s="1" t="e">
        <f t="shared" si="69"/>
        <v>#DIV/0!</v>
      </c>
      <c r="AD127" s="1" t="e">
        <f t="shared" si="69"/>
        <v>#DIV/0!</v>
      </c>
      <c r="AE127" s="1" t="e">
        <f t="shared" si="69"/>
        <v>#DIV/0!</v>
      </c>
      <c r="AF127" s="1" t="e">
        <f t="shared" si="69"/>
        <v>#DIV/0!</v>
      </c>
      <c r="AG127" s="1" t="e">
        <f t="shared" si="69"/>
        <v>#DIV/0!</v>
      </c>
      <c r="AH127" s="1" t="e">
        <f t="shared" si="69"/>
        <v>#DIV/0!</v>
      </c>
      <c r="AI127" s="1" t="e">
        <f t="shared" si="69"/>
        <v>#DIV/0!</v>
      </c>
      <c r="AJ127" s="1" t="e">
        <f t="shared" si="69"/>
        <v>#DIV/0!</v>
      </c>
    </row>
    <row r="128" spans="1:36">
      <c r="A128" s="29">
        <f t="shared" si="41"/>
        <v>84</v>
      </c>
      <c r="B128" s="74"/>
      <c r="C128" s="74"/>
      <c r="D128" s="74"/>
      <c r="E128" s="1" t="e">
        <f t="shared" si="61"/>
        <v>#DIV/0!</v>
      </c>
      <c r="F128" s="1" t="e">
        <f t="shared" si="61"/>
        <v>#DIV/0!</v>
      </c>
      <c r="G128" s="1" t="e">
        <f t="shared" si="61"/>
        <v>#DIV/0!</v>
      </c>
      <c r="H128" s="1" t="e">
        <f t="shared" si="61"/>
        <v>#DIV/0!</v>
      </c>
      <c r="I128" s="1" t="e">
        <f t="shared" si="61"/>
        <v>#DIV/0!</v>
      </c>
      <c r="J128" s="1" t="e">
        <f t="shared" ref="J128:AJ128" si="70">(J65-$B65)/$B$4</f>
        <v>#DIV/0!</v>
      </c>
      <c r="K128" s="1" t="e">
        <f t="shared" si="70"/>
        <v>#DIV/0!</v>
      </c>
      <c r="L128" s="1" t="e">
        <f t="shared" si="70"/>
        <v>#DIV/0!</v>
      </c>
      <c r="M128" s="1" t="e">
        <f t="shared" si="70"/>
        <v>#DIV/0!</v>
      </c>
      <c r="N128" s="1" t="e">
        <f t="shared" si="70"/>
        <v>#DIV/0!</v>
      </c>
      <c r="O128" s="1" t="e">
        <f t="shared" si="70"/>
        <v>#DIV/0!</v>
      </c>
      <c r="P128" s="1" t="e">
        <f t="shared" si="70"/>
        <v>#DIV/0!</v>
      </c>
      <c r="Q128" s="1" t="e">
        <f t="shared" si="70"/>
        <v>#DIV/0!</v>
      </c>
      <c r="R128" s="1" t="e">
        <f t="shared" si="70"/>
        <v>#DIV/0!</v>
      </c>
      <c r="S128" s="1" t="e">
        <f t="shared" si="70"/>
        <v>#DIV/0!</v>
      </c>
      <c r="T128" s="1" t="e">
        <f t="shared" si="70"/>
        <v>#DIV/0!</v>
      </c>
      <c r="U128" s="1" t="e">
        <f t="shared" si="70"/>
        <v>#DIV/0!</v>
      </c>
      <c r="V128" s="1" t="e">
        <f t="shared" si="70"/>
        <v>#DIV/0!</v>
      </c>
      <c r="W128" s="1" t="e">
        <f t="shared" si="70"/>
        <v>#DIV/0!</v>
      </c>
      <c r="X128" s="1" t="e">
        <f t="shared" si="70"/>
        <v>#DIV/0!</v>
      </c>
      <c r="Y128" s="1" t="e">
        <f t="shared" si="70"/>
        <v>#DIV/0!</v>
      </c>
      <c r="Z128" s="1" t="e">
        <f t="shared" si="70"/>
        <v>#DIV/0!</v>
      </c>
      <c r="AA128" s="1" t="e">
        <f t="shared" si="70"/>
        <v>#DIV/0!</v>
      </c>
      <c r="AB128" s="1" t="e">
        <f t="shared" si="70"/>
        <v>#DIV/0!</v>
      </c>
      <c r="AC128" s="1" t="e">
        <f t="shared" si="70"/>
        <v>#DIV/0!</v>
      </c>
      <c r="AD128" s="1" t="e">
        <f t="shared" si="70"/>
        <v>#DIV/0!</v>
      </c>
      <c r="AE128" s="1" t="e">
        <f t="shared" si="70"/>
        <v>#DIV/0!</v>
      </c>
      <c r="AF128" s="1" t="e">
        <f t="shared" si="70"/>
        <v>#DIV/0!</v>
      </c>
      <c r="AG128" s="1" t="e">
        <f t="shared" si="70"/>
        <v>#DIV/0!</v>
      </c>
      <c r="AH128" s="1" t="e">
        <f t="shared" si="70"/>
        <v>#DIV/0!</v>
      </c>
      <c r="AI128" s="1" t="e">
        <f t="shared" si="70"/>
        <v>#DIV/0!</v>
      </c>
      <c r="AJ128" s="1" t="e">
        <f t="shared" si="70"/>
        <v>#DIV/0!</v>
      </c>
    </row>
    <row r="129" spans="1:36">
      <c r="A129" s="29">
        <f t="shared" si="41"/>
        <v>87</v>
      </c>
      <c r="B129" s="74"/>
      <c r="C129" s="74"/>
      <c r="D129" s="74"/>
      <c r="E129" s="1" t="e">
        <f t="shared" si="61"/>
        <v>#DIV/0!</v>
      </c>
      <c r="F129" s="1" t="e">
        <f t="shared" si="61"/>
        <v>#DIV/0!</v>
      </c>
      <c r="G129" s="1" t="e">
        <f t="shared" si="61"/>
        <v>#DIV/0!</v>
      </c>
      <c r="H129" s="1" t="e">
        <f t="shared" si="61"/>
        <v>#DIV/0!</v>
      </c>
      <c r="I129" s="1" t="e">
        <f t="shared" si="61"/>
        <v>#DIV/0!</v>
      </c>
      <c r="J129" s="1" t="e">
        <f t="shared" ref="J129:AJ129" si="71">(J66-$B66)/$B$4</f>
        <v>#DIV/0!</v>
      </c>
      <c r="K129" s="1" t="e">
        <f t="shared" si="71"/>
        <v>#DIV/0!</v>
      </c>
      <c r="L129" s="1" t="e">
        <f t="shared" si="71"/>
        <v>#DIV/0!</v>
      </c>
      <c r="M129" s="1" t="e">
        <f t="shared" si="71"/>
        <v>#DIV/0!</v>
      </c>
      <c r="N129" s="1" t="e">
        <f t="shared" si="71"/>
        <v>#DIV/0!</v>
      </c>
      <c r="O129" s="1" t="e">
        <f t="shared" si="71"/>
        <v>#DIV/0!</v>
      </c>
      <c r="P129" s="1" t="e">
        <f t="shared" si="71"/>
        <v>#DIV/0!</v>
      </c>
      <c r="Q129" s="1" t="e">
        <f t="shared" si="71"/>
        <v>#DIV/0!</v>
      </c>
      <c r="R129" s="1" t="e">
        <f t="shared" si="71"/>
        <v>#DIV/0!</v>
      </c>
      <c r="S129" s="1" t="e">
        <f t="shared" si="71"/>
        <v>#DIV/0!</v>
      </c>
      <c r="T129" s="1" t="e">
        <f t="shared" si="71"/>
        <v>#DIV/0!</v>
      </c>
      <c r="U129" s="1" t="e">
        <f t="shared" si="71"/>
        <v>#DIV/0!</v>
      </c>
      <c r="V129" s="1" t="e">
        <f t="shared" si="71"/>
        <v>#DIV/0!</v>
      </c>
      <c r="W129" s="1" t="e">
        <f t="shared" si="71"/>
        <v>#DIV/0!</v>
      </c>
      <c r="X129" s="1" t="e">
        <f t="shared" si="71"/>
        <v>#DIV/0!</v>
      </c>
      <c r="Y129" s="1" t="e">
        <f t="shared" si="71"/>
        <v>#DIV/0!</v>
      </c>
      <c r="Z129" s="1" t="e">
        <f t="shared" si="71"/>
        <v>#DIV/0!</v>
      </c>
      <c r="AA129" s="1" t="e">
        <f t="shared" si="71"/>
        <v>#DIV/0!</v>
      </c>
      <c r="AB129" s="1" t="e">
        <f t="shared" si="71"/>
        <v>#DIV/0!</v>
      </c>
      <c r="AC129" s="1" t="e">
        <f t="shared" si="71"/>
        <v>#DIV/0!</v>
      </c>
      <c r="AD129" s="1" t="e">
        <f t="shared" si="71"/>
        <v>#DIV/0!</v>
      </c>
      <c r="AE129" s="1" t="e">
        <f t="shared" si="71"/>
        <v>#DIV/0!</v>
      </c>
      <c r="AF129" s="1" t="e">
        <f t="shared" si="71"/>
        <v>#DIV/0!</v>
      </c>
      <c r="AG129" s="1" t="e">
        <f t="shared" si="71"/>
        <v>#DIV/0!</v>
      </c>
      <c r="AH129" s="1" t="e">
        <f t="shared" si="71"/>
        <v>#DIV/0!</v>
      </c>
      <c r="AI129" s="1" t="e">
        <f t="shared" si="71"/>
        <v>#DIV/0!</v>
      </c>
      <c r="AJ129" s="1" t="e">
        <f t="shared" si="71"/>
        <v>#DIV/0!</v>
      </c>
    </row>
    <row r="130" spans="1:36">
      <c r="A130" s="29">
        <f t="shared" si="41"/>
        <v>90</v>
      </c>
      <c r="B130" s="74"/>
      <c r="C130" s="74"/>
      <c r="D130" s="74"/>
      <c r="E130" s="1" t="e">
        <f t="shared" ref="E130:I130" si="72">(E67-$B67)/$B$4</f>
        <v>#DIV/0!</v>
      </c>
      <c r="F130" s="1" t="e">
        <f t="shared" si="72"/>
        <v>#DIV/0!</v>
      </c>
      <c r="G130" s="1" t="e">
        <f t="shared" si="72"/>
        <v>#DIV/0!</v>
      </c>
      <c r="H130" s="1" t="e">
        <f t="shared" si="72"/>
        <v>#DIV/0!</v>
      </c>
      <c r="I130" s="1" t="e">
        <f t="shared" si="72"/>
        <v>#DIV/0!</v>
      </c>
      <c r="J130" s="1" t="e">
        <f t="shared" ref="J130:AJ130" si="73">(J67-$B67)/$B$4</f>
        <v>#DIV/0!</v>
      </c>
      <c r="K130" s="1" t="e">
        <f t="shared" si="73"/>
        <v>#DIV/0!</v>
      </c>
      <c r="L130" s="1" t="e">
        <f t="shared" si="73"/>
        <v>#DIV/0!</v>
      </c>
      <c r="M130" s="1" t="e">
        <f t="shared" si="73"/>
        <v>#DIV/0!</v>
      </c>
      <c r="N130" s="1" t="e">
        <f t="shared" si="73"/>
        <v>#DIV/0!</v>
      </c>
      <c r="O130" s="1" t="e">
        <f t="shared" si="73"/>
        <v>#DIV/0!</v>
      </c>
      <c r="P130" s="1" t="e">
        <f t="shared" si="73"/>
        <v>#DIV/0!</v>
      </c>
      <c r="Q130" s="1" t="e">
        <f t="shared" si="73"/>
        <v>#DIV/0!</v>
      </c>
      <c r="R130" s="1" t="e">
        <f t="shared" si="73"/>
        <v>#DIV/0!</v>
      </c>
      <c r="S130" s="1" t="e">
        <f t="shared" si="73"/>
        <v>#DIV/0!</v>
      </c>
      <c r="T130" s="1" t="e">
        <f t="shared" si="73"/>
        <v>#DIV/0!</v>
      </c>
      <c r="U130" s="1" t="e">
        <f t="shared" si="73"/>
        <v>#DIV/0!</v>
      </c>
      <c r="V130" s="1" t="e">
        <f t="shared" si="73"/>
        <v>#DIV/0!</v>
      </c>
      <c r="W130" s="1" t="e">
        <f t="shared" si="73"/>
        <v>#DIV/0!</v>
      </c>
      <c r="X130" s="1" t="e">
        <f t="shared" si="73"/>
        <v>#DIV/0!</v>
      </c>
      <c r="Y130" s="1" t="e">
        <f t="shared" si="73"/>
        <v>#DIV/0!</v>
      </c>
      <c r="Z130" s="1" t="e">
        <f t="shared" si="73"/>
        <v>#DIV/0!</v>
      </c>
      <c r="AA130" s="1" t="e">
        <f t="shared" si="73"/>
        <v>#DIV/0!</v>
      </c>
      <c r="AB130" s="1" t="e">
        <f t="shared" si="73"/>
        <v>#DIV/0!</v>
      </c>
      <c r="AC130" s="1" t="e">
        <f t="shared" si="73"/>
        <v>#DIV/0!</v>
      </c>
      <c r="AD130" s="1" t="e">
        <f t="shared" si="73"/>
        <v>#DIV/0!</v>
      </c>
      <c r="AE130" s="1" t="e">
        <f t="shared" si="73"/>
        <v>#DIV/0!</v>
      </c>
      <c r="AF130" s="1" t="e">
        <f t="shared" si="73"/>
        <v>#DIV/0!</v>
      </c>
      <c r="AG130" s="1" t="e">
        <f t="shared" si="73"/>
        <v>#DIV/0!</v>
      </c>
      <c r="AH130" s="1" t="e">
        <f t="shared" si="73"/>
        <v>#DIV/0!</v>
      </c>
      <c r="AI130" s="1" t="e">
        <f t="shared" si="73"/>
        <v>#DIV/0!</v>
      </c>
      <c r="AJ130" s="1" t="e">
        <f t="shared" si="73"/>
        <v>#DIV/0!</v>
      </c>
    </row>
    <row r="131" spans="1:36">
      <c r="A131" s="29"/>
      <c r="B131" s="74"/>
      <c r="C131" s="74"/>
      <c r="D131" s="74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>
      <c r="A132" s="29"/>
      <c r="B132" s="74"/>
      <c r="C132" s="74"/>
      <c r="D132" s="74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>
      <c r="A133" s="29"/>
      <c r="B133" s="74"/>
      <c r="C133" s="74"/>
      <c r="D133" s="74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>
      <c r="A134" s="29"/>
      <c r="B134" s="74"/>
      <c r="C134" s="74"/>
      <c r="D134" s="74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>
      <c r="A135" s="29"/>
      <c r="B135" s="74"/>
      <c r="C135" s="74"/>
      <c r="D135" s="74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>
      <c r="A136" s="29"/>
      <c r="B136" s="74"/>
      <c r="C136" s="74"/>
      <c r="D136" s="74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>
      <c r="A137" s="29"/>
      <c r="B137" s="74"/>
      <c r="C137" s="74"/>
      <c r="D137" s="74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>
      <c r="A138" s="29"/>
      <c r="B138" s="74"/>
      <c r="C138" s="74"/>
      <c r="D138" s="74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>
      <c r="A139" s="29"/>
      <c r="B139" s="74"/>
      <c r="C139" s="74"/>
      <c r="D139" s="74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>
      <c r="A140" s="29"/>
      <c r="B140" s="74"/>
      <c r="C140" s="74"/>
      <c r="D140" s="74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>
      <c r="A141" s="29"/>
      <c r="B141" s="74"/>
      <c r="C141" s="74"/>
      <c r="D141" s="74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>
      <c r="A142" s="29"/>
      <c r="B142" s="74"/>
      <c r="C142" s="74"/>
      <c r="D142" s="74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>
      <c r="A143" s="29"/>
      <c r="B143" s="74"/>
      <c r="C143" s="74"/>
      <c r="D143" s="74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>
      <c r="A144" s="29"/>
      <c r="B144" s="74"/>
      <c r="C144" s="74"/>
      <c r="D144" s="74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1:36">
      <c r="A145" s="29"/>
      <c r="B145" s="74"/>
      <c r="C145" s="74"/>
      <c r="D145" s="74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1:36">
      <c r="A146" s="29"/>
      <c r="B146" s="74"/>
      <c r="C146" s="74"/>
      <c r="D146" s="74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1:36">
      <c r="A147" s="29"/>
      <c r="B147" s="74"/>
      <c r="C147" s="74"/>
      <c r="D147" s="74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36">
      <c r="A148" s="29"/>
      <c r="B148" s="74"/>
      <c r="C148" s="74"/>
      <c r="D148" s="74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1:36">
      <c r="A149" s="29"/>
      <c r="B149" s="74"/>
      <c r="C149" s="74"/>
      <c r="D149" s="74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1:36">
      <c r="A150" s="29"/>
      <c r="B150" s="74"/>
      <c r="C150" s="74"/>
      <c r="D150" s="74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1:36">
      <c r="A151" s="29"/>
      <c r="B151" s="74"/>
      <c r="C151" s="74"/>
      <c r="D151" s="74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1:36">
      <c r="A152" s="29"/>
      <c r="B152" s="74"/>
      <c r="C152" s="74"/>
      <c r="D152" s="74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1:36">
      <c r="A153" s="29"/>
      <c r="B153" s="74"/>
      <c r="C153" s="74"/>
      <c r="D153" s="74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1:36">
      <c r="A154" s="29"/>
      <c r="B154" s="74"/>
      <c r="C154" s="74"/>
      <c r="D154" s="74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1:36">
      <c r="A155" s="29"/>
      <c r="B155" s="74"/>
      <c r="C155" s="74"/>
      <c r="D155" s="74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1:36">
      <c r="A156" s="29"/>
      <c r="B156" s="74"/>
      <c r="C156" s="74"/>
      <c r="D156" s="74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1:36">
      <c r="A157" s="29"/>
      <c r="B157" s="74"/>
      <c r="C157" s="74"/>
      <c r="D157" s="74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1:36">
      <c r="A158" s="29"/>
      <c r="B158" s="74"/>
      <c r="C158" s="74"/>
      <c r="D158" s="74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36">
      <c r="A159" s="29"/>
      <c r="B159" s="74"/>
      <c r="C159" s="74"/>
      <c r="D159" s="74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1:36">
      <c r="A160" s="29"/>
      <c r="B160" s="74"/>
      <c r="C160" s="74"/>
      <c r="D160" s="74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>
      <c r="A161" s="29"/>
      <c r="B161" s="74"/>
      <c r="C161" s="74"/>
      <c r="D161" s="74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1:36">
      <c r="A162" s="29"/>
      <c r="B162" s="74"/>
      <c r="C162" s="74"/>
      <c r="D162" s="74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1:36">
      <c r="A163" s="29"/>
      <c r="B163" s="74"/>
      <c r="C163" s="74"/>
      <c r="D163" s="74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1:36">
      <c r="A164" s="29"/>
      <c r="B164" s="74"/>
      <c r="C164" s="74"/>
      <c r="D164" s="74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1:36">
      <c r="A165" s="29"/>
      <c r="B165" s="74"/>
      <c r="C165" s="74"/>
      <c r="D165" s="74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1:36">
      <c r="A166" s="29"/>
      <c r="B166" s="74"/>
      <c r="C166" s="74"/>
      <c r="D166" s="74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1:36">
      <c r="A167" s="29"/>
      <c r="B167" s="74"/>
      <c r="C167" s="74"/>
      <c r="D167" s="74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1:36">
      <c r="A168" s="29"/>
      <c r="B168" s="74"/>
      <c r="C168" s="74"/>
      <c r="D168" s="74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1:36">
      <c r="A169" s="29"/>
      <c r="B169" s="74"/>
      <c r="C169" s="74"/>
      <c r="D169" s="74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1:36">
      <c r="A170" s="29"/>
      <c r="B170" s="74"/>
      <c r="C170" s="74"/>
      <c r="D170" s="74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1:36">
      <c r="A171" s="29"/>
      <c r="B171" s="74"/>
      <c r="C171" s="74"/>
      <c r="D171" s="74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1:36">
      <c r="A172" s="29"/>
      <c r="B172" s="74"/>
      <c r="C172" s="74"/>
      <c r="D172" s="74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1:36">
      <c r="A173" s="29"/>
      <c r="B173" s="74"/>
      <c r="C173" s="74"/>
      <c r="D173" s="74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1:36">
      <c r="A174" s="29"/>
      <c r="B174" s="74"/>
      <c r="C174" s="74"/>
      <c r="D174" s="74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1:36">
      <c r="A175" s="29"/>
      <c r="B175" s="74"/>
      <c r="C175" s="74"/>
      <c r="D175" s="74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1:36">
      <c r="A176" s="29"/>
      <c r="B176" s="74"/>
      <c r="C176" s="74"/>
      <c r="D176" s="74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1:36">
      <c r="A177" s="29"/>
      <c r="B177" s="74"/>
      <c r="C177" s="74"/>
      <c r="D177" s="74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1:36">
      <c r="A178" s="29"/>
      <c r="B178" s="74"/>
      <c r="C178" s="74"/>
      <c r="D178" s="74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1:36">
      <c r="A179" s="29"/>
      <c r="B179" s="74"/>
      <c r="C179" s="74"/>
      <c r="D179" s="74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1:36">
      <c r="A180" s="29"/>
      <c r="B180" s="74"/>
      <c r="C180" s="74"/>
      <c r="D180" s="74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1:36">
      <c r="A181" s="29"/>
      <c r="B181" s="74"/>
      <c r="C181" s="74"/>
      <c r="D181" s="74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1:36">
      <c r="A182" s="29"/>
      <c r="B182" s="74"/>
      <c r="C182" s="74"/>
      <c r="D182" s="74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1:36">
      <c r="A183" s="29"/>
      <c r="B183" s="74"/>
      <c r="C183" s="74"/>
      <c r="D183" s="74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1:36">
      <c r="A184" s="29"/>
      <c r="B184" s="74"/>
      <c r="C184" s="74"/>
      <c r="D184" s="74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1:36">
      <c r="A185" s="29"/>
      <c r="B185" s="74"/>
      <c r="C185" s="74"/>
      <c r="D185" s="74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1:36">
      <c r="A186" s="29"/>
      <c r="B186" s="74"/>
      <c r="C186" s="74"/>
      <c r="D186" s="74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1:36">
      <c r="A187" s="29"/>
      <c r="B187" s="74"/>
      <c r="C187" s="74"/>
      <c r="D187" s="74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</row>
    <row r="188" spans="1:36">
      <c r="A188" s="29"/>
      <c r="B188" s="74"/>
      <c r="C188" s="74"/>
      <c r="D188" s="74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</row>
    <row r="191" spans="1:36">
      <c r="A191" s="29"/>
    </row>
    <row r="192" spans="1:36">
      <c r="A192" s="29"/>
    </row>
    <row r="193" spans="1:1">
      <c r="A193" s="29"/>
    </row>
    <row r="194" spans="1:1">
      <c r="A194" s="29"/>
    </row>
    <row r="195" spans="1:1">
      <c r="A195" s="29"/>
    </row>
    <row r="196" spans="1:1">
      <c r="A196" s="29"/>
    </row>
    <row r="197" spans="1:1">
      <c r="A197" s="29"/>
    </row>
    <row r="198" spans="1:1">
      <c r="A198" s="29"/>
    </row>
    <row r="199" spans="1:1">
      <c r="A199" s="29"/>
    </row>
    <row r="200" spans="1:1">
      <c r="A200" s="29"/>
    </row>
    <row r="201" spans="1:1">
      <c r="A201" s="29"/>
    </row>
    <row r="202" spans="1:1">
      <c r="A202" s="29"/>
    </row>
    <row r="203" spans="1:1">
      <c r="A203" s="29"/>
    </row>
    <row r="204" spans="1:1">
      <c r="A204" s="29"/>
    </row>
    <row r="205" spans="1:1">
      <c r="A205" s="29"/>
    </row>
    <row r="206" spans="1:1">
      <c r="A206" s="29"/>
    </row>
    <row r="207" spans="1:1">
      <c r="A207" s="29"/>
    </row>
    <row r="208" spans="1:1">
      <c r="A208" s="29"/>
    </row>
    <row r="209" spans="1:1">
      <c r="A209" s="29"/>
    </row>
    <row r="210" spans="1:1">
      <c r="A210" s="29"/>
    </row>
    <row r="211" spans="1:1">
      <c r="A211" s="29"/>
    </row>
    <row r="212" spans="1:1">
      <c r="A212" s="29"/>
    </row>
    <row r="213" spans="1:1">
      <c r="A213" s="29"/>
    </row>
    <row r="214" spans="1:1">
      <c r="A214" s="29"/>
    </row>
    <row r="215" spans="1:1">
      <c r="A215" s="29"/>
    </row>
    <row r="216" spans="1:1">
      <c r="A216" s="29"/>
    </row>
    <row r="217" spans="1:1">
      <c r="A217" s="29"/>
    </row>
    <row r="218" spans="1:1">
      <c r="A218" s="29"/>
    </row>
    <row r="219" spans="1:1">
      <c r="A219" s="29"/>
    </row>
    <row r="220" spans="1:1">
      <c r="A220" s="29"/>
    </row>
    <row r="221" spans="1:1">
      <c r="A221" s="29"/>
    </row>
    <row r="222" spans="1:1">
      <c r="A222" s="29"/>
    </row>
    <row r="223" spans="1:1">
      <c r="A223" s="29"/>
    </row>
    <row r="224" spans="1:1">
      <c r="A224" s="29"/>
    </row>
    <row r="225" spans="1:1">
      <c r="A225" s="29"/>
    </row>
    <row r="226" spans="1:1">
      <c r="A226" s="29"/>
    </row>
    <row r="227" spans="1:1">
      <c r="A227" s="29"/>
    </row>
    <row r="228" spans="1:1">
      <c r="A228" s="29"/>
    </row>
    <row r="229" spans="1:1">
      <c r="A229" s="29"/>
    </row>
    <row r="230" spans="1:1">
      <c r="A230" s="29"/>
    </row>
    <row r="231" spans="1:1">
      <c r="A231" s="29"/>
    </row>
    <row r="232" spans="1:1">
      <c r="A232" s="29"/>
    </row>
    <row r="233" spans="1:1">
      <c r="A233" s="29"/>
    </row>
    <row r="234" spans="1:1">
      <c r="A234" s="29"/>
    </row>
    <row r="235" spans="1:1">
      <c r="A235" s="29"/>
    </row>
    <row r="236" spans="1:1">
      <c r="A236" s="29"/>
    </row>
    <row r="237" spans="1:1">
      <c r="A237" s="29"/>
    </row>
    <row r="238" spans="1:1">
      <c r="A238" s="29"/>
    </row>
    <row r="239" spans="1:1">
      <c r="A239" s="29"/>
    </row>
    <row r="240" spans="1:1">
      <c r="A240" s="29"/>
    </row>
    <row r="241" spans="1:1">
      <c r="A241" s="29"/>
    </row>
    <row r="242" spans="1:1">
      <c r="A242" s="29"/>
    </row>
    <row r="243" spans="1:1">
      <c r="A243" s="29"/>
    </row>
    <row r="244" spans="1:1">
      <c r="A244" s="29"/>
    </row>
    <row r="245" spans="1:1">
      <c r="A245" s="29"/>
    </row>
    <row r="246" spans="1:1">
      <c r="A246" s="29"/>
    </row>
    <row r="247" spans="1:1">
      <c r="A247" s="29"/>
    </row>
    <row r="248" spans="1:1">
      <c r="A248" s="29"/>
    </row>
    <row r="249" spans="1:1">
      <c r="A249" s="29"/>
    </row>
    <row r="250" spans="1:1">
      <c r="A250" s="29"/>
    </row>
    <row r="251" spans="1:1">
      <c r="A251" s="29"/>
    </row>
    <row r="252" spans="1:1">
      <c r="A252" s="29"/>
    </row>
    <row r="253" spans="1:1">
      <c r="A253" s="29"/>
    </row>
    <row r="254" spans="1:1">
      <c r="A254" s="29"/>
    </row>
    <row r="255" spans="1:1">
      <c r="A255" s="29"/>
    </row>
    <row r="256" spans="1:1">
      <c r="A256" s="29"/>
    </row>
    <row r="257" spans="1:1">
      <c r="A257" s="29"/>
    </row>
    <row r="258" spans="1:1">
      <c r="A258" s="29"/>
    </row>
    <row r="259" spans="1:1">
      <c r="A259" s="29"/>
    </row>
    <row r="260" spans="1:1">
      <c r="A260" s="29"/>
    </row>
    <row r="261" spans="1:1">
      <c r="A261" s="29"/>
    </row>
    <row r="262" spans="1:1">
      <c r="A262" s="29"/>
    </row>
    <row r="263" spans="1:1">
      <c r="A263" s="29"/>
    </row>
    <row r="264" spans="1:1">
      <c r="A264" s="29"/>
    </row>
    <row r="265" spans="1:1">
      <c r="A265" s="29"/>
    </row>
    <row r="266" spans="1:1">
      <c r="A266" s="29"/>
    </row>
    <row r="267" spans="1:1">
      <c r="A267" s="29"/>
    </row>
    <row r="268" spans="1:1">
      <c r="A268" s="29"/>
    </row>
    <row r="269" spans="1:1">
      <c r="A269" s="29"/>
    </row>
    <row r="270" spans="1:1">
      <c r="A270" s="29"/>
    </row>
    <row r="271" spans="1:1">
      <c r="A271" s="29"/>
    </row>
    <row r="272" spans="1:1">
      <c r="A272" s="29"/>
    </row>
    <row r="273" spans="1:1">
      <c r="A273" s="29"/>
    </row>
    <row r="274" spans="1:1">
      <c r="A274" s="29"/>
    </row>
    <row r="275" spans="1:1">
      <c r="A275" s="29"/>
    </row>
    <row r="276" spans="1:1">
      <c r="A276" s="29"/>
    </row>
    <row r="277" spans="1:1">
      <c r="A277" s="29"/>
    </row>
    <row r="278" spans="1:1">
      <c r="A278" s="29"/>
    </row>
    <row r="279" spans="1:1">
      <c r="A279" s="29"/>
    </row>
    <row r="280" spans="1:1">
      <c r="A280" s="29"/>
    </row>
    <row r="281" spans="1:1">
      <c r="A281" s="29"/>
    </row>
    <row r="282" spans="1:1">
      <c r="A282" s="29"/>
    </row>
    <row r="283" spans="1:1">
      <c r="A283" s="29"/>
    </row>
    <row r="284" spans="1:1">
      <c r="A284" s="29"/>
    </row>
    <row r="285" spans="1:1">
      <c r="A285" s="29"/>
    </row>
    <row r="286" spans="1:1">
      <c r="A286" s="29"/>
    </row>
    <row r="287" spans="1:1">
      <c r="A287" s="29"/>
    </row>
    <row r="288" spans="1:1">
      <c r="A288" s="29"/>
    </row>
    <row r="289" spans="1:1">
      <c r="A289" s="29"/>
    </row>
    <row r="290" spans="1:1">
      <c r="A290" s="29"/>
    </row>
    <row r="291" spans="1:1">
      <c r="A291" s="29"/>
    </row>
    <row r="292" spans="1:1">
      <c r="A292" s="29"/>
    </row>
    <row r="293" spans="1:1">
      <c r="A293" s="29"/>
    </row>
    <row r="294" spans="1:1">
      <c r="A294" s="29"/>
    </row>
    <row r="295" spans="1:1">
      <c r="A295" s="29"/>
    </row>
    <row r="296" spans="1:1">
      <c r="A296" s="29"/>
    </row>
    <row r="297" spans="1:1">
      <c r="A297" s="29"/>
    </row>
    <row r="298" spans="1:1">
      <c r="A298" s="29"/>
    </row>
    <row r="299" spans="1:1">
      <c r="A299" s="29"/>
    </row>
    <row r="300" spans="1:1">
      <c r="A300" s="29"/>
    </row>
    <row r="301" spans="1:1">
      <c r="A301" s="29"/>
    </row>
    <row r="302" spans="1:1">
      <c r="A302" s="29"/>
    </row>
    <row r="303" spans="1:1">
      <c r="A303" s="29"/>
    </row>
    <row r="304" spans="1:1">
      <c r="A304" s="29"/>
    </row>
    <row r="305" spans="1:1">
      <c r="A305" s="29"/>
    </row>
    <row r="306" spans="1:1">
      <c r="A306" s="29"/>
    </row>
    <row r="307" spans="1:1">
      <c r="A307" s="29"/>
    </row>
    <row r="308" spans="1:1">
      <c r="A308" s="29"/>
    </row>
    <row r="309" spans="1:1">
      <c r="A309" s="29"/>
    </row>
    <row r="310" spans="1:1">
      <c r="A310" s="29"/>
    </row>
    <row r="311" spans="1:1">
      <c r="A311" s="29"/>
    </row>
    <row r="312" spans="1:1">
      <c r="A312" s="29"/>
    </row>
    <row r="313" spans="1:1">
      <c r="A313" s="29"/>
    </row>
    <row r="314" spans="1:1">
      <c r="A314" s="29"/>
    </row>
    <row r="315" spans="1:1">
      <c r="A315" s="29"/>
    </row>
    <row r="316" spans="1:1">
      <c r="A316" s="29"/>
    </row>
    <row r="317" spans="1:1">
      <c r="A317" s="29"/>
    </row>
    <row r="318" spans="1:1">
      <c r="A318" s="29"/>
    </row>
    <row r="319" spans="1:1">
      <c r="A319" s="29"/>
    </row>
    <row r="320" spans="1:1">
      <c r="A320" s="29"/>
    </row>
    <row r="321" spans="1:1">
      <c r="A321" s="29"/>
    </row>
    <row r="322" spans="1:1">
      <c r="A322" s="29"/>
    </row>
    <row r="323" spans="1:1">
      <c r="A323" s="29"/>
    </row>
    <row r="324" spans="1:1">
      <c r="A324" s="29"/>
    </row>
    <row r="325" spans="1:1">
      <c r="A325" s="29"/>
    </row>
    <row r="326" spans="1:1">
      <c r="A326" s="29"/>
    </row>
    <row r="327" spans="1:1">
      <c r="A327" s="29"/>
    </row>
    <row r="328" spans="1:1">
      <c r="A328" s="29"/>
    </row>
    <row r="329" spans="1:1">
      <c r="A329" s="29"/>
    </row>
    <row r="330" spans="1:1">
      <c r="A330" s="29"/>
    </row>
    <row r="331" spans="1:1">
      <c r="A331" s="29"/>
    </row>
    <row r="332" spans="1:1">
      <c r="A332" s="29"/>
    </row>
    <row r="333" spans="1:1">
      <c r="A333" s="29"/>
    </row>
    <row r="334" spans="1:1">
      <c r="A334" s="29"/>
    </row>
    <row r="335" spans="1:1">
      <c r="A335" s="29"/>
    </row>
    <row r="336" spans="1:1">
      <c r="A336" s="29"/>
    </row>
    <row r="337" spans="1:1">
      <c r="A337" s="29"/>
    </row>
    <row r="338" spans="1:1">
      <c r="A338" s="29"/>
    </row>
    <row r="339" spans="1:1">
      <c r="A339" s="29"/>
    </row>
    <row r="340" spans="1:1">
      <c r="A340" s="29"/>
    </row>
    <row r="341" spans="1:1">
      <c r="A341" s="29"/>
    </row>
    <row r="342" spans="1:1">
      <c r="A342" s="29"/>
    </row>
    <row r="343" spans="1:1">
      <c r="A343" s="29"/>
    </row>
    <row r="344" spans="1:1">
      <c r="A344" s="29"/>
    </row>
    <row r="345" spans="1:1">
      <c r="A345" s="29"/>
    </row>
    <row r="346" spans="1:1">
      <c r="A346" s="29"/>
    </row>
    <row r="347" spans="1:1">
      <c r="A347" s="29"/>
    </row>
    <row r="348" spans="1:1">
      <c r="A348" s="29"/>
    </row>
    <row r="349" spans="1:1">
      <c r="A349" s="29"/>
    </row>
    <row r="350" spans="1:1">
      <c r="A350" s="29"/>
    </row>
    <row r="351" spans="1:1">
      <c r="A351" s="29"/>
    </row>
    <row r="352" spans="1:1">
      <c r="A352" s="29"/>
    </row>
    <row r="353" spans="1:1">
      <c r="A353" s="29"/>
    </row>
    <row r="354" spans="1:1">
      <c r="A354" s="29"/>
    </row>
    <row r="355" spans="1:1">
      <c r="A355" s="29"/>
    </row>
    <row r="356" spans="1:1">
      <c r="A356" s="29"/>
    </row>
    <row r="357" spans="1:1">
      <c r="A357" s="29"/>
    </row>
    <row r="358" spans="1:1">
      <c r="A358" s="29"/>
    </row>
    <row r="359" spans="1:1">
      <c r="A359" s="29"/>
    </row>
    <row r="360" spans="1:1">
      <c r="A360" s="29"/>
    </row>
    <row r="361" spans="1:1">
      <c r="A361" s="29"/>
    </row>
    <row r="362" spans="1:1">
      <c r="A362" s="29"/>
    </row>
    <row r="363" spans="1:1">
      <c r="A363" s="29"/>
    </row>
    <row r="364" spans="1:1">
      <c r="A364" s="29"/>
    </row>
    <row r="365" spans="1:1">
      <c r="A365" s="29"/>
    </row>
    <row r="366" spans="1:1">
      <c r="A366" s="29"/>
    </row>
    <row r="367" spans="1:1">
      <c r="A367" s="29"/>
    </row>
    <row r="368" spans="1:1">
      <c r="A368" s="29"/>
    </row>
    <row r="369" spans="1:5">
      <c r="A369" s="29"/>
    </row>
    <row r="370" spans="1:5">
      <c r="A370" s="29"/>
    </row>
    <row r="371" spans="1:5">
      <c r="A371" s="29"/>
      <c r="E371" s="29"/>
    </row>
    <row r="372" spans="1:5">
      <c r="A372" s="29"/>
      <c r="E372" s="29"/>
    </row>
    <row r="373" spans="1:5">
      <c r="A373" s="29"/>
      <c r="E373" s="29"/>
    </row>
    <row r="374" spans="1:5">
      <c r="A374" s="29"/>
      <c r="E374" s="29"/>
    </row>
    <row r="375" spans="1:5">
      <c r="A375" s="29"/>
      <c r="E375" s="29"/>
    </row>
    <row r="376" spans="1:5">
      <c r="A376" s="29"/>
      <c r="E376" s="29"/>
    </row>
    <row r="377" spans="1:5">
      <c r="A377" s="29"/>
      <c r="E377" s="29"/>
    </row>
    <row r="378" spans="1:5">
      <c r="A378" s="29"/>
      <c r="E378" s="29"/>
    </row>
  </sheetData>
  <conditionalFormatting sqref="E7:AJ188">
    <cfRule type="top10" dxfId="10" priority="1" percent="1" rank="10"/>
  </conditionalFormatting>
  <conditionalFormatting sqref="E6:AJ6">
    <cfRule type="top10" dxfId="9" priority="3" percent="1" rank="10"/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4:AJ187"/>
  <sheetViews>
    <sheetView zoomScale="80" zoomScaleNormal="80" workbookViewId="0">
      <pane xSplit="9525" ySplit="6720" topLeftCell="X112"/>
      <selection activeCell="I6" sqref="I6:AJ130"/>
      <selection pane="topRight" activeCell="AA2" sqref="AA2"/>
      <selection pane="bottomLeft" activeCell="I67" sqref="A7:I67"/>
      <selection pane="bottomRight" activeCell="L28" sqref="L28"/>
    </sheetView>
  </sheetViews>
  <sheetFormatPr defaultColWidth="7.140625" defaultRowHeight="15"/>
  <cols>
    <col min="1" max="1" width="7.140625" style="29"/>
    <col min="2" max="2" width="9.28515625" style="29" bestFit="1" customWidth="1"/>
    <col min="3" max="4" width="9.28515625" style="29" customWidth="1"/>
    <col min="5" max="36" width="9.28515625" style="29" bestFit="1" customWidth="1"/>
    <col min="37" max="16384" width="7.140625" style="29"/>
  </cols>
  <sheetData>
    <row r="4" spans="1:36">
      <c r="A4" s="29" t="s">
        <v>17</v>
      </c>
      <c r="B4" s="74" t="e">
        <f>MAX(B7:B67)</f>
        <v>#DIV/0!</v>
      </c>
      <c r="C4" s="74"/>
      <c r="D4" s="74"/>
    </row>
    <row r="5" spans="1:36">
      <c r="B5" s="29" t="s">
        <v>32</v>
      </c>
      <c r="E5" s="29">
        <f>data0!B1</f>
        <v>0</v>
      </c>
      <c r="F5" s="29">
        <f>data0!C1</f>
        <v>1</v>
      </c>
      <c r="G5" s="29">
        <f>data0!D1</f>
        <v>2</v>
      </c>
      <c r="H5" s="29">
        <f>data0!E1</f>
        <v>3</v>
      </c>
      <c r="I5" s="29">
        <f>data0!F1</f>
        <v>4</v>
      </c>
      <c r="J5" s="29">
        <f>data0!G1</f>
        <v>5</v>
      </c>
      <c r="K5" s="29">
        <f>data0!H1</f>
        <v>6</v>
      </c>
      <c r="L5" s="29">
        <f>data0!I1</f>
        <v>7</v>
      </c>
      <c r="M5" s="29">
        <f>data0!J1</f>
        <v>8</v>
      </c>
      <c r="N5" s="29">
        <f>data0!K1</f>
        <v>9</v>
      </c>
      <c r="O5" s="29">
        <f>data0!L1</f>
        <v>10</v>
      </c>
      <c r="P5" s="29">
        <f>data0!M1</f>
        <v>11</v>
      </c>
      <c r="Q5" s="29">
        <f>data0!N1</f>
        <v>12</v>
      </c>
      <c r="R5" s="29">
        <f>data0!O1</f>
        <v>13</v>
      </c>
      <c r="S5" s="29">
        <f>data0!P1</f>
        <v>14</v>
      </c>
      <c r="T5" s="29">
        <f>data0!Q1</f>
        <v>15</v>
      </c>
      <c r="U5" s="29">
        <f>data0!R1</f>
        <v>16</v>
      </c>
      <c r="V5" s="29">
        <f>data0!S1</f>
        <v>17</v>
      </c>
      <c r="W5" s="29">
        <f>data0!T1</f>
        <v>18</v>
      </c>
      <c r="X5" s="29">
        <f>data0!U1</f>
        <v>19</v>
      </c>
      <c r="Y5" s="29">
        <f>data0!V1</f>
        <v>20</v>
      </c>
      <c r="Z5" s="29">
        <f>data0!W1</f>
        <v>21</v>
      </c>
      <c r="AA5" s="29">
        <f>data0!X1</f>
        <v>22</v>
      </c>
      <c r="AB5" s="29">
        <f>data0!Y1</f>
        <v>23</v>
      </c>
      <c r="AC5" s="29">
        <f>data0!Z1</f>
        <v>24</v>
      </c>
      <c r="AD5" s="29">
        <f>data0!AA1</f>
        <v>25</v>
      </c>
      <c r="AE5" s="29">
        <f>data0!AB1</f>
        <v>26</v>
      </c>
      <c r="AF5" s="29">
        <f>data0!AC1</f>
        <v>27</v>
      </c>
      <c r="AG5" s="29">
        <f>data0!AD1</f>
        <v>28</v>
      </c>
      <c r="AH5" s="29">
        <f>data0!AE1</f>
        <v>29</v>
      </c>
      <c r="AI5" s="29">
        <f>data0!AF1</f>
        <v>30</v>
      </c>
      <c r="AJ5" s="29">
        <f>data0!AG1</f>
        <v>31</v>
      </c>
    </row>
    <row r="6" spans="1:36" s="75" customFormat="1">
      <c r="A6" s="75" t="s">
        <v>31</v>
      </c>
      <c r="B6" s="75" t="e">
        <f>SUM(B7:B67)</f>
        <v>#DIV/0!</v>
      </c>
      <c r="C6" s="80" t="s">
        <v>2</v>
      </c>
      <c r="D6" s="80" t="s">
        <v>33</v>
      </c>
      <c r="E6" s="75">
        <f>SUM(data1!B2:B62)</f>
        <v>0</v>
      </c>
      <c r="F6" s="75">
        <f>SUM(data1!C2:C62)</f>
        <v>0</v>
      </c>
      <c r="G6" s="75">
        <f>SUM(data1!D2:D62)</f>
        <v>0</v>
      </c>
      <c r="H6" s="75">
        <f>SUM(data1!E2:E62)</f>
        <v>0</v>
      </c>
      <c r="I6" s="75">
        <f>SUM(data1!F2:F62)</f>
        <v>0</v>
      </c>
      <c r="J6" s="75">
        <f>SUM(data1!G2:G62)</f>
        <v>0</v>
      </c>
      <c r="K6" s="75">
        <f>SUM(data1!H2:H62)</f>
        <v>0</v>
      </c>
      <c r="L6" s="75">
        <f>SUM(data1!I2:I62)</f>
        <v>0</v>
      </c>
      <c r="M6" s="75">
        <f>SUM(data1!J2:J62)</f>
        <v>0</v>
      </c>
      <c r="N6" s="75">
        <f>SUM(data1!K2:K62)</f>
        <v>0</v>
      </c>
      <c r="O6" s="75">
        <f>SUM(data1!L2:L62)</f>
        <v>0</v>
      </c>
      <c r="P6" s="75">
        <f>SUM(data1!M2:M62)</f>
        <v>0</v>
      </c>
      <c r="Q6" s="75">
        <f>SUM(data1!N2:N62)</f>
        <v>0</v>
      </c>
      <c r="R6" s="75">
        <f>SUM(data1!O2:O62)</f>
        <v>0</v>
      </c>
      <c r="S6" s="75">
        <f>SUM(data1!P2:P62)</f>
        <v>0</v>
      </c>
      <c r="T6" s="75">
        <f>SUM(data1!Q2:Q62)</f>
        <v>0</v>
      </c>
      <c r="U6" s="75">
        <f>SUM(data1!R2:R62)</f>
        <v>0</v>
      </c>
      <c r="V6" s="75">
        <f>SUM(data1!S2:S62)</f>
        <v>0</v>
      </c>
      <c r="W6" s="75">
        <f>SUM(data1!T2:T62)</f>
        <v>0</v>
      </c>
      <c r="X6" s="75">
        <f>SUM(data1!U2:U62)</f>
        <v>0</v>
      </c>
      <c r="Y6" s="75">
        <f>SUM(data1!V2:V62)</f>
        <v>0</v>
      </c>
      <c r="Z6" s="75">
        <f>SUM(data1!W2:W62)</f>
        <v>0</v>
      </c>
      <c r="AA6" s="75">
        <f>SUM(data1!X2:X62)</f>
        <v>0</v>
      </c>
      <c r="AB6" s="75">
        <f>SUM(data1!Y2:Y62)</f>
        <v>0</v>
      </c>
      <c r="AC6" s="75">
        <f>SUM(data1!Z2:Z62)</f>
        <v>0</v>
      </c>
      <c r="AD6" s="75">
        <f>SUM(data1!AA2:AA62)</f>
        <v>0</v>
      </c>
      <c r="AE6" s="75">
        <f>SUM(data1!AB2:AB62)</f>
        <v>0</v>
      </c>
      <c r="AF6" s="75">
        <f>SUM(data1!AC2:AC62)</f>
        <v>0</v>
      </c>
      <c r="AG6" s="75">
        <f>SUM(data1!AD2:AD62)</f>
        <v>0</v>
      </c>
      <c r="AH6" s="75">
        <f>SUM(data1!AE2:AE62)</f>
        <v>0</v>
      </c>
      <c r="AI6" s="75">
        <f>SUM(data1!AF2:AF62)</f>
        <v>0</v>
      </c>
      <c r="AJ6" s="75">
        <f>SUM(data1!AG2:AG62)</f>
        <v>0</v>
      </c>
    </row>
    <row r="7" spans="1:36">
      <c r="A7" s="29">
        <f>data0!A2</f>
        <v>-90</v>
      </c>
      <c r="B7" s="74" t="e">
        <f>AVERAGE(data1!B2:AG2)</f>
        <v>#DIV/0!</v>
      </c>
      <c r="C7" s="74" t="e">
        <f>AVERAGE(E7:AJ7)</f>
        <v>#DIV/0!</v>
      </c>
      <c r="D7" s="74" t="e">
        <f>STDEV(E7:AJ7)</f>
        <v>#DIV/0!</v>
      </c>
      <c r="E7" s="74" t="e">
        <f>data1!B2*$B$6/E$6</f>
        <v>#DIV/0!</v>
      </c>
      <c r="F7" s="74" t="e">
        <f>data1!C2*$B$6/F$6</f>
        <v>#DIV/0!</v>
      </c>
      <c r="G7" s="74" t="e">
        <f>data1!D2*$B$6/G$6</f>
        <v>#DIV/0!</v>
      </c>
      <c r="H7" s="74" t="e">
        <f>data1!E2*$B$6/H$6</f>
        <v>#DIV/0!</v>
      </c>
      <c r="I7" s="74" t="e">
        <f>data1!F2*$B$6/I$6</f>
        <v>#DIV/0!</v>
      </c>
      <c r="J7" s="74" t="e">
        <f>data1!G2*$B$6/J$6</f>
        <v>#DIV/0!</v>
      </c>
      <c r="K7" s="74" t="e">
        <f>data1!H2*$B$6/K$6</f>
        <v>#DIV/0!</v>
      </c>
      <c r="L7" s="74" t="e">
        <f>data1!I2*$B$6/L$6</f>
        <v>#DIV/0!</v>
      </c>
      <c r="M7" s="74" t="e">
        <f>data1!J2*$B$6/M$6</f>
        <v>#DIV/0!</v>
      </c>
      <c r="N7" s="74" t="e">
        <f>data1!K2*$B$6/N$6</f>
        <v>#DIV/0!</v>
      </c>
      <c r="O7" s="74" t="e">
        <f>data1!L2*$B$6/O$6</f>
        <v>#DIV/0!</v>
      </c>
      <c r="P7" s="74" t="e">
        <f>data1!M2*$B$6/P$6</f>
        <v>#DIV/0!</v>
      </c>
      <c r="Q7" s="74" t="e">
        <f>data1!N2*$B$6/Q$6</f>
        <v>#DIV/0!</v>
      </c>
      <c r="R7" s="74" t="e">
        <f>data1!O2*$B$6/R$6</f>
        <v>#DIV/0!</v>
      </c>
      <c r="S7" s="74" t="e">
        <f>data1!P2*$B$6/S$6</f>
        <v>#DIV/0!</v>
      </c>
      <c r="T7" s="74" t="e">
        <f>data1!Q2*$B$6/T$6</f>
        <v>#DIV/0!</v>
      </c>
      <c r="U7" s="74" t="e">
        <f>data1!R2*$B$6/U$6</f>
        <v>#DIV/0!</v>
      </c>
      <c r="V7" s="74" t="e">
        <f>data1!S2*$B$6/V$6</f>
        <v>#DIV/0!</v>
      </c>
      <c r="W7" s="74" t="e">
        <f>data1!T2*$B$6/W$6</f>
        <v>#DIV/0!</v>
      </c>
      <c r="X7" s="74" t="e">
        <f>data1!U2*$B$6/X$6</f>
        <v>#DIV/0!</v>
      </c>
      <c r="Y7" s="74" t="e">
        <f>data1!V2*$B$6/Y$6</f>
        <v>#DIV/0!</v>
      </c>
      <c r="Z7" s="74" t="e">
        <f>data1!W2*$B$6/Z$6</f>
        <v>#DIV/0!</v>
      </c>
      <c r="AA7" s="74" t="e">
        <f>data1!X2*$B$6/AA$6</f>
        <v>#DIV/0!</v>
      </c>
      <c r="AB7" s="74" t="e">
        <f>data1!Y2*$B$6/AB$6</f>
        <v>#DIV/0!</v>
      </c>
      <c r="AC7" s="74" t="e">
        <f>data1!Z2*$B$6/AC$6</f>
        <v>#DIV/0!</v>
      </c>
      <c r="AD7" s="74" t="e">
        <f>data1!AA2*$B$6/AD$6</f>
        <v>#DIV/0!</v>
      </c>
      <c r="AE7" s="74" t="e">
        <f>data1!AB2*$B$6/AE$6</f>
        <v>#DIV/0!</v>
      </c>
      <c r="AF7" s="74" t="e">
        <f>data1!AC2*$B$6/AF$6</f>
        <v>#DIV/0!</v>
      </c>
      <c r="AG7" s="74" t="e">
        <f>data1!AD2*$B$6/AG$6</f>
        <v>#DIV/0!</v>
      </c>
      <c r="AH7" s="74" t="e">
        <f>data1!AE2*$B$6/AH$6</f>
        <v>#DIV/0!</v>
      </c>
      <c r="AI7" s="74" t="e">
        <f>data1!AF2*$B$6/AI$6</f>
        <v>#DIV/0!</v>
      </c>
      <c r="AJ7" s="74" t="e">
        <f>data1!AG2*$B$6/AJ$6</f>
        <v>#DIV/0!</v>
      </c>
    </row>
    <row r="8" spans="1:36">
      <c r="A8" s="29">
        <f>data0!A3</f>
        <v>-87</v>
      </c>
      <c r="B8" s="74" t="e">
        <f>AVERAGE(data1!B3:AG3)</f>
        <v>#DIV/0!</v>
      </c>
      <c r="C8" s="74" t="e">
        <f t="shared" ref="C8:C67" si="0">AVERAGE(E8:AJ8)</f>
        <v>#DIV/0!</v>
      </c>
      <c r="D8" s="74" t="e">
        <f t="shared" ref="D8:D67" si="1">STDEV(E8:AJ8)</f>
        <v>#DIV/0!</v>
      </c>
      <c r="E8" s="74" t="e">
        <f>data1!B3*$B$6/E$6</f>
        <v>#DIV/0!</v>
      </c>
      <c r="F8" s="74" t="e">
        <f>data1!C3*$B$6/F$6</f>
        <v>#DIV/0!</v>
      </c>
      <c r="G8" s="74" t="e">
        <f>data1!D3*$B$6/G$6</f>
        <v>#DIV/0!</v>
      </c>
      <c r="H8" s="74" t="e">
        <f>data1!E3*$B$6/H$6</f>
        <v>#DIV/0!</v>
      </c>
      <c r="I8" s="74" t="e">
        <f>data1!F3*$B$6/I$6</f>
        <v>#DIV/0!</v>
      </c>
      <c r="J8" s="74" t="e">
        <f>data1!G3*$B$6/J$6</f>
        <v>#DIV/0!</v>
      </c>
      <c r="K8" s="74" t="e">
        <f>data1!H3*$B$6/K$6</f>
        <v>#DIV/0!</v>
      </c>
      <c r="L8" s="74" t="e">
        <f>data1!I3*$B$6/L$6</f>
        <v>#DIV/0!</v>
      </c>
      <c r="M8" s="74" t="e">
        <f>data1!J3*$B$6/M$6</f>
        <v>#DIV/0!</v>
      </c>
      <c r="N8" s="74" t="e">
        <f>data1!K3*$B$6/N$6</f>
        <v>#DIV/0!</v>
      </c>
      <c r="O8" s="74" t="e">
        <f>data1!L3*$B$6/O$6</f>
        <v>#DIV/0!</v>
      </c>
      <c r="P8" s="74" t="e">
        <f>data1!M3*$B$6/P$6</f>
        <v>#DIV/0!</v>
      </c>
      <c r="Q8" s="74" t="e">
        <f>data1!N3*$B$6/Q$6</f>
        <v>#DIV/0!</v>
      </c>
      <c r="R8" s="74" t="e">
        <f>data1!O3*$B$6/R$6</f>
        <v>#DIV/0!</v>
      </c>
      <c r="S8" s="74" t="e">
        <f>data1!P3*$B$6/S$6</f>
        <v>#DIV/0!</v>
      </c>
      <c r="T8" s="74" t="e">
        <f>data1!Q3*$B$6/T$6</f>
        <v>#DIV/0!</v>
      </c>
      <c r="U8" s="74" t="e">
        <f>data1!R3*$B$6/U$6</f>
        <v>#DIV/0!</v>
      </c>
      <c r="V8" s="74" t="e">
        <f>data1!S3*$B$6/V$6</f>
        <v>#DIV/0!</v>
      </c>
      <c r="W8" s="74" t="e">
        <f>data1!T3*$B$6/W$6</f>
        <v>#DIV/0!</v>
      </c>
      <c r="X8" s="74" t="e">
        <f>data1!U3*$B$6/X$6</f>
        <v>#DIV/0!</v>
      </c>
      <c r="Y8" s="74" t="e">
        <f>data1!V3*$B$6/Y$6</f>
        <v>#DIV/0!</v>
      </c>
      <c r="Z8" s="74" t="e">
        <f>data1!W3*$B$6/Z$6</f>
        <v>#DIV/0!</v>
      </c>
      <c r="AA8" s="74" t="e">
        <f>data1!X3*$B$6/AA$6</f>
        <v>#DIV/0!</v>
      </c>
      <c r="AB8" s="74" t="e">
        <f>data1!Y3*$B$6/AB$6</f>
        <v>#DIV/0!</v>
      </c>
      <c r="AC8" s="74" t="e">
        <f>data1!Z3*$B$6/AC$6</f>
        <v>#DIV/0!</v>
      </c>
      <c r="AD8" s="74" t="e">
        <f>data1!AA3*$B$6/AD$6</f>
        <v>#DIV/0!</v>
      </c>
      <c r="AE8" s="74" t="e">
        <f>data1!AB3*$B$6/AE$6</f>
        <v>#DIV/0!</v>
      </c>
      <c r="AF8" s="74" t="e">
        <f>data1!AC3*$B$6/AF$6</f>
        <v>#DIV/0!</v>
      </c>
      <c r="AG8" s="74" t="e">
        <f>data1!AD3*$B$6/AG$6</f>
        <v>#DIV/0!</v>
      </c>
      <c r="AH8" s="74" t="e">
        <f>data1!AE3*$B$6/AH$6</f>
        <v>#DIV/0!</v>
      </c>
      <c r="AI8" s="74" t="e">
        <f>data1!AF3*$B$6/AI$6</f>
        <v>#DIV/0!</v>
      </c>
      <c r="AJ8" s="74" t="e">
        <f>data1!AG3*$B$6/AJ$6</f>
        <v>#DIV/0!</v>
      </c>
    </row>
    <row r="9" spans="1:36">
      <c r="A9" s="29">
        <f>data0!A4</f>
        <v>-84</v>
      </c>
      <c r="B9" s="74" t="e">
        <f>AVERAGE(data1!B4:AG4)</f>
        <v>#DIV/0!</v>
      </c>
      <c r="C9" s="74" t="e">
        <f t="shared" si="0"/>
        <v>#DIV/0!</v>
      </c>
      <c r="D9" s="74" t="e">
        <f t="shared" si="1"/>
        <v>#DIV/0!</v>
      </c>
      <c r="E9" s="74" t="e">
        <f>data1!B4*$B$6/E$6</f>
        <v>#DIV/0!</v>
      </c>
      <c r="F9" s="74" t="e">
        <f>data1!C4*$B$6/F$6</f>
        <v>#DIV/0!</v>
      </c>
      <c r="G9" s="74" t="e">
        <f>data1!D4*$B$6/G$6</f>
        <v>#DIV/0!</v>
      </c>
      <c r="H9" s="74" t="e">
        <f>data1!E4*$B$6/H$6</f>
        <v>#DIV/0!</v>
      </c>
      <c r="I9" s="74" t="e">
        <f>data1!F4*$B$6/I$6</f>
        <v>#DIV/0!</v>
      </c>
      <c r="J9" s="74" t="e">
        <f>data1!G4*$B$6/J$6</f>
        <v>#DIV/0!</v>
      </c>
      <c r="K9" s="74" t="e">
        <f>data1!H4*$B$6/K$6</f>
        <v>#DIV/0!</v>
      </c>
      <c r="L9" s="74" t="e">
        <f>data1!I4*$B$6/L$6</f>
        <v>#DIV/0!</v>
      </c>
      <c r="M9" s="74" t="e">
        <f>data1!J4*$B$6/M$6</f>
        <v>#DIV/0!</v>
      </c>
      <c r="N9" s="74" t="e">
        <f>data1!K4*$B$6/N$6</f>
        <v>#DIV/0!</v>
      </c>
      <c r="O9" s="74" t="e">
        <f>data1!L4*$B$6/O$6</f>
        <v>#DIV/0!</v>
      </c>
      <c r="P9" s="74" t="e">
        <f>data1!M4*$B$6/P$6</f>
        <v>#DIV/0!</v>
      </c>
      <c r="Q9" s="74" t="e">
        <f>data1!N4*$B$6/Q$6</f>
        <v>#DIV/0!</v>
      </c>
      <c r="R9" s="74" t="e">
        <f>data1!O4*$B$6/R$6</f>
        <v>#DIV/0!</v>
      </c>
      <c r="S9" s="74" t="e">
        <f>data1!P4*$B$6/S$6</f>
        <v>#DIV/0!</v>
      </c>
      <c r="T9" s="74" t="e">
        <f>data1!Q4*$B$6/T$6</f>
        <v>#DIV/0!</v>
      </c>
      <c r="U9" s="74" t="e">
        <f>data1!R4*$B$6/U$6</f>
        <v>#DIV/0!</v>
      </c>
      <c r="V9" s="74" t="e">
        <f>data1!S4*$B$6/V$6</f>
        <v>#DIV/0!</v>
      </c>
      <c r="W9" s="74" t="e">
        <f>data1!T4*$B$6/W$6</f>
        <v>#DIV/0!</v>
      </c>
      <c r="X9" s="74" t="e">
        <f>data1!U4*$B$6/X$6</f>
        <v>#DIV/0!</v>
      </c>
      <c r="Y9" s="74" t="e">
        <f>data1!V4*$B$6/Y$6</f>
        <v>#DIV/0!</v>
      </c>
      <c r="Z9" s="74" t="e">
        <f>data1!W4*$B$6/Z$6</f>
        <v>#DIV/0!</v>
      </c>
      <c r="AA9" s="74" t="e">
        <f>data1!X4*$B$6/AA$6</f>
        <v>#DIV/0!</v>
      </c>
      <c r="AB9" s="74" t="e">
        <f>data1!Y4*$B$6/AB$6</f>
        <v>#DIV/0!</v>
      </c>
      <c r="AC9" s="74" t="e">
        <f>data1!Z4*$B$6/AC$6</f>
        <v>#DIV/0!</v>
      </c>
      <c r="AD9" s="74" t="e">
        <f>data1!AA4*$B$6/AD$6</f>
        <v>#DIV/0!</v>
      </c>
      <c r="AE9" s="74" t="e">
        <f>data1!AB4*$B$6/AE$6</f>
        <v>#DIV/0!</v>
      </c>
      <c r="AF9" s="74" t="e">
        <f>data1!AC4*$B$6/AF$6</f>
        <v>#DIV/0!</v>
      </c>
      <c r="AG9" s="74" t="e">
        <f>data1!AD4*$B$6/AG$6</f>
        <v>#DIV/0!</v>
      </c>
      <c r="AH9" s="74" t="e">
        <f>data1!AE4*$B$6/AH$6</f>
        <v>#DIV/0!</v>
      </c>
      <c r="AI9" s="74" t="e">
        <f>data1!AF4*$B$6/AI$6</f>
        <v>#DIV/0!</v>
      </c>
      <c r="AJ9" s="74" t="e">
        <f>data1!AG4*$B$6/AJ$6</f>
        <v>#DIV/0!</v>
      </c>
    </row>
    <row r="10" spans="1:36">
      <c r="A10" s="29">
        <f>data0!A5</f>
        <v>-81</v>
      </c>
      <c r="B10" s="74" t="e">
        <f>AVERAGE(data1!B5:AG5)</f>
        <v>#DIV/0!</v>
      </c>
      <c r="C10" s="74" t="e">
        <f t="shared" si="0"/>
        <v>#DIV/0!</v>
      </c>
      <c r="D10" s="74" t="e">
        <f t="shared" si="1"/>
        <v>#DIV/0!</v>
      </c>
      <c r="E10" s="74" t="e">
        <f>data1!B5*$B$6/E$6</f>
        <v>#DIV/0!</v>
      </c>
      <c r="F10" s="74" t="e">
        <f>data1!C5*$B$6/F$6</f>
        <v>#DIV/0!</v>
      </c>
      <c r="G10" s="74" t="e">
        <f>data1!D5*$B$6/G$6</f>
        <v>#DIV/0!</v>
      </c>
      <c r="H10" s="74" t="e">
        <f>data1!E5*$B$6/H$6</f>
        <v>#DIV/0!</v>
      </c>
      <c r="I10" s="74" t="e">
        <f>data1!F5*$B$6/I$6</f>
        <v>#DIV/0!</v>
      </c>
      <c r="J10" s="74" t="e">
        <f>data1!G5*$B$6/J$6</f>
        <v>#DIV/0!</v>
      </c>
      <c r="K10" s="74" t="e">
        <f>data1!H5*$B$6/K$6</f>
        <v>#DIV/0!</v>
      </c>
      <c r="L10" s="74" t="e">
        <f>data1!I5*$B$6/L$6</f>
        <v>#DIV/0!</v>
      </c>
      <c r="M10" s="74" t="e">
        <f>data1!J5*$B$6/M$6</f>
        <v>#DIV/0!</v>
      </c>
      <c r="N10" s="74" t="e">
        <f>data1!K5*$B$6/N$6</f>
        <v>#DIV/0!</v>
      </c>
      <c r="O10" s="74" t="e">
        <f>data1!L5*$B$6/O$6</f>
        <v>#DIV/0!</v>
      </c>
      <c r="P10" s="74" t="e">
        <f>data1!M5*$B$6/P$6</f>
        <v>#DIV/0!</v>
      </c>
      <c r="Q10" s="74" t="e">
        <f>data1!N5*$B$6/Q$6</f>
        <v>#DIV/0!</v>
      </c>
      <c r="R10" s="74" t="e">
        <f>data1!O5*$B$6/R$6</f>
        <v>#DIV/0!</v>
      </c>
      <c r="S10" s="74" t="e">
        <f>data1!P5*$B$6/S$6</f>
        <v>#DIV/0!</v>
      </c>
      <c r="T10" s="74" t="e">
        <f>data1!Q5*$B$6/T$6</f>
        <v>#DIV/0!</v>
      </c>
      <c r="U10" s="74" t="e">
        <f>data1!R5*$B$6/U$6</f>
        <v>#DIV/0!</v>
      </c>
      <c r="V10" s="74" t="e">
        <f>data1!S5*$B$6/V$6</f>
        <v>#DIV/0!</v>
      </c>
      <c r="W10" s="74" t="e">
        <f>data1!T5*$B$6/W$6</f>
        <v>#DIV/0!</v>
      </c>
      <c r="X10" s="74" t="e">
        <f>data1!U5*$B$6/X$6</f>
        <v>#DIV/0!</v>
      </c>
      <c r="Y10" s="74" t="e">
        <f>data1!V5*$B$6/Y$6</f>
        <v>#DIV/0!</v>
      </c>
      <c r="Z10" s="74" t="e">
        <f>data1!W5*$B$6/Z$6</f>
        <v>#DIV/0!</v>
      </c>
      <c r="AA10" s="74" t="e">
        <f>data1!X5*$B$6/AA$6</f>
        <v>#DIV/0!</v>
      </c>
      <c r="AB10" s="74" t="e">
        <f>data1!Y5*$B$6/AB$6</f>
        <v>#DIV/0!</v>
      </c>
      <c r="AC10" s="74" t="e">
        <f>data1!Z5*$B$6/AC$6</f>
        <v>#DIV/0!</v>
      </c>
      <c r="AD10" s="74" t="e">
        <f>data1!AA5*$B$6/AD$6</f>
        <v>#DIV/0!</v>
      </c>
      <c r="AE10" s="74" t="e">
        <f>data1!AB5*$B$6/AE$6</f>
        <v>#DIV/0!</v>
      </c>
      <c r="AF10" s="74" t="e">
        <f>data1!AC5*$B$6/AF$6</f>
        <v>#DIV/0!</v>
      </c>
      <c r="AG10" s="74" t="e">
        <f>data1!AD5*$B$6/AG$6</f>
        <v>#DIV/0!</v>
      </c>
      <c r="AH10" s="74" t="e">
        <f>data1!AE5*$B$6/AH$6</f>
        <v>#DIV/0!</v>
      </c>
      <c r="AI10" s="74" t="e">
        <f>data1!AF5*$B$6/AI$6</f>
        <v>#DIV/0!</v>
      </c>
      <c r="AJ10" s="74" t="e">
        <f>data1!AG5*$B$6/AJ$6</f>
        <v>#DIV/0!</v>
      </c>
    </row>
    <row r="11" spans="1:36">
      <c r="A11" s="29">
        <f>data0!A6</f>
        <v>-78</v>
      </c>
      <c r="B11" s="74" t="e">
        <f>AVERAGE(data1!B6:AG6)</f>
        <v>#DIV/0!</v>
      </c>
      <c r="C11" s="74" t="e">
        <f t="shared" si="0"/>
        <v>#DIV/0!</v>
      </c>
      <c r="D11" s="74" t="e">
        <f t="shared" si="1"/>
        <v>#DIV/0!</v>
      </c>
      <c r="E11" s="74" t="e">
        <f>data1!B6*$B$6/E$6</f>
        <v>#DIV/0!</v>
      </c>
      <c r="F11" s="74" t="e">
        <f>data1!C6*$B$6/F$6</f>
        <v>#DIV/0!</v>
      </c>
      <c r="G11" s="74" t="e">
        <f>data1!D6*$B$6/G$6</f>
        <v>#DIV/0!</v>
      </c>
      <c r="H11" s="74" t="e">
        <f>data1!E6*$B$6/H$6</f>
        <v>#DIV/0!</v>
      </c>
      <c r="I11" s="74" t="e">
        <f>data1!F6*$B$6/I$6</f>
        <v>#DIV/0!</v>
      </c>
      <c r="J11" s="74" t="e">
        <f>data1!G6*$B$6/J$6</f>
        <v>#DIV/0!</v>
      </c>
      <c r="K11" s="74" t="e">
        <f>data1!H6*$B$6/K$6</f>
        <v>#DIV/0!</v>
      </c>
      <c r="L11" s="74" t="e">
        <f>data1!I6*$B$6/L$6</f>
        <v>#DIV/0!</v>
      </c>
      <c r="M11" s="74" t="e">
        <f>data1!J6*$B$6/M$6</f>
        <v>#DIV/0!</v>
      </c>
      <c r="N11" s="74" t="e">
        <f>data1!K6*$B$6/N$6</f>
        <v>#DIV/0!</v>
      </c>
      <c r="O11" s="74" t="e">
        <f>data1!L6*$B$6/O$6</f>
        <v>#DIV/0!</v>
      </c>
      <c r="P11" s="74" t="e">
        <f>data1!M6*$B$6/P$6</f>
        <v>#DIV/0!</v>
      </c>
      <c r="Q11" s="74" t="e">
        <f>data1!N6*$B$6/Q$6</f>
        <v>#DIV/0!</v>
      </c>
      <c r="R11" s="74" t="e">
        <f>data1!O6*$B$6/R$6</f>
        <v>#DIV/0!</v>
      </c>
      <c r="S11" s="74" t="e">
        <f>data1!P6*$B$6/S$6</f>
        <v>#DIV/0!</v>
      </c>
      <c r="T11" s="74" t="e">
        <f>data1!Q6*$B$6/T$6</f>
        <v>#DIV/0!</v>
      </c>
      <c r="U11" s="74" t="e">
        <f>data1!R6*$B$6/U$6</f>
        <v>#DIV/0!</v>
      </c>
      <c r="V11" s="74" t="e">
        <f>data1!S6*$B$6/V$6</f>
        <v>#DIV/0!</v>
      </c>
      <c r="W11" s="74" t="e">
        <f>data1!T6*$B$6/W$6</f>
        <v>#DIV/0!</v>
      </c>
      <c r="X11" s="74" t="e">
        <f>data1!U6*$B$6/X$6</f>
        <v>#DIV/0!</v>
      </c>
      <c r="Y11" s="74" t="e">
        <f>data1!V6*$B$6/Y$6</f>
        <v>#DIV/0!</v>
      </c>
      <c r="Z11" s="74" t="e">
        <f>data1!W6*$B$6/Z$6</f>
        <v>#DIV/0!</v>
      </c>
      <c r="AA11" s="74" t="e">
        <f>data1!X6*$B$6/AA$6</f>
        <v>#DIV/0!</v>
      </c>
      <c r="AB11" s="74" t="e">
        <f>data1!Y6*$B$6/AB$6</f>
        <v>#DIV/0!</v>
      </c>
      <c r="AC11" s="74" t="e">
        <f>data1!Z6*$B$6/AC$6</f>
        <v>#DIV/0!</v>
      </c>
      <c r="AD11" s="74" t="e">
        <f>data1!AA6*$B$6/AD$6</f>
        <v>#DIV/0!</v>
      </c>
      <c r="AE11" s="74" t="e">
        <f>data1!AB6*$B$6/AE$6</f>
        <v>#DIV/0!</v>
      </c>
      <c r="AF11" s="74" t="e">
        <f>data1!AC6*$B$6/AF$6</f>
        <v>#DIV/0!</v>
      </c>
      <c r="AG11" s="74" t="e">
        <f>data1!AD6*$B$6/AG$6</f>
        <v>#DIV/0!</v>
      </c>
      <c r="AH11" s="74" t="e">
        <f>data1!AE6*$B$6/AH$6</f>
        <v>#DIV/0!</v>
      </c>
      <c r="AI11" s="74" t="e">
        <f>data1!AF6*$B$6/AI$6</f>
        <v>#DIV/0!</v>
      </c>
      <c r="AJ11" s="74" t="e">
        <f>data1!AG6*$B$6/AJ$6</f>
        <v>#DIV/0!</v>
      </c>
    </row>
    <row r="12" spans="1:36">
      <c r="A12" s="29">
        <f>data0!A7</f>
        <v>-75</v>
      </c>
      <c r="B12" s="74" t="e">
        <f>AVERAGE(data1!B7:AG7)</f>
        <v>#DIV/0!</v>
      </c>
      <c r="C12" s="74" t="e">
        <f t="shared" si="0"/>
        <v>#DIV/0!</v>
      </c>
      <c r="D12" s="74" t="e">
        <f t="shared" si="1"/>
        <v>#DIV/0!</v>
      </c>
      <c r="E12" s="74" t="e">
        <f>data1!B7*$B$6/E$6</f>
        <v>#DIV/0!</v>
      </c>
      <c r="F12" s="74" t="e">
        <f>data1!C7*$B$6/F$6</f>
        <v>#DIV/0!</v>
      </c>
      <c r="G12" s="74" t="e">
        <f>data1!D7*$B$6/G$6</f>
        <v>#DIV/0!</v>
      </c>
      <c r="H12" s="74" t="e">
        <f>data1!E7*$B$6/H$6</f>
        <v>#DIV/0!</v>
      </c>
      <c r="I12" s="74" t="e">
        <f>data1!F7*$B$6/I$6</f>
        <v>#DIV/0!</v>
      </c>
      <c r="J12" s="74" t="e">
        <f>data1!G7*$B$6/J$6</f>
        <v>#DIV/0!</v>
      </c>
      <c r="K12" s="74" t="e">
        <f>data1!H7*$B$6/K$6</f>
        <v>#DIV/0!</v>
      </c>
      <c r="L12" s="74" t="e">
        <f>data1!I7*$B$6/L$6</f>
        <v>#DIV/0!</v>
      </c>
      <c r="M12" s="74" t="e">
        <f>data1!J7*$B$6/M$6</f>
        <v>#DIV/0!</v>
      </c>
      <c r="N12" s="74" t="e">
        <f>data1!K7*$B$6/N$6</f>
        <v>#DIV/0!</v>
      </c>
      <c r="O12" s="74" t="e">
        <f>data1!L7*$B$6/O$6</f>
        <v>#DIV/0!</v>
      </c>
      <c r="P12" s="74" t="e">
        <f>data1!M7*$B$6/P$6</f>
        <v>#DIV/0!</v>
      </c>
      <c r="Q12" s="74" t="e">
        <f>data1!N7*$B$6/Q$6</f>
        <v>#DIV/0!</v>
      </c>
      <c r="R12" s="74" t="e">
        <f>data1!O7*$B$6/R$6</f>
        <v>#DIV/0!</v>
      </c>
      <c r="S12" s="74" t="e">
        <f>data1!P7*$B$6/S$6</f>
        <v>#DIV/0!</v>
      </c>
      <c r="T12" s="74" t="e">
        <f>data1!Q7*$B$6/T$6</f>
        <v>#DIV/0!</v>
      </c>
      <c r="U12" s="74" t="e">
        <f>data1!R7*$B$6/U$6</f>
        <v>#DIV/0!</v>
      </c>
      <c r="V12" s="74" t="e">
        <f>data1!S7*$B$6/V$6</f>
        <v>#DIV/0!</v>
      </c>
      <c r="W12" s="74" t="e">
        <f>data1!T7*$B$6/W$6</f>
        <v>#DIV/0!</v>
      </c>
      <c r="X12" s="74" t="e">
        <f>data1!U7*$B$6/X$6</f>
        <v>#DIV/0!</v>
      </c>
      <c r="Y12" s="74" t="e">
        <f>data1!V7*$B$6/Y$6</f>
        <v>#DIV/0!</v>
      </c>
      <c r="Z12" s="74" t="e">
        <f>data1!W7*$B$6/Z$6</f>
        <v>#DIV/0!</v>
      </c>
      <c r="AA12" s="74" t="e">
        <f>data1!X7*$B$6/AA$6</f>
        <v>#DIV/0!</v>
      </c>
      <c r="AB12" s="74" t="e">
        <f>data1!Y7*$B$6/AB$6</f>
        <v>#DIV/0!</v>
      </c>
      <c r="AC12" s="74" t="e">
        <f>data1!Z7*$B$6/AC$6</f>
        <v>#DIV/0!</v>
      </c>
      <c r="AD12" s="74" t="e">
        <f>data1!AA7*$B$6/AD$6</f>
        <v>#DIV/0!</v>
      </c>
      <c r="AE12" s="74" t="e">
        <f>data1!AB7*$B$6/AE$6</f>
        <v>#DIV/0!</v>
      </c>
      <c r="AF12" s="74" t="e">
        <f>data1!AC7*$B$6/AF$6</f>
        <v>#DIV/0!</v>
      </c>
      <c r="AG12" s="74" t="e">
        <f>data1!AD7*$B$6/AG$6</f>
        <v>#DIV/0!</v>
      </c>
      <c r="AH12" s="74" t="e">
        <f>data1!AE7*$B$6/AH$6</f>
        <v>#DIV/0!</v>
      </c>
      <c r="AI12" s="74" t="e">
        <f>data1!AF7*$B$6/AI$6</f>
        <v>#DIV/0!</v>
      </c>
      <c r="AJ12" s="74" t="e">
        <f>data1!AG7*$B$6/AJ$6</f>
        <v>#DIV/0!</v>
      </c>
    </row>
    <row r="13" spans="1:36">
      <c r="A13" s="29">
        <f>data0!A8</f>
        <v>-72</v>
      </c>
      <c r="B13" s="74" t="e">
        <f>AVERAGE(data1!B8:AG8)</f>
        <v>#DIV/0!</v>
      </c>
      <c r="C13" s="74" t="e">
        <f t="shared" si="0"/>
        <v>#DIV/0!</v>
      </c>
      <c r="D13" s="74" t="e">
        <f t="shared" si="1"/>
        <v>#DIV/0!</v>
      </c>
      <c r="E13" s="74" t="e">
        <f>data1!B8*$B$6/E$6</f>
        <v>#DIV/0!</v>
      </c>
      <c r="F13" s="74" t="e">
        <f>data1!C8*$B$6/F$6</f>
        <v>#DIV/0!</v>
      </c>
      <c r="G13" s="74" t="e">
        <f>data1!D8*$B$6/G$6</f>
        <v>#DIV/0!</v>
      </c>
      <c r="H13" s="74" t="e">
        <f>data1!E8*$B$6/H$6</f>
        <v>#DIV/0!</v>
      </c>
      <c r="I13" s="74" t="e">
        <f>data1!F8*$B$6/I$6</f>
        <v>#DIV/0!</v>
      </c>
      <c r="J13" s="74" t="e">
        <f>data1!G8*$B$6/J$6</f>
        <v>#DIV/0!</v>
      </c>
      <c r="K13" s="74" t="e">
        <f>data1!H8*$B$6/K$6</f>
        <v>#DIV/0!</v>
      </c>
      <c r="L13" s="74" t="e">
        <f>data1!I8*$B$6/L$6</f>
        <v>#DIV/0!</v>
      </c>
      <c r="M13" s="74" t="e">
        <f>data1!J8*$B$6/M$6</f>
        <v>#DIV/0!</v>
      </c>
      <c r="N13" s="74" t="e">
        <f>data1!K8*$B$6/N$6</f>
        <v>#DIV/0!</v>
      </c>
      <c r="O13" s="74" t="e">
        <f>data1!L8*$B$6/O$6</f>
        <v>#DIV/0!</v>
      </c>
      <c r="P13" s="74" t="e">
        <f>data1!M8*$B$6/P$6</f>
        <v>#DIV/0!</v>
      </c>
      <c r="Q13" s="74" t="e">
        <f>data1!N8*$B$6/Q$6</f>
        <v>#DIV/0!</v>
      </c>
      <c r="R13" s="74" t="e">
        <f>data1!O8*$B$6/R$6</f>
        <v>#DIV/0!</v>
      </c>
      <c r="S13" s="74" t="e">
        <f>data1!P8*$B$6/S$6</f>
        <v>#DIV/0!</v>
      </c>
      <c r="T13" s="74" t="e">
        <f>data1!Q8*$B$6/T$6</f>
        <v>#DIV/0!</v>
      </c>
      <c r="U13" s="74" t="e">
        <f>data1!R8*$B$6/U$6</f>
        <v>#DIV/0!</v>
      </c>
      <c r="V13" s="74" t="e">
        <f>data1!S8*$B$6/V$6</f>
        <v>#DIV/0!</v>
      </c>
      <c r="W13" s="74" t="e">
        <f>data1!T8*$B$6/W$6</f>
        <v>#DIV/0!</v>
      </c>
      <c r="X13" s="74" t="e">
        <f>data1!U8*$B$6/X$6</f>
        <v>#DIV/0!</v>
      </c>
      <c r="Y13" s="74" t="e">
        <f>data1!V8*$B$6/Y$6</f>
        <v>#DIV/0!</v>
      </c>
      <c r="Z13" s="74" t="e">
        <f>data1!W8*$B$6/Z$6</f>
        <v>#DIV/0!</v>
      </c>
      <c r="AA13" s="74" t="e">
        <f>data1!X8*$B$6/AA$6</f>
        <v>#DIV/0!</v>
      </c>
      <c r="AB13" s="74" t="e">
        <f>data1!Y8*$B$6/AB$6</f>
        <v>#DIV/0!</v>
      </c>
      <c r="AC13" s="74" t="e">
        <f>data1!Z8*$B$6/AC$6</f>
        <v>#DIV/0!</v>
      </c>
      <c r="AD13" s="74" t="e">
        <f>data1!AA8*$B$6/AD$6</f>
        <v>#DIV/0!</v>
      </c>
      <c r="AE13" s="74" t="e">
        <f>data1!AB8*$B$6/AE$6</f>
        <v>#DIV/0!</v>
      </c>
      <c r="AF13" s="74" t="e">
        <f>data1!AC8*$B$6/AF$6</f>
        <v>#DIV/0!</v>
      </c>
      <c r="AG13" s="74" t="e">
        <f>data1!AD8*$B$6/AG$6</f>
        <v>#DIV/0!</v>
      </c>
      <c r="AH13" s="74" t="e">
        <f>data1!AE8*$B$6/AH$6</f>
        <v>#DIV/0!</v>
      </c>
      <c r="AI13" s="74" t="e">
        <f>data1!AF8*$B$6/AI$6</f>
        <v>#DIV/0!</v>
      </c>
      <c r="AJ13" s="74" t="e">
        <f>data1!AG8*$B$6/AJ$6</f>
        <v>#DIV/0!</v>
      </c>
    </row>
    <row r="14" spans="1:36">
      <c r="A14" s="29">
        <f>data0!A9</f>
        <v>-69</v>
      </c>
      <c r="B14" s="74" t="e">
        <f>AVERAGE(data1!B9:AG9)</f>
        <v>#DIV/0!</v>
      </c>
      <c r="C14" s="74" t="e">
        <f t="shared" si="0"/>
        <v>#DIV/0!</v>
      </c>
      <c r="D14" s="74" t="e">
        <f t="shared" si="1"/>
        <v>#DIV/0!</v>
      </c>
      <c r="E14" s="74" t="e">
        <f>data1!B9*$B$6/E$6</f>
        <v>#DIV/0!</v>
      </c>
      <c r="F14" s="74" t="e">
        <f>data1!C9*$B$6/F$6</f>
        <v>#DIV/0!</v>
      </c>
      <c r="G14" s="74" t="e">
        <f>data1!D9*$B$6/G$6</f>
        <v>#DIV/0!</v>
      </c>
      <c r="H14" s="74" t="e">
        <f>data1!E9*$B$6/H$6</f>
        <v>#DIV/0!</v>
      </c>
      <c r="I14" s="74" t="e">
        <f>data1!F9*$B$6/I$6</f>
        <v>#DIV/0!</v>
      </c>
      <c r="J14" s="74" t="e">
        <f>data1!G9*$B$6/J$6</f>
        <v>#DIV/0!</v>
      </c>
      <c r="K14" s="74" t="e">
        <f>data1!H9*$B$6/K$6</f>
        <v>#DIV/0!</v>
      </c>
      <c r="L14" s="74" t="e">
        <f>data1!I9*$B$6/L$6</f>
        <v>#DIV/0!</v>
      </c>
      <c r="M14" s="74" t="e">
        <f>data1!J9*$B$6/M$6</f>
        <v>#DIV/0!</v>
      </c>
      <c r="N14" s="74" t="e">
        <f>data1!K9*$B$6/N$6</f>
        <v>#DIV/0!</v>
      </c>
      <c r="O14" s="74" t="e">
        <f>data1!L9*$B$6/O$6</f>
        <v>#DIV/0!</v>
      </c>
      <c r="P14" s="74" t="e">
        <f>data1!M9*$B$6/P$6</f>
        <v>#DIV/0!</v>
      </c>
      <c r="Q14" s="74" t="e">
        <f>data1!N9*$B$6/Q$6</f>
        <v>#DIV/0!</v>
      </c>
      <c r="R14" s="74" t="e">
        <f>data1!O9*$B$6/R$6</f>
        <v>#DIV/0!</v>
      </c>
      <c r="S14" s="74" t="e">
        <f>data1!P9*$B$6/S$6</f>
        <v>#DIV/0!</v>
      </c>
      <c r="T14" s="74" t="e">
        <f>data1!Q9*$B$6/T$6</f>
        <v>#DIV/0!</v>
      </c>
      <c r="U14" s="74" t="e">
        <f>data1!R9*$B$6/U$6</f>
        <v>#DIV/0!</v>
      </c>
      <c r="V14" s="74" t="e">
        <f>data1!S9*$B$6/V$6</f>
        <v>#DIV/0!</v>
      </c>
      <c r="W14" s="74" t="e">
        <f>data1!T9*$B$6/W$6</f>
        <v>#DIV/0!</v>
      </c>
      <c r="X14" s="74" t="e">
        <f>data1!U9*$B$6/X$6</f>
        <v>#DIV/0!</v>
      </c>
      <c r="Y14" s="74" t="e">
        <f>data1!V9*$B$6/Y$6</f>
        <v>#DIV/0!</v>
      </c>
      <c r="Z14" s="74" t="e">
        <f>data1!W9*$B$6/Z$6</f>
        <v>#DIV/0!</v>
      </c>
      <c r="AA14" s="74" t="e">
        <f>data1!X9*$B$6/AA$6</f>
        <v>#DIV/0!</v>
      </c>
      <c r="AB14" s="74" t="e">
        <f>data1!Y9*$B$6/AB$6</f>
        <v>#DIV/0!</v>
      </c>
      <c r="AC14" s="74" t="e">
        <f>data1!Z9*$B$6/AC$6</f>
        <v>#DIV/0!</v>
      </c>
      <c r="AD14" s="74" t="e">
        <f>data1!AA9*$B$6/AD$6</f>
        <v>#DIV/0!</v>
      </c>
      <c r="AE14" s="74" t="e">
        <f>data1!AB9*$B$6/AE$6</f>
        <v>#DIV/0!</v>
      </c>
      <c r="AF14" s="74" t="e">
        <f>data1!AC9*$B$6/AF$6</f>
        <v>#DIV/0!</v>
      </c>
      <c r="AG14" s="74" t="e">
        <f>data1!AD9*$B$6/AG$6</f>
        <v>#DIV/0!</v>
      </c>
      <c r="AH14" s="74" t="e">
        <f>data1!AE9*$B$6/AH$6</f>
        <v>#DIV/0!</v>
      </c>
      <c r="AI14" s="74" t="e">
        <f>data1!AF9*$B$6/AI$6</f>
        <v>#DIV/0!</v>
      </c>
      <c r="AJ14" s="74" t="e">
        <f>data1!AG9*$B$6/AJ$6</f>
        <v>#DIV/0!</v>
      </c>
    </row>
    <row r="15" spans="1:36">
      <c r="A15" s="29">
        <f>data0!A10</f>
        <v>-66</v>
      </c>
      <c r="B15" s="74" t="e">
        <f>AVERAGE(data1!B10:AG10)</f>
        <v>#DIV/0!</v>
      </c>
      <c r="C15" s="74" t="e">
        <f t="shared" si="0"/>
        <v>#DIV/0!</v>
      </c>
      <c r="D15" s="74" t="e">
        <f t="shared" si="1"/>
        <v>#DIV/0!</v>
      </c>
      <c r="E15" s="74" t="e">
        <f>data1!B10*$B$6/E$6</f>
        <v>#DIV/0!</v>
      </c>
      <c r="F15" s="74" t="e">
        <f>data1!C10*$B$6/F$6</f>
        <v>#DIV/0!</v>
      </c>
      <c r="G15" s="74" t="e">
        <f>data1!D10*$B$6/G$6</f>
        <v>#DIV/0!</v>
      </c>
      <c r="H15" s="74" t="e">
        <f>data1!E10*$B$6/H$6</f>
        <v>#DIV/0!</v>
      </c>
      <c r="I15" s="74" t="e">
        <f>data1!F10*$B$6/I$6</f>
        <v>#DIV/0!</v>
      </c>
      <c r="J15" s="74" t="e">
        <f>data1!G10*$B$6/J$6</f>
        <v>#DIV/0!</v>
      </c>
      <c r="K15" s="74" t="e">
        <f>data1!H10*$B$6/K$6</f>
        <v>#DIV/0!</v>
      </c>
      <c r="L15" s="74" t="e">
        <f>data1!I10*$B$6/L$6</f>
        <v>#DIV/0!</v>
      </c>
      <c r="M15" s="74" t="e">
        <f>data1!J10*$B$6/M$6</f>
        <v>#DIV/0!</v>
      </c>
      <c r="N15" s="74" t="e">
        <f>data1!K10*$B$6/N$6</f>
        <v>#DIV/0!</v>
      </c>
      <c r="O15" s="74" t="e">
        <f>data1!L10*$B$6/O$6</f>
        <v>#DIV/0!</v>
      </c>
      <c r="P15" s="74" t="e">
        <f>data1!M10*$B$6/P$6</f>
        <v>#DIV/0!</v>
      </c>
      <c r="Q15" s="74" t="e">
        <f>data1!N10*$B$6/Q$6</f>
        <v>#DIV/0!</v>
      </c>
      <c r="R15" s="74" t="e">
        <f>data1!O10*$B$6/R$6</f>
        <v>#DIV/0!</v>
      </c>
      <c r="S15" s="74" t="e">
        <f>data1!P10*$B$6/S$6</f>
        <v>#DIV/0!</v>
      </c>
      <c r="T15" s="74" t="e">
        <f>data1!Q10*$B$6/T$6</f>
        <v>#DIV/0!</v>
      </c>
      <c r="U15" s="74" t="e">
        <f>data1!R10*$B$6/U$6</f>
        <v>#DIV/0!</v>
      </c>
      <c r="V15" s="74" t="e">
        <f>data1!S10*$B$6/V$6</f>
        <v>#DIV/0!</v>
      </c>
      <c r="W15" s="74" t="e">
        <f>data1!T10*$B$6/W$6</f>
        <v>#DIV/0!</v>
      </c>
      <c r="X15" s="74" t="e">
        <f>data1!U10*$B$6/X$6</f>
        <v>#DIV/0!</v>
      </c>
      <c r="Y15" s="74" t="e">
        <f>data1!V10*$B$6/Y$6</f>
        <v>#DIV/0!</v>
      </c>
      <c r="Z15" s="74" t="e">
        <f>data1!W10*$B$6/Z$6</f>
        <v>#DIV/0!</v>
      </c>
      <c r="AA15" s="74" t="e">
        <f>data1!X10*$B$6/AA$6</f>
        <v>#DIV/0!</v>
      </c>
      <c r="AB15" s="74" t="e">
        <f>data1!Y10*$B$6/AB$6</f>
        <v>#DIV/0!</v>
      </c>
      <c r="AC15" s="74" t="e">
        <f>data1!Z10*$B$6/AC$6</f>
        <v>#DIV/0!</v>
      </c>
      <c r="AD15" s="74" t="e">
        <f>data1!AA10*$B$6/AD$6</f>
        <v>#DIV/0!</v>
      </c>
      <c r="AE15" s="74" t="e">
        <f>data1!AB10*$B$6/AE$6</f>
        <v>#DIV/0!</v>
      </c>
      <c r="AF15" s="74" t="e">
        <f>data1!AC10*$B$6/AF$6</f>
        <v>#DIV/0!</v>
      </c>
      <c r="AG15" s="74" t="e">
        <f>data1!AD10*$B$6/AG$6</f>
        <v>#DIV/0!</v>
      </c>
      <c r="AH15" s="74" t="e">
        <f>data1!AE10*$B$6/AH$6</f>
        <v>#DIV/0!</v>
      </c>
      <c r="AI15" s="74" t="e">
        <f>data1!AF10*$B$6/AI$6</f>
        <v>#DIV/0!</v>
      </c>
      <c r="AJ15" s="74" t="e">
        <f>data1!AG10*$B$6/AJ$6</f>
        <v>#DIV/0!</v>
      </c>
    </row>
    <row r="16" spans="1:36">
      <c r="A16" s="29">
        <f>data0!A11</f>
        <v>-63</v>
      </c>
      <c r="B16" s="74" t="e">
        <f>AVERAGE(data1!B11:AG11)</f>
        <v>#DIV/0!</v>
      </c>
      <c r="C16" s="74" t="e">
        <f t="shared" si="0"/>
        <v>#DIV/0!</v>
      </c>
      <c r="D16" s="74" t="e">
        <f t="shared" si="1"/>
        <v>#DIV/0!</v>
      </c>
      <c r="E16" s="74" t="e">
        <f>data1!B11*$B$6/E$6</f>
        <v>#DIV/0!</v>
      </c>
      <c r="F16" s="74" t="e">
        <f>data1!C11*$B$6/F$6</f>
        <v>#DIV/0!</v>
      </c>
      <c r="G16" s="74" t="e">
        <f>data1!D11*$B$6/G$6</f>
        <v>#DIV/0!</v>
      </c>
      <c r="H16" s="74" t="e">
        <f>data1!E11*$B$6/H$6</f>
        <v>#DIV/0!</v>
      </c>
      <c r="I16" s="74" t="e">
        <f>data1!F11*$B$6/I$6</f>
        <v>#DIV/0!</v>
      </c>
      <c r="J16" s="74" t="e">
        <f>data1!G11*$B$6/J$6</f>
        <v>#DIV/0!</v>
      </c>
      <c r="K16" s="74" t="e">
        <f>data1!H11*$B$6/K$6</f>
        <v>#DIV/0!</v>
      </c>
      <c r="L16" s="74" t="e">
        <f>data1!I11*$B$6/L$6</f>
        <v>#DIV/0!</v>
      </c>
      <c r="M16" s="74" t="e">
        <f>data1!J11*$B$6/M$6</f>
        <v>#DIV/0!</v>
      </c>
      <c r="N16" s="74" t="e">
        <f>data1!K11*$B$6/N$6</f>
        <v>#DIV/0!</v>
      </c>
      <c r="O16" s="74" t="e">
        <f>data1!L11*$B$6/O$6</f>
        <v>#DIV/0!</v>
      </c>
      <c r="P16" s="74" t="e">
        <f>data1!M11*$B$6/P$6</f>
        <v>#DIV/0!</v>
      </c>
      <c r="Q16" s="74" t="e">
        <f>data1!N11*$B$6/Q$6</f>
        <v>#DIV/0!</v>
      </c>
      <c r="R16" s="74" t="e">
        <f>data1!O11*$B$6/R$6</f>
        <v>#DIV/0!</v>
      </c>
      <c r="S16" s="74" t="e">
        <f>data1!P11*$B$6/S$6</f>
        <v>#DIV/0!</v>
      </c>
      <c r="T16" s="74" t="e">
        <f>data1!Q11*$B$6/T$6</f>
        <v>#DIV/0!</v>
      </c>
      <c r="U16" s="74" t="e">
        <f>data1!R11*$B$6/U$6</f>
        <v>#DIV/0!</v>
      </c>
      <c r="V16" s="74" t="e">
        <f>data1!S11*$B$6/V$6</f>
        <v>#DIV/0!</v>
      </c>
      <c r="W16" s="74" t="e">
        <f>data1!T11*$B$6/W$6</f>
        <v>#DIV/0!</v>
      </c>
      <c r="X16" s="74" t="e">
        <f>data1!U11*$B$6/X$6</f>
        <v>#DIV/0!</v>
      </c>
      <c r="Y16" s="74" t="e">
        <f>data1!V11*$B$6/Y$6</f>
        <v>#DIV/0!</v>
      </c>
      <c r="Z16" s="74" t="e">
        <f>data1!W11*$B$6/Z$6</f>
        <v>#DIV/0!</v>
      </c>
      <c r="AA16" s="74" t="e">
        <f>data1!X11*$B$6/AA$6</f>
        <v>#DIV/0!</v>
      </c>
      <c r="AB16" s="74" t="e">
        <f>data1!Y11*$B$6/AB$6</f>
        <v>#DIV/0!</v>
      </c>
      <c r="AC16" s="74" t="e">
        <f>data1!Z11*$B$6/AC$6</f>
        <v>#DIV/0!</v>
      </c>
      <c r="AD16" s="74" t="e">
        <f>data1!AA11*$B$6/AD$6</f>
        <v>#DIV/0!</v>
      </c>
      <c r="AE16" s="74" t="e">
        <f>data1!AB11*$B$6/AE$6</f>
        <v>#DIV/0!</v>
      </c>
      <c r="AF16" s="74" t="e">
        <f>data1!AC11*$B$6/AF$6</f>
        <v>#DIV/0!</v>
      </c>
      <c r="AG16" s="74" t="e">
        <f>data1!AD11*$B$6/AG$6</f>
        <v>#DIV/0!</v>
      </c>
      <c r="AH16" s="74" t="e">
        <f>data1!AE11*$B$6/AH$6</f>
        <v>#DIV/0!</v>
      </c>
      <c r="AI16" s="74" t="e">
        <f>data1!AF11*$B$6/AI$6</f>
        <v>#DIV/0!</v>
      </c>
      <c r="AJ16" s="74" t="e">
        <f>data1!AG11*$B$6/AJ$6</f>
        <v>#DIV/0!</v>
      </c>
    </row>
    <row r="17" spans="1:36">
      <c r="A17" s="29">
        <f>data0!A12</f>
        <v>-60</v>
      </c>
      <c r="B17" s="74" t="e">
        <f>AVERAGE(data1!B12:AG12)</f>
        <v>#DIV/0!</v>
      </c>
      <c r="C17" s="74" t="e">
        <f t="shared" si="0"/>
        <v>#DIV/0!</v>
      </c>
      <c r="D17" s="74" t="e">
        <f t="shared" si="1"/>
        <v>#DIV/0!</v>
      </c>
      <c r="E17" s="74" t="e">
        <f>data1!B12*$B$6/E$6</f>
        <v>#DIV/0!</v>
      </c>
      <c r="F17" s="74" t="e">
        <f>data1!C12*$B$6/F$6</f>
        <v>#DIV/0!</v>
      </c>
      <c r="G17" s="74" t="e">
        <f>data1!D12*$B$6/G$6</f>
        <v>#DIV/0!</v>
      </c>
      <c r="H17" s="74" t="e">
        <f>data1!E12*$B$6/H$6</f>
        <v>#DIV/0!</v>
      </c>
      <c r="I17" s="74" t="e">
        <f>data1!F12*$B$6/I$6</f>
        <v>#DIV/0!</v>
      </c>
      <c r="J17" s="74" t="e">
        <f>data1!G12*$B$6/J$6</f>
        <v>#DIV/0!</v>
      </c>
      <c r="K17" s="74" t="e">
        <f>data1!H12*$B$6/K$6</f>
        <v>#DIV/0!</v>
      </c>
      <c r="L17" s="74" t="e">
        <f>data1!I12*$B$6/L$6</f>
        <v>#DIV/0!</v>
      </c>
      <c r="M17" s="74" t="e">
        <f>data1!J12*$B$6/M$6</f>
        <v>#DIV/0!</v>
      </c>
      <c r="N17" s="74" t="e">
        <f>data1!K12*$B$6/N$6</f>
        <v>#DIV/0!</v>
      </c>
      <c r="O17" s="74" t="e">
        <f>data1!L12*$B$6/O$6</f>
        <v>#DIV/0!</v>
      </c>
      <c r="P17" s="74" t="e">
        <f>data1!M12*$B$6/P$6</f>
        <v>#DIV/0!</v>
      </c>
      <c r="Q17" s="74" t="e">
        <f>data1!N12*$B$6/Q$6</f>
        <v>#DIV/0!</v>
      </c>
      <c r="R17" s="74" t="e">
        <f>data1!O12*$B$6/R$6</f>
        <v>#DIV/0!</v>
      </c>
      <c r="S17" s="74" t="e">
        <f>data1!P12*$B$6/S$6</f>
        <v>#DIV/0!</v>
      </c>
      <c r="T17" s="74" t="e">
        <f>data1!Q12*$B$6/T$6</f>
        <v>#DIV/0!</v>
      </c>
      <c r="U17" s="74" t="e">
        <f>data1!R12*$B$6/U$6</f>
        <v>#DIV/0!</v>
      </c>
      <c r="V17" s="74" t="e">
        <f>data1!S12*$B$6/V$6</f>
        <v>#DIV/0!</v>
      </c>
      <c r="W17" s="74" t="e">
        <f>data1!T12*$B$6/W$6</f>
        <v>#DIV/0!</v>
      </c>
      <c r="X17" s="74" t="e">
        <f>data1!U12*$B$6/X$6</f>
        <v>#DIV/0!</v>
      </c>
      <c r="Y17" s="74" t="e">
        <f>data1!V12*$B$6/Y$6</f>
        <v>#DIV/0!</v>
      </c>
      <c r="Z17" s="74" t="e">
        <f>data1!W12*$B$6/Z$6</f>
        <v>#DIV/0!</v>
      </c>
      <c r="AA17" s="74" t="e">
        <f>data1!X12*$B$6/AA$6</f>
        <v>#DIV/0!</v>
      </c>
      <c r="AB17" s="74" t="e">
        <f>data1!Y12*$B$6/AB$6</f>
        <v>#DIV/0!</v>
      </c>
      <c r="AC17" s="74" t="e">
        <f>data1!Z12*$B$6/AC$6</f>
        <v>#DIV/0!</v>
      </c>
      <c r="AD17" s="74" t="e">
        <f>data1!AA12*$B$6/AD$6</f>
        <v>#DIV/0!</v>
      </c>
      <c r="AE17" s="74" t="e">
        <f>data1!AB12*$B$6/AE$6</f>
        <v>#DIV/0!</v>
      </c>
      <c r="AF17" s="74" t="e">
        <f>data1!AC12*$B$6/AF$6</f>
        <v>#DIV/0!</v>
      </c>
      <c r="AG17" s="74" t="e">
        <f>data1!AD12*$B$6/AG$6</f>
        <v>#DIV/0!</v>
      </c>
      <c r="AH17" s="74" t="e">
        <f>data1!AE12*$B$6/AH$6</f>
        <v>#DIV/0!</v>
      </c>
      <c r="AI17" s="74" t="e">
        <f>data1!AF12*$B$6/AI$6</f>
        <v>#DIV/0!</v>
      </c>
      <c r="AJ17" s="74" t="e">
        <f>data1!AG12*$B$6/AJ$6</f>
        <v>#DIV/0!</v>
      </c>
    </row>
    <row r="18" spans="1:36">
      <c r="A18" s="29">
        <f>data0!A13</f>
        <v>-57</v>
      </c>
      <c r="B18" s="74" t="e">
        <f>AVERAGE(data1!B13:AG13)</f>
        <v>#DIV/0!</v>
      </c>
      <c r="C18" s="74" t="e">
        <f t="shared" si="0"/>
        <v>#DIV/0!</v>
      </c>
      <c r="D18" s="74" t="e">
        <f t="shared" si="1"/>
        <v>#DIV/0!</v>
      </c>
      <c r="E18" s="74" t="e">
        <f>data1!B13*$B$6/E$6</f>
        <v>#DIV/0!</v>
      </c>
      <c r="F18" s="74" t="e">
        <f>data1!C13*$B$6/F$6</f>
        <v>#DIV/0!</v>
      </c>
      <c r="G18" s="74" t="e">
        <f>data1!D13*$B$6/G$6</f>
        <v>#DIV/0!</v>
      </c>
      <c r="H18" s="74" t="e">
        <f>data1!E13*$B$6/H$6</f>
        <v>#DIV/0!</v>
      </c>
      <c r="I18" s="74" t="e">
        <f>data1!F13*$B$6/I$6</f>
        <v>#DIV/0!</v>
      </c>
      <c r="J18" s="74" t="e">
        <f>data1!G13*$B$6/J$6</f>
        <v>#DIV/0!</v>
      </c>
      <c r="K18" s="74" t="e">
        <f>data1!H13*$B$6/K$6</f>
        <v>#DIV/0!</v>
      </c>
      <c r="L18" s="74" t="e">
        <f>data1!I13*$B$6/L$6</f>
        <v>#DIV/0!</v>
      </c>
      <c r="M18" s="74" t="e">
        <f>data1!J13*$B$6/M$6</f>
        <v>#DIV/0!</v>
      </c>
      <c r="N18" s="74" t="e">
        <f>data1!K13*$B$6/N$6</f>
        <v>#DIV/0!</v>
      </c>
      <c r="O18" s="74" t="e">
        <f>data1!L13*$B$6/O$6</f>
        <v>#DIV/0!</v>
      </c>
      <c r="P18" s="74" t="e">
        <f>data1!M13*$B$6/P$6</f>
        <v>#DIV/0!</v>
      </c>
      <c r="Q18" s="74" t="e">
        <f>data1!N13*$B$6/Q$6</f>
        <v>#DIV/0!</v>
      </c>
      <c r="R18" s="74" t="e">
        <f>data1!O13*$B$6/R$6</f>
        <v>#DIV/0!</v>
      </c>
      <c r="S18" s="74" t="e">
        <f>data1!P13*$B$6/S$6</f>
        <v>#DIV/0!</v>
      </c>
      <c r="T18" s="74" t="e">
        <f>data1!Q13*$B$6/T$6</f>
        <v>#DIV/0!</v>
      </c>
      <c r="U18" s="74" t="e">
        <f>data1!R13*$B$6/U$6</f>
        <v>#DIV/0!</v>
      </c>
      <c r="V18" s="74" t="e">
        <f>data1!S13*$B$6/V$6</f>
        <v>#DIV/0!</v>
      </c>
      <c r="W18" s="74" t="e">
        <f>data1!T13*$B$6/W$6</f>
        <v>#DIV/0!</v>
      </c>
      <c r="X18" s="74" t="e">
        <f>data1!U13*$B$6/X$6</f>
        <v>#DIV/0!</v>
      </c>
      <c r="Y18" s="74" t="e">
        <f>data1!V13*$B$6/Y$6</f>
        <v>#DIV/0!</v>
      </c>
      <c r="Z18" s="74" t="e">
        <f>data1!W13*$B$6/Z$6</f>
        <v>#DIV/0!</v>
      </c>
      <c r="AA18" s="74" t="e">
        <f>data1!X13*$B$6/AA$6</f>
        <v>#DIV/0!</v>
      </c>
      <c r="AB18" s="74" t="e">
        <f>data1!Y13*$B$6/AB$6</f>
        <v>#DIV/0!</v>
      </c>
      <c r="AC18" s="74" t="e">
        <f>data1!Z13*$B$6/AC$6</f>
        <v>#DIV/0!</v>
      </c>
      <c r="AD18" s="74" t="e">
        <f>data1!AA13*$B$6/AD$6</f>
        <v>#DIV/0!</v>
      </c>
      <c r="AE18" s="74" t="e">
        <f>data1!AB13*$B$6/AE$6</f>
        <v>#DIV/0!</v>
      </c>
      <c r="AF18" s="74" t="e">
        <f>data1!AC13*$B$6/AF$6</f>
        <v>#DIV/0!</v>
      </c>
      <c r="AG18" s="74" t="e">
        <f>data1!AD13*$B$6/AG$6</f>
        <v>#DIV/0!</v>
      </c>
      <c r="AH18" s="74" t="e">
        <f>data1!AE13*$B$6/AH$6</f>
        <v>#DIV/0!</v>
      </c>
      <c r="AI18" s="74" t="e">
        <f>data1!AF13*$B$6/AI$6</f>
        <v>#DIV/0!</v>
      </c>
      <c r="AJ18" s="74" t="e">
        <f>data1!AG13*$B$6/AJ$6</f>
        <v>#DIV/0!</v>
      </c>
    </row>
    <row r="19" spans="1:36">
      <c r="A19" s="29">
        <f>data0!A14</f>
        <v>-54</v>
      </c>
      <c r="B19" s="74" t="e">
        <f>AVERAGE(data1!B14:AG14)</f>
        <v>#DIV/0!</v>
      </c>
      <c r="C19" s="74" t="e">
        <f t="shared" si="0"/>
        <v>#DIV/0!</v>
      </c>
      <c r="D19" s="74" t="e">
        <f t="shared" si="1"/>
        <v>#DIV/0!</v>
      </c>
      <c r="E19" s="74" t="e">
        <f>data1!B14*$B$6/E$6</f>
        <v>#DIV/0!</v>
      </c>
      <c r="F19" s="74" t="e">
        <f>data1!C14*$B$6/F$6</f>
        <v>#DIV/0!</v>
      </c>
      <c r="G19" s="74" t="e">
        <f>data1!D14*$B$6/G$6</f>
        <v>#DIV/0!</v>
      </c>
      <c r="H19" s="74" t="e">
        <f>data1!E14*$B$6/H$6</f>
        <v>#DIV/0!</v>
      </c>
      <c r="I19" s="74" t="e">
        <f>data1!F14*$B$6/I$6</f>
        <v>#DIV/0!</v>
      </c>
      <c r="J19" s="74" t="e">
        <f>data1!G14*$B$6/J$6</f>
        <v>#DIV/0!</v>
      </c>
      <c r="K19" s="74" t="e">
        <f>data1!H14*$B$6/K$6</f>
        <v>#DIV/0!</v>
      </c>
      <c r="L19" s="74" t="e">
        <f>data1!I14*$B$6/L$6</f>
        <v>#DIV/0!</v>
      </c>
      <c r="M19" s="74" t="e">
        <f>data1!J14*$B$6/M$6</f>
        <v>#DIV/0!</v>
      </c>
      <c r="N19" s="74" t="e">
        <f>data1!K14*$B$6/N$6</f>
        <v>#DIV/0!</v>
      </c>
      <c r="O19" s="74" t="e">
        <f>data1!L14*$B$6/O$6</f>
        <v>#DIV/0!</v>
      </c>
      <c r="P19" s="74" t="e">
        <f>data1!M14*$B$6/P$6</f>
        <v>#DIV/0!</v>
      </c>
      <c r="Q19" s="74" t="e">
        <f>data1!N14*$B$6/Q$6</f>
        <v>#DIV/0!</v>
      </c>
      <c r="R19" s="74" t="e">
        <f>data1!O14*$B$6/R$6</f>
        <v>#DIV/0!</v>
      </c>
      <c r="S19" s="74" t="e">
        <f>data1!P14*$B$6/S$6</f>
        <v>#DIV/0!</v>
      </c>
      <c r="T19" s="74" t="e">
        <f>data1!Q14*$B$6/T$6</f>
        <v>#DIV/0!</v>
      </c>
      <c r="U19" s="74" t="e">
        <f>data1!R14*$B$6/U$6</f>
        <v>#DIV/0!</v>
      </c>
      <c r="V19" s="74" t="e">
        <f>data1!S14*$B$6/V$6</f>
        <v>#DIV/0!</v>
      </c>
      <c r="W19" s="74" t="e">
        <f>data1!T14*$B$6/W$6</f>
        <v>#DIV/0!</v>
      </c>
      <c r="X19" s="74" t="e">
        <f>data1!U14*$B$6/X$6</f>
        <v>#DIV/0!</v>
      </c>
      <c r="Y19" s="74" t="e">
        <f>data1!V14*$B$6/Y$6</f>
        <v>#DIV/0!</v>
      </c>
      <c r="Z19" s="74" t="e">
        <f>data1!W14*$B$6/Z$6</f>
        <v>#DIV/0!</v>
      </c>
      <c r="AA19" s="74" t="e">
        <f>data1!X14*$B$6/AA$6</f>
        <v>#DIV/0!</v>
      </c>
      <c r="AB19" s="74" t="e">
        <f>data1!Y14*$B$6/AB$6</f>
        <v>#DIV/0!</v>
      </c>
      <c r="AC19" s="74" t="e">
        <f>data1!Z14*$B$6/AC$6</f>
        <v>#DIV/0!</v>
      </c>
      <c r="AD19" s="74" t="e">
        <f>data1!AA14*$B$6/AD$6</f>
        <v>#DIV/0!</v>
      </c>
      <c r="AE19" s="74" t="e">
        <f>data1!AB14*$B$6/AE$6</f>
        <v>#DIV/0!</v>
      </c>
      <c r="AF19" s="74" t="e">
        <f>data1!AC14*$B$6/AF$6</f>
        <v>#DIV/0!</v>
      </c>
      <c r="AG19" s="74" t="e">
        <f>data1!AD14*$B$6/AG$6</f>
        <v>#DIV/0!</v>
      </c>
      <c r="AH19" s="74" t="e">
        <f>data1!AE14*$B$6/AH$6</f>
        <v>#DIV/0!</v>
      </c>
      <c r="AI19" s="74" t="e">
        <f>data1!AF14*$B$6/AI$6</f>
        <v>#DIV/0!</v>
      </c>
      <c r="AJ19" s="74" t="e">
        <f>data1!AG14*$B$6/AJ$6</f>
        <v>#DIV/0!</v>
      </c>
    </row>
    <row r="20" spans="1:36">
      <c r="A20" s="29">
        <f>data0!A15</f>
        <v>-51</v>
      </c>
      <c r="B20" s="74" t="e">
        <f>AVERAGE(data1!B15:AG15)</f>
        <v>#DIV/0!</v>
      </c>
      <c r="C20" s="74" t="e">
        <f t="shared" si="0"/>
        <v>#DIV/0!</v>
      </c>
      <c r="D20" s="74" t="e">
        <f t="shared" si="1"/>
        <v>#DIV/0!</v>
      </c>
      <c r="E20" s="74" t="e">
        <f>data1!B15*$B$6/E$6</f>
        <v>#DIV/0!</v>
      </c>
      <c r="F20" s="74" t="e">
        <f>data1!C15*$B$6/F$6</f>
        <v>#DIV/0!</v>
      </c>
      <c r="G20" s="74" t="e">
        <f>data1!D15*$B$6/G$6</f>
        <v>#DIV/0!</v>
      </c>
      <c r="H20" s="74" t="e">
        <f>data1!E15*$B$6/H$6</f>
        <v>#DIV/0!</v>
      </c>
      <c r="I20" s="74" t="e">
        <f>data1!F15*$B$6/I$6</f>
        <v>#DIV/0!</v>
      </c>
      <c r="J20" s="74" t="e">
        <f>data1!G15*$B$6/J$6</f>
        <v>#DIV/0!</v>
      </c>
      <c r="K20" s="74" t="e">
        <f>data1!H15*$B$6/K$6</f>
        <v>#DIV/0!</v>
      </c>
      <c r="L20" s="74" t="e">
        <f>data1!I15*$B$6/L$6</f>
        <v>#DIV/0!</v>
      </c>
      <c r="M20" s="74" t="e">
        <f>data1!J15*$B$6/M$6</f>
        <v>#DIV/0!</v>
      </c>
      <c r="N20" s="74" t="e">
        <f>data1!K15*$B$6/N$6</f>
        <v>#DIV/0!</v>
      </c>
      <c r="O20" s="74" t="e">
        <f>data1!L15*$B$6/O$6</f>
        <v>#DIV/0!</v>
      </c>
      <c r="P20" s="74" t="e">
        <f>data1!M15*$B$6/P$6</f>
        <v>#DIV/0!</v>
      </c>
      <c r="Q20" s="74" t="e">
        <f>data1!N15*$B$6/Q$6</f>
        <v>#DIV/0!</v>
      </c>
      <c r="R20" s="74" t="e">
        <f>data1!O15*$B$6/R$6</f>
        <v>#DIV/0!</v>
      </c>
      <c r="S20" s="74" t="e">
        <f>data1!P15*$B$6/S$6</f>
        <v>#DIV/0!</v>
      </c>
      <c r="T20" s="74" t="e">
        <f>data1!Q15*$B$6/T$6</f>
        <v>#DIV/0!</v>
      </c>
      <c r="U20" s="74" t="e">
        <f>data1!R15*$B$6/U$6</f>
        <v>#DIV/0!</v>
      </c>
      <c r="V20" s="74" t="e">
        <f>data1!S15*$B$6/V$6</f>
        <v>#DIV/0!</v>
      </c>
      <c r="W20" s="74" t="e">
        <f>data1!T15*$B$6/W$6</f>
        <v>#DIV/0!</v>
      </c>
      <c r="X20" s="74" t="e">
        <f>data1!U15*$B$6/X$6</f>
        <v>#DIV/0!</v>
      </c>
      <c r="Y20" s="74" t="e">
        <f>data1!V15*$B$6/Y$6</f>
        <v>#DIV/0!</v>
      </c>
      <c r="Z20" s="74" t="e">
        <f>data1!W15*$B$6/Z$6</f>
        <v>#DIV/0!</v>
      </c>
      <c r="AA20" s="74" t="e">
        <f>data1!X15*$B$6/AA$6</f>
        <v>#DIV/0!</v>
      </c>
      <c r="AB20" s="74" t="e">
        <f>data1!Y15*$B$6/AB$6</f>
        <v>#DIV/0!</v>
      </c>
      <c r="AC20" s="74" t="e">
        <f>data1!Z15*$B$6/AC$6</f>
        <v>#DIV/0!</v>
      </c>
      <c r="AD20" s="74" t="e">
        <f>data1!AA15*$B$6/AD$6</f>
        <v>#DIV/0!</v>
      </c>
      <c r="AE20" s="74" t="e">
        <f>data1!AB15*$B$6/AE$6</f>
        <v>#DIV/0!</v>
      </c>
      <c r="AF20" s="74" t="e">
        <f>data1!AC15*$B$6/AF$6</f>
        <v>#DIV/0!</v>
      </c>
      <c r="AG20" s="74" t="e">
        <f>data1!AD15*$B$6/AG$6</f>
        <v>#DIV/0!</v>
      </c>
      <c r="AH20" s="74" t="e">
        <f>data1!AE15*$B$6/AH$6</f>
        <v>#DIV/0!</v>
      </c>
      <c r="AI20" s="74" t="e">
        <f>data1!AF15*$B$6/AI$6</f>
        <v>#DIV/0!</v>
      </c>
      <c r="AJ20" s="74" t="e">
        <f>data1!AG15*$B$6/AJ$6</f>
        <v>#DIV/0!</v>
      </c>
    </row>
    <row r="21" spans="1:36">
      <c r="A21" s="29">
        <f>data0!A16</f>
        <v>-48</v>
      </c>
      <c r="B21" s="74" t="e">
        <f>AVERAGE(data1!B16:AG16)</f>
        <v>#DIV/0!</v>
      </c>
      <c r="C21" s="74" t="e">
        <f t="shared" si="0"/>
        <v>#DIV/0!</v>
      </c>
      <c r="D21" s="74" t="e">
        <f t="shared" si="1"/>
        <v>#DIV/0!</v>
      </c>
      <c r="E21" s="74" t="e">
        <f>data1!B16*$B$6/E$6</f>
        <v>#DIV/0!</v>
      </c>
      <c r="F21" s="74" t="e">
        <f>data1!C16*$B$6/F$6</f>
        <v>#DIV/0!</v>
      </c>
      <c r="G21" s="74" t="e">
        <f>data1!D16*$B$6/G$6</f>
        <v>#DIV/0!</v>
      </c>
      <c r="H21" s="74" t="e">
        <f>data1!E16*$B$6/H$6</f>
        <v>#DIV/0!</v>
      </c>
      <c r="I21" s="74" t="e">
        <f>data1!F16*$B$6/I$6</f>
        <v>#DIV/0!</v>
      </c>
      <c r="J21" s="74" t="e">
        <f>data1!G16*$B$6/J$6</f>
        <v>#DIV/0!</v>
      </c>
      <c r="K21" s="74" t="e">
        <f>data1!H16*$B$6/K$6</f>
        <v>#DIV/0!</v>
      </c>
      <c r="L21" s="74" t="e">
        <f>data1!I16*$B$6/L$6</f>
        <v>#DIV/0!</v>
      </c>
      <c r="M21" s="74" t="e">
        <f>data1!J16*$B$6/M$6</f>
        <v>#DIV/0!</v>
      </c>
      <c r="N21" s="74" t="e">
        <f>data1!K16*$B$6/N$6</f>
        <v>#DIV/0!</v>
      </c>
      <c r="O21" s="74" t="e">
        <f>data1!L16*$B$6/O$6</f>
        <v>#DIV/0!</v>
      </c>
      <c r="P21" s="74" t="e">
        <f>data1!M16*$B$6/P$6</f>
        <v>#DIV/0!</v>
      </c>
      <c r="Q21" s="74" t="e">
        <f>data1!N16*$B$6/Q$6</f>
        <v>#DIV/0!</v>
      </c>
      <c r="R21" s="74" t="e">
        <f>data1!O16*$B$6/R$6</f>
        <v>#DIV/0!</v>
      </c>
      <c r="S21" s="74" t="e">
        <f>data1!P16*$B$6/S$6</f>
        <v>#DIV/0!</v>
      </c>
      <c r="T21" s="74" t="e">
        <f>data1!Q16*$B$6/T$6</f>
        <v>#DIV/0!</v>
      </c>
      <c r="U21" s="74" t="e">
        <f>data1!R16*$B$6/U$6</f>
        <v>#DIV/0!</v>
      </c>
      <c r="V21" s="74" t="e">
        <f>data1!S16*$B$6/V$6</f>
        <v>#DIV/0!</v>
      </c>
      <c r="W21" s="74" t="e">
        <f>data1!T16*$B$6/W$6</f>
        <v>#DIV/0!</v>
      </c>
      <c r="X21" s="74" t="e">
        <f>data1!U16*$B$6/X$6</f>
        <v>#DIV/0!</v>
      </c>
      <c r="Y21" s="74" t="e">
        <f>data1!V16*$B$6/Y$6</f>
        <v>#DIV/0!</v>
      </c>
      <c r="Z21" s="74" t="e">
        <f>data1!W16*$B$6/Z$6</f>
        <v>#DIV/0!</v>
      </c>
      <c r="AA21" s="74" t="e">
        <f>data1!X16*$B$6/AA$6</f>
        <v>#DIV/0!</v>
      </c>
      <c r="AB21" s="74" t="e">
        <f>data1!Y16*$B$6/AB$6</f>
        <v>#DIV/0!</v>
      </c>
      <c r="AC21" s="74" t="e">
        <f>data1!Z16*$B$6/AC$6</f>
        <v>#DIV/0!</v>
      </c>
      <c r="AD21" s="74" t="e">
        <f>data1!AA16*$B$6/AD$6</f>
        <v>#DIV/0!</v>
      </c>
      <c r="AE21" s="74" t="e">
        <f>data1!AB16*$B$6/AE$6</f>
        <v>#DIV/0!</v>
      </c>
      <c r="AF21" s="74" t="e">
        <f>data1!AC16*$B$6/AF$6</f>
        <v>#DIV/0!</v>
      </c>
      <c r="AG21" s="74" t="e">
        <f>data1!AD16*$B$6/AG$6</f>
        <v>#DIV/0!</v>
      </c>
      <c r="AH21" s="74" t="e">
        <f>data1!AE16*$B$6/AH$6</f>
        <v>#DIV/0!</v>
      </c>
      <c r="AI21" s="74" t="e">
        <f>data1!AF16*$B$6/AI$6</f>
        <v>#DIV/0!</v>
      </c>
      <c r="AJ21" s="74" t="e">
        <f>data1!AG16*$B$6/AJ$6</f>
        <v>#DIV/0!</v>
      </c>
    </row>
    <row r="22" spans="1:36">
      <c r="A22" s="29">
        <f>data0!A17</f>
        <v>-45</v>
      </c>
      <c r="B22" s="74" t="e">
        <f>AVERAGE(data1!B17:AG17)</f>
        <v>#DIV/0!</v>
      </c>
      <c r="C22" s="74" t="e">
        <f t="shared" si="0"/>
        <v>#DIV/0!</v>
      </c>
      <c r="D22" s="74" t="e">
        <f t="shared" si="1"/>
        <v>#DIV/0!</v>
      </c>
      <c r="E22" s="74" t="e">
        <f>data1!B17*$B$6/E$6</f>
        <v>#DIV/0!</v>
      </c>
      <c r="F22" s="74" t="e">
        <f>data1!C17*$B$6/F$6</f>
        <v>#DIV/0!</v>
      </c>
      <c r="G22" s="74" t="e">
        <f>data1!D17*$B$6/G$6</f>
        <v>#DIV/0!</v>
      </c>
      <c r="H22" s="74" t="e">
        <f>data1!E17*$B$6/H$6</f>
        <v>#DIV/0!</v>
      </c>
      <c r="I22" s="74" t="e">
        <f>data1!F17*$B$6/I$6</f>
        <v>#DIV/0!</v>
      </c>
      <c r="J22" s="74" t="e">
        <f>data1!G17*$B$6/J$6</f>
        <v>#DIV/0!</v>
      </c>
      <c r="K22" s="74" t="e">
        <f>data1!H17*$B$6/K$6</f>
        <v>#DIV/0!</v>
      </c>
      <c r="L22" s="74" t="e">
        <f>data1!I17*$B$6/L$6</f>
        <v>#DIV/0!</v>
      </c>
      <c r="M22" s="74" t="e">
        <f>data1!J17*$B$6/M$6</f>
        <v>#DIV/0!</v>
      </c>
      <c r="N22" s="74" t="e">
        <f>data1!K17*$B$6/N$6</f>
        <v>#DIV/0!</v>
      </c>
      <c r="O22" s="74" t="e">
        <f>data1!L17*$B$6/O$6</f>
        <v>#DIV/0!</v>
      </c>
      <c r="P22" s="74" t="e">
        <f>data1!M17*$B$6/P$6</f>
        <v>#DIV/0!</v>
      </c>
      <c r="Q22" s="74" t="e">
        <f>data1!N17*$B$6/Q$6</f>
        <v>#DIV/0!</v>
      </c>
      <c r="R22" s="74" t="e">
        <f>data1!O17*$B$6/R$6</f>
        <v>#DIV/0!</v>
      </c>
      <c r="S22" s="74" t="e">
        <f>data1!P17*$B$6/S$6</f>
        <v>#DIV/0!</v>
      </c>
      <c r="T22" s="74" t="e">
        <f>data1!Q17*$B$6/T$6</f>
        <v>#DIV/0!</v>
      </c>
      <c r="U22" s="74" t="e">
        <f>data1!R17*$B$6/U$6</f>
        <v>#DIV/0!</v>
      </c>
      <c r="V22" s="74" t="e">
        <f>data1!S17*$B$6/V$6</f>
        <v>#DIV/0!</v>
      </c>
      <c r="W22" s="74" t="e">
        <f>data1!T17*$B$6/W$6</f>
        <v>#DIV/0!</v>
      </c>
      <c r="X22" s="74" t="e">
        <f>data1!U17*$B$6/X$6</f>
        <v>#DIV/0!</v>
      </c>
      <c r="Y22" s="74" t="e">
        <f>data1!V17*$B$6/Y$6</f>
        <v>#DIV/0!</v>
      </c>
      <c r="Z22" s="74" t="e">
        <f>data1!W17*$B$6/Z$6</f>
        <v>#DIV/0!</v>
      </c>
      <c r="AA22" s="74" t="e">
        <f>data1!X17*$B$6/AA$6</f>
        <v>#DIV/0!</v>
      </c>
      <c r="AB22" s="74" t="e">
        <f>data1!Y17*$B$6/AB$6</f>
        <v>#DIV/0!</v>
      </c>
      <c r="AC22" s="74" t="e">
        <f>data1!Z17*$B$6/AC$6</f>
        <v>#DIV/0!</v>
      </c>
      <c r="AD22" s="74" t="e">
        <f>data1!AA17*$B$6/AD$6</f>
        <v>#DIV/0!</v>
      </c>
      <c r="AE22" s="74" t="e">
        <f>data1!AB17*$B$6/AE$6</f>
        <v>#DIV/0!</v>
      </c>
      <c r="AF22" s="74" t="e">
        <f>data1!AC17*$B$6/AF$6</f>
        <v>#DIV/0!</v>
      </c>
      <c r="AG22" s="74" t="e">
        <f>data1!AD17*$B$6/AG$6</f>
        <v>#DIV/0!</v>
      </c>
      <c r="AH22" s="74" t="e">
        <f>data1!AE17*$B$6/AH$6</f>
        <v>#DIV/0!</v>
      </c>
      <c r="AI22" s="74" t="e">
        <f>data1!AF17*$B$6/AI$6</f>
        <v>#DIV/0!</v>
      </c>
      <c r="AJ22" s="74" t="e">
        <f>data1!AG17*$B$6/AJ$6</f>
        <v>#DIV/0!</v>
      </c>
    </row>
    <row r="23" spans="1:36">
      <c r="A23" s="29">
        <f>data0!A18</f>
        <v>-42</v>
      </c>
      <c r="B23" s="74" t="e">
        <f>AVERAGE(data1!B18:AG18)</f>
        <v>#DIV/0!</v>
      </c>
      <c r="C23" s="74" t="e">
        <f t="shared" si="0"/>
        <v>#DIV/0!</v>
      </c>
      <c r="D23" s="74" t="e">
        <f t="shared" si="1"/>
        <v>#DIV/0!</v>
      </c>
      <c r="E23" s="74" t="e">
        <f>data1!B18*$B$6/E$6</f>
        <v>#DIV/0!</v>
      </c>
      <c r="F23" s="74" t="e">
        <f>data1!C18*$B$6/F$6</f>
        <v>#DIV/0!</v>
      </c>
      <c r="G23" s="74" t="e">
        <f>data1!D18*$B$6/G$6</f>
        <v>#DIV/0!</v>
      </c>
      <c r="H23" s="74" t="e">
        <f>data1!E18*$B$6/H$6</f>
        <v>#DIV/0!</v>
      </c>
      <c r="I23" s="74" t="e">
        <f>data1!F18*$B$6/I$6</f>
        <v>#DIV/0!</v>
      </c>
      <c r="J23" s="74" t="e">
        <f>data1!G18*$B$6/J$6</f>
        <v>#DIV/0!</v>
      </c>
      <c r="K23" s="74" t="e">
        <f>data1!H18*$B$6/K$6</f>
        <v>#DIV/0!</v>
      </c>
      <c r="L23" s="74" t="e">
        <f>data1!I18*$B$6/L$6</f>
        <v>#DIV/0!</v>
      </c>
      <c r="M23" s="74" t="e">
        <f>data1!J18*$B$6/M$6</f>
        <v>#DIV/0!</v>
      </c>
      <c r="N23" s="74" t="e">
        <f>data1!K18*$B$6/N$6</f>
        <v>#DIV/0!</v>
      </c>
      <c r="O23" s="74" t="e">
        <f>data1!L18*$B$6/O$6</f>
        <v>#DIV/0!</v>
      </c>
      <c r="P23" s="74" t="e">
        <f>data1!M18*$B$6/P$6</f>
        <v>#DIV/0!</v>
      </c>
      <c r="Q23" s="74" t="e">
        <f>data1!N18*$B$6/Q$6</f>
        <v>#DIV/0!</v>
      </c>
      <c r="R23" s="74" t="e">
        <f>data1!O18*$B$6/R$6</f>
        <v>#DIV/0!</v>
      </c>
      <c r="S23" s="74" t="e">
        <f>data1!P18*$B$6/S$6</f>
        <v>#DIV/0!</v>
      </c>
      <c r="T23" s="74" t="e">
        <f>data1!Q18*$B$6/T$6</f>
        <v>#DIV/0!</v>
      </c>
      <c r="U23" s="74" t="e">
        <f>data1!R18*$B$6/U$6</f>
        <v>#DIV/0!</v>
      </c>
      <c r="V23" s="74" t="e">
        <f>data1!S18*$B$6/V$6</f>
        <v>#DIV/0!</v>
      </c>
      <c r="W23" s="74" t="e">
        <f>data1!T18*$B$6/W$6</f>
        <v>#DIV/0!</v>
      </c>
      <c r="X23" s="74" t="e">
        <f>data1!U18*$B$6/X$6</f>
        <v>#DIV/0!</v>
      </c>
      <c r="Y23" s="74" t="e">
        <f>data1!V18*$B$6/Y$6</f>
        <v>#DIV/0!</v>
      </c>
      <c r="Z23" s="74" t="e">
        <f>data1!W18*$B$6/Z$6</f>
        <v>#DIV/0!</v>
      </c>
      <c r="AA23" s="74" t="e">
        <f>data1!X18*$B$6/AA$6</f>
        <v>#DIV/0!</v>
      </c>
      <c r="AB23" s="74" t="e">
        <f>data1!Y18*$B$6/AB$6</f>
        <v>#DIV/0!</v>
      </c>
      <c r="AC23" s="74" t="e">
        <f>data1!Z18*$B$6/AC$6</f>
        <v>#DIV/0!</v>
      </c>
      <c r="AD23" s="74" t="e">
        <f>data1!AA18*$B$6/AD$6</f>
        <v>#DIV/0!</v>
      </c>
      <c r="AE23" s="74" t="e">
        <f>data1!AB18*$B$6/AE$6</f>
        <v>#DIV/0!</v>
      </c>
      <c r="AF23" s="74" t="e">
        <f>data1!AC18*$B$6/AF$6</f>
        <v>#DIV/0!</v>
      </c>
      <c r="AG23" s="74" t="e">
        <f>data1!AD18*$B$6/AG$6</f>
        <v>#DIV/0!</v>
      </c>
      <c r="AH23" s="74" t="e">
        <f>data1!AE18*$B$6/AH$6</f>
        <v>#DIV/0!</v>
      </c>
      <c r="AI23" s="74" t="e">
        <f>data1!AF18*$B$6/AI$6</f>
        <v>#DIV/0!</v>
      </c>
      <c r="AJ23" s="74" t="e">
        <f>data1!AG18*$B$6/AJ$6</f>
        <v>#DIV/0!</v>
      </c>
    </row>
    <row r="24" spans="1:36">
      <c r="A24" s="29">
        <f>data0!A19</f>
        <v>-39</v>
      </c>
      <c r="B24" s="74" t="e">
        <f>AVERAGE(data1!B19:AG19)</f>
        <v>#DIV/0!</v>
      </c>
      <c r="C24" s="74" t="e">
        <f t="shared" si="0"/>
        <v>#DIV/0!</v>
      </c>
      <c r="D24" s="74" t="e">
        <f t="shared" si="1"/>
        <v>#DIV/0!</v>
      </c>
      <c r="E24" s="74" t="e">
        <f>data1!B19*$B$6/E$6</f>
        <v>#DIV/0!</v>
      </c>
      <c r="F24" s="74" t="e">
        <f>data1!C19*$B$6/F$6</f>
        <v>#DIV/0!</v>
      </c>
      <c r="G24" s="74" t="e">
        <f>data1!D19*$B$6/G$6</f>
        <v>#DIV/0!</v>
      </c>
      <c r="H24" s="74" t="e">
        <f>data1!E19*$B$6/H$6</f>
        <v>#DIV/0!</v>
      </c>
      <c r="I24" s="74" t="e">
        <f>data1!F19*$B$6/I$6</f>
        <v>#DIV/0!</v>
      </c>
      <c r="J24" s="74" t="e">
        <f>data1!G19*$B$6/J$6</f>
        <v>#DIV/0!</v>
      </c>
      <c r="K24" s="74" t="e">
        <f>data1!H19*$B$6/K$6</f>
        <v>#DIV/0!</v>
      </c>
      <c r="L24" s="74" t="e">
        <f>data1!I19*$B$6/L$6</f>
        <v>#DIV/0!</v>
      </c>
      <c r="M24" s="74" t="e">
        <f>data1!J19*$B$6/M$6</f>
        <v>#DIV/0!</v>
      </c>
      <c r="N24" s="74" t="e">
        <f>data1!K19*$B$6/N$6</f>
        <v>#DIV/0!</v>
      </c>
      <c r="O24" s="74" t="e">
        <f>data1!L19*$B$6/O$6</f>
        <v>#DIV/0!</v>
      </c>
      <c r="P24" s="74" t="e">
        <f>data1!M19*$B$6/P$6</f>
        <v>#DIV/0!</v>
      </c>
      <c r="Q24" s="74" t="e">
        <f>data1!N19*$B$6/Q$6</f>
        <v>#DIV/0!</v>
      </c>
      <c r="R24" s="74" t="e">
        <f>data1!O19*$B$6/R$6</f>
        <v>#DIV/0!</v>
      </c>
      <c r="S24" s="74" t="e">
        <f>data1!P19*$B$6/S$6</f>
        <v>#DIV/0!</v>
      </c>
      <c r="T24" s="74" t="e">
        <f>data1!Q19*$B$6/T$6</f>
        <v>#DIV/0!</v>
      </c>
      <c r="U24" s="74" t="e">
        <f>data1!R19*$B$6/U$6</f>
        <v>#DIV/0!</v>
      </c>
      <c r="V24" s="74" t="e">
        <f>data1!S19*$B$6/V$6</f>
        <v>#DIV/0!</v>
      </c>
      <c r="W24" s="74" t="e">
        <f>data1!T19*$B$6/W$6</f>
        <v>#DIV/0!</v>
      </c>
      <c r="X24" s="74" t="e">
        <f>data1!U19*$B$6/X$6</f>
        <v>#DIV/0!</v>
      </c>
      <c r="Y24" s="74" t="e">
        <f>data1!V19*$B$6/Y$6</f>
        <v>#DIV/0!</v>
      </c>
      <c r="Z24" s="74" t="e">
        <f>data1!W19*$B$6/Z$6</f>
        <v>#DIV/0!</v>
      </c>
      <c r="AA24" s="74" t="e">
        <f>data1!X19*$B$6/AA$6</f>
        <v>#DIV/0!</v>
      </c>
      <c r="AB24" s="74" t="e">
        <f>data1!Y19*$B$6/AB$6</f>
        <v>#DIV/0!</v>
      </c>
      <c r="AC24" s="74" t="e">
        <f>data1!Z19*$B$6/AC$6</f>
        <v>#DIV/0!</v>
      </c>
      <c r="AD24" s="74" t="e">
        <f>data1!AA19*$B$6/AD$6</f>
        <v>#DIV/0!</v>
      </c>
      <c r="AE24" s="74" t="e">
        <f>data1!AB19*$B$6/AE$6</f>
        <v>#DIV/0!</v>
      </c>
      <c r="AF24" s="74" t="e">
        <f>data1!AC19*$B$6/AF$6</f>
        <v>#DIV/0!</v>
      </c>
      <c r="AG24" s="74" t="e">
        <f>data1!AD19*$B$6/AG$6</f>
        <v>#DIV/0!</v>
      </c>
      <c r="AH24" s="74" t="e">
        <f>data1!AE19*$B$6/AH$6</f>
        <v>#DIV/0!</v>
      </c>
      <c r="AI24" s="74" t="e">
        <f>data1!AF19*$B$6/AI$6</f>
        <v>#DIV/0!</v>
      </c>
      <c r="AJ24" s="74" t="e">
        <f>data1!AG19*$B$6/AJ$6</f>
        <v>#DIV/0!</v>
      </c>
    </row>
    <row r="25" spans="1:36">
      <c r="A25" s="29">
        <f>data0!A20</f>
        <v>-36</v>
      </c>
      <c r="B25" s="74" t="e">
        <f>AVERAGE(data1!B20:AG20)</f>
        <v>#DIV/0!</v>
      </c>
      <c r="C25" s="74" t="e">
        <f t="shared" si="0"/>
        <v>#DIV/0!</v>
      </c>
      <c r="D25" s="74" t="e">
        <f t="shared" si="1"/>
        <v>#DIV/0!</v>
      </c>
      <c r="E25" s="74" t="e">
        <f>data1!B20*$B$6/E$6</f>
        <v>#DIV/0!</v>
      </c>
      <c r="F25" s="74" t="e">
        <f>data1!C20*$B$6/F$6</f>
        <v>#DIV/0!</v>
      </c>
      <c r="G25" s="74" t="e">
        <f>data1!D20*$B$6/G$6</f>
        <v>#DIV/0!</v>
      </c>
      <c r="H25" s="74" t="e">
        <f>data1!E20*$B$6/H$6</f>
        <v>#DIV/0!</v>
      </c>
      <c r="I25" s="74" t="e">
        <f>data1!F20*$B$6/I$6</f>
        <v>#DIV/0!</v>
      </c>
      <c r="J25" s="74" t="e">
        <f>data1!G20*$B$6/J$6</f>
        <v>#DIV/0!</v>
      </c>
      <c r="K25" s="74" t="e">
        <f>data1!H20*$B$6/K$6</f>
        <v>#DIV/0!</v>
      </c>
      <c r="L25" s="74" t="e">
        <f>data1!I20*$B$6/L$6</f>
        <v>#DIV/0!</v>
      </c>
      <c r="M25" s="74" t="e">
        <f>data1!J20*$B$6/M$6</f>
        <v>#DIV/0!</v>
      </c>
      <c r="N25" s="74" t="e">
        <f>data1!K20*$B$6/N$6</f>
        <v>#DIV/0!</v>
      </c>
      <c r="O25" s="74" t="e">
        <f>data1!L20*$B$6/O$6</f>
        <v>#DIV/0!</v>
      </c>
      <c r="P25" s="74" t="e">
        <f>data1!M20*$B$6/P$6</f>
        <v>#DIV/0!</v>
      </c>
      <c r="Q25" s="74" t="e">
        <f>data1!N20*$B$6/Q$6</f>
        <v>#DIV/0!</v>
      </c>
      <c r="R25" s="74" t="e">
        <f>data1!O20*$B$6/R$6</f>
        <v>#DIV/0!</v>
      </c>
      <c r="S25" s="74" t="e">
        <f>data1!P20*$B$6/S$6</f>
        <v>#DIV/0!</v>
      </c>
      <c r="T25" s="74" t="e">
        <f>data1!Q20*$B$6/T$6</f>
        <v>#DIV/0!</v>
      </c>
      <c r="U25" s="74" t="e">
        <f>data1!R20*$B$6/U$6</f>
        <v>#DIV/0!</v>
      </c>
      <c r="V25" s="74" t="e">
        <f>data1!S20*$B$6/V$6</f>
        <v>#DIV/0!</v>
      </c>
      <c r="W25" s="74" t="e">
        <f>data1!T20*$B$6/W$6</f>
        <v>#DIV/0!</v>
      </c>
      <c r="X25" s="74" t="e">
        <f>data1!U20*$B$6/X$6</f>
        <v>#DIV/0!</v>
      </c>
      <c r="Y25" s="74" t="e">
        <f>data1!V20*$B$6/Y$6</f>
        <v>#DIV/0!</v>
      </c>
      <c r="Z25" s="74" t="e">
        <f>data1!W20*$B$6/Z$6</f>
        <v>#DIV/0!</v>
      </c>
      <c r="AA25" s="74" t="e">
        <f>data1!X20*$B$6/AA$6</f>
        <v>#DIV/0!</v>
      </c>
      <c r="AB25" s="74" t="e">
        <f>data1!Y20*$B$6/AB$6</f>
        <v>#DIV/0!</v>
      </c>
      <c r="AC25" s="74" t="e">
        <f>data1!Z20*$B$6/AC$6</f>
        <v>#DIV/0!</v>
      </c>
      <c r="AD25" s="74" t="e">
        <f>data1!AA20*$B$6/AD$6</f>
        <v>#DIV/0!</v>
      </c>
      <c r="AE25" s="74" t="e">
        <f>data1!AB20*$B$6/AE$6</f>
        <v>#DIV/0!</v>
      </c>
      <c r="AF25" s="74" t="e">
        <f>data1!AC20*$B$6/AF$6</f>
        <v>#DIV/0!</v>
      </c>
      <c r="AG25" s="74" t="e">
        <f>data1!AD20*$B$6/AG$6</f>
        <v>#DIV/0!</v>
      </c>
      <c r="AH25" s="74" t="e">
        <f>data1!AE20*$B$6/AH$6</f>
        <v>#DIV/0!</v>
      </c>
      <c r="AI25" s="74" t="e">
        <f>data1!AF20*$B$6/AI$6</f>
        <v>#DIV/0!</v>
      </c>
      <c r="AJ25" s="74" t="e">
        <f>data1!AG20*$B$6/AJ$6</f>
        <v>#DIV/0!</v>
      </c>
    </row>
    <row r="26" spans="1:36">
      <c r="A26" s="29">
        <f>data0!A21</f>
        <v>-33</v>
      </c>
      <c r="B26" s="74" t="e">
        <f>AVERAGE(data1!B21:AG21)</f>
        <v>#DIV/0!</v>
      </c>
      <c r="C26" s="74" t="e">
        <f t="shared" si="0"/>
        <v>#DIV/0!</v>
      </c>
      <c r="D26" s="74" t="e">
        <f t="shared" si="1"/>
        <v>#DIV/0!</v>
      </c>
      <c r="E26" s="74" t="e">
        <f>data1!B21*$B$6/E$6</f>
        <v>#DIV/0!</v>
      </c>
      <c r="F26" s="74" t="e">
        <f>data1!C21*$B$6/F$6</f>
        <v>#DIV/0!</v>
      </c>
      <c r="G26" s="74" t="e">
        <f>data1!D21*$B$6/G$6</f>
        <v>#DIV/0!</v>
      </c>
      <c r="H26" s="74" t="e">
        <f>data1!E21*$B$6/H$6</f>
        <v>#DIV/0!</v>
      </c>
      <c r="I26" s="74" t="e">
        <f>data1!F21*$B$6/I$6</f>
        <v>#DIV/0!</v>
      </c>
      <c r="J26" s="74" t="e">
        <f>data1!G21*$B$6/J$6</f>
        <v>#DIV/0!</v>
      </c>
      <c r="K26" s="74" t="e">
        <f>data1!H21*$B$6/K$6</f>
        <v>#DIV/0!</v>
      </c>
      <c r="L26" s="74" t="e">
        <f>data1!I21*$B$6/L$6</f>
        <v>#DIV/0!</v>
      </c>
      <c r="M26" s="74" t="e">
        <f>data1!J21*$B$6/M$6</f>
        <v>#DIV/0!</v>
      </c>
      <c r="N26" s="74" t="e">
        <f>data1!K21*$B$6/N$6</f>
        <v>#DIV/0!</v>
      </c>
      <c r="O26" s="74" t="e">
        <f>data1!L21*$B$6/O$6</f>
        <v>#DIV/0!</v>
      </c>
      <c r="P26" s="74" t="e">
        <f>data1!M21*$B$6/P$6</f>
        <v>#DIV/0!</v>
      </c>
      <c r="Q26" s="74" t="e">
        <f>data1!N21*$B$6/Q$6</f>
        <v>#DIV/0!</v>
      </c>
      <c r="R26" s="74" t="e">
        <f>data1!O21*$B$6/R$6</f>
        <v>#DIV/0!</v>
      </c>
      <c r="S26" s="74" t="e">
        <f>data1!P21*$B$6/S$6</f>
        <v>#DIV/0!</v>
      </c>
      <c r="T26" s="74" t="e">
        <f>data1!Q21*$B$6/T$6</f>
        <v>#DIV/0!</v>
      </c>
      <c r="U26" s="74" t="e">
        <f>data1!R21*$B$6/U$6</f>
        <v>#DIV/0!</v>
      </c>
      <c r="V26" s="74" t="e">
        <f>data1!S21*$B$6/V$6</f>
        <v>#DIV/0!</v>
      </c>
      <c r="W26" s="74" t="e">
        <f>data1!T21*$B$6/W$6</f>
        <v>#DIV/0!</v>
      </c>
      <c r="X26" s="74" t="e">
        <f>data1!U21*$B$6/X$6</f>
        <v>#DIV/0!</v>
      </c>
      <c r="Y26" s="74" t="e">
        <f>data1!V21*$B$6/Y$6</f>
        <v>#DIV/0!</v>
      </c>
      <c r="Z26" s="74" t="e">
        <f>data1!W21*$B$6/Z$6</f>
        <v>#DIV/0!</v>
      </c>
      <c r="AA26" s="74" t="e">
        <f>data1!X21*$B$6/AA$6</f>
        <v>#DIV/0!</v>
      </c>
      <c r="AB26" s="74" t="e">
        <f>data1!Y21*$B$6/AB$6</f>
        <v>#DIV/0!</v>
      </c>
      <c r="AC26" s="74" t="e">
        <f>data1!Z21*$B$6/AC$6</f>
        <v>#DIV/0!</v>
      </c>
      <c r="AD26" s="74" t="e">
        <f>data1!AA21*$B$6/AD$6</f>
        <v>#DIV/0!</v>
      </c>
      <c r="AE26" s="74" t="e">
        <f>data1!AB21*$B$6/AE$6</f>
        <v>#DIV/0!</v>
      </c>
      <c r="AF26" s="74" t="e">
        <f>data1!AC21*$B$6/AF$6</f>
        <v>#DIV/0!</v>
      </c>
      <c r="AG26" s="74" t="e">
        <f>data1!AD21*$B$6/AG$6</f>
        <v>#DIV/0!</v>
      </c>
      <c r="AH26" s="74" t="e">
        <f>data1!AE21*$B$6/AH$6</f>
        <v>#DIV/0!</v>
      </c>
      <c r="AI26" s="74" t="e">
        <f>data1!AF21*$B$6/AI$6</f>
        <v>#DIV/0!</v>
      </c>
      <c r="AJ26" s="74" t="e">
        <f>data1!AG21*$B$6/AJ$6</f>
        <v>#DIV/0!</v>
      </c>
    </row>
    <row r="27" spans="1:36">
      <c r="A27" s="29">
        <f>data0!A22</f>
        <v>-30</v>
      </c>
      <c r="B27" s="74" t="e">
        <f>AVERAGE(data1!B22:AG22)</f>
        <v>#DIV/0!</v>
      </c>
      <c r="C27" s="74" t="e">
        <f t="shared" si="0"/>
        <v>#DIV/0!</v>
      </c>
      <c r="D27" s="74" t="e">
        <f t="shared" si="1"/>
        <v>#DIV/0!</v>
      </c>
      <c r="E27" s="74" t="e">
        <f>data1!B22*$B$6/E$6</f>
        <v>#DIV/0!</v>
      </c>
      <c r="F27" s="74" t="e">
        <f>data1!C22*$B$6/F$6</f>
        <v>#DIV/0!</v>
      </c>
      <c r="G27" s="74" t="e">
        <f>data1!D22*$B$6/G$6</f>
        <v>#DIV/0!</v>
      </c>
      <c r="H27" s="74" t="e">
        <f>data1!E22*$B$6/H$6</f>
        <v>#DIV/0!</v>
      </c>
      <c r="I27" s="74" t="e">
        <f>data1!F22*$B$6/I$6</f>
        <v>#DIV/0!</v>
      </c>
      <c r="J27" s="74" t="e">
        <f>data1!G22*$B$6/J$6</f>
        <v>#DIV/0!</v>
      </c>
      <c r="K27" s="74" t="e">
        <f>data1!H22*$B$6/K$6</f>
        <v>#DIV/0!</v>
      </c>
      <c r="L27" s="74" t="e">
        <f>data1!I22*$B$6/L$6</f>
        <v>#DIV/0!</v>
      </c>
      <c r="M27" s="74" t="e">
        <f>data1!J22*$B$6/M$6</f>
        <v>#DIV/0!</v>
      </c>
      <c r="N27" s="74" t="e">
        <f>data1!K22*$B$6/N$6</f>
        <v>#DIV/0!</v>
      </c>
      <c r="O27" s="74" t="e">
        <f>data1!L22*$B$6/O$6</f>
        <v>#DIV/0!</v>
      </c>
      <c r="P27" s="74" t="e">
        <f>data1!M22*$B$6/P$6</f>
        <v>#DIV/0!</v>
      </c>
      <c r="Q27" s="74" t="e">
        <f>data1!N22*$B$6/Q$6</f>
        <v>#DIV/0!</v>
      </c>
      <c r="R27" s="74" t="e">
        <f>data1!O22*$B$6/R$6</f>
        <v>#DIV/0!</v>
      </c>
      <c r="S27" s="74" t="e">
        <f>data1!P22*$B$6/S$6</f>
        <v>#DIV/0!</v>
      </c>
      <c r="T27" s="74" t="e">
        <f>data1!Q22*$B$6/T$6</f>
        <v>#DIV/0!</v>
      </c>
      <c r="U27" s="74" t="e">
        <f>data1!R22*$B$6/U$6</f>
        <v>#DIV/0!</v>
      </c>
      <c r="V27" s="74" t="e">
        <f>data1!S22*$B$6/V$6</f>
        <v>#DIV/0!</v>
      </c>
      <c r="W27" s="74" t="e">
        <f>data1!T22*$B$6/W$6</f>
        <v>#DIV/0!</v>
      </c>
      <c r="X27" s="74" t="e">
        <f>data1!U22*$B$6/X$6</f>
        <v>#DIV/0!</v>
      </c>
      <c r="Y27" s="74" t="e">
        <f>data1!V22*$B$6/Y$6</f>
        <v>#DIV/0!</v>
      </c>
      <c r="Z27" s="74" t="e">
        <f>data1!W22*$B$6/Z$6</f>
        <v>#DIV/0!</v>
      </c>
      <c r="AA27" s="74" t="e">
        <f>data1!X22*$B$6/AA$6</f>
        <v>#DIV/0!</v>
      </c>
      <c r="AB27" s="74" t="e">
        <f>data1!Y22*$B$6/AB$6</f>
        <v>#DIV/0!</v>
      </c>
      <c r="AC27" s="74" t="e">
        <f>data1!Z22*$B$6/AC$6</f>
        <v>#DIV/0!</v>
      </c>
      <c r="AD27" s="74" t="e">
        <f>data1!AA22*$B$6/AD$6</f>
        <v>#DIV/0!</v>
      </c>
      <c r="AE27" s="74" t="e">
        <f>data1!AB22*$B$6/AE$6</f>
        <v>#DIV/0!</v>
      </c>
      <c r="AF27" s="74" t="e">
        <f>data1!AC22*$B$6/AF$6</f>
        <v>#DIV/0!</v>
      </c>
      <c r="AG27" s="74" t="e">
        <f>data1!AD22*$B$6/AG$6</f>
        <v>#DIV/0!</v>
      </c>
      <c r="AH27" s="74" t="e">
        <f>data1!AE22*$B$6/AH$6</f>
        <v>#DIV/0!</v>
      </c>
      <c r="AI27" s="74" t="e">
        <f>data1!AF22*$B$6/AI$6</f>
        <v>#DIV/0!</v>
      </c>
      <c r="AJ27" s="74" t="e">
        <f>data1!AG22*$B$6/AJ$6</f>
        <v>#DIV/0!</v>
      </c>
    </row>
    <row r="28" spans="1:36">
      <c r="A28" s="29">
        <f>data0!A23</f>
        <v>-27</v>
      </c>
      <c r="B28" s="74" t="e">
        <f>AVERAGE(data1!B23:AG23)</f>
        <v>#DIV/0!</v>
      </c>
      <c r="C28" s="74" t="e">
        <f t="shared" si="0"/>
        <v>#DIV/0!</v>
      </c>
      <c r="D28" s="74" t="e">
        <f t="shared" si="1"/>
        <v>#DIV/0!</v>
      </c>
      <c r="E28" s="74" t="e">
        <f>data1!B23*$B$6/E$6</f>
        <v>#DIV/0!</v>
      </c>
      <c r="F28" s="74" t="e">
        <f>data1!C23*$B$6/F$6</f>
        <v>#DIV/0!</v>
      </c>
      <c r="G28" s="74" t="e">
        <f>data1!D23*$B$6/G$6</f>
        <v>#DIV/0!</v>
      </c>
      <c r="H28" s="74" t="e">
        <f>data1!E23*$B$6/H$6</f>
        <v>#DIV/0!</v>
      </c>
      <c r="I28" s="74" t="e">
        <f>data1!F23*$B$6/I$6</f>
        <v>#DIV/0!</v>
      </c>
      <c r="J28" s="74" t="e">
        <f>data1!G23*$B$6/J$6</f>
        <v>#DIV/0!</v>
      </c>
      <c r="K28" s="74" t="e">
        <f>data1!H23*$B$6/K$6</f>
        <v>#DIV/0!</v>
      </c>
      <c r="L28" s="74" t="e">
        <f>data1!I23*$B$6/L$6</f>
        <v>#DIV/0!</v>
      </c>
      <c r="M28" s="74" t="e">
        <f>data1!J23*$B$6/M$6</f>
        <v>#DIV/0!</v>
      </c>
      <c r="N28" s="74" t="e">
        <f>data1!K23*$B$6/N$6</f>
        <v>#DIV/0!</v>
      </c>
      <c r="O28" s="74" t="e">
        <f>data1!L23*$B$6/O$6</f>
        <v>#DIV/0!</v>
      </c>
      <c r="P28" s="74" t="e">
        <f>data1!M23*$B$6/P$6</f>
        <v>#DIV/0!</v>
      </c>
      <c r="Q28" s="74" t="e">
        <f>data1!N23*$B$6/Q$6</f>
        <v>#DIV/0!</v>
      </c>
      <c r="R28" s="74" t="e">
        <f>data1!O23*$B$6/R$6</f>
        <v>#DIV/0!</v>
      </c>
      <c r="S28" s="74" t="e">
        <f>data1!P23*$B$6/S$6</f>
        <v>#DIV/0!</v>
      </c>
      <c r="T28" s="74" t="e">
        <f>data1!Q23*$B$6/T$6</f>
        <v>#DIV/0!</v>
      </c>
      <c r="U28" s="74" t="e">
        <f>data1!R23*$B$6/U$6</f>
        <v>#DIV/0!</v>
      </c>
      <c r="V28" s="74" t="e">
        <f>data1!S23*$B$6/V$6</f>
        <v>#DIV/0!</v>
      </c>
      <c r="W28" s="74" t="e">
        <f>data1!T23*$B$6/W$6</f>
        <v>#DIV/0!</v>
      </c>
      <c r="X28" s="74" t="e">
        <f>data1!U23*$B$6/X$6</f>
        <v>#DIV/0!</v>
      </c>
      <c r="Y28" s="74" t="e">
        <f>data1!V23*$B$6/Y$6</f>
        <v>#DIV/0!</v>
      </c>
      <c r="Z28" s="74" t="e">
        <f>data1!W23*$B$6/Z$6</f>
        <v>#DIV/0!</v>
      </c>
      <c r="AA28" s="74" t="e">
        <f>data1!X23*$B$6/AA$6</f>
        <v>#DIV/0!</v>
      </c>
      <c r="AB28" s="74" t="e">
        <f>data1!Y23*$B$6/AB$6</f>
        <v>#DIV/0!</v>
      </c>
      <c r="AC28" s="74" t="e">
        <f>data1!Z23*$B$6/AC$6</f>
        <v>#DIV/0!</v>
      </c>
      <c r="AD28" s="74" t="e">
        <f>data1!AA23*$B$6/AD$6</f>
        <v>#DIV/0!</v>
      </c>
      <c r="AE28" s="74" t="e">
        <f>data1!AB23*$B$6/AE$6</f>
        <v>#DIV/0!</v>
      </c>
      <c r="AF28" s="74" t="e">
        <f>data1!AC23*$B$6/AF$6</f>
        <v>#DIV/0!</v>
      </c>
      <c r="AG28" s="74" t="e">
        <f>data1!AD23*$B$6/AG$6</f>
        <v>#DIV/0!</v>
      </c>
      <c r="AH28" s="74" t="e">
        <f>data1!AE23*$B$6/AH$6</f>
        <v>#DIV/0!</v>
      </c>
      <c r="AI28" s="74" t="e">
        <f>data1!AF23*$B$6/AI$6</f>
        <v>#DIV/0!</v>
      </c>
      <c r="AJ28" s="74" t="e">
        <f>data1!AG23*$B$6/AJ$6</f>
        <v>#DIV/0!</v>
      </c>
    </row>
    <row r="29" spans="1:36">
      <c r="A29" s="29">
        <f>data0!A24</f>
        <v>-24</v>
      </c>
      <c r="B29" s="74" t="e">
        <f>AVERAGE(data1!B24:AG24)</f>
        <v>#DIV/0!</v>
      </c>
      <c r="C29" s="74" t="e">
        <f t="shared" si="0"/>
        <v>#DIV/0!</v>
      </c>
      <c r="D29" s="74" t="e">
        <f t="shared" si="1"/>
        <v>#DIV/0!</v>
      </c>
      <c r="E29" s="74" t="e">
        <f>data1!B24*$B$6/E$6</f>
        <v>#DIV/0!</v>
      </c>
      <c r="F29" s="74" t="e">
        <f>data1!C24*$B$6/F$6</f>
        <v>#DIV/0!</v>
      </c>
      <c r="G29" s="74" t="e">
        <f>data1!D24*$B$6/G$6</f>
        <v>#DIV/0!</v>
      </c>
      <c r="H29" s="74" t="e">
        <f>data1!E24*$B$6/H$6</f>
        <v>#DIV/0!</v>
      </c>
      <c r="I29" s="74" t="e">
        <f>data1!F24*$B$6/I$6</f>
        <v>#DIV/0!</v>
      </c>
      <c r="J29" s="74" t="e">
        <f>data1!G24*$B$6/J$6</f>
        <v>#DIV/0!</v>
      </c>
      <c r="K29" s="74" t="e">
        <f>data1!H24*$B$6/K$6</f>
        <v>#DIV/0!</v>
      </c>
      <c r="L29" s="74" t="e">
        <f>data1!I24*$B$6/L$6</f>
        <v>#DIV/0!</v>
      </c>
      <c r="M29" s="74" t="e">
        <f>data1!J24*$B$6/M$6</f>
        <v>#DIV/0!</v>
      </c>
      <c r="N29" s="74" t="e">
        <f>data1!K24*$B$6/N$6</f>
        <v>#DIV/0!</v>
      </c>
      <c r="O29" s="74" t="e">
        <f>data1!L24*$B$6/O$6</f>
        <v>#DIV/0!</v>
      </c>
      <c r="P29" s="74" t="e">
        <f>data1!M24*$B$6/P$6</f>
        <v>#DIV/0!</v>
      </c>
      <c r="Q29" s="74" t="e">
        <f>data1!N24*$B$6/Q$6</f>
        <v>#DIV/0!</v>
      </c>
      <c r="R29" s="74" t="e">
        <f>data1!O24*$B$6/R$6</f>
        <v>#DIV/0!</v>
      </c>
      <c r="S29" s="74" t="e">
        <f>data1!P24*$B$6/S$6</f>
        <v>#DIV/0!</v>
      </c>
      <c r="T29" s="74" t="e">
        <f>data1!Q24*$B$6/T$6</f>
        <v>#DIV/0!</v>
      </c>
      <c r="U29" s="74" t="e">
        <f>data1!R24*$B$6/U$6</f>
        <v>#DIV/0!</v>
      </c>
      <c r="V29" s="74" t="e">
        <f>data1!S24*$B$6/V$6</f>
        <v>#DIV/0!</v>
      </c>
      <c r="W29" s="74" t="e">
        <f>data1!T24*$B$6/W$6</f>
        <v>#DIV/0!</v>
      </c>
      <c r="X29" s="74" t="e">
        <f>data1!U24*$B$6/X$6</f>
        <v>#DIV/0!</v>
      </c>
      <c r="Y29" s="74" t="e">
        <f>data1!V24*$B$6/Y$6</f>
        <v>#DIV/0!</v>
      </c>
      <c r="Z29" s="74" t="e">
        <f>data1!W24*$B$6/Z$6</f>
        <v>#DIV/0!</v>
      </c>
      <c r="AA29" s="74" t="e">
        <f>data1!X24*$B$6/AA$6</f>
        <v>#DIV/0!</v>
      </c>
      <c r="AB29" s="74" t="e">
        <f>data1!Y24*$B$6/AB$6</f>
        <v>#DIV/0!</v>
      </c>
      <c r="AC29" s="74" t="e">
        <f>data1!Z24*$B$6/AC$6</f>
        <v>#DIV/0!</v>
      </c>
      <c r="AD29" s="74" t="e">
        <f>data1!AA24*$B$6/AD$6</f>
        <v>#DIV/0!</v>
      </c>
      <c r="AE29" s="74" t="e">
        <f>data1!AB24*$B$6/AE$6</f>
        <v>#DIV/0!</v>
      </c>
      <c r="AF29" s="74" t="e">
        <f>data1!AC24*$B$6/AF$6</f>
        <v>#DIV/0!</v>
      </c>
      <c r="AG29" s="74" t="e">
        <f>data1!AD24*$B$6/AG$6</f>
        <v>#DIV/0!</v>
      </c>
      <c r="AH29" s="74" t="e">
        <f>data1!AE24*$B$6/AH$6</f>
        <v>#DIV/0!</v>
      </c>
      <c r="AI29" s="74" t="e">
        <f>data1!AF24*$B$6/AI$6</f>
        <v>#DIV/0!</v>
      </c>
      <c r="AJ29" s="74" t="e">
        <f>data1!AG24*$B$6/AJ$6</f>
        <v>#DIV/0!</v>
      </c>
    </row>
    <row r="30" spans="1:36">
      <c r="A30" s="29">
        <f>data0!A25</f>
        <v>-21</v>
      </c>
      <c r="B30" s="74" t="e">
        <f>AVERAGE(data1!B25:AG25)</f>
        <v>#DIV/0!</v>
      </c>
      <c r="C30" s="74" t="e">
        <f t="shared" si="0"/>
        <v>#DIV/0!</v>
      </c>
      <c r="D30" s="74" t="e">
        <f t="shared" si="1"/>
        <v>#DIV/0!</v>
      </c>
      <c r="E30" s="74" t="e">
        <f>data1!B25*$B$6/E$6</f>
        <v>#DIV/0!</v>
      </c>
      <c r="F30" s="74" t="e">
        <f>data1!C25*$B$6/F$6</f>
        <v>#DIV/0!</v>
      </c>
      <c r="G30" s="74" t="e">
        <f>data1!D25*$B$6/G$6</f>
        <v>#DIV/0!</v>
      </c>
      <c r="H30" s="74" t="e">
        <f>data1!E25*$B$6/H$6</f>
        <v>#DIV/0!</v>
      </c>
      <c r="I30" s="74" t="e">
        <f>data1!F25*$B$6/I$6</f>
        <v>#DIV/0!</v>
      </c>
      <c r="J30" s="74" t="e">
        <f>data1!G25*$B$6/J$6</f>
        <v>#DIV/0!</v>
      </c>
      <c r="K30" s="74" t="e">
        <f>data1!H25*$B$6/K$6</f>
        <v>#DIV/0!</v>
      </c>
      <c r="L30" s="74" t="e">
        <f>data1!I25*$B$6/L$6</f>
        <v>#DIV/0!</v>
      </c>
      <c r="M30" s="74" t="e">
        <f>data1!J25*$B$6/M$6</f>
        <v>#DIV/0!</v>
      </c>
      <c r="N30" s="74" t="e">
        <f>data1!K25*$B$6/N$6</f>
        <v>#DIV/0!</v>
      </c>
      <c r="O30" s="74" t="e">
        <f>data1!L25*$B$6/O$6</f>
        <v>#DIV/0!</v>
      </c>
      <c r="P30" s="74" t="e">
        <f>data1!M25*$B$6/P$6</f>
        <v>#DIV/0!</v>
      </c>
      <c r="Q30" s="74" t="e">
        <f>data1!N25*$B$6/Q$6</f>
        <v>#DIV/0!</v>
      </c>
      <c r="R30" s="74" t="e">
        <f>data1!O25*$B$6/R$6</f>
        <v>#DIV/0!</v>
      </c>
      <c r="S30" s="74" t="e">
        <f>data1!P25*$B$6/S$6</f>
        <v>#DIV/0!</v>
      </c>
      <c r="T30" s="74" t="e">
        <f>data1!Q25*$B$6/T$6</f>
        <v>#DIV/0!</v>
      </c>
      <c r="U30" s="74" t="e">
        <f>data1!R25*$B$6/U$6</f>
        <v>#DIV/0!</v>
      </c>
      <c r="V30" s="74" t="e">
        <f>data1!S25*$B$6/V$6</f>
        <v>#DIV/0!</v>
      </c>
      <c r="W30" s="74" t="e">
        <f>data1!T25*$B$6/W$6</f>
        <v>#DIV/0!</v>
      </c>
      <c r="X30" s="74" t="e">
        <f>data1!U25*$B$6/X$6</f>
        <v>#DIV/0!</v>
      </c>
      <c r="Y30" s="74" t="e">
        <f>data1!V25*$B$6/Y$6</f>
        <v>#DIV/0!</v>
      </c>
      <c r="Z30" s="74" t="e">
        <f>data1!W25*$B$6/Z$6</f>
        <v>#DIV/0!</v>
      </c>
      <c r="AA30" s="74" t="e">
        <f>data1!X25*$B$6/AA$6</f>
        <v>#DIV/0!</v>
      </c>
      <c r="AB30" s="74" t="e">
        <f>data1!Y25*$B$6/AB$6</f>
        <v>#DIV/0!</v>
      </c>
      <c r="AC30" s="74" t="e">
        <f>data1!Z25*$B$6/AC$6</f>
        <v>#DIV/0!</v>
      </c>
      <c r="AD30" s="74" t="e">
        <f>data1!AA25*$B$6/AD$6</f>
        <v>#DIV/0!</v>
      </c>
      <c r="AE30" s="74" t="e">
        <f>data1!AB25*$B$6/AE$6</f>
        <v>#DIV/0!</v>
      </c>
      <c r="AF30" s="74" t="e">
        <f>data1!AC25*$B$6/AF$6</f>
        <v>#DIV/0!</v>
      </c>
      <c r="AG30" s="74" t="e">
        <f>data1!AD25*$B$6/AG$6</f>
        <v>#DIV/0!</v>
      </c>
      <c r="AH30" s="74" t="e">
        <f>data1!AE25*$B$6/AH$6</f>
        <v>#DIV/0!</v>
      </c>
      <c r="AI30" s="74" t="e">
        <f>data1!AF25*$B$6/AI$6</f>
        <v>#DIV/0!</v>
      </c>
      <c r="AJ30" s="74" t="e">
        <f>data1!AG25*$B$6/AJ$6</f>
        <v>#DIV/0!</v>
      </c>
    </row>
    <row r="31" spans="1:36">
      <c r="A31" s="29">
        <f>data0!A26</f>
        <v>-18</v>
      </c>
      <c r="B31" s="74" t="e">
        <f>AVERAGE(data1!B26:AG26)</f>
        <v>#DIV/0!</v>
      </c>
      <c r="C31" s="74" t="e">
        <f t="shared" si="0"/>
        <v>#DIV/0!</v>
      </c>
      <c r="D31" s="74" t="e">
        <f t="shared" si="1"/>
        <v>#DIV/0!</v>
      </c>
      <c r="E31" s="74" t="e">
        <f>data1!B26*$B$6/E$6</f>
        <v>#DIV/0!</v>
      </c>
      <c r="F31" s="74" t="e">
        <f>data1!C26*$B$6/F$6</f>
        <v>#DIV/0!</v>
      </c>
      <c r="G31" s="74" t="e">
        <f>data1!D26*$B$6/G$6</f>
        <v>#DIV/0!</v>
      </c>
      <c r="H31" s="74" t="e">
        <f>data1!E26*$B$6/H$6</f>
        <v>#DIV/0!</v>
      </c>
      <c r="I31" s="74" t="e">
        <f>data1!F26*$B$6/I$6</f>
        <v>#DIV/0!</v>
      </c>
      <c r="J31" s="74" t="e">
        <f>data1!G26*$B$6/J$6</f>
        <v>#DIV/0!</v>
      </c>
      <c r="K31" s="74" t="e">
        <f>data1!H26*$B$6/K$6</f>
        <v>#DIV/0!</v>
      </c>
      <c r="L31" s="74" t="e">
        <f>data1!I26*$B$6/L$6</f>
        <v>#DIV/0!</v>
      </c>
      <c r="M31" s="74" t="e">
        <f>data1!J26*$B$6/M$6</f>
        <v>#DIV/0!</v>
      </c>
      <c r="N31" s="74" t="e">
        <f>data1!K26*$B$6/N$6</f>
        <v>#DIV/0!</v>
      </c>
      <c r="O31" s="74" t="e">
        <f>data1!L26*$B$6/O$6</f>
        <v>#DIV/0!</v>
      </c>
      <c r="P31" s="74" t="e">
        <f>data1!M26*$B$6/P$6</f>
        <v>#DIV/0!</v>
      </c>
      <c r="Q31" s="74" t="e">
        <f>data1!N26*$B$6/Q$6</f>
        <v>#DIV/0!</v>
      </c>
      <c r="R31" s="74" t="e">
        <f>data1!O26*$B$6/R$6</f>
        <v>#DIV/0!</v>
      </c>
      <c r="S31" s="74" t="e">
        <f>data1!P26*$B$6/S$6</f>
        <v>#DIV/0!</v>
      </c>
      <c r="T31" s="74" t="e">
        <f>data1!Q26*$B$6/T$6</f>
        <v>#DIV/0!</v>
      </c>
      <c r="U31" s="74" t="e">
        <f>data1!R26*$B$6/U$6</f>
        <v>#DIV/0!</v>
      </c>
      <c r="V31" s="74" t="e">
        <f>data1!S26*$B$6/V$6</f>
        <v>#DIV/0!</v>
      </c>
      <c r="W31" s="74" t="e">
        <f>data1!T26*$B$6/W$6</f>
        <v>#DIV/0!</v>
      </c>
      <c r="X31" s="74" t="e">
        <f>data1!U26*$B$6/X$6</f>
        <v>#DIV/0!</v>
      </c>
      <c r="Y31" s="74" t="e">
        <f>data1!V26*$B$6/Y$6</f>
        <v>#DIV/0!</v>
      </c>
      <c r="Z31" s="74" t="e">
        <f>data1!W26*$B$6/Z$6</f>
        <v>#DIV/0!</v>
      </c>
      <c r="AA31" s="74" t="e">
        <f>data1!X26*$B$6/AA$6</f>
        <v>#DIV/0!</v>
      </c>
      <c r="AB31" s="74" t="e">
        <f>data1!Y26*$B$6/AB$6</f>
        <v>#DIV/0!</v>
      </c>
      <c r="AC31" s="74" t="e">
        <f>data1!Z26*$B$6/AC$6</f>
        <v>#DIV/0!</v>
      </c>
      <c r="AD31" s="74" t="e">
        <f>data1!AA26*$B$6/AD$6</f>
        <v>#DIV/0!</v>
      </c>
      <c r="AE31" s="74" t="e">
        <f>data1!AB26*$B$6/AE$6</f>
        <v>#DIV/0!</v>
      </c>
      <c r="AF31" s="74" t="e">
        <f>data1!AC26*$B$6/AF$6</f>
        <v>#DIV/0!</v>
      </c>
      <c r="AG31" s="74" t="e">
        <f>data1!AD26*$B$6/AG$6</f>
        <v>#DIV/0!</v>
      </c>
      <c r="AH31" s="74" t="e">
        <f>data1!AE26*$B$6/AH$6</f>
        <v>#DIV/0!</v>
      </c>
      <c r="AI31" s="74" t="e">
        <f>data1!AF26*$B$6/AI$6</f>
        <v>#DIV/0!</v>
      </c>
      <c r="AJ31" s="74" t="e">
        <f>data1!AG26*$B$6/AJ$6</f>
        <v>#DIV/0!</v>
      </c>
    </row>
    <row r="32" spans="1:36">
      <c r="A32" s="29">
        <f>data0!A27</f>
        <v>-15</v>
      </c>
      <c r="B32" s="74" t="e">
        <f>AVERAGE(data1!B27:AG27)</f>
        <v>#DIV/0!</v>
      </c>
      <c r="C32" s="74" t="e">
        <f t="shared" si="0"/>
        <v>#DIV/0!</v>
      </c>
      <c r="D32" s="74" t="e">
        <f t="shared" si="1"/>
        <v>#DIV/0!</v>
      </c>
      <c r="E32" s="74" t="e">
        <f>data1!B27*$B$6/E$6</f>
        <v>#DIV/0!</v>
      </c>
      <c r="F32" s="74" t="e">
        <f>data1!C27*$B$6/F$6</f>
        <v>#DIV/0!</v>
      </c>
      <c r="G32" s="74" t="e">
        <f>data1!D27*$B$6/G$6</f>
        <v>#DIV/0!</v>
      </c>
      <c r="H32" s="74" t="e">
        <f>data1!E27*$B$6/H$6</f>
        <v>#DIV/0!</v>
      </c>
      <c r="I32" s="74" t="e">
        <f>data1!F27*$B$6/I$6</f>
        <v>#DIV/0!</v>
      </c>
      <c r="J32" s="74" t="e">
        <f>data1!G27*$B$6/J$6</f>
        <v>#DIV/0!</v>
      </c>
      <c r="K32" s="74" t="e">
        <f>data1!H27*$B$6/K$6</f>
        <v>#DIV/0!</v>
      </c>
      <c r="L32" s="74" t="e">
        <f>data1!I27*$B$6/L$6</f>
        <v>#DIV/0!</v>
      </c>
      <c r="M32" s="74" t="e">
        <f>data1!J27*$B$6/M$6</f>
        <v>#DIV/0!</v>
      </c>
      <c r="N32" s="74" t="e">
        <f>data1!K27*$B$6/N$6</f>
        <v>#DIV/0!</v>
      </c>
      <c r="O32" s="74" t="e">
        <f>data1!L27*$B$6/O$6</f>
        <v>#DIV/0!</v>
      </c>
      <c r="P32" s="74" t="e">
        <f>data1!M27*$B$6/P$6</f>
        <v>#DIV/0!</v>
      </c>
      <c r="Q32" s="74" t="e">
        <f>data1!N27*$B$6/Q$6</f>
        <v>#DIV/0!</v>
      </c>
      <c r="R32" s="74" t="e">
        <f>data1!O27*$B$6/R$6</f>
        <v>#DIV/0!</v>
      </c>
      <c r="S32" s="74" t="e">
        <f>data1!P27*$B$6/S$6</f>
        <v>#DIV/0!</v>
      </c>
      <c r="T32" s="74" t="e">
        <f>data1!Q27*$B$6/T$6</f>
        <v>#DIV/0!</v>
      </c>
      <c r="U32" s="74" t="e">
        <f>data1!R27*$B$6/U$6</f>
        <v>#DIV/0!</v>
      </c>
      <c r="V32" s="74" t="e">
        <f>data1!S27*$B$6/V$6</f>
        <v>#DIV/0!</v>
      </c>
      <c r="W32" s="74" t="e">
        <f>data1!T27*$B$6/W$6</f>
        <v>#DIV/0!</v>
      </c>
      <c r="X32" s="74" t="e">
        <f>data1!U27*$B$6/X$6</f>
        <v>#DIV/0!</v>
      </c>
      <c r="Y32" s="74" t="e">
        <f>data1!V27*$B$6/Y$6</f>
        <v>#DIV/0!</v>
      </c>
      <c r="Z32" s="74" t="e">
        <f>data1!W27*$B$6/Z$6</f>
        <v>#DIV/0!</v>
      </c>
      <c r="AA32" s="74" t="e">
        <f>data1!X27*$B$6/AA$6</f>
        <v>#DIV/0!</v>
      </c>
      <c r="AB32" s="74" t="e">
        <f>data1!Y27*$B$6/AB$6</f>
        <v>#DIV/0!</v>
      </c>
      <c r="AC32" s="74" t="e">
        <f>data1!Z27*$B$6/AC$6</f>
        <v>#DIV/0!</v>
      </c>
      <c r="AD32" s="74" t="e">
        <f>data1!AA27*$B$6/AD$6</f>
        <v>#DIV/0!</v>
      </c>
      <c r="AE32" s="74" t="e">
        <f>data1!AB27*$B$6/AE$6</f>
        <v>#DIV/0!</v>
      </c>
      <c r="AF32" s="74" t="e">
        <f>data1!AC27*$B$6/AF$6</f>
        <v>#DIV/0!</v>
      </c>
      <c r="AG32" s="74" t="e">
        <f>data1!AD27*$B$6/AG$6</f>
        <v>#DIV/0!</v>
      </c>
      <c r="AH32" s="74" t="e">
        <f>data1!AE27*$B$6/AH$6</f>
        <v>#DIV/0!</v>
      </c>
      <c r="AI32" s="74" t="e">
        <f>data1!AF27*$B$6/AI$6</f>
        <v>#DIV/0!</v>
      </c>
      <c r="AJ32" s="74" t="e">
        <f>data1!AG27*$B$6/AJ$6</f>
        <v>#DIV/0!</v>
      </c>
    </row>
    <row r="33" spans="1:36">
      <c r="A33" s="29">
        <f>data0!A28</f>
        <v>-12</v>
      </c>
      <c r="B33" s="74" t="e">
        <f>AVERAGE(data1!B28:AG28)</f>
        <v>#DIV/0!</v>
      </c>
      <c r="C33" s="74" t="e">
        <f t="shared" si="0"/>
        <v>#DIV/0!</v>
      </c>
      <c r="D33" s="74" t="e">
        <f t="shared" si="1"/>
        <v>#DIV/0!</v>
      </c>
      <c r="E33" s="74" t="e">
        <f>data1!B28*$B$6/E$6</f>
        <v>#DIV/0!</v>
      </c>
      <c r="F33" s="74" t="e">
        <f>data1!C28*$B$6/F$6</f>
        <v>#DIV/0!</v>
      </c>
      <c r="G33" s="74" t="e">
        <f>data1!D28*$B$6/G$6</f>
        <v>#DIV/0!</v>
      </c>
      <c r="H33" s="74" t="e">
        <f>data1!E28*$B$6/H$6</f>
        <v>#DIV/0!</v>
      </c>
      <c r="I33" s="74" t="e">
        <f>data1!F28*$B$6/I$6</f>
        <v>#DIV/0!</v>
      </c>
      <c r="J33" s="74" t="e">
        <f>data1!G28*$B$6/J$6</f>
        <v>#DIV/0!</v>
      </c>
      <c r="K33" s="74" t="e">
        <f>data1!H28*$B$6/K$6</f>
        <v>#DIV/0!</v>
      </c>
      <c r="L33" s="74" t="e">
        <f>data1!I28*$B$6/L$6</f>
        <v>#DIV/0!</v>
      </c>
      <c r="M33" s="74" t="e">
        <f>data1!J28*$B$6/M$6</f>
        <v>#DIV/0!</v>
      </c>
      <c r="N33" s="74" t="e">
        <f>data1!K28*$B$6/N$6</f>
        <v>#DIV/0!</v>
      </c>
      <c r="O33" s="74" t="e">
        <f>data1!L28*$B$6/O$6</f>
        <v>#DIV/0!</v>
      </c>
      <c r="P33" s="74" t="e">
        <f>data1!M28*$B$6/P$6</f>
        <v>#DIV/0!</v>
      </c>
      <c r="Q33" s="74" t="e">
        <f>data1!N28*$B$6/Q$6</f>
        <v>#DIV/0!</v>
      </c>
      <c r="R33" s="74" t="e">
        <f>data1!O28*$B$6/R$6</f>
        <v>#DIV/0!</v>
      </c>
      <c r="S33" s="74" t="e">
        <f>data1!P28*$B$6/S$6</f>
        <v>#DIV/0!</v>
      </c>
      <c r="T33" s="74" t="e">
        <f>data1!Q28*$B$6/T$6</f>
        <v>#DIV/0!</v>
      </c>
      <c r="U33" s="74" t="e">
        <f>data1!R28*$B$6/U$6</f>
        <v>#DIV/0!</v>
      </c>
      <c r="V33" s="74" t="e">
        <f>data1!S28*$B$6/V$6</f>
        <v>#DIV/0!</v>
      </c>
      <c r="W33" s="74" t="e">
        <f>data1!T28*$B$6/W$6</f>
        <v>#DIV/0!</v>
      </c>
      <c r="X33" s="74" t="e">
        <f>data1!U28*$B$6/X$6</f>
        <v>#DIV/0!</v>
      </c>
      <c r="Y33" s="74" t="e">
        <f>data1!V28*$B$6/Y$6</f>
        <v>#DIV/0!</v>
      </c>
      <c r="Z33" s="74" t="e">
        <f>data1!W28*$B$6/Z$6</f>
        <v>#DIV/0!</v>
      </c>
      <c r="AA33" s="74" t="e">
        <f>data1!X28*$B$6/AA$6</f>
        <v>#DIV/0!</v>
      </c>
      <c r="AB33" s="74" t="e">
        <f>data1!Y28*$B$6/AB$6</f>
        <v>#DIV/0!</v>
      </c>
      <c r="AC33" s="74" t="e">
        <f>data1!Z28*$B$6/AC$6</f>
        <v>#DIV/0!</v>
      </c>
      <c r="AD33" s="74" t="e">
        <f>data1!AA28*$B$6/AD$6</f>
        <v>#DIV/0!</v>
      </c>
      <c r="AE33" s="74" t="e">
        <f>data1!AB28*$B$6/AE$6</f>
        <v>#DIV/0!</v>
      </c>
      <c r="AF33" s="74" t="e">
        <f>data1!AC28*$B$6/AF$6</f>
        <v>#DIV/0!</v>
      </c>
      <c r="AG33" s="74" t="e">
        <f>data1!AD28*$B$6/AG$6</f>
        <v>#DIV/0!</v>
      </c>
      <c r="AH33" s="74" t="e">
        <f>data1!AE28*$B$6/AH$6</f>
        <v>#DIV/0!</v>
      </c>
      <c r="AI33" s="74" t="e">
        <f>data1!AF28*$B$6/AI$6</f>
        <v>#DIV/0!</v>
      </c>
      <c r="AJ33" s="74" t="e">
        <f>data1!AG28*$B$6/AJ$6</f>
        <v>#DIV/0!</v>
      </c>
    </row>
    <row r="34" spans="1:36">
      <c r="A34" s="29">
        <f>data0!A29</f>
        <v>-9</v>
      </c>
      <c r="B34" s="74" t="e">
        <f>AVERAGE(data1!B29:AG29)</f>
        <v>#DIV/0!</v>
      </c>
      <c r="C34" s="74" t="e">
        <f t="shared" si="0"/>
        <v>#DIV/0!</v>
      </c>
      <c r="D34" s="74" t="e">
        <f t="shared" si="1"/>
        <v>#DIV/0!</v>
      </c>
      <c r="E34" s="74" t="e">
        <f>data1!B29*$B$6/E$6</f>
        <v>#DIV/0!</v>
      </c>
      <c r="F34" s="74" t="e">
        <f>data1!C29*$B$6/F$6</f>
        <v>#DIV/0!</v>
      </c>
      <c r="G34" s="74" t="e">
        <f>data1!D29*$B$6/G$6</f>
        <v>#DIV/0!</v>
      </c>
      <c r="H34" s="74" t="e">
        <f>data1!E29*$B$6/H$6</f>
        <v>#DIV/0!</v>
      </c>
      <c r="I34" s="74" t="e">
        <f>data1!F29*$B$6/I$6</f>
        <v>#DIV/0!</v>
      </c>
      <c r="J34" s="74" t="e">
        <f>data1!G29*$B$6/J$6</f>
        <v>#DIV/0!</v>
      </c>
      <c r="K34" s="74" t="e">
        <f>data1!H29*$B$6/K$6</f>
        <v>#DIV/0!</v>
      </c>
      <c r="L34" s="74" t="e">
        <f>data1!I29*$B$6/L$6</f>
        <v>#DIV/0!</v>
      </c>
      <c r="M34" s="74" t="e">
        <f>data1!J29*$B$6/M$6</f>
        <v>#DIV/0!</v>
      </c>
      <c r="N34" s="74" t="e">
        <f>data1!K29*$B$6/N$6</f>
        <v>#DIV/0!</v>
      </c>
      <c r="O34" s="74" t="e">
        <f>data1!L29*$B$6/O$6</f>
        <v>#DIV/0!</v>
      </c>
      <c r="P34" s="74" t="e">
        <f>data1!M29*$B$6/P$6</f>
        <v>#DIV/0!</v>
      </c>
      <c r="Q34" s="74" t="e">
        <f>data1!N29*$B$6/Q$6</f>
        <v>#DIV/0!</v>
      </c>
      <c r="R34" s="74" t="e">
        <f>data1!O29*$B$6/R$6</f>
        <v>#DIV/0!</v>
      </c>
      <c r="S34" s="74" t="e">
        <f>data1!P29*$B$6/S$6</f>
        <v>#DIV/0!</v>
      </c>
      <c r="T34" s="74" t="e">
        <f>data1!Q29*$B$6/T$6</f>
        <v>#DIV/0!</v>
      </c>
      <c r="U34" s="74" t="e">
        <f>data1!R29*$B$6/U$6</f>
        <v>#DIV/0!</v>
      </c>
      <c r="V34" s="74" t="e">
        <f>data1!S29*$B$6/V$6</f>
        <v>#DIV/0!</v>
      </c>
      <c r="W34" s="74" t="e">
        <f>data1!T29*$B$6/W$6</f>
        <v>#DIV/0!</v>
      </c>
      <c r="X34" s="74" t="e">
        <f>data1!U29*$B$6/X$6</f>
        <v>#DIV/0!</v>
      </c>
      <c r="Y34" s="74" t="e">
        <f>data1!V29*$B$6/Y$6</f>
        <v>#DIV/0!</v>
      </c>
      <c r="Z34" s="74" t="e">
        <f>data1!W29*$B$6/Z$6</f>
        <v>#DIV/0!</v>
      </c>
      <c r="AA34" s="74" t="e">
        <f>data1!X29*$B$6/AA$6</f>
        <v>#DIV/0!</v>
      </c>
      <c r="AB34" s="74" t="e">
        <f>data1!Y29*$B$6/AB$6</f>
        <v>#DIV/0!</v>
      </c>
      <c r="AC34" s="74" t="e">
        <f>data1!Z29*$B$6/AC$6</f>
        <v>#DIV/0!</v>
      </c>
      <c r="AD34" s="74" t="e">
        <f>data1!AA29*$B$6/AD$6</f>
        <v>#DIV/0!</v>
      </c>
      <c r="AE34" s="74" t="e">
        <f>data1!AB29*$B$6/AE$6</f>
        <v>#DIV/0!</v>
      </c>
      <c r="AF34" s="74" t="e">
        <f>data1!AC29*$B$6/AF$6</f>
        <v>#DIV/0!</v>
      </c>
      <c r="AG34" s="74" t="e">
        <f>data1!AD29*$B$6/AG$6</f>
        <v>#DIV/0!</v>
      </c>
      <c r="AH34" s="74" t="e">
        <f>data1!AE29*$B$6/AH$6</f>
        <v>#DIV/0!</v>
      </c>
      <c r="AI34" s="74" t="e">
        <f>data1!AF29*$B$6/AI$6</f>
        <v>#DIV/0!</v>
      </c>
      <c r="AJ34" s="74" t="e">
        <f>data1!AG29*$B$6/AJ$6</f>
        <v>#DIV/0!</v>
      </c>
    </row>
    <row r="35" spans="1:36">
      <c r="A35" s="29">
        <f>data0!A30</f>
        <v>-6</v>
      </c>
      <c r="B35" s="74" t="e">
        <f>AVERAGE(data1!B30:AG30)</f>
        <v>#DIV/0!</v>
      </c>
      <c r="C35" s="74" t="e">
        <f t="shared" si="0"/>
        <v>#DIV/0!</v>
      </c>
      <c r="D35" s="74" t="e">
        <f t="shared" si="1"/>
        <v>#DIV/0!</v>
      </c>
      <c r="E35" s="74" t="e">
        <f>data1!B30*$B$6/E$6</f>
        <v>#DIV/0!</v>
      </c>
      <c r="F35" s="74" t="e">
        <f>data1!C30*$B$6/F$6</f>
        <v>#DIV/0!</v>
      </c>
      <c r="G35" s="74" t="e">
        <f>data1!D30*$B$6/G$6</f>
        <v>#DIV/0!</v>
      </c>
      <c r="H35" s="74" t="e">
        <f>data1!E30*$B$6/H$6</f>
        <v>#DIV/0!</v>
      </c>
      <c r="I35" s="74" t="e">
        <f>data1!F30*$B$6/I$6</f>
        <v>#DIV/0!</v>
      </c>
      <c r="J35" s="74" t="e">
        <f>data1!G30*$B$6/J$6</f>
        <v>#DIV/0!</v>
      </c>
      <c r="K35" s="74" t="e">
        <f>data1!H30*$B$6/K$6</f>
        <v>#DIV/0!</v>
      </c>
      <c r="L35" s="74" t="e">
        <f>data1!I30*$B$6/L$6</f>
        <v>#DIV/0!</v>
      </c>
      <c r="M35" s="74" t="e">
        <f>data1!J30*$B$6/M$6</f>
        <v>#DIV/0!</v>
      </c>
      <c r="N35" s="74" t="e">
        <f>data1!K30*$B$6/N$6</f>
        <v>#DIV/0!</v>
      </c>
      <c r="O35" s="74" t="e">
        <f>data1!L30*$B$6/O$6</f>
        <v>#DIV/0!</v>
      </c>
      <c r="P35" s="74" t="e">
        <f>data1!M30*$B$6/P$6</f>
        <v>#DIV/0!</v>
      </c>
      <c r="Q35" s="74" t="e">
        <f>data1!N30*$B$6/Q$6</f>
        <v>#DIV/0!</v>
      </c>
      <c r="R35" s="74" t="e">
        <f>data1!O30*$B$6/R$6</f>
        <v>#DIV/0!</v>
      </c>
      <c r="S35" s="74" t="e">
        <f>data1!P30*$B$6/S$6</f>
        <v>#DIV/0!</v>
      </c>
      <c r="T35" s="74" t="e">
        <f>data1!Q30*$B$6/T$6</f>
        <v>#DIV/0!</v>
      </c>
      <c r="U35" s="74" t="e">
        <f>data1!R30*$B$6/U$6</f>
        <v>#DIV/0!</v>
      </c>
      <c r="V35" s="74" t="e">
        <f>data1!S30*$B$6/V$6</f>
        <v>#DIV/0!</v>
      </c>
      <c r="W35" s="74" t="e">
        <f>data1!T30*$B$6/W$6</f>
        <v>#DIV/0!</v>
      </c>
      <c r="X35" s="74" t="e">
        <f>data1!U30*$B$6/X$6</f>
        <v>#DIV/0!</v>
      </c>
      <c r="Y35" s="74" t="e">
        <f>data1!V30*$B$6/Y$6</f>
        <v>#DIV/0!</v>
      </c>
      <c r="Z35" s="74" t="e">
        <f>data1!W30*$B$6/Z$6</f>
        <v>#DIV/0!</v>
      </c>
      <c r="AA35" s="74" t="e">
        <f>data1!X30*$B$6/AA$6</f>
        <v>#DIV/0!</v>
      </c>
      <c r="AB35" s="74" t="e">
        <f>data1!Y30*$B$6/AB$6</f>
        <v>#DIV/0!</v>
      </c>
      <c r="AC35" s="74" t="e">
        <f>data1!Z30*$B$6/AC$6</f>
        <v>#DIV/0!</v>
      </c>
      <c r="AD35" s="74" t="e">
        <f>data1!AA30*$B$6/AD$6</f>
        <v>#DIV/0!</v>
      </c>
      <c r="AE35" s="74" t="e">
        <f>data1!AB30*$B$6/AE$6</f>
        <v>#DIV/0!</v>
      </c>
      <c r="AF35" s="74" t="e">
        <f>data1!AC30*$B$6/AF$6</f>
        <v>#DIV/0!</v>
      </c>
      <c r="AG35" s="74" t="e">
        <f>data1!AD30*$B$6/AG$6</f>
        <v>#DIV/0!</v>
      </c>
      <c r="AH35" s="74" t="e">
        <f>data1!AE30*$B$6/AH$6</f>
        <v>#DIV/0!</v>
      </c>
      <c r="AI35" s="74" t="e">
        <f>data1!AF30*$B$6/AI$6</f>
        <v>#DIV/0!</v>
      </c>
      <c r="AJ35" s="74" t="e">
        <f>data1!AG30*$B$6/AJ$6</f>
        <v>#DIV/0!</v>
      </c>
    </row>
    <row r="36" spans="1:36">
      <c r="A36" s="29">
        <f>data0!A31</f>
        <v>-3</v>
      </c>
      <c r="B36" s="74" t="e">
        <f>AVERAGE(data1!B31:AG31)</f>
        <v>#DIV/0!</v>
      </c>
      <c r="C36" s="74" t="e">
        <f t="shared" si="0"/>
        <v>#DIV/0!</v>
      </c>
      <c r="D36" s="74" t="e">
        <f t="shared" si="1"/>
        <v>#DIV/0!</v>
      </c>
      <c r="E36" s="74" t="e">
        <f>data1!B31*$B$6/E$6</f>
        <v>#DIV/0!</v>
      </c>
      <c r="F36" s="74" t="e">
        <f>data1!C31*$B$6/F$6</f>
        <v>#DIV/0!</v>
      </c>
      <c r="G36" s="74" t="e">
        <f>data1!D31*$B$6/G$6</f>
        <v>#DIV/0!</v>
      </c>
      <c r="H36" s="74" t="e">
        <f>data1!E31*$B$6/H$6</f>
        <v>#DIV/0!</v>
      </c>
      <c r="I36" s="74" t="e">
        <f>data1!F31*$B$6/I$6</f>
        <v>#DIV/0!</v>
      </c>
      <c r="J36" s="74" t="e">
        <f>data1!G31*$B$6/J$6</f>
        <v>#DIV/0!</v>
      </c>
      <c r="K36" s="74" t="e">
        <f>data1!H31*$B$6/K$6</f>
        <v>#DIV/0!</v>
      </c>
      <c r="L36" s="74" t="e">
        <f>data1!I31*$B$6/L$6</f>
        <v>#DIV/0!</v>
      </c>
      <c r="M36" s="74" t="e">
        <f>data1!J31*$B$6/M$6</f>
        <v>#DIV/0!</v>
      </c>
      <c r="N36" s="74" t="e">
        <f>data1!K31*$B$6/N$6</f>
        <v>#DIV/0!</v>
      </c>
      <c r="O36" s="74" t="e">
        <f>data1!L31*$B$6/O$6</f>
        <v>#DIV/0!</v>
      </c>
      <c r="P36" s="74" t="e">
        <f>data1!M31*$B$6/P$6</f>
        <v>#DIV/0!</v>
      </c>
      <c r="Q36" s="74" t="e">
        <f>data1!N31*$B$6/Q$6</f>
        <v>#DIV/0!</v>
      </c>
      <c r="R36" s="74" t="e">
        <f>data1!O31*$B$6/R$6</f>
        <v>#DIV/0!</v>
      </c>
      <c r="S36" s="74" t="e">
        <f>data1!P31*$B$6/S$6</f>
        <v>#DIV/0!</v>
      </c>
      <c r="T36" s="74" t="e">
        <f>data1!Q31*$B$6/T$6</f>
        <v>#DIV/0!</v>
      </c>
      <c r="U36" s="74" t="e">
        <f>data1!R31*$B$6/U$6</f>
        <v>#DIV/0!</v>
      </c>
      <c r="V36" s="74" t="e">
        <f>data1!S31*$B$6/V$6</f>
        <v>#DIV/0!</v>
      </c>
      <c r="W36" s="74" t="e">
        <f>data1!T31*$B$6/W$6</f>
        <v>#DIV/0!</v>
      </c>
      <c r="X36" s="74" t="e">
        <f>data1!U31*$B$6/X$6</f>
        <v>#DIV/0!</v>
      </c>
      <c r="Y36" s="74" t="e">
        <f>data1!V31*$B$6/Y$6</f>
        <v>#DIV/0!</v>
      </c>
      <c r="Z36" s="74" t="e">
        <f>data1!W31*$B$6/Z$6</f>
        <v>#DIV/0!</v>
      </c>
      <c r="AA36" s="74" t="e">
        <f>data1!X31*$B$6/AA$6</f>
        <v>#DIV/0!</v>
      </c>
      <c r="AB36" s="74" t="e">
        <f>data1!Y31*$B$6/AB$6</f>
        <v>#DIV/0!</v>
      </c>
      <c r="AC36" s="74" t="e">
        <f>data1!Z31*$B$6/AC$6</f>
        <v>#DIV/0!</v>
      </c>
      <c r="AD36" s="74" t="e">
        <f>data1!AA31*$B$6/AD$6</f>
        <v>#DIV/0!</v>
      </c>
      <c r="AE36" s="74" t="e">
        <f>data1!AB31*$B$6/AE$6</f>
        <v>#DIV/0!</v>
      </c>
      <c r="AF36" s="74" t="e">
        <f>data1!AC31*$B$6/AF$6</f>
        <v>#DIV/0!</v>
      </c>
      <c r="AG36" s="74" t="e">
        <f>data1!AD31*$B$6/AG$6</f>
        <v>#DIV/0!</v>
      </c>
      <c r="AH36" s="74" t="e">
        <f>data1!AE31*$B$6/AH$6</f>
        <v>#DIV/0!</v>
      </c>
      <c r="AI36" s="74" t="e">
        <f>data1!AF31*$B$6/AI$6</f>
        <v>#DIV/0!</v>
      </c>
      <c r="AJ36" s="74" t="e">
        <f>data1!AG31*$B$6/AJ$6</f>
        <v>#DIV/0!</v>
      </c>
    </row>
    <row r="37" spans="1:36">
      <c r="A37" s="29">
        <f>data0!A32</f>
        <v>0</v>
      </c>
      <c r="B37" s="74" t="e">
        <f>AVERAGE(data1!B32:AG32)</f>
        <v>#DIV/0!</v>
      </c>
      <c r="C37" s="74" t="e">
        <f t="shared" si="0"/>
        <v>#DIV/0!</v>
      </c>
      <c r="D37" s="74" t="e">
        <f t="shared" si="1"/>
        <v>#DIV/0!</v>
      </c>
      <c r="E37" s="74" t="e">
        <f>data1!B32*$B$6/E$6</f>
        <v>#DIV/0!</v>
      </c>
      <c r="F37" s="74" t="e">
        <f>data1!C32*$B$6/F$6</f>
        <v>#DIV/0!</v>
      </c>
      <c r="G37" s="74" t="e">
        <f>data1!D32*$B$6/G$6</f>
        <v>#DIV/0!</v>
      </c>
      <c r="H37" s="74" t="e">
        <f>data1!E32*$B$6/H$6</f>
        <v>#DIV/0!</v>
      </c>
      <c r="I37" s="74" t="e">
        <f>data1!F32*$B$6/I$6</f>
        <v>#DIV/0!</v>
      </c>
      <c r="J37" s="74" t="e">
        <f>data1!G32*$B$6/J$6</f>
        <v>#DIV/0!</v>
      </c>
      <c r="K37" s="74" t="e">
        <f>data1!H32*$B$6/K$6</f>
        <v>#DIV/0!</v>
      </c>
      <c r="L37" s="74" t="e">
        <f>data1!I32*$B$6/L$6</f>
        <v>#DIV/0!</v>
      </c>
      <c r="M37" s="74" t="e">
        <f>data1!J32*$B$6/M$6</f>
        <v>#DIV/0!</v>
      </c>
      <c r="N37" s="74" t="e">
        <f>data1!K32*$B$6/N$6</f>
        <v>#DIV/0!</v>
      </c>
      <c r="O37" s="74" t="e">
        <f>data1!L32*$B$6/O$6</f>
        <v>#DIV/0!</v>
      </c>
      <c r="P37" s="74" t="e">
        <f>data1!M32*$B$6/P$6</f>
        <v>#DIV/0!</v>
      </c>
      <c r="Q37" s="74" t="e">
        <f>data1!N32*$B$6/Q$6</f>
        <v>#DIV/0!</v>
      </c>
      <c r="R37" s="74" t="e">
        <f>data1!O32*$B$6/R$6</f>
        <v>#DIV/0!</v>
      </c>
      <c r="S37" s="74" t="e">
        <f>data1!P32*$B$6/S$6</f>
        <v>#DIV/0!</v>
      </c>
      <c r="T37" s="74" t="e">
        <f>data1!Q32*$B$6/T$6</f>
        <v>#DIV/0!</v>
      </c>
      <c r="U37" s="74" t="e">
        <f>data1!R32*$B$6/U$6</f>
        <v>#DIV/0!</v>
      </c>
      <c r="V37" s="74" t="e">
        <f>data1!S32*$B$6/V$6</f>
        <v>#DIV/0!</v>
      </c>
      <c r="W37" s="74" t="e">
        <f>data1!T32*$B$6/W$6</f>
        <v>#DIV/0!</v>
      </c>
      <c r="X37" s="74" t="e">
        <f>data1!U32*$B$6/X$6</f>
        <v>#DIV/0!</v>
      </c>
      <c r="Y37" s="74" t="e">
        <f>data1!V32*$B$6/Y$6</f>
        <v>#DIV/0!</v>
      </c>
      <c r="Z37" s="74" t="e">
        <f>data1!W32*$B$6/Z$6</f>
        <v>#DIV/0!</v>
      </c>
      <c r="AA37" s="74" t="e">
        <f>data1!X32*$B$6/AA$6</f>
        <v>#DIV/0!</v>
      </c>
      <c r="AB37" s="74" t="e">
        <f>data1!Y32*$B$6/AB$6</f>
        <v>#DIV/0!</v>
      </c>
      <c r="AC37" s="74" t="e">
        <f>data1!Z32*$B$6/AC$6</f>
        <v>#DIV/0!</v>
      </c>
      <c r="AD37" s="74" t="e">
        <f>data1!AA32*$B$6/AD$6</f>
        <v>#DIV/0!</v>
      </c>
      <c r="AE37" s="74" t="e">
        <f>data1!AB32*$B$6/AE$6</f>
        <v>#DIV/0!</v>
      </c>
      <c r="AF37" s="74" t="e">
        <f>data1!AC32*$B$6/AF$6</f>
        <v>#DIV/0!</v>
      </c>
      <c r="AG37" s="74" t="e">
        <f>data1!AD32*$B$6/AG$6</f>
        <v>#DIV/0!</v>
      </c>
      <c r="AH37" s="74" t="e">
        <f>data1!AE32*$B$6/AH$6</f>
        <v>#DIV/0!</v>
      </c>
      <c r="AI37" s="74" t="e">
        <f>data1!AF32*$B$6/AI$6</f>
        <v>#DIV/0!</v>
      </c>
      <c r="AJ37" s="74" t="e">
        <f>data1!AG32*$B$6/AJ$6</f>
        <v>#DIV/0!</v>
      </c>
    </row>
    <row r="38" spans="1:36">
      <c r="A38" s="29">
        <f>data0!A33</f>
        <v>3</v>
      </c>
      <c r="B38" s="74" t="e">
        <f>AVERAGE(data1!B33:AG33)</f>
        <v>#DIV/0!</v>
      </c>
      <c r="C38" s="74" t="e">
        <f t="shared" si="0"/>
        <v>#DIV/0!</v>
      </c>
      <c r="D38" s="74" t="e">
        <f t="shared" si="1"/>
        <v>#DIV/0!</v>
      </c>
      <c r="E38" s="74" t="e">
        <f>data1!B33*$B$6/E$6</f>
        <v>#DIV/0!</v>
      </c>
      <c r="F38" s="74" t="e">
        <f>data1!C33*$B$6/F$6</f>
        <v>#DIV/0!</v>
      </c>
      <c r="G38" s="74" t="e">
        <f>data1!D33*$B$6/G$6</f>
        <v>#DIV/0!</v>
      </c>
      <c r="H38" s="74" t="e">
        <f>data1!E33*$B$6/H$6</f>
        <v>#DIV/0!</v>
      </c>
      <c r="I38" s="74" t="e">
        <f>data1!F33*$B$6/I$6</f>
        <v>#DIV/0!</v>
      </c>
      <c r="J38" s="74" t="e">
        <f>data1!G33*$B$6/J$6</f>
        <v>#DIV/0!</v>
      </c>
      <c r="K38" s="74" t="e">
        <f>data1!H33*$B$6/K$6</f>
        <v>#DIV/0!</v>
      </c>
      <c r="L38" s="74" t="e">
        <f>data1!I33*$B$6/L$6</f>
        <v>#DIV/0!</v>
      </c>
      <c r="M38" s="74" t="e">
        <f>data1!J33*$B$6/M$6</f>
        <v>#DIV/0!</v>
      </c>
      <c r="N38" s="74" t="e">
        <f>data1!K33*$B$6/N$6</f>
        <v>#DIV/0!</v>
      </c>
      <c r="O38" s="74" t="e">
        <f>data1!L33*$B$6/O$6</f>
        <v>#DIV/0!</v>
      </c>
      <c r="P38" s="74" t="e">
        <f>data1!M33*$B$6/P$6</f>
        <v>#DIV/0!</v>
      </c>
      <c r="Q38" s="74" t="e">
        <f>data1!N33*$B$6/Q$6</f>
        <v>#DIV/0!</v>
      </c>
      <c r="R38" s="74" t="e">
        <f>data1!O33*$B$6/R$6</f>
        <v>#DIV/0!</v>
      </c>
      <c r="S38" s="74" t="e">
        <f>data1!P33*$B$6/S$6</f>
        <v>#DIV/0!</v>
      </c>
      <c r="T38" s="74" t="e">
        <f>data1!Q33*$B$6/T$6</f>
        <v>#DIV/0!</v>
      </c>
      <c r="U38" s="74" t="e">
        <f>data1!R33*$B$6/U$6</f>
        <v>#DIV/0!</v>
      </c>
      <c r="V38" s="74" t="e">
        <f>data1!S33*$B$6/V$6</f>
        <v>#DIV/0!</v>
      </c>
      <c r="W38" s="74" t="e">
        <f>data1!T33*$B$6/W$6</f>
        <v>#DIV/0!</v>
      </c>
      <c r="X38" s="74" t="e">
        <f>data1!U33*$B$6/X$6</f>
        <v>#DIV/0!</v>
      </c>
      <c r="Y38" s="74" t="e">
        <f>data1!V33*$B$6/Y$6</f>
        <v>#DIV/0!</v>
      </c>
      <c r="Z38" s="74" t="e">
        <f>data1!W33*$B$6/Z$6</f>
        <v>#DIV/0!</v>
      </c>
      <c r="AA38" s="74" t="e">
        <f>data1!X33*$B$6/AA$6</f>
        <v>#DIV/0!</v>
      </c>
      <c r="AB38" s="74" t="e">
        <f>data1!Y33*$B$6/AB$6</f>
        <v>#DIV/0!</v>
      </c>
      <c r="AC38" s="74" t="e">
        <f>data1!Z33*$B$6/AC$6</f>
        <v>#DIV/0!</v>
      </c>
      <c r="AD38" s="74" t="e">
        <f>data1!AA33*$B$6/AD$6</f>
        <v>#DIV/0!</v>
      </c>
      <c r="AE38" s="74" t="e">
        <f>data1!AB33*$B$6/AE$6</f>
        <v>#DIV/0!</v>
      </c>
      <c r="AF38" s="74" t="e">
        <f>data1!AC33*$B$6/AF$6</f>
        <v>#DIV/0!</v>
      </c>
      <c r="AG38" s="74" t="e">
        <f>data1!AD33*$B$6/AG$6</f>
        <v>#DIV/0!</v>
      </c>
      <c r="AH38" s="74" t="e">
        <f>data1!AE33*$B$6/AH$6</f>
        <v>#DIV/0!</v>
      </c>
      <c r="AI38" s="74" t="e">
        <f>data1!AF33*$B$6/AI$6</f>
        <v>#DIV/0!</v>
      </c>
      <c r="AJ38" s="74" t="e">
        <f>data1!AG33*$B$6/AJ$6</f>
        <v>#DIV/0!</v>
      </c>
    </row>
    <row r="39" spans="1:36">
      <c r="A39" s="29">
        <f>data0!A34</f>
        <v>6</v>
      </c>
      <c r="B39" s="74" t="e">
        <f>AVERAGE(data1!B34:AG34)</f>
        <v>#DIV/0!</v>
      </c>
      <c r="C39" s="74" t="e">
        <f t="shared" si="0"/>
        <v>#DIV/0!</v>
      </c>
      <c r="D39" s="74" t="e">
        <f t="shared" si="1"/>
        <v>#DIV/0!</v>
      </c>
      <c r="E39" s="74" t="e">
        <f>data1!B34*$B$6/E$6</f>
        <v>#DIV/0!</v>
      </c>
      <c r="F39" s="74" t="e">
        <f>data1!C34*$B$6/F$6</f>
        <v>#DIV/0!</v>
      </c>
      <c r="G39" s="74" t="e">
        <f>data1!D34*$B$6/G$6</f>
        <v>#DIV/0!</v>
      </c>
      <c r="H39" s="74" t="e">
        <f>data1!E34*$B$6/H$6</f>
        <v>#DIV/0!</v>
      </c>
      <c r="I39" s="74" t="e">
        <f>data1!F34*$B$6/I$6</f>
        <v>#DIV/0!</v>
      </c>
      <c r="J39" s="74" t="e">
        <f>data1!G34*$B$6/J$6</f>
        <v>#DIV/0!</v>
      </c>
      <c r="K39" s="74" t="e">
        <f>data1!H34*$B$6/K$6</f>
        <v>#DIV/0!</v>
      </c>
      <c r="L39" s="74" t="e">
        <f>data1!I34*$B$6/L$6</f>
        <v>#DIV/0!</v>
      </c>
      <c r="M39" s="74" t="e">
        <f>data1!J34*$B$6/M$6</f>
        <v>#DIV/0!</v>
      </c>
      <c r="N39" s="74" t="e">
        <f>data1!K34*$B$6/N$6</f>
        <v>#DIV/0!</v>
      </c>
      <c r="O39" s="74" t="e">
        <f>data1!L34*$B$6/O$6</f>
        <v>#DIV/0!</v>
      </c>
      <c r="P39" s="74" t="e">
        <f>data1!M34*$B$6/P$6</f>
        <v>#DIV/0!</v>
      </c>
      <c r="Q39" s="74" t="e">
        <f>data1!N34*$B$6/Q$6</f>
        <v>#DIV/0!</v>
      </c>
      <c r="R39" s="74" t="e">
        <f>data1!O34*$B$6/R$6</f>
        <v>#DIV/0!</v>
      </c>
      <c r="S39" s="74" t="e">
        <f>data1!P34*$B$6/S$6</f>
        <v>#DIV/0!</v>
      </c>
      <c r="T39" s="74" t="e">
        <f>data1!Q34*$B$6/T$6</f>
        <v>#DIV/0!</v>
      </c>
      <c r="U39" s="74" t="e">
        <f>data1!R34*$B$6/U$6</f>
        <v>#DIV/0!</v>
      </c>
      <c r="V39" s="74" t="e">
        <f>data1!S34*$B$6/V$6</f>
        <v>#DIV/0!</v>
      </c>
      <c r="W39" s="74" t="e">
        <f>data1!T34*$B$6/W$6</f>
        <v>#DIV/0!</v>
      </c>
      <c r="X39" s="74" t="e">
        <f>data1!U34*$B$6/X$6</f>
        <v>#DIV/0!</v>
      </c>
      <c r="Y39" s="74" t="e">
        <f>data1!V34*$B$6/Y$6</f>
        <v>#DIV/0!</v>
      </c>
      <c r="Z39" s="74" t="e">
        <f>data1!W34*$B$6/Z$6</f>
        <v>#DIV/0!</v>
      </c>
      <c r="AA39" s="74" t="e">
        <f>data1!X34*$B$6/AA$6</f>
        <v>#DIV/0!</v>
      </c>
      <c r="AB39" s="74" t="e">
        <f>data1!Y34*$B$6/AB$6</f>
        <v>#DIV/0!</v>
      </c>
      <c r="AC39" s="74" t="e">
        <f>data1!Z34*$B$6/AC$6</f>
        <v>#DIV/0!</v>
      </c>
      <c r="AD39" s="74" t="e">
        <f>data1!AA34*$B$6/AD$6</f>
        <v>#DIV/0!</v>
      </c>
      <c r="AE39" s="74" t="e">
        <f>data1!AB34*$B$6/AE$6</f>
        <v>#DIV/0!</v>
      </c>
      <c r="AF39" s="74" t="e">
        <f>data1!AC34*$B$6/AF$6</f>
        <v>#DIV/0!</v>
      </c>
      <c r="AG39" s="74" t="e">
        <f>data1!AD34*$B$6/AG$6</f>
        <v>#DIV/0!</v>
      </c>
      <c r="AH39" s="74" t="e">
        <f>data1!AE34*$B$6/AH$6</f>
        <v>#DIV/0!</v>
      </c>
      <c r="AI39" s="74" t="e">
        <f>data1!AF34*$B$6/AI$6</f>
        <v>#DIV/0!</v>
      </c>
      <c r="AJ39" s="74" t="e">
        <f>data1!AG34*$B$6/AJ$6</f>
        <v>#DIV/0!</v>
      </c>
    </row>
    <row r="40" spans="1:36">
      <c r="A40" s="29">
        <f>data0!A35</f>
        <v>9</v>
      </c>
      <c r="B40" s="74" t="e">
        <f>AVERAGE(data1!B35:AG35)</f>
        <v>#DIV/0!</v>
      </c>
      <c r="C40" s="74" t="e">
        <f t="shared" si="0"/>
        <v>#DIV/0!</v>
      </c>
      <c r="D40" s="74" t="e">
        <f t="shared" si="1"/>
        <v>#DIV/0!</v>
      </c>
      <c r="E40" s="74" t="e">
        <f>data1!B35*$B$6/E$6</f>
        <v>#DIV/0!</v>
      </c>
      <c r="F40" s="74" t="e">
        <f>data1!C35*$B$6/F$6</f>
        <v>#DIV/0!</v>
      </c>
      <c r="G40" s="74" t="e">
        <f>data1!D35*$B$6/G$6</f>
        <v>#DIV/0!</v>
      </c>
      <c r="H40" s="74" t="e">
        <f>data1!E35*$B$6/H$6</f>
        <v>#DIV/0!</v>
      </c>
      <c r="I40" s="74" t="e">
        <f>data1!F35*$B$6/I$6</f>
        <v>#DIV/0!</v>
      </c>
      <c r="J40" s="74" t="e">
        <f>data1!G35*$B$6/J$6</f>
        <v>#DIV/0!</v>
      </c>
      <c r="K40" s="74" t="e">
        <f>data1!H35*$B$6/K$6</f>
        <v>#DIV/0!</v>
      </c>
      <c r="L40" s="74" t="e">
        <f>data1!I35*$B$6/L$6</f>
        <v>#DIV/0!</v>
      </c>
      <c r="M40" s="74" t="e">
        <f>data1!J35*$B$6/M$6</f>
        <v>#DIV/0!</v>
      </c>
      <c r="N40" s="74" t="e">
        <f>data1!K35*$B$6/N$6</f>
        <v>#DIV/0!</v>
      </c>
      <c r="O40" s="74" t="e">
        <f>data1!L35*$B$6/O$6</f>
        <v>#DIV/0!</v>
      </c>
      <c r="P40" s="74" t="e">
        <f>data1!M35*$B$6/P$6</f>
        <v>#DIV/0!</v>
      </c>
      <c r="Q40" s="74" t="e">
        <f>data1!N35*$B$6/Q$6</f>
        <v>#DIV/0!</v>
      </c>
      <c r="R40" s="74" t="e">
        <f>data1!O35*$B$6/R$6</f>
        <v>#DIV/0!</v>
      </c>
      <c r="S40" s="74" t="e">
        <f>data1!P35*$B$6/S$6</f>
        <v>#DIV/0!</v>
      </c>
      <c r="T40" s="74" t="e">
        <f>data1!Q35*$B$6/T$6</f>
        <v>#DIV/0!</v>
      </c>
      <c r="U40" s="74" t="e">
        <f>data1!R35*$B$6/U$6</f>
        <v>#DIV/0!</v>
      </c>
      <c r="V40" s="74" t="e">
        <f>data1!S35*$B$6/V$6</f>
        <v>#DIV/0!</v>
      </c>
      <c r="W40" s="74" t="e">
        <f>data1!T35*$B$6/W$6</f>
        <v>#DIV/0!</v>
      </c>
      <c r="X40" s="74" t="e">
        <f>data1!U35*$B$6/X$6</f>
        <v>#DIV/0!</v>
      </c>
      <c r="Y40" s="74" t="e">
        <f>data1!V35*$B$6/Y$6</f>
        <v>#DIV/0!</v>
      </c>
      <c r="Z40" s="74" t="e">
        <f>data1!W35*$B$6/Z$6</f>
        <v>#DIV/0!</v>
      </c>
      <c r="AA40" s="74" t="e">
        <f>data1!X35*$B$6/AA$6</f>
        <v>#DIV/0!</v>
      </c>
      <c r="AB40" s="74" t="e">
        <f>data1!Y35*$B$6/AB$6</f>
        <v>#DIV/0!</v>
      </c>
      <c r="AC40" s="74" t="e">
        <f>data1!Z35*$B$6/AC$6</f>
        <v>#DIV/0!</v>
      </c>
      <c r="AD40" s="74" t="e">
        <f>data1!AA35*$B$6/AD$6</f>
        <v>#DIV/0!</v>
      </c>
      <c r="AE40" s="74" t="e">
        <f>data1!AB35*$B$6/AE$6</f>
        <v>#DIV/0!</v>
      </c>
      <c r="AF40" s="74" t="e">
        <f>data1!AC35*$B$6/AF$6</f>
        <v>#DIV/0!</v>
      </c>
      <c r="AG40" s="74" t="e">
        <f>data1!AD35*$B$6/AG$6</f>
        <v>#DIV/0!</v>
      </c>
      <c r="AH40" s="74" t="e">
        <f>data1!AE35*$B$6/AH$6</f>
        <v>#DIV/0!</v>
      </c>
      <c r="AI40" s="74" t="e">
        <f>data1!AF35*$B$6/AI$6</f>
        <v>#DIV/0!</v>
      </c>
      <c r="AJ40" s="74" t="e">
        <f>data1!AG35*$B$6/AJ$6</f>
        <v>#DIV/0!</v>
      </c>
    </row>
    <row r="41" spans="1:36">
      <c r="A41" s="29">
        <f>data0!A36</f>
        <v>12</v>
      </c>
      <c r="B41" s="74" t="e">
        <f>AVERAGE(data1!B36:AG36)</f>
        <v>#DIV/0!</v>
      </c>
      <c r="C41" s="74" t="e">
        <f t="shared" si="0"/>
        <v>#DIV/0!</v>
      </c>
      <c r="D41" s="74" t="e">
        <f t="shared" si="1"/>
        <v>#DIV/0!</v>
      </c>
      <c r="E41" s="74" t="e">
        <f>data1!B36*$B$6/E$6</f>
        <v>#DIV/0!</v>
      </c>
      <c r="F41" s="74" t="e">
        <f>data1!C36*$B$6/F$6</f>
        <v>#DIV/0!</v>
      </c>
      <c r="G41" s="74" t="e">
        <f>data1!D36*$B$6/G$6</f>
        <v>#DIV/0!</v>
      </c>
      <c r="H41" s="74" t="e">
        <f>data1!E36*$B$6/H$6</f>
        <v>#DIV/0!</v>
      </c>
      <c r="I41" s="74" t="e">
        <f>data1!F36*$B$6/I$6</f>
        <v>#DIV/0!</v>
      </c>
      <c r="J41" s="74" t="e">
        <f>data1!G36*$B$6/J$6</f>
        <v>#DIV/0!</v>
      </c>
      <c r="K41" s="74" t="e">
        <f>data1!H36*$B$6/K$6</f>
        <v>#DIV/0!</v>
      </c>
      <c r="L41" s="74" t="e">
        <f>data1!I36*$B$6/L$6</f>
        <v>#DIV/0!</v>
      </c>
      <c r="M41" s="74" t="e">
        <f>data1!J36*$B$6/M$6</f>
        <v>#DIV/0!</v>
      </c>
      <c r="N41" s="74" t="e">
        <f>data1!K36*$B$6/N$6</f>
        <v>#DIV/0!</v>
      </c>
      <c r="O41" s="74" t="e">
        <f>data1!L36*$B$6/O$6</f>
        <v>#DIV/0!</v>
      </c>
      <c r="P41" s="74" t="e">
        <f>data1!M36*$B$6/P$6</f>
        <v>#DIV/0!</v>
      </c>
      <c r="Q41" s="74" t="e">
        <f>data1!N36*$B$6/Q$6</f>
        <v>#DIV/0!</v>
      </c>
      <c r="R41" s="74" t="e">
        <f>data1!O36*$B$6/R$6</f>
        <v>#DIV/0!</v>
      </c>
      <c r="S41" s="74" t="e">
        <f>data1!P36*$B$6/S$6</f>
        <v>#DIV/0!</v>
      </c>
      <c r="T41" s="74" t="e">
        <f>data1!Q36*$B$6/T$6</f>
        <v>#DIV/0!</v>
      </c>
      <c r="U41" s="74" t="e">
        <f>data1!R36*$B$6/U$6</f>
        <v>#DIV/0!</v>
      </c>
      <c r="V41" s="74" t="e">
        <f>data1!S36*$B$6/V$6</f>
        <v>#DIV/0!</v>
      </c>
      <c r="W41" s="74" t="e">
        <f>data1!T36*$B$6/W$6</f>
        <v>#DIV/0!</v>
      </c>
      <c r="X41" s="74" t="e">
        <f>data1!U36*$B$6/X$6</f>
        <v>#DIV/0!</v>
      </c>
      <c r="Y41" s="74" t="e">
        <f>data1!V36*$B$6/Y$6</f>
        <v>#DIV/0!</v>
      </c>
      <c r="Z41" s="74" t="e">
        <f>data1!W36*$B$6/Z$6</f>
        <v>#DIV/0!</v>
      </c>
      <c r="AA41" s="74" t="e">
        <f>data1!X36*$B$6/AA$6</f>
        <v>#DIV/0!</v>
      </c>
      <c r="AB41" s="74" t="e">
        <f>data1!Y36*$B$6/AB$6</f>
        <v>#DIV/0!</v>
      </c>
      <c r="AC41" s="74" t="e">
        <f>data1!Z36*$B$6/AC$6</f>
        <v>#DIV/0!</v>
      </c>
      <c r="AD41" s="74" t="e">
        <f>data1!AA36*$B$6/AD$6</f>
        <v>#DIV/0!</v>
      </c>
      <c r="AE41" s="74" t="e">
        <f>data1!AB36*$B$6/AE$6</f>
        <v>#DIV/0!</v>
      </c>
      <c r="AF41" s="74" t="e">
        <f>data1!AC36*$B$6/AF$6</f>
        <v>#DIV/0!</v>
      </c>
      <c r="AG41" s="74" t="e">
        <f>data1!AD36*$B$6/AG$6</f>
        <v>#DIV/0!</v>
      </c>
      <c r="AH41" s="74" t="e">
        <f>data1!AE36*$B$6/AH$6</f>
        <v>#DIV/0!</v>
      </c>
      <c r="AI41" s="74" t="e">
        <f>data1!AF36*$B$6/AI$6</f>
        <v>#DIV/0!</v>
      </c>
      <c r="AJ41" s="74" t="e">
        <f>data1!AG36*$B$6/AJ$6</f>
        <v>#DIV/0!</v>
      </c>
    </row>
    <row r="42" spans="1:36">
      <c r="A42" s="29">
        <f>data0!A37</f>
        <v>15</v>
      </c>
      <c r="B42" s="74" t="e">
        <f>AVERAGE(data1!B37:AG37)</f>
        <v>#DIV/0!</v>
      </c>
      <c r="C42" s="74" t="e">
        <f t="shared" si="0"/>
        <v>#DIV/0!</v>
      </c>
      <c r="D42" s="74" t="e">
        <f t="shared" si="1"/>
        <v>#DIV/0!</v>
      </c>
      <c r="E42" s="74" t="e">
        <f>data1!B37*$B$6/E$6</f>
        <v>#DIV/0!</v>
      </c>
      <c r="F42" s="74" t="e">
        <f>data1!C37*$B$6/F$6</f>
        <v>#DIV/0!</v>
      </c>
      <c r="G42" s="74" t="e">
        <f>data1!D37*$B$6/G$6</f>
        <v>#DIV/0!</v>
      </c>
      <c r="H42" s="74" t="e">
        <f>data1!E37*$B$6/H$6</f>
        <v>#DIV/0!</v>
      </c>
      <c r="I42" s="74" t="e">
        <f>data1!F37*$B$6/I$6</f>
        <v>#DIV/0!</v>
      </c>
      <c r="J42" s="74" t="e">
        <f>data1!G37*$B$6/J$6</f>
        <v>#DIV/0!</v>
      </c>
      <c r="K42" s="74" t="e">
        <f>data1!H37*$B$6/K$6</f>
        <v>#DIV/0!</v>
      </c>
      <c r="L42" s="74" t="e">
        <f>data1!I37*$B$6/L$6</f>
        <v>#DIV/0!</v>
      </c>
      <c r="M42" s="74" t="e">
        <f>data1!J37*$B$6/M$6</f>
        <v>#DIV/0!</v>
      </c>
      <c r="N42" s="74" t="e">
        <f>data1!K37*$B$6/N$6</f>
        <v>#DIV/0!</v>
      </c>
      <c r="O42" s="74" t="e">
        <f>data1!L37*$B$6/O$6</f>
        <v>#DIV/0!</v>
      </c>
      <c r="P42" s="74" t="e">
        <f>data1!M37*$B$6/P$6</f>
        <v>#DIV/0!</v>
      </c>
      <c r="Q42" s="74" t="e">
        <f>data1!N37*$B$6/Q$6</f>
        <v>#DIV/0!</v>
      </c>
      <c r="R42" s="74" t="e">
        <f>data1!O37*$B$6/R$6</f>
        <v>#DIV/0!</v>
      </c>
      <c r="S42" s="74" t="e">
        <f>data1!P37*$B$6/S$6</f>
        <v>#DIV/0!</v>
      </c>
      <c r="T42" s="74" t="e">
        <f>data1!Q37*$B$6/T$6</f>
        <v>#DIV/0!</v>
      </c>
      <c r="U42" s="74" t="e">
        <f>data1!R37*$B$6/U$6</f>
        <v>#DIV/0!</v>
      </c>
      <c r="V42" s="74" t="e">
        <f>data1!S37*$B$6/V$6</f>
        <v>#DIV/0!</v>
      </c>
      <c r="W42" s="74" t="e">
        <f>data1!T37*$B$6/W$6</f>
        <v>#DIV/0!</v>
      </c>
      <c r="X42" s="74" t="e">
        <f>data1!U37*$B$6/X$6</f>
        <v>#DIV/0!</v>
      </c>
      <c r="Y42" s="74" t="e">
        <f>data1!V37*$B$6/Y$6</f>
        <v>#DIV/0!</v>
      </c>
      <c r="Z42" s="74" t="e">
        <f>data1!W37*$B$6/Z$6</f>
        <v>#DIV/0!</v>
      </c>
      <c r="AA42" s="74" t="e">
        <f>data1!X37*$B$6/AA$6</f>
        <v>#DIV/0!</v>
      </c>
      <c r="AB42" s="74" t="e">
        <f>data1!Y37*$B$6/AB$6</f>
        <v>#DIV/0!</v>
      </c>
      <c r="AC42" s="74" t="e">
        <f>data1!Z37*$B$6/AC$6</f>
        <v>#DIV/0!</v>
      </c>
      <c r="AD42" s="74" t="e">
        <f>data1!AA37*$B$6/AD$6</f>
        <v>#DIV/0!</v>
      </c>
      <c r="AE42" s="74" t="e">
        <f>data1!AB37*$B$6/AE$6</f>
        <v>#DIV/0!</v>
      </c>
      <c r="AF42" s="74" t="e">
        <f>data1!AC37*$B$6/AF$6</f>
        <v>#DIV/0!</v>
      </c>
      <c r="AG42" s="74" t="e">
        <f>data1!AD37*$B$6/AG$6</f>
        <v>#DIV/0!</v>
      </c>
      <c r="AH42" s="74" t="e">
        <f>data1!AE37*$B$6/AH$6</f>
        <v>#DIV/0!</v>
      </c>
      <c r="AI42" s="74" t="e">
        <f>data1!AF37*$B$6/AI$6</f>
        <v>#DIV/0!</v>
      </c>
      <c r="AJ42" s="74" t="e">
        <f>data1!AG37*$B$6/AJ$6</f>
        <v>#DIV/0!</v>
      </c>
    </row>
    <row r="43" spans="1:36">
      <c r="A43" s="29">
        <f>data0!A38</f>
        <v>18</v>
      </c>
      <c r="B43" s="74" t="e">
        <f>AVERAGE(data1!B38:AG38)</f>
        <v>#DIV/0!</v>
      </c>
      <c r="C43" s="74" t="e">
        <f t="shared" si="0"/>
        <v>#DIV/0!</v>
      </c>
      <c r="D43" s="74" t="e">
        <f t="shared" si="1"/>
        <v>#DIV/0!</v>
      </c>
      <c r="E43" s="74" t="e">
        <f>data1!B38*$B$6/E$6</f>
        <v>#DIV/0!</v>
      </c>
      <c r="F43" s="74" t="e">
        <f>data1!C38*$B$6/F$6</f>
        <v>#DIV/0!</v>
      </c>
      <c r="G43" s="74" t="e">
        <f>data1!D38*$B$6/G$6</f>
        <v>#DIV/0!</v>
      </c>
      <c r="H43" s="74" t="e">
        <f>data1!E38*$B$6/H$6</f>
        <v>#DIV/0!</v>
      </c>
      <c r="I43" s="74" t="e">
        <f>data1!F38*$B$6/I$6</f>
        <v>#DIV/0!</v>
      </c>
      <c r="J43" s="74" t="e">
        <f>data1!G38*$B$6/J$6</f>
        <v>#DIV/0!</v>
      </c>
      <c r="K43" s="74" t="e">
        <f>data1!H38*$B$6/K$6</f>
        <v>#DIV/0!</v>
      </c>
      <c r="L43" s="74" t="e">
        <f>data1!I38*$B$6/L$6</f>
        <v>#DIV/0!</v>
      </c>
      <c r="M43" s="74" t="e">
        <f>data1!J38*$B$6/M$6</f>
        <v>#DIV/0!</v>
      </c>
      <c r="N43" s="74" t="e">
        <f>data1!K38*$B$6/N$6</f>
        <v>#DIV/0!</v>
      </c>
      <c r="O43" s="74" t="e">
        <f>data1!L38*$B$6/O$6</f>
        <v>#DIV/0!</v>
      </c>
      <c r="P43" s="74" t="e">
        <f>data1!M38*$B$6/P$6</f>
        <v>#DIV/0!</v>
      </c>
      <c r="Q43" s="74" t="e">
        <f>data1!N38*$B$6/Q$6</f>
        <v>#DIV/0!</v>
      </c>
      <c r="R43" s="74" t="e">
        <f>data1!O38*$B$6/R$6</f>
        <v>#DIV/0!</v>
      </c>
      <c r="S43" s="74" t="e">
        <f>data1!P38*$B$6/S$6</f>
        <v>#DIV/0!</v>
      </c>
      <c r="T43" s="74" t="e">
        <f>data1!Q38*$B$6/T$6</f>
        <v>#DIV/0!</v>
      </c>
      <c r="U43" s="74" t="e">
        <f>data1!R38*$B$6/U$6</f>
        <v>#DIV/0!</v>
      </c>
      <c r="V43" s="74" t="e">
        <f>data1!S38*$B$6/V$6</f>
        <v>#DIV/0!</v>
      </c>
      <c r="W43" s="74" t="e">
        <f>data1!T38*$B$6/W$6</f>
        <v>#DIV/0!</v>
      </c>
      <c r="X43" s="74" t="e">
        <f>data1!U38*$B$6/X$6</f>
        <v>#DIV/0!</v>
      </c>
      <c r="Y43" s="74" t="e">
        <f>data1!V38*$B$6/Y$6</f>
        <v>#DIV/0!</v>
      </c>
      <c r="Z43" s="74" t="e">
        <f>data1!W38*$B$6/Z$6</f>
        <v>#DIV/0!</v>
      </c>
      <c r="AA43" s="74" t="e">
        <f>data1!X38*$B$6/AA$6</f>
        <v>#DIV/0!</v>
      </c>
      <c r="AB43" s="74" t="e">
        <f>data1!Y38*$B$6/AB$6</f>
        <v>#DIV/0!</v>
      </c>
      <c r="AC43" s="74" t="e">
        <f>data1!Z38*$B$6/AC$6</f>
        <v>#DIV/0!</v>
      </c>
      <c r="AD43" s="74" t="e">
        <f>data1!AA38*$B$6/AD$6</f>
        <v>#DIV/0!</v>
      </c>
      <c r="AE43" s="74" t="e">
        <f>data1!AB38*$B$6/AE$6</f>
        <v>#DIV/0!</v>
      </c>
      <c r="AF43" s="74" t="e">
        <f>data1!AC38*$B$6/AF$6</f>
        <v>#DIV/0!</v>
      </c>
      <c r="AG43" s="74" t="e">
        <f>data1!AD38*$B$6/AG$6</f>
        <v>#DIV/0!</v>
      </c>
      <c r="AH43" s="74" t="e">
        <f>data1!AE38*$B$6/AH$6</f>
        <v>#DIV/0!</v>
      </c>
      <c r="AI43" s="74" t="e">
        <f>data1!AF38*$B$6/AI$6</f>
        <v>#DIV/0!</v>
      </c>
      <c r="AJ43" s="74" t="e">
        <f>data1!AG38*$B$6/AJ$6</f>
        <v>#DIV/0!</v>
      </c>
    </row>
    <row r="44" spans="1:36">
      <c r="A44" s="29">
        <f>data0!A39</f>
        <v>21</v>
      </c>
      <c r="B44" s="74" t="e">
        <f>AVERAGE(data1!B39:AG39)</f>
        <v>#DIV/0!</v>
      </c>
      <c r="C44" s="74" t="e">
        <f t="shared" si="0"/>
        <v>#DIV/0!</v>
      </c>
      <c r="D44" s="74" t="e">
        <f t="shared" si="1"/>
        <v>#DIV/0!</v>
      </c>
      <c r="E44" s="74" t="e">
        <f>data1!B39*$B$6/E$6</f>
        <v>#DIV/0!</v>
      </c>
      <c r="F44" s="74" t="e">
        <f>data1!C39*$B$6/F$6</f>
        <v>#DIV/0!</v>
      </c>
      <c r="G44" s="74" t="e">
        <f>data1!D39*$B$6/G$6</f>
        <v>#DIV/0!</v>
      </c>
      <c r="H44" s="74" t="e">
        <f>data1!E39*$B$6/H$6</f>
        <v>#DIV/0!</v>
      </c>
      <c r="I44" s="74" t="e">
        <f>data1!F39*$B$6/I$6</f>
        <v>#DIV/0!</v>
      </c>
      <c r="J44" s="74" t="e">
        <f>data1!G39*$B$6/J$6</f>
        <v>#DIV/0!</v>
      </c>
      <c r="K44" s="74" t="e">
        <f>data1!H39*$B$6/K$6</f>
        <v>#DIV/0!</v>
      </c>
      <c r="L44" s="74" t="e">
        <f>data1!I39*$B$6/L$6</f>
        <v>#DIV/0!</v>
      </c>
      <c r="M44" s="74" t="e">
        <f>data1!J39*$B$6/M$6</f>
        <v>#DIV/0!</v>
      </c>
      <c r="N44" s="74" t="e">
        <f>data1!K39*$B$6/N$6</f>
        <v>#DIV/0!</v>
      </c>
      <c r="O44" s="74" t="e">
        <f>data1!L39*$B$6/O$6</f>
        <v>#DIV/0!</v>
      </c>
      <c r="P44" s="74" t="e">
        <f>data1!M39*$B$6/P$6</f>
        <v>#DIV/0!</v>
      </c>
      <c r="Q44" s="74" t="e">
        <f>data1!N39*$B$6/Q$6</f>
        <v>#DIV/0!</v>
      </c>
      <c r="R44" s="74" t="e">
        <f>data1!O39*$B$6/R$6</f>
        <v>#DIV/0!</v>
      </c>
      <c r="S44" s="74" t="e">
        <f>data1!P39*$B$6/S$6</f>
        <v>#DIV/0!</v>
      </c>
      <c r="T44" s="74" t="e">
        <f>data1!Q39*$B$6/T$6</f>
        <v>#DIV/0!</v>
      </c>
      <c r="U44" s="74" t="e">
        <f>data1!R39*$B$6/U$6</f>
        <v>#DIV/0!</v>
      </c>
      <c r="V44" s="74" t="e">
        <f>data1!S39*$B$6/V$6</f>
        <v>#DIV/0!</v>
      </c>
      <c r="W44" s="74" t="e">
        <f>data1!T39*$B$6/W$6</f>
        <v>#DIV/0!</v>
      </c>
      <c r="X44" s="74" t="e">
        <f>data1!U39*$B$6/X$6</f>
        <v>#DIV/0!</v>
      </c>
      <c r="Y44" s="74" t="e">
        <f>data1!V39*$B$6/Y$6</f>
        <v>#DIV/0!</v>
      </c>
      <c r="Z44" s="74" t="e">
        <f>data1!W39*$B$6/Z$6</f>
        <v>#DIV/0!</v>
      </c>
      <c r="AA44" s="74" t="e">
        <f>data1!X39*$B$6/AA$6</f>
        <v>#DIV/0!</v>
      </c>
      <c r="AB44" s="74" t="e">
        <f>data1!Y39*$B$6/AB$6</f>
        <v>#DIV/0!</v>
      </c>
      <c r="AC44" s="74" t="e">
        <f>data1!Z39*$B$6/AC$6</f>
        <v>#DIV/0!</v>
      </c>
      <c r="AD44" s="74" t="e">
        <f>data1!AA39*$B$6/AD$6</f>
        <v>#DIV/0!</v>
      </c>
      <c r="AE44" s="74" t="e">
        <f>data1!AB39*$B$6/AE$6</f>
        <v>#DIV/0!</v>
      </c>
      <c r="AF44" s="74" t="e">
        <f>data1!AC39*$B$6/AF$6</f>
        <v>#DIV/0!</v>
      </c>
      <c r="AG44" s="74" t="e">
        <f>data1!AD39*$B$6/AG$6</f>
        <v>#DIV/0!</v>
      </c>
      <c r="AH44" s="74" t="e">
        <f>data1!AE39*$B$6/AH$6</f>
        <v>#DIV/0!</v>
      </c>
      <c r="AI44" s="74" t="e">
        <f>data1!AF39*$B$6/AI$6</f>
        <v>#DIV/0!</v>
      </c>
      <c r="AJ44" s="74" t="e">
        <f>data1!AG39*$B$6/AJ$6</f>
        <v>#DIV/0!</v>
      </c>
    </row>
    <row r="45" spans="1:36">
      <c r="A45" s="29">
        <f>data0!A40</f>
        <v>24</v>
      </c>
      <c r="B45" s="74" t="e">
        <f>AVERAGE(data1!B40:AG40)</f>
        <v>#DIV/0!</v>
      </c>
      <c r="C45" s="74" t="e">
        <f t="shared" si="0"/>
        <v>#DIV/0!</v>
      </c>
      <c r="D45" s="74" t="e">
        <f t="shared" si="1"/>
        <v>#DIV/0!</v>
      </c>
      <c r="E45" s="74" t="e">
        <f>data1!B40*$B$6/E$6</f>
        <v>#DIV/0!</v>
      </c>
      <c r="F45" s="74" t="e">
        <f>data1!C40*$B$6/F$6</f>
        <v>#DIV/0!</v>
      </c>
      <c r="G45" s="74" t="e">
        <f>data1!D40*$B$6/G$6</f>
        <v>#DIV/0!</v>
      </c>
      <c r="H45" s="74" t="e">
        <f>data1!E40*$B$6/H$6</f>
        <v>#DIV/0!</v>
      </c>
      <c r="I45" s="74" t="e">
        <f>data1!F40*$B$6/I$6</f>
        <v>#DIV/0!</v>
      </c>
      <c r="J45" s="74" t="e">
        <f>data1!G40*$B$6/J$6</f>
        <v>#DIV/0!</v>
      </c>
      <c r="K45" s="74" t="e">
        <f>data1!H40*$B$6/K$6</f>
        <v>#DIV/0!</v>
      </c>
      <c r="L45" s="74" t="e">
        <f>data1!I40*$B$6/L$6</f>
        <v>#DIV/0!</v>
      </c>
      <c r="M45" s="74" t="e">
        <f>data1!J40*$B$6/M$6</f>
        <v>#DIV/0!</v>
      </c>
      <c r="N45" s="74" t="e">
        <f>data1!K40*$B$6/N$6</f>
        <v>#DIV/0!</v>
      </c>
      <c r="O45" s="74" t="e">
        <f>data1!L40*$B$6/O$6</f>
        <v>#DIV/0!</v>
      </c>
      <c r="P45" s="74" t="e">
        <f>data1!M40*$B$6/P$6</f>
        <v>#DIV/0!</v>
      </c>
      <c r="Q45" s="74" t="e">
        <f>data1!N40*$B$6/Q$6</f>
        <v>#DIV/0!</v>
      </c>
      <c r="R45" s="74" t="e">
        <f>data1!O40*$B$6/R$6</f>
        <v>#DIV/0!</v>
      </c>
      <c r="S45" s="74" t="e">
        <f>data1!P40*$B$6/S$6</f>
        <v>#DIV/0!</v>
      </c>
      <c r="T45" s="74" t="e">
        <f>data1!Q40*$B$6/T$6</f>
        <v>#DIV/0!</v>
      </c>
      <c r="U45" s="74" t="e">
        <f>data1!R40*$B$6/U$6</f>
        <v>#DIV/0!</v>
      </c>
      <c r="V45" s="74" t="e">
        <f>data1!S40*$B$6/V$6</f>
        <v>#DIV/0!</v>
      </c>
      <c r="W45" s="74" t="e">
        <f>data1!T40*$B$6/W$6</f>
        <v>#DIV/0!</v>
      </c>
      <c r="X45" s="74" t="e">
        <f>data1!U40*$B$6/X$6</f>
        <v>#DIV/0!</v>
      </c>
      <c r="Y45" s="74" t="e">
        <f>data1!V40*$B$6/Y$6</f>
        <v>#DIV/0!</v>
      </c>
      <c r="Z45" s="74" t="e">
        <f>data1!W40*$B$6/Z$6</f>
        <v>#DIV/0!</v>
      </c>
      <c r="AA45" s="74" t="e">
        <f>data1!X40*$B$6/AA$6</f>
        <v>#DIV/0!</v>
      </c>
      <c r="AB45" s="74" t="e">
        <f>data1!Y40*$B$6/AB$6</f>
        <v>#DIV/0!</v>
      </c>
      <c r="AC45" s="74" t="e">
        <f>data1!Z40*$B$6/AC$6</f>
        <v>#DIV/0!</v>
      </c>
      <c r="AD45" s="74" t="e">
        <f>data1!AA40*$B$6/AD$6</f>
        <v>#DIV/0!</v>
      </c>
      <c r="AE45" s="74" t="e">
        <f>data1!AB40*$B$6/AE$6</f>
        <v>#DIV/0!</v>
      </c>
      <c r="AF45" s="74" t="e">
        <f>data1!AC40*$B$6/AF$6</f>
        <v>#DIV/0!</v>
      </c>
      <c r="AG45" s="74" t="e">
        <f>data1!AD40*$B$6/AG$6</f>
        <v>#DIV/0!</v>
      </c>
      <c r="AH45" s="74" t="e">
        <f>data1!AE40*$B$6/AH$6</f>
        <v>#DIV/0!</v>
      </c>
      <c r="AI45" s="74" t="e">
        <f>data1!AF40*$B$6/AI$6</f>
        <v>#DIV/0!</v>
      </c>
      <c r="AJ45" s="74" t="e">
        <f>data1!AG40*$B$6/AJ$6</f>
        <v>#DIV/0!</v>
      </c>
    </row>
    <row r="46" spans="1:36">
      <c r="A46" s="29">
        <f>data0!A41</f>
        <v>27</v>
      </c>
      <c r="B46" s="74" t="e">
        <f>AVERAGE(data1!B41:AG41)</f>
        <v>#DIV/0!</v>
      </c>
      <c r="C46" s="74" t="e">
        <f t="shared" si="0"/>
        <v>#DIV/0!</v>
      </c>
      <c r="D46" s="74" t="e">
        <f t="shared" si="1"/>
        <v>#DIV/0!</v>
      </c>
      <c r="E46" s="74" t="e">
        <f>data1!B41*$B$6/E$6</f>
        <v>#DIV/0!</v>
      </c>
      <c r="F46" s="74" t="e">
        <f>data1!C41*$B$6/F$6</f>
        <v>#DIV/0!</v>
      </c>
      <c r="G46" s="74" t="e">
        <f>data1!D41*$B$6/G$6</f>
        <v>#DIV/0!</v>
      </c>
      <c r="H46" s="74" t="e">
        <f>data1!E41*$B$6/H$6</f>
        <v>#DIV/0!</v>
      </c>
      <c r="I46" s="74" t="e">
        <f>data1!F41*$B$6/I$6</f>
        <v>#DIV/0!</v>
      </c>
      <c r="J46" s="74" t="e">
        <f>data1!G41*$B$6/J$6</f>
        <v>#DIV/0!</v>
      </c>
      <c r="K46" s="74" t="e">
        <f>data1!H41*$B$6/K$6</f>
        <v>#DIV/0!</v>
      </c>
      <c r="L46" s="74" t="e">
        <f>data1!I41*$B$6/L$6</f>
        <v>#DIV/0!</v>
      </c>
      <c r="M46" s="74" t="e">
        <f>data1!J41*$B$6/M$6</f>
        <v>#DIV/0!</v>
      </c>
      <c r="N46" s="74" t="e">
        <f>data1!K41*$B$6/N$6</f>
        <v>#DIV/0!</v>
      </c>
      <c r="O46" s="74" t="e">
        <f>data1!L41*$B$6/O$6</f>
        <v>#DIV/0!</v>
      </c>
      <c r="P46" s="74" t="e">
        <f>data1!M41*$B$6/P$6</f>
        <v>#DIV/0!</v>
      </c>
      <c r="Q46" s="74" t="e">
        <f>data1!N41*$B$6/Q$6</f>
        <v>#DIV/0!</v>
      </c>
      <c r="R46" s="74" t="e">
        <f>data1!O41*$B$6/R$6</f>
        <v>#DIV/0!</v>
      </c>
      <c r="S46" s="74" t="e">
        <f>data1!P41*$B$6/S$6</f>
        <v>#DIV/0!</v>
      </c>
      <c r="T46" s="74" t="e">
        <f>data1!Q41*$B$6/T$6</f>
        <v>#DIV/0!</v>
      </c>
      <c r="U46" s="74" t="e">
        <f>data1!R41*$B$6/U$6</f>
        <v>#DIV/0!</v>
      </c>
      <c r="V46" s="74" t="e">
        <f>data1!S41*$B$6/V$6</f>
        <v>#DIV/0!</v>
      </c>
      <c r="W46" s="74" t="e">
        <f>data1!T41*$B$6/W$6</f>
        <v>#DIV/0!</v>
      </c>
      <c r="X46" s="74" t="e">
        <f>data1!U41*$B$6/X$6</f>
        <v>#DIV/0!</v>
      </c>
      <c r="Y46" s="74" t="e">
        <f>data1!V41*$B$6/Y$6</f>
        <v>#DIV/0!</v>
      </c>
      <c r="Z46" s="74" t="e">
        <f>data1!W41*$B$6/Z$6</f>
        <v>#DIV/0!</v>
      </c>
      <c r="AA46" s="74" t="e">
        <f>data1!X41*$B$6/AA$6</f>
        <v>#DIV/0!</v>
      </c>
      <c r="AB46" s="74" t="e">
        <f>data1!Y41*$B$6/AB$6</f>
        <v>#DIV/0!</v>
      </c>
      <c r="AC46" s="74" t="e">
        <f>data1!Z41*$B$6/AC$6</f>
        <v>#DIV/0!</v>
      </c>
      <c r="AD46" s="74" t="e">
        <f>data1!AA41*$B$6/AD$6</f>
        <v>#DIV/0!</v>
      </c>
      <c r="AE46" s="74" t="e">
        <f>data1!AB41*$B$6/AE$6</f>
        <v>#DIV/0!</v>
      </c>
      <c r="AF46" s="74" t="e">
        <f>data1!AC41*$B$6/AF$6</f>
        <v>#DIV/0!</v>
      </c>
      <c r="AG46" s="74" t="e">
        <f>data1!AD41*$B$6/AG$6</f>
        <v>#DIV/0!</v>
      </c>
      <c r="AH46" s="74" t="e">
        <f>data1!AE41*$B$6/AH$6</f>
        <v>#DIV/0!</v>
      </c>
      <c r="AI46" s="74" t="e">
        <f>data1!AF41*$B$6/AI$6</f>
        <v>#DIV/0!</v>
      </c>
      <c r="AJ46" s="74" t="e">
        <f>data1!AG41*$B$6/AJ$6</f>
        <v>#DIV/0!</v>
      </c>
    </row>
    <row r="47" spans="1:36">
      <c r="A47" s="29">
        <f>data0!A42</f>
        <v>30</v>
      </c>
      <c r="B47" s="74" t="e">
        <f>AVERAGE(data1!B42:AG42)</f>
        <v>#DIV/0!</v>
      </c>
      <c r="C47" s="74" t="e">
        <f t="shared" si="0"/>
        <v>#DIV/0!</v>
      </c>
      <c r="D47" s="74" t="e">
        <f t="shared" si="1"/>
        <v>#DIV/0!</v>
      </c>
      <c r="E47" s="74" t="e">
        <f>data1!B42*$B$6/E$6</f>
        <v>#DIV/0!</v>
      </c>
      <c r="F47" s="74" t="e">
        <f>data1!C42*$B$6/F$6</f>
        <v>#DIV/0!</v>
      </c>
      <c r="G47" s="74" t="e">
        <f>data1!D42*$B$6/G$6</f>
        <v>#DIV/0!</v>
      </c>
      <c r="H47" s="74" t="e">
        <f>data1!E42*$B$6/H$6</f>
        <v>#DIV/0!</v>
      </c>
      <c r="I47" s="74" t="e">
        <f>data1!F42*$B$6/I$6</f>
        <v>#DIV/0!</v>
      </c>
      <c r="J47" s="74" t="e">
        <f>data1!G42*$B$6/J$6</f>
        <v>#DIV/0!</v>
      </c>
      <c r="K47" s="74" t="e">
        <f>data1!H42*$B$6/K$6</f>
        <v>#DIV/0!</v>
      </c>
      <c r="L47" s="74" t="e">
        <f>data1!I42*$B$6/L$6</f>
        <v>#DIV/0!</v>
      </c>
      <c r="M47" s="74" t="e">
        <f>data1!J42*$B$6/M$6</f>
        <v>#DIV/0!</v>
      </c>
      <c r="N47" s="74" t="e">
        <f>data1!K42*$B$6/N$6</f>
        <v>#DIV/0!</v>
      </c>
      <c r="O47" s="74" t="e">
        <f>data1!L42*$B$6/O$6</f>
        <v>#DIV/0!</v>
      </c>
      <c r="P47" s="74" t="e">
        <f>data1!M42*$B$6/P$6</f>
        <v>#DIV/0!</v>
      </c>
      <c r="Q47" s="74" t="e">
        <f>data1!N42*$B$6/Q$6</f>
        <v>#DIV/0!</v>
      </c>
      <c r="R47" s="74" t="e">
        <f>data1!O42*$B$6/R$6</f>
        <v>#DIV/0!</v>
      </c>
      <c r="S47" s="74" t="e">
        <f>data1!P42*$B$6/S$6</f>
        <v>#DIV/0!</v>
      </c>
      <c r="T47" s="74" t="e">
        <f>data1!Q42*$B$6/T$6</f>
        <v>#DIV/0!</v>
      </c>
      <c r="U47" s="74" t="e">
        <f>data1!R42*$B$6/U$6</f>
        <v>#DIV/0!</v>
      </c>
      <c r="V47" s="74" t="e">
        <f>data1!S42*$B$6/V$6</f>
        <v>#DIV/0!</v>
      </c>
      <c r="W47" s="74" t="e">
        <f>data1!T42*$B$6/W$6</f>
        <v>#DIV/0!</v>
      </c>
      <c r="X47" s="74" t="e">
        <f>data1!U42*$B$6/X$6</f>
        <v>#DIV/0!</v>
      </c>
      <c r="Y47" s="74" t="e">
        <f>data1!V42*$B$6/Y$6</f>
        <v>#DIV/0!</v>
      </c>
      <c r="Z47" s="74" t="e">
        <f>data1!W42*$B$6/Z$6</f>
        <v>#DIV/0!</v>
      </c>
      <c r="AA47" s="74" t="e">
        <f>data1!X42*$B$6/AA$6</f>
        <v>#DIV/0!</v>
      </c>
      <c r="AB47" s="74" t="e">
        <f>data1!Y42*$B$6/AB$6</f>
        <v>#DIV/0!</v>
      </c>
      <c r="AC47" s="74" t="e">
        <f>data1!Z42*$B$6/AC$6</f>
        <v>#DIV/0!</v>
      </c>
      <c r="AD47" s="74" t="e">
        <f>data1!AA42*$B$6/AD$6</f>
        <v>#DIV/0!</v>
      </c>
      <c r="AE47" s="74" t="e">
        <f>data1!AB42*$B$6/AE$6</f>
        <v>#DIV/0!</v>
      </c>
      <c r="AF47" s="74" t="e">
        <f>data1!AC42*$B$6/AF$6</f>
        <v>#DIV/0!</v>
      </c>
      <c r="AG47" s="74" t="e">
        <f>data1!AD42*$B$6/AG$6</f>
        <v>#DIV/0!</v>
      </c>
      <c r="AH47" s="74" t="e">
        <f>data1!AE42*$B$6/AH$6</f>
        <v>#DIV/0!</v>
      </c>
      <c r="AI47" s="74" t="e">
        <f>data1!AF42*$B$6/AI$6</f>
        <v>#DIV/0!</v>
      </c>
      <c r="AJ47" s="74" t="e">
        <f>data1!AG42*$B$6/AJ$6</f>
        <v>#DIV/0!</v>
      </c>
    </row>
    <row r="48" spans="1:36">
      <c r="A48" s="29">
        <f>data0!A43</f>
        <v>33</v>
      </c>
      <c r="B48" s="74" t="e">
        <f>AVERAGE(data1!B43:AG43)</f>
        <v>#DIV/0!</v>
      </c>
      <c r="C48" s="74" t="e">
        <f t="shared" si="0"/>
        <v>#DIV/0!</v>
      </c>
      <c r="D48" s="74" t="e">
        <f t="shared" si="1"/>
        <v>#DIV/0!</v>
      </c>
      <c r="E48" s="74" t="e">
        <f>data1!B43*$B$6/E$6</f>
        <v>#DIV/0!</v>
      </c>
      <c r="F48" s="74" t="e">
        <f>data1!C43*$B$6/F$6</f>
        <v>#DIV/0!</v>
      </c>
      <c r="G48" s="74" t="e">
        <f>data1!D43*$B$6/G$6</f>
        <v>#DIV/0!</v>
      </c>
      <c r="H48" s="74" t="e">
        <f>data1!E43*$B$6/H$6</f>
        <v>#DIV/0!</v>
      </c>
      <c r="I48" s="74" t="e">
        <f>data1!F43*$B$6/I$6</f>
        <v>#DIV/0!</v>
      </c>
      <c r="J48" s="74" t="e">
        <f>data1!G43*$B$6/J$6</f>
        <v>#DIV/0!</v>
      </c>
      <c r="K48" s="74" t="e">
        <f>data1!H43*$B$6/K$6</f>
        <v>#DIV/0!</v>
      </c>
      <c r="L48" s="74" t="e">
        <f>data1!I43*$B$6/L$6</f>
        <v>#DIV/0!</v>
      </c>
      <c r="M48" s="74" t="e">
        <f>data1!J43*$B$6/M$6</f>
        <v>#DIV/0!</v>
      </c>
      <c r="N48" s="74" t="e">
        <f>data1!K43*$B$6/N$6</f>
        <v>#DIV/0!</v>
      </c>
      <c r="O48" s="74" t="e">
        <f>data1!L43*$B$6/O$6</f>
        <v>#DIV/0!</v>
      </c>
      <c r="P48" s="74" t="e">
        <f>data1!M43*$B$6/P$6</f>
        <v>#DIV/0!</v>
      </c>
      <c r="Q48" s="74" t="e">
        <f>data1!N43*$B$6/Q$6</f>
        <v>#DIV/0!</v>
      </c>
      <c r="R48" s="74" t="e">
        <f>data1!O43*$B$6/R$6</f>
        <v>#DIV/0!</v>
      </c>
      <c r="S48" s="74" t="e">
        <f>data1!P43*$B$6/S$6</f>
        <v>#DIV/0!</v>
      </c>
      <c r="T48" s="74" t="e">
        <f>data1!Q43*$B$6/T$6</f>
        <v>#DIV/0!</v>
      </c>
      <c r="U48" s="74" t="e">
        <f>data1!R43*$B$6/U$6</f>
        <v>#DIV/0!</v>
      </c>
      <c r="V48" s="74" t="e">
        <f>data1!S43*$B$6/V$6</f>
        <v>#DIV/0!</v>
      </c>
      <c r="W48" s="74" t="e">
        <f>data1!T43*$B$6/W$6</f>
        <v>#DIV/0!</v>
      </c>
      <c r="X48" s="74" t="e">
        <f>data1!U43*$B$6/X$6</f>
        <v>#DIV/0!</v>
      </c>
      <c r="Y48" s="74" t="e">
        <f>data1!V43*$B$6/Y$6</f>
        <v>#DIV/0!</v>
      </c>
      <c r="Z48" s="74" t="e">
        <f>data1!W43*$B$6/Z$6</f>
        <v>#DIV/0!</v>
      </c>
      <c r="AA48" s="74" t="e">
        <f>data1!X43*$B$6/AA$6</f>
        <v>#DIV/0!</v>
      </c>
      <c r="AB48" s="74" t="e">
        <f>data1!Y43*$B$6/AB$6</f>
        <v>#DIV/0!</v>
      </c>
      <c r="AC48" s="74" t="e">
        <f>data1!Z43*$B$6/AC$6</f>
        <v>#DIV/0!</v>
      </c>
      <c r="AD48" s="74" t="e">
        <f>data1!AA43*$B$6/AD$6</f>
        <v>#DIV/0!</v>
      </c>
      <c r="AE48" s="74" t="e">
        <f>data1!AB43*$B$6/AE$6</f>
        <v>#DIV/0!</v>
      </c>
      <c r="AF48" s="74" t="e">
        <f>data1!AC43*$B$6/AF$6</f>
        <v>#DIV/0!</v>
      </c>
      <c r="AG48" s="74" t="e">
        <f>data1!AD43*$B$6/AG$6</f>
        <v>#DIV/0!</v>
      </c>
      <c r="AH48" s="74" t="e">
        <f>data1!AE43*$B$6/AH$6</f>
        <v>#DIV/0!</v>
      </c>
      <c r="AI48" s="74" t="e">
        <f>data1!AF43*$B$6/AI$6</f>
        <v>#DIV/0!</v>
      </c>
      <c r="AJ48" s="74" t="e">
        <f>data1!AG43*$B$6/AJ$6</f>
        <v>#DIV/0!</v>
      </c>
    </row>
    <row r="49" spans="1:36">
      <c r="A49" s="29">
        <f>data0!A44</f>
        <v>36</v>
      </c>
      <c r="B49" s="74" t="e">
        <f>AVERAGE(data1!B44:AG44)</f>
        <v>#DIV/0!</v>
      </c>
      <c r="C49" s="74" t="e">
        <f t="shared" si="0"/>
        <v>#DIV/0!</v>
      </c>
      <c r="D49" s="74" t="e">
        <f t="shared" si="1"/>
        <v>#DIV/0!</v>
      </c>
      <c r="E49" s="74" t="e">
        <f>data1!B44*$B$6/E$6</f>
        <v>#DIV/0!</v>
      </c>
      <c r="F49" s="74" t="e">
        <f>data1!C44*$B$6/F$6</f>
        <v>#DIV/0!</v>
      </c>
      <c r="G49" s="74" t="e">
        <f>data1!D44*$B$6/G$6</f>
        <v>#DIV/0!</v>
      </c>
      <c r="H49" s="74" t="e">
        <f>data1!E44*$B$6/H$6</f>
        <v>#DIV/0!</v>
      </c>
      <c r="I49" s="74" t="e">
        <f>data1!F44*$B$6/I$6</f>
        <v>#DIV/0!</v>
      </c>
      <c r="J49" s="74" t="e">
        <f>data1!G44*$B$6/J$6</f>
        <v>#DIV/0!</v>
      </c>
      <c r="K49" s="74" t="e">
        <f>data1!H44*$B$6/K$6</f>
        <v>#DIV/0!</v>
      </c>
      <c r="L49" s="74" t="e">
        <f>data1!I44*$B$6/L$6</f>
        <v>#DIV/0!</v>
      </c>
      <c r="M49" s="74" t="e">
        <f>data1!J44*$B$6/M$6</f>
        <v>#DIV/0!</v>
      </c>
      <c r="N49" s="74" t="e">
        <f>data1!K44*$B$6/N$6</f>
        <v>#DIV/0!</v>
      </c>
      <c r="O49" s="74" t="e">
        <f>data1!L44*$B$6/O$6</f>
        <v>#DIV/0!</v>
      </c>
      <c r="P49" s="74" t="e">
        <f>data1!M44*$B$6/P$6</f>
        <v>#DIV/0!</v>
      </c>
      <c r="Q49" s="74" t="e">
        <f>data1!N44*$B$6/Q$6</f>
        <v>#DIV/0!</v>
      </c>
      <c r="R49" s="74" t="e">
        <f>data1!O44*$B$6/R$6</f>
        <v>#DIV/0!</v>
      </c>
      <c r="S49" s="74" t="e">
        <f>data1!P44*$B$6/S$6</f>
        <v>#DIV/0!</v>
      </c>
      <c r="T49" s="74" t="e">
        <f>data1!Q44*$B$6/T$6</f>
        <v>#DIV/0!</v>
      </c>
      <c r="U49" s="74" t="e">
        <f>data1!R44*$B$6/U$6</f>
        <v>#DIV/0!</v>
      </c>
      <c r="V49" s="74" t="e">
        <f>data1!S44*$B$6/V$6</f>
        <v>#DIV/0!</v>
      </c>
      <c r="W49" s="74" t="e">
        <f>data1!T44*$B$6/W$6</f>
        <v>#DIV/0!</v>
      </c>
      <c r="X49" s="74" t="e">
        <f>data1!U44*$B$6/X$6</f>
        <v>#DIV/0!</v>
      </c>
      <c r="Y49" s="74" t="e">
        <f>data1!V44*$B$6/Y$6</f>
        <v>#DIV/0!</v>
      </c>
      <c r="Z49" s="74" t="e">
        <f>data1!W44*$B$6/Z$6</f>
        <v>#DIV/0!</v>
      </c>
      <c r="AA49" s="74" t="e">
        <f>data1!X44*$B$6/AA$6</f>
        <v>#DIV/0!</v>
      </c>
      <c r="AB49" s="74" t="e">
        <f>data1!Y44*$B$6/AB$6</f>
        <v>#DIV/0!</v>
      </c>
      <c r="AC49" s="74" t="e">
        <f>data1!Z44*$B$6/AC$6</f>
        <v>#DIV/0!</v>
      </c>
      <c r="AD49" s="74" t="e">
        <f>data1!AA44*$B$6/AD$6</f>
        <v>#DIV/0!</v>
      </c>
      <c r="AE49" s="74" t="e">
        <f>data1!AB44*$B$6/AE$6</f>
        <v>#DIV/0!</v>
      </c>
      <c r="AF49" s="74" t="e">
        <f>data1!AC44*$B$6/AF$6</f>
        <v>#DIV/0!</v>
      </c>
      <c r="AG49" s="74" t="e">
        <f>data1!AD44*$B$6/AG$6</f>
        <v>#DIV/0!</v>
      </c>
      <c r="AH49" s="74" t="e">
        <f>data1!AE44*$B$6/AH$6</f>
        <v>#DIV/0!</v>
      </c>
      <c r="AI49" s="74" t="e">
        <f>data1!AF44*$B$6/AI$6</f>
        <v>#DIV/0!</v>
      </c>
      <c r="AJ49" s="74" t="e">
        <f>data1!AG44*$B$6/AJ$6</f>
        <v>#DIV/0!</v>
      </c>
    </row>
    <row r="50" spans="1:36">
      <c r="A50" s="29">
        <f>data0!A45</f>
        <v>39</v>
      </c>
      <c r="B50" s="74" t="e">
        <f>AVERAGE(data1!B45:AG45)</f>
        <v>#DIV/0!</v>
      </c>
      <c r="C50" s="74" t="e">
        <f t="shared" si="0"/>
        <v>#DIV/0!</v>
      </c>
      <c r="D50" s="74" t="e">
        <f t="shared" si="1"/>
        <v>#DIV/0!</v>
      </c>
      <c r="E50" s="74" t="e">
        <f>data1!B45*$B$6/E$6</f>
        <v>#DIV/0!</v>
      </c>
      <c r="F50" s="74" t="e">
        <f>data1!C45*$B$6/F$6</f>
        <v>#DIV/0!</v>
      </c>
      <c r="G50" s="74" t="e">
        <f>data1!D45*$B$6/G$6</f>
        <v>#DIV/0!</v>
      </c>
      <c r="H50" s="74" t="e">
        <f>data1!E45*$B$6/H$6</f>
        <v>#DIV/0!</v>
      </c>
      <c r="I50" s="74" t="e">
        <f>data1!F45*$B$6/I$6</f>
        <v>#DIV/0!</v>
      </c>
      <c r="J50" s="74" t="e">
        <f>data1!G45*$B$6/J$6</f>
        <v>#DIV/0!</v>
      </c>
      <c r="K50" s="74" t="e">
        <f>data1!H45*$B$6/K$6</f>
        <v>#DIV/0!</v>
      </c>
      <c r="L50" s="74" t="e">
        <f>data1!I45*$B$6/L$6</f>
        <v>#DIV/0!</v>
      </c>
      <c r="M50" s="74" t="e">
        <f>data1!J45*$B$6/M$6</f>
        <v>#DIV/0!</v>
      </c>
      <c r="N50" s="74" t="e">
        <f>data1!K45*$B$6/N$6</f>
        <v>#DIV/0!</v>
      </c>
      <c r="O50" s="74" t="e">
        <f>data1!L45*$B$6/O$6</f>
        <v>#DIV/0!</v>
      </c>
      <c r="P50" s="74" t="e">
        <f>data1!M45*$B$6/P$6</f>
        <v>#DIV/0!</v>
      </c>
      <c r="Q50" s="74" t="e">
        <f>data1!N45*$B$6/Q$6</f>
        <v>#DIV/0!</v>
      </c>
      <c r="R50" s="74" t="e">
        <f>data1!O45*$B$6/R$6</f>
        <v>#DIV/0!</v>
      </c>
      <c r="S50" s="74" t="e">
        <f>data1!P45*$B$6/S$6</f>
        <v>#DIV/0!</v>
      </c>
      <c r="T50" s="74" t="e">
        <f>data1!Q45*$B$6/T$6</f>
        <v>#DIV/0!</v>
      </c>
      <c r="U50" s="74" t="e">
        <f>data1!R45*$B$6/U$6</f>
        <v>#DIV/0!</v>
      </c>
      <c r="V50" s="74" t="e">
        <f>data1!S45*$B$6/V$6</f>
        <v>#DIV/0!</v>
      </c>
      <c r="W50" s="74" t="e">
        <f>data1!T45*$B$6/W$6</f>
        <v>#DIV/0!</v>
      </c>
      <c r="X50" s="74" t="e">
        <f>data1!U45*$B$6/X$6</f>
        <v>#DIV/0!</v>
      </c>
      <c r="Y50" s="74" t="e">
        <f>data1!V45*$B$6/Y$6</f>
        <v>#DIV/0!</v>
      </c>
      <c r="Z50" s="74" t="e">
        <f>data1!W45*$B$6/Z$6</f>
        <v>#DIV/0!</v>
      </c>
      <c r="AA50" s="74" t="e">
        <f>data1!X45*$B$6/AA$6</f>
        <v>#DIV/0!</v>
      </c>
      <c r="AB50" s="74" t="e">
        <f>data1!Y45*$B$6/AB$6</f>
        <v>#DIV/0!</v>
      </c>
      <c r="AC50" s="74" t="e">
        <f>data1!Z45*$B$6/AC$6</f>
        <v>#DIV/0!</v>
      </c>
      <c r="AD50" s="74" t="e">
        <f>data1!AA45*$B$6/AD$6</f>
        <v>#DIV/0!</v>
      </c>
      <c r="AE50" s="74" t="e">
        <f>data1!AB45*$B$6/AE$6</f>
        <v>#DIV/0!</v>
      </c>
      <c r="AF50" s="74" t="e">
        <f>data1!AC45*$B$6/AF$6</f>
        <v>#DIV/0!</v>
      </c>
      <c r="AG50" s="74" t="e">
        <f>data1!AD45*$B$6/AG$6</f>
        <v>#DIV/0!</v>
      </c>
      <c r="AH50" s="74" t="e">
        <f>data1!AE45*$B$6/AH$6</f>
        <v>#DIV/0!</v>
      </c>
      <c r="AI50" s="74" t="e">
        <f>data1!AF45*$B$6/AI$6</f>
        <v>#DIV/0!</v>
      </c>
      <c r="AJ50" s="74" t="e">
        <f>data1!AG45*$B$6/AJ$6</f>
        <v>#DIV/0!</v>
      </c>
    </row>
    <row r="51" spans="1:36">
      <c r="A51" s="29">
        <f>data0!A46</f>
        <v>42</v>
      </c>
      <c r="B51" s="74" t="e">
        <f>AVERAGE(data1!B46:AG46)</f>
        <v>#DIV/0!</v>
      </c>
      <c r="C51" s="74" t="e">
        <f t="shared" si="0"/>
        <v>#DIV/0!</v>
      </c>
      <c r="D51" s="74" t="e">
        <f t="shared" si="1"/>
        <v>#DIV/0!</v>
      </c>
      <c r="E51" s="74" t="e">
        <f>data1!B46*$B$6/E$6</f>
        <v>#DIV/0!</v>
      </c>
      <c r="F51" s="74" t="e">
        <f>data1!C46*$B$6/F$6</f>
        <v>#DIV/0!</v>
      </c>
      <c r="G51" s="74" t="e">
        <f>data1!D46*$B$6/G$6</f>
        <v>#DIV/0!</v>
      </c>
      <c r="H51" s="74" t="e">
        <f>data1!E46*$B$6/H$6</f>
        <v>#DIV/0!</v>
      </c>
      <c r="I51" s="74" t="e">
        <f>data1!F46*$B$6/I$6</f>
        <v>#DIV/0!</v>
      </c>
      <c r="J51" s="74" t="e">
        <f>data1!G46*$B$6/J$6</f>
        <v>#DIV/0!</v>
      </c>
      <c r="K51" s="74" t="e">
        <f>data1!H46*$B$6/K$6</f>
        <v>#DIV/0!</v>
      </c>
      <c r="L51" s="74" t="e">
        <f>data1!I46*$B$6/L$6</f>
        <v>#DIV/0!</v>
      </c>
      <c r="M51" s="74" t="e">
        <f>data1!J46*$B$6/M$6</f>
        <v>#DIV/0!</v>
      </c>
      <c r="N51" s="74" t="e">
        <f>data1!K46*$B$6/N$6</f>
        <v>#DIV/0!</v>
      </c>
      <c r="O51" s="74" t="e">
        <f>data1!L46*$B$6/O$6</f>
        <v>#DIV/0!</v>
      </c>
      <c r="P51" s="74" t="e">
        <f>data1!M46*$B$6/P$6</f>
        <v>#DIV/0!</v>
      </c>
      <c r="Q51" s="74" t="e">
        <f>data1!N46*$B$6/Q$6</f>
        <v>#DIV/0!</v>
      </c>
      <c r="R51" s="74" t="e">
        <f>data1!O46*$B$6/R$6</f>
        <v>#DIV/0!</v>
      </c>
      <c r="S51" s="74" t="e">
        <f>data1!P46*$B$6/S$6</f>
        <v>#DIV/0!</v>
      </c>
      <c r="T51" s="74" t="e">
        <f>data1!Q46*$B$6/T$6</f>
        <v>#DIV/0!</v>
      </c>
      <c r="U51" s="74" t="e">
        <f>data1!R46*$B$6/U$6</f>
        <v>#DIV/0!</v>
      </c>
      <c r="V51" s="74" t="e">
        <f>data1!S46*$B$6/V$6</f>
        <v>#DIV/0!</v>
      </c>
      <c r="W51" s="74" t="e">
        <f>data1!T46*$B$6/W$6</f>
        <v>#DIV/0!</v>
      </c>
      <c r="X51" s="74" t="e">
        <f>data1!U46*$B$6/X$6</f>
        <v>#DIV/0!</v>
      </c>
      <c r="Y51" s="74" t="e">
        <f>data1!V46*$B$6/Y$6</f>
        <v>#DIV/0!</v>
      </c>
      <c r="Z51" s="74" t="e">
        <f>data1!W46*$B$6/Z$6</f>
        <v>#DIV/0!</v>
      </c>
      <c r="AA51" s="74" t="e">
        <f>data1!X46*$B$6/AA$6</f>
        <v>#DIV/0!</v>
      </c>
      <c r="AB51" s="74" t="e">
        <f>data1!Y46*$B$6/AB$6</f>
        <v>#DIV/0!</v>
      </c>
      <c r="AC51" s="74" t="e">
        <f>data1!Z46*$B$6/AC$6</f>
        <v>#DIV/0!</v>
      </c>
      <c r="AD51" s="74" t="e">
        <f>data1!AA46*$B$6/AD$6</f>
        <v>#DIV/0!</v>
      </c>
      <c r="AE51" s="74" t="e">
        <f>data1!AB46*$B$6/AE$6</f>
        <v>#DIV/0!</v>
      </c>
      <c r="AF51" s="74" t="e">
        <f>data1!AC46*$B$6/AF$6</f>
        <v>#DIV/0!</v>
      </c>
      <c r="AG51" s="74" t="e">
        <f>data1!AD46*$B$6/AG$6</f>
        <v>#DIV/0!</v>
      </c>
      <c r="AH51" s="74" t="e">
        <f>data1!AE46*$B$6/AH$6</f>
        <v>#DIV/0!</v>
      </c>
      <c r="AI51" s="74" t="e">
        <f>data1!AF46*$B$6/AI$6</f>
        <v>#DIV/0!</v>
      </c>
      <c r="AJ51" s="74" t="e">
        <f>data1!AG46*$B$6/AJ$6</f>
        <v>#DIV/0!</v>
      </c>
    </row>
    <row r="52" spans="1:36">
      <c r="A52" s="29">
        <f>data0!A47</f>
        <v>45</v>
      </c>
      <c r="B52" s="74" t="e">
        <f>AVERAGE(data1!B47:AG47)</f>
        <v>#DIV/0!</v>
      </c>
      <c r="C52" s="74" t="e">
        <f t="shared" si="0"/>
        <v>#DIV/0!</v>
      </c>
      <c r="D52" s="74" t="e">
        <f t="shared" si="1"/>
        <v>#DIV/0!</v>
      </c>
      <c r="E52" s="74" t="e">
        <f>data1!B47*$B$6/E$6</f>
        <v>#DIV/0!</v>
      </c>
      <c r="F52" s="74" t="e">
        <f>data1!C47*$B$6/F$6</f>
        <v>#DIV/0!</v>
      </c>
      <c r="G52" s="74" t="e">
        <f>data1!D47*$B$6/G$6</f>
        <v>#DIV/0!</v>
      </c>
      <c r="H52" s="74" t="e">
        <f>data1!E47*$B$6/H$6</f>
        <v>#DIV/0!</v>
      </c>
      <c r="I52" s="74" t="e">
        <f>data1!F47*$B$6/I$6</f>
        <v>#DIV/0!</v>
      </c>
      <c r="J52" s="74" t="e">
        <f>data1!G47*$B$6/J$6</f>
        <v>#DIV/0!</v>
      </c>
      <c r="K52" s="74" t="e">
        <f>data1!H47*$B$6/K$6</f>
        <v>#DIV/0!</v>
      </c>
      <c r="L52" s="74" t="e">
        <f>data1!I47*$B$6/L$6</f>
        <v>#DIV/0!</v>
      </c>
      <c r="M52" s="74" t="e">
        <f>data1!J47*$B$6/M$6</f>
        <v>#DIV/0!</v>
      </c>
      <c r="N52" s="74" t="e">
        <f>data1!K47*$B$6/N$6</f>
        <v>#DIV/0!</v>
      </c>
      <c r="O52" s="74" t="e">
        <f>data1!L47*$B$6/O$6</f>
        <v>#DIV/0!</v>
      </c>
      <c r="P52" s="74" t="e">
        <f>data1!M47*$B$6/P$6</f>
        <v>#DIV/0!</v>
      </c>
      <c r="Q52" s="74" t="e">
        <f>data1!N47*$B$6/Q$6</f>
        <v>#DIV/0!</v>
      </c>
      <c r="R52" s="74" t="e">
        <f>data1!O47*$B$6/R$6</f>
        <v>#DIV/0!</v>
      </c>
      <c r="S52" s="74" t="e">
        <f>data1!P47*$B$6/S$6</f>
        <v>#DIV/0!</v>
      </c>
      <c r="T52" s="74" t="e">
        <f>data1!Q47*$B$6/T$6</f>
        <v>#DIV/0!</v>
      </c>
      <c r="U52" s="74" t="e">
        <f>data1!R47*$B$6/U$6</f>
        <v>#DIV/0!</v>
      </c>
      <c r="V52" s="74" t="e">
        <f>data1!S47*$B$6/V$6</f>
        <v>#DIV/0!</v>
      </c>
      <c r="W52" s="74" t="e">
        <f>data1!T47*$B$6/W$6</f>
        <v>#DIV/0!</v>
      </c>
      <c r="X52" s="74" t="e">
        <f>data1!U47*$B$6/X$6</f>
        <v>#DIV/0!</v>
      </c>
      <c r="Y52" s="74" t="e">
        <f>data1!V47*$B$6/Y$6</f>
        <v>#DIV/0!</v>
      </c>
      <c r="Z52" s="74" t="e">
        <f>data1!W47*$B$6/Z$6</f>
        <v>#DIV/0!</v>
      </c>
      <c r="AA52" s="74" t="e">
        <f>data1!X47*$B$6/AA$6</f>
        <v>#DIV/0!</v>
      </c>
      <c r="AB52" s="74" t="e">
        <f>data1!Y47*$B$6/AB$6</f>
        <v>#DIV/0!</v>
      </c>
      <c r="AC52" s="74" t="e">
        <f>data1!Z47*$B$6/AC$6</f>
        <v>#DIV/0!</v>
      </c>
      <c r="AD52" s="74" t="e">
        <f>data1!AA47*$B$6/AD$6</f>
        <v>#DIV/0!</v>
      </c>
      <c r="AE52" s="74" t="e">
        <f>data1!AB47*$B$6/AE$6</f>
        <v>#DIV/0!</v>
      </c>
      <c r="AF52" s="74" t="e">
        <f>data1!AC47*$B$6/AF$6</f>
        <v>#DIV/0!</v>
      </c>
      <c r="AG52" s="74" t="e">
        <f>data1!AD47*$B$6/AG$6</f>
        <v>#DIV/0!</v>
      </c>
      <c r="AH52" s="74" t="e">
        <f>data1!AE47*$B$6/AH$6</f>
        <v>#DIV/0!</v>
      </c>
      <c r="AI52" s="74" t="e">
        <f>data1!AF47*$B$6/AI$6</f>
        <v>#DIV/0!</v>
      </c>
      <c r="AJ52" s="74" t="e">
        <f>data1!AG47*$B$6/AJ$6</f>
        <v>#DIV/0!</v>
      </c>
    </row>
    <row r="53" spans="1:36">
      <c r="A53" s="29">
        <f>data0!A48</f>
        <v>48</v>
      </c>
      <c r="B53" s="74" t="e">
        <f>AVERAGE(data1!B48:AG48)</f>
        <v>#DIV/0!</v>
      </c>
      <c r="C53" s="74" t="e">
        <f t="shared" si="0"/>
        <v>#DIV/0!</v>
      </c>
      <c r="D53" s="74" t="e">
        <f t="shared" si="1"/>
        <v>#DIV/0!</v>
      </c>
      <c r="E53" s="74" t="e">
        <f>data1!B48*$B$6/E$6</f>
        <v>#DIV/0!</v>
      </c>
      <c r="F53" s="74" t="e">
        <f>data1!C48*$B$6/F$6</f>
        <v>#DIV/0!</v>
      </c>
      <c r="G53" s="74" t="e">
        <f>data1!D48*$B$6/G$6</f>
        <v>#DIV/0!</v>
      </c>
      <c r="H53" s="74" t="e">
        <f>data1!E48*$B$6/H$6</f>
        <v>#DIV/0!</v>
      </c>
      <c r="I53" s="74" t="e">
        <f>data1!F48*$B$6/I$6</f>
        <v>#DIV/0!</v>
      </c>
      <c r="J53" s="74" t="e">
        <f>data1!G48*$B$6/J$6</f>
        <v>#DIV/0!</v>
      </c>
      <c r="K53" s="74" t="e">
        <f>data1!H48*$B$6/K$6</f>
        <v>#DIV/0!</v>
      </c>
      <c r="L53" s="74" t="e">
        <f>data1!I48*$B$6/L$6</f>
        <v>#DIV/0!</v>
      </c>
      <c r="M53" s="74" t="e">
        <f>data1!J48*$B$6/M$6</f>
        <v>#DIV/0!</v>
      </c>
      <c r="N53" s="74" t="e">
        <f>data1!K48*$B$6/N$6</f>
        <v>#DIV/0!</v>
      </c>
      <c r="O53" s="74" t="e">
        <f>data1!L48*$B$6/O$6</f>
        <v>#DIV/0!</v>
      </c>
      <c r="P53" s="74" t="e">
        <f>data1!M48*$B$6/P$6</f>
        <v>#DIV/0!</v>
      </c>
      <c r="Q53" s="74" t="e">
        <f>data1!N48*$B$6/Q$6</f>
        <v>#DIV/0!</v>
      </c>
      <c r="R53" s="74" t="e">
        <f>data1!O48*$B$6/R$6</f>
        <v>#DIV/0!</v>
      </c>
      <c r="S53" s="74" t="e">
        <f>data1!P48*$B$6/S$6</f>
        <v>#DIV/0!</v>
      </c>
      <c r="T53" s="74" t="e">
        <f>data1!Q48*$B$6/T$6</f>
        <v>#DIV/0!</v>
      </c>
      <c r="U53" s="74" t="e">
        <f>data1!R48*$B$6/U$6</f>
        <v>#DIV/0!</v>
      </c>
      <c r="V53" s="74" t="e">
        <f>data1!S48*$B$6/V$6</f>
        <v>#DIV/0!</v>
      </c>
      <c r="W53" s="74" t="e">
        <f>data1!T48*$B$6/W$6</f>
        <v>#DIV/0!</v>
      </c>
      <c r="X53" s="74" t="e">
        <f>data1!U48*$B$6/X$6</f>
        <v>#DIV/0!</v>
      </c>
      <c r="Y53" s="74" t="e">
        <f>data1!V48*$B$6/Y$6</f>
        <v>#DIV/0!</v>
      </c>
      <c r="Z53" s="74" t="e">
        <f>data1!W48*$B$6/Z$6</f>
        <v>#DIV/0!</v>
      </c>
      <c r="AA53" s="74" t="e">
        <f>data1!X48*$B$6/AA$6</f>
        <v>#DIV/0!</v>
      </c>
      <c r="AB53" s="74" t="e">
        <f>data1!Y48*$B$6/AB$6</f>
        <v>#DIV/0!</v>
      </c>
      <c r="AC53" s="74" t="e">
        <f>data1!Z48*$B$6/AC$6</f>
        <v>#DIV/0!</v>
      </c>
      <c r="AD53" s="74" t="e">
        <f>data1!AA48*$B$6/AD$6</f>
        <v>#DIV/0!</v>
      </c>
      <c r="AE53" s="74" t="e">
        <f>data1!AB48*$B$6/AE$6</f>
        <v>#DIV/0!</v>
      </c>
      <c r="AF53" s="74" t="e">
        <f>data1!AC48*$B$6/AF$6</f>
        <v>#DIV/0!</v>
      </c>
      <c r="AG53" s="74" t="e">
        <f>data1!AD48*$B$6/AG$6</f>
        <v>#DIV/0!</v>
      </c>
      <c r="AH53" s="74" t="e">
        <f>data1!AE48*$B$6/AH$6</f>
        <v>#DIV/0!</v>
      </c>
      <c r="AI53" s="74" t="e">
        <f>data1!AF48*$B$6/AI$6</f>
        <v>#DIV/0!</v>
      </c>
      <c r="AJ53" s="74" t="e">
        <f>data1!AG48*$B$6/AJ$6</f>
        <v>#DIV/0!</v>
      </c>
    </row>
    <row r="54" spans="1:36">
      <c r="A54" s="29">
        <f>data0!A49</f>
        <v>51</v>
      </c>
      <c r="B54" s="74" t="e">
        <f>AVERAGE(data1!B49:AG49)</f>
        <v>#DIV/0!</v>
      </c>
      <c r="C54" s="74" t="e">
        <f t="shared" si="0"/>
        <v>#DIV/0!</v>
      </c>
      <c r="D54" s="74" t="e">
        <f t="shared" si="1"/>
        <v>#DIV/0!</v>
      </c>
      <c r="E54" s="74" t="e">
        <f>data1!B49*$B$6/E$6</f>
        <v>#DIV/0!</v>
      </c>
      <c r="F54" s="74" t="e">
        <f>data1!C49*$B$6/F$6</f>
        <v>#DIV/0!</v>
      </c>
      <c r="G54" s="74" t="e">
        <f>data1!D49*$B$6/G$6</f>
        <v>#DIV/0!</v>
      </c>
      <c r="H54" s="74" t="e">
        <f>data1!E49*$B$6/H$6</f>
        <v>#DIV/0!</v>
      </c>
      <c r="I54" s="74" t="e">
        <f>data1!F49*$B$6/I$6</f>
        <v>#DIV/0!</v>
      </c>
      <c r="J54" s="74" t="e">
        <f>data1!G49*$B$6/J$6</f>
        <v>#DIV/0!</v>
      </c>
      <c r="K54" s="74" t="e">
        <f>data1!H49*$B$6/K$6</f>
        <v>#DIV/0!</v>
      </c>
      <c r="L54" s="74" t="e">
        <f>data1!I49*$B$6/L$6</f>
        <v>#DIV/0!</v>
      </c>
      <c r="M54" s="74" t="e">
        <f>data1!J49*$B$6/M$6</f>
        <v>#DIV/0!</v>
      </c>
      <c r="N54" s="74" t="e">
        <f>data1!K49*$B$6/N$6</f>
        <v>#DIV/0!</v>
      </c>
      <c r="O54" s="74" t="e">
        <f>data1!L49*$B$6/O$6</f>
        <v>#DIV/0!</v>
      </c>
      <c r="P54" s="74" t="e">
        <f>data1!M49*$B$6/P$6</f>
        <v>#DIV/0!</v>
      </c>
      <c r="Q54" s="74" t="e">
        <f>data1!N49*$B$6/Q$6</f>
        <v>#DIV/0!</v>
      </c>
      <c r="R54" s="74" t="e">
        <f>data1!O49*$B$6/R$6</f>
        <v>#DIV/0!</v>
      </c>
      <c r="S54" s="74" t="e">
        <f>data1!P49*$B$6/S$6</f>
        <v>#DIV/0!</v>
      </c>
      <c r="T54" s="74" t="e">
        <f>data1!Q49*$B$6/T$6</f>
        <v>#DIV/0!</v>
      </c>
      <c r="U54" s="74" t="e">
        <f>data1!R49*$B$6/U$6</f>
        <v>#DIV/0!</v>
      </c>
      <c r="V54" s="74" t="e">
        <f>data1!S49*$B$6/V$6</f>
        <v>#DIV/0!</v>
      </c>
      <c r="W54" s="74" t="e">
        <f>data1!T49*$B$6/W$6</f>
        <v>#DIV/0!</v>
      </c>
      <c r="X54" s="74" t="e">
        <f>data1!U49*$B$6/X$6</f>
        <v>#DIV/0!</v>
      </c>
      <c r="Y54" s="74" t="e">
        <f>data1!V49*$B$6/Y$6</f>
        <v>#DIV/0!</v>
      </c>
      <c r="Z54" s="74" t="e">
        <f>data1!W49*$B$6/Z$6</f>
        <v>#DIV/0!</v>
      </c>
      <c r="AA54" s="74" t="e">
        <f>data1!X49*$B$6/AA$6</f>
        <v>#DIV/0!</v>
      </c>
      <c r="AB54" s="74" t="e">
        <f>data1!Y49*$B$6/AB$6</f>
        <v>#DIV/0!</v>
      </c>
      <c r="AC54" s="74" t="e">
        <f>data1!Z49*$B$6/AC$6</f>
        <v>#DIV/0!</v>
      </c>
      <c r="AD54" s="74" t="e">
        <f>data1!AA49*$B$6/AD$6</f>
        <v>#DIV/0!</v>
      </c>
      <c r="AE54" s="74" t="e">
        <f>data1!AB49*$B$6/AE$6</f>
        <v>#DIV/0!</v>
      </c>
      <c r="AF54" s="74" t="e">
        <f>data1!AC49*$B$6/AF$6</f>
        <v>#DIV/0!</v>
      </c>
      <c r="AG54" s="74" t="e">
        <f>data1!AD49*$B$6/AG$6</f>
        <v>#DIV/0!</v>
      </c>
      <c r="AH54" s="74" t="e">
        <f>data1!AE49*$B$6/AH$6</f>
        <v>#DIV/0!</v>
      </c>
      <c r="AI54" s="74" t="e">
        <f>data1!AF49*$B$6/AI$6</f>
        <v>#DIV/0!</v>
      </c>
      <c r="AJ54" s="74" t="e">
        <f>data1!AG49*$B$6/AJ$6</f>
        <v>#DIV/0!</v>
      </c>
    </row>
    <row r="55" spans="1:36">
      <c r="A55" s="29">
        <f>data0!A50</f>
        <v>54</v>
      </c>
      <c r="B55" s="74" t="e">
        <f>AVERAGE(data1!B50:AG50)</f>
        <v>#DIV/0!</v>
      </c>
      <c r="C55" s="74" t="e">
        <f t="shared" si="0"/>
        <v>#DIV/0!</v>
      </c>
      <c r="D55" s="74" t="e">
        <f t="shared" si="1"/>
        <v>#DIV/0!</v>
      </c>
      <c r="E55" s="74" t="e">
        <f>data1!B50*$B$6/E$6</f>
        <v>#DIV/0!</v>
      </c>
      <c r="F55" s="74" t="e">
        <f>data1!C50*$B$6/F$6</f>
        <v>#DIV/0!</v>
      </c>
      <c r="G55" s="74" t="e">
        <f>data1!D50*$B$6/G$6</f>
        <v>#DIV/0!</v>
      </c>
      <c r="H55" s="74" t="e">
        <f>data1!E50*$B$6/H$6</f>
        <v>#DIV/0!</v>
      </c>
      <c r="I55" s="74" t="e">
        <f>data1!F50*$B$6/I$6</f>
        <v>#DIV/0!</v>
      </c>
      <c r="J55" s="74" t="e">
        <f>data1!G50*$B$6/J$6</f>
        <v>#DIV/0!</v>
      </c>
      <c r="K55" s="74" t="e">
        <f>data1!H50*$B$6/K$6</f>
        <v>#DIV/0!</v>
      </c>
      <c r="L55" s="74" t="e">
        <f>data1!I50*$B$6/L$6</f>
        <v>#DIV/0!</v>
      </c>
      <c r="M55" s="74" t="e">
        <f>data1!J50*$B$6/M$6</f>
        <v>#DIV/0!</v>
      </c>
      <c r="N55" s="74" t="e">
        <f>data1!K50*$B$6/N$6</f>
        <v>#DIV/0!</v>
      </c>
      <c r="O55" s="74" t="e">
        <f>data1!L50*$B$6/O$6</f>
        <v>#DIV/0!</v>
      </c>
      <c r="P55" s="74" t="e">
        <f>data1!M50*$B$6/P$6</f>
        <v>#DIV/0!</v>
      </c>
      <c r="Q55" s="74" t="e">
        <f>data1!N50*$B$6/Q$6</f>
        <v>#DIV/0!</v>
      </c>
      <c r="R55" s="74" t="e">
        <f>data1!O50*$B$6/R$6</f>
        <v>#DIV/0!</v>
      </c>
      <c r="S55" s="74" t="e">
        <f>data1!P50*$B$6/S$6</f>
        <v>#DIV/0!</v>
      </c>
      <c r="T55" s="74" t="e">
        <f>data1!Q50*$B$6/T$6</f>
        <v>#DIV/0!</v>
      </c>
      <c r="U55" s="74" t="e">
        <f>data1!R50*$B$6/U$6</f>
        <v>#DIV/0!</v>
      </c>
      <c r="V55" s="74" t="e">
        <f>data1!S50*$B$6/V$6</f>
        <v>#DIV/0!</v>
      </c>
      <c r="W55" s="74" t="e">
        <f>data1!T50*$B$6/W$6</f>
        <v>#DIV/0!</v>
      </c>
      <c r="X55" s="74" t="e">
        <f>data1!U50*$B$6/X$6</f>
        <v>#DIV/0!</v>
      </c>
      <c r="Y55" s="74" t="e">
        <f>data1!V50*$B$6/Y$6</f>
        <v>#DIV/0!</v>
      </c>
      <c r="Z55" s="74" t="e">
        <f>data1!W50*$B$6/Z$6</f>
        <v>#DIV/0!</v>
      </c>
      <c r="AA55" s="74" t="e">
        <f>data1!X50*$B$6/AA$6</f>
        <v>#DIV/0!</v>
      </c>
      <c r="AB55" s="74" t="e">
        <f>data1!Y50*$B$6/AB$6</f>
        <v>#DIV/0!</v>
      </c>
      <c r="AC55" s="74" t="e">
        <f>data1!Z50*$B$6/AC$6</f>
        <v>#DIV/0!</v>
      </c>
      <c r="AD55" s="74" t="e">
        <f>data1!AA50*$B$6/AD$6</f>
        <v>#DIV/0!</v>
      </c>
      <c r="AE55" s="74" t="e">
        <f>data1!AB50*$B$6/AE$6</f>
        <v>#DIV/0!</v>
      </c>
      <c r="AF55" s="74" t="e">
        <f>data1!AC50*$B$6/AF$6</f>
        <v>#DIV/0!</v>
      </c>
      <c r="AG55" s="74" t="e">
        <f>data1!AD50*$B$6/AG$6</f>
        <v>#DIV/0!</v>
      </c>
      <c r="AH55" s="74" t="e">
        <f>data1!AE50*$B$6/AH$6</f>
        <v>#DIV/0!</v>
      </c>
      <c r="AI55" s="74" t="e">
        <f>data1!AF50*$B$6/AI$6</f>
        <v>#DIV/0!</v>
      </c>
      <c r="AJ55" s="74" t="e">
        <f>data1!AG50*$B$6/AJ$6</f>
        <v>#DIV/0!</v>
      </c>
    </row>
    <row r="56" spans="1:36">
      <c r="A56" s="29">
        <f>data0!A51</f>
        <v>57</v>
      </c>
      <c r="B56" s="74" t="e">
        <f>AVERAGE(data1!B51:AG51)</f>
        <v>#DIV/0!</v>
      </c>
      <c r="C56" s="74" t="e">
        <f t="shared" si="0"/>
        <v>#DIV/0!</v>
      </c>
      <c r="D56" s="74" t="e">
        <f t="shared" si="1"/>
        <v>#DIV/0!</v>
      </c>
      <c r="E56" s="74" t="e">
        <f>data1!B51*$B$6/E$6</f>
        <v>#DIV/0!</v>
      </c>
      <c r="F56" s="74" t="e">
        <f>data1!C51*$B$6/F$6</f>
        <v>#DIV/0!</v>
      </c>
      <c r="G56" s="74" t="e">
        <f>data1!D51*$B$6/G$6</f>
        <v>#DIV/0!</v>
      </c>
      <c r="H56" s="74" t="e">
        <f>data1!E51*$B$6/H$6</f>
        <v>#DIV/0!</v>
      </c>
      <c r="I56" s="74" t="e">
        <f>data1!F51*$B$6/I$6</f>
        <v>#DIV/0!</v>
      </c>
      <c r="J56" s="74" t="e">
        <f>data1!G51*$B$6/J$6</f>
        <v>#DIV/0!</v>
      </c>
      <c r="K56" s="74" t="e">
        <f>data1!H51*$B$6/K$6</f>
        <v>#DIV/0!</v>
      </c>
      <c r="L56" s="74" t="e">
        <f>data1!I51*$B$6/L$6</f>
        <v>#DIV/0!</v>
      </c>
      <c r="M56" s="74" t="e">
        <f>data1!J51*$B$6/M$6</f>
        <v>#DIV/0!</v>
      </c>
      <c r="N56" s="74" t="e">
        <f>data1!K51*$B$6/N$6</f>
        <v>#DIV/0!</v>
      </c>
      <c r="O56" s="74" t="e">
        <f>data1!L51*$B$6/O$6</f>
        <v>#DIV/0!</v>
      </c>
      <c r="P56" s="74" t="e">
        <f>data1!M51*$B$6/P$6</f>
        <v>#DIV/0!</v>
      </c>
      <c r="Q56" s="74" t="e">
        <f>data1!N51*$B$6/Q$6</f>
        <v>#DIV/0!</v>
      </c>
      <c r="R56" s="74" t="e">
        <f>data1!O51*$B$6/R$6</f>
        <v>#DIV/0!</v>
      </c>
      <c r="S56" s="74" t="e">
        <f>data1!P51*$B$6/S$6</f>
        <v>#DIV/0!</v>
      </c>
      <c r="T56" s="74" t="e">
        <f>data1!Q51*$B$6/T$6</f>
        <v>#DIV/0!</v>
      </c>
      <c r="U56" s="74" t="e">
        <f>data1!R51*$B$6/U$6</f>
        <v>#DIV/0!</v>
      </c>
      <c r="V56" s="74" t="e">
        <f>data1!S51*$B$6/V$6</f>
        <v>#DIV/0!</v>
      </c>
      <c r="W56" s="74" t="e">
        <f>data1!T51*$B$6/W$6</f>
        <v>#DIV/0!</v>
      </c>
      <c r="X56" s="74" t="e">
        <f>data1!U51*$B$6/X$6</f>
        <v>#DIV/0!</v>
      </c>
      <c r="Y56" s="74" t="e">
        <f>data1!V51*$B$6/Y$6</f>
        <v>#DIV/0!</v>
      </c>
      <c r="Z56" s="74" t="e">
        <f>data1!W51*$B$6/Z$6</f>
        <v>#DIV/0!</v>
      </c>
      <c r="AA56" s="74" t="e">
        <f>data1!X51*$B$6/AA$6</f>
        <v>#DIV/0!</v>
      </c>
      <c r="AB56" s="74" t="e">
        <f>data1!Y51*$B$6/AB$6</f>
        <v>#DIV/0!</v>
      </c>
      <c r="AC56" s="74" t="e">
        <f>data1!Z51*$B$6/AC$6</f>
        <v>#DIV/0!</v>
      </c>
      <c r="AD56" s="74" t="e">
        <f>data1!AA51*$B$6/AD$6</f>
        <v>#DIV/0!</v>
      </c>
      <c r="AE56" s="74" t="e">
        <f>data1!AB51*$B$6/AE$6</f>
        <v>#DIV/0!</v>
      </c>
      <c r="AF56" s="74" t="e">
        <f>data1!AC51*$B$6/AF$6</f>
        <v>#DIV/0!</v>
      </c>
      <c r="AG56" s="74" t="e">
        <f>data1!AD51*$B$6/AG$6</f>
        <v>#DIV/0!</v>
      </c>
      <c r="AH56" s="74" t="e">
        <f>data1!AE51*$B$6/AH$6</f>
        <v>#DIV/0!</v>
      </c>
      <c r="AI56" s="74" t="e">
        <f>data1!AF51*$B$6/AI$6</f>
        <v>#DIV/0!</v>
      </c>
      <c r="AJ56" s="74" t="e">
        <f>data1!AG51*$B$6/AJ$6</f>
        <v>#DIV/0!</v>
      </c>
    </row>
    <row r="57" spans="1:36">
      <c r="A57" s="29">
        <f>data0!A52</f>
        <v>60</v>
      </c>
      <c r="B57" s="74" t="e">
        <f>AVERAGE(data1!B52:AG52)</f>
        <v>#DIV/0!</v>
      </c>
      <c r="C57" s="74" t="e">
        <f t="shared" si="0"/>
        <v>#DIV/0!</v>
      </c>
      <c r="D57" s="74" t="e">
        <f t="shared" si="1"/>
        <v>#DIV/0!</v>
      </c>
      <c r="E57" s="74" t="e">
        <f>data1!B52*$B$6/E$6</f>
        <v>#DIV/0!</v>
      </c>
      <c r="F57" s="74" t="e">
        <f>data1!C52*$B$6/F$6</f>
        <v>#DIV/0!</v>
      </c>
      <c r="G57" s="74" t="e">
        <f>data1!D52*$B$6/G$6</f>
        <v>#DIV/0!</v>
      </c>
      <c r="H57" s="74" t="e">
        <f>data1!E52*$B$6/H$6</f>
        <v>#DIV/0!</v>
      </c>
      <c r="I57" s="74" t="e">
        <f>data1!F52*$B$6/I$6</f>
        <v>#DIV/0!</v>
      </c>
      <c r="J57" s="74" t="e">
        <f>data1!G52*$B$6/J$6</f>
        <v>#DIV/0!</v>
      </c>
      <c r="K57" s="74" t="e">
        <f>data1!H52*$B$6/K$6</f>
        <v>#DIV/0!</v>
      </c>
      <c r="L57" s="74" t="e">
        <f>data1!I52*$B$6/L$6</f>
        <v>#DIV/0!</v>
      </c>
      <c r="M57" s="74" t="e">
        <f>data1!J52*$B$6/M$6</f>
        <v>#DIV/0!</v>
      </c>
      <c r="N57" s="74" t="e">
        <f>data1!K52*$B$6/N$6</f>
        <v>#DIV/0!</v>
      </c>
      <c r="O57" s="74" t="e">
        <f>data1!L52*$B$6/O$6</f>
        <v>#DIV/0!</v>
      </c>
      <c r="P57" s="74" t="e">
        <f>data1!M52*$B$6/P$6</f>
        <v>#DIV/0!</v>
      </c>
      <c r="Q57" s="74" t="e">
        <f>data1!N52*$B$6/Q$6</f>
        <v>#DIV/0!</v>
      </c>
      <c r="R57" s="74" t="e">
        <f>data1!O52*$B$6/R$6</f>
        <v>#DIV/0!</v>
      </c>
      <c r="S57" s="74" t="e">
        <f>data1!P52*$B$6/S$6</f>
        <v>#DIV/0!</v>
      </c>
      <c r="T57" s="74" t="e">
        <f>data1!Q52*$B$6/T$6</f>
        <v>#DIV/0!</v>
      </c>
      <c r="U57" s="74" t="e">
        <f>data1!R52*$B$6/U$6</f>
        <v>#DIV/0!</v>
      </c>
      <c r="V57" s="74" t="e">
        <f>data1!S52*$B$6/V$6</f>
        <v>#DIV/0!</v>
      </c>
      <c r="W57" s="74" t="e">
        <f>data1!T52*$B$6/W$6</f>
        <v>#DIV/0!</v>
      </c>
      <c r="X57" s="74" t="e">
        <f>data1!U52*$B$6/X$6</f>
        <v>#DIV/0!</v>
      </c>
      <c r="Y57" s="74" t="e">
        <f>data1!V52*$B$6/Y$6</f>
        <v>#DIV/0!</v>
      </c>
      <c r="Z57" s="74" t="e">
        <f>data1!W52*$B$6/Z$6</f>
        <v>#DIV/0!</v>
      </c>
      <c r="AA57" s="74" t="e">
        <f>data1!X52*$B$6/AA$6</f>
        <v>#DIV/0!</v>
      </c>
      <c r="AB57" s="74" t="e">
        <f>data1!Y52*$B$6/AB$6</f>
        <v>#DIV/0!</v>
      </c>
      <c r="AC57" s="74" t="e">
        <f>data1!Z52*$B$6/AC$6</f>
        <v>#DIV/0!</v>
      </c>
      <c r="AD57" s="74" t="e">
        <f>data1!AA52*$B$6/AD$6</f>
        <v>#DIV/0!</v>
      </c>
      <c r="AE57" s="74" t="e">
        <f>data1!AB52*$B$6/AE$6</f>
        <v>#DIV/0!</v>
      </c>
      <c r="AF57" s="74" t="e">
        <f>data1!AC52*$B$6/AF$6</f>
        <v>#DIV/0!</v>
      </c>
      <c r="AG57" s="74" t="e">
        <f>data1!AD52*$B$6/AG$6</f>
        <v>#DIV/0!</v>
      </c>
      <c r="AH57" s="74" t="e">
        <f>data1!AE52*$B$6/AH$6</f>
        <v>#DIV/0!</v>
      </c>
      <c r="AI57" s="74" t="e">
        <f>data1!AF52*$B$6/AI$6</f>
        <v>#DIV/0!</v>
      </c>
      <c r="AJ57" s="74" t="e">
        <f>data1!AG52*$B$6/AJ$6</f>
        <v>#DIV/0!</v>
      </c>
    </row>
    <row r="58" spans="1:36">
      <c r="A58" s="29">
        <f>data0!A53</f>
        <v>63</v>
      </c>
      <c r="B58" s="74" t="e">
        <f>AVERAGE(data1!B53:AG53)</f>
        <v>#DIV/0!</v>
      </c>
      <c r="C58" s="74" t="e">
        <f t="shared" si="0"/>
        <v>#DIV/0!</v>
      </c>
      <c r="D58" s="74" t="e">
        <f t="shared" si="1"/>
        <v>#DIV/0!</v>
      </c>
      <c r="E58" s="74" t="e">
        <f>data1!B53*$B$6/E$6</f>
        <v>#DIV/0!</v>
      </c>
      <c r="F58" s="74" t="e">
        <f>data1!C53*$B$6/F$6</f>
        <v>#DIV/0!</v>
      </c>
      <c r="G58" s="74" t="e">
        <f>data1!D53*$B$6/G$6</f>
        <v>#DIV/0!</v>
      </c>
      <c r="H58" s="74" t="e">
        <f>data1!E53*$B$6/H$6</f>
        <v>#DIV/0!</v>
      </c>
      <c r="I58" s="74" t="e">
        <f>data1!F53*$B$6/I$6</f>
        <v>#DIV/0!</v>
      </c>
      <c r="J58" s="74" t="e">
        <f>data1!G53*$B$6/J$6</f>
        <v>#DIV/0!</v>
      </c>
      <c r="K58" s="74" t="e">
        <f>data1!H53*$B$6/K$6</f>
        <v>#DIV/0!</v>
      </c>
      <c r="L58" s="74" t="e">
        <f>data1!I53*$B$6/L$6</f>
        <v>#DIV/0!</v>
      </c>
      <c r="M58" s="74" t="e">
        <f>data1!J53*$B$6/M$6</f>
        <v>#DIV/0!</v>
      </c>
      <c r="N58" s="74" t="e">
        <f>data1!K53*$B$6/N$6</f>
        <v>#DIV/0!</v>
      </c>
      <c r="O58" s="74" t="e">
        <f>data1!L53*$B$6/O$6</f>
        <v>#DIV/0!</v>
      </c>
      <c r="P58" s="74" t="e">
        <f>data1!M53*$B$6/P$6</f>
        <v>#DIV/0!</v>
      </c>
      <c r="Q58" s="74" t="e">
        <f>data1!N53*$B$6/Q$6</f>
        <v>#DIV/0!</v>
      </c>
      <c r="R58" s="74" t="e">
        <f>data1!O53*$B$6/R$6</f>
        <v>#DIV/0!</v>
      </c>
      <c r="S58" s="74" t="e">
        <f>data1!P53*$B$6/S$6</f>
        <v>#DIV/0!</v>
      </c>
      <c r="T58" s="74" t="e">
        <f>data1!Q53*$B$6/T$6</f>
        <v>#DIV/0!</v>
      </c>
      <c r="U58" s="74" t="e">
        <f>data1!R53*$B$6/U$6</f>
        <v>#DIV/0!</v>
      </c>
      <c r="V58" s="74" t="e">
        <f>data1!S53*$B$6/V$6</f>
        <v>#DIV/0!</v>
      </c>
      <c r="W58" s="74" t="e">
        <f>data1!T53*$B$6/W$6</f>
        <v>#DIV/0!</v>
      </c>
      <c r="X58" s="74" t="e">
        <f>data1!U53*$B$6/X$6</f>
        <v>#DIV/0!</v>
      </c>
      <c r="Y58" s="74" t="e">
        <f>data1!V53*$B$6/Y$6</f>
        <v>#DIV/0!</v>
      </c>
      <c r="Z58" s="74" t="e">
        <f>data1!W53*$B$6/Z$6</f>
        <v>#DIV/0!</v>
      </c>
      <c r="AA58" s="74" t="e">
        <f>data1!X53*$B$6/AA$6</f>
        <v>#DIV/0!</v>
      </c>
      <c r="AB58" s="74" t="e">
        <f>data1!Y53*$B$6/AB$6</f>
        <v>#DIV/0!</v>
      </c>
      <c r="AC58" s="74" t="e">
        <f>data1!Z53*$B$6/AC$6</f>
        <v>#DIV/0!</v>
      </c>
      <c r="AD58" s="74" t="e">
        <f>data1!AA53*$B$6/AD$6</f>
        <v>#DIV/0!</v>
      </c>
      <c r="AE58" s="74" t="e">
        <f>data1!AB53*$B$6/AE$6</f>
        <v>#DIV/0!</v>
      </c>
      <c r="AF58" s="74" t="e">
        <f>data1!AC53*$B$6/AF$6</f>
        <v>#DIV/0!</v>
      </c>
      <c r="AG58" s="74" t="e">
        <f>data1!AD53*$B$6/AG$6</f>
        <v>#DIV/0!</v>
      </c>
      <c r="AH58" s="74" t="e">
        <f>data1!AE53*$B$6/AH$6</f>
        <v>#DIV/0!</v>
      </c>
      <c r="AI58" s="74" t="e">
        <f>data1!AF53*$B$6/AI$6</f>
        <v>#DIV/0!</v>
      </c>
      <c r="AJ58" s="74" t="e">
        <f>data1!AG53*$B$6/AJ$6</f>
        <v>#DIV/0!</v>
      </c>
    </row>
    <row r="59" spans="1:36">
      <c r="A59" s="29">
        <f>data0!A54</f>
        <v>66</v>
      </c>
      <c r="B59" s="74" t="e">
        <f>AVERAGE(data1!B54:AG54)</f>
        <v>#DIV/0!</v>
      </c>
      <c r="C59" s="74" t="e">
        <f t="shared" si="0"/>
        <v>#DIV/0!</v>
      </c>
      <c r="D59" s="74" t="e">
        <f t="shared" si="1"/>
        <v>#DIV/0!</v>
      </c>
      <c r="E59" s="74" t="e">
        <f>data1!B54*$B$6/E$6</f>
        <v>#DIV/0!</v>
      </c>
      <c r="F59" s="74" t="e">
        <f>data1!C54*$B$6/F$6</f>
        <v>#DIV/0!</v>
      </c>
      <c r="G59" s="74" t="e">
        <f>data1!D54*$B$6/G$6</f>
        <v>#DIV/0!</v>
      </c>
      <c r="H59" s="74" t="e">
        <f>data1!E54*$B$6/H$6</f>
        <v>#DIV/0!</v>
      </c>
      <c r="I59" s="74" t="e">
        <f>data1!F54*$B$6/I$6</f>
        <v>#DIV/0!</v>
      </c>
      <c r="J59" s="74" t="e">
        <f>data1!G54*$B$6/J$6</f>
        <v>#DIV/0!</v>
      </c>
      <c r="K59" s="74" t="e">
        <f>data1!H54*$B$6/K$6</f>
        <v>#DIV/0!</v>
      </c>
      <c r="L59" s="74" t="e">
        <f>data1!I54*$B$6/L$6</f>
        <v>#DIV/0!</v>
      </c>
      <c r="M59" s="74" t="e">
        <f>data1!J54*$B$6/M$6</f>
        <v>#DIV/0!</v>
      </c>
      <c r="N59" s="74" t="e">
        <f>data1!K54*$B$6/N$6</f>
        <v>#DIV/0!</v>
      </c>
      <c r="O59" s="74" t="e">
        <f>data1!L54*$B$6/O$6</f>
        <v>#DIV/0!</v>
      </c>
      <c r="P59" s="74" t="e">
        <f>data1!M54*$B$6/P$6</f>
        <v>#DIV/0!</v>
      </c>
      <c r="Q59" s="74" t="e">
        <f>data1!N54*$B$6/Q$6</f>
        <v>#DIV/0!</v>
      </c>
      <c r="R59" s="74" t="e">
        <f>data1!O54*$B$6/R$6</f>
        <v>#DIV/0!</v>
      </c>
      <c r="S59" s="74" t="e">
        <f>data1!P54*$B$6/S$6</f>
        <v>#DIV/0!</v>
      </c>
      <c r="T59" s="74" t="e">
        <f>data1!Q54*$B$6/T$6</f>
        <v>#DIV/0!</v>
      </c>
      <c r="U59" s="74" t="e">
        <f>data1!R54*$B$6/U$6</f>
        <v>#DIV/0!</v>
      </c>
      <c r="V59" s="74" t="e">
        <f>data1!S54*$B$6/V$6</f>
        <v>#DIV/0!</v>
      </c>
      <c r="W59" s="74" t="e">
        <f>data1!T54*$B$6/W$6</f>
        <v>#DIV/0!</v>
      </c>
      <c r="X59" s="74" t="e">
        <f>data1!U54*$B$6/X$6</f>
        <v>#DIV/0!</v>
      </c>
      <c r="Y59" s="74" t="e">
        <f>data1!V54*$B$6/Y$6</f>
        <v>#DIV/0!</v>
      </c>
      <c r="Z59" s="74" t="e">
        <f>data1!W54*$B$6/Z$6</f>
        <v>#DIV/0!</v>
      </c>
      <c r="AA59" s="74" t="e">
        <f>data1!X54*$B$6/AA$6</f>
        <v>#DIV/0!</v>
      </c>
      <c r="AB59" s="74" t="e">
        <f>data1!Y54*$B$6/AB$6</f>
        <v>#DIV/0!</v>
      </c>
      <c r="AC59" s="74" t="e">
        <f>data1!Z54*$B$6/AC$6</f>
        <v>#DIV/0!</v>
      </c>
      <c r="AD59" s="74" t="e">
        <f>data1!AA54*$B$6/AD$6</f>
        <v>#DIV/0!</v>
      </c>
      <c r="AE59" s="74" t="e">
        <f>data1!AB54*$B$6/AE$6</f>
        <v>#DIV/0!</v>
      </c>
      <c r="AF59" s="74" t="e">
        <f>data1!AC54*$B$6/AF$6</f>
        <v>#DIV/0!</v>
      </c>
      <c r="AG59" s="74" t="e">
        <f>data1!AD54*$B$6/AG$6</f>
        <v>#DIV/0!</v>
      </c>
      <c r="AH59" s="74" t="e">
        <f>data1!AE54*$B$6/AH$6</f>
        <v>#DIV/0!</v>
      </c>
      <c r="AI59" s="74" t="e">
        <f>data1!AF54*$B$6/AI$6</f>
        <v>#DIV/0!</v>
      </c>
      <c r="AJ59" s="74" t="e">
        <f>data1!AG54*$B$6/AJ$6</f>
        <v>#DIV/0!</v>
      </c>
    </row>
    <row r="60" spans="1:36">
      <c r="A60" s="29">
        <f>data0!A55</f>
        <v>69</v>
      </c>
      <c r="B60" s="74" t="e">
        <f>AVERAGE(data1!B55:AG55)</f>
        <v>#DIV/0!</v>
      </c>
      <c r="C60" s="74" t="e">
        <f t="shared" si="0"/>
        <v>#DIV/0!</v>
      </c>
      <c r="D60" s="74" t="e">
        <f t="shared" si="1"/>
        <v>#DIV/0!</v>
      </c>
      <c r="E60" s="74" t="e">
        <f>data1!B55*$B$6/E$6</f>
        <v>#DIV/0!</v>
      </c>
      <c r="F60" s="74" t="e">
        <f>data1!C55*$B$6/F$6</f>
        <v>#DIV/0!</v>
      </c>
      <c r="G60" s="74" t="e">
        <f>data1!D55*$B$6/G$6</f>
        <v>#DIV/0!</v>
      </c>
      <c r="H60" s="74" t="e">
        <f>data1!E55*$B$6/H$6</f>
        <v>#DIV/0!</v>
      </c>
      <c r="I60" s="74" t="e">
        <f>data1!F55*$B$6/I$6</f>
        <v>#DIV/0!</v>
      </c>
      <c r="J60" s="74" t="e">
        <f>data1!G55*$B$6/J$6</f>
        <v>#DIV/0!</v>
      </c>
      <c r="K60" s="74" t="e">
        <f>data1!H55*$B$6/K$6</f>
        <v>#DIV/0!</v>
      </c>
      <c r="L60" s="74" t="e">
        <f>data1!I55*$B$6/L$6</f>
        <v>#DIV/0!</v>
      </c>
      <c r="M60" s="74" t="e">
        <f>data1!J55*$B$6/M$6</f>
        <v>#DIV/0!</v>
      </c>
      <c r="N60" s="74" t="e">
        <f>data1!K55*$B$6/N$6</f>
        <v>#DIV/0!</v>
      </c>
      <c r="O60" s="74" t="e">
        <f>data1!L55*$B$6/O$6</f>
        <v>#DIV/0!</v>
      </c>
      <c r="P60" s="74" t="e">
        <f>data1!M55*$B$6/P$6</f>
        <v>#DIV/0!</v>
      </c>
      <c r="Q60" s="74" t="e">
        <f>data1!N55*$B$6/Q$6</f>
        <v>#DIV/0!</v>
      </c>
      <c r="R60" s="74" t="e">
        <f>data1!O55*$B$6/R$6</f>
        <v>#DIV/0!</v>
      </c>
      <c r="S60" s="74" t="e">
        <f>data1!P55*$B$6/S$6</f>
        <v>#DIV/0!</v>
      </c>
      <c r="T60" s="74" t="e">
        <f>data1!Q55*$B$6/T$6</f>
        <v>#DIV/0!</v>
      </c>
      <c r="U60" s="74" t="e">
        <f>data1!R55*$B$6/U$6</f>
        <v>#DIV/0!</v>
      </c>
      <c r="V60" s="74" t="e">
        <f>data1!S55*$B$6/V$6</f>
        <v>#DIV/0!</v>
      </c>
      <c r="W60" s="74" t="e">
        <f>data1!T55*$B$6/W$6</f>
        <v>#DIV/0!</v>
      </c>
      <c r="X60" s="74" t="e">
        <f>data1!U55*$B$6/X$6</f>
        <v>#DIV/0!</v>
      </c>
      <c r="Y60" s="74" t="e">
        <f>data1!V55*$B$6/Y$6</f>
        <v>#DIV/0!</v>
      </c>
      <c r="Z60" s="74" t="e">
        <f>data1!W55*$B$6/Z$6</f>
        <v>#DIV/0!</v>
      </c>
      <c r="AA60" s="74" t="e">
        <f>data1!X55*$B$6/AA$6</f>
        <v>#DIV/0!</v>
      </c>
      <c r="AB60" s="74" t="e">
        <f>data1!Y55*$B$6/AB$6</f>
        <v>#DIV/0!</v>
      </c>
      <c r="AC60" s="74" t="e">
        <f>data1!Z55*$B$6/AC$6</f>
        <v>#DIV/0!</v>
      </c>
      <c r="AD60" s="74" t="e">
        <f>data1!AA55*$B$6/AD$6</f>
        <v>#DIV/0!</v>
      </c>
      <c r="AE60" s="74" t="e">
        <f>data1!AB55*$B$6/AE$6</f>
        <v>#DIV/0!</v>
      </c>
      <c r="AF60" s="74" t="e">
        <f>data1!AC55*$B$6/AF$6</f>
        <v>#DIV/0!</v>
      </c>
      <c r="AG60" s="74" t="e">
        <f>data1!AD55*$B$6/AG$6</f>
        <v>#DIV/0!</v>
      </c>
      <c r="AH60" s="74" t="e">
        <f>data1!AE55*$B$6/AH$6</f>
        <v>#DIV/0!</v>
      </c>
      <c r="AI60" s="74" t="e">
        <f>data1!AF55*$B$6/AI$6</f>
        <v>#DIV/0!</v>
      </c>
      <c r="AJ60" s="74" t="e">
        <f>data1!AG55*$B$6/AJ$6</f>
        <v>#DIV/0!</v>
      </c>
    </row>
    <row r="61" spans="1:36">
      <c r="A61" s="29">
        <f>data0!A56</f>
        <v>72</v>
      </c>
      <c r="B61" s="74" t="e">
        <f>AVERAGE(data1!B56:AG56)</f>
        <v>#DIV/0!</v>
      </c>
      <c r="C61" s="74" t="e">
        <f t="shared" si="0"/>
        <v>#DIV/0!</v>
      </c>
      <c r="D61" s="74" t="e">
        <f t="shared" si="1"/>
        <v>#DIV/0!</v>
      </c>
      <c r="E61" s="74" t="e">
        <f>data1!B56*$B$6/E$6</f>
        <v>#DIV/0!</v>
      </c>
      <c r="F61" s="74" t="e">
        <f>data1!C56*$B$6/F$6</f>
        <v>#DIV/0!</v>
      </c>
      <c r="G61" s="74" t="e">
        <f>data1!D56*$B$6/G$6</f>
        <v>#DIV/0!</v>
      </c>
      <c r="H61" s="74" t="e">
        <f>data1!E56*$B$6/H$6</f>
        <v>#DIV/0!</v>
      </c>
      <c r="I61" s="74" t="e">
        <f>data1!F56*$B$6/I$6</f>
        <v>#DIV/0!</v>
      </c>
      <c r="J61" s="74" t="e">
        <f>data1!G56*$B$6/J$6</f>
        <v>#DIV/0!</v>
      </c>
      <c r="K61" s="74" t="e">
        <f>data1!H56*$B$6/K$6</f>
        <v>#DIV/0!</v>
      </c>
      <c r="L61" s="74" t="e">
        <f>data1!I56*$B$6/L$6</f>
        <v>#DIV/0!</v>
      </c>
      <c r="M61" s="74" t="e">
        <f>data1!J56*$B$6/M$6</f>
        <v>#DIV/0!</v>
      </c>
      <c r="N61" s="74" t="e">
        <f>data1!K56*$B$6/N$6</f>
        <v>#DIV/0!</v>
      </c>
      <c r="O61" s="74" t="e">
        <f>data1!L56*$B$6/O$6</f>
        <v>#DIV/0!</v>
      </c>
      <c r="P61" s="74" t="e">
        <f>data1!M56*$B$6/P$6</f>
        <v>#DIV/0!</v>
      </c>
      <c r="Q61" s="74" t="e">
        <f>data1!N56*$B$6/Q$6</f>
        <v>#DIV/0!</v>
      </c>
      <c r="R61" s="74" t="e">
        <f>data1!O56*$B$6/R$6</f>
        <v>#DIV/0!</v>
      </c>
      <c r="S61" s="74" t="e">
        <f>data1!P56*$B$6/S$6</f>
        <v>#DIV/0!</v>
      </c>
      <c r="T61" s="74" t="e">
        <f>data1!Q56*$B$6/T$6</f>
        <v>#DIV/0!</v>
      </c>
      <c r="U61" s="74" t="e">
        <f>data1!R56*$B$6/U$6</f>
        <v>#DIV/0!</v>
      </c>
      <c r="V61" s="74" t="e">
        <f>data1!S56*$B$6/V$6</f>
        <v>#DIV/0!</v>
      </c>
      <c r="W61" s="74" t="e">
        <f>data1!T56*$B$6/W$6</f>
        <v>#DIV/0!</v>
      </c>
      <c r="X61" s="74" t="e">
        <f>data1!U56*$B$6/X$6</f>
        <v>#DIV/0!</v>
      </c>
      <c r="Y61" s="74" t="e">
        <f>data1!V56*$B$6/Y$6</f>
        <v>#DIV/0!</v>
      </c>
      <c r="Z61" s="74" t="e">
        <f>data1!W56*$B$6/Z$6</f>
        <v>#DIV/0!</v>
      </c>
      <c r="AA61" s="74" t="e">
        <f>data1!X56*$B$6/AA$6</f>
        <v>#DIV/0!</v>
      </c>
      <c r="AB61" s="74" t="e">
        <f>data1!Y56*$B$6/AB$6</f>
        <v>#DIV/0!</v>
      </c>
      <c r="AC61" s="74" t="e">
        <f>data1!Z56*$B$6/AC$6</f>
        <v>#DIV/0!</v>
      </c>
      <c r="AD61" s="74" t="e">
        <f>data1!AA56*$B$6/AD$6</f>
        <v>#DIV/0!</v>
      </c>
      <c r="AE61" s="74" t="e">
        <f>data1!AB56*$B$6/AE$6</f>
        <v>#DIV/0!</v>
      </c>
      <c r="AF61" s="74" t="e">
        <f>data1!AC56*$B$6/AF$6</f>
        <v>#DIV/0!</v>
      </c>
      <c r="AG61" s="74" t="e">
        <f>data1!AD56*$B$6/AG$6</f>
        <v>#DIV/0!</v>
      </c>
      <c r="AH61" s="74" t="e">
        <f>data1!AE56*$B$6/AH$6</f>
        <v>#DIV/0!</v>
      </c>
      <c r="AI61" s="74" t="e">
        <f>data1!AF56*$B$6/AI$6</f>
        <v>#DIV/0!</v>
      </c>
      <c r="AJ61" s="74" t="e">
        <f>data1!AG56*$B$6/AJ$6</f>
        <v>#DIV/0!</v>
      </c>
    </row>
    <row r="62" spans="1:36">
      <c r="A62" s="29">
        <f>data0!A57</f>
        <v>75</v>
      </c>
      <c r="B62" s="74" t="e">
        <f>AVERAGE(data1!B57:AG57)</f>
        <v>#DIV/0!</v>
      </c>
      <c r="C62" s="74" t="e">
        <f t="shared" si="0"/>
        <v>#DIV/0!</v>
      </c>
      <c r="D62" s="74" t="e">
        <f t="shared" si="1"/>
        <v>#DIV/0!</v>
      </c>
      <c r="E62" s="74" t="e">
        <f>data1!B57*$B$6/E$6</f>
        <v>#DIV/0!</v>
      </c>
      <c r="F62" s="74" t="e">
        <f>data1!C57*$B$6/F$6</f>
        <v>#DIV/0!</v>
      </c>
      <c r="G62" s="74" t="e">
        <f>data1!D57*$B$6/G$6</f>
        <v>#DIV/0!</v>
      </c>
      <c r="H62" s="74" t="e">
        <f>data1!E57*$B$6/H$6</f>
        <v>#DIV/0!</v>
      </c>
      <c r="I62" s="74" t="e">
        <f>data1!F57*$B$6/I$6</f>
        <v>#DIV/0!</v>
      </c>
      <c r="J62" s="74" t="e">
        <f>data1!G57*$B$6/J$6</f>
        <v>#DIV/0!</v>
      </c>
      <c r="K62" s="74" t="e">
        <f>data1!H57*$B$6/K$6</f>
        <v>#DIV/0!</v>
      </c>
      <c r="L62" s="74" t="e">
        <f>data1!I57*$B$6/L$6</f>
        <v>#DIV/0!</v>
      </c>
      <c r="M62" s="74" t="e">
        <f>data1!J57*$B$6/M$6</f>
        <v>#DIV/0!</v>
      </c>
      <c r="N62" s="74" t="e">
        <f>data1!K57*$B$6/N$6</f>
        <v>#DIV/0!</v>
      </c>
      <c r="O62" s="74" t="e">
        <f>data1!L57*$B$6/O$6</f>
        <v>#DIV/0!</v>
      </c>
      <c r="P62" s="74" t="e">
        <f>data1!M57*$B$6/P$6</f>
        <v>#DIV/0!</v>
      </c>
      <c r="Q62" s="74" t="e">
        <f>data1!N57*$B$6/Q$6</f>
        <v>#DIV/0!</v>
      </c>
      <c r="R62" s="74" t="e">
        <f>data1!O57*$B$6/R$6</f>
        <v>#DIV/0!</v>
      </c>
      <c r="S62" s="74" t="e">
        <f>data1!P57*$B$6/S$6</f>
        <v>#DIV/0!</v>
      </c>
      <c r="T62" s="74" t="e">
        <f>data1!Q57*$B$6/T$6</f>
        <v>#DIV/0!</v>
      </c>
      <c r="U62" s="74" t="e">
        <f>data1!R57*$B$6/U$6</f>
        <v>#DIV/0!</v>
      </c>
      <c r="V62" s="74" t="e">
        <f>data1!S57*$B$6/V$6</f>
        <v>#DIV/0!</v>
      </c>
      <c r="W62" s="74" t="e">
        <f>data1!T57*$B$6/W$6</f>
        <v>#DIV/0!</v>
      </c>
      <c r="X62" s="74" t="e">
        <f>data1!U57*$B$6/X$6</f>
        <v>#DIV/0!</v>
      </c>
      <c r="Y62" s="74" t="e">
        <f>data1!V57*$B$6/Y$6</f>
        <v>#DIV/0!</v>
      </c>
      <c r="Z62" s="74" t="e">
        <f>data1!W57*$B$6/Z$6</f>
        <v>#DIV/0!</v>
      </c>
      <c r="AA62" s="74" t="e">
        <f>data1!X57*$B$6/AA$6</f>
        <v>#DIV/0!</v>
      </c>
      <c r="AB62" s="74" t="e">
        <f>data1!Y57*$B$6/AB$6</f>
        <v>#DIV/0!</v>
      </c>
      <c r="AC62" s="74" t="e">
        <f>data1!Z57*$B$6/AC$6</f>
        <v>#DIV/0!</v>
      </c>
      <c r="AD62" s="74" t="e">
        <f>data1!AA57*$B$6/AD$6</f>
        <v>#DIV/0!</v>
      </c>
      <c r="AE62" s="74" t="e">
        <f>data1!AB57*$B$6/AE$6</f>
        <v>#DIV/0!</v>
      </c>
      <c r="AF62" s="74" t="e">
        <f>data1!AC57*$B$6/AF$6</f>
        <v>#DIV/0!</v>
      </c>
      <c r="AG62" s="74" t="e">
        <f>data1!AD57*$B$6/AG$6</f>
        <v>#DIV/0!</v>
      </c>
      <c r="AH62" s="74" t="e">
        <f>data1!AE57*$B$6/AH$6</f>
        <v>#DIV/0!</v>
      </c>
      <c r="AI62" s="74" t="e">
        <f>data1!AF57*$B$6/AI$6</f>
        <v>#DIV/0!</v>
      </c>
      <c r="AJ62" s="74" t="e">
        <f>data1!AG57*$B$6/AJ$6</f>
        <v>#DIV/0!</v>
      </c>
    </row>
    <row r="63" spans="1:36">
      <c r="A63" s="29">
        <f>data0!A58</f>
        <v>78</v>
      </c>
      <c r="B63" s="74" t="e">
        <f>AVERAGE(data1!B58:AG58)</f>
        <v>#DIV/0!</v>
      </c>
      <c r="C63" s="74" t="e">
        <f t="shared" si="0"/>
        <v>#DIV/0!</v>
      </c>
      <c r="D63" s="74" t="e">
        <f t="shared" si="1"/>
        <v>#DIV/0!</v>
      </c>
      <c r="E63" s="74" t="e">
        <f>data1!B58*$B$6/E$6</f>
        <v>#DIV/0!</v>
      </c>
      <c r="F63" s="74" t="e">
        <f>data1!C58*$B$6/F$6</f>
        <v>#DIV/0!</v>
      </c>
      <c r="G63" s="74" t="e">
        <f>data1!D58*$B$6/G$6</f>
        <v>#DIV/0!</v>
      </c>
      <c r="H63" s="74" t="e">
        <f>data1!E58*$B$6/H$6</f>
        <v>#DIV/0!</v>
      </c>
      <c r="I63" s="74" t="e">
        <f>data1!F58*$B$6/I$6</f>
        <v>#DIV/0!</v>
      </c>
      <c r="J63" s="74" t="e">
        <f>data1!G58*$B$6/J$6</f>
        <v>#DIV/0!</v>
      </c>
      <c r="K63" s="74" t="e">
        <f>data1!H58*$B$6/K$6</f>
        <v>#DIV/0!</v>
      </c>
      <c r="L63" s="74" t="e">
        <f>data1!I58*$B$6/L$6</f>
        <v>#DIV/0!</v>
      </c>
      <c r="M63" s="74" t="e">
        <f>data1!J58*$B$6/M$6</f>
        <v>#DIV/0!</v>
      </c>
      <c r="N63" s="74" t="e">
        <f>data1!K58*$B$6/N$6</f>
        <v>#DIV/0!</v>
      </c>
      <c r="O63" s="74" t="e">
        <f>data1!L58*$B$6/O$6</f>
        <v>#DIV/0!</v>
      </c>
      <c r="P63" s="74" t="e">
        <f>data1!M58*$B$6/P$6</f>
        <v>#DIV/0!</v>
      </c>
      <c r="Q63" s="74" t="e">
        <f>data1!N58*$B$6/Q$6</f>
        <v>#DIV/0!</v>
      </c>
      <c r="R63" s="74" t="e">
        <f>data1!O58*$B$6/R$6</f>
        <v>#DIV/0!</v>
      </c>
      <c r="S63" s="74" t="e">
        <f>data1!P58*$B$6/S$6</f>
        <v>#DIV/0!</v>
      </c>
      <c r="T63" s="74" t="e">
        <f>data1!Q58*$B$6/T$6</f>
        <v>#DIV/0!</v>
      </c>
      <c r="U63" s="74" t="e">
        <f>data1!R58*$B$6/U$6</f>
        <v>#DIV/0!</v>
      </c>
      <c r="V63" s="74" t="e">
        <f>data1!S58*$B$6/V$6</f>
        <v>#DIV/0!</v>
      </c>
      <c r="W63" s="74" t="e">
        <f>data1!T58*$B$6/W$6</f>
        <v>#DIV/0!</v>
      </c>
      <c r="X63" s="74" t="e">
        <f>data1!U58*$B$6/X$6</f>
        <v>#DIV/0!</v>
      </c>
      <c r="Y63" s="74" t="e">
        <f>data1!V58*$B$6/Y$6</f>
        <v>#DIV/0!</v>
      </c>
      <c r="Z63" s="74" t="e">
        <f>data1!W58*$B$6/Z$6</f>
        <v>#DIV/0!</v>
      </c>
      <c r="AA63" s="74" t="e">
        <f>data1!X58*$B$6/AA$6</f>
        <v>#DIV/0!</v>
      </c>
      <c r="AB63" s="74" t="e">
        <f>data1!Y58*$B$6/AB$6</f>
        <v>#DIV/0!</v>
      </c>
      <c r="AC63" s="74" t="e">
        <f>data1!Z58*$B$6/AC$6</f>
        <v>#DIV/0!</v>
      </c>
      <c r="AD63" s="74" t="e">
        <f>data1!AA58*$B$6/AD$6</f>
        <v>#DIV/0!</v>
      </c>
      <c r="AE63" s="74" t="e">
        <f>data1!AB58*$B$6/AE$6</f>
        <v>#DIV/0!</v>
      </c>
      <c r="AF63" s="74" t="e">
        <f>data1!AC58*$B$6/AF$6</f>
        <v>#DIV/0!</v>
      </c>
      <c r="AG63" s="74" t="e">
        <f>data1!AD58*$B$6/AG$6</f>
        <v>#DIV/0!</v>
      </c>
      <c r="AH63" s="74" t="e">
        <f>data1!AE58*$B$6/AH$6</f>
        <v>#DIV/0!</v>
      </c>
      <c r="AI63" s="74" t="e">
        <f>data1!AF58*$B$6/AI$6</f>
        <v>#DIV/0!</v>
      </c>
      <c r="AJ63" s="74" t="e">
        <f>data1!AG58*$B$6/AJ$6</f>
        <v>#DIV/0!</v>
      </c>
    </row>
    <row r="64" spans="1:36">
      <c r="A64" s="29">
        <f>data0!A59</f>
        <v>81</v>
      </c>
      <c r="B64" s="74" t="e">
        <f>AVERAGE(data1!B59:AG59)</f>
        <v>#DIV/0!</v>
      </c>
      <c r="C64" s="74" t="e">
        <f t="shared" si="0"/>
        <v>#DIV/0!</v>
      </c>
      <c r="D64" s="74" t="e">
        <f t="shared" si="1"/>
        <v>#DIV/0!</v>
      </c>
      <c r="E64" s="74" t="e">
        <f>data1!B59*$B$6/E$6</f>
        <v>#DIV/0!</v>
      </c>
      <c r="F64" s="74" t="e">
        <f>data1!C59*$B$6/F$6</f>
        <v>#DIV/0!</v>
      </c>
      <c r="G64" s="74" t="e">
        <f>data1!D59*$B$6/G$6</f>
        <v>#DIV/0!</v>
      </c>
      <c r="H64" s="74" t="e">
        <f>data1!E59*$B$6/H$6</f>
        <v>#DIV/0!</v>
      </c>
      <c r="I64" s="74" t="e">
        <f>data1!F59*$B$6/I$6</f>
        <v>#DIV/0!</v>
      </c>
      <c r="J64" s="74" t="e">
        <f>data1!G59*$B$6/J$6</f>
        <v>#DIV/0!</v>
      </c>
      <c r="K64" s="74" t="e">
        <f>data1!H59*$B$6/K$6</f>
        <v>#DIV/0!</v>
      </c>
      <c r="L64" s="74" t="e">
        <f>data1!I59*$B$6/L$6</f>
        <v>#DIV/0!</v>
      </c>
      <c r="M64" s="74" t="e">
        <f>data1!J59*$B$6/M$6</f>
        <v>#DIV/0!</v>
      </c>
      <c r="N64" s="74" t="e">
        <f>data1!K59*$B$6/N$6</f>
        <v>#DIV/0!</v>
      </c>
      <c r="O64" s="74" t="e">
        <f>data1!L59*$B$6/O$6</f>
        <v>#DIV/0!</v>
      </c>
      <c r="P64" s="74" t="e">
        <f>data1!M59*$B$6/P$6</f>
        <v>#DIV/0!</v>
      </c>
      <c r="Q64" s="74" t="e">
        <f>data1!N59*$B$6/Q$6</f>
        <v>#DIV/0!</v>
      </c>
      <c r="R64" s="74" t="e">
        <f>data1!O59*$B$6/R$6</f>
        <v>#DIV/0!</v>
      </c>
      <c r="S64" s="74" t="e">
        <f>data1!P59*$B$6/S$6</f>
        <v>#DIV/0!</v>
      </c>
      <c r="T64" s="74" t="e">
        <f>data1!Q59*$B$6/T$6</f>
        <v>#DIV/0!</v>
      </c>
      <c r="U64" s="74" t="e">
        <f>data1!R59*$B$6/U$6</f>
        <v>#DIV/0!</v>
      </c>
      <c r="V64" s="74" t="e">
        <f>data1!S59*$B$6/V$6</f>
        <v>#DIV/0!</v>
      </c>
      <c r="W64" s="74" t="e">
        <f>data1!T59*$B$6/W$6</f>
        <v>#DIV/0!</v>
      </c>
      <c r="X64" s="74" t="e">
        <f>data1!U59*$B$6/X$6</f>
        <v>#DIV/0!</v>
      </c>
      <c r="Y64" s="74" t="e">
        <f>data1!V59*$B$6/Y$6</f>
        <v>#DIV/0!</v>
      </c>
      <c r="Z64" s="74" t="e">
        <f>data1!W59*$B$6/Z$6</f>
        <v>#DIV/0!</v>
      </c>
      <c r="AA64" s="74" t="e">
        <f>data1!X59*$B$6/AA$6</f>
        <v>#DIV/0!</v>
      </c>
      <c r="AB64" s="74" t="e">
        <f>data1!Y59*$B$6/AB$6</f>
        <v>#DIV/0!</v>
      </c>
      <c r="AC64" s="74" t="e">
        <f>data1!Z59*$B$6/AC$6</f>
        <v>#DIV/0!</v>
      </c>
      <c r="AD64" s="74" t="e">
        <f>data1!AA59*$B$6/AD$6</f>
        <v>#DIV/0!</v>
      </c>
      <c r="AE64" s="74" t="e">
        <f>data1!AB59*$B$6/AE$6</f>
        <v>#DIV/0!</v>
      </c>
      <c r="AF64" s="74" t="e">
        <f>data1!AC59*$B$6/AF$6</f>
        <v>#DIV/0!</v>
      </c>
      <c r="AG64" s="74" t="e">
        <f>data1!AD59*$B$6/AG$6</f>
        <v>#DIV/0!</v>
      </c>
      <c r="AH64" s="74" t="e">
        <f>data1!AE59*$B$6/AH$6</f>
        <v>#DIV/0!</v>
      </c>
      <c r="AI64" s="74" t="e">
        <f>data1!AF59*$B$6/AI$6</f>
        <v>#DIV/0!</v>
      </c>
      <c r="AJ64" s="74" t="e">
        <f>data1!AG59*$B$6/AJ$6</f>
        <v>#DIV/0!</v>
      </c>
    </row>
    <row r="65" spans="1:36">
      <c r="A65" s="29">
        <f>data0!A60</f>
        <v>84</v>
      </c>
      <c r="B65" s="74" t="e">
        <f>AVERAGE(data1!B60:AG60)</f>
        <v>#DIV/0!</v>
      </c>
      <c r="C65" s="74" t="e">
        <f t="shared" si="0"/>
        <v>#DIV/0!</v>
      </c>
      <c r="D65" s="74" t="e">
        <f t="shared" si="1"/>
        <v>#DIV/0!</v>
      </c>
      <c r="E65" s="74" t="e">
        <f>data1!B60*$B$6/E$6</f>
        <v>#DIV/0!</v>
      </c>
      <c r="F65" s="74" t="e">
        <f>data1!C60*$B$6/F$6</f>
        <v>#DIV/0!</v>
      </c>
      <c r="G65" s="74" t="e">
        <f>data1!D60*$B$6/G$6</f>
        <v>#DIV/0!</v>
      </c>
      <c r="H65" s="74" t="e">
        <f>data1!E60*$B$6/H$6</f>
        <v>#DIV/0!</v>
      </c>
      <c r="I65" s="74" t="e">
        <f>data1!F60*$B$6/I$6</f>
        <v>#DIV/0!</v>
      </c>
      <c r="J65" s="74" t="e">
        <f>data1!G60*$B$6/J$6</f>
        <v>#DIV/0!</v>
      </c>
      <c r="K65" s="74" t="e">
        <f>data1!H60*$B$6/K$6</f>
        <v>#DIV/0!</v>
      </c>
      <c r="L65" s="74" t="e">
        <f>data1!I60*$B$6/L$6</f>
        <v>#DIV/0!</v>
      </c>
      <c r="M65" s="74" t="e">
        <f>data1!J60*$B$6/M$6</f>
        <v>#DIV/0!</v>
      </c>
      <c r="N65" s="74" t="e">
        <f>data1!K60*$B$6/N$6</f>
        <v>#DIV/0!</v>
      </c>
      <c r="O65" s="74" t="e">
        <f>data1!L60*$B$6/O$6</f>
        <v>#DIV/0!</v>
      </c>
      <c r="P65" s="74" t="e">
        <f>data1!M60*$B$6/P$6</f>
        <v>#DIV/0!</v>
      </c>
      <c r="Q65" s="74" t="e">
        <f>data1!N60*$B$6/Q$6</f>
        <v>#DIV/0!</v>
      </c>
      <c r="R65" s="74" t="e">
        <f>data1!O60*$B$6/R$6</f>
        <v>#DIV/0!</v>
      </c>
      <c r="S65" s="74" t="e">
        <f>data1!P60*$B$6/S$6</f>
        <v>#DIV/0!</v>
      </c>
      <c r="T65" s="74" t="e">
        <f>data1!Q60*$B$6/T$6</f>
        <v>#DIV/0!</v>
      </c>
      <c r="U65" s="74" t="e">
        <f>data1!R60*$B$6/U$6</f>
        <v>#DIV/0!</v>
      </c>
      <c r="V65" s="74" t="e">
        <f>data1!S60*$B$6/V$6</f>
        <v>#DIV/0!</v>
      </c>
      <c r="W65" s="74" t="e">
        <f>data1!T60*$B$6/W$6</f>
        <v>#DIV/0!</v>
      </c>
      <c r="X65" s="74" t="e">
        <f>data1!U60*$B$6/X$6</f>
        <v>#DIV/0!</v>
      </c>
      <c r="Y65" s="74" t="e">
        <f>data1!V60*$B$6/Y$6</f>
        <v>#DIV/0!</v>
      </c>
      <c r="Z65" s="74" t="e">
        <f>data1!W60*$B$6/Z$6</f>
        <v>#DIV/0!</v>
      </c>
      <c r="AA65" s="74" t="e">
        <f>data1!X60*$B$6/AA$6</f>
        <v>#DIV/0!</v>
      </c>
      <c r="AB65" s="74" t="e">
        <f>data1!Y60*$B$6/AB$6</f>
        <v>#DIV/0!</v>
      </c>
      <c r="AC65" s="74" t="e">
        <f>data1!Z60*$B$6/AC$6</f>
        <v>#DIV/0!</v>
      </c>
      <c r="AD65" s="74" t="e">
        <f>data1!AA60*$B$6/AD$6</f>
        <v>#DIV/0!</v>
      </c>
      <c r="AE65" s="74" t="e">
        <f>data1!AB60*$B$6/AE$6</f>
        <v>#DIV/0!</v>
      </c>
      <c r="AF65" s="74" t="e">
        <f>data1!AC60*$B$6/AF$6</f>
        <v>#DIV/0!</v>
      </c>
      <c r="AG65" s="74" t="e">
        <f>data1!AD60*$B$6/AG$6</f>
        <v>#DIV/0!</v>
      </c>
      <c r="AH65" s="74" t="e">
        <f>data1!AE60*$B$6/AH$6</f>
        <v>#DIV/0!</v>
      </c>
      <c r="AI65" s="74" t="e">
        <f>data1!AF60*$B$6/AI$6</f>
        <v>#DIV/0!</v>
      </c>
      <c r="AJ65" s="74" t="e">
        <f>data1!AG60*$B$6/AJ$6</f>
        <v>#DIV/0!</v>
      </c>
    </row>
    <row r="66" spans="1:36">
      <c r="A66" s="29">
        <f>data0!A61</f>
        <v>87</v>
      </c>
      <c r="B66" s="74" t="e">
        <f>AVERAGE(data1!B61:AG61)</f>
        <v>#DIV/0!</v>
      </c>
      <c r="C66" s="74" t="e">
        <f t="shared" si="0"/>
        <v>#DIV/0!</v>
      </c>
      <c r="D66" s="74" t="e">
        <f t="shared" si="1"/>
        <v>#DIV/0!</v>
      </c>
      <c r="E66" s="74" t="e">
        <f>data1!B61*$B$6/E$6</f>
        <v>#DIV/0!</v>
      </c>
      <c r="F66" s="74" t="e">
        <f>data1!C61*$B$6/F$6</f>
        <v>#DIV/0!</v>
      </c>
      <c r="G66" s="74" t="e">
        <f>data1!D61*$B$6/G$6</f>
        <v>#DIV/0!</v>
      </c>
      <c r="H66" s="74" t="e">
        <f>data1!E61*$B$6/H$6</f>
        <v>#DIV/0!</v>
      </c>
      <c r="I66" s="74" t="e">
        <f>data1!F61*$B$6/I$6</f>
        <v>#DIV/0!</v>
      </c>
      <c r="J66" s="74" t="e">
        <f>data1!G61*$B$6/J$6</f>
        <v>#DIV/0!</v>
      </c>
      <c r="K66" s="74" t="e">
        <f>data1!H61*$B$6/K$6</f>
        <v>#DIV/0!</v>
      </c>
      <c r="L66" s="74" t="e">
        <f>data1!I61*$B$6/L$6</f>
        <v>#DIV/0!</v>
      </c>
      <c r="M66" s="74" t="e">
        <f>data1!J61*$B$6/M$6</f>
        <v>#DIV/0!</v>
      </c>
      <c r="N66" s="74" t="e">
        <f>data1!K61*$B$6/N$6</f>
        <v>#DIV/0!</v>
      </c>
      <c r="O66" s="74" t="e">
        <f>data1!L61*$B$6/O$6</f>
        <v>#DIV/0!</v>
      </c>
      <c r="P66" s="74" t="e">
        <f>data1!M61*$B$6/P$6</f>
        <v>#DIV/0!</v>
      </c>
      <c r="Q66" s="74" t="e">
        <f>data1!N61*$B$6/Q$6</f>
        <v>#DIV/0!</v>
      </c>
      <c r="R66" s="74" t="e">
        <f>data1!O61*$B$6/R$6</f>
        <v>#DIV/0!</v>
      </c>
      <c r="S66" s="74" t="e">
        <f>data1!P61*$B$6/S$6</f>
        <v>#DIV/0!</v>
      </c>
      <c r="T66" s="74" t="e">
        <f>data1!Q61*$B$6/T$6</f>
        <v>#DIV/0!</v>
      </c>
      <c r="U66" s="74" t="e">
        <f>data1!R61*$B$6/U$6</f>
        <v>#DIV/0!</v>
      </c>
      <c r="V66" s="74" t="e">
        <f>data1!S61*$B$6/V$6</f>
        <v>#DIV/0!</v>
      </c>
      <c r="W66" s="74" t="e">
        <f>data1!T61*$B$6/W$6</f>
        <v>#DIV/0!</v>
      </c>
      <c r="X66" s="74" t="e">
        <f>data1!U61*$B$6/X$6</f>
        <v>#DIV/0!</v>
      </c>
      <c r="Y66" s="74" t="e">
        <f>data1!V61*$B$6/Y$6</f>
        <v>#DIV/0!</v>
      </c>
      <c r="Z66" s="74" t="e">
        <f>data1!W61*$B$6/Z$6</f>
        <v>#DIV/0!</v>
      </c>
      <c r="AA66" s="74" t="e">
        <f>data1!X61*$B$6/AA$6</f>
        <v>#DIV/0!</v>
      </c>
      <c r="AB66" s="74" t="e">
        <f>data1!Y61*$B$6/AB$6</f>
        <v>#DIV/0!</v>
      </c>
      <c r="AC66" s="74" t="e">
        <f>data1!Z61*$B$6/AC$6</f>
        <v>#DIV/0!</v>
      </c>
      <c r="AD66" s="74" t="e">
        <f>data1!AA61*$B$6/AD$6</f>
        <v>#DIV/0!</v>
      </c>
      <c r="AE66" s="74" t="e">
        <f>data1!AB61*$B$6/AE$6</f>
        <v>#DIV/0!</v>
      </c>
      <c r="AF66" s="74" t="e">
        <f>data1!AC61*$B$6/AF$6</f>
        <v>#DIV/0!</v>
      </c>
      <c r="AG66" s="74" t="e">
        <f>data1!AD61*$B$6/AG$6</f>
        <v>#DIV/0!</v>
      </c>
      <c r="AH66" s="74" t="e">
        <f>data1!AE61*$B$6/AH$6</f>
        <v>#DIV/0!</v>
      </c>
      <c r="AI66" s="74" t="e">
        <f>data1!AF61*$B$6/AI$6</f>
        <v>#DIV/0!</v>
      </c>
      <c r="AJ66" s="74" t="e">
        <f>data1!AG61*$B$6/AJ$6</f>
        <v>#DIV/0!</v>
      </c>
    </row>
    <row r="67" spans="1:36">
      <c r="A67" s="29">
        <f>data0!A62</f>
        <v>90</v>
      </c>
      <c r="B67" s="74" t="e">
        <f>AVERAGE(data1!B62:AG62)</f>
        <v>#DIV/0!</v>
      </c>
      <c r="C67" s="74" t="e">
        <f t="shared" si="0"/>
        <v>#DIV/0!</v>
      </c>
      <c r="D67" s="74" t="e">
        <f t="shared" si="1"/>
        <v>#DIV/0!</v>
      </c>
      <c r="E67" s="74" t="e">
        <f>data1!B62*$B$6/E$6</f>
        <v>#DIV/0!</v>
      </c>
      <c r="F67" s="74" t="e">
        <f>data1!C62*$B$6/F$6</f>
        <v>#DIV/0!</v>
      </c>
      <c r="G67" s="74" t="e">
        <f>data1!D62*$B$6/G$6</f>
        <v>#DIV/0!</v>
      </c>
      <c r="H67" s="74" t="e">
        <f>data1!E62*$B$6/H$6</f>
        <v>#DIV/0!</v>
      </c>
      <c r="I67" s="74" t="e">
        <f>data1!F62*$B$6/I$6</f>
        <v>#DIV/0!</v>
      </c>
      <c r="J67" s="74" t="e">
        <f>data1!G62*$B$6/J$6</f>
        <v>#DIV/0!</v>
      </c>
      <c r="K67" s="74" t="e">
        <f>data1!H62*$B$6/K$6</f>
        <v>#DIV/0!</v>
      </c>
      <c r="L67" s="74" t="e">
        <f>data1!I62*$B$6/L$6</f>
        <v>#DIV/0!</v>
      </c>
      <c r="M67" s="74" t="e">
        <f>data1!J62*$B$6/M$6</f>
        <v>#DIV/0!</v>
      </c>
      <c r="N67" s="74" t="e">
        <f>data1!K62*$B$6/N$6</f>
        <v>#DIV/0!</v>
      </c>
      <c r="O67" s="74" t="e">
        <f>data1!L62*$B$6/O$6</f>
        <v>#DIV/0!</v>
      </c>
      <c r="P67" s="74" t="e">
        <f>data1!M62*$B$6/P$6</f>
        <v>#DIV/0!</v>
      </c>
      <c r="Q67" s="74" t="e">
        <f>data1!N62*$B$6/Q$6</f>
        <v>#DIV/0!</v>
      </c>
      <c r="R67" s="74" t="e">
        <f>data1!O62*$B$6/R$6</f>
        <v>#DIV/0!</v>
      </c>
      <c r="S67" s="74" t="e">
        <f>data1!P62*$B$6/S$6</f>
        <v>#DIV/0!</v>
      </c>
      <c r="T67" s="74" t="e">
        <f>data1!Q62*$B$6/T$6</f>
        <v>#DIV/0!</v>
      </c>
      <c r="U67" s="74" t="e">
        <f>data1!R62*$B$6/U$6</f>
        <v>#DIV/0!</v>
      </c>
      <c r="V67" s="74" t="e">
        <f>data1!S62*$B$6/V$6</f>
        <v>#DIV/0!</v>
      </c>
      <c r="W67" s="74" t="e">
        <f>data1!T62*$B$6/W$6</f>
        <v>#DIV/0!</v>
      </c>
      <c r="X67" s="74" t="e">
        <f>data1!U62*$B$6/X$6</f>
        <v>#DIV/0!</v>
      </c>
      <c r="Y67" s="74" t="e">
        <f>data1!V62*$B$6/Y$6</f>
        <v>#DIV/0!</v>
      </c>
      <c r="Z67" s="74" t="e">
        <f>data1!W62*$B$6/Z$6</f>
        <v>#DIV/0!</v>
      </c>
      <c r="AA67" s="74" t="e">
        <f>data1!X62*$B$6/AA$6</f>
        <v>#DIV/0!</v>
      </c>
      <c r="AB67" s="74" t="e">
        <f>data1!Y62*$B$6/AB$6</f>
        <v>#DIV/0!</v>
      </c>
      <c r="AC67" s="74" t="e">
        <f>data1!Z62*$B$6/AC$6</f>
        <v>#DIV/0!</v>
      </c>
      <c r="AD67" s="74" t="e">
        <f>data1!AA62*$B$6/AD$6</f>
        <v>#DIV/0!</v>
      </c>
      <c r="AE67" s="74" t="e">
        <f>data1!AB62*$B$6/AE$6</f>
        <v>#DIV/0!</v>
      </c>
      <c r="AF67" s="74" t="e">
        <f>data1!AC62*$B$6/AF$6</f>
        <v>#DIV/0!</v>
      </c>
      <c r="AG67" s="74" t="e">
        <f>data1!AD62*$B$6/AG$6</f>
        <v>#DIV/0!</v>
      </c>
      <c r="AH67" s="74" t="e">
        <f>data1!AE62*$B$6/AH$6</f>
        <v>#DIV/0!</v>
      </c>
      <c r="AI67" s="74" t="e">
        <f>data1!AF62*$B$6/AI$6</f>
        <v>#DIV/0!</v>
      </c>
      <c r="AJ67" s="74" t="e">
        <f>data1!AG62*$B$6/AJ$6</f>
        <v>#DIV/0!</v>
      </c>
    </row>
    <row r="68" spans="1:36">
      <c r="B68" s="74"/>
      <c r="C68" s="74"/>
      <c r="D68" s="74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>
      <c r="B69" s="74"/>
      <c r="C69" s="74"/>
      <c r="D69" s="74"/>
      <c r="E69" s="1" t="e">
        <f>MAX(E70:E130)</f>
        <v>#DIV/0!</v>
      </c>
      <c r="F69" s="1" t="e">
        <f t="shared" ref="F69:I69" si="2">MAX(F70:F130)</f>
        <v>#DIV/0!</v>
      </c>
      <c r="G69" s="1" t="e">
        <f t="shared" si="2"/>
        <v>#DIV/0!</v>
      </c>
      <c r="H69" s="1" t="e">
        <f t="shared" si="2"/>
        <v>#DIV/0!</v>
      </c>
      <c r="I69" s="1" t="e">
        <f t="shared" si="2"/>
        <v>#DIV/0!</v>
      </c>
      <c r="J69" s="1" t="e">
        <f t="shared" ref="J69:AJ69" si="3">MAX(J70:J130)</f>
        <v>#DIV/0!</v>
      </c>
      <c r="K69" s="1" t="e">
        <f t="shared" si="3"/>
        <v>#DIV/0!</v>
      </c>
      <c r="L69" s="1" t="e">
        <f t="shared" si="3"/>
        <v>#DIV/0!</v>
      </c>
      <c r="M69" s="1" t="e">
        <f t="shared" si="3"/>
        <v>#DIV/0!</v>
      </c>
      <c r="N69" s="1" t="e">
        <f t="shared" si="3"/>
        <v>#DIV/0!</v>
      </c>
      <c r="O69" s="1" t="e">
        <f t="shared" si="3"/>
        <v>#DIV/0!</v>
      </c>
      <c r="P69" s="1" t="e">
        <f t="shared" si="3"/>
        <v>#DIV/0!</v>
      </c>
      <c r="Q69" s="1" t="e">
        <f t="shared" si="3"/>
        <v>#DIV/0!</v>
      </c>
      <c r="R69" s="1" t="e">
        <f t="shared" si="3"/>
        <v>#DIV/0!</v>
      </c>
      <c r="S69" s="1" t="e">
        <f t="shared" si="3"/>
        <v>#DIV/0!</v>
      </c>
      <c r="T69" s="1" t="e">
        <f t="shared" si="3"/>
        <v>#DIV/0!</v>
      </c>
      <c r="U69" s="1" t="e">
        <f t="shared" si="3"/>
        <v>#DIV/0!</v>
      </c>
      <c r="V69" s="1" t="e">
        <f t="shared" si="3"/>
        <v>#DIV/0!</v>
      </c>
      <c r="W69" s="1" t="e">
        <f t="shared" si="3"/>
        <v>#DIV/0!</v>
      </c>
      <c r="X69" s="1" t="e">
        <f t="shared" si="3"/>
        <v>#DIV/0!</v>
      </c>
      <c r="Y69" s="1" t="e">
        <f t="shared" si="3"/>
        <v>#DIV/0!</v>
      </c>
      <c r="Z69" s="1" t="e">
        <f t="shared" si="3"/>
        <v>#DIV/0!</v>
      </c>
      <c r="AA69" s="1" t="e">
        <f t="shared" si="3"/>
        <v>#DIV/0!</v>
      </c>
      <c r="AB69" s="1" t="e">
        <f t="shared" si="3"/>
        <v>#DIV/0!</v>
      </c>
      <c r="AC69" s="1" t="e">
        <f t="shared" si="3"/>
        <v>#DIV/0!</v>
      </c>
      <c r="AD69" s="1" t="e">
        <f t="shared" si="3"/>
        <v>#DIV/0!</v>
      </c>
      <c r="AE69" s="1" t="e">
        <f t="shared" si="3"/>
        <v>#DIV/0!</v>
      </c>
      <c r="AF69" s="1" t="e">
        <f t="shared" si="3"/>
        <v>#DIV/0!</v>
      </c>
      <c r="AG69" s="1" t="e">
        <f t="shared" si="3"/>
        <v>#DIV/0!</v>
      </c>
      <c r="AH69" s="1" t="e">
        <f t="shared" si="3"/>
        <v>#DIV/0!</v>
      </c>
      <c r="AI69" s="1" t="e">
        <f t="shared" si="3"/>
        <v>#DIV/0!</v>
      </c>
      <c r="AJ69" s="1" t="e">
        <f t="shared" si="3"/>
        <v>#DIV/0!</v>
      </c>
    </row>
    <row r="70" spans="1:36">
      <c r="A70" s="29">
        <f t="shared" ref="A70:A101" si="4">A7</f>
        <v>-90</v>
      </c>
      <c r="B70" s="74"/>
      <c r="C70" s="74"/>
      <c r="D70" s="74"/>
      <c r="E70" s="1" t="e">
        <f t="shared" ref="E70:I79" si="5">(E7-$B7)/$B$4</f>
        <v>#DIV/0!</v>
      </c>
      <c r="F70" s="1" t="e">
        <f t="shared" si="5"/>
        <v>#DIV/0!</v>
      </c>
      <c r="G70" s="1" t="e">
        <f t="shared" si="5"/>
        <v>#DIV/0!</v>
      </c>
      <c r="H70" s="1" t="e">
        <f t="shared" si="5"/>
        <v>#DIV/0!</v>
      </c>
      <c r="I70" s="1" t="e">
        <f t="shared" si="5"/>
        <v>#DIV/0!</v>
      </c>
      <c r="J70" s="1" t="e">
        <f t="shared" ref="J70:AJ70" si="6">(J7-$B7)/$B$4</f>
        <v>#DIV/0!</v>
      </c>
      <c r="K70" s="1" t="e">
        <f t="shared" si="6"/>
        <v>#DIV/0!</v>
      </c>
      <c r="L70" s="1" t="e">
        <f t="shared" si="6"/>
        <v>#DIV/0!</v>
      </c>
      <c r="M70" s="1" t="e">
        <f t="shared" si="6"/>
        <v>#DIV/0!</v>
      </c>
      <c r="N70" s="1" t="e">
        <f t="shared" si="6"/>
        <v>#DIV/0!</v>
      </c>
      <c r="O70" s="1" t="e">
        <f t="shared" si="6"/>
        <v>#DIV/0!</v>
      </c>
      <c r="P70" s="1" t="e">
        <f t="shared" si="6"/>
        <v>#DIV/0!</v>
      </c>
      <c r="Q70" s="1" t="e">
        <f t="shared" si="6"/>
        <v>#DIV/0!</v>
      </c>
      <c r="R70" s="1" t="e">
        <f t="shared" si="6"/>
        <v>#DIV/0!</v>
      </c>
      <c r="S70" s="1" t="e">
        <f t="shared" si="6"/>
        <v>#DIV/0!</v>
      </c>
      <c r="T70" s="1" t="e">
        <f t="shared" si="6"/>
        <v>#DIV/0!</v>
      </c>
      <c r="U70" s="1" t="e">
        <f t="shared" si="6"/>
        <v>#DIV/0!</v>
      </c>
      <c r="V70" s="1" t="e">
        <f t="shared" si="6"/>
        <v>#DIV/0!</v>
      </c>
      <c r="W70" s="1" t="e">
        <f t="shared" si="6"/>
        <v>#DIV/0!</v>
      </c>
      <c r="X70" s="1" t="e">
        <f t="shared" si="6"/>
        <v>#DIV/0!</v>
      </c>
      <c r="Y70" s="1" t="e">
        <f t="shared" si="6"/>
        <v>#DIV/0!</v>
      </c>
      <c r="Z70" s="1" t="e">
        <f t="shared" si="6"/>
        <v>#DIV/0!</v>
      </c>
      <c r="AA70" s="1" t="e">
        <f t="shared" si="6"/>
        <v>#DIV/0!</v>
      </c>
      <c r="AB70" s="1" t="e">
        <f t="shared" si="6"/>
        <v>#DIV/0!</v>
      </c>
      <c r="AC70" s="1" t="e">
        <f t="shared" si="6"/>
        <v>#DIV/0!</v>
      </c>
      <c r="AD70" s="1" t="e">
        <f t="shared" si="6"/>
        <v>#DIV/0!</v>
      </c>
      <c r="AE70" s="1" t="e">
        <f t="shared" si="6"/>
        <v>#DIV/0!</v>
      </c>
      <c r="AF70" s="1" t="e">
        <f t="shared" si="6"/>
        <v>#DIV/0!</v>
      </c>
      <c r="AG70" s="1" t="e">
        <f t="shared" si="6"/>
        <v>#DIV/0!</v>
      </c>
      <c r="AH70" s="1" t="e">
        <f t="shared" si="6"/>
        <v>#DIV/0!</v>
      </c>
      <c r="AI70" s="1" t="e">
        <f t="shared" si="6"/>
        <v>#DIV/0!</v>
      </c>
      <c r="AJ70" s="1" t="e">
        <f t="shared" si="6"/>
        <v>#DIV/0!</v>
      </c>
    </row>
    <row r="71" spans="1:36">
      <c r="A71" s="29">
        <f t="shared" si="4"/>
        <v>-87</v>
      </c>
      <c r="B71" s="74"/>
      <c r="C71" s="74"/>
      <c r="D71" s="74"/>
      <c r="E71" s="1" t="e">
        <f t="shared" si="5"/>
        <v>#DIV/0!</v>
      </c>
      <c r="F71" s="1" t="e">
        <f t="shared" si="5"/>
        <v>#DIV/0!</v>
      </c>
      <c r="G71" s="1" t="e">
        <f t="shared" si="5"/>
        <v>#DIV/0!</v>
      </c>
      <c r="H71" s="1" t="e">
        <f t="shared" si="5"/>
        <v>#DIV/0!</v>
      </c>
      <c r="I71" s="1" t="e">
        <f t="shared" si="5"/>
        <v>#DIV/0!</v>
      </c>
      <c r="J71" s="1" t="e">
        <f t="shared" ref="J71:AJ71" si="7">(J8-$B8)/$B$4</f>
        <v>#DIV/0!</v>
      </c>
      <c r="K71" s="1" t="e">
        <f t="shared" si="7"/>
        <v>#DIV/0!</v>
      </c>
      <c r="L71" s="1" t="e">
        <f t="shared" si="7"/>
        <v>#DIV/0!</v>
      </c>
      <c r="M71" s="1" t="e">
        <f t="shared" si="7"/>
        <v>#DIV/0!</v>
      </c>
      <c r="N71" s="1" t="e">
        <f t="shared" si="7"/>
        <v>#DIV/0!</v>
      </c>
      <c r="O71" s="1" t="e">
        <f t="shared" si="7"/>
        <v>#DIV/0!</v>
      </c>
      <c r="P71" s="1" t="e">
        <f t="shared" si="7"/>
        <v>#DIV/0!</v>
      </c>
      <c r="Q71" s="1" t="e">
        <f t="shared" si="7"/>
        <v>#DIV/0!</v>
      </c>
      <c r="R71" s="1" t="e">
        <f t="shared" si="7"/>
        <v>#DIV/0!</v>
      </c>
      <c r="S71" s="1" t="e">
        <f t="shared" si="7"/>
        <v>#DIV/0!</v>
      </c>
      <c r="T71" s="1" t="e">
        <f t="shared" si="7"/>
        <v>#DIV/0!</v>
      </c>
      <c r="U71" s="1" t="e">
        <f t="shared" si="7"/>
        <v>#DIV/0!</v>
      </c>
      <c r="V71" s="1" t="e">
        <f t="shared" si="7"/>
        <v>#DIV/0!</v>
      </c>
      <c r="W71" s="1" t="e">
        <f t="shared" si="7"/>
        <v>#DIV/0!</v>
      </c>
      <c r="X71" s="1" t="e">
        <f t="shared" si="7"/>
        <v>#DIV/0!</v>
      </c>
      <c r="Y71" s="1" t="e">
        <f t="shared" si="7"/>
        <v>#DIV/0!</v>
      </c>
      <c r="Z71" s="1" t="e">
        <f t="shared" si="7"/>
        <v>#DIV/0!</v>
      </c>
      <c r="AA71" s="1" t="e">
        <f t="shared" si="7"/>
        <v>#DIV/0!</v>
      </c>
      <c r="AB71" s="1" t="e">
        <f t="shared" si="7"/>
        <v>#DIV/0!</v>
      </c>
      <c r="AC71" s="1" t="e">
        <f t="shared" si="7"/>
        <v>#DIV/0!</v>
      </c>
      <c r="AD71" s="1" t="e">
        <f t="shared" si="7"/>
        <v>#DIV/0!</v>
      </c>
      <c r="AE71" s="1" t="e">
        <f t="shared" si="7"/>
        <v>#DIV/0!</v>
      </c>
      <c r="AF71" s="1" t="e">
        <f t="shared" si="7"/>
        <v>#DIV/0!</v>
      </c>
      <c r="AG71" s="1" t="e">
        <f t="shared" si="7"/>
        <v>#DIV/0!</v>
      </c>
      <c r="AH71" s="1" t="e">
        <f t="shared" si="7"/>
        <v>#DIV/0!</v>
      </c>
      <c r="AI71" s="1" t="e">
        <f t="shared" si="7"/>
        <v>#DIV/0!</v>
      </c>
      <c r="AJ71" s="1" t="e">
        <f t="shared" si="7"/>
        <v>#DIV/0!</v>
      </c>
    </row>
    <row r="72" spans="1:36">
      <c r="A72" s="29">
        <f t="shared" si="4"/>
        <v>-84</v>
      </c>
      <c r="B72" s="74"/>
      <c r="C72" s="74"/>
      <c r="D72" s="74"/>
      <c r="E72" s="1" t="e">
        <f t="shared" si="5"/>
        <v>#DIV/0!</v>
      </c>
      <c r="F72" s="1" t="e">
        <f t="shared" si="5"/>
        <v>#DIV/0!</v>
      </c>
      <c r="G72" s="1" t="e">
        <f t="shared" si="5"/>
        <v>#DIV/0!</v>
      </c>
      <c r="H72" s="1" t="e">
        <f t="shared" si="5"/>
        <v>#DIV/0!</v>
      </c>
      <c r="I72" s="1" t="e">
        <f t="shared" si="5"/>
        <v>#DIV/0!</v>
      </c>
      <c r="J72" s="1" t="e">
        <f t="shared" ref="J72:AJ72" si="8">(J9-$B9)/$B$4</f>
        <v>#DIV/0!</v>
      </c>
      <c r="K72" s="1" t="e">
        <f t="shared" si="8"/>
        <v>#DIV/0!</v>
      </c>
      <c r="L72" s="1" t="e">
        <f t="shared" si="8"/>
        <v>#DIV/0!</v>
      </c>
      <c r="M72" s="1" t="e">
        <f t="shared" si="8"/>
        <v>#DIV/0!</v>
      </c>
      <c r="N72" s="1" t="e">
        <f t="shared" si="8"/>
        <v>#DIV/0!</v>
      </c>
      <c r="O72" s="1" t="e">
        <f t="shared" si="8"/>
        <v>#DIV/0!</v>
      </c>
      <c r="P72" s="1" t="e">
        <f t="shared" si="8"/>
        <v>#DIV/0!</v>
      </c>
      <c r="Q72" s="1" t="e">
        <f t="shared" si="8"/>
        <v>#DIV/0!</v>
      </c>
      <c r="R72" s="1" t="e">
        <f t="shared" si="8"/>
        <v>#DIV/0!</v>
      </c>
      <c r="S72" s="1" t="e">
        <f t="shared" si="8"/>
        <v>#DIV/0!</v>
      </c>
      <c r="T72" s="1" t="e">
        <f t="shared" si="8"/>
        <v>#DIV/0!</v>
      </c>
      <c r="U72" s="1" t="e">
        <f t="shared" si="8"/>
        <v>#DIV/0!</v>
      </c>
      <c r="V72" s="1" t="e">
        <f t="shared" si="8"/>
        <v>#DIV/0!</v>
      </c>
      <c r="W72" s="1" t="e">
        <f t="shared" si="8"/>
        <v>#DIV/0!</v>
      </c>
      <c r="X72" s="1" t="e">
        <f t="shared" si="8"/>
        <v>#DIV/0!</v>
      </c>
      <c r="Y72" s="1" t="e">
        <f t="shared" si="8"/>
        <v>#DIV/0!</v>
      </c>
      <c r="Z72" s="1" t="e">
        <f t="shared" si="8"/>
        <v>#DIV/0!</v>
      </c>
      <c r="AA72" s="1" t="e">
        <f t="shared" si="8"/>
        <v>#DIV/0!</v>
      </c>
      <c r="AB72" s="1" t="e">
        <f t="shared" si="8"/>
        <v>#DIV/0!</v>
      </c>
      <c r="AC72" s="1" t="e">
        <f t="shared" si="8"/>
        <v>#DIV/0!</v>
      </c>
      <c r="AD72" s="1" t="e">
        <f t="shared" si="8"/>
        <v>#DIV/0!</v>
      </c>
      <c r="AE72" s="1" t="e">
        <f t="shared" si="8"/>
        <v>#DIV/0!</v>
      </c>
      <c r="AF72" s="1" t="e">
        <f t="shared" si="8"/>
        <v>#DIV/0!</v>
      </c>
      <c r="AG72" s="1" t="e">
        <f t="shared" si="8"/>
        <v>#DIV/0!</v>
      </c>
      <c r="AH72" s="1" t="e">
        <f t="shared" si="8"/>
        <v>#DIV/0!</v>
      </c>
      <c r="AI72" s="1" t="e">
        <f t="shared" si="8"/>
        <v>#DIV/0!</v>
      </c>
      <c r="AJ72" s="1" t="e">
        <f t="shared" si="8"/>
        <v>#DIV/0!</v>
      </c>
    </row>
    <row r="73" spans="1:36">
      <c r="A73" s="29">
        <f t="shared" si="4"/>
        <v>-81</v>
      </c>
      <c r="B73" s="74"/>
      <c r="C73" s="74"/>
      <c r="D73" s="74"/>
      <c r="E73" s="1" t="e">
        <f t="shared" si="5"/>
        <v>#DIV/0!</v>
      </c>
      <c r="F73" s="1" t="e">
        <f t="shared" si="5"/>
        <v>#DIV/0!</v>
      </c>
      <c r="G73" s="1" t="e">
        <f t="shared" si="5"/>
        <v>#DIV/0!</v>
      </c>
      <c r="H73" s="1" t="e">
        <f t="shared" si="5"/>
        <v>#DIV/0!</v>
      </c>
      <c r="I73" s="1" t="e">
        <f t="shared" si="5"/>
        <v>#DIV/0!</v>
      </c>
      <c r="J73" s="1" t="e">
        <f t="shared" ref="J73:AJ73" si="9">(J10-$B10)/$B$4</f>
        <v>#DIV/0!</v>
      </c>
      <c r="K73" s="1" t="e">
        <f t="shared" si="9"/>
        <v>#DIV/0!</v>
      </c>
      <c r="L73" s="1" t="e">
        <f t="shared" si="9"/>
        <v>#DIV/0!</v>
      </c>
      <c r="M73" s="1" t="e">
        <f t="shared" si="9"/>
        <v>#DIV/0!</v>
      </c>
      <c r="N73" s="1" t="e">
        <f t="shared" si="9"/>
        <v>#DIV/0!</v>
      </c>
      <c r="O73" s="1" t="e">
        <f t="shared" si="9"/>
        <v>#DIV/0!</v>
      </c>
      <c r="P73" s="1" t="e">
        <f t="shared" si="9"/>
        <v>#DIV/0!</v>
      </c>
      <c r="Q73" s="1" t="e">
        <f t="shared" si="9"/>
        <v>#DIV/0!</v>
      </c>
      <c r="R73" s="1" t="e">
        <f t="shared" si="9"/>
        <v>#DIV/0!</v>
      </c>
      <c r="S73" s="1" t="e">
        <f t="shared" si="9"/>
        <v>#DIV/0!</v>
      </c>
      <c r="T73" s="1" t="e">
        <f t="shared" si="9"/>
        <v>#DIV/0!</v>
      </c>
      <c r="U73" s="1" t="e">
        <f t="shared" si="9"/>
        <v>#DIV/0!</v>
      </c>
      <c r="V73" s="1" t="e">
        <f t="shared" si="9"/>
        <v>#DIV/0!</v>
      </c>
      <c r="W73" s="1" t="e">
        <f t="shared" si="9"/>
        <v>#DIV/0!</v>
      </c>
      <c r="X73" s="1" t="e">
        <f t="shared" si="9"/>
        <v>#DIV/0!</v>
      </c>
      <c r="Y73" s="1" t="e">
        <f t="shared" si="9"/>
        <v>#DIV/0!</v>
      </c>
      <c r="Z73" s="1" t="e">
        <f t="shared" si="9"/>
        <v>#DIV/0!</v>
      </c>
      <c r="AA73" s="1" t="e">
        <f t="shared" si="9"/>
        <v>#DIV/0!</v>
      </c>
      <c r="AB73" s="1" t="e">
        <f t="shared" si="9"/>
        <v>#DIV/0!</v>
      </c>
      <c r="AC73" s="1" t="e">
        <f t="shared" si="9"/>
        <v>#DIV/0!</v>
      </c>
      <c r="AD73" s="1" t="e">
        <f t="shared" si="9"/>
        <v>#DIV/0!</v>
      </c>
      <c r="AE73" s="1" t="e">
        <f t="shared" si="9"/>
        <v>#DIV/0!</v>
      </c>
      <c r="AF73" s="1" t="e">
        <f t="shared" si="9"/>
        <v>#DIV/0!</v>
      </c>
      <c r="AG73" s="1" t="e">
        <f t="shared" si="9"/>
        <v>#DIV/0!</v>
      </c>
      <c r="AH73" s="1" t="e">
        <f t="shared" si="9"/>
        <v>#DIV/0!</v>
      </c>
      <c r="AI73" s="1" t="e">
        <f t="shared" si="9"/>
        <v>#DIV/0!</v>
      </c>
      <c r="AJ73" s="1" t="e">
        <f t="shared" si="9"/>
        <v>#DIV/0!</v>
      </c>
    </row>
    <row r="74" spans="1:36">
      <c r="A74" s="29">
        <f t="shared" si="4"/>
        <v>-78</v>
      </c>
      <c r="B74" s="74"/>
      <c r="C74" s="74"/>
      <c r="D74" s="74"/>
      <c r="E74" s="1" t="e">
        <f t="shared" si="5"/>
        <v>#DIV/0!</v>
      </c>
      <c r="F74" s="1" t="e">
        <f t="shared" si="5"/>
        <v>#DIV/0!</v>
      </c>
      <c r="G74" s="1" t="e">
        <f t="shared" si="5"/>
        <v>#DIV/0!</v>
      </c>
      <c r="H74" s="1" t="e">
        <f t="shared" si="5"/>
        <v>#DIV/0!</v>
      </c>
      <c r="I74" s="1" t="e">
        <f t="shared" si="5"/>
        <v>#DIV/0!</v>
      </c>
      <c r="J74" s="1" t="e">
        <f t="shared" ref="J74:AJ74" si="10">(J11-$B11)/$B$4</f>
        <v>#DIV/0!</v>
      </c>
      <c r="K74" s="1" t="e">
        <f t="shared" si="10"/>
        <v>#DIV/0!</v>
      </c>
      <c r="L74" s="1" t="e">
        <f t="shared" si="10"/>
        <v>#DIV/0!</v>
      </c>
      <c r="M74" s="1" t="e">
        <f t="shared" si="10"/>
        <v>#DIV/0!</v>
      </c>
      <c r="N74" s="1" t="e">
        <f t="shared" si="10"/>
        <v>#DIV/0!</v>
      </c>
      <c r="O74" s="1" t="e">
        <f t="shared" si="10"/>
        <v>#DIV/0!</v>
      </c>
      <c r="P74" s="1" t="e">
        <f t="shared" si="10"/>
        <v>#DIV/0!</v>
      </c>
      <c r="Q74" s="1" t="e">
        <f t="shared" si="10"/>
        <v>#DIV/0!</v>
      </c>
      <c r="R74" s="1" t="e">
        <f t="shared" si="10"/>
        <v>#DIV/0!</v>
      </c>
      <c r="S74" s="1" t="e">
        <f t="shared" si="10"/>
        <v>#DIV/0!</v>
      </c>
      <c r="T74" s="1" t="e">
        <f t="shared" si="10"/>
        <v>#DIV/0!</v>
      </c>
      <c r="U74" s="1" t="e">
        <f t="shared" si="10"/>
        <v>#DIV/0!</v>
      </c>
      <c r="V74" s="1" t="e">
        <f t="shared" si="10"/>
        <v>#DIV/0!</v>
      </c>
      <c r="W74" s="1" t="e">
        <f t="shared" si="10"/>
        <v>#DIV/0!</v>
      </c>
      <c r="X74" s="1" t="e">
        <f t="shared" si="10"/>
        <v>#DIV/0!</v>
      </c>
      <c r="Y74" s="1" t="e">
        <f t="shared" si="10"/>
        <v>#DIV/0!</v>
      </c>
      <c r="Z74" s="1" t="e">
        <f t="shared" si="10"/>
        <v>#DIV/0!</v>
      </c>
      <c r="AA74" s="1" t="e">
        <f t="shared" si="10"/>
        <v>#DIV/0!</v>
      </c>
      <c r="AB74" s="1" t="e">
        <f t="shared" si="10"/>
        <v>#DIV/0!</v>
      </c>
      <c r="AC74" s="1" t="e">
        <f t="shared" si="10"/>
        <v>#DIV/0!</v>
      </c>
      <c r="AD74" s="1" t="e">
        <f t="shared" si="10"/>
        <v>#DIV/0!</v>
      </c>
      <c r="AE74" s="1" t="e">
        <f t="shared" si="10"/>
        <v>#DIV/0!</v>
      </c>
      <c r="AF74" s="1" t="e">
        <f t="shared" si="10"/>
        <v>#DIV/0!</v>
      </c>
      <c r="AG74" s="1" t="e">
        <f t="shared" si="10"/>
        <v>#DIV/0!</v>
      </c>
      <c r="AH74" s="1" t="e">
        <f t="shared" si="10"/>
        <v>#DIV/0!</v>
      </c>
      <c r="AI74" s="1" t="e">
        <f t="shared" si="10"/>
        <v>#DIV/0!</v>
      </c>
      <c r="AJ74" s="1" t="e">
        <f t="shared" si="10"/>
        <v>#DIV/0!</v>
      </c>
    </row>
    <row r="75" spans="1:36">
      <c r="A75" s="29">
        <f t="shared" si="4"/>
        <v>-75</v>
      </c>
      <c r="B75" s="74"/>
      <c r="C75" s="74"/>
      <c r="D75" s="74"/>
      <c r="E75" s="1" t="e">
        <f t="shared" si="5"/>
        <v>#DIV/0!</v>
      </c>
      <c r="F75" s="1" t="e">
        <f t="shared" si="5"/>
        <v>#DIV/0!</v>
      </c>
      <c r="G75" s="1" t="e">
        <f t="shared" si="5"/>
        <v>#DIV/0!</v>
      </c>
      <c r="H75" s="1" t="e">
        <f t="shared" si="5"/>
        <v>#DIV/0!</v>
      </c>
      <c r="I75" s="1" t="e">
        <f t="shared" si="5"/>
        <v>#DIV/0!</v>
      </c>
      <c r="J75" s="1" t="e">
        <f t="shared" ref="J75:AJ75" si="11">(J12-$B12)/$B$4</f>
        <v>#DIV/0!</v>
      </c>
      <c r="K75" s="1" t="e">
        <f t="shared" si="11"/>
        <v>#DIV/0!</v>
      </c>
      <c r="L75" s="1" t="e">
        <f t="shared" si="11"/>
        <v>#DIV/0!</v>
      </c>
      <c r="M75" s="1" t="e">
        <f t="shared" si="11"/>
        <v>#DIV/0!</v>
      </c>
      <c r="N75" s="1" t="e">
        <f t="shared" si="11"/>
        <v>#DIV/0!</v>
      </c>
      <c r="O75" s="1" t="e">
        <f t="shared" si="11"/>
        <v>#DIV/0!</v>
      </c>
      <c r="P75" s="1" t="e">
        <f t="shared" si="11"/>
        <v>#DIV/0!</v>
      </c>
      <c r="Q75" s="1" t="e">
        <f t="shared" si="11"/>
        <v>#DIV/0!</v>
      </c>
      <c r="R75" s="1" t="e">
        <f t="shared" si="11"/>
        <v>#DIV/0!</v>
      </c>
      <c r="S75" s="1" t="e">
        <f t="shared" si="11"/>
        <v>#DIV/0!</v>
      </c>
      <c r="T75" s="1" t="e">
        <f t="shared" si="11"/>
        <v>#DIV/0!</v>
      </c>
      <c r="U75" s="1" t="e">
        <f t="shared" si="11"/>
        <v>#DIV/0!</v>
      </c>
      <c r="V75" s="1" t="e">
        <f t="shared" si="11"/>
        <v>#DIV/0!</v>
      </c>
      <c r="W75" s="1" t="e">
        <f t="shared" si="11"/>
        <v>#DIV/0!</v>
      </c>
      <c r="X75" s="1" t="e">
        <f t="shared" si="11"/>
        <v>#DIV/0!</v>
      </c>
      <c r="Y75" s="1" t="e">
        <f t="shared" si="11"/>
        <v>#DIV/0!</v>
      </c>
      <c r="Z75" s="1" t="e">
        <f t="shared" si="11"/>
        <v>#DIV/0!</v>
      </c>
      <c r="AA75" s="1" t="e">
        <f t="shared" si="11"/>
        <v>#DIV/0!</v>
      </c>
      <c r="AB75" s="1" t="e">
        <f t="shared" si="11"/>
        <v>#DIV/0!</v>
      </c>
      <c r="AC75" s="1" t="e">
        <f t="shared" si="11"/>
        <v>#DIV/0!</v>
      </c>
      <c r="AD75" s="1" t="e">
        <f t="shared" si="11"/>
        <v>#DIV/0!</v>
      </c>
      <c r="AE75" s="1" t="e">
        <f t="shared" si="11"/>
        <v>#DIV/0!</v>
      </c>
      <c r="AF75" s="1" t="e">
        <f t="shared" si="11"/>
        <v>#DIV/0!</v>
      </c>
      <c r="AG75" s="1" t="e">
        <f t="shared" si="11"/>
        <v>#DIV/0!</v>
      </c>
      <c r="AH75" s="1" t="e">
        <f t="shared" si="11"/>
        <v>#DIV/0!</v>
      </c>
      <c r="AI75" s="1" t="e">
        <f t="shared" si="11"/>
        <v>#DIV/0!</v>
      </c>
      <c r="AJ75" s="1" t="e">
        <f t="shared" si="11"/>
        <v>#DIV/0!</v>
      </c>
    </row>
    <row r="76" spans="1:36">
      <c r="A76" s="29">
        <f t="shared" si="4"/>
        <v>-72</v>
      </c>
      <c r="B76" s="74"/>
      <c r="C76" s="74"/>
      <c r="D76" s="74"/>
      <c r="E76" s="1" t="e">
        <f t="shared" si="5"/>
        <v>#DIV/0!</v>
      </c>
      <c r="F76" s="1" t="e">
        <f t="shared" si="5"/>
        <v>#DIV/0!</v>
      </c>
      <c r="G76" s="1" t="e">
        <f t="shared" si="5"/>
        <v>#DIV/0!</v>
      </c>
      <c r="H76" s="1" t="e">
        <f t="shared" si="5"/>
        <v>#DIV/0!</v>
      </c>
      <c r="I76" s="1" t="e">
        <f t="shared" si="5"/>
        <v>#DIV/0!</v>
      </c>
      <c r="J76" s="1" t="e">
        <f t="shared" ref="J76:AJ76" si="12">(J13-$B13)/$B$4</f>
        <v>#DIV/0!</v>
      </c>
      <c r="K76" s="1" t="e">
        <f t="shared" si="12"/>
        <v>#DIV/0!</v>
      </c>
      <c r="L76" s="1" t="e">
        <f t="shared" si="12"/>
        <v>#DIV/0!</v>
      </c>
      <c r="M76" s="1" t="e">
        <f t="shared" si="12"/>
        <v>#DIV/0!</v>
      </c>
      <c r="N76" s="1" t="e">
        <f t="shared" si="12"/>
        <v>#DIV/0!</v>
      </c>
      <c r="O76" s="1" t="e">
        <f t="shared" si="12"/>
        <v>#DIV/0!</v>
      </c>
      <c r="P76" s="1" t="e">
        <f t="shared" si="12"/>
        <v>#DIV/0!</v>
      </c>
      <c r="Q76" s="1" t="e">
        <f t="shared" si="12"/>
        <v>#DIV/0!</v>
      </c>
      <c r="R76" s="1" t="e">
        <f t="shared" si="12"/>
        <v>#DIV/0!</v>
      </c>
      <c r="S76" s="1" t="e">
        <f t="shared" si="12"/>
        <v>#DIV/0!</v>
      </c>
      <c r="T76" s="1" t="e">
        <f t="shared" si="12"/>
        <v>#DIV/0!</v>
      </c>
      <c r="U76" s="1" t="e">
        <f t="shared" si="12"/>
        <v>#DIV/0!</v>
      </c>
      <c r="V76" s="1" t="e">
        <f t="shared" si="12"/>
        <v>#DIV/0!</v>
      </c>
      <c r="W76" s="1" t="e">
        <f t="shared" si="12"/>
        <v>#DIV/0!</v>
      </c>
      <c r="X76" s="1" t="e">
        <f t="shared" si="12"/>
        <v>#DIV/0!</v>
      </c>
      <c r="Y76" s="1" t="e">
        <f t="shared" si="12"/>
        <v>#DIV/0!</v>
      </c>
      <c r="Z76" s="1" t="e">
        <f t="shared" si="12"/>
        <v>#DIV/0!</v>
      </c>
      <c r="AA76" s="1" t="e">
        <f t="shared" si="12"/>
        <v>#DIV/0!</v>
      </c>
      <c r="AB76" s="1" t="e">
        <f t="shared" si="12"/>
        <v>#DIV/0!</v>
      </c>
      <c r="AC76" s="1" t="e">
        <f t="shared" si="12"/>
        <v>#DIV/0!</v>
      </c>
      <c r="AD76" s="1" t="e">
        <f t="shared" si="12"/>
        <v>#DIV/0!</v>
      </c>
      <c r="AE76" s="1" t="e">
        <f t="shared" si="12"/>
        <v>#DIV/0!</v>
      </c>
      <c r="AF76" s="1" t="e">
        <f t="shared" si="12"/>
        <v>#DIV/0!</v>
      </c>
      <c r="AG76" s="1" t="e">
        <f t="shared" si="12"/>
        <v>#DIV/0!</v>
      </c>
      <c r="AH76" s="1" t="e">
        <f t="shared" si="12"/>
        <v>#DIV/0!</v>
      </c>
      <c r="AI76" s="1" t="e">
        <f t="shared" si="12"/>
        <v>#DIV/0!</v>
      </c>
      <c r="AJ76" s="1" t="e">
        <f t="shared" si="12"/>
        <v>#DIV/0!</v>
      </c>
    </row>
    <row r="77" spans="1:36">
      <c r="A77" s="29">
        <f t="shared" si="4"/>
        <v>-69</v>
      </c>
      <c r="B77" s="74"/>
      <c r="C77" s="74"/>
      <c r="D77" s="74"/>
      <c r="E77" s="1" t="e">
        <f t="shared" si="5"/>
        <v>#DIV/0!</v>
      </c>
      <c r="F77" s="1" t="e">
        <f t="shared" si="5"/>
        <v>#DIV/0!</v>
      </c>
      <c r="G77" s="1" t="e">
        <f t="shared" si="5"/>
        <v>#DIV/0!</v>
      </c>
      <c r="H77" s="1" t="e">
        <f t="shared" si="5"/>
        <v>#DIV/0!</v>
      </c>
      <c r="I77" s="1" t="e">
        <f t="shared" si="5"/>
        <v>#DIV/0!</v>
      </c>
      <c r="J77" s="1" t="e">
        <f t="shared" ref="J77:AJ77" si="13">(J14-$B14)/$B$4</f>
        <v>#DIV/0!</v>
      </c>
      <c r="K77" s="1" t="e">
        <f t="shared" si="13"/>
        <v>#DIV/0!</v>
      </c>
      <c r="L77" s="1" t="e">
        <f t="shared" si="13"/>
        <v>#DIV/0!</v>
      </c>
      <c r="M77" s="1" t="e">
        <f t="shared" si="13"/>
        <v>#DIV/0!</v>
      </c>
      <c r="N77" s="1" t="e">
        <f t="shared" si="13"/>
        <v>#DIV/0!</v>
      </c>
      <c r="O77" s="1" t="e">
        <f t="shared" si="13"/>
        <v>#DIV/0!</v>
      </c>
      <c r="P77" s="1" t="e">
        <f t="shared" si="13"/>
        <v>#DIV/0!</v>
      </c>
      <c r="Q77" s="1" t="e">
        <f t="shared" si="13"/>
        <v>#DIV/0!</v>
      </c>
      <c r="R77" s="1" t="e">
        <f t="shared" si="13"/>
        <v>#DIV/0!</v>
      </c>
      <c r="S77" s="1" t="e">
        <f t="shared" si="13"/>
        <v>#DIV/0!</v>
      </c>
      <c r="T77" s="1" t="e">
        <f t="shared" si="13"/>
        <v>#DIV/0!</v>
      </c>
      <c r="U77" s="1" t="e">
        <f t="shared" si="13"/>
        <v>#DIV/0!</v>
      </c>
      <c r="V77" s="1" t="e">
        <f t="shared" si="13"/>
        <v>#DIV/0!</v>
      </c>
      <c r="W77" s="1" t="e">
        <f t="shared" si="13"/>
        <v>#DIV/0!</v>
      </c>
      <c r="X77" s="1" t="e">
        <f t="shared" si="13"/>
        <v>#DIV/0!</v>
      </c>
      <c r="Y77" s="1" t="e">
        <f t="shared" si="13"/>
        <v>#DIV/0!</v>
      </c>
      <c r="Z77" s="1" t="e">
        <f t="shared" si="13"/>
        <v>#DIV/0!</v>
      </c>
      <c r="AA77" s="1" t="e">
        <f t="shared" si="13"/>
        <v>#DIV/0!</v>
      </c>
      <c r="AB77" s="1" t="e">
        <f t="shared" si="13"/>
        <v>#DIV/0!</v>
      </c>
      <c r="AC77" s="1" t="e">
        <f t="shared" si="13"/>
        <v>#DIV/0!</v>
      </c>
      <c r="AD77" s="1" t="e">
        <f t="shared" si="13"/>
        <v>#DIV/0!</v>
      </c>
      <c r="AE77" s="1" t="e">
        <f t="shared" si="13"/>
        <v>#DIV/0!</v>
      </c>
      <c r="AF77" s="1" t="e">
        <f t="shared" si="13"/>
        <v>#DIV/0!</v>
      </c>
      <c r="AG77" s="1" t="e">
        <f t="shared" si="13"/>
        <v>#DIV/0!</v>
      </c>
      <c r="AH77" s="1" t="e">
        <f t="shared" si="13"/>
        <v>#DIV/0!</v>
      </c>
      <c r="AI77" s="1" t="e">
        <f t="shared" si="13"/>
        <v>#DIV/0!</v>
      </c>
      <c r="AJ77" s="1" t="e">
        <f t="shared" si="13"/>
        <v>#DIV/0!</v>
      </c>
    </row>
    <row r="78" spans="1:36">
      <c r="A78" s="29">
        <f t="shared" si="4"/>
        <v>-66</v>
      </c>
      <c r="B78" s="74"/>
      <c r="C78" s="74"/>
      <c r="D78" s="74"/>
      <c r="E78" s="1" t="e">
        <f t="shared" si="5"/>
        <v>#DIV/0!</v>
      </c>
      <c r="F78" s="1" t="e">
        <f t="shared" si="5"/>
        <v>#DIV/0!</v>
      </c>
      <c r="G78" s="1" t="e">
        <f t="shared" si="5"/>
        <v>#DIV/0!</v>
      </c>
      <c r="H78" s="1" t="e">
        <f t="shared" si="5"/>
        <v>#DIV/0!</v>
      </c>
      <c r="I78" s="1" t="e">
        <f t="shared" si="5"/>
        <v>#DIV/0!</v>
      </c>
      <c r="J78" s="1" t="e">
        <f t="shared" ref="J78:AJ78" si="14">(J15-$B15)/$B$4</f>
        <v>#DIV/0!</v>
      </c>
      <c r="K78" s="1" t="e">
        <f t="shared" si="14"/>
        <v>#DIV/0!</v>
      </c>
      <c r="L78" s="1" t="e">
        <f t="shared" si="14"/>
        <v>#DIV/0!</v>
      </c>
      <c r="M78" s="1" t="e">
        <f t="shared" si="14"/>
        <v>#DIV/0!</v>
      </c>
      <c r="N78" s="1" t="e">
        <f t="shared" si="14"/>
        <v>#DIV/0!</v>
      </c>
      <c r="O78" s="1" t="e">
        <f t="shared" si="14"/>
        <v>#DIV/0!</v>
      </c>
      <c r="P78" s="1" t="e">
        <f t="shared" si="14"/>
        <v>#DIV/0!</v>
      </c>
      <c r="Q78" s="1" t="e">
        <f t="shared" si="14"/>
        <v>#DIV/0!</v>
      </c>
      <c r="R78" s="1" t="e">
        <f t="shared" si="14"/>
        <v>#DIV/0!</v>
      </c>
      <c r="S78" s="1" t="e">
        <f t="shared" si="14"/>
        <v>#DIV/0!</v>
      </c>
      <c r="T78" s="1" t="e">
        <f t="shared" si="14"/>
        <v>#DIV/0!</v>
      </c>
      <c r="U78" s="1" t="e">
        <f t="shared" si="14"/>
        <v>#DIV/0!</v>
      </c>
      <c r="V78" s="1" t="e">
        <f t="shared" si="14"/>
        <v>#DIV/0!</v>
      </c>
      <c r="W78" s="1" t="e">
        <f t="shared" si="14"/>
        <v>#DIV/0!</v>
      </c>
      <c r="X78" s="1" t="e">
        <f t="shared" si="14"/>
        <v>#DIV/0!</v>
      </c>
      <c r="Y78" s="1" t="e">
        <f t="shared" si="14"/>
        <v>#DIV/0!</v>
      </c>
      <c r="Z78" s="1" t="e">
        <f t="shared" si="14"/>
        <v>#DIV/0!</v>
      </c>
      <c r="AA78" s="1" t="e">
        <f t="shared" si="14"/>
        <v>#DIV/0!</v>
      </c>
      <c r="AB78" s="1" t="e">
        <f t="shared" si="14"/>
        <v>#DIV/0!</v>
      </c>
      <c r="AC78" s="1" t="e">
        <f t="shared" si="14"/>
        <v>#DIV/0!</v>
      </c>
      <c r="AD78" s="1" t="e">
        <f t="shared" si="14"/>
        <v>#DIV/0!</v>
      </c>
      <c r="AE78" s="1" t="e">
        <f t="shared" si="14"/>
        <v>#DIV/0!</v>
      </c>
      <c r="AF78" s="1" t="e">
        <f t="shared" si="14"/>
        <v>#DIV/0!</v>
      </c>
      <c r="AG78" s="1" t="e">
        <f t="shared" si="14"/>
        <v>#DIV/0!</v>
      </c>
      <c r="AH78" s="1" t="e">
        <f t="shared" si="14"/>
        <v>#DIV/0!</v>
      </c>
      <c r="AI78" s="1" t="e">
        <f t="shared" si="14"/>
        <v>#DIV/0!</v>
      </c>
      <c r="AJ78" s="1" t="e">
        <f t="shared" si="14"/>
        <v>#DIV/0!</v>
      </c>
    </row>
    <row r="79" spans="1:36">
      <c r="A79" s="29">
        <f t="shared" si="4"/>
        <v>-63</v>
      </c>
      <c r="B79" s="74"/>
      <c r="C79" s="74"/>
      <c r="D79" s="74"/>
      <c r="E79" s="1" t="e">
        <f t="shared" si="5"/>
        <v>#DIV/0!</v>
      </c>
      <c r="F79" s="1" t="e">
        <f t="shared" si="5"/>
        <v>#DIV/0!</v>
      </c>
      <c r="G79" s="1" t="e">
        <f t="shared" si="5"/>
        <v>#DIV/0!</v>
      </c>
      <c r="H79" s="1" t="e">
        <f t="shared" si="5"/>
        <v>#DIV/0!</v>
      </c>
      <c r="I79" s="1" t="e">
        <f t="shared" si="5"/>
        <v>#DIV/0!</v>
      </c>
      <c r="J79" s="1" t="e">
        <f t="shared" ref="J79:AJ79" si="15">(J16-$B16)/$B$4</f>
        <v>#DIV/0!</v>
      </c>
      <c r="K79" s="1" t="e">
        <f t="shared" si="15"/>
        <v>#DIV/0!</v>
      </c>
      <c r="L79" s="1" t="e">
        <f t="shared" si="15"/>
        <v>#DIV/0!</v>
      </c>
      <c r="M79" s="1" t="e">
        <f t="shared" si="15"/>
        <v>#DIV/0!</v>
      </c>
      <c r="N79" s="1" t="e">
        <f t="shared" si="15"/>
        <v>#DIV/0!</v>
      </c>
      <c r="O79" s="1" t="e">
        <f t="shared" si="15"/>
        <v>#DIV/0!</v>
      </c>
      <c r="P79" s="1" t="e">
        <f t="shared" si="15"/>
        <v>#DIV/0!</v>
      </c>
      <c r="Q79" s="1" t="e">
        <f t="shared" si="15"/>
        <v>#DIV/0!</v>
      </c>
      <c r="R79" s="1" t="e">
        <f t="shared" si="15"/>
        <v>#DIV/0!</v>
      </c>
      <c r="S79" s="1" t="e">
        <f t="shared" si="15"/>
        <v>#DIV/0!</v>
      </c>
      <c r="T79" s="1" t="e">
        <f t="shared" si="15"/>
        <v>#DIV/0!</v>
      </c>
      <c r="U79" s="1" t="e">
        <f t="shared" si="15"/>
        <v>#DIV/0!</v>
      </c>
      <c r="V79" s="1" t="e">
        <f t="shared" si="15"/>
        <v>#DIV/0!</v>
      </c>
      <c r="W79" s="1" t="e">
        <f t="shared" si="15"/>
        <v>#DIV/0!</v>
      </c>
      <c r="X79" s="1" t="e">
        <f t="shared" si="15"/>
        <v>#DIV/0!</v>
      </c>
      <c r="Y79" s="1" t="e">
        <f t="shared" si="15"/>
        <v>#DIV/0!</v>
      </c>
      <c r="Z79" s="1" t="e">
        <f t="shared" si="15"/>
        <v>#DIV/0!</v>
      </c>
      <c r="AA79" s="1" t="e">
        <f t="shared" si="15"/>
        <v>#DIV/0!</v>
      </c>
      <c r="AB79" s="1" t="e">
        <f t="shared" si="15"/>
        <v>#DIV/0!</v>
      </c>
      <c r="AC79" s="1" t="e">
        <f t="shared" si="15"/>
        <v>#DIV/0!</v>
      </c>
      <c r="AD79" s="1" t="e">
        <f t="shared" si="15"/>
        <v>#DIV/0!</v>
      </c>
      <c r="AE79" s="1" t="e">
        <f t="shared" si="15"/>
        <v>#DIV/0!</v>
      </c>
      <c r="AF79" s="1" t="e">
        <f t="shared" si="15"/>
        <v>#DIV/0!</v>
      </c>
      <c r="AG79" s="1" t="e">
        <f t="shared" si="15"/>
        <v>#DIV/0!</v>
      </c>
      <c r="AH79" s="1" t="e">
        <f t="shared" si="15"/>
        <v>#DIV/0!</v>
      </c>
      <c r="AI79" s="1" t="e">
        <f t="shared" si="15"/>
        <v>#DIV/0!</v>
      </c>
      <c r="AJ79" s="1" t="e">
        <f t="shared" si="15"/>
        <v>#DIV/0!</v>
      </c>
    </row>
    <row r="80" spans="1:36">
      <c r="A80" s="29">
        <f t="shared" si="4"/>
        <v>-60</v>
      </c>
      <c r="B80" s="74"/>
      <c r="C80" s="74"/>
      <c r="D80" s="74"/>
      <c r="E80" s="1" t="e">
        <f t="shared" ref="E80:I89" si="16">(E17-$B17)/$B$4</f>
        <v>#DIV/0!</v>
      </c>
      <c r="F80" s="1" t="e">
        <f t="shared" si="16"/>
        <v>#DIV/0!</v>
      </c>
      <c r="G80" s="1" t="e">
        <f t="shared" si="16"/>
        <v>#DIV/0!</v>
      </c>
      <c r="H80" s="1" t="e">
        <f t="shared" si="16"/>
        <v>#DIV/0!</v>
      </c>
      <c r="I80" s="1" t="e">
        <f t="shared" si="16"/>
        <v>#DIV/0!</v>
      </c>
      <c r="J80" s="1" t="e">
        <f t="shared" ref="J80:AJ80" si="17">(J17-$B17)/$B$4</f>
        <v>#DIV/0!</v>
      </c>
      <c r="K80" s="1" t="e">
        <f t="shared" si="17"/>
        <v>#DIV/0!</v>
      </c>
      <c r="L80" s="1" t="e">
        <f t="shared" si="17"/>
        <v>#DIV/0!</v>
      </c>
      <c r="M80" s="1" t="e">
        <f t="shared" si="17"/>
        <v>#DIV/0!</v>
      </c>
      <c r="N80" s="1" t="e">
        <f t="shared" si="17"/>
        <v>#DIV/0!</v>
      </c>
      <c r="O80" s="1" t="e">
        <f t="shared" si="17"/>
        <v>#DIV/0!</v>
      </c>
      <c r="P80" s="1" t="e">
        <f t="shared" si="17"/>
        <v>#DIV/0!</v>
      </c>
      <c r="Q80" s="1" t="e">
        <f t="shared" si="17"/>
        <v>#DIV/0!</v>
      </c>
      <c r="R80" s="1" t="e">
        <f t="shared" si="17"/>
        <v>#DIV/0!</v>
      </c>
      <c r="S80" s="1" t="e">
        <f t="shared" si="17"/>
        <v>#DIV/0!</v>
      </c>
      <c r="T80" s="1" t="e">
        <f t="shared" si="17"/>
        <v>#DIV/0!</v>
      </c>
      <c r="U80" s="1" t="e">
        <f t="shared" si="17"/>
        <v>#DIV/0!</v>
      </c>
      <c r="V80" s="1" t="e">
        <f t="shared" si="17"/>
        <v>#DIV/0!</v>
      </c>
      <c r="W80" s="1" t="e">
        <f t="shared" si="17"/>
        <v>#DIV/0!</v>
      </c>
      <c r="X80" s="1" t="e">
        <f t="shared" si="17"/>
        <v>#DIV/0!</v>
      </c>
      <c r="Y80" s="1" t="e">
        <f t="shared" si="17"/>
        <v>#DIV/0!</v>
      </c>
      <c r="Z80" s="1" t="e">
        <f t="shared" si="17"/>
        <v>#DIV/0!</v>
      </c>
      <c r="AA80" s="1" t="e">
        <f t="shared" si="17"/>
        <v>#DIV/0!</v>
      </c>
      <c r="AB80" s="1" t="e">
        <f t="shared" si="17"/>
        <v>#DIV/0!</v>
      </c>
      <c r="AC80" s="1" t="e">
        <f t="shared" si="17"/>
        <v>#DIV/0!</v>
      </c>
      <c r="AD80" s="1" t="e">
        <f t="shared" si="17"/>
        <v>#DIV/0!</v>
      </c>
      <c r="AE80" s="1" t="e">
        <f t="shared" si="17"/>
        <v>#DIV/0!</v>
      </c>
      <c r="AF80" s="1" t="e">
        <f t="shared" si="17"/>
        <v>#DIV/0!</v>
      </c>
      <c r="AG80" s="1" t="e">
        <f t="shared" si="17"/>
        <v>#DIV/0!</v>
      </c>
      <c r="AH80" s="1" t="e">
        <f t="shared" si="17"/>
        <v>#DIV/0!</v>
      </c>
      <c r="AI80" s="1" t="e">
        <f t="shared" si="17"/>
        <v>#DIV/0!</v>
      </c>
      <c r="AJ80" s="1" t="e">
        <f t="shared" si="17"/>
        <v>#DIV/0!</v>
      </c>
    </row>
    <row r="81" spans="1:36">
      <c r="A81" s="29">
        <f t="shared" si="4"/>
        <v>-57</v>
      </c>
      <c r="B81" s="74"/>
      <c r="C81" s="74"/>
      <c r="D81" s="74"/>
      <c r="E81" s="1" t="e">
        <f t="shared" si="16"/>
        <v>#DIV/0!</v>
      </c>
      <c r="F81" s="1" t="e">
        <f t="shared" si="16"/>
        <v>#DIV/0!</v>
      </c>
      <c r="G81" s="1" t="e">
        <f t="shared" si="16"/>
        <v>#DIV/0!</v>
      </c>
      <c r="H81" s="1" t="e">
        <f t="shared" si="16"/>
        <v>#DIV/0!</v>
      </c>
      <c r="I81" s="1" t="e">
        <f t="shared" si="16"/>
        <v>#DIV/0!</v>
      </c>
      <c r="J81" s="1" t="e">
        <f t="shared" ref="J81:AJ81" si="18">(J18-$B18)/$B$4</f>
        <v>#DIV/0!</v>
      </c>
      <c r="K81" s="1" t="e">
        <f t="shared" si="18"/>
        <v>#DIV/0!</v>
      </c>
      <c r="L81" s="1" t="e">
        <f t="shared" si="18"/>
        <v>#DIV/0!</v>
      </c>
      <c r="M81" s="1" t="e">
        <f t="shared" si="18"/>
        <v>#DIV/0!</v>
      </c>
      <c r="N81" s="1" t="e">
        <f t="shared" si="18"/>
        <v>#DIV/0!</v>
      </c>
      <c r="O81" s="1" t="e">
        <f t="shared" si="18"/>
        <v>#DIV/0!</v>
      </c>
      <c r="P81" s="1" t="e">
        <f t="shared" si="18"/>
        <v>#DIV/0!</v>
      </c>
      <c r="Q81" s="1" t="e">
        <f t="shared" si="18"/>
        <v>#DIV/0!</v>
      </c>
      <c r="R81" s="1" t="e">
        <f t="shared" si="18"/>
        <v>#DIV/0!</v>
      </c>
      <c r="S81" s="1" t="e">
        <f t="shared" si="18"/>
        <v>#DIV/0!</v>
      </c>
      <c r="T81" s="1" t="e">
        <f t="shared" si="18"/>
        <v>#DIV/0!</v>
      </c>
      <c r="U81" s="1" t="e">
        <f t="shared" si="18"/>
        <v>#DIV/0!</v>
      </c>
      <c r="V81" s="1" t="e">
        <f t="shared" si="18"/>
        <v>#DIV/0!</v>
      </c>
      <c r="W81" s="1" t="e">
        <f t="shared" si="18"/>
        <v>#DIV/0!</v>
      </c>
      <c r="X81" s="1" t="e">
        <f t="shared" si="18"/>
        <v>#DIV/0!</v>
      </c>
      <c r="Y81" s="1" t="e">
        <f t="shared" si="18"/>
        <v>#DIV/0!</v>
      </c>
      <c r="Z81" s="1" t="e">
        <f t="shared" si="18"/>
        <v>#DIV/0!</v>
      </c>
      <c r="AA81" s="1" t="e">
        <f t="shared" si="18"/>
        <v>#DIV/0!</v>
      </c>
      <c r="AB81" s="1" t="e">
        <f t="shared" si="18"/>
        <v>#DIV/0!</v>
      </c>
      <c r="AC81" s="1" t="e">
        <f t="shared" si="18"/>
        <v>#DIV/0!</v>
      </c>
      <c r="AD81" s="1" t="e">
        <f t="shared" si="18"/>
        <v>#DIV/0!</v>
      </c>
      <c r="AE81" s="1" t="e">
        <f t="shared" si="18"/>
        <v>#DIV/0!</v>
      </c>
      <c r="AF81" s="1" t="e">
        <f t="shared" si="18"/>
        <v>#DIV/0!</v>
      </c>
      <c r="AG81" s="1" t="e">
        <f t="shared" si="18"/>
        <v>#DIV/0!</v>
      </c>
      <c r="AH81" s="1" t="e">
        <f t="shared" si="18"/>
        <v>#DIV/0!</v>
      </c>
      <c r="AI81" s="1" t="e">
        <f t="shared" si="18"/>
        <v>#DIV/0!</v>
      </c>
      <c r="AJ81" s="1" t="e">
        <f t="shared" si="18"/>
        <v>#DIV/0!</v>
      </c>
    </row>
    <row r="82" spans="1:36">
      <c r="A82" s="29">
        <f t="shared" si="4"/>
        <v>-54</v>
      </c>
      <c r="B82" s="74"/>
      <c r="C82" s="74"/>
      <c r="D82" s="74"/>
      <c r="E82" s="1" t="e">
        <f t="shared" si="16"/>
        <v>#DIV/0!</v>
      </c>
      <c r="F82" s="1" t="e">
        <f t="shared" si="16"/>
        <v>#DIV/0!</v>
      </c>
      <c r="G82" s="1" t="e">
        <f t="shared" si="16"/>
        <v>#DIV/0!</v>
      </c>
      <c r="H82" s="1" t="e">
        <f t="shared" si="16"/>
        <v>#DIV/0!</v>
      </c>
      <c r="I82" s="1" t="e">
        <f t="shared" si="16"/>
        <v>#DIV/0!</v>
      </c>
      <c r="J82" s="1" t="e">
        <f t="shared" ref="J82:AJ82" si="19">(J19-$B19)/$B$4</f>
        <v>#DIV/0!</v>
      </c>
      <c r="K82" s="1" t="e">
        <f t="shared" si="19"/>
        <v>#DIV/0!</v>
      </c>
      <c r="L82" s="1" t="e">
        <f t="shared" si="19"/>
        <v>#DIV/0!</v>
      </c>
      <c r="M82" s="1" t="e">
        <f t="shared" si="19"/>
        <v>#DIV/0!</v>
      </c>
      <c r="N82" s="1" t="e">
        <f t="shared" si="19"/>
        <v>#DIV/0!</v>
      </c>
      <c r="O82" s="1" t="e">
        <f t="shared" si="19"/>
        <v>#DIV/0!</v>
      </c>
      <c r="P82" s="1" t="e">
        <f t="shared" si="19"/>
        <v>#DIV/0!</v>
      </c>
      <c r="Q82" s="1" t="e">
        <f t="shared" si="19"/>
        <v>#DIV/0!</v>
      </c>
      <c r="R82" s="1" t="e">
        <f t="shared" si="19"/>
        <v>#DIV/0!</v>
      </c>
      <c r="S82" s="1" t="e">
        <f t="shared" si="19"/>
        <v>#DIV/0!</v>
      </c>
      <c r="T82" s="1" t="e">
        <f t="shared" si="19"/>
        <v>#DIV/0!</v>
      </c>
      <c r="U82" s="1" t="e">
        <f t="shared" si="19"/>
        <v>#DIV/0!</v>
      </c>
      <c r="V82" s="1" t="e">
        <f t="shared" si="19"/>
        <v>#DIV/0!</v>
      </c>
      <c r="W82" s="1" t="e">
        <f t="shared" si="19"/>
        <v>#DIV/0!</v>
      </c>
      <c r="X82" s="1" t="e">
        <f t="shared" si="19"/>
        <v>#DIV/0!</v>
      </c>
      <c r="Y82" s="1" t="e">
        <f t="shared" si="19"/>
        <v>#DIV/0!</v>
      </c>
      <c r="Z82" s="1" t="e">
        <f t="shared" si="19"/>
        <v>#DIV/0!</v>
      </c>
      <c r="AA82" s="1" t="e">
        <f t="shared" si="19"/>
        <v>#DIV/0!</v>
      </c>
      <c r="AB82" s="1" t="e">
        <f t="shared" si="19"/>
        <v>#DIV/0!</v>
      </c>
      <c r="AC82" s="1" t="e">
        <f t="shared" si="19"/>
        <v>#DIV/0!</v>
      </c>
      <c r="AD82" s="1" t="e">
        <f t="shared" si="19"/>
        <v>#DIV/0!</v>
      </c>
      <c r="AE82" s="1" t="e">
        <f t="shared" si="19"/>
        <v>#DIV/0!</v>
      </c>
      <c r="AF82" s="1" t="e">
        <f t="shared" si="19"/>
        <v>#DIV/0!</v>
      </c>
      <c r="AG82" s="1" t="e">
        <f t="shared" si="19"/>
        <v>#DIV/0!</v>
      </c>
      <c r="AH82" s="1" t="e">
        <f t="shared" si="19"/>
        <v>#DIV/0!</v>
      </c>
      <c r="AI82" s="1" t="e">
        <f t="shared" si="19"/>
        <v>#DIV/0!</v>
      </c>
      <c r="AJ82" s="1" t="e">
        <f t="shared" si="19"/>
        <v>#DIV/0!</v>
      </c>
    </row>
    <row r="83" spans="1:36">
      <c r="A83" s="29">
        <f t="shared" si="4"/>
        <v>-51</v>
      </c>
      <c r="B83" s="74"/>
      <c r="C83" s="74"/>
      <c r="D83" s="74"/>
      <c r="E83" s="1" t="e">
        <f t="shared" si="16"/>
        <v>#DIV/0!</v>
      </c>
      <c r="F83" s="1" t="e">
        <f t="shared" si="16"/>
        <v>#DIV/0!</v>
      </c>
      <c r="G83" s="1" t="e">
        <f t="shared" si="16"/>
        <v>#DIV/0!</v>
      </c>
      <c r="H83" s="1" t="e">
        <f t="shared" si="16"/>
        <v>#DIV/0!</v>
      </c>
      <c r="I83" s="1" t="e">
        <f t="shared" si="16"/>
        <v>#DIV/0!</v>
      </c>
      <c r="J83" s="1" t="e">
        <f t="shared" ref="J83:AJ83" si="20">(J20-$B20)/$B$4</f>
        <v>#DIV/0!</v>
      </c>
      <c r="K83" s="1" t="e">
        <f t="shared" si="20"/>
        <v>#DIV/0!</v>
      </c>
      <c r="L83" s="1" t="e">
        <f t="shared" si="20"/>
        <v>#DIV/0!</v>
      </c>
      <c r="M83" s="1" t="e">
        <f t="shared" si="20"/>
        <v>#DIV/0!</v>
      </c>
      <c r="N83" s="1" t="e">
        <f t="shared" si="20"/>
        <v>#DIV/0!</v>
      </c>
      <c r="O83" s="1" t="e">
        <f t="shared" si="20"/>
        <v>#DIV/0!</v>
      </c>
      <c r="P83" s="1" t="e">
        <f t="shared" si="20"/>
        <v>#DIV/0!</v>
      </c>
      <c r="Q83" s="1" t="e">
        <f t="shared" si="20"/>
        <v>#DIV/0!</v>
      </c>
      <c r="R83" s="1" t="e">
        <f t="shared" si="20"/>
        <v>#DIV/0!</v>
      </c>
      <c r="S83" s="1" t="e">
        <f t="shared" si="20"/>
        <v>#DIV/0!</v>
      </c>
      <c r="T83" s="1" t="e">
        <f t="shared" si="20"/>
        <v>#DIV/0!</v>
      </c>
      <c r="U83" s="1" t="e">
        <f t="shared" si="20"/>
        <v>#DIV/0!</v>
      </c>
      <c r="V83" s="1" t="e">
        <f t="shared" si="20"/>
        <v>#DIV/0!</v>
      </c>
      <c r="W83" s="1" t="e">
        <f t="shared" si="20"/>
        <v>#DIV/0!</v>
      </c>
      <c r="X83" s="1" t="e">
        <f t="shared" si="20"/>
        <v>#DIV/0!</v>
      </c>
      <c r="Y83" s="1" t="e">
        <f t="shared" si="20"/>
        <v>#DIV/0!</v>
      </c>
      <c r="Z83" s="1" t="e">
        <f t="shared" si="20"/>
        <v>#DIV/0!</v>
      </c>
      <c r="AA83" s="1" t="e">
        <f t="shared" si="20"/>
        <v>#DIV/0!</v>
      </c>
      <c r="AB83" s="1" t="e">
        <f t="shared" si="20"/>
        <v>#DIV/0!</v>
      </c>
      <c r="AC83" s="1" t="e">
        <f t="shared" si="20"/>
        <v>#DIV/0!</v>
      </c>
      <c r="AD83" s="1" t="e">
        <f t="shared" si="20"/>
        <v>#DIV/0!</v>
      </c>
      <c r="AE83" s="1" t="e">
        <f t="shared" si="20"/>
        <v>#DIV/0!</v>
      </c>
      <c r="AF83" s="1" t="e">
        <f t="shared" si="20"/>
        <v>#DIV/0!</v>
      </c>
      <c r="AG83" s="1" t="e">
        <f t="shared" si="20"/>
        <v>#DIV/0!</v>
      </c>
      <c r="AH83" s="1" t="e">
        <f t="shared" si="20"/>
        <v>#DIV/0!</v>
      </c>
      <c r="AI83" s="1" t="e">
        <f t="shared" si="20"/>
        <v>#DIV/0!</v>
      </c>
      <c r="AJ83" s="1" t="e">
        <f t="shared" si="20"/>
        <v>#DIV/0!</v>
      </c>
    </row>
    <row r="84" spans="1:36">
      <c r="A84" s="29">
        <f t="shared" si="4"/>
        <v>-48</v>
      </c>
      <c r="B84" s="74"/>
      <c r="C84" s="74"/>
      <c r="D84" s="74"/>
      <c r="E84" s="1" t="e">
        <f t="shared" si="16"/>
        <v>#DIV/0!</v>
      </c>
      <c r="F84" s="1" t="e">
        <f t="shared" si="16"/>
        <v>#DIV/0!</v>
      </c>
      <c r="G84" s="1" t="e">
        <f t="shared" si="16"/>
        <v>#DIV/0!</v>
      </c>
      <c r="H84" s="1" t="e">
        <f t="shared" si="16"/>
        <v>#DIV/0!</v>
      </c>
      <c r="I84" s="1" t="e">
        <f t="shared" si="16"/>
        <v>#DIV/0!</v>
      </c>
      <c r="J84" s="1" t="e">
        <f t="shared" ref="J84:AJ84" si="21">(J21-$B21)/$B$4</f>
        <v>#DIV/0!</v>
      </c>
      <c r="K84" s="1" t="e">
        <f t="shared" si="21"/>
        <v>#DIV/0!</v>
      </c>
      <c r="L84" s="1" t="e">
        <f t="shared" si="21"/>
        <v>#DIV/0!</v>
      </c>
      <c r="M84" s="1" t="e">
        <f t="shared" si="21"/>
        <v>#DIV/0!</v>
      </c>
      <c r="N84" s="1" t="e">
        <f t="shared" si="21"/>
        <v>#DIV/0!</v>
      </c>
      <c r="O84" s="1" t="e">
        <f t="shared" si="21"/>
        <v>#DIV/0!</v>
      </c>
      <c r="P84" s="1" t="e">
        <f t="shared" si="21"/>
        <v>#DIV/0!</v>
      </c>
      <c r="Q84" s="1" t="e">
        <f t="shared" si="21"/>
        <v>#DIV/0!</v>
      </c>
      <c r="R84" s="1" t="e">
        <f t="shared" si="21"/>
        <v>#DIV/0!</v>
      </c>
      <c r="S84" s="1" t="e">
        <f t="shared" si="21"/>
        <v>#DIV/0!</v>
      </c>
      <c r="T84" s="1" t="e">
        <f t="shared" si="21"/>
        <v>#DIV/0!</v>
      </c>
      <c r="U84" s="1" t="e">
        <f t="shared" si="21"/>
        <v>#DIV/0!</v>
      </c>
      <c r="V84" s="1" t="e">
        <f t="shared" si="21"/>
        <v>#DIV/0!</v>
      </c>
      <c r="W84" s="1" t="e">
        <f t="shared" si="21"/>
        <v>#DIV/0!</v>
      </c>
      <c r="X84" s="1" t="e">
        <f t="shared" si="21"/>
        <v>#DIV/0!</v>
      </c>
      <c r="Y84" s="1" t="e">
        <f t="shared" si="21"/>
        <v>#DIV/0!</v>
      </c>
      <c r="Z84" s="1" t="e">
        <f t="shared" si="21"/>
        <v>#DIV/0!</v>
      </c>
      <c r="AA84" s="1" t="e">
        <f t="shared" si="21"/>
        <v>#DIV/0!</v>
      </c>
      <c r="AB84" s="1" t="e">
        <f t="shared" si="21"/>
        <v>#DIV/0!</v>
      </c>
      <c r="AC84" s="1" t="e">
        <f t="shared" si="21"/>
        <v>#DIV/0!</v>
      </c>
      <c r="AD84" s="1" t="e">
        <f t="shared" si="21"/>
        <v>#DIV/0!</v>
      </c>
      <c r="AE84" s="1" t="e">
        <f t="shared" si="21"/>
        <v>#DIV/0!</v>
      </c>
      <c r="AF84" s="1" t="e">
        <f t="shared" si="21"/>
        <v>#DIV/0!</v>
      </c>
      <c r="AG84" s="1" t="e">
        <f t="shared" si="21"/>
        <v>#DIV/0!</v>
      </c>
      <c r="AH84" s="1" t="e">
        <f t="shared" si="21"/>
        <v>#DIV/0!</v>
      </c>
      <c r="AI84" s="1" t="e">
        <f t="shared" si="21"/>
        <v>#DIV/0!</v>
      </c>
      <c r="AJ84" s="1" t="e">
        <f t="shared" si="21"/>
        <v>#DIV/0!</v>
      </c>
    </row>
    <row r="85" spans="1:36">
      <c r="A85" s="29">
        <f t="shared" si="4"/>
        <v>-45</v>
      </c>
      <c r="B85" s="74"/>
      <c r="C85" s="74"/>
      <c r="D85" s="74"/>
      <c r="E85" s="1" t="e">
        <f t="shared" si="16"/>
        <v>#DIV/0!</v>
      </c>
      <c r="F85" s="1" t="e">
        <f t="shared" si="16"/>
        <v>#DIV/0!</v>
      </c>
      <c r="G85" s="1" t="e">
        <f t="shared" si="16"/>
        <v>#DIV/0!</v>
      </c>
      <c r="H85" s="1" t="e">
        <f t="shared" si="16"/>
        <v>#DIV/0!</v>
      </c>
      <c r="I85" s="1" t="e">
        <f t="shared" si="16"/>
        <v>#DIV/0!</v>
      </c>
      <c r="J85" s="1" t="e">
        <f t="shared" ref="J85:AJ85" si="22">(J22-$B22)/$B$4</f>
        <v>#DIV/0!</v>
      </c>
      <c r="K85" s="1" t="e">
        <f t="shared" si="22"/>
        <v>#DIV/0!</v>
      </c>
      <c r="L85" s="1" t="e">
        <f t="shared" si="22"/>
        <v>#DIV/0!</v>
      </c>
      <c r="M85" s="1" t="e">
        <f t="shared" si="22"/>
        <v>#DIV/0!</v>
      </c>
      <c r="N85" s="1" t="e">
        <f t="shared" si="22"/>
        <v>#DIV/0!</v>
      </c>
      <c r="O85" s="1" t="e">
        <f t="shared" si="22"/>
        <v>#DIV/0!</v>
      </c>
      <c r="P85" s="1" t="e">
        <f t="shared" si="22"/>
        <v>#DIV/0!</v>
      </c>
      <c r="Q85" s="1" t="e">
        <f t="shared" si="22"/>
        <v>#DIV/0!</v>
      </c>
      <c r="R85" s="1" t="e">
        <f t="shared" si="22"/>
        <v>#DIV/0!</v>
      </c>
      <c r="S85" s="1" t="e">
        <f t="shared" si="22"/>
        <v>#DIV/0!</v>
      </c>
      <c r="T85" s="1" t="e">
        <f t="shared" si="22"/>
        <v>#DIV/0!</v>
      </c>
      <c r="U85" s="1" t="e">
        <f t="shared" si="22"/>
        <v>#DIV/0!</v>
      </c>
      <c r="V85" s="1" t="e">
        <f t="shared" si="22"/>
        <v>#DIV/0!</v>
      </c>
      <c r="W85" s="1" t="e">
        <f t="shared" si="22"/>
        <v>#DIV/0!</v>
      </c>
      <c r="X85" s="1" t="e">
        <f t="shared" si="22"/>
        <v>#DIV/0!</v>
      </c>
      <c r="Y85" s="1" t="e">
        <f t="shared" si="22"/>
        <v>#DIV/0!</v>
      </c>
      <c r="Z85" s="1" t="e">
        <f t="shared" si="22"/>
        <v>#DIV/0!</v>
      </c>
      <c r="AA85" s="1" t="e">
        <f t="shared" si="22"/>
        <v>#DIV/0!</v>
      </c>
      <c r="AB85" s="1" t="e">
        <f t="shared" si="22"/>
        <v>#DIV/0!</v>
      </c>
      <c r="AC85" s="1" t="e">
        <f t="shared" si="22"/>
        <v>#DIV/0!</v>
      </c>
      <c r="AD85" s="1" t="e">
        <f t="shared" si="22"/>
        <v>#DIV/0!</v>
      </c>
      <c r="AE85" s="1" t="e">
        <f t="shared" si="22"/>
        <v>#DIV/0!</v>
      </c>
      <c r="AF85" s="1" t="e">
        <f t="shared" si="22"/>
        <v>#DIV/0!</v>
      </c>
      <c r="AG85" s="1" t="e">
        <f t="shared" si="22"/>
        <v>#DIV/0!</v>
      </c>
      <c r="AH85" s="1" t="e">
        <f t="shared" si="22"/>
        <v>#DIV/0!</v>
      </c>
      <c r="AI85" s="1" t="e">
        <f t="shared" si="22"/>
        <v>#DIV/0!</v>
      </c>
      <c r="AJ85" s="1" t="e">
        <f t="shared" si="22"/>
        <v>#DIV/0!</v>
      </c>
    </row>
    <row r="86" spans="1:36">
      <c r="A86" s="29">
        <f t="shared" si="4"/>
        <v>-42</v>
      </c>
      <c r="B86" s="74"/>
      <c r="C86" s="74"/>
      <c r="D86" s="74"/>
      <c r="E86" s="1" t="e">
        <f t="shared" si="16"/>
        <v>#DIV/0!</v>
      </c>
      <c r="F86" s="1" t="e">
        <f t="shared" si="16"/>
        <v>#DIV/0!</v>
      </c>
      <c r="G86" s="1" t="e">
        <f t="shared" si="16"/>
        <v>#DIV/0!</v>
      </c>
      <c r="H86" s="1" t="e">
        <f t="shared" si="16"/>
        <v>#DIV/0!</v>
      </c>
      <c r="I86" s="1" t="e">
        <f t="shared" si="16"/>
        <v>#DIV/0!</v>
      </c>
      <c r="J86" s="1" t="e">
        <f t="shared" ref="J86:AJ86" si="23">(J23-$B23)/$B$4</f>
        <v>#DIV/0!</v>
      </c>
      <c r="K86" s="1" t="e">
        <f t="shared" si="23"/>
        <v>#DIV/0!</v>
      </c>
      <c r="L86" s="1" t="e">
        <f t="shared" si="23"/>
        <v>#DIV/0!</v>
      </c>
      <c r="M86" s="1" t="e">
        <f t="shared" si="23"/>
        <v>#DIV/0!</v>
      </c>
      <c r="N86" s="1" t="e">
        <f t="shared" si="23"/>
        <v>#DIV/0!</v>
      </c>
      <c r="O86" s="1" t="e">
        <f t="shared" si="23"/>
        <v>#DIV/0!</v>
      </c>
      <c r="P86" s="1" t="e">
        <f t="shared" si="23"/>
        <v>#DIV/0!</v>
      </c>
      <c r="Q86" s="1" t="e">
        <f t="shared" si="23"/>
        <v>#DIV/0!</v>
      </c>
      <c r="R86" s="1" t="e">
        <f t="shared" si="23"/>
        <v>#DIV/0!</v>
      </c>
      <c r="S86" s="1" t="e">
        <f t="shared" si="23"/>
        <v>#DIV/0!</v>
      </c>
      <c r="T86" s="1" t="e">
        <f t="shared" si="23"/>
        <v>#DIV/0!</v>
      </c>
      <c r="U86" s="1" t="e">
        <f t="shared" si="23"/>
        <v>#DIV/0!</v>
      </c>
      <c r="V86" s="1" t="e">
        <f t="shared" si="23"/>
        <v>#DIV/0!</v>
      </c>
      <c r="W86" s="1" t="e">
        <f t="shared" si="23"/>
        <v>#DIV/0!</v>
      </c>
      <c r="X86" s="1" t="e">
        <f t="shared" si="23"/>
        <v>#DIV/0!</v>
      </c>
      <c r="Y86" s="1" t="e">
        <f t="shared" si="23"/>
        <v>#DIV/0!</v>
      </c>
      <c r="Z86" s="1" t="e">
        <f t="shared" si="23"/>
        <v>#DIV/0!</v>
      </c>
      <c r="AA86" s="1" t="e">
        <f t="shared" si="23"/>
        <v>#DIV/0!</v>
      </c>
      <c r="AB86" s="1" t="e">
        <f t="shared" si="23"/>
        <v>#DIV/0!</v>
      </c>
      <c r="AC86" s="1" t="e">
        <f t="shared" si="23"/>
        <v>#DIV/0!</v>
      </c>
      <c r="AD86" s="1" t="e">
        <f t="shared" si="23"/>
        <v>#DIV/0!</v>
      </c>
      <c r="AE86" s="1" t="e">
        <f t="shared" si="23"/>
        <v>#DIV/0!</v>
      </c>
      <c r="AF86" s="1" t="e">
        <f t="shared" si="23"/>
        <v>#DIV/0!</v>
      </c>
      <c r="AG86" s="1" t="e">
        <f t="shared" si="23"/>
        <v>#DIV/0!</v>
      </c>
      <c r="AH86" s="1" t="e">
        <f t="shared" si="23"/>
        <v>#DIV/0!</v>
      </c>
      <c r="AI86" s="1" t="e">
        <f t="shared" si="23"/>
        <v>#DIV/0!</v>
      </c>
      <c r="AJ86" s="1" t="e">
        <f t="shared" si="23"/>
        <v>#DIV/0!</v>
      </c>
    </row>
    <row r="87" spans="1:36">
      <c r="A87" s="29">
        <f t="shared" si="4"/>
        <v>-39</v>
      </c>
      <c r="B87" s="74"/>
      <c r="C87" s="74"/>
      <c r="D87" s="74"/>
      <c r="E87" s="1" t="e">
        <f t="shared" si="16"/>
        <v>#DIV/0!</v>
      </c>
      <c r="F87" s="1" t="e">
        <f t="shared" si="16"/>
        <v>#DIV/0!</v>
      </c>
      <c r="G87" s="1" t="e">
        <f t="shared" si="16"/>
        <v>#DIV/0!</v>
      </c>
      <c r="H87" s="1" t="e">
        <f t="shared" si="16"/>
        <v>#DIV/0!</v>
      </c>
      <c r="I87" s="1" t="e">
        <f t="shared" si="16"/>
        <v>#DIV/0!</v>
      </c>
      <c r="J87" s="1" t="e">
        <f t="shared" ref="J87:AJ87" si="24">(J24-$B24)/$B$4</f>
        <v>#DIV/0!</v>
      </c>
      <c r="K87" s="1" t="e">
        <f t="shared" si="24"/>
        <v>#DIV/0!</v>
      </c>
      <c r="L87" s="1" t="e">
        <f t="shared" si="24"/>
        <v>#DIV/0!</v>
      </c>
      <c r="M87" s="1" t="e">
        <f t="shared" si="24"/>
        <v>#DIV/0!</v>
      </c>
      <c r="N87" s="1" t="e">
        <f t="shared" si="24"/>
        <v>#DIV/0!</v>
      </c>
      <c r="O87" s="1" t="e">
        <f t="shared" si="24"/>
        <v>#DIV/0!</v>
      </c>
      <c r="P87" s="1" t="e">
        <f t="shared" si="24"/>
        <v>#DIV/0!</v>
      </c>
      <c r="Q87" s="1" t="e">
        <f t="shared" si="24"/>
        <v>#DIV/0!</v>
      </c>
      <c r="R87" s="1" t="e">
        <f t="shared" si="24"/>
        <v>#DIV/0!</v>
      </c>
      <c r="S87" s="1" t="e">
        <f t="shared" si="24"/>
        <v>#DIV/0!</v>
      </c>
      <c r="T87" s="1" t="e">
        <f t="shared" si="24"/>
        <v>#DIV/0!</v>
      </c>
      <c r="U87" s="1" t="e">
        <f t="shared" si="24"/>
        <v>#DIV/0!</v>
      </c>
      <c r="V87" s="1" t="e">
        <f t="shared" si="24"/>
        <v>#DIV/0!</v>
      </c>
      <c r="W87" s="1" t="e">
        <f t="shared" si="24"/>
        <v>#DIV/0!</v>
      </c>
      <c r="X87" s="1" t="e">
        <f t="shared" si="24"/>
        <v>#DIV/0!</v>
      </c>
      <c r="Y87" s="1" t="e">
        <f t="shared" si="24"/>
        <v>#DIV/0!</v>
      </c>
      <c r="Z87" s="1" t="e">
        <f t="shared" si="24"/>
        <v>#DIV/0!</v>
      </c>
      <c r="AA87" s="1" t="e">
        <f t="shared" si="24"/>
        <v>#DIV/0!</v>
      </c>
      <c r="AB87" s="1" t="e">
        <f t="shared" si="24"/>
        <v>#DIV/0!</v>
      </c>
      <c r="AC87" s="1" t="e">
        <f t="shared" si="24"/>
        <v>#DIV/0!</v>
      </c>
      <c r="AD87" s="1" t="e">
        <f t="shared" si="24"/>
        <v>#DIV/0!</v>
      </c>
      <c r="AE87" s="1" t="e">
        <f t="shared" si="24"/>
        <v>#DIV/0!</v>
      </c>
      <c r="AF87" s="1" t="e">
        <f t="shared" si="24"/>
        <v>#DIV/0!</v>
      </c>
      <c r="AG87" s="1" t="e">
        <f t="shared" si="24"/>
        <v>#DIV/0!</v>
      </c>
      <c r="AH87" s="1" t="e">
        <f t="shared" si="24"/>
        <v>#DIV/0!</v>
      </c>
      <c r="AI87" s="1" t="e">
        <f t="shared" si="24"/>
        <v>#DIV/0!</v>
      </c>
      <c r="AJ87" s="1" t="e">
        <f t="shared" si="24"/>
        <v>#DIV/0!</v>
      </c>
    </row>
    <row r="88" spans="1:36">
      <c r="A88" s="29">
        <f t="shared" si="4"/>
        <v>-36</v>
      </c>
      <c r="B88" s="74"/>
      <c r="C88" s="74"/>
      <c r="D88" s="74"/>
      <c r="E88" s="1" t="e">
        <f t="shared" si="16"/>
        <v>#DIV/0!</v>
      </c>
      <c r="F88" s="1" t="e">
        <f t="shared" si="16"/>
        <v>#DIV/0!</v>
      </c>
      <c r="G88" s="1" t="e">
        <f t="shared" si="16"/>
        <v>#DIV/0!</v>
      </c>
      <c r="H88" s="1" t="e">
        <f t="shared" si="16"/>
        <v>#DIV/0!</v>
      </c>
      <c r="I88" s="1" t="e">
        <f t="shared" si="16"/>
        <v>#DIV/0!</v>
      </c>
      <c r="J88" s="1" t="e">
        <f t="shared" ref="J88:AJ88" si="25">(J25-$B25)/$B$4</f>
        <v>#DIV/0!</v>
      </c>
      <c r="K88" s="1" t="e">
        <f t="shared" si="25"/>
        <v>#DIV/0!</v>
      </c>
      <c r="L88" s="1" t="e">
        <f t="shared" si="25"/>
        <v>#DIV/0!</v>
      </c>
      <c r="M88" s="1" t="e">
        <f t="shared" si="25"/>
        <v>#DIV/0!</v>
      </c>
      <c r="N88" s="1" t="e">
        <f t="shared" si="25"/>
        <v>#DIV/0!</v>
      </c>
      <c r="O88" s="1" t="e">
        <f t="shared" si="25"/>
        <v>#DIV/0!</v>
      </c>
      <c r="P88" s="1" t="e">
        <f t="shared" si="25"/>
        <v>#DIV/0!</v>
      </c>
      <c r="Q88" s="1" t="e">
        <f t="shared" si="25"/>
        <v>#DIV/0!</v>
      </c>
      <c r="R88" s="1" t="e">
        <f t="shared" si="25"/>
        <v>#DIV/0!</v>
      </c>
      <c r="S88" s="1" t="e">
        <f t="shared" si="25"/>
        <v>#DIV/0!</v>
      </c>
      <c r="T88" s="1" t="e">
        <f t="shared" si="25"/>
        <v>#DIV/0!</v>
      </c>
      <c r="U88" s="1" t="e">
        <f t="shared" si="25"/>
        <v>#DIV/0!</v>
      </c>
      <c r="V88" s="1" t="e">
        <f t="shared" si="25"/>
        <v>#DIV/0!</v>
      </c>
      <c r="W88" s="1" t="e">
        <f t="shared" si="25"/>
        <v>#DIV/0!</v>
      </c>
      <c r="X88" s="1" t="e">
        <f t="shared" si="25"/>
        <v>#DIV/0!</v>
      </c>
      <c r="Y88" s="1" t="e">
        <f t="shared" si="25"/>
        <v>#DIV/0!</v>
      </c>
      <c r="Z88" s="1" t="e">
        <f t="shared" si="25"/>
        <v>#DIV/0!</v>
      </c>
      <c r="AA88" s="1" t="e">
        <f t="shared" si="25"/>
        <v>#DIV/0!</v>
      </c>
      <c r="AB88" s="1" t="e">
        <f t="shared" si="25"/>
        <v>#DIV/0!</v>
      </c>
      <c r="AC88" s="1" t="e">
        <f t="shared" si="25"/>
        <v>#DIV/0!</v>
      </c>
      <c r="AD88" s="1" t="e">
        <f t="shared" si="25"/>
        <v>#DIV/0!</v>
      </c>
      <c r="AE88" s="1" t="e">
        <f t="shared" si="25"/>
        <v>#DIV/0!</v>
      </c>
      <c r="AF88" s="1" t="e">
        <f t="shared" si="25"/>
        <v>#DIV/0!</v>
      </c>
      <c r="AG88" s="1" t="e">
        <f t="shared" si="25"/>
        <v>#DIV/0!</v>
      </c>
      <c r="AH88" s="1" t="e">
        <f t="shared" si="25"/>
        <v>#DIV/0!</v>
      </c>
      <c r="AI88" s="1" t="e">
        <f t="shared" si="25"/>
        <v>#DIV/0!</v>
      </c>
      <c r="AJ88" s="1" t="e">
        <f t="shared" si="25"/>
        <v>#DIV/0!</v>
      </c>
    </row>
    <row r="89" spans="1:36">
      <c r="A89" s="29">
        <f t="shared" si="4"/>
        <v>-33</v>
      </c>
      <c r="B89" s="74"/>
      <c r="C89" s="74"/>
      <c r="D89" s="74"/>
      <c r="E89" s="1" t="e">
        <f t="shared" si="16"/>
        <v>#DIV/0!</v>
      </c>
      <c r="F89" s="1" t="e">
        <f t="shared" si="16"/>
        <v>#DIV/0!</v>
      </c>
      <c r="G89" s="1" t="e">
        <f t="shared" si="16"/>
        <v>#DIV/0!</v>
      </c>
      <c r="H89" s="1" t="e">
        <f t="shared" si="16"/>
        <v>#DIV/0!</v>
      </c>
      <c r="I89" s="1" t="e">
        <f t="shared" si="16"/>
        <v>#DIV/0!</v>
      </c>
      <c r="J89" s="1" t="e">
        <f t="shared" ref="J89:AJ89" si="26">(J26-$B26)/$B$4</f>
        <v>#DIV/0!</v>
      </c>
      <c r="K89" s="1" t="e">
        <f t="shared" si="26"/>
        <v>#DIV/0!</v>
      </c>
      <c r="L89" s="1" t="e">
        <f t="shared" si="26"/>
        <v>#DIV/0!</v>
      </c>
      <c r="M89" s="1" t="e">
        <f t="shared" si="26"/>
        <v>#DIV/0!</v>
      </c>
      <c r="N89" s="1" t="e">
        <f t="shared" si="26"/>
        <v>#DIV/0!</v>
      </c>
      <c r="O89" s="1" t="e">
        <f t="shared" si="26"/>
        <v>#DIV/0!</v>
      </c>
      <c r="P89" s="1" t="e">
        <f t="shared" si="26"/>
        <v>#DIV/0!</v>
      </c>
      <c r="Q89" s="1" t="e">
        <f t="shared" si="26"/>
        <v>#DIV/0!</v>
      </c>
      <c r="R89" s="1" t="e">
        <f t="shared" si="26"/>
        <v>#DIV/0!</v>
      </c>
      <c r="S89" s="1" t="e">
        <f t="shared" si="26"/>
        <v>#DIV/0!</v>
      </c>
      <c r="T89" s="1" t="e">
        <f t="shared" si="26"/>
        <v>#DIV/0!</v>
      </c>
      <c r="U89" s="1" t="e">
        <f t="shared" si="26"/>
        <v>#DIV/0!</v>
      </c>
      <c r="V89" s="1" t="e">
        <f t="shared" si="26"/>
        <v>#DIV/0!</v>
      </c>
      <c r="W89" s="1" t="e">
        <f t="shared" si="26"/>
        <v>#DIV/0!</v>
      </c>
      <c r="X89" s="1" t="e">
        <f t="shared" si="26"/>
        <v>#DIV/0!</v>
      </c>
      <c r="Y89" s="1" t="e">
        <f t="shared" si="26"/>
        <v>#DIV/0!</v>
      </c>
      <c r="Z89" s="1" t="e">
        <f t="shared" si="26"/>
        <v>#DIV/0!</v>
      </c>
      <c r="AA89" s="1" t="e">
        <f t="shared" si="26"/>
        <v>#DIV/0!</v>
      </c>
      <c r="AB89" s="1" t="e">
        <f t="shared" si="26"/>
        <v>#DIV/0!</v>
      </c>
      <c r="AC89" s="1" t="e">
        <f t="shared" si="26"/>
        <v>#DIV/0!</v>
      </c>
      <c r="AD89" s="1" t="e">
        <f t="shared" si="26"/>
        <v>#DIV/0!</v>
      </c>
      <c r="AE89" s="1" t="e">
        <f t="shared" si="26"/>
        <v>#DIV/0!</v>
      </c>
      <c r="AF89" s="1" t="e">
        <f t="shared" si="26"/>
        <v>#DIV/0!</v>
      </c>
      <c r="AG89" s="1" t="e">
        <f t="shared" si="26"/>
        <v>#DIV/0!</v>
      </c>
      <c r="AH89" s="1" t="e">
        <f t="shared" si="26"/>
        <v>#DIV/0!</v>
      </c>
      <c r="AI89" s="1" t="e">
        <f t="shared" si="26"/>
        <v>#DIV/0!</v>
      </c>
      <c r="AJ89" s="1" t="e">
        <f t="shared" si="26"/>
        <v>#DIV/0!</v>
      </c>
    </row>
    <row r="90" spans="1:36">
      <c r="A90" s="29">
        <f t="shared" si="4"/>
        <v>-30</v>
      </c>
      <c r="B90" s="74"/>
      <c r="C90" s="74"/>
      <c r="D90" s="74"/>
      <c r="E90" s="1" t="e">
        <f t="shared" ref="E90:I99" si="27">(E27-$B27)/$B$4</f>
        <v>#DIV/0!</v>
      </c>
      <c r="F90" s="1" t="e">
        <f t="shared" si="27"/>
        <v>#DIV/0!</v>
      </c>
      <c r="G90" s="1" t="e">
        <f t="shared" si="27"/>
        <v>#DIV/0!</v>
      </c>
      <c r="H90" s="1" t="e">
        <f t="shared" si="27"/>
        <v>#DIV/0!</v>
      </c>
      <c r="I90" s="1" t="e">
        <f t="shared" si="27"/>
        <v>#DIV/0!</v>
      </c>
      <c r="J90" s="1" t="e">
        <f t="shared" ref="J90:AJ90" si="28">(J27-$B27)/$B$4</f>
        <v>#DIV/0!</v>
      </c>
      <c r="K90" s="1" t="e">
        <f t="shared" si="28"/>
        <v>#DIV/0!</v>
      </c>
      <c r="L90" s="1" t="e">
        <f t="shared" si="28"/>
        <v>#DIV/0!</v>
      </c>
      <c r="M90" s="1" t="e">
        <f t="shared" si="28"/>
        <v>#DIV/0!</v>
      </c>
      <c r="N90" s="1" t="e">
        <f t="shared" si="28"/>
        <v>#DIV/0!</v>
      </c>
      <c r="O90" s="1" t="e">
        <f t="shared" si="28"/>
        <v>#DIV/0!</v>
      </c>
      <c r="P90" s="1" t="e">
        <f t="shared" si="28"/>
        <v>#DIV/0!</v>
      </c>
      <c r="Q90" s="1" t="e">
        <f t="shared" si="28"/>
        <v>#DIV/0!</v>
      </c>
      <c r="R90" s="1" t="e">
        <f t="shared" si="28"/>
        <v>#DIV/0!</v>
      </c>
      <c r="S90" s="1" t="e">
        <f t="shared" si="28"/>
        <v>#DIV/0!</v>
      </c>
      <c r="T90" s="1" t="e">
        <f t="shared" si="28"/>
        <v>#DIV/0!</v>
      </c>
      <c r="U90" s="1" t="e">
        <f t="shared" si="28"/>
        <v>#DIV/0!</v>
      </c>
      <c r="V90" s="1" t="e">
        <f t="shared" si="28"/>
        <v>#DIV/0!</v>
      </c>
      <c r="W90" s="1" t="e">
        <f t="shared" si="28"/>
        <v>#DIV/0!</v>
      </c>
      <c r="X90" s="1" t="e">
        <f t="shared" si="28"/>
        <v>#DIV/0!</v>
      </c>
      <c r="Y90" s="1" t="e">
        <f t="shared" si="28"/>
        <v>#DIV/0!</v>
      </c>
      <c r="Z90" s="1" t="e">
        <f t="shared" si="28"/>
        <v>#DIV/0!</v>
      </c>
      <c r="AA90" s="1" t="e">
        <f t="shared" si="28"/>
        <v>#DIV/0!</v>
      </c>
      <c r="AB90" s="1" t="e">
        <f t="shared" si="28"/>
        <v>#DIV/0!</v>
      </c>
      <c r="AC90" s="1" t="e">
        <f t="shared" si="28"/>
        <v>#DIV/0!</v>
      </c>
      <c r="AD90" s="1" t="e">
        <f t="shared" si="28"/>
        <v>#DIV/0!</v>
      </c>
      <c r="AE90" s="1" t="e">
        <f t="shared" si="28"/>
        <v>#DIV/0!</v>
      </c>
      <c r="AF90" s="1" t="e">
        <f t="shared" si="28"/>
        <v>#DIV/0!</v>
      </c>
      <c r="AG90" s="1" t="e">
        <f t="shared" si="28"/>
        <v>#DIV/0!</v>
      </c>
      <c r="AH90" s="1" t="e">
        <f t="shared" si="28"/>
        <v>#DIV/0!</v>
      </c>
      <c r="AI90" s="1" t="e">
        <f t="shared" si="28"/>
        <v>#DIV/0!</v>
      </c>
      <c r="AJ90" s="1" t="e">
        <f t="shared" si="28"/>
        <v>#DIV/0!</v>
      </c>
    </row>
    <row r="91" spans="1:36">
      <c r="A91" s="29">
        <f t="shared" si="4"/>
        <v>-27</v>
      </c>
      <c r="B91" s="74"/>
      <c r="C91" s="74"/>
      <c r="D91" s="74"/>
      <c r="E91" s="1" t="e">
        <f t="shared" si="27"/>
        <v>#DIV/0!</v>
      </c>
      <c r="F91" s="1" t="e">
        <f t="shared" si="27"/>
        <v>#DIV/0!</v>
      </c>
      <c r="G91" s="1" t="e">
        <f t="shared" si="27"/>
        <v>#DIV/0!</v>
      </c>
      <c r="H91" s="1" t="e">
        <f t="shared" si="27"/>
        <v>#DIV/0!</v>
      </c>
      <c r="I91" s="1" t="e">
        <f t="shared" si="27"/>
        <v>#DIV/0!</v>
      </c>
      <c r="J91" s="1" t="e">
        <f t="shared" ref="J91:AJ91" si="29">(J28-$B28)/$B$4</f>
        <v>#DIV/0!</v>
      </c>
      <c r="K91" s="1" t="e">
        <f t="shared" si="29"/>
        <v>#DIV/0!</v>
      </c>
      <c r="L91" s="1" t="e">
        <f t="shared" si="29"/>
        <v>#DIV/0!</v>
      </c>
      <c r="M91" s="1" t="e">
        <f t="shared" si="29"/>
        <v>#DIV/0!</v>
      </c>
      <c r="N91" s="1" t="e">
        <f t="shared" si="29"/>
        <v>#DIV/0!</v>
      </c>
      <c r="O91" s="1" t="e">
        <f t="shared" si="29"/>
        <v>#DIV/0!</v>
      </c>
      <c r="P91" s="1" t="e">
        <f t="shared" si="29"/>
        <v>#DIV/0!</v>
      </c>
      <c r="Q91" s="1" t="e">
        <f t="shared" si="29"/>
        <v>#DIV/0!</v>
      </c>
      <c r="R91" s="1" t="e">
        <f t="shared" si="29"/>
        <v>#DIV/0!</v>
      </c>
      <c r="S91" s="1" t="e">
        <f t="shared" si="29"/>
        <v>#DIV/0!</v>
      </c>
      <c r="T91" s="1" t="e">
        <f t="shared" si="29"/>
        <v>#DIV/0!</v>
      </c>
      <c r="U91" s="1" t="e">
        <f t="shared" si="29"/>
        <v>#DIV/0!</v>
      </c>
      <c r="V91" s="1" t="e">
        <f t="shared" si="29"/>
        <v>#DIV/0!</v>
      </c>
      <c r="W91" s="1" t="e">
        <f t="shared" si="29"/>
        <v>#DIV/0!</v>
      </c>
      <c r="X91" s="1" t="e">
        <f t="shared" si="29"/>
        <v>#DIV/0!</v>
      </c>
      <c r="Y91" s="1" t="e">
        <f t="shared" si="29"/>
        <v>#DIV/0!</v>
      </c>
      <c r="Z91" s="1" t="e">
        <f t="shared" si="29"/>
        <v>#DIV/0!</v>
      </c>
      <c r="AA91" s="1" t="e">
        <f t="shared" si="29"/>
        <v>#DIV/0!</v>
      </c>
      <c r="AB91" s="1" t="e">
        <f t="shared" si="29"/>
        <v>#DIV/0!</v>
      </c>
      <c r="AC91" s="1" t="e">
        <f t="shared" si="29"/>
        <v>#DIV/0!</v>
      </c>
      <c r="AD91" s="1" t="e">
        <f t="shared" si="29"/>
        <v>#DIV/0!</v>
      </c>
      <c r="AE91" s="1" t="e">
        <f t="shared" si="29"/>
        <v>#DIV/0!</v>
      </c>
      <c r="AF91" s="1" t="e">
        <f t="shared" si="29"/>
        <v>#DIV/0!</v>
      </c>
      <c r="AG91" s="1" t="e">
        <f t="shared" si="29"/>
        <v>#DIV/0!</v>
      </c>
      <c r="AH91" s="1" t="e">
        <f t="shared" si="29"/>
        <v>#DIV/0!</v>
      </c>
      <c r="AI91" s="1" t="e">
        <f t="shared" si="29"/>
        <v>#DIV/0!</v>
      </c>
      <c r="AJ91" s="1" t="e">
        <f t="shared" si="29"/>
        <v>#DIV/0!</v>
      </c>
    </row>
    <row r="92" spans="1:36">
      <c r="A92" s="29">
        <f t="shared" si="4"/>
        <v>-24</v>
      </c>
      <c r="B92" s="74"/>
      <c r="C92" s="74"/>
      <c r="D92" s="74"/>
      <c r="E92" s="1" t="e">
        <f t="shared" si="27"/>
        <v>#DIV/0!</v>
      </c>
      <c r="F92" s="1" t="e">
        <f t="shared" si="27"/>
        <v>#DIV/0!</v>
      </c>
      <c r="G92" s="1" t="e">
        <f t="shared" si="27"/>
        <v>#DIV/0!</v>
      </c>
      <c r="H92" s="1" t="e">
        <f t="shared" si="27"/>
        <v>#DIV/0!</v>
      </c>
      <c r="I92" s="1" t="e">
        <f t="shared" si="27"/>
        <v>#DIV/0!</v>
      </c>
      <c r="J92" s="1" t="e">
        <f t="shared" ref="J92:AJ92" si="30">(J29-$B29)/$B$4</f>
        <v>#DIV/0!</v>
      </c>
      <c r="K92" s="1" t="e">
        <f t="shared" si="30"/>
        <v>#DIV/0!</v>
      </c>
      <c r="L92" s="1" t="e">
        <f t="shared" si="30"/>
        <v>#DIV/0!</v>
      </c>
      <c r="M92" s="1" t="e">
        <f t="shared" si="30"/>
        <v>#DIV/0!</v>
      </c>
      <c r="N92" s="1" t="e">
        <f t="shared" si="30"/>
        <v>#DIV/0!</v>
      </c>
      <c r="O92" s="1" t="e">
        <f t="shared" si="30"/>
        <v>#DIV/0!</v>
      </c>
      <c r="P92" s="1" t="e">
        <f t="shared" si="30"/>
        <v>#DIV/0!</v>
      </c>
      <c r="Q92" s="1" t="e">
        <f t="shared" si="30"/>
        <v>#DIV/0!</v>
      </c>
      <c r="R92" s="1" t="e">
        <f t="shared" si="30"/>
        <v>#DIV/0!</v>
      </c>
      <c r="S92" s="1" t="e">
        <f t="shared" si="30"/>
        <v>#DIV/0!</v>
      </c>
      <c r="T92" s="1" t="e">
        <f t="shared" si="30"/>
        <v>#DIV/0!</v>
      </c>
      <c r="U92" s="1" t="e">
        <f t="shared" si="30"/>
        <v>#DIV/0!</v>
      </c>
      <c r="V92" s="1" t="e">
        <f t="shared" si="30"/>
        <v>#DIV/0!</v>
      </c>
      <c r="W92" s="1" t="e">
        <f t="shared" si="30"/>
        <v>#DIV/0!</v>
      </c>
      <c r="X92" s="1" t="e">
        <f t="shared" si="30"/>
        <v>#DIV/0!</v>
      </c>
      <c r="Y92" s="1" t="e">
        <f t="shared" si="30"/>
        <v>#DIV/0!</v>
      </c>
      <c r="Z92" s="1" t="e">
        <f t="shared" si="30"/>
        <v>#DIV/0!</v>
      </c>
      <c r="AA92" s="1" t="e">
        <f t="shared" si="30"/>
        <v>#DIV/0!</v>
      </c>
      <c r="AB92" s="1" t="e">
        <f t="shared" si="30"/>
        <v>#DIV/0!</v>
      </c>
      <c r="AC92" s="1" t="e">
        <f t="shared" si="30"/>
        <v>#DIV/0!</v>
      </c>
      <c r="AD92" s="1" t="e">
        <f t="shared" si="30"/>
        <v>#DIV/0!</v>
      </c>
      <c r="AE92" s="1" t="e">
        <f t="shared" si="30"/>
        <v>#DIV/0!</v>
      </c>
      <c r="AF92" s="1" t="e">
        <f t="shared" si="30"/>
        <v>#DIV/0!</v>
      </c>
      <c r="AG92" s="1" t="e">
        <f t="shared" si="30"/>
        <v>#DIV/0!</v>
      </c>
      <c r="AH92" s="1" t="e">
        <f t="shared" si="30"/>
        <v>#DIV/0!</v>
      </c>
      <c r="AI92" s="1" t="e">
        <f t="shared" si="30"/>
        <v>#DIV/0!</v>
      </c>
      <c r="AJ92" s="1" t="e">
        <f t="shared" si="30"/>
        <v>#DIV/0!</v>
      </c>
    </row>
    <row r="93" spans="1:36">
      <c r="A93" s="29">
        <f t="shared" si="4"/>
        <v>-21</v>
      </c>
      <c r="B93" s="74"/>
      <c r="C93" s="74"/>
      <c r="D93" s="74"/>
      <c r="E93" s="1" t="e">
        <f t="shared" si="27"/>
        <v>#DIV/0!</v>
      </c>
      <c r="F93" s="1" t="e">
        <f t="shared" si="27"/>
        <v>#DIV/0!</v>
      </c>
      <c r="G93" s="1" t="e">
        <f t="shared" si="27"/>
        <v>#DIV/0!</v>
      </c>
      <c r="H93" s="1" t="e">
        <f t="shared" si="27"/>
        <v>#DIV/0!</v>
      </c>
      <c r="I93" s="1" t="e">
        <f t="shared" si="27"/>
        <v>#DIV/0!</v>
      </c>
      <c r="J93" s="1" t="e">
        <f t="shared" ref="J93:AJ93" si="31">(J30-$B30)/$B$4</f>
        <v>#DIV/0!</v>
      </c>
      <c r="K93" s="1" t="e">
        <f t="shared" si="31"/>
        <v>#DIV/0!</v>
      </c>
      <c r="L93" s="1" t="e">
        <f t="shared" si="31"/>
        <v>#DIV/0!</v>
      </c>
      <c r="M93" s="1" t="e">
        <f t="shared" si="31"/>
        <v>#DIV/0!</v>
      </c>
      <c r="N93" s="1" t="e">
        <f t="shared" si="31"/>
        <v>#DIV/0!</v>
      </c>
      <c r="O93" s="1" t="e">
        <f t="shared" si="31"/>
        <v>#DIV/0!</v>
      </c>
      <c r="P93" s="1" t="e">
        <f t="shared" si="31"/>
        <v>#DIV/0!</v>
      </c>
      <c r="Q93" s="1" t="e">
        <f t="shared" si="31"/>
        <v>#DIV/0!</v>
      </c>
      <c r="R93" s="1" t="e">
        <f t="shared" si="31"/>
        <v>#DIV/0!</v>
      </c>
      <c r="S93" s="1" t="e">
        <f t="shared" si="31"/>
        <v>#DIV/0!</v>
      </c>
      <c r="T93" s="1" t="e">
        <f t="shared" si="31"/>
        <v>#DIV/0!</v>
      </c>
      <c r="U93" s="1" t="e">
        <f t="shared" si="31"/>
        <v>#DIV/0!</v>
      </c>
      <c r="V93" s="1" t="e">
        <f t="shared" si="31"/>
        <v>#DIV/0!</v>
      </c>
      <c r="W93" s="1" t="e">
        <f t="shared" si="31"/>
        <v>#DIV/0!</v>
      </c>
      <c r="X93" s="1" t="e">
        <f t="shared" si="31"/>
        <v>#DIV/0!</v>
      </c>
      <c r="Y93" s="1" t="e">
        <f t="shared" si="31"/>
        <v>#DIV/0!</v>
      </c>
      <c r="Z93" s="1" t="e">
        <f t="shared" si="31"/>
        <v>#DIV/0!</v>
      </c>
      <c r="AA93" s="1" t="e">
        <f t="shared" si="31"/>
        <v>#DIV/0!</v>
      </c>
      <c r="AB93" s="1" t="e">
        <f t="shared" si="31"/>
        <v>#DIV/0!</v>
      </c>
      <c r="AC93" s="1" t="e">
        <f t="shared" si="31"/>
        <v>#DIV/0!</v>
      </c>
      <c r="AD93" s="1" t="e">
        <f t="shared" si="31"/>
        <v>#DIV/0!</v>
      </c>
      <c r="AE93" s="1" t="e">
        <f t="shared" si="31"/>
        <v>#DIV/0!</v>
      </c>
      <c r="AF93" s="1" t="e">
        <f t="shared" si="31"/>
        <v>#DIV/0!</v>
      </c>
      <c r="AG93" s="1" t="e">
        <f t="shared" si="31"/>
        <v>#DIV/0!</v>
      </c>
      <c r="AH93" s="1" t="e">
        <f t="shared" si="31"/>
        <v>#DIV/0!</v>
      </c>
      <c r="AI93" s="1" t="e">
        <f t="shared" si="31"/>
        <v>#DIV/0!</v>
      </c>
      <c r="AJ93" s="1" t="e">
        <f t="shared" si="31"/>
        <v>#DIV/0!</v>
      </c>
    </row>
    <row r="94" spans="1:36">
      <c r="A94" s="29">
        <f t="shared" si="4"/>
        <v>-18</v>
      </c>
      <c r="B94" s="74"/>
      <c r="C94" s="74"/>
      <c r="D94" s="74"/>
      <c r="E94" s="1" t="e">
        <f t="shared" si="27"/>
        <v>#DIV/0!</v>
      </c>
      <c r="F94" s="1" t="e">
        <f t="shared" si="27"/>
        <v>#DIV/0!</v>
      </c>
      <c r="G94" s="1" t="e">
        <f t="shared" si="27"/>
        <v>#DIV/0!</v>
      </c>
      <c r="H94" s="1" t="e">
        <f t="shared" si="27"/>
        <v>#DIV/0!</v>
      </c>
      <c r="I94" s="1" t="e">
        <f t="shared" si="27"/>
        <v>#DIV/0!</v>
      </c>
      <c r="J94" s="1" t="e">
        <f t="shared" ref="J94:AJ94" si="32">(J31-$B31)/$B$4</f>
        <v>#DIV/0!</v>
      </c>
      <c r="K94" s="1" t="e">
        <f t="shared" si="32"/>
        <v>#DIV/0!</v>
      </c>
      <c r="L94" s="1" t="e">
        <f t="shared" si="32"/>
        <v>#DIV/0!</v>
      </c>
      <c r="M94" s="1" t="e">
        <f t="shared" si="32"/>
        <v>#DIV/0!</v>
      </c>
      <c r="N94" s="1" t="e">
        <f t="shared" si="32"/>
        <v>#DIV/0!</v>
      </c>
      <c r="O94" s="1" t="e">
        <f t="shared" si="32"/>
        <v>#DIV/0!</v>
      </c>
      <c r="P94" s="1" t="e">
        <f t="shared" si="32"/>
        <v>#DIV/0!</v>
      </c>
      <c r="Q94" s="1" t="e">
        <f t="shared" si="32"/>
        <v>#DIV/0!</v>
      </c>
      <c r="R94" s="1" t="e">
        <f t="shared" si="32"/>
        <v>#DIV/0!</v>
      </c>
      <c r="S94" s="1" t="e">
        <f t="shared" si="32"/>
        <v>#DIV/0!</v>
      </c>
      <c r="T94" s="1" t="e">
        <f t="shared" si="32"/>
        <v>#DIV/0!</v>
      </c>
      <c r="U94" s="1" t="e">
        <f t="shared" si="32"/>
        <v>#DIV/0!</v>
      </c>
      <c r="V94" s="1" t="e">
        <f t="shared" si="32"/>
        <v>#DIV/0!</v>
      </c>
      <c r="W94" s="1" t="e">
        <f t="shared" si="32"/>
        <v>#DIV/0!</v>
      </c>
      <c r="X94" s="1" t="e">
        <f t="shared" si="32"/>
        <v>#DIV/0!</v>
      </c>
      <c r="Y94" s="1" t="e">
        <f t="shared" si="32"/>
        <v>#DIV/0!</v>
      </c>
      <c r="Z94" s="1" t="e">
        <f t="shared" si="32"/>
        <v>#DIV/0!</v>
      </c>
      <c r="AA94" s="1" t="e">
        <f t="shared" si="32"/>
        <v>#DIV/0!</v>
      </c>
      <c r="AB94" s="1" t="e">
        <f t="shared" si="32"/>
        <v>#DIV/0!</v>
      </c>
      <c r="AC94" s="1" t="e">
        <f t="shared" si="32"/>
        <v>#DIV/0!</v>
      </c>
      <c r="AD94" s="1" t="e">
        <f t="shared" si="32"/>
        <v>#DIV/0!</v>
      </c>
      <c r="AE94" s="1" t="e">
        <f t="shared" si="32"/>
        <v>#DIV/0!</v>
      </c>
      <c r="AF94" s="1" t="e">
        <f t="shared" si="32"/>
        <v>#DIV/0!</v>
      </c>
      <c r="AG94" s="1" t="e">
        <f t="shared" si="32"/>
        <v>#DIV/0!</v>
      </c>
      <c r="AH94" s="1" t="e">
        <f t="shared" si="32"/>
        <v>#DIV/0!</v>
      </c>
      <c r="AI94" s="1" t="e">
        <f t="shared" si="32"/>
        <v>#DIV/0!</v>
      </c>
      <c r="AJ94" s="1" t="e">
        <f t="shared" si="32"/>
        <v>#DIV/0!</v>
      </c>
    </row>
    <row r="95" spans="1:36">
      <c r="A95" s="29">
        <f t="shared" si="4"/>
        <v>-15</v>
      </c>
      <c r="B95" s="74"/>
      <c r="C95" s="74"/>
      <c r="D95" s="74"/>
      <c r="E95" s="1" t="e">
        <f t="shared" si="27"/>
        <v>#DIV/0!</v>
      </c>
      <c r="F95" s="1" t="e">
        <f t="shared" si="27"/>
        <v>#DIV/0!</v>
      </c>
      <c r="G95" s="1" t="e">
        <f t="shared" si="27"/>
        <v>#DIV/0!</v>
      </c>
      <c r="H95" s="1" t="e">
        <f t="shared" si="27"/>
        <v>#DIV/0!</v>
      </c>
      <c r="I95" s="1" t="e">
        <f t="shared" si="27"/>
        <v>#DIV/0!</v>
      </c>
      <c r="J95" s="1" t="e">
        <f t="shared" ref="J95:AJ95" si="33">(J32-$B32)/$B$4</f>
        <v>#DIV/0!</v>
      </c>
      <c r="K95" s="1" t="e">
        <f t="shared" si="33"/>
        <v>#DIV/0!</v>
      </c>
      <c r="L95" s="1" t="e">
        <f t="shared" si="33"/>
        <v>#DIV/0!</v>
      </c>
      <c r="M95" s="1" t="e">
        <f t="shared" si="33"/>
        <v>#DIV/0!</v>
      </c>
      <c r="N95" s="1" t="e">
        <f t="shared" si="33"/>
        <v>#DIV/0!</v>
      </c>
      <c r="O95" s="1" t="e">
        <f t="shared" si="33"/>
        <v>#DIV/0!</v>
      </c>
      <c r="P95" s="1" t="e">
        <f t="shared" si="33"/>
        <v>#DIV/0!</v>
      </c>
      <c r="Q95" s="1" t="e">
        <f t="shared" si="33"/>
        <v>#DIV/0!</v>
      </c>
      <c r="R95" s="1" t="e">
        <f t="shared" si="33"/>
        <v>#DIV/0!</v>
      </c>
      <c r="S95" s="1" t="e">
        <f t="shared" si="33"/>
        <v>#DIV/0!</v>
      </c>
      <c r="T95" s="1" t="e">
        <f t="shared" si="33"/>
        <v>#DIV/0!</v>
      </c>
      <c r="U95" s="1" t="e">
        <f t="shared" si="33"/>
        <v>#DIV/0!</v>
      </c>
      <c r="V95" s="1" t="e">
        <f t="shared" si="33"/>
        <v>#DIV/0!</v>
      </c>
      <c r="W95" s="1" t="e">
        <f t="shared" si="33"/>
        <v>#DIV/0!</v>
      </c>
      <c r="X95" s="1" t="e">
        <f t="shared" si="33"/>
        <v>#DIV/0!</v>
      </c>
      <c r="Y95" s="1" t="e">
        <f t="shared" si="33"/>
        <v>#DIV/0!</v>
      </c>
      <c r="Z95" s="1" t="e">
        <f t="shared" si="33"/>
        <v>#DIV/0!</v>
      </c>
      <c r="AA95" s="1" t="e">
        <f t="shared" si="33"/>
        <v>#DIV/0!</v>
      </c>
      <c r="AB95" s="1" t="e">
        <f t="shared" si="33"/>
        <v>#DIV/0!</v>
      </c>
      <c r="AC95" s="1" t="e">
        <f t="shared" si="33"/>
        <v>#DIV/0!</v>
      </c>
      <c r="AD95" s="1" t="e">
        <f t="shared" si="33"/>
        <v>#DIV/0!</v>
      </c>
      <c r="AE95" s="1" t="e">
        <f t="shared" si="33"/>
        <v>#DIV/0!</v>
      </c>
      <c r="AF95" s="1" t="e">
        <f t="shared" si="33"/>
        <v>#DIV/0!</v>
      </c>
      <c r="AG95" s="1" t="e">
        <f t="shared" si="33"/>
        <v>#DIV/0!</v>
      </c>
      <c r="AH95" s="1" t="e">
        <f t="shared" si="33"/>
        <v>#DIV/0!</v>
      </c>
      <c r="AI95" s="1" t="e">
        <f t="shared" si="33"/>
        <v>#DIV/0!</v>
      </c>
      <c r="AJ95" s="1" t="e">
        <f t="shared" si="33"/>
        <v>#DIV/0!</v>
      </c>
    </row>
    <row r="96" spans="1:36">
      <c r="A96" s="29">
        <f t="shared" si="4"/>
        <v>-12</v>
      </c>
      <c r="B96" s="74"/>
      <c r="C96" s="74"/>
      <c r="D96" s="74"/>
      <c r="E96" s="1" t="e">
        <f t="shared" si="27"/>
        <v>#DIV/0!</v>
      </c>
      <c r="F96" s="1" t="e">
        <f t="shared" si="27"/>
        <v>#DIV/0!</v>
      </c>
      <c r="G96" s="1" t="e">
        <f t="shared" si="27"/>
        <v>#DIV/0!</v>
      </c>
      <c r="H96" s="1" t="e">
        <f t="shared" si="27"/>
        <v>#DIV/0!</v>
      </c>
      <c r="I96" s="1" t="e">
        <f t="shared" si="27"/>
        <v>#DIV/0!</v>
      </c>
      <c r="J96" s="1" t="e">
        <f t="shared" ref="J96:AJ96" si="34">(J33-$B33)/$B$4</f>
        <v>#DIV/0!</v>
      </c>
      <c r="K96" s="1" t="e">
        <f t="shared" si="34"/>
        <v>#DIV/0!</v>
      </c>
      <c r="L96" s="1" t="e">
        <f t="shared" si="34"/>
        <v>#DIV/0!</v>
      </c>
      <c r="M96" s="1" t="e">
        <f t="shared" si="34"/>
        <v>#DIV/0!</v>
      </c>
      <c r="N96" s="1" t="e">
        <f t="shared" si="34"/>
        <v>#DIV/0!</v>
      </c>
      <c r="O96" s="1" t="e">
        <f t="shared" si="34"/>
        <v>#DIV/0!</v>
      </c>
      <c r="P96" s="1" t="e">
        <f t="shared" si="34"/>
        <v>#DIV/0!</v>
      </c>
      <c r="Q96" s="1" t="e">
        <f t="shared" si="34"/>
        <v>#DIV/0!</v>
      </c>
      <c r="R96" s="1" t="e">
        <f t="shared" si="34"/>
        <v>#DIV/0!</v>
      </c>
      <c r="S96" s="1" t="e">
        <f t="shared" si="34"/>
        <v>#DIV/0!</v>
      </c>
      <c r="T96" s="1" t="e">
        <f t="shared" si="34"/>
        <v>#DIV/0!</v>
      </c>
      <c r="U96" s="1" t="e">
        <f t="shared" si="34"/>
        <v>#DIV/0!</v>
      </c>
      <c r="V96" s="1" t="e">
        <f t="shared" si="34"/>
        <v>#DIV/0!</v>
      </c>
      <c r="W96" s="1" t="e">
        <f t="shared" si="34"/>
        <v>#DIV/0!</v>
      </c>
      <c r="X96" s="1" t="e">
        <f t="shared" si="34"/>
        <v>#DIV/0!</v>
      </c>
      <c r="Y96" s="1" t="e">
        <f t="shared" si="34"/>
        <v>#DIV/0!</v>
      </c>
      <c r="Z96" s="1" t="e">
        <f t="shared" si="34"/>
        <v>#DIV/0!</v>
      </c>
      <c r="AA96" s="1" t="e">
        <f t="shared" si="34"/>
        <v>#DIV/0!</v>
      </c>
      <c r="AB96" s="1" t="e">
        <f t="shared" si="34"/>
        <v>#DIV/0!</v>
      </c>
      <c r="AC96" s="1" t="e">
        <f t="shared" si="34"/>
        <v>#DIV/0!</v>
      </c>
      <c r="AD96" s="1" t="e">
        <f t="shared" si="34"/>
        <v>#DIV/0!</v>
      </c>
      <c r="AE96" s="1" t="e">
        <f t="shared" si="34"/>
        <v>#DIV/0!</v>
      </c>
      <c r="AF96" s="1" t="e">
        <f t="shared" si="34"/>
        <v>#DIV/0!</v>
      </c>
      <c r="AG96" s="1" t="e">
        <f t="shared" si="34"/>
        <v>#DIV/0!</v>
      </c>
      <c r="AH96" s="1" t="e">
        <f t="shared" si="34"/>
        <v>#DIV/0!</v>
      </c>
      <c r="AI96" s="1" t="e">
        <f t="shared" si="34"/>
        <v>#DIV/0!</v>
      </c>
      <c r="AJ96" s="1" t="e">
        <f t="shared" si="34"/>
        <v>#DIV/0!</v>
      </c>
    </row>
    <row r="97" spans="1:36">
      <c r="A97" s="29">
        <f t="shared" si="4"/>
        <v>-9</v>
      </c>
      <c r="B97" s="74"/>
      <c r="C97" s="74"/>
      <c r="D97" s="74"/>
      <c r="E97" s="1" t="e">
        <f t="shared" si="27"/>
        <v>#DIV/0!</v>
      </c>
      <c r="F97" s="1" t="e">
        <f t="shared" si="27"/>
        <v>#DIV/0!</v>
      </c>
      <c r="G97" s="1" t="e">
        <f t="shared" si="27"/>
        <v>#DIV/0!</v>
      </c>
      <c r="H97" s="1" t="e">
        <f t="shared" si="27"/>
        <v>#DIV/0!</v>
      </c>
      <c r="I97" s="1" t="e">
        <f t="shared" si="27"/>
        <v>#DIV/0!</v>
      </c>
      <c r="J97" s="1" t="e">
        <f t="shared" ref="J97:AJ97" si="35">(J34-$B34)/$B$4</f>
        <v>#DIV/0!</v>
      </c>
      <c r="K97" s="1" t="e">
        <f t="shared" si="35"/>
        <v>#DIV/0!</v>
      </c>
      <c r="L97" s="1" t="e">
        <f t="shared" si="35"/>
        <v>#DIV/0!</v>
      </c>
      <c r="M97" s="1" t="e">
        <f t="shared" si="35"/>
        <v>#DIV/0!</v>
      </c>
      <c r="N97" s="1" t="e">
        <f t="shared" si="35"/>
        <v>#DIV/0!</v>
      </c>
      <c r="O97" s="1" t="e">
        <f t="shared" si="35"/>
        <v>#DIV/0!</v>
      </c>
      <c r="P97" s="1" t="e">
        <f t="shared" si="35"/>
        <v>#DIV/0!</v>
      </c>
      <c r="Q97" s="1" t="e">
        <f t="shared" si="35"/>
        <v>#DIV/0!</v>
      </c>
      <c r="R97" s="1" t="e">
        <f t="shared" si="35"/>
        <v>#DIV/0!</v>
      </c>
      <c r="S97" s="1" t="e">
        <f t="shared" si="35"/>
        <v>#DIV/0!</v>
      </c>
      <c r="T97" s="1" t="e">
        <f t="shared" si="35"/>
        <v>#DIV/0!</v>
      </c>
      <c r="U97" s="1" t="e">
        <f t="shared" si="35"/>
        <v>#DIV/0!</v>
      </c>
      <c r="V97" s="1" t="e">
        <f t="shared" si="35"/>
        <v>#DIV/0!</v>
      </c>
      <c r="W97" s="1" t="e">
        <f t="shared" si="35"/>
        <v>#DIV/0!</v>
      </c>
      <c r="X97" s="1" t="e">
        <f t="shared" si="35"/>
        <v>#DIV/0!</v>
      </c>
      <c r="Y97" s="1" t="e">
        <f t="shared" si="35"/>
        <v>#DIV/0!</v>
      </c>
      <c r="Z97" s="1" t="e">
        <f t="shared" si="35"/>
        <v>#DIV/0!</v>
      </c>
      <c r="AA97" s="1" t="e">
        <f t="shared" si="35"/>
        <v>#DIV/0!</v>
      </c>
      <c r="AB97" s="1" t="e">
        <f t="shared" si="35"/>
        <v>#DIV/0!</v>
      </c>
      <c r="AC97" s="1" t="e">
        <f t="shared" si="35"/>
        <v>#DIV/0!</v>
      </c>
      <c r="AD97" s="1" t="e">
        <f t="shared" si="35"/>
        <v>#DIV/0!</v>
      </c>
      <c r="AE97" s="1" t="e">
        <f t="shared" si="35"/>
        <v>#DIV/0!</v>
      </c>
      <c r="AF97" s="1" t="e">
        <f t="shared" si="35"/>
        <v>#DIV/0!</v>
      </c>
      <c r="AG97" s="1" t="e">
        <f t="shared" si="35"/>
        <v>#DIV/0!</v>
      </c>
      <c r="AH97" s="1" t="e">
        <f t="shared" si="35"/>
        <v>#DIV/0!</v>
      </c>
      <c r="AI97" s="1" t="e">
        <f t="shared" si="35"/>
        <v>#DIV/0!</v>
      </c>
      <c r="AJ97" s="1" t="e">
        <f t="shared" si="35"/>
        <v>#DIV/0!</v>
      </c>
    </row>
    <row r="98" spans="1:36">
      <c r="A98" s="29">
        <f t="shared" si="4"/>
        <v>-6</v>
      </c>
      <c r="B98" s="74"/>
      <c r="C98" s="74"/>
      <c r="D98" s="74"/>
      <c r="E98" s="1" t="e">
        <f t="shared" si="27"/>
        <v>#DIV/0!</v>
      </c>
      <c r="F98" s="1" t="e">
        <f t="shared" si="27"/>
        <v>#DIV/0!</v>
      </c>
      <c r="G98" s="1" t="e">
        <f t="shared" si="27"/>
        <v>#DIV/0!</v>
      </c>
      <c r="H98" s="1" t="e">
        <f t="shared" si="27"/>
        <v>#DIV/0!</v>
      </c>
      <c r="I98" s="1" t="e">
        <f t="shared" si="27"/>
        <v>#DIV/0!</v>
      </c>
      <c r="J98" s="1" t="e">
        <f t="shared" ref="J98:AJ98" si="36">(J35-$B35)/$B$4</f>
        <v>#DIV/0!</v>
      </c>
      <c r="K98" s="1" t="e">
        <f t="shared" si="36"/>
        <v>#DIV/0!</v>
      </c>
      <c r="L98" s="1" t="e">
        <f t="shared" si="36"/>
        <v>#DIV/0!</v>
      </c>
      <c r="M98" s="1" t="e">
        <f t="shared" si="36"/>
        <v>#DIV/0!</v>
      </c>
      <c r="N98" s="1" t="e">
        <f t="shared" si="36"/>
        <v>#DIV/0!</v>
      </c>
      <c r="O98" s="1" t="e">
        <f t="shared" si="36"/>
        <v>#DIV/0!</v>
      </c>
      <c r="P98" s="1" t="e">
        <f t="shared" si="36"/>
        <v>#DIV/0!</v>
      </c>
      <c r="Q98" s="1" t="e">
        <f t="shared" si="36"/>
        <v>#DIV/0!</v>
      </c>
      <c r="R98" s="1" t="e">
        <f t="shared" si="36"/>
        <v>#DIV/0!</v>
      </c>
      <c r="S98" s="1" t="e">
        <f t="shared" si="36"/>
        <v>#DIV/0!</v>
      </c>
      <c r="T98" s="1" t="e">
        <f t="shared" si="36"/>
        <v>#DIV/0!</v>
      </c>
      <c r="U98" s="1" t="e">
        <f t="shared" si="36"/>
        <v>#DIV/0!</v>
      </c>
      <c r="V98" s="1" t="e">
        <f t="shared" si="36"/>
        <v>#DIV/0!</v>
      </c>
      <c r="W98" s="1" t="e">
        <f t="shared" si="36"/>
        <v>#DIV/0!</v>
      </c>
      <c r="X98" s="1" t="e">
        <f t="shared" si="36"/>
        <v>#DIV/0!</v>
      </c>
      <c r="Y98" s="1" t="e">
        <f t="shared" si="36"/>
        <v>#DIV/0!</v>
      </c>
      <c r="Z98" s="1" t="e">
        <f t="shared" si="36"/>
        <v>#DIV/0!</v>
      </c>
      <c r="AA98" s="1" t="e">
        <f t="shared" si="36"/>
        <v>#DIV/0!</v>
      </c>
      <c r="AB98" s="1" t="e">
        <f t="shared" si="36"/>
        <v>#DIV/0!</v>
      </c>
      <c r="AC98" s="1" t="e">
        <f t="shared" si="36"/>
        <v>#DIV/0!</v>
      </c>
      <c r="AD98" s="1" t="e">
        <f t="shared" si="36"/>
        <v>#DIV/0!</v>
      </c>
      <c r="AE98" s="1" t="e">
        <f t="shared" si="36"/>
        <v>#DIV/0!</v>
      </c>
      <c r="AF98" s="1" t="e">
        <f t="shared" si="36"/>
        <v>#DIV/0!</v>
      </c>
      <c r="AG98" s="1" t="e">
        <f t="shared" si="36"/>
        <v>#DIV/0!</v>
      </c>
      <c r="AH98" s="1" t="e">
        <f t="shared" si="36"/>
        <v>#DIV/0!</v>
      </c>
      <c r="AI98" s="1" t="e">
        <f t="shared" si="36"/>
        <v>#DIV/0!</v>
      </c>
      <c r="AJ98" s="1" t="e">
        <f t="shared" si="36"/>
        <v>#DIV/0!</v>
      </c>
    </row>
    <row r="99" spans="1:36">
      <c r="A99" s="29">
        <f t="shared" si="4"/>
        <v>-3</v>
      </c>
      <c r="B99" s="74"/>
      <c r="C99" s="74"/>
      <c r="D99" s="74"/>
      <c r="E99" s="1" t="e">
        <f t="shared" si="27"/>
        <v>#DIV/0!</v>
      </c>
      <c r="F99" s="1" t="e">
        <f t="shared" si="27"/>
        <v>#DIV/0!</v>
      </c>
      <c r="G99" s="1" t="e">
        <f t="shared" si="27"/>
        <v>#DIV/0!</v>
      </c>
      <c r="H99" s="1" t="e">
        <f t="shared" si="27"/>
        <v>#DIV/0!</v>
      </c>
      <c r="I99" s="1" t="e">
        <f t="shared" si="27"/>
        <v>#DIV/0!</v>
      </c>
      <c r="J99" s="1" t="e">
        <f t="shared" ref="J99:AJ99" si="37">(J36-$B36)/$B$4</f>
        <v>#DIV/0!</v>
      </c>
      <c r="K99" s="1" t="e">
        <f t="shared" si="37"/>
        <v>#DIV/0!</v>
      </c>
      <c r="L99" s="1" t="e">
        <f t="shared" si="37"/>
        <v>#DIV/0!</v>
      </c>
      <c r="M99" s="1" t="e">
        <f t="shared" si="37"/>
        <v>#DIV/0!</v>
      </c>
      <c r="N99" s="1" t="e">
        <f t="shared" si="37"/>
        <v>#DIV/0!</v>
      </c>
      <c r="O99" s="1" t="e">
        <f t="shared" si="37"/>
        <v>#DIV/0!</v>
      </c>
      <c r="P99" s="1" t="e">
        <f t="shared" si="37"/>
        <v>#DIV/0!</v>
      </c>
      <c r="Q99" s="1" t="e">
        <f t="shared" si="37"/>
        <v>#DIV/0!</v>
      </c>
      <c r="R99" s="1" t="e">
        <f t="shared" si="37"/>
        <v>#DIV/0!</v>
      </c>
      <c r="S99" s="1" t="e">
        <f t="shared" si="37"/>
        <v>#DIV/0!</v>
      </c>
      <c r="T99" s="1" t="e">
        <f t="shared" si="37"/>
        <v>#DIV/0!</v>
      </c>
      <c r="U99" s="1" t="e">
        <f t="shared" si="37"/>
        <v>#DIV/0!</v>
      </c>
      <c r="V99" s="1" t="e">
        <f t="shared" si="37"/>
        <v>#DIV/0!</v>
      </c>
      <c r="W99" s="1" t="e">
        <f t="shared" si="37"/>
        <v>#DIV/0!</v>
      </c>
      <c r="X99" s="1" t="e">
        <f t="shared" si="37"/>
        <v>#DIV/0!</v>
      </c>
      <c r="Y99" s="1" t="e">
        <f t="shared" si="37"/>
        <v>#DIV/0!</v>
      </c>
      <c r="Z99" s="1" t="e">
        <f t="shared" si="37"/>
        <v>#DIV/0!</v>
      </c>
      <c r="AA99" s="1" t="e">
        <f t="shared" si="37"/>
        <v>#DIV/0!</v>
      </c>
      <c r="AB99" s="1" t="e">
        <f t="shared" si="37"/>
        <v>#DIV/0!</v>
      </c>
      <c r="AC99" s="1" t="e">
        <f t="shared" si="37"/>
        <v>#DIV/0!</v>
      </c>
      <c r="AD99" s="1" t="e">
        <f t="shared" si="37"/>
        <v>#DIV/0!</v>
      </c>
      <c r="AE99" s="1" t="e">
        <f t="shared" si="37"/>
        <v>#DIV/0!</v>
      </c>
      <c r="AF99" s="1" t="e">
        <f t="shared" si="37"/>
        <v>#DIV/0!</v>
      </c>
      <c r="AG99" s="1" t="e">
        <f t="shared" si="37"/>
        <v>#DIV/0!</v>
      </c>
      <c r="AH99" s="1" t="e">
        <f t="shared" si="37"/>
        <v>#DIV/0!</v>
      </c>
      <c r="AI99" s="1" t="e">
        <f t="shared" si="37"/>
        <v>#DIV/0!</v>
      </c>
      <c r="AJ99" s="1" t="e">
        <f t="shared" si="37"/>
        <v>#DIV/0!</v>
      </c>
    </row>
    <row r="100" spans="1:36">
      <c r="A100" s="29">
        <f t="shared" si="4"/>
        <v>0</v>
      </c>
      <c r="B100" s="74"/>
      <c r="C100" s="74"/>
      <c r="D100" s="74"/>
      <c r="E100" s="1" t="e">
        <f t="shared" ref="E100:I109" si="38">(E37-$B37)/$B$4</f>
        <v>#DIV/0!</v>
      </c>
      <c r="F100" s="1" t="e">
        <f t="shared" si="38"/>
        <v>#DIV/0!</v>
      </c>
      <c r="G100" s="1" t="e">
        <f t="shared" si="38"/>
        <v>#DIV/0!</v>
      </c>
      <c r="H100" s="1" t="e">
        <f t="shared" si="38"/>
        <v>#DIV/0!</v>
      </c>
      <c r="I100" s="1" t="e">
        <f t="shared" si="38"/>
        <v>#DIV/0!</v>
      </c>
      <c r="J100" s="1" t="e">
        <f t="shared" ref="J100:AJ100" si="39">(J37-$B37)/$B$4</f>
        <v>#DIV/0!</v>
      </c>
      <c r="K100" s="1" t="e">
        <f t="shared" si="39"/>
        <v>#DIV/0!</v>
      </c>
      <c r="L100" s="1" t="e">
        <f t="shared" si="39"/>
        <v>#DIV/0!</v>
      </c>
      <c r="M100" s="1" t="e">
        <f t="shared" si="39"/>
        <v>#DIV/0!</v>
      </c>
      <c r="N100" s="1" t="e">
        <f t="shared" si="39"/>
        <v>#DIV/0!</v>
      </c>
      <c r="O100" s="1" t="e">
        <f t="shared" si="39"/>
        <v>#DIV/0!</v>
      </c>
      <c r="P100" s="1" t="e">
        <f t="shared" si="39"/>
        <v>#DIV/0!</v>
      </c>
      <c r="Q100" s="1" t="e">
        <f t="shared" si="39"/>
        <v>#DIV/0!</v>
      </c>
      <c r="R100" s="1" t="e">
        <f t="shared" si="39"/>
        <v>#DIV/0!</v>
      </c>
      <c r="S100" s="1" t="e">
        <f t="shared" si="39"/>
        <v>#DIV/0!</v>
      </c>
      <c r="T100" s="1" t="e">
        <f t="shared" si="39"/>
        <v>#DIV/0!</v>
      </c>
      <c r="U100" s="1" t="e">
        <f t="shared" si="39"/>
        <v>#DIV/0!</v>
      </c>
      <c r="V100" s="1" t="e">
        <f t="shared" si="39"/>
        <v>#DIV/0!</v>
      </c>
      <c r="W100" s="1" t="e">
        <f t="shared" si="39"/>
        <v>#DIV/0!</v>
      </c>
      <c r="X100" s="1" t="e">
        <f t="shared" si="39"/>
        <v>#DIV/0!</v>
      </c>
      <c r="Y100" s="1" t="e">
        <f t="shared" si="39"/>
        <v>#DIV/0!</v>
      </c>
      <c r="Z100" s="1" t="e">
        <f t="shared" si="39"/>
        <v>#DIV/0!</v>
      </c>
      <c r="AA100" s="1" t="e">
        <f t="shared" si="39"/>
        <v>#DIV/0!</v>
      </c>
      <c r="AB100" s="1" t="e">
        <f t="shared" si="39"/>
        <v>#DIV/0!</v>
      </c>
      <c r="AC100" s="1" t="e">
        <f t="shared" si="39"/>
        <v>#DIV/0!</v>
      </c>
      <c r="AD100" s="1" t="e">
        <f t="shared" si="39"/>
        <v>#DIV/0!</v>
      </c>
      <c r="AE100" s="1" t="e">
        <f t="shared" si="39"/>
        <v>#DIV/0!</v>
      </c>
      <c r="AF100" s="1" t="e">
        <f t="shared" si="39"/>
        <v>#DIV/0!</v>
      </c>
      <c r="AG100" s="1" t="e">
        <f t="shared" si="39"/>
        <v>#DIV/0!</v>
      </c>
      <c r="AH100" s="1" t="e">
        <f t="shared" si="39"/>
        <v>#DIV/0!</v>
      </c>
      <c r="AI100" s="1" t="e">
        <f t="shared" si="39"/>
        <v>#DIV/0!</v>
      </c>
      <c r="AJ100" s="1" t="e">
        <f t="shared" si="39"/>
        <v>#DIV/0!</v>
      </c>
    </row>
    <row r="101" spans="1:36">
      <c r="A101" s="29">
        <f t="shared" si="4"/>
        <v>3</v>
      </c>
      <c r="B101" s="74"/>
      <c r="C101" s="74"/>
      <c r="D101" s="74"/>
      <c r="E101" s="1" t="e">
        <f t="shared" si="38"/>
        <v>#DIV/0!</v>
      </c>
      <c r="F101" s="1" t="e">
        <f t="shared" si="38"/>
        <v>#DIV/0!</v>
      </c>
      <c r="G101" s="1" t="e">
        <f t="shared" si="38"/>
        <v>#DIV/0!</v>
      </c>
      <c r="H101" s="1" t="e">
        <f t="shared" si="38"/>
        <v>#DIV/0!</v>
      </c>
      <c r="I101" s="1" t="e">
        <f t="shared" si="38"/>
        <v>#DIV/0!</v>
      </c>
      <c r="J101" s="1" t="e">
        <f t="shared" ref="J101:AJ101" si="40">(J38-$B38)/$B$4</f>
        <v>#DIV/0!</v>
      </c>
      <c r="K101" s="1" t="e">
        <f t="shared" si="40"/>
        <v>#DIV/0!</v>
      </c>
      <c r="L101" s="1" t="e">
        <f t="shared" si="40"/>
        <v>#DIV/0!</v>
      </c>
      <c r="M101" s="1" t="e">
        <f t="shared" si="40"/>
        <v>#DIV/0!</v>
      </c>
      <c r="N101" s="1" t="e">
        <f t="shared" si="40"/>
        <v>#DIV/0!</v>
      </c>
      <c r="O101" s="1" t="e">
        <f t="shared" si="40"/>
        <v>#DIV/0!</v>
      </c>
      <c r="P101" s="1" t="e">
        <f t="shared" si="40"/>
        <v>#DIV/0!</v>
      </c>
      <c r="Q101" s="1" t="e">
        <f t="shared" si="40"/>
        <v>#DIV/0!</v>
      </c>
      <c r="R101" s="1" t="e">
        <f t="shared" si="40"/>
        <v>#DIV/0!</v>
      </c>
      <c r="S101" s="1" t="e">
        <f t="shared" si="40"/>
        <v>#DIV/0!</v>
      </c>
      <c r="T101" s="1" t="e">
        <f t="shared" si="40"/>
        <v>#DIV/0!</v>
      </c>
      <c r="U101" s="1" t="e">
        <f t="shared" si="40"/>
        <v>#DIV/0!</v>
      </c>
      <c r="V101" s="1" t="e">
        <f t="shared" si="40"/>
        <v>#DIV/0!</v>
      </c>
      <c r="W101" s="1" t="e">
        <f t="shared" si="40"/>
        <v>#DIV/0!</v>
      </c>
      <c r="X101" s="1" t="e">
        <f t="shared" si="40"/>
        <v>#DIV/0!</v>
      </c>
      <c r="Y101" s="1" t="e">
        <f t="shared" si="40"/>
        <v>#DIV/0!</v>
      </c>
      <c r="Z101" s="1" t="e">
        <f t="shared" si="40"/>
        <v>#DIV/0!</v>
      </c>
      <c r="AA101" s="1" t="e">
        <f t="shared" si="40"/>
        <v>#DIV/0!</v>
      </c>
      <c r="AB101" s="1" t="e">
        <f t="shared" si="40"/>
        <v>#DIV/0!</v>
      </c>
      <c r="AC101" s="1" t="e">
        <f t="shared" si="40"/>
        <v>#DIV/0!</v>
      </c>
      <c r="AD101" s="1" t="e">
        <f t="shared" si="40"/>
        <v>#DIV/0!</v>
      </c>
      <c r="AE101" s="1" t="e">
        <f t="shared" si="40"/>
        <v>#DIV/0!</v>
      </c>
      <c r="AF101" s="1" t="e">
        <f t="shared" si="40"/>
        <v>#DIV/0!</v>
      </c>
      <c r="AG101" s="1" t="e">
        <f t="shared" si="40"/>
        <v>#DIV/0!</v>
      </c>
      <c r="AH101" s="1" t="e">
        <f t="shared" si="40"/>
        <v>#DIV/0!</v>
      </c>
      <c r="AI101" s="1" t="e">
        <f t="shared" si="40"/>
        <v>#DIV/0!</v>
      </c>
      <c r="AJ101" s="1" t="e">
        <f t="shared" si="40"/>
        <v>#DIV/0!</v>
      </c>
    </row>
    <row r="102" spans="1:36">
      <c r="A102" s="29">
        <f t="shared" ref="A102:A130" si="41">A39</f>
        <v>6</v>
      </c>
      <c r="B102" s="74"/>
      <c r="C102" s="74"/>
      <c r="D102" s="74"/>
      <c r="E102" s="1" t="e">
        <f t="shared" si="38"/>
        <v>#DIV/0!</v>
      </c>
      <c r="F102" s="1" t="e">
        <f t="shared" si="38"/>
        <v>#DIV/0!</v>
      </c>
      <c r="G102" s="1" t="e">
        <f t="shared" si="38"/>
        <v>#DIV/0!</v>
      </c>
      <c r="H102" s="1" t="e">
        <f t="shared" si="38"/>
        <v>#DIV/0!</v>
      </c>
      <c r="I102" s="1" t="e">
        <f t="shared" si="38"/>
        <v>#DIV/0!</v>
      </c>
      <c r="J102" s="1" t="e">
        <f t="shared" ref="J102:AJ102" si="42">(J39-$B39)/$B$4</f>
        <v>#DIV/0!</v>
      </c>
      <c r="K102" s="1" t="e">
        <f t="shared" si="42"/>
        <v>#DIV/0!</v>
      </c>
      <c r="L102" s="1" t="e">
        <f t="shared" si="42"/>
        <v>#DIV/0!</v>
      </c>
      <c r="M102" s="1" t="e">
        <f t="shared" si="42"/>
        <v>#DIV/0!</v>
      </c>
      <c r="N102" s="1" t="e">
        <f t="shared" si="42"/>
        <v>#DIV/0!</v>
      </c>
      <c r="O102" s="1" t="e">
        <f t="shared" si="42"/>
        <v>#DIV/0!</v>
      </c>
      <c r="P102" s="1" t="e">
        <f t="shared" si="42"/>
        <v>#DIV/0!</v>
      </c>
      <c r="Q102" s="1" t="e">
        <f t="shared" si="42"/>
        <v>#DIV/0!</v>
      </c>
      <c r="R102" s="1" t="e">
        <f t="shared" si="42"/>
        <v>#DIV/0!</v>
      </c>
      <c r="S102" s="1" t="e">
        <f t="shared" si="42"/>
        <v>#DIV/0!</v>
      </c>
      <c r="T102" s="1" t="e">
        <f t="shared" si="42"/>
        <v>#DIV/0!</v>
      </c>
      <c r="U102" s="1" t="e">
        <f t="shared" si="42"/>
        <v>#DIV/0!</v>
      </c>
      <c r="V102" s="1" t="e">
        <f t="shared" si="42"/>
        <v>#DIV/0!</v>
      </c>
      <c r="W102" s="1" t="e">
        <f t="shared" si="42"/>
        <v>#DIV/0!</v>
      </c>
      <c r="X102" s="1" t="e">
        <f t="shared" si="42"/>
        <v>#DIV/0!</v>
      </c>
      <c r="Y102" s="1" t="e">
        <f t="shared" si="42"/>
        <v>#DIV/0!</v>
      </c>
      <c r="Z102" s="1" t="e">
        <f t="shared" si="42"/>
        <v>#DIV/0!</v>
      </c>
      <c r="AA102" s="1" t="e">
        <f t="shared" si="42"/>
        <v>#DIV/0!</v>
      </c>
      <c r="AB102" s="1" t="e">
        <f t="shared" si="42"/>
        <v>#DIV/0!</v>
      </c>
      <c r="AC102" s="1" t="e">
        <f t="shared" si="42"/>
        <v>#DIV/0!</v>
      </c>
      <c r="AD102" s="1" t="e">
        <f t="shared" si="42"/>
        <v>#DIV/0!</v>
      </c>
      <c r="AE102" s="1" t="e">
        <f t="shared" si="42"/>
        <v>#DIV/0!</v>
      </c>
      <c r="AF102" s="1" t="e">
        <f t="shared" si="42"/>
        <v>#DIV/0!</v>
      </c>
      <c r="AG102" s="1" t="e">
        <f t="shared" si="42"/>
        <v>#DIV/0!</v>
      </c>
      <c r="AH102" s="1" t="e">
        <f t="shared" si="42"/>
        <v>#DIV/0!</v>
      </c>
      <c r="AI102" s="1" t="e">
        <f t="shared" si="42"/>
        <v>#DIV/0!</v>
      </c>
      <c r="AJ102" s="1" t="e">
        <f t="shared" si="42"/>
        <v>#DIV/0!</v>
      </c>
    </row>
    <row r="103" spans="1:36">
      <c r="A103" s="29">
        <f t="shared" si="41"/>
        <v>9</v>
      </c>
      <c r="B103" s="74"/>
      <c r="C103" s="74"/>
      <c r="D103" s="74"/>
      <c r="E103" s="1" t="e">
        <f t="shared" si="38"/>
        <v>#DIV/0!</v>
      </c>
      <c r="F103" s="1" t="e">
        <f t="shared" si="38"/>
        <v>#DIV/0!</v>
      </c>
      <c r="G103" s="1" t="e">
        <f t="shared" si="38"/>
        <v>#DIV/0!</v>
      </c>
      <c r="H103" s="1" t="e">
        <f t="shared" si="38"/>
        <v>#DIV/0!</v>
      </c>
      <c r="I103" s="1" t="e">
        <f t="shared" si="38"/>
        <v>#DIV/0!</v>
      </c>
      <c r="J103" s="1" t="e">
        <f t="shared" ref="J103:AJ103" si="43">(J40-$B40)/$B$4</f>
        <v>#DIV/0!</v>
      </c>
      <c r="K103" s="1" t="e">
        <f t="shared" si="43"/>
        <v>#DIV/0!</v>
      </c>
      <c r="L103" s="1" t="e">
        <f t="shared" si="43"/>
        <v>#DIV/0!</v>
      </c>
      <c r="M103" s="1" t="e">
        <f t="shared" si="43"/>
        <v>#DIV/0!</v>
      </c>
      <c r="N103" s="1" t="e">
        <f t="shared" si="43"/>
        <v>#DIV/0!</v>
      </c>
      <c r="O103" s="1" t="e">
        <f t="shared" si="43"/>
        <v>#DIV/0!</v>
      </c>
      <c r="P103" s="1" t="e">
        <f t="shared" si="43"/>
        <v>#DIV/0!</v>
      </c>
      <c r="Q103" s="1" t="e">
        <f t="shared" si="43"/>
        <v>#DIV/0!</v>
      </c>
      <c r="R103" s="1" t="e">
        <f t="shared" si="43"/>
        <v>#DIV/0!</v>
      </c>
      <c r="S103" s="1" t="e">
        <f t="shared" si="43"/>
        <v>#DIV/0!</v>
      </c>
      <c r="T103" s="1" t="e">
        <f t="shared" si="43"/>
        <v>#DIV/0!</v>
      </c>
      <c r="U103" s="1" t="e">
        <f t="shared" si="43"/>
        <v>#DIV/0!</v>
      </c>
      <c r="V103" s="1" t="e">
        <f t="shared" si="43"/>
        <v>#DIV/0!</v>
      </c>
      <c r="W103" s="1" t="e">
        <f t="shared" si="43"/>
        <v>#DIV/0!</v>
      </c>
      <c r="X103" s="1" t="e">
        <f t="shared" si="43"/>
        <v>#DIV/0!</v>
      </c>
      <c r="Y103" s="1" t="e">
        <f t="shared" si="43"/>
        <v>#DIV/0!</v>
      </c>
      <c r="Z103" s="1" t="e">
        <f t="shared" si="43"/>
        <v>#DIV/0!</v>
      </c>
      <c r="AA103" s="1" t="e">
        <f t="shared" si="43"/>
        <v>#DIV/0!</v>
      </c>
      <c r="AB103" s="1" t="e">
        <f t="shared" si="43"/>
        <v>#DIV/0!</v>
      </c>
      <c r="AC103" s="1" t="e">
        <f t="shared" si="43"/>
        <v>#DIV/0!</v>
      </c>
      <c r="AD103" s="1" t="e">
        <f t="shared" si="43"/>
        <v>#DIV/0!</v>
      </c>
      <c r="AE103" s="1" t="e">
        <f t="shared" si="43"/>
        <v>#DIV/0!</v>
      </c>
      <c r="AF103" s="1" t="e">
        <f t="shared" si="43"/>
        <v>#DIV/0!</v>
      </c>
      <c r="AG103" s="1" t="e">
        <f t="shared" si="43"/>
        <v>#DIV/0!</v>
      </c>
      <c r="AH103" s="1" t="e">
        <f t="shared" si="43"/>
        <v>#DIV/0!</v>
      </c>
      <c r="AI103" s="1" t="e">
        <f t="shared" si="43"/>
        <v>#DIV/0!</v>
      </c>
      <c r="AJ103" s="1" t="e">
        <f t="shared" si="43"/>
        <v>#DIV/0!</v>
      </c>
    </row>
    <row r="104" spans="1:36">
      <c r="A104" s="29">
        <f t="shared" si="41"/>
        <v>12</v>
      </c>
      <c r="B104" s="74"/>
      <c r="C104" s="74"/>
      <c r="D104" s="74"/>
      <c r="E104" s="1" t="e">
        <f t="shared" si="38"/>
        <v>#DIV/0!</v>
      </c>
      <c r="F104" s="1" t="e">
        <f t="shared" si="38"/>
        <v>#DIV/0!</v>
      </c>
      <c r="G104" s="1" t="e">
        <f t="shared" si="38"/>
        <v>#DIV/0!</v>
      </c>
      <c r="H104" s="1" t="e">
        <f t="shared" si="38"/>
        <v>#DIV/0!</v>
      </c>
      <c r="I104" s="1" t="e">
        <f t="shared" si="38"/>
        <v>#DIV/0!</v>
      </c>
      <c r="J104" s="1" t="e">
        <f t="shared" ref="J104:AJ104" si="44">(J41-$B41)/$B$4</f>
        <v>#DIV/0!</v>
      </c>
      <c r="K104" s="1" t="e">
        <f t="shared" si="44"/>
        <v>#DIV/0!</v>
      </c>
      <c r="L104" s="1" t="e">
        <f t="shared" si="44"/>
        <v>#DIV/0!</v>
      </c>
      <c r="M104" s="1" t="e">
        <f t="shared" si="44"/>
        <v>#DIV/0!</v>
      </c>
      <c r="N104" s="1" t="e">
        <f t="shared" si="44"/>
        <v>#DIV/0!</v>
      </c>
      <c r="O104" s="1" t="e">
        <f t="shared" si="44"/>
        <v>#DIV/0!</v>
      </c>
      <c r="P104" s="1" t="e">
        <f t="shared" si="44"/>
        <v>#DIV/0!</v>
      </c>
      <c r="Q104" s="1" t="e">
        <f t="shared" si="44"/>
        <v>#DIV/0!</v>
      </c>
      <c r="R104" s="1" t="e">
        <f t="shared" si="44"/>
        <v>#DIV/0!</v>
      </c>
      <c r="S104" s="1" t="e">
        <f t="shared" si="44"/>
        <v>#DIV/0!</v>
      </c>
      <c r="T104" s="1" t="e">
        <f t="shared" si="44"/>
        <v>#DIV/0!</v>
      </c>
      <c r="U104" s="1" t="e">
        <f t="shared" si="44"/>
        <v>#DIV/0!</v>
      </c>
      <c r="V104" s="1" t="e">
        <f t="shared" si="44"/>
        <v>#DIV/0!</v>
      </c>
      <c r="W104" s="1" t="e">
        <f t="shared" si="44"/>
        <v>#DIV/0!</v>
      </c>
      <c r="X104" s="1" t="e">
        <f t="shared" si="44"/>
        <v>#DIV/0!</v>
      </c>
      <c r="Y104" s="1" t="e">
        <f t="shared" si="44"/>
        <v>#DIV/0!</v>
      </c>
      <c r="Z104" s="1" t="e">
        <f t="shared" si="44"/>
        <v>#DIV/0!</v>
      </c>
      <c r="AA104" s="1" t="e">
        <f t="shared" si="44"/>
        <v>#DIV/0!</v>
      </c>
      <c r="AB104" s="1" t="e">
        <f t="shared" si="44"/>
        <v>#DIV/0!</v>
      </c>
      <c r="AC104" s="1" t="e">
        <f t="shared" si="44"/>
        <v>#DIV/0!</v>
      </c>
      <c r="AD104" s="1" t="e">
        <f t="shared" si="44"/>
        <v>#DIV/0!</v>
      </c>
      <c r="AE104" s="1" t="e">
        <f t="shared" si="44"/>
        <v>#DIV/0!</v>
      </c>
      <c r="AF104" s="1" t="e">
        <f t="shared" si="44"/>
        <v>#DIV/0!</v>
      </c>
      <c r="AG104" s="1" t="e">
        <f t="shared" si="44"/>
        <v>#DIV/0!</v>
      </c>
      <c r="AH104" s="1" t="e">
        <f t="shared" si="44"/>
        <v>#DIV/0!</v>
      </c>
      <c r="AI104" s="1" t="e">
        <f t="shared" si="44"/>
        <v>#DIV/0!</v>
      </c>
      <c r="AJ104" s="1" t="e">
        <f t="shared" si="44"/>
        <v>#DIV/0!</v>
      </c>
    </row>
    <row r="105" spans="1:36">
      <c r="A105" s="29">
        <f t="shared" si="41"/>
        <v>15</v>
      </c>
      <c r="B105" s="74"/>
      <c r="C105" s="74"/>
      <c r="D105" s="74"/>
      <c r="E105" s="1" t="e">
        <f t="shared" si="38"/>
        <v>#DIV/0!</v>
      </c>
      <c r="F105" s="1" t="e">
        <f t="shared" si="38"/>
        <v>#DIV/0!</v>
      </c>
      <c r="G105" s="1" t="e">
        <f t="shared" si="38"/>
        <v>#DIV/0!</v>
      </c>
      <c r="H105" s="1" t="e">
        <f t="shared" si="38"/>
        <v>#DIV/0!</v>
      </c>
      <c r="I105" s="1" t="e">
        <f t="shared" si="38"/>
        <v>#DIV/0!</v>
      </c>
      <c r="J105" s="1" t="e">
        <f t="shared" ref="J105:AJ105" si="45">(J42-$B42)/$B$4</f>
        <v>#DIV/0!</v>
      </c>
      <c r="K105" s="1" t="e">
        <f t="shared" si="45"/>
        <v>#DIV/0!</v>
      </c>
      <c r="L105" s="1" t="e">
        <f t="shared" si="45"/>
        <v>#DIV/0!</v>
      </c>
      <c r="M105" s="1" t="e">
        <f t="shared" si="45"/>
        <v>#DIV/0!</v>
      </c>
      <c r="N105" s="1" t="e">
        <f t="shared" si="45"/>
        <v>#DIV/0!</v>
      </c>
      <c r="O105" s="1" t="e">
        <f t="shared" si="45"/>
        <v>#DIV/0!</v>
      </c>
      <c r="P105" s="1" t="e">
        <f t="shared" si="45"/>
        <v>#DIV/0!</v>
      </c>
      <c r="Q105" s="1" t="e">
        <f t="shared" si="45"/>
        <v>#DIV/0!</v>
      </c>
      <c r="R105" s="1" t="e">
        <f t="shared" si="45"/>
        <v>#DIV/0!</v>
      </c>
      <c r="S105" s="1" t="e">
        <f t="shared" si="45"/>
        <v>#DIV/0!</v>
      </c>
      <c r="T105" s="1" t="e">
        <f t="shared" si="45"/>
        <v>#DIV/0!</v>
      </c>
      <c r="U105" s="1" t="e">
        <f t="shared" si="45"/>
        <v>#DIV/0!</v>
      </c>
      <c r="V105" s="1" t="e">
        <f t="shared" si="45"/>
        <v>#DIV/0!</v>
      </c>
      <c r="W105" s="1" t="e">
        <f t="shared" si="45"/>
        <v>#DIV/0!</v>
      </c>
      <c r="X105" s="1" t="e">
        <f t="shared" si="45"/>
        <v>#DIV/0!</v>
      </c>
      <c r="Y105" s="1" t="e">
        <f t="shared" si="45"/>
        <v>#DIV/0!</v>
      </c>
      <c r="Z105" s="1" t="e">
        <f t="shared" si="45"/>
        <v>#DIV/0!</v>
      </c>
      <c r="AA105" s="1" t="e">
        <f t="shared" si="45"/>
        <v>#DIV/0!</v>
      </c>
      <c r="AB105" s="1" t="e">
        <f t="shared" si="45"/>
        <v>#DIV/0!</v>
      </c>
      <c r="AC105" s="1" t="e">
        <f t="shared" si="45"/>
        <v>#DIV/0!</v>
      </c>
      <c r="AD105" s="1" t="e">
        <f t="shared" si="45"/>
        <v>#DIV/0!</v>
      </c>
      <c r="AE105" s="1" t="e">
        <f t="shared" si="45"/>
        <v>#DIV/0!</v>
      </c>
      <c r="AF105" s="1" t="e">
        <f t="shared" si="45"/>
        <v>#DIV/0!</v>
      </c>
      <c r="AG105" s="1" t="e">
        <f t="shared" si="45"/>
        <v>#DIV/0!</v>
      </c>
      <c r="AH105" s="1" t="e">
        <f t="shared" si="45"/>
        <v>#DIV/0!</v>
      </c>
      <c r="AI105" s="1" t="e">
        <f t="shared" si="45"/>
        <v>#DIV/0!</v>
      </c>
      <c r="AJ105" s="1" t="e">
        <f t="shared" si="45"/>
        <v>#DIV/0!</v>
      </c>
    </row>
    <row r="106" spans="1:36">
      <c r="A106" s="29">
        <f t="shared" si="41"/>
        <v>18</v>
      </c>
      <c r="B106" s="74"/>
      <c r="C106" s="74"/>
      <c r="D106" s="74"/>
      <c r="E106" s="1" t="e">
        <f t="shared" si="38"/>
        <v>#DIV/0!</v>
      </c>
      <c r="F106" s="1" t="e">
        <f t="shared" si="38"/>
        <v>#DIV/0!</v>
      </c>
      <c r="G106" s="1" t="e">
        <f t="shared" si="38"/>
        <v>#DIV/0!</v>
      </c>
      <c r="H106" s="1" t="e">
        <f t="shared" si="38"/>
        <v>#DIV/0!</v>
      </c>
      <c r="I106" s="1" t="e">
        <f t="shared" si="38"/>
        <v>#DIV/0!</v>
      </c>
      <c r="J106" s="1" t="e">
        <f t="shared" ref="J106:AJ106" si="46">(J43-$B43)/$B$4</f>
        <v>#DIV/0!</v>
      </c>
      <c r="K106" s="1" t="e">
        <f t="shared" si="46"/>
        <v>#DIV/0!</v>
      </c>
      <c r="L106" s="1" t="e">
        <f t="shared" si="46"/>
        <v>#DIV/0!</v>
      </c>
      <c r="M106" s="1" t="e">
        <f t="shared" si="46"/>
        <v>#DIV/0!</v>
      </c>
      <c r="N106" s="1" t="e">
        <f t="shared" si="46"/>
        <v>#DIV/0!</v>
      </c>
      <c r="O106" s="1" t="e">
        <f t="shared" si="46"/>
        <v>#DIV/0!</v>
      </c>
      <c r="P106" s="1" t="e">
        <f t="shared" si="46"/>
        <v>#DIV/0!</v>
      </c>
      <c r="Q106" s="1" t="e">
        <f t="shared" si="46"/>
        <v>#DIV/0!</v>
      </c>
      <c r="R106" s="1" t="e">
        <f t="shared" si="46"/>
        <v>#DIV/0!</v>
      </c>
      <c r="S106" s="1" t="e">
        <f t="shared" si="46"/>
        <v>#DIV/0!</v>
      </c>
      <c r="T106" s="1" t="e">
        <f t="shared" si="46"/>
        <v>#DIV/0!</v>
      </c>
      <c r="U106" s="1" t="e">
        <f t="shared" si="46"/>
        <v>#DIV/0!</v>
      </c>
      <c r="V106" s="1" t="e">
        <f t="shared" si="46"/>
        <v>#DIV/0!</v>
      </c>
      <c r="W106" s="1" t="e">
        <f t="shared" si="46"/>
        <v>#DIV/0!</v>
      </c>
      <c r="X106" s="1" t="e">
        <f t="shared" si="46"/>
        <v>#DIV/0!</v>
      </c>
      <c r="Y106" s="1" t="e">
        <f t="shared" si="46"/>
        <v>#DIV/0!</v>
      </c>
      <c r="Z106" s="1" t="e">
        <f t="shared" si="46"/>
        <v>#DIV/0!</v>
      </c>
      <c r="AA106" s="1" t="e">
        <f t="shared" si="46"/>
        <v>#DIV/0!</v>
      </c>
      <c r="AB106" s="1" t="e">
        <f t="shared" si="46"/>
        <v>#DIV/0!</v>
      </c>
      <c r="AC106" s="1" t="e">
        <f t="shared" si="46"/>
        <v>#DIV/0!</v>
      </c>
      <c r="AD106" s="1" t="e">
        <f t="shared" si="46"/>
        <v>#DIV/0!</v>
      </c>
      <c r="AE106" s="1" t="e">
        <f t="shared" si="46"/>
        <v>#DIV/0!</v>
      </c>
      <c r="AF106" s="1" t="e">
        <f t="shared" si="46"/>
        <v>#DIV/0!</v>
      </c>
      <c r="AG106" s="1" t="e">
        <f t="shared" si="46"/>
        <v>#DIV/0!</v>
      </c>
      <c r="AH106" s="1" t="e">
        <f t="shared" si="46"/>
        <v>#DIV/0!</v>
      </c>
      <c r="AI106" s="1" t="e">
        <f t="shared" si="46"/>
        <v>#DIV/0!</v>
      </c>
      <c r="AJ106" s="1" t="e">
        <f t="shared" si="46"/>
        <v>#DIV/0!</v>
      </c>
    </row>
    <row r="107" spans="1:36">
      <c r="A107" s="29">
        <f t="shared" si="41"/>
        <v>21</v>
      </c>
      <c r="B107" s="74"/>
      <c r="C107" s="74"/>
      <c r="D107" s="74"/>
      <c r="E107" s="1" t="e">
        <f t="shared" si="38"/>
        <v>#DIV/0!</v>
      </c>
      <c r="F107" s="1" t="e">
        <f t="shared" si="38"/>
        <v>#DIV/0!</v>
      </c>
      <c r="G107" s="1" t="e">
        <f t="shared" si="38"/>
        <v>#DIV/0!</v>
      </c>
      <c r="H107" s="1" t="e">
        <f t="shared" si="38"/>
        <v>#DIV/0!</v>
      </c>
      <c r="I107" s="1" t="e">
        <f t="shared" si="38"/>
        <v>#DIV/0!</v>
      </c>
      <c r="J107" s="1" t="e">
        <f t="shared" ref="J107:AJ107" si="47">(J44-$B44)/$B$4</f>
        <v>#DIV/0!</v>
      </c>
      <c r="K107" s="1" t="e">
        <f t="shared" si="47"/>
        <v>#DIV/0!</v>
      </c>
      <c r="L107" s="1" t="e">
        <f t="shared" si="47"/>
        <v>#DIV/0!</v>
      </c>
      <c r="M107" s="1" t="e">
        <f t="shared" si="47"/>
        <v>#DIV/0!</v>
      </c>
      <c r="N107" s="1" t="e">
        <f t="shared" si="47"/>
        <v>#DIV/0!</v>
      </c>
      <c r="O107" s="1" t="e">
        <f t="shared" si="47"/>
        <v>#DIV/0!</v>
      </c>
      <c r="P107" s="1" t="e">
        <f t="shared" si="47"/>
        <v>#DIV/0!</v>
      </c>
      <c r="Q107" s="1" t="e">
        <f t="shared" si="47"/>
        <v>#DIV/0!</v>
      </c>
      <c r="R107" s="1" t="e">
        <f t="shared" si="47"/>
        <v>#DIV/0!</v>
      </c>
      <c r="S107" s="1" t="e">
        <f t="shared" si="47"/>
        <v>#DIV/0!</v>
      </c>
      <c r="T107" s="1" t="e">
        <f t="shared" si="47"/>
        <v>#DIV/0!</v>
      </c>
      <c r="U107" s="1" t="e">
        <f t="shared" si="47"/>
        <v>#DIV/0!</v>
      </c>
      <c r="V107" s="1" t="e">
        <f t="shared" si="47"/>
        <v>#DIV/0!</v>
      </c>
      <c r="W107" s="1" t="e">
        <f t="shared" si="47"/>
        <v>#DIV/0!</v>
      </c>
      <c r="X107" s="1" t="e">
        <f t="shared" si="47"/>
        <v>#DIV/0!</v>
      </c>
      <c r="Y107" s="1" t="e">
        <f t="shared" si="47"/>
        <v>#DIV/0!</v>
      </c>
      <c r="Z107" s="1" t="e">
        <f t="shared" si="47"/>
        <v>#DIV/0!</v>
      </c>
      <c r="AA107" s="1" t="e">
        <f t="shared" si="47"/>
        <v>#DIV/0!</v>
      </c>
      <c r="AB107" s="1" t="e">
        <f t="shared" si="47"/>
        <v>#DIV/0!</v>
      </c>
      <c r="AC107" s="1" t="e">
        <f t="shared" si="47"/>
        <v>#DIV/0!</v>
      </c>
      <c r="AD107" s="1" t="e">
        <f t="shared" si="47"/>
        <v>#DIV/0!</v>
      </c>
      <c r="AE107" s="1" t="e">
        <f t="shared" si="47"/>
        <v>#DIV/0!</v>
      </c>
      <c r="AF107" s="1" t="e">
        <f t="shared" si="47"/>
        <v>#DIV/0!</v>
      </c>
      <c r="AG107" s="1" t="e">
        <f t="shared" si="47"/>
        <v>#DIV/0!</v>
      </c>
      <c r="AH107" s="1" t="e">
        <f t="shared" si="47"/>
        <v>#DIV/0!</v>
      </c>
      <c r="AI107" s="1" t="e">
        <f t="shared" si="47"/>
        <v>#DIV/0!</v>
      </c>
      <c r="AJ107" s="1" t="e">
        <f t="shared" si="47"/>
        <v>#DIV/0!</v>
      </c>
    </row>
    <row r="108" spans="1:36">
      <c r="A108" s="29">
        <f t="shared" si="41"/>
        <v>24</v>
      </c>
      <c r="B108" s="74"/>
      <c r="C108" s="74"/>
      <c r="D108" s="74"/>
      <c r="E108" s="1" t="e">
        <f t="shared" si="38"/>
        <v>#DIV/0!</v>
      </c>
      <c r="F108" s="1" t="e">
        <f t="shared" si="38"/>
        <v>#DIV/0!</v>
      </c>
      <c r="G108" s="1" t="e">
        <f t="shared" si="38"/>
        <v>#DIV/0!</v>
      </c>
      <c r="H108" s="1" t="e">
        <f t="shared" si="38"/>
        <v>#DIV/0!</v>
      </c>
      <c r="I108" s="1" t="e">
        <f t="shared" si="38"/>
        <v>#DIV/0!</v>
      </c>
      <c r="J108" s="1" t="e">
        <f t="shared" ref="J108:AJ108" si="48">(J45-$B45)/$B$4</f>
        <v>#DIV/0!</v>
      </c>
      <c r="K108" s="1" t="e">
        <f t="shared" si="48"/>
        <v>#DIV/0!</v>
      </c>
      <c r="L108" s="1" t="e">
        <f t="shared" si="48"/>
        <v>#DIV/0!</v>
      </c>
      <c r="M108" s="1" t="e">
        <f t="shared" si="48"/>
        <v>#DIV/0!</v>
      </c>
      <c r="N108" s="1" t="e">
        <f t="shared" si="48"/>
        <v>#DIV/0!</v>
      </c>
      <c r="O108" s="1" t="e">
        <f t="shared" si="48"/>
        <v>#DIV/0!</v>
      </c>
      <c r="P108" s="1" t="e">
        <f t="shared" si="48"/>
        <v>#DIV/0!</v>
      </c>
      <c r="Q108" s="1" t="e">
        <f t="shared" si="48"/>
        <v>#DIV/0!</v>
      </c>
      <c r="R108" s="1" t="e">
        <f t="shared" si="48"/>
        <v>#DIV/0!</v>
      </c>
      <c r="S108" s="1" t="e">
        <f t="shared" si="48"/>
        <v>#DIV/0!</v>
      </c>
      <c r="T108" s="1" t="e">
        <f t="shared" si="48"/>
        <v>#DIV/0!</v>
      </c>
      <c r="U108" s="1" t="e">
        <f t="shared" si="48"/>
        <v>#DIV/0!</v>
      </c>
      <c r="V108" s="1" t="e">
        <f t="shared" si="48"/>
        <v>#DIV/0!</v>
      </c>
      <c r="W108" s="1" t="e">
        <f t="shared" si="48"/>
        <v>#DIV/0!</v>
      </c>
      <c r="X108" s="1" t="e">
        <f t="shared" si="48"/>
        <v>#DIV/0!</v>
      </c>
      <c r="Y108" s="1" t="e">
        <f t="shared" si="48"/>
        <v>#DIV/0!</v>
      </c>
      <c r="Z108" s="1" t="e">
        <f t="shared" si="48"/>
        <v>#DIV/0!</v>
      </c>
      <c r="AA108" s="1" t="e">
        <f t="shared" si="48"/>
        <v>#DIV/0!</v>
      </c>
      <c r="AB108" s="1" t="e">
        <f t="shared" si="48"/>
        <v>#DIV/0!</v>
      </c>
      <c r="AC108" s="1" t="e">
        <f t="shared" si="48"/>
        <v>#DIV/0!</v>
      </c>
      <c r="AD108" s="1" t="e">
        <f t="shared" si="48"/>
        <v>#DIV/0!</v>
      </c>
      <c r="AE108" s="1" t="e">
        <f t="shared" si="48"/>
        <v>#DIV/0!</v>
      </c>
      <c r="AF108" s="1" t="e">
        <f t="shared" si="48"/>
        <v>#DIV/0!</v>
      </c>
      <c r="AG108" s="1" t="e">
        <f t="shared" si="48"/>
        <v>#DIV/0!</v>
      </c>
      <c r="AH108" s="1" t="e">
        <f t="shared" si="48"/>
        <v>#DIV/0!</v>
      </c>
      <c r="AI108" s="1" t="e">
        <f t="shared" si="48"/>
        <v>#DIV/0!</v>
      </c>
      <c r="AJ108" s="1" t="e">
        <f t="shared" si="48"/>
        <v>#DIV/0!</v>
      </c>
    </row>
    <row r="109" spans="1:36">
      <c r="A109" s="29">
        <f t="shared" si="41"/>
        <v>27</v>
      </c>
      <c r="B109" s="74"/>
      <c r="C109" s="74"/>
      <c r="D109" s="74"/>
      <c r="E109" s="1" t="e">
        <f t="shared" si="38"/>
        <v>#DIV/0!</v>
      </c>
      <c r="F109" s="1" t="e">
        <f t="shared" si="38"/>
        <v>#DIV/0!</v>
      </c>
      <c r="G109" s="1" t="e">
        <f t="shared" si="38"/>
        <v>#DIV/0!</v>
      </c>
      <c r="H109" s="1" t="e">
        <f t="shared" si="38"/>
        <v>#DIV/0!</v>
      </c>
      <c r="I109" s="1" t="e">
        <f t="shared" si="38"/>
        <v>#DIV/0!</v>
      </c>
      <c r="J109" s="1" t="e">
        <f t="shared" ref="J109:AJ109" si="49">(J46-$B46)/$B$4</f>
        <v>#DIV/0!</v>
      </c>
      <c r="K109" s="1" t="e">
        <f t="shared" si="49"/>
        <v>#DIV/0!</v>
      </c>
      <c r="L109" s="1" t="e">
        <f t="shared" si="49"/>
        <v>#DIV/0!</v>
      </c>
      <c r="M109" s="1" t="e">
        <f t="shared" si="49"/>
        <v>#DIV/0!</v>
      </c>
      <c r="N109" s="1" t="e">
        <f t="shared" si="49"/>
        <v>#DIV/0!</v>
      </c>
      <c r="O109" s="1" t="e">
        <f t="shared" si="49"/>
        <v>#DIV/0!</v>
      </c>
      <c r="P109" s="1" t="e">
        <f t="shared" si="49"/>
        <v>#DIV/0!</v>
      </c>
      <c r="Q109" s="1" t="e">
        <f t="shared" si="49"/>
        <v>#DIV/0!</v>
      </c>
      <c r="R109" s="1" t="e">
        <f t="shared" si="49"/>
        <v>#DIV/0!</v>
      </c>
      <c r="S109" s="1" t="e">
        <f t="shared" si="49"/>
        <v>#DIV/0!</v>
      </c>
      <c r="T109" s="1" t="e">
        <f t="shared" si="49"/>
        <v>#DIV/0!</v>
      </c>
      <c r="U109" s="1" t="e">
        <f t="shared" si="49"/>
        <v>#DIV/0!</v>
      </c>
      <c r="V109" s="1" t="e">
        <f t="shared" si="49"/>
        <v>#DIV/0!</v>
      </c>
      <c r="W109" s="1" t="e">
        <f t="shared" si="49"/>
        <v>#DIV/0!</v>
      </c>
      <c r="X109" s="1" t="e">
        <f t="shared" si="49"/>
        <v>#DIV/0!</v>
      </c>
      <c r="Y109" s="1" t="e">
        <f t="shared" si="49"/>
        <v>#DIV/0!</v>
      </c>
      <c r="Z109" s="1" t="e">
        <f t="shared" si="49"/>
        <v>#DIV/0!</v>
      </c>
      <c r="AA109" s="1" t="e">
        <f t="shared" si="49"/>
        <v>#DIV/0!</v>
      </c>
      <c r="AB109" s="1" t="e">
        <f t="shared" si="49"/>
        <v>#DIV/0!</v>
      </c>
      <c r="AC109" s="1" t="e">
        <f t="shared" si="49"/>
        <v>#DIV/0!</v>
      </c>
      <c r="AD109" s="1" t="e">
        <f t="shared" si="49"/>
        <v>#DIV/0!</v>
      </c>
      <c r="AE109" s="1" t="e">
        <f t="shared" si="49"/>
        <v>#DIV/0!</v>
      </c>
      <c r="AF109" s="1" t="e">
        <f t="shared" si="49"/>
        <v>#DIV/0!</v>
      </c>
      <c r="AG109" s="1" t="e">
        <f t="shared" si="49"/>
        <v>#DIV/0!</v>
      </c>
      <c r="AH109" s="1" t="e">
        <f t="shared" si="49"/>
        <v>#DIV/0!</v>
      </c>
      <c r="AI109" s="1" t="e">
        <f t="shared" si="49"/>
        <v>#DIV/0!</v>
      </c>
      <c r="AJ109" s="1" t="e">
        <f t="shared" si="49"/>
        <v>#DIV/0!</v>
      </c>
    </row>
    <row r="110" spans="1:36">
      <c r="A110" s="29">
        <f t="shared" si="41"/>
        <v>30</v>
      </c>
      <c r="B110" s="74"/>
      <c r="C110" s="74"/>
      <c r="D110" s="74"/>
      <c r="E110" s="1" t="e">
        <f t="shared" ref="E110:I119" si="50">(E47-$B47)/$B$4</f>
        <v>#DIV/0!</v>
      </c>
      <c r="F110" s="1" t="e">
        <f t="shared" si="50"/>
        <v>#DIV/0!</v>
      </c>
      <c r="G110" s="1" t="e">
        <f t="shared" si="50"/>
        <v>#DIV/0!</v>
      </c>
      <c r="H110" s="1" t="e">
        <f t="shared" si="50"/>
        <v>#DIV/0!</v>
      </c>
      <c r="I110" s="1" t="e">
        <f t="shared" si="50"/>
        <v>#DIV/0!</v>
      </c>
      <c r="J110" s="1" t="e">
        <f t="shared" ref="J110:AJ110" si="51">(J47-$B47)/$B$4</f>
        <v>#DIV/0!</v>
      </c>
      <c r="K110" s="1" t="e">
        <f t="shared" si="51"/>
        <v>#DIV/0!</v>
      </c>
      <c r="L110" s="1" t="e">
        <f t="shared" si="51"/>
        <v>#DIV/0!</v>
      </c>
      <c r="M110" s="1" t="e">
        <f t="shared" si="51"/>
        <v>#DIV/0!</v>
      </c>
      <c r="N110" s="1" t="e">
        <f t="shared" si="51"/>
        <v>#DIV/0!</v>
      </c>
      <c r="O110" s="1" t="e">
        <f t="shared" si="51"/>
        <v>#DIV/0!</v>
      </c>
      <c r="P110" s="1" t="e">
        <f t="shared" si="51"/>
        <v>#DIV/0!</v>
      </c>
      <c r="Q110" s="1" t="e">
        <f t="shared" si="51"/>
        <v>#DIV/0!</v>
      </c>
      <c r="R110" s="1" t="e">
        <f t="shared" si="51"/>
        <v>#DIV/0!</v>
      </c>
      <c r="S110" s="1" t="e">
        <f t="shared" si="51"/>
        <v>#DIV/0!</v>
      </c>
      <c r="T110" s="1" t="e">
        <f t="shared" si="51"/>
        <v>#DIV/0!</v>
      </c>
      <c r="U110" s="1" t="e">
        <f t="shared" si="51"/>
        <v>#DIV/0!</v>
      </c>
      <c r="V110" s="1" t="e">
        <f t="shared" si="51"/>
        <v>#DIV/0!</v>
      </c>
      <c r="W110" s="1" t="e">
        <f t="shared" si="51"/>
        <v>#DIV/0!</v>
      </c>
      <c r="X110" s="1" t="e">
        <f t="shared" si="51"/>
        <v>#DIV/0!</v>
      </c>
      <c r="Y110" s="1" t="e">
        <f t="shared" si="51"/>
        <v>#DIV/0!</v>
      </c>
      <c r="Z110" s="1" t="e">
        <f t="shared" si="51"/>
        <v>#DIV/0!</v>
      </c>
      <c r="AA110" s="1" t="e">
        <f t="shared" si="51"/>
        <v>#DIV/0!</v>
      </c>
      <c r="AB110" s="1" t="e">
        <f t="shared" si="51"/>
        <v>#DIV/0!</v>
      </c>
      <c r="AC110" s="1" t="e">
        <f t="shared" si="51"/>
        <v>#DIV/0!</v>
      </c>
      <c r="AD110" s="1" t="e">
        <f t="shared" si="51"/>
        <v>#DIV/0!</v>
      </c>
      <c r="AE110" s="1" t="e">
        <f t="shared" si="51"/>
        <v>#DIV/0!</v>
      </c>
      <c r="AF110" s="1" t="e">
        <f t="shared" si="51"/>
        <v>#DIV/0!</v>
      </c>
      <c r="AG110" s="1" t="e">
        <f t="shared" si="51"/>
        <v>#DIV/0!</v>
      </c>
      <c r="AH110" s="1" t="e">
        <f t="shared" si="51"/>
        <v>#DIV/0!</v>
      </c>
      <c r="AI110" s="1" t="e">
        <f t="shared" si="51"/>
        <v>#DIV/0!</v>
      </c>
      <c r="AJ110" s="1" t="e">
        <f t="shared" si="51"/>
        <v>#DIV/0!</v>
      </c>
    </row>
    <row r="111" spans="1:36">
      <c r="A111" s="29">
        <f t="shared" si="41"/>
        <v>33</v>
      </c>
      <c r="B111" s="74"/>
      <c r="C111" s="74"/>
      <c r="D111" s="74"/>
      <c r="E111" s="1" t="e">
        <f t="shared" si="50"/>
        <v>#DIV/0!</v>
      </c>
      <c r="F111" s="1" t="e">
        <f t="shared" si="50"/>
        <v>#DIV/0!</v>
      </c>
      <c r="G111" s="1" t="e">
        <f t="shared" si="50"/>
        <v>#DIV/0!</v>
      </c>
      <c r="H111" s="1" t="e">
        <f t="shared" si="50"/>
        <v>#DIV/0!</v>
      </c>
      <c r="I111" s="1" t="e">
        <f t="shared" si="50"/>
        <v>#DIV/0!</v>
      </c>
      <c r="J111" s="1" t="e">
        <f t="shared" ref="J111:AJ111" si="52">(J48-$B48)/$B$4</f>
        <v>#DIV/0!</v>
      </c>
      <c r="K111" s="1" t="e">
        <f t="shared" si="52"/>
        <v>#DIV/0!</v>
      </c>
      <c r="L111" s="1" t="e">
        <f t="shared" si="52"/>
        <v>#DIV/0!</v>
      </c>
      <c r="M111" s="1" t="e">
        <f t="shared" si="52"/>
        <v>#DIV/0!</v>
      </c>
      <c r="N111" s="1" t="e">
        <f t="shared" si="52"/>
        <v>#DIV/0!</v>
      </c>
      <c r="O111" s="1" t="e">
        <f t="shared" si="52"/>
        <v>#DIV/0!</v>
      </c>
      <c r="P111" s="1" t="e">
        <f t="shared" si="52"/>
        <v>#DIV/0!</v>
      </c>
      <c r="Q111" s="1" t="e">
        <f t="shared" si="52"/>
        <v>#DIV/0!</v>
      </c>
      <c r="R111" s="1" t="e">
        <f t="shared" si="52"/>
        <v>#DIV/0!</v>
      </c>
      <c r="S111" s="1" t="e">
        <f t="shared" si="52"/>
        <v>#DIV/0!</v>
      </c>
      <c r="T111" s="1" t="e">
        <f t="shared" si="52"/>
        <v>#DIV/0!</v>
      </c>
      <c r="U111" s="1" t="e">
        <f t="shared" si="52"/>
        <v>#DIV/0!</v>
      </c>
      <c r="V111" s="1" t="e">
        <f t="shared" si="52"/>
        <v>#DIV/0!</v>
      </c>
      <c r="W111" s="1" t="e">
        <f t="shared" si="52"/>
        <v>#DIV/0!</v>
      </c>
      <c r="X111" s="1" t="e">
        <f t="shared" si="52"/>
        <v>#DIV/0!</v>
      </c>
      <c r="Y111" s="1" t="e">
        <f t="shared" si="52"/>
        <v>#DIV/0!</v>
      </c>
      <c r="Z111" s="1" t="e">
        <f t="shared" si="52"/>
        <v>#DIV/0!</v>
      </c>
      <c r="AA111" s="1" t="e">
        <f t="shared" si="52"/>
        <v>#DIV/0!</v>
      </c>
      <c r="AB111" s="1" t="e">
        <f t="shared" si="52"/>
        <v>#DIV/0!</v>
      </c>
      <c r="AC111" s="1" t="e">
        <f t="shared" si="52"/>
        <v>#DIV/0!</v>
      </c>
      <c r="AD111" s="1" t="e">
        <f t="shared" si="52"/>
        <v>#DIV/0!</v>
      </c>
      <c r="AE111" s="1" t="e">
        <f t="shared" si="52"/>
        <v>#DIV/0!</v>
      </c>
      <c r="AF111" s="1" t="e">
        <f t="shared" si="52"/>
        <v>#DIV/0!</v>
      </c>
      <c r="AG111" s="1" t="e">
        <f t="shared" si="52"/>
        <v>#DIV/0!</v>
      </c>
      <c r="AH111" s="1" t="e">
        <f t="shared" si="52"/>
        <v>#DIV/0!</v>
      </c>
      <c r="AI111" s="1" t="e">
        <f t="shared" si="52"/>
        <v>#DIV/0!</v>
      </c>
      <c r="AJ111" s="1" t="e">
        <f t="shared" si="52"/>
        <v>#DIV/0!</v>
      </c>
    </row>
    <row r="112" spans="1:36">
      <c r="A112" s="29">
        <f t="shared" si="41"/>
        <v>36</v>
      </c>
      <c r="B112" s="74"/>
      <c r="C112" s="74"/>
      <c r="D112" s="74"/>
      <c r="E112" s="1" t="e">
        <f t="shared" si="50"/>
        <v>#DIV/0!</v>
      </c>
      <c r="F112" s="1" t="e">
        <f t="shared" si="50"/>
        <v>#DIV/0!</v>
      </c>
      <c r="G112" s="1" t="e">
        <f t="shared" si="50"/>
        <v>#DIV/0!</v>
      </c>
      <c r="H112" s="1" t="e">
        <f t="shared" si="50"/>
        <v>#DIV/0!</v>
      </c>
      <c r="I112" s="1" t="e">
        <f t="shared" si="50"/>
        <v>#DIV/0!</v>
      </c>
      <c r="J112" s="1" t="e">
        <f t="shared" ref="J112:AJ112" si="53">(J49-$B49)/$B$4</f>
        <v>#DIV/0!</v>
      </c>
      <c r="K112" s="1" t="e">
        <f t="shared" si="53"/>
        <v>#DIV/0!</v>
      </c>
      <c r="L112" s="1" t="e">
        <f t="shared" si="53"/>
        <v>#DIV/0!</v>
      </c>
      <c r="M112" s="1" t="e">
        <f t="shared" si="53"/>
        <v>#DIV/0!</v>
      </c>
      <c r="N112" s="1" t="e">
        <f t="shared" si="53"/>
        <v>#DIV/0!</v>
      </c>
      <c r="O112" s="1" t="e">
        <f t="shared" si="53"/>
        <v>#DIV/0!</v>
      </c>
      <c r="P112" s="1" t="e">
        <f t="shared" si="53"/>
        <v>#DIV/0!</v>
      </c>
      <c r="Q112" s="1" t="e">
        <f t="shared" si="53"/>
        <v>#DIV/0!</v>
      </c>
      <c r="R112" s="1" t="e">
        <f t="shared" si="53"/>
        <v>#DIV/0!</v>
      </c>
      <c r="S112" s="1" t="e">
        <f t="shared" si="53"/>
        <v>#DIV/0!</v>
      </c>
      <c r="T112" s="1" t="e">
        <f t="shared" si="53"/>
        <v>#DIV/0!</v>
      </c>
      <c r="U112" s="1" t="e">
        <f t="shared" si="53"/>
        <v>#DIV/0!</v>
      </c>
      <c r="V112" s="1" t="e">
        <f t="shared" si="53"/>
        <v>#DIV/0!</v>
      </c>
      <c r="W112" s="1" t="e">
        <f t="shared" si="53"/>
        <v>#DIV/0!</v>
      </c>
      <c r="X112" s="1" t="e">
        <f t="shared" si="53"/>
        <v>#DIV/0!</v>
      </c>
      <c r="Y112" s="1" t="e">
        <f t="shared" si="53"/>
        <v>#DIV/0!</v>
      </c>
      <c r="Z112" s="1" t="e">
        <f t="shared" si="53"/>
        <v>#DIV/0!</v>
      </c>
      <c r="AA112" s="1" t="e">
        <f t="shared" si="53"/>
        <v>#DIV/0!</v>
      </c>
      <c r="AB112" s="1" t="e">
        <f t="shared" si="53"/>
        <v>#DIV/0!</v>
      </c>
      <c r="AC112" s="1" t="e">
        <f t="shared" si="53"/>
        <v>#DIV/0!</v>
      </c>
      <c r="AD112" s="1" t="e">
        <f t="shared" si="53"/>
        <v>#DIV/0!</v>
      </c>
      <c r="AE112" s="1" t="e">
        <f t="shared" si="53"/>
        <v>#DIV/0!</v>
      </c>
      <c r="AF112" s="1" t="e">
        <f t="shared" si="53"/>
        <v>#DIV/0!</v>
      </c>
      <c r="AG112" s="1" t="e">
        <f t="shared" si="53"/>
        <v>#DIV/0!</v>
      </c>
      <c r="AH112" s="1" t="e">
        <f t="shared" si="53"/>
        <v>#DIV/0!</v>
      </c>
      <c r="AI112" s="1" t="e">
        <f t="shared" si="53"/>
        <v>#DIV/0!</v>
      </c>
      <c r="AJ112" s="1" t="e">
        <f t="shared" si="53"/>
        <v>#DIV/0!</v>
      </c>
    </row>
    <row r="113" spans="1:36">
      <c r="A113" s="29">
        <f t="shared" si="41"/>
        <v>39</v>
      </c>
      <c r="B113" s="74"/>
      <c r="C113" s="74"/>
      <c r="D113" s="74"/>
      <c r="E113" s="1" t="e">
        <f t="shared" si="50"/>
        <v>#DIV/0!</v>
      </c>
      <c r="F113" s="1" t="e">
        <f t="shared" si="50"/>
        <v>#DIV/0!</v>
      </c>
      <c r="G113" s="1" t="e">
        <f t="shared" si="50"/>
        <v>#DIV/0!</v>
      </c>
      <c r="H113" s="1" t="e">
        <f t="shared" si="50"/>
        <v>#DIV/0!</v>
      </c>
      <c r="I113" s="1" t="e">
        <f t="shared" si="50"/>
        <v>#DIV/0!</v>
      </c>
      <c r="J113" s="1" t="e">
        <f t="shared" ref="J113:AJ113" si="54">(J50-$B50)/$B$4</f>
        <v>#DIV/0!</v>
      </c>
      <c r="K113" s="1" t="e">
        <f t="shared" si="54"/>
        <v>#DIV/0!</v>
      </c>
      <c r="L113" s="1" t="e">
        <f t="shared" si="54"/>
        <v>#DIV/0!</v>
      </c>
      <c r="M113" s="1" t="e">
        <f t="shared" si="54"/>
        <v>#DIV/0!</v>
      </c>
      <c r="N113" s="1" t="e">
        <f t="shared" si="54"/>
        <v>#DIV/0!</v>
      </c>
      <c r="O113" s="1" t="e">
        <f t="shared" si="54"/>
        <v>#DIV/0!</v>
      </c>
      <c r="P113" s="1" t="e">
        <f t="shared" si="54"/>
        <v>#DIV/0!</v>
      </c>
      <c r="Q113" s="1" t="e">
        <f t="shared" si="54"/>
        <v>#DIV/0!</v>
      </c>
      <c r="R113" s="1" t="e">
        <f t="shared" si="54"/>
        <v>#DIV/0!</v>
      </c>
      <c r="S113" s="1" t="e">
        <f t="shared" si="54"/>
        <v>#DIV/0!</v>
      </c>
      <c r="T113" s="1" t="e">
        <f t="shared" si="54"/>
        <v>#DIV/0!</v>
      </c>
      <c r="U113" s="1" t="e">
        <f t="shared" si="54"/>
        <v>#DIV/0!</v>
      </c>
      <c r="V113" s="1" t="e">
        <f t="shared" si="54"/>
        <v>#DIV/0!</v>
      </c>
      <c r="W113" s="1" t="e">
        <f t="shared" si="54"/>
        <v>#DIV/0!</v>
      </c>
      <c r="X113" s="1" t="e">
        <f t="shared" si="54"/>
        <v>#DIV/0!</v>
      </c>
      <c r="Y113" s="1" t="e">
        <f t="shared" si="54"/>
        <v>#DIV/0!</v>
      </c>
      <c r="Z113" s="1" t="e">
        <f t="shared" si="54"/>
        <v>#DIV/0!</v>
      </c>
      <c r="AA113" s="1" t="e">
        <f t="shared" si="54"/>
        <v>#DIV/0!</v>
      </c>
      <c r="AB113" s="1" t="e">
        <f t="shared" si="54"/>
        <v>#DIV/0!</v>
      </c>
      <c r="AC113" s="1" t="e">
        <f t="shared" si="54"/>
        <v>#DIV/0!</v>
      </c>
      <c r="AD113" s="1" t="e">
        <f t="shared" si="54"/>
        <v>#DIV/0!</v>
      </c>
      <c r="AE113" s="1" t="e">
        <f t="shared" si="54"/>
        <v>#DIV/0!</v>
      </c>
      <c r="AF113" s="1" t="e">
        <f t="shared" si="54"/>
        <v>#DIV/0!</v>
      </c>
      <c r="AG113" s="1" t="e">
        <f t="shared" si="54"/>
        <v>#DIV/0!</v>
      </c>
      <c r="AH113" s="1" t="e">
        <f t="shared" si="54"/>
        <v>#DIV/0!</v>
      </c>
      <c r="AI113" s="1" t="e">
        <f t="shared" si="54"/>
        <v>#DIV/0!</v>
      </c>
      <c r="AJ113" s="1" t="e">
        <f t="shared" si="54"/>
        <v>#DIV/0!</v>
      </c>
    </row>
    <row r="114" spans="1:36">
      <c r="A114" s="29">
        <f t="shared" si="41"/>
        <v>42</v>
      </c>
      <c r="B114" s="74"/>
      <c r="C114" s="74"/>
      <c r="D114" s="74"/>
      <c r="E114" s="1" t="e">
        <f t="shared" si="50"/>
        <v>#DIV/0!</v>
      </c>
      <c r="F114" s="1" t="e">
        <f t="shared" si="50"/>
        <v>#DIV/0!</v>
      </c>
      <c r="G114" s="1" t="e">
        <f t="shared" si="50"/>
        <v>#DIV/0!</v>
      </c>
      <c r="H114" s="1" t="e">
        <f t="shared" si="50"/>
        <v>#DIV/0!</v>
      </c>
      <c r="I114" s="1" t="e">
        <f t="shared" si="50"/>
        <v>#DIV/0!</v>
      </c>
      <c r="J114" s="1" t="e">
        <f t="shared" ref="J114:AJ114" si="55">(J51-$B51)/$B$4</f>
        <v>#DIV/0!</v>
      </c>
      <c r="K114" s="1" t="e">
        <f t="shared" si="55"/>
        <v>#DIV/0!</v>
      </c>
      <c r="L114" s="1" t="e">
        <f t="shared" si="55"/>
        <v>#DIV/0!</v>
      </c>
      <c r="M114" s="1" t="e">
        <f t="shared" si="55"/>
        <v>#DIV/0!</v>
      </c>
      <c r="N114" s="1" t="e">
        <f t="shared" si="55"/>
        <v>#DIV/0!</v>
      </c>
      <c r="O114" s="1" t="e">
        <f t="shared" si="55"/>
        <v>#DIV/0!</v>
      </c>
      <c r="P114" s="1" t="e">
        <f t="shared" si="55"/>
        <v>#DIV/0!</v>
      </c>
      <c r="Q114" s="1" t="e">
        <f t="shared" si="55"/>
        <v>#DIV/0!</v>
      </c>
      <c r="R114" s="1" t="e">
        <f t="shared" si="55"/>
        <v>#DIV/0!</v>
      </c>
      <c r="S114" s="1" t="e">
        <f t="shared" si="55"/>
        <v>#DIV/0!</v>
      </c>
      <c r="T114" s="1" t="e">
        <f t="shared" si="55"/>
        <v>#DIV/0!</v>
      </c>
      <c r="U114" s="1" t="e">
        <f t="shared" si="55"/>
        <v>#DIV/0!</v>
      </c>
      <c r="V114" s="1" t="e">
        <f t="shared" si="55"/>
        <v>#DIV/0!</v>
      </c>
      <c r="W114" s="1" t="e">
        <f t="shared" si="55"/>
        <v>#DIV/0!</v>
      </c>
      <c r="X114" s="1" t="e">
        <f t="shared" si="55"/>
        <v>#DIV/0!</v>
      </c>
      <c r="Y114" s="1" t="e">
        <f t="shared" si="55"/>
        <v>#DIV/0!</v>
      </c>
      <c r="Z114" s="1" t="e">
        <f t="shared" si="55"/>
        <v>#DIV/0!</v>
      </c>
      <c r="AA114" s="1" t="e">
        <f t="shared" si="55"/>
        <v>#DIV/0!</v>
      </c>
      <c r="AB114" s="1" t="e">
        <f t="shared" si="55"/>
        <v>#DIV/0!</v>
      </c>
      <c r="AC114" s="1" t="e">
        <f t="shared" si="55"/>
        <v>#DIV/0!</v>
      </c>
      <c r="AD114" s="1" t="e">
        <f t="shared" si="55"/>
        <v>#DIV/0!</v>
      </c>
      <c r="AE114" s="1" t="e">
        <f t="shared" si="55"/>
        <v>#DIV/0!</v>
      </c>
      <c r="AF114" s="1" t="e">
        <f t="shared" si="55"/>
        <v>#DIV/0!</v>
      </c>
      <c r="AG114" s="1" t="e">
        <f t="shared" si="55"/>
        <v>#DIV/0!</v>
      </c>
      <c r="AH114" s="1" t="e">
        <f t="shared" si="55"/>
        <v>#DIV/0!</v>
      </c>
      <c r="AI114" s="1" t="e">
        <f t="shared" si="55"/>
        <v>#DIV/0!</v>
      </c>
      <c r="AJ114" s="1" t="e">
        <f t="shared" si="55"/>
        <v>#DIV/0!</v>
      </c>
    </row>
    <row r="115" spans="1:36">
      <c r="A115" s="29">
        <f t="shared" si="41"/>
        <v>45</v>
      </c>
      <c r="B115" s="74"/>
      <c r="C115" s="74"/>
      <c r="D115" s="74"/>
      <c r="E115" s="1" t="e">
        <f t="shared" si="50"/>
        <v>#DIV/0!</v>
      </c>
      <c r="F115" s="1" t="e">
        <f t="shared" si="50"/>
        <v>#DIV/0!</v>
      </c>
      <c r="G115" s="1" t="e">
        <f t="shared" si="50"/>
        <v>#DIV/0!</v>
      </c>
      <c r="H115" s="1" t="e">
        <f t="shared" si="50"/>
        <v>#DIV/0!</v>
      </c>
      <c r="I115" s="1" t="e">
        <f t="shared" si="50"/>
        <v>#DIV/0!</v>
      </c>
      <c r="J115" s="1" t="e">
        <f t="shared" ref="J115:AJ115" si="56">(J52-$B52)/$B$4</f>
        <v>#DIV/0!</v>
      </c>
      <c r="K115" s="1" t="e">
        <f t="shared" si="56"/>
        <v>#DIV/0!</v>
      </c>
      <c r="L115" s="1" t="e">
        <f t="shared" si="56"/>
        <v>#DIV/0!</v>
      </c>
      <c r="M115" s="1" t="e">
        <f t="shared" si="56"/>
        <v>#DIV/0!</v>
      </c>
      <c r="N115" s="1" t="e">
        <f t="shared" si="56"/>
        <v>#DIV/0!</v>
      </c>
      <c r="O115" s="1" t="e">
        <f t="shared" si="56"/>
        <v>#DIV/0!</v>
      </c>
      <c r="P115" s="1" t="e">
        <f t="shared" si="56"/>
        <v>#DIV/0!</v>
      </c>
      <c r="Q115" s="1" t="e">
        <f t="shared" si="56"/>
        <v>#DIV/0!</v>
      </c>
      <c r="R115" s="1" t="e">
        <f t="shared" si="56"/>
        <v>#DIV/0!</v>
      </c>
      <c r="S115" s="1" t="e">
        <f t="shared" si="56"/>
        <v>#DIV/0!</v>
      </c>
      <c r="T115" s="1" t="e">
        <f t="shared" si="56"/>
        <v>#DIV/0!</v>
      </c>
      <c r="U115" s="1" t="e">
        <f t="shared" si="56"/>
        <v>#DIV/0!</v>
      </c>
      <c r="V115" s="1" t="e">
        <f t="shared" si="56"/>
        <v>#DIV/0!</v>
      </c>
      <c r="W115" s="1" t="e">
        <f t="shared" si="56"/>
        <v>#DIV/0!</v>
      </c>
      <c r="X115" s="1" t="e">
        <f t="shared" si="56"/>
        <v>#DIV/0!</v>
      </c>
      <c r="Y115" s="1" t="e">
        <f t="shared" si="56"/>
        <v>#DIV/0!</v>
      </c>
      <c r="Z115" s="1" t="e">
        <f t="shared" si="56"/>
        <v>#DIV/0!</v>
      </c>
      <c r="AA115" s="1" t="e">
        <f t="shared" si="56"/>
        <v>#DIV/0!</v>
      </c>
      <c r="AB115" s="1" t="e">
        <f t="shared" si="56"/>
        <v>#DIV/0!</v>
      </c>
      <c r="AC115" s="1" t="e">
        <f t="shared" si="56"/>
        <v>#DIV/0!</v>
      </c>
      <c r="AD115" s="1" t="e">
        <f t="shared" si="56"/>
        <v>#DIV/0!</v>
      </c>
      <c r="AE115" s="1" t="e">
        <f t="shared" si="56"/>
        <v>#DIV/0!</v>
      </c>
      <c r="AF115" s="1" t="e">
        <f t="shared" si="56"/>
        <v>#DIV/0!</v>
      </c>
      <c r="AG115" s="1" t="e">
        <f t="shared" si="56"/>
        <v>#DIV/0!</v>
      </c>
      <c r="AH115" s="1" t="e">
        <f t="shared" si="56"/>
        <v>#DIV/0!</v>
      </c>
      <c r="AI115" s="1" t="e">
        <f t="shared" si="56"/>
        <v>#DIV/0!</v>
      </c>
      <c r="AJ115" s="1" t="e">
        <f t="shared" si="56"/>
        <v>#DIV/0!</v>
      </c>
    </row>
    <row r="116" spans="1:36">
      <c r="A116" s="29">
        <f t="shared" si="41"/>
        <v>48</v>
      </c>
      <c r="B116" s="74"/>
      <c r="C116" s="74"/>
      <c r="D116" s="74"/>
      <c r="E116" s="1" t="e">
        <f t="shared" si="50"/>
        <v>#DIV/0!</v>
      </c>
      <c r="F116" s="1" t="e">
        <f t="shared" si="50"/>
        <v>#DIV/0!</v>
      </c>
      <c r="G116" s="1" t="e">
        <f t="shared" si="50"/>
        <v>#DIV/0!</v>
      </c>
      <c r="H116" s="1" t="e">
        <f t="shared" si="50"/>
        <v>#DIV/0!</v>
      </c>
      <c r="I116" s="1" t="e">
        <f t="shared" si="50"/>
        <v>#DIV/0!</v>
      </c>
      <c r="J116" s="1" t="e">
        <f t="shared" ref="J116:AJ116" si="57">(J53-$B53)/$B$4</f>
        <v>#DIV/0!</v>
      </c>
      <c r="K116" s="1" t="e">
        <f t="shared" si="57"/>
        <v>#DIV/0!</v>
      </c>
      <c r="L116" s="1" t="e">
        <f t="shared" si="57"/>
        <v>#DIV/0!</v>
      </c>
      <c r="M116" s="1" t="e">
        <f t="shared" si="57"/>
        <v>#DIV/0!</v>
      </c>
      <c r="N116" s="1" t="e">
        <f t="shared" si="57"/>
        <v>#DIV/0!</v>
      </c>
      <c r="O116" s="1" t="e">
        <f t="shared" si="57"/>
        <v>#DIV/0!</v>
      </c>
      <c r="P116" s="1" t="e">
        <f t="shared" si="57"/>
        <v>#DIV/0!</v>
      </c>
      <c r="Q116" s="1" t="e">
        <f t="shared" si="57"/>
        <v>#DIV/0!</v>
      </c>
      <c r="R116" s="1" t="e">
        <f t="shared" si="57"/>
        <v>#DIV/0!</v>
      </c>
      <c r="S116" s="1" t="e">
        <f t="shared" si="57"/>
        <v>#DIV/0!</v>
      </c>
      <c r="T116" s="1" t="e">
        <f t="shared" si="57"/>
        <v>#DIV/0!</v>
      </c>
      <c r="U116" s="1" t="e">
        <f t="shared" si="57"/>
        <v>#DIV/0!</v>
      </c>
      <c r="V116" s="1" t="e">
        <f t="shared" si="57"/>
        <v>#DIV/0!</v>
      </c>
      <c r="W116" s="1" t="e">
        <f t="shared" si="57"/>
        <v>#DIV/0!</v>
      </c>
      <c r="X116" s="1" t="e">
        <f t="shared" si="57"/>
        <v>#DIV/0!</v>
      </c>
      <c r="Y116" s="1" t="e">
        <f t="shared" si="57"/>
        <v>#DIV/0!</v>
      </c>
      <c r="Z116" s="1" t="e">
        <f t="shared" si="57"/>
        <v>#DIV/0!</v>
      </c>
      <c r="AA116" s="1" t="e">
        <f t="shared" si="57"/>
        <v>#DIV/0!</v>
      </c>
      <c r="AB116" s="1" t="e">
        <f t="shared" si="57"/>
        <v>#DIV/0!</v>
      </c>
      <c r="AC116" s="1" t="e">
        <f t="shared" si="57"/>
        <v>#DIV/0!</v>
      </c>
      <c r="AD116" s="1" t="e">
        <f t="shared" si="57"/>
        <v>#DIV/0!</v>
      </c>
      <c r="AE116" s="1" t="e">
        <f t="shared" si="57"/>
        <v>#DIV/0!</v>
      </c>
      <c r="AF116" s="1" t="e">
        <f t="shared" si="57"/>
        <v>#DIV/0!</v>
      </c>
      <c r="AG116" s="1" t="e">
        <f t="shared" si="57"/>
        <v>#DIV/0!</v>
      </c>
      <c r="AH116" s="1" t="e">
        <f t="shared" si="57"/>
        <v>#DIV/0!</v>
      </c>
      <c r="AI116" s="1" t="e">
        <f t="shared" si="57"/>
        <v>#DIV/0!</v>
      </c>
      <c r="AJ116" s="1" t="e">
        <f t="shared" si="57"/>
        <v>#DIV/0!</v>
      </c>
    </row>
    <row r="117" spans="1:36">
      <c r="A117" s="29">
        <f t="shared" si="41"/>
        <v>51</v>
      </c>
      <c r="B117" s="74"/>
      <c r="C117" s="74"/>
      <c r="D117" s="74"/>
      <c r="E117" s="1" t="e">
        <f t="shared" si="50"/>
        <v>#DIV/0!</v>
      </c>
      <c r="F117" s="1" t="e">
        <f t="shared" si="50"/>
        <v>#DIV/0!</v>
      </c>
      <c r="G117" s="1" t="e">
        <f t="shared" si="50"/>
        <v>#DIV/0!</v>
      </c>
      <c r="H117" s="1" t="e">
        <f t="shared" si="50"/>
        <v>#DIV/0!</v>
      </c>
      <c r="I117" s="1" t="e">
        <f t="shared" si="50"/>
        <v>#DIV/0!</v>
      </c>
      <c r="J117" s="1" t="e">
        <f t="shared" ref="J117:AJ117" si="58">(J54-$B54)/$B$4</f>
        <v>#DIV/0!</v>
      </c>
      <c r="K117" s="1" t="e">
        <f t="shared" si="58"/>
        <v>#DIV/0!</v>
      </c>
      <c r="L117" s="1" t="e">
        <f t="shared" si="58"/>
        <v>#DIV/0!</v>
      </c>
      <c r="M117" s="1" t="e">
        <f t="shared" si="58"/>
        <v>#DIV/0!</v>
      </c>
      <c r="N117" s="1" t="e">
        <f t="shared" si="58"/>
        <v>#DIV/0!</v>
      </c>
      <c r="O117" s="1" t="e">
        <f t="shared" si="58"/>
        <v>#DIV/0!</v>
      </c>
      <c r="P117" s="1" t="e">
        <f t="shared" si="58"/>
        <v>#DIV/0!</v>
      </c>
      <c r="Q117" s="1" t="e">
        <f t="shared" si="58"/>
        <v>#DIV/0!</v>
      </c>
      <c r="R117" s="1" t="e">
        <f t="shared" si="58"/>
        <v>#DIV/0!</v>
      </c>
      <c r="S117" s="1" t="e">
        <f t="shared" si="58"/>
        <v>#DIV/0!</v>
      </c>
      <c r="T117" s="1" t="e">
        <f t="shared" si="58"/>
        <v>#DIV/0!</v>
      </c>
      <c r="U117" s="1" t="e">
        <f t="shared" si="58"/>
        <v>#DIV/0!</v>
      </c>
      <c r="V117" s="1" t="e">
        <f t="shared" si="58"/>
        <v>#DIV/0!</v>
      </c>
      <c r="W117" s="1" t="e">
        <f t="shared" si="58"/>
        <v>#DIV/0!</v>
      </c>
      <c r="X117" s="1" t="e">
        <f t="shared" si="58"/>
        <v>#DIV/0!</v>
      </c>
      <c r="Y117" s="1" t="e">
        <f t="shared" si="58"/>
        <v>#DIV/0!</v>
      </c>
      <c r="Z117" s="1" t="e">
        <f t="shared" si="58"/>
        <v>#DIV/0!</v>
      </c>
      <c r="AA117" s="1" t="e">
        <f t="shared" si="58"/>
        <v>#DIV/0!</v>
      </c>
      <c r="AB117" s="1" t="e">
        <f t="shared" si="58"/>
        <v>#DIV/0!</v>
      </c>
      <c r="AC117" s="1" t="e">
        <f t="shared" si="58"/>
        <v>#DIV/0!</v>
      </c>
      <c r="AD117" s="1" t="e">
        <f t="shared" si="58"/>
        <v>#DIV/0!</v>
      </c>
      <c r="AE117" s="1" t="e">
        <f t="shared" si="58"/>
        <v>#DIV/0!</v>
      </c>
      <c r="AF117" s="1" t="e">
        <f t="shared" si="58"/>
        <v>#DIV/0!</v>
      </c>
      <c r="AG117" s="1" t="e">
        <f t="shared" si="58"/>
        <v>#DIV/0!</v>
      </c>
      <c r="AH117" s="1" t="e">
        <f t="shared" si="58"/>
        <v>#DIV/0!</v>
      </c>
      <c r="AI117" s="1" t="e">
        <f t="shared" si="58"/>
        <v>#DIV/0!</v>
      </c>
      <c r="AJ117" s="1" t="e">
        <f t="shared" si="58"/>
        <v>#DIV/0!</v>
      </c>
    </row>
    <row r="118" spans="1:36">
      <c r="A118" s="29">
        <f t="shared" si="41"/>
        <v>54</v>
      </c>
      <c r="B118" s="74"/>
      <c r="C118" s="74"/>
      <c r="D118" s="74"/>
      <c r="E118" s="1" t="e">
        <f t="shared" si="50"/>
        <v>#DIV/0!</v>
      </c>
      <c r="F118" s="1" t="e">
        <f t="shared" si="50"/>
        <v>#DIV/0!</v>
      </c>
      <c r="G118" s="1" t="e">
        <f t="shared" si="50"/>
        <v>#DIV/0!</v>
      </c>
      <c r="H118" s="1" t="e">
        <f t="shared" si="50"/>
        <v>#DIV/0!</v>
      </c>
      <c r="I118" s="1" t="e">
        <f t="shared" si="50"/>
        <v>#DIV/0!</v>
      </c>
      <c r="J118" s="1" t="e">
        <f t="shared" ref="J118:AJ118" si="59">(J55-$B55)/$B$4</f>
        <v>#DIV/0!</v>
      </c>
      <c r="K118" s="1" t="e">
        <f t="shared" si="59"/>
        <v>#DIV/0!</v>
      </c>
      <c r="L118" s="1" t="e">
        <f t="shared" si="59"/>
        <v>#DIV/0!</v>
      </c>
      <c r="M118" s="1" t="e">
        <f t="shared" si="59"/>
        <v>#DIV/0!</v>
      </c>
      <c r="N118" s="1" t="e">
        <f t="shared" si="59"/>
        <v>#DIV/0!</v>
      </c>
      <c r="O118" s="1" t="e">
        <f t="shared" si="59"/>
        <v>#DIV/0!</v>
      </c>
      <c r="P118" s="1" t="e">
        <f t="shared" si="59"/>
        <v>#DIV/0!</v>
      </c>
      <c r="Q118" s="1" t="e">
        <f t="shared" si="59"/>
        <v>#DIV/0!</v>
      </c>
      <c r="R118" s="1" t="e">
        <f t="shared" si="59"/>
        <v>#DIV/0!</v>
      </c>
      <c r="S118" s="1" t="e">
        <f t="shared" si="59"/>
        <v>#DIV/0!</v>
      </c>
      <c r="T118" s="1" t="e">
        <f t="shared" si="59"/>
        <v>#DIV/0!</v>
      </c>
      <c r="U118" s="1" t="e">
        <f t="shared" si="59"/>
        <v>#DIV/0!</v>
      </c>
      <c r="V118" s="1" t="e">
        <f t="shared" si="59"/>
        <v>#DIV/0!</v>
      </c>
      <c r="W118" s="1" t="e">
        <f t="shared" si="59"/>
        <v>#DIV/0!</v>
      </c>
      <c r="X118" s="1" t="e">
        <f t="shared" si="59"/>
        <v>#DIV/0!</v>
      </c>
      <c r="Y118" s="1" t="e">
        <f t="shared" si="59"/>
        <v>#DIV/0!</v>
      </c>
      <c r="Z118" s="1" t="e">
        <f t="shared" si="59"/>
        <v>#DIV/0!</v>
      </c>
      <c r="AA118" s="1" t="e">
        <f t="shared" si="59"/>
        <v>#DIV/0!</v>
      </c>
      <c r="AB118" s="1" t="e">
        <f t="shared" si="59"/>
        <v>#DIV/0!</v>
      </c>
      <c r="AC118" s="1" t="e">
        <f t="shared" si="59"/>
        <v>#DIV/0!</v>
      </c>
      <c r="AD118" s="1" t="e">
        <f t="shared" si="59"/>
        <v>#DIV/0!</v>
      </c>
      <c r="AE118" s="1" t="e">
        <f t="shared" si="59"/>
        <v>#DIV/0!</v>
      </c>
      <c r="AF118" s="1" t="e">
        <f t="shared" si="59"/>
        <v>#DIV/0!</v>
      </c>
      <c r="AG118" s="1" t="e">
        <f t="shared" si="59"/>
        <v>#DIV/0!</v>
      </c>
      <c r="AH118" s="1" t="e">
        <f t="shared" si="59"/>
        <v>#DIV/0!</v>
      </c>
      <c r="AI118" s="1" t="e">
        <f t="shared" si="59"/>
        <v>#DIV/0!</v>
      </c>
      <c r="AJ118" s="1" t="e">
        <f t="shared" si="59"/>
        <v>#DIV/0!</v>
      </c>
    </row>
    <row r="119" spans="1:36">
      <c r="A119" s="29">
        <f t="shared" si="41"/>
        <v>57</v>
      </c>
      <c r="B119" s="74"/>
      <c r="C119" s="74"/>
      <c r="D119" s="74"/>
      <c r="E119" s="1" t="e">
        <f t="shared" si="50"/>
        <v>#DIV/0!</v>
      </c>
      <c r="F119" s="1" t="e">
        <f t="shared" si="50"/>
        <v>#DIV/0!</v>
      </c>
      <c r="G119" s="1" t="e">
        <f t="shared" si="50"/>
        <v>#DIV/0!</v>
      </c>
      <c r="H119" s="1" t="e">
        <f t="shared" si="50"/>
        <v>#DIV/0!</v>
      </c>
      <c r="I119" s="1" t="e">
        <f t="shared" si="50"/>
        <v>#DIV/0!</v>
      </c>
      <c r="J119" s="1" t="e">
        <f t="shared" ref="J119:AJ119" si="60">(J56-$B56)/$B$4</f>
        <v>#DIV/0!</v>
      </c>
      <c r="K119" s="1" t="e">
        <f t="shared" si="60"/>
        <v>#DIV/0!</v>
      </c>
      <c r="L119" s="1" t="e">
        <f t="shared" si="60"/>
        <v>#DIV/0!</v>
      </c>
      <c r="M119" s="1" t="e">
        <f t="shared" si="60"/>
        <v>#DIV/0!</v>
      </c>
      <c r="N119" s="1" t="e">
        <f t="shared" si="60"/>
        <v>#DIV/0!</v>
      </c>
      <c r="O119" s="1" t="e">
        <f t="shared" si="60"/>
        <v>#DIV/0!</v>
      </c>
      <c r="P119" s="1" t="e">
        <f t="shared" si="60"/>
        <v>#DIV/0!</v>
      </c>
      <c r="Q119" s="1" t="e">
        <f t="shared" si="60"/>
        <v>#DIV/0!</v>
      </c>
      <c r="R119" s="1" t="e">
        <f t="shared" si="60"/>
        <v>#DIV/0!</v>
      </c>
      <c r="S119" s="1" t="e">
        <f t="shared" si="60"/>
        <v>#DIV/0!</v>
      </c>
      <c r="T119" s="1" t="e">
        <f t="shared" si="60"/>
        <v>#DIV/0!</v>
      </c>
      <c r="U119" s="1" t="e">
        <f t="shared" si="60"/>
        <v>#DIV/0!</v>
      </c>
      <c r="V119" s="1" t="e">
        <f t="shared" si="60"/>
        <v>#DIV/0!</v>
      </c>
      <c r="W119" s="1" t="e">
        <f t="shared" si="60"/>
        <v>#DIV/0!</v>
      </c>
      <c r="X119" s="1" t="e">
        <f t="shared" si="60"/>
        <v>#DIV/0!</v>
      </c>
      <c r="Y119" s="1" t="e">
        <f t="shared" si="60"/>
        <v>#DIV/0!</v>
      </c>
      <c r="Z119" s="1" t="e">
        <f t="shared" si="60"/>
        <v>#DIV/0!</v>
      </c>
      <c r="AA119" s="1" t="e">
        <f t="shared" si="60"/>
        <v>#DIV/0!</v>
      </c>
      <c r="AB119" s="1" t="e">
        <f t="shared" si="60"/>
        <v>#DIV/0!</v>
      </c>
      <c r="AC119" s="1" t="e">
        <f t="shared" si="60"/>
        <v>#DIV/0!</v>
      </c>
      <c r="AD119" s="1" t="e">
        <f t="shared" si="60"/>
        <v>#DIV/0!</v>
      </c>
      <c r="AE119" s="1" t="e">
        <f t="shared" si="60"/>
        <v>#DIV/0!</v>
      </c>
      <c r="AF119" s="1" t="e">
        <f t="shared" si="60"/>
        <v>#DIV/0!</v>
      </c>
      <c r="AG119" s="1" t="e">
        <f t="shared" si="60"/>
        <v>#DIV/0!</v>
      </c>
      <c r="AH119" s="1" t="e">
        <f t="shared" si="60"/>
        <v>#DIV/0!</v>
      </c>
      <c r="AI119" s="1" t="e">
        <f t="shared" si="60"/>
        <v>#DIV/0!</v>
      </c>
      <c r="AJ119" s="1" t="e">
        <f t="shared" si="60"/>
        <v>#DIV/0!</v>
      </c>
    </row>
    <row r="120" spans="1:36">
      <c r="A120" s="29">
        <f t="shared" si="41"/>
        <v>60</v>
      </c>
      <c r="B120" s="74"/>
      <c r="C120" s="74"/>
      <c r="D120" s="74"/>
      <c r="E120" s="1" t="e">
        <f t="shared" ref="E120:I129" si="61">(E57-$B57)/$B$4</f>
        <v>#DIV/0!</v>
      </c>
      <c r="F120" s="1" t="e">
        <f t="shared" si="61"/>
        <v>#DIV/0!</v>
      </c>
      <c r="G120" s="1" t="e">
        <f t="shared" si="61"/>
        <v>#DIV/0!</v>
      </c>
      <c r="H120" s="1" t="e">
        <f t="shared" si="61"/>
        <v>#DIV/0!</v>
      </c>
      <c r="I120" s="1" t="e">
        <f t="shared" si="61"/>
        <v>#DIV/0!</v>
      </c>
      <c r="J120" s="1" t="e">
        <f t="shared" ref="J120:AJ120" si="62">(J57-$B57)/$B$4</f>
        <v>#DIV/0!</v>
      </c>
      <c r="K120" s="1" t="e">
        <f t="shared" si="62"/>
        <v>#DIV/0!</v>
      </c>
      <c r="L120" s="1" t="e">
        <f t="shared" si="62"/>
        <v>#DIV/0!</v>
      </c>
      <c r="M120" s="1" t="e">
        <f t="shared" si="62"/>
        <v>#DIV/0!</v>
      </c>
      <c r="N120" s="1" t="e">
        <f t="shared" si="62"/>
        <v>#DIV/0!</v>
      </c>
      <c r="O120" s="1" t="e">
        <f t="shared" si="62"/>
        <v>#DIV/0!</v>
      </c>
      <c r="P120" s="1" t="e">
        <f t="shared" si="62"/>
        <v>#DIV/0!</v>
      </c>
      <c r="Q120" s="1" t="e">
        <f t="shared" si="62"/>
        <v>#DIV/0!</v>
      </c>
      <c r="R120" s="1" t="e">
        <f t="shared" si="62"/>
        <v>#DIV/0!</v>
      </c>
      <c r="S120" s="1" t="e">
        <f t="shared" si="62"/>
        <v>#DIV/0!</v>
      </c>
      <c r="T120" s="1" t="e">
        <f t="shared" si="62"/>
        <v>#DIV/0!</v>
      </c>
      <c r="U120" s="1" t="e">
        <f t="shared" si="62"/>
        <v>#DIV/0!</v>
      </c>
      <c r="V120" s="1" t="e">
        <f t="shared" si="62"/>
        <v>#DIV/0!</v>
      </c>
      <c r="W120" s="1" t="e">
        <f t="shared" si="62"/>
        <v>#DIV/0!</v>
      </c>
      <c r="X120" s="1" t="e">
        <f t="shared" si="62"/>
        <v>#DIV/0!</v>
      </c>
      <c r="Y120" s="1" t="e">
        <f t="shared" si="62"/>
        <v>#DIV/0!</v>
      </c>
      <c r="Z120" s="1" t="e">
        <f t="shared" si="62"/>
        <v>#DIV/0!</v>
      </c>
      <c r="AA120" s="1" t="e">
        <f t="shared" si="62"/>
        <v>#DIV/0!</v>
      </c>
      <c r="AB120" s="1" t="e">
        <f t="shared" si="62"/>
        <v>#DIV/0!</v>
      </c>
      <c r="AC120" s="1" t="e">
        <f t="shared" si="62"/>
        <v>#DIV/0!</v>
      </c>
      <c r="AD120" s="1" t="e">
        <f t="shared" si="62"/>
        <v>#DIV/0!</v>
      </c>
      <c r="AE120" s="1" t="e">
        <f t="shared" si="62"/>
        <v>#DIV/0!</v>
      </c>
      <c r="AF120" s="1" t="e">
        <f t="shared" si="62"/>
        <v>#DIV/0!</v>
      </c>
      <c r="AG120" s="1" t="e">
        <f t="shared" si="62"/>
        <v>#DIV/0!</v>
      </c>
      <c r="AH120" s="1" t="e">
        <f t="shared" si="62"/>
        <v>#DIV/0!</v>
      </c>
      <c r="AI120" s="1" t="e">
        <f t="shared" si="62"/>
        <v>#DIV/0!</v>
      </c>
      <c r="AJ120" s="1" t="e">
        <f t="shared" si="62"/>
        <v>#DIV/0!</v>
      </c>
    </row>
    <row r="121" spans="1:36">
      <c r="A121" s="29">
        <f t="shared" si="41"/>
        <v>63</v>
      </c>
      <c r="B121" s="74"/>
      <c r="C121" s="74"/>
      <c r="D121" s="74"/>
      <c r="E121" s="1" t="e">
        <f t="shared" si="61"/>
        <v>#DIV/0!</v>
      </c>
      <c r="F121" s="1" t="e">
        <f t="shared" si="61"/>
        <v>#DIV/0!</v>
      </c>
      <c r="G121" s="1" t="e">
        <f t="shared" si="61"/>
        <v>#DIV/0!</v>
      </c>
      <c r="H121" s="1" t="e">
        <f t="shared" si="61"/>
        <v>#DIV/0!</v>
      </c>
      <c r="I121" s="1" t="e">
        <f t="shared" si="61"/>
        <v>#DIV/0!</v>
      </c>
      <c r="J121" s="1" t="e">
        <f t="shared" ref="J121:AJ121" si="63">(J58-$B58)/$B$4</f>
        <v>#DIV/0!</v>
      </c>
      <c r="K121" s="1" t="e">
        <f t="shared" si="63"/>
        <v>#DIV/0!</v>
      </c>
      <c r="L121" s="1" t="e">
        <f t="shared" si="63"/>
        <v>#DIV/0!</v>
      </c>
      <c r="M121" s="1" t="e">
        <f t="shared" si="63"/>
        <v>#DIV/0!</v>
      </c>
      <c r="N121" s="1" t="e">
        <f t="shared" si="63"/>
        <v>#DIV/0!</v>
      </c>
      <c r="O121" s="1" t="e">
        <f t="shared" si="63"/>
        <v>#DIV/0!</v>
      </c>
      <c r="P121" s="1" t="e">
        <f t="shared" si="63"/>
        <v>#DIV/0!</v>
      </c>
      <c r="Q121" s="1" t="e">
        <f t="shared" si="63"/>
        <v>#DIV/0!</v>
      </c>
      <c r="R121" s="1" t="e">
        <f t="shared" si="63"/>
        <v>#DIV/0!</v>
      </c>
      <c r="S121" s="1" t="e">
        <f t="shared" si="63"/>
        <v>#DIV/0!</v>
      </c>
      <c r="T121" s="1" t="e">
        <f t="shared" si="63"/>
        <v>#DIV/0!</v>
      </c>
      <c r="U121" s="1" t="e">
        <f t="shared" si="63"/>
        <v>#DIV/0!</v>
      </c>
      <c r="V121" s="1" t="e">
        <f t="shared" si="63"/>
        <v>#DIV/0!</v>
      </c>
      <c r="W121" s="1" t="e">
        <f t="shared" si="63"/>
        <v>#DIV/0!</v>
      </c>
      <c r="X121" s="1" t="e">
        <f t="shared" si="63"/>
        <v>#DIV/0!</v>
      </c>
      <c r="Y121" s="1" t="e">
        <f t="shared" si="63"/>
        <v>#DIV/0!</v>
      </c>
      <c r="Z121" s="1" t="e">
        <f t="shared" si="63"/>
        <v>#DIV/0!</v>
      </c>
      <c r="AA121" s="1" t="e">
        <f t="shared" si="63"/>
        <v>#DIV/0!</v>
      </c>
      <c r="AB121" s="1" t="e">
        <f t="shared" si="63"/>
        <v>#DIV/0!</v>
      </c>
      <c r="AC121" s="1" t="e">
        <f t="shared" si="63"/>
        <v>#DIV/0!</v>
      </c>
      <c r="AD121" s="1" t="e">
        <f t="shared" si="63"/>
        <v>#DIV/0!</v>
      </c>
      <c r="AE121" s="1" t="e">
        <f t="shared" si="63"/>
        <v>#DIV/0!</v>
      </c>
      <c r="AF121" s="1" t="e">
        <f t="shared" si="63"/>
        <v>#DIV/0!</v>
      </c>
      <c r="AG121" s="1" t="e">
        <f t="shared" si="63"/>
        <v>#DIV/0!</v>
      </c>
      <c r="AH121" s="1" t="e">
        <f t="shared" si="63"/>
        <v>#DIV/0!</v>
      </c>
      <c r="AI121" s="1" t="e">
        <f t="shared" si="63"/>
        <v>#DIV/0!</v>
      </c>
      <c r="AJ121" s="1" t="e">
        <f t="shared" si="63"/>
        <v>#DIV/0!</v>
      </c>
    </row>
    <row r="122" spans="1:36">
      <c r="A122" s="29">
        <f t="shared" si="41"/>
        <v>66</v>
      </c>
      <c r="B122" s="74"/>
      <c r="C122" s="74"/>
      <c r="D122" s="74"/>
      <c r="E122" s="1" t="e">
        <f t="shared" si="61"/>
        <v>#DIV/0!</v>
      </c>
      <c r="F122" s="1" t="e">
        <f t="shared" si="61"/>
        <v>#DIV/0!</v>
      </c>
      <c r="G122" s="1" t="e">
        <f t="shared" si="61"/>
        <v>#DIV/0!</v>
      </c>
      <c r="H122" s="1" t="e">
        <f t="shared" si="61"/>
        <v>#DIV/0!</v>
      </c>
      <c r="I122" s="1" t="e">
        <f t="shared" si="61"/>
        <v>#DIV/0!</v>
      </c>
      <c r="J122" s="1" t="e">
        <f t="shared" ref="J122:AJ122" si="64">(J59-$B59)/$B$4</f>
        <v>#DIV/0!</v>
      </c>
      <c r="K122" s="1" t="e">
        <f t="shared" si="64"/>
        <v>#DIV/0!</v>
      </c>
      <c r="L122" s="1" t="e">
        <f t="shared" si="64"/>
        <v>#DIV/0!</v>
      </c>
      <c r="M122" s="1" t="e">
        <f t="shared" si="64"/>
        <v>#DIV/0!</v>
      </c>
      <c r="N122" s="1" t="e">
        <f t="shared" si="64"/>
        <v>#DIV/0!</v>
      </c>
      <c r="O122" s="1" t="e">
        <f t="shared" si="64"/>
        <v>#DIV/0!</v>
      </c>
      <c r="P122" s="1" t="e">
        <f t="shared" si="64"/>
        <v>#DIV/0!</v>
      </c>
      <c r="Q122" s="1" t="e">
        <f t="shared" si="64"/>
        <v>#DIV/0!</v>
      </c>
      <c r="R122" s="1" t="e">
        <f t="shared" si="64"/>
        <v>#DIV/0!</v>
      </c>
      <c r="S122" s="1" t="e">
        <f t="shared" si="64"/>
        <v>#DIV/0!</v>
      </c>
      <c r="T122" s="1" t="e">
        <f t="shared" si="64"/>
        <v>#DIV/0!</v>
      </c>
      <c r="U122" s="1" t="e">
        <f t="shared" si="64"/>
        <v>#DIV/0!</v>
      </c>
      <c r="V122" s="1" t="e">
        <f t="shared" si="64"/>
        <v>#DIV/0!</v>
      </c>
      <c r="W122" s="1" t="e">
        <f t="shared" si="64"/>
        <v>#DIV/0!</v>
      </c>
      <c r="X122" s="1" t="e">
        <f t="shared" si="64"/>
        <v>#DIV/0!</v>
      </c>
      <c r="Y122" s="1" t="e">
        <f t="shared" si="64"/>
        <v>#DIV/0!</v>
      </c>
      <c r="Z122" s="1" t="e">
        <f t="shared" si="64"/>
        <v>#DIV/0!</v>
      </c>
      <c r="AA122" s="1" t="e">
        <f t="shared" si="64"/>
        <v>#DIV/0!</v>
      </c>
      <c r="AB122" s="1" t="e">
        <f t="shared" si="64"/>
        <v>#DIV/0!</v>
      </c>
      <c r="AC122" s="1" t="e">
        <f t="shared" si="64"/>
        <v>#DIV/0!</v>
      </c>
      <c r="AD122" s="1" t="e">
        <f t="shared" si="64"/>
        <v>#DIV/0!</v>
      </c>
      <c r="AE122" s="1" t="e">
        <f t="shared" si="64"/>
        <v>#DIV/0!</v>
      </c>
      <c r="AF122" s="1" t="e">
        <f t="shared" si="64"/>
        <v>#DIV/0!</v>
      </c>
      <c r="AG122" s="1" t="e">
        <f t="shared" si="64"/>
        <v>#DIV/0!</v>
      </c>
      <c r="AH122" s="1" t="e">
        <f t="shared" si="64"/>
        <v>#DIV/0!</v>
      </c>
      <c r="AI122" s="1" t="e">
        <f t="shared" si="64"/>
        <v>#DIV/0!</v>
      </c>
      <c r="AJ122" s="1" t="e">
        <f t="shared" si="64"/>
        <v>#DIV/0!</v>
      </c>
    </row>
    <row r="123" spans="1:36">
      <c r="A123" s="29">
        <f t="shared" si="41"/>
        <v>69</v>
      </c>
      <c r="B123" s="74"/>
      <c r="C123" s="74"/>
      <c r="D123" s="74"/>
      <c r="E123" s="1" t="e">
        <f t="shared" si="61"/>
        <v>#DIV/0!</v>
      </c>
      <c r="F123" s="1" t="e">
        <f t="shared" si="61"/>
        <v>#DIV/0!</v>
      </c>
      <c r="G123" s="1" t="e">
        <f t="shared" si="61"/>
        <v>#DIV/0!</v>
      </c>
      <c r="H123" s="1" t="e">
        <f t="shared" si="61"/>
        <v>#DIV/0!</v>
      </c>
      <c r="I123" s="1" t="e">
        <f t="shared" si="61"/>
        <v>#DIV/0!</v>
      </c>
      <c r="J123" s="1" t="e">
        <f t="shared" ref="J123:AJ123" si="65">(J60-$B60)/$B$4</f>
        <v>#DIV/0!</v>
      </c>
      <c r="K123" s="1" t="e">
        <f t="shared" si="65"/>
        <v>#DIV/0!</v>
      </c>
      <c r="L123" s="1" t="e">
        <f t="shared" si="65"/>
        <v>#DIV/0!</v>
      </c>
      <c r="M123" s="1" t="e">
        <f t="shared" si="65"/>
        <v>#DIV/0!</v>
      </c>
      <c r="N123" s="1" t="e">
        <f t="shared" si="65"/>
        <v>#DIV/0!</v>
      </c>
      <c r="O123" s="1" t="e">
        <f t="shared" si="65"/>
        <v>#DIV/0!</v>
      </c>
      <c r="P123" s="1" t="e">
        <f t="shared" si="65"/>
        <v>#DIV/0!</v>
      </c>
      <c r="Q123" s="1" t="e">
        <f t="shared" si="65"/>
        <v>#DIV/0!</v>
      </c>
      <c r="R123" s="1" t="e">
        <f t="shared" si="65"/>
        <v>#DIV/0!</v>
      </c>
      <c r="S123" s="1" t="e">
        <f t="shared" si="65"/>
        <v>#DIV/0!</v>
      </c>
      <c r="T123" s="1" t="e">
        <f t="shared" si="65"/>
        <v>#DIV/0!</v>
      </c>
      <c r="U123" s="1" t="e">
        <f t="shared" si="65"/>
        <v>#DIV/0!</v>
      </c>
      <c r="V123" s="1" t="e">
        <f t="shared" si="65"/>
        <v>#DIV/0!</v>
      </c>
      <c r="W123" s="1" t="e">
        <f t="shared" si="65"/>
        <v>#DIV/0!</v>
      </c>
      <c r="X123" s="1" t="e">
        <f t="shared" si="65"/>
        <v>#DIV/0!</v>
      </c>
      <c r="Y123" s="1" t="e">
        <f t="shared" si="65"/>
        <v>#DIV/0!</v>
      </c>
      <c r="Z123" s="1" t="e">
        <f t="shared" si="65"/>
        <v>#DIV/0!</v>
      </c>
      <c r="AA123" s="1" t="e">
        <f t="shared" si="65"/>
        <v>#DIV/0!</v>
      </c>
      <c r="AB123" s="1" t="e">
        <f t="shared" si="65"/>
        <v>#DIV/0!</v>
      </c>
      <c r="AC123" s="1" t="e">
        <f t="shared" si="65"/>
        <v>#DIV/0!</v>
      </c>
      <c r="AD123" s="1" t="e">
        <f t="shared" si="65"/>
        <v>#DIV/0!</v>
      </c>
      <c r="AE123" s="1" t="e">
        <f t="shared" si="65"/>
        <v>#DIV/0!</v>
      </c>
      <c r="AF123" s="1" t="e">
        <f t="shared" si="65"/>
        <v>#DIV/0!</v>
      </c>
      <c r="AG123" s="1" t="e">
        <f t="shared" si="65"/>
        <v>#DIV/0!</v>
      </c>
      <c r="AH123" s="1" t="e">
        <f t="shared" si="65"/>
        <v>#DIV/0!</v>
      </c>
      <c r="AI123" s="1" t="e">
        <f t="shared" si="65"/>
        <v>#DIV/0!</v>
      </c>
      <c r="AJ123" s="1" t="e">
        <f t="shared" si="65"/>
        <v>#DIV/0!</v>
      </c>
    </row>
    <row r="124" spans="1:36">
      <c r="A124" s="29">
        <f t="shared" si="41"/>
        <v>72</v>
      </c>
      <c r="B124" s="74"/>
      <c r="C124" s="74"/>
      <c r="D124" s="74"/>
      <c r="E124" s="1" t="e">
        <f t="shared" si="61"/>
        <v>#DIV/0!</v>
      </c>
      <c r="F124" s="1" t="e">
        <f t="shared" si="61"/>
        <v>#DIV/0!</v>
      </c>
      <c r="G124" s="1" t="e">
        <f t="shared" si="61"/>
        <v>#DIV/0!</v>
      </c>
      <c r="H124" s="1" t="e">
        <f t="shared" si="61"/>
        <v>#DIV/0!</v>
      </c>
      <c r="I124" s="1" t="e">
        <f t="shared" si="61"/>
        <v>#DIV/0!</v>
      </c>
      <c r="J124" s="1" t="e">
        <f t="shared" ref="J124:AJ124" si="66">(J61-$B61)/$B$4</f>
        <v>#DIV/0!</v>
      </c>
      <c r="K124" s="1" t="e">
        <f t="shared" si="66"/>
        <v>#DIV/0!</v>
      </c>
      <c r="L124" s="1" t="e">
        <f t="shared" si="66"/>
        <v>#DIV/0!</v>
      </c>
      <c r="M124" s="1" t="e">
        <f t="shared" si="66"/>
        <v>#DIV/0!</v>
      </c>
      <c r="N124" s="1" t="e">
        <f t="shared" si="66"/>
        <v>#DIV/0!</v>
      </c>
      <c r="O124" s="1" t="e">
        <f t="shared" si="66"/>
        <v>#DIV/0!</v>
      </c>
      <c r="P124" s="1" t="e">
        <f t="shared" si="66"/>
        <v>#DIV/0!</v>
      </c>
      <c r="Q124" s="1" t="e">
        <f t="shared" si="66"/>
        <v>#DIV/0!</v>
      </c>
      <c r="R124" s="1" t="e">
        <f t="shared" si="66"/>
        <v>#DIV/0!</v>
      </c>
      <c r="S124" s="1" t="e">
        <f t="shared" si="66"/>
        <v>#DIV/0!</v>
      </c>
      <c r="T124" s="1" t="e">
        <f t="shared" si="66"/>
        <v>#DIV/0!</v>
      </c>
      <c r="U124" s="1" t="e">
        <f t="shared" si="66"/>
        <v>#DIV/0!</v>
      </c>
      <c r="V124" s="1" t="e">
        <f t="shared" si="66"/>
        <v>#DIV/0!</v>
      </c>
      <c r="W124" s="1" t="e">
        <f t="shared" si="66"/>
        <v>#DIV/0!</v>
      </c>
      <c r="X124" s="1" t="e">
        <f t="shared" si="66"/>
        <v>#DIV/0!</v>
      </c>
      <c r="Y124" s="1" t="e">
        <f t="shared" si="66"/>
        <v>#DIV/0!</v>
      </c>
      <c r="Z124" s="1" t="e">
        <f t="shared" si="66"/>
        <v>#DIV/0!</v>
      </c>
      <c r="AA124" s="1" t="e">
        <f t="shared" si="66"/>
        <v>#DIV/0!</v>
      </c>
      <c r="AB124" s="1" t="e">
        <f t="shared" si="66"/>
        <v>#DIV/0!</v>
      </c>
      <c r="AC124" s="1" t="e">
        <f t="shared" si="66"/>
        <v>#DIV/0!</v>
      </c>
      <c r="AD124" s="1" t="e">
        <f t="shared" si="66"/>
        <v>#DIV/0!</v>
      </c>
      <c r="AE124" s="1" t="e">
        <f t="shared" si="66"/>
        <v>#DIV/0!</v>
      </c>
      <c r="AF124" s="1" t="e">
        <f t="shared" si="66"/>
        <v>#DIV/0!</v>
      </c>
      <c r="AG124" s="1" t="e">
        <f t="shared" si="66"/>
        <v>#DIV/0!</v>
      </c>
      <c r="AH124" s="1" t="e">
        <f t="shared" si="66"/>
        <v>#DIV/0!</v>
      </c>
      <c r="AI124" s="1" t="e">
        <f t="shared" si="66"/>
        <v>#DIV/0!</v>
      </c>
      <c r="AJ124" s="1" t="e">
        <f t="shared" si="66"/>
        <v>#DIV/0!</v>
      </c>
    </row>
    <row r="125" spans="1:36">
      <c r="A125" s="29">
        <f t="shared" si="41"/>
        <v>75</v>
      </c>
      <c r="B125" s="74"/>
      <c r="C125" s="74"/>
      <c r="D125" s="74"/>
      <c r="E125" s="1" t="e">
        <f t="shared" si="61"/>
        <v>#DIV/0!</v>
      </c>
      <c r="F125" s="1" t="e">
        <f t="shared" si="61"/>
        <v>#DIV/0!</v>
      </c>
      <c r="G125" s="1" t="e">
        <f t="shared" si="61"/>
        <v>#DIV/0!</v>
      </c>
      <c r="H125" s="1" t="e">
        <f t="shared" si="61"/>
        <v>#DIV/0!</v>
      </c>
      <c r="I125" s="1" t="e">
        <f t="shared" si="61"/>
        <v>#DIV/0!</v>
      </c>
      <c r="J125" s="1" t="e">
        <f t="shared" ref="J125:AJ125" si="67">(J62-$B62)/$B$4</f>
        <v>#DIV/0!</v>
      </c>
      <c r="K125" s="1" t="e">
        <f t="shared" si="67"/>
        <v>#DIV/0!</v>
      </c>
      <c r="L125" s="1" t="e">
        <f t="shared" si="67"/>
        <v>#DIV/0!</v>
      </c>
      <c r="M125" s="1" t="e">
        <f t="shared" si="67"/>
        <v>#DIV/0!</v>
      </c>
      <c r="N125" s="1" t="e">
        <f t="shared" si="67"/>
        <v>#DIV/0!</v>
      </c>
      <c r="O125" s="1" t="e">
        <f t="shared" si="67"/>
        <v>#DIV/0!</v>
      </c>
      <c r="P125" s="1" t="e">
        <f t="shared" si="67"/>
        <v>#DIV/0!</v>
      </c>
      <c r="Q125" s="1" t="e">
        <f t="shared" si="67"/>
        <v>#DIV/0!</v>
      </c>
      <c r="R125" s="1" t="e">
        <f t="shared" si="67"/>
        <v>#DIV/0!</v>
      </c>
      <c r="S125" s="1" t="e">
        <f t="shared" si="67"/>
        <v>#DIV/0!</v>
      </c>
      <c r="T125" s="1" t="e">
        <f t="shared" si="67"/>
        <v>#DIV/0!</v>
      </c>
      <c r="U125" s="1" t="e">
        <f t="shared" si="67"/>
        <v>#DIV/0!</v>
      </c>
      <c r="V125" s="1" t="e">
        <f t="shared" si="67"/>
        <v>#DIV/0!</v>
      </c>
      <c r="W125" s="1" t="e">
        <f t="shared" si="67"/>
        <v>#DIV/0!</v>
      </c>
      <c r="X125" s="1" t="e">
        <f t="shared" si="67"/>
        <v>#DIV/0!</v>
      </c>
      <c r="Y125" s="1" t="e">
        <f t="shared" si="67"/>
        <v>#DIV/0!</v>
      </c>
      <c r="Z125" s="1" t="e">
        <f t="shared" si="67"/>
        <v>#DIV/0!</v>
      </c>
      <c r="AA125" s="1" t="e">
        <f t="shared" si="67"/>
        <v>#DIV/0!</v>
      </c>
      <c r="AB125" s="1" t="e">
        <f t="shared" si="67"/>
        <v>#DIV/0!</v>
      </c>
      <c r="AC125" s="1" t="e">
        <f t="shared" si="67"/>
        <v>#DIV/0!</v>
      </c>
      <c r="AD125" s="1" t="e">
        <f t="shared" si="67"/>
        <v>#DIV/0!</v>
      </c>
      <c r="AE125" s="1" t="e">
        <f t="shared" si="67"/>
        <v>#DIV/0!</v>
      </c>
      <c r="AF125" s="1" t="e">
        <f t="shared" si="67"/>
        <v>#DIV/0!</v>
      </c>
      <c r="AG125" s="1" t="e">
        <f t="shared" si="67"/>
        <v>#DIV/0!</v>
      </c>
      <c r="AH125" s="1" t="e">
        <f t="shared" si="67"/>
        <v>#DIV/0!</v>
      </c>
      <c r="AI125" s="1" t="e">
        <f t="shared" si="67"/>
        <v>#DIV/0!</v>
      </c>
      <c r="AJ125" s="1" t="e">
        <f t="shared" si="67"/>
        <v>#DIV/0!</v>
      </c>
    </row>
    <row r="126" spans="1:36">
      <c r="A126" s="29">
        <f t="shared" si="41"/>
        <v>78</v>
      </c>
      <c r="B126" s="74"/>
      <c r="C126" s="74"/>
      <c r="D126" s="74"/>
      <c r="E126" s="1" t="e">
        <f t="shared" si="61"/>
        <v>#DIV/0!</v>
      </c>
      <c r="F126" s="1" t="e">
        <f t="shared" si="61"/>
        <v>#DIV/0!</v>
      </c>
      <c r="G126" s="1" t="e">
        <f t="shared" si="61"/>
        <v>#DIV/0!</v>
      </c>
      <c r="H126" s="1" t="e">
        <f t="shared" si="61"/>
        <v>#DIV/0!</v>
      </c>
      <c r="I126" s="1" t="e">
        <f t="shared" si="61"/>
        <v>#DIV/0!</v>
      </c>
      <c r="J126" s="1" t="e">
        <f t="shared" ref="J126:AJ126" si="68">(J63-$B63)/$B$4</f>
        <v>#DIV/0!</v>
      </c>
      <c r="K126" s="1" t="e">
        <f t="shared" si="68"/>
        <v>#DIV/0!</v>
      </c>
      <c r="L126" s="1" t="e">
        <f t="shared" si="68"/>
        <v>#DIV/0!</v>
      </c>
      <c r="M126" s="1" t="e">
        <f t="shared" si="68"/>
        <v>#DIV/0!</v>
      </c>
      <c r="N126" s="1" t="e">
        <f t="shared" si="68"/>
        <v>#DIV/0!</v>
      </c>
      <c r="O126" s="1" t="e">
        <f t="shared" si="68"/>
        <v>#DIV/0!</v>
      </c>
      <c r="P126" s="1" t="e">
        <f t="shared" si="68"/>
        <v>#DIV/0!</v>
      </c>
      <c r="Q126" s="1" t="e">
        <f t="shared" si="68"/>
        <v>#DIV/0!</v>
      </c>
      <c r="R126" s="1" t="e">
        <f t="shared" si="68"/>
        <v>#DIV/0!</v>
      </c>
      <c r="S126" s="1" t="e">
        <f t="shared" si="68"/>
        <v>#DIV/0!</v>
      </c>
      <c r="T126" s="1" t="e">
        <f t="shared" si="68"/>
        <v>#DIV/0!</v>
      </c>
      <c r="U126" s="1" t="e">
        <f t="shared" si="68"/>
        <v>#DIV/0!</v>
      </c>
      <c r="V126" s="1" t="e">
        <f t="shared" si="68"/>
        <v>#DIV/0!</v>
      </c>
      <c r="W126" s="1" t="e">
        <f t="shared" si="68"/>
        <v>#DIV/0!</v>
      </c>
      <c r="X126" s="1" t="e">
        <f t="shared" si="68"/>
        <v>#DIV/0!</v>
      </c>
      <c r="Y126" s="1" t="e">
        <f t="shared" si="68"/>
        <v>#DIV/0!</v>
      </c>
      <c r="Z126" s="1" t="e">
        <f t="shared" si="68"/>
        <v>#DIV/0!</v>
      </c>
      <c r="AA126" s="1" t="e">
        <f t="shared" si="68"/>
        <v>#DIV/0!</v>
      </c>
      <c r="AB126" s="1" t="e">
        <f t="shared" si="68"/>
        <v>#DIV/0!</v>
      </c>
      <c r="AC126" s="1" t="e">
        <f t="shared" si="68"/>
        <v>#DIV/0!</v>
      </c>
      <c r="AD126" s="1" t="e">
        <f t="shared" si="68"/>
        <v>#DIV/0!</v>
      </c>
      <c r="AE126" s="1" t="e">
        <f t="shared" si="68"/>
        <v>#DIV/0!</v>
      </c>
      <c r="AF126" s="1" t="e">
        <f t="shared" si="68"/>
        <v>#DIV/0!</v>
      </c>
      <c r="AG126" s="1" t="e">
        <f t="shared" si="68"/>
        <v>#DIV/0!</v>
      </c>
      <c r="AH126" s="1" t="e">
        <f t="shared" si="68"/>
        <v>#DIV/0!</v>
      </c>
      <c r="AI126" s="1" t="e">
        <f t="shared" si="68"/>
        <v>#DIV/0!</v>
      </c>
      <c r="AJ126" s="1" t="e">
        <f t="shared" si="68"/>
        <v>#DIV/0!</v>
      </c>
    </row>
    <row r="127" spans="1:36">
      <c r="A127" s="29">
        <f t="shared" si="41"/>
        <v>81</v>
      </c>
      <c r="B127" s="74"/>
      <c r="C127" s="74"/>
      <c r="D127" s="74"/>
      <c r="E127" s="1" t="e">
        <f t="shared" si="61"/>
        <v>#DIV/0!</v>
      </c>
      <c r="F127" s="1" t="e">
        <f t="shared" si="61"/>
        <v>#DIV/0!</v>
      </c>
      <c r="G127" s="1" t="e">
        <f t="shared" si="61"/>
        <v>#DIV/0!</v>
      </c>
      <c r="H127" s="1" t="e">
        <f t="shared" si="61"/>
        <v>#DIV/0!</v>
      </c>
      <c r="I127" s="1" t="e">
        <f t="shared" si="61"/>
        <v>#DIV/0!</v>
      </c>
      <c r="J127" s="1" t="e">
        <f t="shared" ref="J127:AJ127" si="69">(J64-$B64)/$B$4</f>
        <v>#DIV/0!</v>
      </c>
      <c r="K127" s="1" t="e">
        <f t="shared" si="69"/>
        <v>#DIV/0!</v>
      </c>
      <c r="L127" s="1" t="e">
        <f t="shared" si="69"/>
        <v>#DIV/0!</v>
      </c>
      <c r="M127" s="1" t="e">
        <f t="shared" si="69"/>
        <v>#DIV/0!</v>
      </c>
      <c r="N127" s="1" t="e">
        <f t="shared" si="69"/>
        <v>#DIV/0!</v>
      </c>
      <c r="O127" s="1" t="e">
        <f t="shared" si="69"/>
        <v>#DIV/0!</v>
      </c>
      <c r="P127" s="1" t="e">
        <f t="shared" si="69"/>
        <v>#DIV/0!</v>
      </c>
      <c r="Q127" s="1" t="e">
        <f t="shared" si="69"/>
        <v>#DIV/0!</v>
      </c>
      <c r="R127" s="1" t="e">
        <f t="shared" si="69"/>
        <v>#DIV/0!</v>
      </c>
      <c r="S127" s="1" t="e">
        <f t="shared" si="69"/>
        <v>#DIV/0!</v>
      </c>
      <c r="T127" s="1" t="e">
        <f t="shared" si="69"/>
        <v>#DIV/0!</v>
      </c>
      <c r="U127" s="1" t="e">
        <f t="shared" si="69"/>
        <v>#DIV/0!</v>
      </c>
      <c r="V127" s="1" t="e">
        <f t="shared" si="69"/>
        <v>#DIV/0!</v>
      </c>
      <c r="W127" s="1" t="e">
        <f t="shared" si="69"/>
        <v>#DIV/0!</v>
      </c>
      <c r="X127" s="1" t="e">
        <f t="shared" si="69"/>
        <v>#DIV/0!</v>
      </c>
      <c r="Y127" s="1" t="e">
        <f t="shared" si="69"/>
        <v>#DIV/0!</v>
      </c>
      <c r="Z127" s="1" t="e">
        <f t="shared" si="69"/>
        <v>#DIV/0!</v>
      </c>
      <c r="AA127" s="1" t="e">
        <f t="shared" si="69"/>
        <v>#DIV/0!</v>
      </c>
      <c r="AB127" s="1" t="e">
        <f t="shared" si="69"/>
        <v>#DIV/0!</v>
      </c>
      <c r="AC127" s="1" t="e">
        <f t="shared" si="69"/>
        <v>#DIV/0!</v>
      </c>
      <c r="AD127" s="1" t="e">
        <f t="shared" si="69"/>
        <v>#DIV/0!</v>
      </c>
      <c r="AE127" s="1" t="e">
        <f t="shared" si="69"/>
        <v>#DIV/0!</v>
      </c>
      <c r="AF127" s="1" t="e">
        <f t="shared" si="69"/>
        <v>#DIV/0!</v>
      </c>
      <c r="AG127" s="1" t="e">
        <f t="shared" si="69"/>
        <v>#DIV/0!</v>
      </c>
      <c r="AH127" s="1" t="e">
        <f t="shared" si="69"/>
        <v>#DIV/0!</v>
      </c>
      <c r="AI127" s="1" t="e">
        <f t="shared" si="69"/>
        <v>#DIV/0!</v>
      </c>
      <c r="AJ127" s="1" t="e">
        <f t="shared" si="69"/>
        <v>#DIV/0!</v>
      </c>
    </row>
    <row r="128" spans="1:36">
      <c r="A128" s="29">
        <f t="shared" si="41"/>
        <v>84</v>
      </c>
      <c r="B128" s="74"/>
      <c r="C128" s="74"/>
      <c r="D128" s="74"/>
      <c r="E128" s="1" t="e">
        <f t="shared" si="61"/>
        <v>#DIV/0!</v>
      </c>
      <c r="F128" s="1" t="e">
        <f t="shared" si="61"/>
        <v>#DIV/0!</v>
      </c>
      <c r="G128" s="1" t="e">
        <f t="shared" si="61"/>
        <v>#DIV/0!</v>
      </c>
      <c r="H128" s="1" t="e">
        <f t="shared" si="61"/>
        <v>#DIV/0!</v>
      </c>
      <c r="I128" s="1" t="e">
        <f t="shared" si="61"/>
        <v>#DIV/0!</v>
      </c>
      <c r="J128" s="1" t="e">
        <f t="shared" ref="J128:AJ128" si="70">(J65-$B65)/$B$4</f>
        <v>#DIV/0!</v>
      </c>
      <c r="K128" s="1" t="e">
        <f t="shared" si="70"/>
        <v>#DIV/0!</v>
      </c>
      <c r="L128" s="1" t="e">
        <f t="shared" si="70"/>
        <v>#DIV/0!</v>
      </c>
      <c r="M128" s="1" t="e">
        <f t="shared" si="70"/>
        <v>#DIV/0!</v>
      </c>
      <c r="N128" s="1" t="e">
        <f t="shared" si="70"/>
        <v>#DIV/0!</v>
      </c>
      <c r="O128" s="1" t="e">
        <f t="shared" si="70"/>
        <v>#DIV/0!</v>
      </c>
      <c r="P128" s="1" t="e">
        <f t="shared" si="70"/>
        <v>#DIV/0!</v>
      </c>
      <c r="Q128" s="1" t="e">
        <f t="shared" si="70"/>
        <v>#DIV/0!</v>
      </c>
      <c r="R128" s="1" t="e">
        <f t="shared" si="70"/>
        <v>#DIV/0!</v>
      </c>
      <c r="S128" s="1" t="e">
        <f t="shared" si="70"/>
        <v>#DIV/0!</v>
      </c>
      <c r="T128" s="1" t="e">
        <f t="shared" si="70"/>
        <v>#DIV/0!</v>
      </c>
      <c r="U128" s="1" t="e">
        <f t="shared" si="70"/>
        <v>#DIV/0!</v>
      </c>
      <c r="V128" s="1" t="e">
        <f t="shared" si="70"/>
        <v>#DIV/0!</v>
      </c>
      <c r="W128" s="1" t="e">
        <f t="shared" si="70"/>
        <v>#DIV/0!</v>
      </c>
      <c r="X128" s="1" t="e">
        <f t="shared" si="70"/>
        <v>#DIV/0!</v>
      </c>
      <c r="Y128" s="1" t="e">
        <f t="shared" si="70"/>
        <v>#DIV/0!</v>
      </c>
      <c r="Z128" s="1" t="e">
        <f t="shared" si="70"/>
        <v>#DIV/0!</v>
      </c>
      <c r="AA128" s="1" t="e">
        <f t="shared" si="70"/>
        <v>#DIV/0!</v>
      </c>
      <c r="AB128" s="1" t="e">
        <f t="shared" si="70"/>
        <v>#DIV/0!</v>
      </c>
      <c r="AC128" s="1" t="e">
        <f t="shared" si="70"/>
        <v>#DIV/0!</v>
      </c>
      <c r="AD128" s="1" t="e">
        <f t="shared" si="70"/>
        <v>#DIV/0!</v>
      </c>
      <c r="AE128" s="1" t="e">
        <f t="shared" si="70"/>
        <v>#DIV/0!</v>
      </c>
      <c r="AF128" s="1" t="e">
        <f t="shared" si="70"/>
        <v>#DIV/0!</v>
      </c>
      <c r="AG128" s="1" t="e">
        <f t="shared" si="70"/>
        <v>#DIV/0!</v>
      </c>
      <c r="AH128" s="1" t="e">
        <f t="shared" si="70"/>
        <v>#DIV/0!</v>
      </c>
      <c r="AI128" s="1" t="e">
        <f t="shared" si="70"/>
        <v>#DIV/0!</v>
      </c>
      <c r="AJ128" s="1" t="e">
        <f t="shared" si="70"/>
        <v>#DIV/0!</v>
      </c>
    </row>
    <row r="129" spans="1:36">
      <c r="A129" s="29">
        <f t="shared" si="41"/>
        <v>87</v>
      </c>
      <c r="B129" s="74"/>
      <c r="C129" s="74"/>
      <c r="D129" s="74"/>
      <c r="E129" s="1" t="e">
        <f t="shared" si="61"/>
        <v>#DIV/0!</v>
      </c>
      <c r="F129" s="1" t="e">
        <f t="shared" si="61"/>
        <v>#DIV/0!</v>
      </c>
      <c r="G129" s="1" t="e">
        <f t="shared" si="61"/>
        <v>#DIV/0!</v>
      </c>
      <c r="H129" s="1" t="e">
        <f t="shared" si="61"/>
        <v>#DIV/0!</v>
      </c>
      <c r="I129" s="1" t="e">
        <f t="shared" si="61"/>
        <v>#DIV/0!</v>
      </c>
      <c r="J129" s="1" t="e">
        <f t="shared" ref="J129:AJ129" si="71">(J66-$B66)/$B$4</f>
        <v>#DIV/0!</v>
      </c>
      <c r="K129" s="1" t="e">
        <f t="shared" si="71"/>
        <v>#DIV/0!</v>
      </c>
      <c r="L129" s="1" t="e">
        <f t="shared" si="71"/>
        <v>#DIV/0!</v>
      </c>
      <c r="M129" s="1" t="e">
        <f t="shared" si="71"/>
        <v>#DIV/0!</v>
      </c>
      <c r="N129" s="1" t="e">
        <f t="shared" si="71"/>
        <v>#DIV/0!</v>
      </c>
      <c r="O129" s="1" t="e">
        <f t="shared" si="71"/>
        <v>#DIV/0!</v>
      </c>
      <c r="P129" s="1" t="e">
        <f t="shared" si="71"/>
        <v>#DIV/0!</v>
      </c>
      <c r="Q129" s="1" t="e">
        <f t="shared" si="71"/>
        <v>#DIV/0!</v>
      </c>
      <c r="R129" s="1" t="e">
        <f t="shared" si="71"/>
        <v>#DIV/0!</v>
      </c>
      <c r="S129" s="1" t="e">
        <f t="shared" si="71"/>
        <v>#DIV/0!</v>
      </c>
      <c r="T129" s="1" t="e">
        <f t="shared" si="71"/>
        <v>#DIV/0!</v>
      </c>
      <c r="U129" s="1" t="e">
        <f t="shared" si="71"/>
        <v>#DIV/0!</v>
      </c>
      <c r="V129" s="1" t="e">
        <f t="shared" si="71"/>
        <v>#DIV/0!</v>
      </c>
      <c r="W129" s="1" t="e">
        <f t="shared" si="71"/>
        <v>#DIV/0!</v>
      </c>
      <c r="X129" s="1" t="e">
        <f t="shared" si="71"/>
        <v>#DIV/0!</v>
      </c>
      <c r="Y129" s="1" t="e">
        <f t="shared" si="71"/>
        <v>#DIV/0!</v>
      </c>
      <c r="Z129" s="1" t="e">
        <f t="shared" si="71"/>
        <v>#DIV/0!</v>
      </c>
      <c r="AA129" s="1" t="e">
        <f t="shared" si="71"/>
        <v>#DIV/0!</v>
      </c>
      <c r="AB129" s="1" t="e">
        <f t="shared" si="71"/>
        <v>#DIV/0!</v>
      </c>
      <c r="AC129" s="1" t="e">
        <f t="shared" si="71"/>
        <v>#DIV/0!</v>
      </c>
      <c r="AD129" s="1" t="e">
        <f t="shared" si="71"/>
        <v>#DIV/0!</v>
      </c>
      <c r="AE129" s="1" t="e">
        <f t="shared" si="71"/>
        <v>#DIV/0!</v>
      </c>
      <c r="AF129" s="1" t="e">
        <f t="shared" si="71"/>
        <v>#DIV/0!</v>
      </c>
      <c r="AG129" s="1" t="e">
        <f t="shared" si="71"/>
        <v>#DIV/0!</v>
      </c>
      <c r="AH129" s="1" t="e">
        <f t="shared" si="71"/>
        <v>#DIV/0!</v>
      </c>
      <c r="AI129" s="1" t="e">
        <f t="shared" si="71"/>
        <v>#DIV/0!</v>
      </c>
      <c r="AJ129" s="1" t="e">
        <f t="shared" si="71"/>
        <v>#DIV/0!</v>
      </c>
    </row>
    <row r="130" spans="1:36">
      <c r="A130" s="29">
        <f t="shared" si="41"/>
        <v>90</v>
      </c>
      <c r="B130" s="74"/>
      <c r="C130" s="74"/>
      <c r="D130" s="74"/>
      <c r="E130" s="1" t="e">
        <f t="shared" ref="E130:I130" si="72">(E67-$B67)/$B$4</f>
        <v>#DIV/0!</v>
      </c>
      <c r="F130" s="1" t="e">
        <f t="shared" si="72"/>
        <v>#DIV/0!</v>
      </c>
      <c r="G130" s="1" t="e">
        <f t="shared" si="72"/>
        <v>#DIV/0!</v>
      </c>
      <c r="H130" s="1" t="e">
        <f t="shared" si="72"/>
        <v>#DIV/0!</v>
      </c>
      <c r="I130" s="1" t="e">
        <f t="shared" si="72"/>
        <v>#DIV/0!</v>
      </c>
      <c r="J130" s="1" t="e">
        <f t="shared" ref="J130:AJ130" si="73">(J67-$B67)/$B$4</f>
        <v>#DIV/0!</v>
      </c>
      <c r="K130" s="1" t="e">
        <f t="shared" si="73"/>
        <v>#DIV/0!</v>
      </c>
      <c r="L130" s="1" t="e">
        <f t="shared" si="73"/>
        <v>#DIV/0!</v>
      </c>
      <c r="M130" s="1" t="e">
        <f t="shared" si="73"/>
        <v>#DIV/0!</v>
      </c>
      <c r="N130" s="1" t="e">
        <f t="shared" si="73"/>
        <v>#DIV/0!</v>
      </c>
      <c r="O130" s="1" t="e">
        <f t="shared" si="73"/>
        <v>#DIV/0!</v>
      </c>
      <c r="P130" s="1" t="e">
        <f t="shared" si="73"/>
        <v>#DIV/0!</v>
      </c>
      <c r="Q130" s="1" t="e">
        <f t="shared" si="73"/>
        <v>#DIV/0!</v>
      </c>
      <c r="R130" s="1" t="e">
        <f t="shared" si="73"/>
        <v>#DIV/0!</v>
      </c>
      <c r="S130" s="1" t="e">
        <f t="shared" si="73"/>
        <v>#DIV/0!</v>
      </c>
      <c r="T130" s="1" t="e">
        <f t="shared" si="73"/>
        <v>#DIV/0!</v>
      </c>
      <c r="U130" s="1" t="e">
        <f t="shared" si="73"/>
        <v>#DIV/0!</v>
      </c>
      <c r="V130" s="1" t="e">
        <f t="shared" si="73"/>
        <v>#DIV/0!</v>
      </c>
      <c r="W130" s="1" t="e">
        <f t="shared" si="73"/>
        <v>#DIV/0!</v>
      </c>
      <c r="X130" s="1" t="e">
        <f t="shared" si="73"/>
        <v>#DIV/0!</v>
      </c>
      <c r="Y130" s="1" t="e">
        <f t="shared" si="73"/>
        <v>#DIV/0!</v>
      </c>
      <c r="Z130" s="1" t="e">
        <f t="shared" si="73"/>
        <v>#DIV/0!</v>
      </c>
      <c r="AA130" s="1" t="e">
        <f t="shared" si="73"/>
        <v>#DIV/0!</v>
      </c>
      <c r="AB130" s="1" t="e">
        <f t="shared" si="73"/>
        <v>#DIV/0!</v>
      </c>
      <c r="AC130" s="1" t="e">
        <f t="shared" si="73"/>
        <v>#DIV/0!</v>
      </c>
      <c r="AD130" s="1" t="e">
        <f t="shared" si="73"/>
        <v>#DIV/0!</v>
      </c>
      <c r="AE130" s="1" t="e">
        <f t="shared" si="73"/>
        <v>#DIV/0!</v>
      </c>
      <c r="AF130" s="1" t="e">
        <f t="shared" si="73"/>
        <v>#DIV/0!</v>
      </c>
      <c r="AG130" s="1" t="e">
        <f t="shared" si="73"/>
        <v>#DIV/0!</v>
      </c>
      <c r="AH130" s="1" t="e">
        <f t="shared" si="73"/>
        <v>#DIV/0!</v>
      </c>
      <c r="AI130" s="1" t="e">
        <f t="shared" si="73"/>
        <v>#DIV/0!</v>
      </c>
      <c r="AJ130" s="1" t="e">
        <f t="shared" si="73"/>
        <v>#DIV/0!</v>
      </c>
    </row>
    <row r="131" spans="1:36">
      <c r="B131" s="74"/>
      <c r="C131" s="74"/>
      <c r="D131" s="74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>
      <c r="B132" s="74"/>
      <c r="C132" s="74"/>
      <c r="D132" s="74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>
      <c r="B133" s="74"/>
      <c r="C133" s="74"/>
      <c r="D133" s="74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>
      <c r="B134" s="74"/>
      <c r="C134" s="74"/>
      <c r="D134" s="74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>
      <c r="B135" s="74"/>
      <c r="C135" s="74"/>
      <c r="D135" s="74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>
      <c r="B136" s="74"/>
      <c r="C136" s="74"/>
      <c r="D136" s="74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>
      <c r="B137" s="74"/>
      <c r="C137" s="74"/>
      <c r="D137" s="74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>
      <c r="B138" s="74"/>
      <c r="C138" s="74"/>
      <c r="D138" s="74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>
      <c r="B139" s="74"/>
      <c r="C139" s="74"/>
      <c r="D139" s="74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>
      <c r="B140" s="74"/>
      <c r="C140" s="74"/>
      <c r="D140" s="74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>
      <c r="B141" s="74"/>
      <c r="C141" s="74"/>
      <c r="D141" s="74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>
      <c r="B142" s="74"/>
      <c r="C142" s="74"/>
      <c r="D142" s="74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>
      <c r="B143" s="74"/>
      <c r="C143" s="74"/>
      <c r="D143" s="74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>
      <c r="B144" s="74"/>
      <c r="C144" s="74"/>
      <c r="D144" s="74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2:36">
      <c r="B145" s="74"/>
      <c r="C145" s="74"/>
      <c r="D145" s="74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2:36">
      <c r="B146" s="74"/>
      <c r="C146" s="74"/>
      <c r="D146" s="74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2:36">
      <c r="B147" s="74"/>
      <c r="C147" s="74"/>
      <c r="D147" s="74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2:36">
      <c r="B148" s="74"/>
      <c r="C148" s="74"/>
      <c r="D148" s="74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2:36">
      <c r="B149" s="74"/>
      <c r="C149" s="74"/>
      <c r="D149" s="74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2:36">
      <c r="B150" s="74"/>
      <c r="C150" s="74"/>
      <c r="D150" s="74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2:36">
      <c r="B151" s="74"/>
      <c r="C151" s="74"/>
      <c r="D151" s="74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2:36">
      <c r="B152" s="74"/>
      <c r="C152" s="74"/>
      <c r="D152" s="74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2:36">
      <c r="B153" s="74"/>
      <c r="C153" s="74"/>
      <c r="D153" s="74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2:36">
      <c r="B154" s="74"/>
      <c r="C154" s="74"/>
      <c r="D154" s="74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2:36">
      <c r="B155" s="74"/>
      <c r="C155" s="74"/>
      <c r="D155" s="74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2:36">
      <c r="B156" s="74"/>
      <c r="C156" s="74"/>
      <c r="D156" s="74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2:36">
      <c r="B157" s="74"/>
      <c r="C157" s="74"/>
      <c r="D157" s="74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2:36">
      <c r="B158" s="74"/>
      <c r="C158" s="74"/>
      <c r="D158" s="74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2:36">
      <c r="B159" s="74"/>
      <c r="C159" s="74"/>
      <c r="D159" s="74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2:36">
      <c r="B160" s="74"/>
      <c r="C160" s="74"/>
      <c r="D160" s="74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2:36">
      <c r="B161" s="74"/>
      <c r="C161" s="74"/>
      <c r="D161" s="74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2:36">
      <c r="B162" s="74"/>
      <c r="C162" s="74"/>
      <c r="D162" s="74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2:36">
      <c r="B163" s="74"/>
      <c r="C163" s="74"/>
      <c r="D163" s="74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2:36">
      <c r="B164" s="74"/>
      <c r="C164" s="74"/>
      <c r="D164" s="74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2:36">
      <c r="B165" s="74"/>
      <c r="C165" s="74"/>
      <c r="D165" s="74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2:36">
      <c r="B166" s="74"/>
      <c r="C166" s="74"/>
      <c r="D166" s="74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2:36">
      <c r="B167" s="74"/>
      <c r="C167" s="74"/>
      <c r="D167" s="74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2:36">
      <c r="B168" s="74"/>
      <c r="C168" s="74"/>
      <c r="D168" s="74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2:36">
      <c r="B169" s="74"/>
      <c r="C169" s="74"/>
      <c r="D169" s="74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2:36">
      <c r="B170" s="74"/>
      <c r="C170" s="74"/>
      <c r="D170" s="74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2:36">
      <c r="B171" s="74"/>
      <c r="C171" s="74"/>
      <c r="D171" s="74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2:36">
      <c r="B172" s="74"/>
      <c r="C172" s="74"/>
      <c r="D172" s="74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2:36">
      <c r="B173" s="74"/>
      <c r="C173" s="74"/>
      <c r="D173" s="74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2:36">
      <c r="B174" s="74"/>
      <c r="C174" s="74"/>
      <c r="D174" s="74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2:36">
      <c r="B175" s="74"/>
      <c r="C175" s="74"/>
      <c r="D175" s="74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2:36">
      <c r="B176" s="74"/>
      <c r="C176" s="74"/>
      <c r="D176" s="74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2:36">
      <c r="B177" s="74"/>
      <c r="C177" s="74"/>
      <c r="D177" s="74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2:36">
      <c r="B178" s="74"/>
      <c r="C178" s="74"/>
      <c r="D178" s="74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2:36">
      <c r="B179" s="74"/>
      <c r="C179" s="74"/>
      <c r="D179" s="74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2:36">
      <c r="B180" s="74"/>
      <c r="C180" s="74"/>
      <c r="D180" s="74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2:36">
      <c r="B181" s="74"/>
      <c r="C181" s="74"/>
      <c r="D181" s="74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2:36">
      <c r="B182" s="74"/>
      <c r="C182" s="74"/>
      <c r="D182" s="74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2:36">
      <c r="B183" s="74"/>
      <c r="C183" s="74"/>
      <c r="D183" s="74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2:36">
      <c r="B184" s="74"/>
      <c r="C184" s="74"/>
      <c r="D184" s="74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2:36">
      <c r="B185" s="74"/>
      <c r="C185" s="74"/>
      <c r="D185" s="74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2:36">
      <c r="B186" s="74"/>
      <c r="C186" s="74"/>
      <c r="D186" s="74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2:36">
      <c r="B187" s="74"/>
      <c r="C187" s="74"/>
      <c r="D187" s="74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</row>
  </sheetData>
  <conditionalFormatting sqref="E7:AJ187">
    <cfRule type="top10" dxfId="8" priority="3" percent="1" rank="10"/>
  </conditionalFormatting>
  <conditionalFormatting sqref="E6:AJ6">
    <cfRule type="top10" dxfId="7" priority="2" percent="1" rank="10"/>
  </conditionalFormatting>
  <conditionalFormatting sqref="E68:AJ130">
    <cfRule type="top10" dxfId="6" priority="1" percent="1" rank="10"/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4:AJ187"/>
  <sheetViews>
    <sheetView zoomScale="80" zoomScaleNormal="80" workbookViewId="0">
      <pane xSplit="9525" ySplit="6720" topLeftCell="AB113"/>
      <selection activeCell="I6" sqref="I6:AJ130"/>
      <selection pane="topRight" activeCell="AC8" sqref="AC8"/>
      <selection pane="bottomLeft" activeCell="I67" sqref="A7:I67"/>
      <selection pane="bottomRight" activeCell="L28" sqref="L28"/>
    </sheetView>
  </sheetViews>
  <sheetFormatPr defaultColWidth="7.140625" defaultRowHeight="15"/>
  <cols>
    <col min="1" max="1" width="7.140625" style="29"/>
    <col min="2" max="2" width="9.28515625" style="29" bestFit="1" customWidth="1"/>
    <col min="3" max="4" width="9.28515625" style="29" customWidth="1"/>
    <col min="5" max="36" width="9.28515625" style="29" bestFit="1" customWidth="1"/>
    <col min="37" max="16384" width="7.140625" style="29"/>
  </cols>
  <sheetData>
    <row r="4" spans="1:36">
      <c r="A4" s="29" t="s">
        <v>17</v>
      </c>
      <c r="B4" s="74" t="e">
        <f>MAX(B7:B67)</f>
        <v>#DIV/0!</v>
      </c>
      <c r="C4" s="74"/>
      <c r="D4" s="74"/>
    </row>
    <row r="5" spans="1:36">
      <c r="B5" s="29" t="s">
        <v>32</v>
      </c>
      <c r="E5" s="29">
        <f>data0!B1</f>
        <v>0</v>
      </c>
      <c r="F5" s="29">
        <f>data0!C1</f>
        <v>1</v>
      </c>
      <c r="G5" s="29">
        <f>data0!D1</f>
        <v>2</v>
      </c>
      <c r="H5" s="29">
        <f>data0!E1</f>
        <v>3</v>
      </c>
      <c r="I5" s="29">
        <f>data0!F1</f>
        <v>4</v>
      </c>
      <c r="J5" s="29">
        <f>data0!G1</f>
        <v>5</v>
      </c>
      <c r="K5" s="29">
        <f>data0!H1</f>
        <v>6</v>
      </c>
      <c r="L5" s="29">
        <f>data0!I1</f>
        <v>7</v>
      </c>
      <c r="M5" s="29">
        <f>data0!J1</f>
        <v>8</v>
      </c>
      <c r="N5" s="29">
        <f>data0!K1</f>
        <v>9</v>
      </c>
      <c r="O5" s="29">
        <f>data0!L1</f>
        <v>10</v>
      </c>
      <c r="P5" s="29">
        <f>data0!M1</f>
        <v>11</v>
      </c>
      <c r="Q5" s="29">
        <f>data0!N1</f>
        <v>12</v>
      </c>
      <c r="R5" s="29">
        <f>data0!O1</f>
        <v>13</v>
      </c>
      <c r="S5" s="29">
        <f>data0!P1</f>
        <v>14</v>
      </c>
      <c r="T5" s="29">
        <f>data0!Q1</f>
        <v>15</v>
      </c>
      <c r="U5" s="29">
        <f>data0!R1</f>
        <v>16</v>
      </c>
      <c r="V5" s="29">
        <f>data0!S1</f>
        <v>17</v>
      </c>
      <c r="W5" s="29">
        <f>data0!T1</f>
        <v>18</v>
      </c>
      <c r="X5" s="29">
        <f>data0!U1</f>
        <v>19</v>
      </c>
      <c r="Y5" s="29">
        <f>data0!V1</f>
        <v>20</v>
      </c>
      <c r="Z5" s="29">
        <f>data0!W1</f>
        <v>21</v>
      </c>
      <c r="AA5" s="29">
        <f>data0!X1</f>
        <v>22</v>
      </c>
      <c r="AB5" s="29">
        <f>data0!Y1</f>
        <v>23</v>
      </c>
      <c r="AC5" s="29">
        <f>data0!Z1</f>
        <v>24</v>
      </c>
      <c r="AD5" s="29">
        <f>data0!AA1</f>
        <v>25</v>
      </c>
      <c r="AE5" s="29">
        <f>data0!AB1</f>
        <v>26</v>
      </c>
      <c r="AF5" s="29">
        <f>data0!AC1</f>
        <v>27</v>
      </c>
      <c r="AG5" s="29">
        <f>data0!AD1</f>
        <v>28</v>
      </c>
      <c r="AH5" s="29">
        <f>data0!AE1</f>
        <v>29</v>
      </c>
      <c r="AI5" s="29">
        <f>data0!AF1</f>
        <v>30</v>
      </c>
      <c r="AJ5" s="29">
        <f>data0!AG1</f>
        <v>31</v>
      </c>
    </row>
    <row r="6" spans="1:36" s="75" customFormat="1">
      <c r="A6" s="75" t="s">
        <v>31</v>
      </c>
      <c r="B6" s="75" t="e">
        <f>SUM(B7:B67)</f>
        <v>#DIV/0!</v>
      </c>
      <c r="C6" s="80" t="s">
        <v>2</v>
      </c>
      <c r="D6" s="80" t="s">
        <v>33</v>
      </c>
      <c r="E6" s="75">
        <f>SUM(data2!B2:B62)</f>
        <v>0</v>
      </c>
      <c r="F6" s="75">
        <f>SUM(data2!C2:C62)</f>
        <v>0</v>
      </c>
      <c r="G6" s="75">
        <f>SUM(data2!D2:D62)</f>
        <v>0</v>
      </c>
      <c r="H6" s="75">
        <f>SUM(data2!E2:E62)</f>
        <v>0</v>
      </c>
      <c r="I6" s="75">
        <f>SUM(data2!F2:F62)</f>
        <v>0</v>
      </c>
      <c r="J6" s="75">
        <f>SUM(data2!G2:G62)</f>
        <v>0</v>
      </c>
      <c r="K6" s="75">
        <f>SUM(data2!H2:H62)</f>
        <v>0</v>
      </c>
      <c r="L6" s="75">
        <f>SUM(data2!I2:I62)</f>
        <v>0</v>
      </c>
      <c r="M6" s="75">
        <f>SUM(data2!J2:J62)</f>
        <v>0</v>
      </c>
      <c r="N6" s="75">
        <f>SUM(data2!K2:K62)</f>
        <v>0</v>
      </c>
      <c r="O6" s="75">
        <f>SUM(data2!L2:L62)</f>
        <v>0</v>
      </c>
      <c r="P6" s="75">
        <f>SUM(data2!M2:M62)</f>
        <v>0</v>
      </c>
      <c r="Q6" s="75">
        <f>SUM(data2!N2:N62)</f>
        <v>0</v>
      </c>
      <c r="R6" s="75">
        <f>SUM(data2!O2:O62)</f>
        <v>0</v>
      </c>
      <c r="S6" s="75">
        <f>SUM(data2!P2:P62)</f>
        <v>0</v>
      </c>
      <c r="T6" s="75">
        <f>SUM(data2!Q2:Q62)</f>
        <v>0</v>
      </c>
      <c r="U6" s="75">
        <f>SUM(data2!R2:R62)</f>
        <v>0</v>
      </c>
      <c r="V6" s="75">
        <f>SUM(data2!S2:S62)</f>
        <v>0</v>
      </c>
      <c r="W6" s="75">
        <f>SUM(data2!T2:T62)</f>
        <v>0</v>
      </c>
      <c r="X6" s="75">
        <f>SUM(data2!U2:U62)</f>
        <v>0</v>
      </c>
      <c r="Y6" s="75">
        <f>SUM(data2!V2:V62)</f>
        <v>0</v>
      </c>
      <c r="Z6" s="75">
        <f>SUM(data2!W2:W62)</f>
        <v>0</v>
      </c>
      <c r="AA6" s="75">
        <f>SUM(data2!X2:X62)</f>
        <v>0</v>
      </c>
      <c r="AB6" s="75">
        <f>SUM(data2!Y2:Y62)</f>
        <v>0</v>
      </c>
      <c r="AC6" s="75">
        <f>SUM(data2!Z2:Z62)</f>
        <v>0</v>
      </c>
      <c r="AD6" s="75">
        <f>SUM(data2!AA2:AA62)</f>
        <v>0</v>
      </c>
      <c r="AE6" s="75">
        <f>SUM(data2!AB2:AB62)</f>
        <v>0</v>
      </c>
      <c r="AF6" s="75">
        <f>SUM(data2!AC2:AC62)</f>
        <v>0</v>
      </c>
      <c r="AG6" s="75">
        <f>SUM(data2!AD2:AD62)</f>
        <v>0</v>
      </c>
      <c r="AH6" s="75">
        <f>SUM(data2!AE2:AE62)</f>
        <v>0</v>
      </c>
      <c r="AI6" s="75">
        <f>SUM(data2!AF2:AF62)</f>
        <v>0</v>
      </c>
      <c r="AJ6" s="75">
        <f>SUM(data2!AG2:AG62)</f>
        <v>0</v>
      </c>
    </row>
    <row r="7" spans="1:36">
      <c r="A7" s="29">
        <f>data0!A2</f>
        <v>-90</v>
      </c>
      <c r="B7" s="74" t="e">
        <f>AVERAGE(data2!B2:AG2)</f>
        <v>#DIV/0!</v>
      </c>
      <c r="C7" s="74" t="e">
        <f>AVERAGE(E7:AJ7)</f>
        <v>#DIV/0!</v>
      </c>
      <c r="D7" s="74" t="e">
        <f>STDEV(E7:AJ7)</f>
        <v>#DIV/0!</v>
      </c>
      <c r="E7" s="74" t="e">
        <f>data2!B2*$B$6/E$6</f>
        <v>#DIV/0!</v>
      </c>
      <c r="F7" s="74" t="e">
        <f>data2!C2*$B$6/F$6</f>
        <v>#DIV/0!</v>
      </c>
      <c r="G7" s="74" t="e">
        <f>data2!D2*$B$6/G$6</f>
        <v>#DIV/0!</v>
      </c>
      <c r="H7" s="74" t="e">
        <f>data2!E2*$B$6/H$6</f>
        <v>#DIV/0!</v>
      </c>
      <c r="I7" s="74" t="e">
        <f>data2!F2*$B$6/I$6</f>
        <v>#DIV/0!</v>
      </c>
      <c r="J7" s="74" t="e">
        <f>data2!G2*$B$6/J$6</f>
        <v>#DIV/0!</v>
      </c>
      <c r="K7" s="74" t="e">
        <f>data2!H2*$B$6/K$6</f>
        <v>#DIV/0!</v>
      </c>
      <c r="L7" s="74" t="e">
        <f>data2!I2*$B$6/L$6</f>
        <v>#DIV/0!</v>
      </c>
      <c r="M7" s="74" t="e">
        <f>data2!J2*$B$6/M$6</f>
        <v>#DIV/0!</v>
      </c>
      <c r="N7" s="74" t="e">
        <f>data2!K2*$B$6/N$6</f>
        <v>#DIV/0!</v>
      </c>
      <c r="O7" s="74" t="e">
        <f>data2!L2*$B$6/O$6</f>
        <v>#DIV/0!</v>
      </c>
      <c r="P7" s="74" t="e">
        <f>data2!M2*$B$6/P$6</f>
        <v>#DIV/0!</v>
      </c>
      <c r="Q7" s="74" t="e">
        <f>data2!N2*$B$6/Q$6</f>
        <v>#DIV/0!</v>
      </c>
      <c r="R7" s="74" t="e">
        <f>data2!O2*$B$6/R$6</f>
        <v>#DIV/0!</v>
      </c>
      <c r="S7" s="74" t="e">
        <f>data2!P2*$B$6/S$6</f>
        <v>#DIV/0!</v>
      </c>
      <c r="T7" s="74" t="e">
        <f>data2!Q2*$B$6/T$6</f>
        <v>#DIV/0!</v>
      </c>
      <c r="U7" s="74" t="e">
        <f>data2!R2*$B$6/U$6</f>
        <v>#DIV/0!</v>
      </c>
      <c r="V7" s="74" t="e">
        <f>data2!S2*$B$6/V$6</f>
        <v>#DIV/0!</v>
      </c>
      <c r="W7" s="74" t="e">
        <f>data2!T2*$B$6/W$6</f>
        <v>#DIV/0!</v>
      </c>
      <c r="X7" s="74" t="e">
        <f>data2!U2*$B$6/X$6</f>
        <v>#DIV/0!</v>
      </c>
      <c r="Y7" s="74" t="e">
        <f>data2!V2*$B$6/Y$6</f>
        <v>#DIV/0!</v>
      </c>
      <c r="Z7" s="74" t="e">
        <f>data2!W2*$B$6/Z$6</f>
        <v>#DIV/0!</v>
      </c>
      <c r="AA7" s="74" t="e">
        <f>data2!X2*$B$6/AA$6</f>
        <v>#DIV/0!</v>
      </c>
      <c r="AB7" s="74" t="e">
        <f>data2!Y2*$B$6/AB$6</f>
        <v>#DIV/0!</v>
      </c>
      <c r="AC7" s="74" t="e">
        <f>data2!Z2*$B$6/AC$6</f>
        <v>#DIV/0!</v>
      </c>
      <c r="AD7" s="74" t="e">
        <f>data2!AA2*$B$6/AD$6</f>
        <v>#DIV/0!</v>
      </c>
      <c r="AE7" s="74" t="e">
        <f>data2!AB2*$B$6/AE$6</f>
        <v>#DIV/0!</v>
      </c>
      <c r="AF7" s="74" t="e">
        <f>data2!AC2*$B$6/AF$6</f>
        <v>#DIV/0!</v>
      </c>
      <c r="AG7" s="74" t="e">
        <f>data2!AD2*$B$6/AG$6</f>
        <v>#DIV/0!</v>
      </c>
      <c r="AH7" s="74" t="e">
        <f>data2!AE2*$B$6/AH$6</f>
        <v>#DIV/0!</v>
      </c>
      <c r="AI7" s="74" t="e">
        <f>data2!AF2*$B$6/AI$6</f>
        <v>#DIV/0!</v>
      </c>
      <c r="AJ7" s="74" t="e">
        <f>data2!AG2*$B$6/AJ$6</f>
        <v>#DIV/0!</v>
      </c>
    </row>
    <row r="8" spans="1:36">
      <c r="A8" s="29">
        <f>data0!A3</f>
        <v>-87</v>
      </c>
      <c r="B8" s="74" t="e">
        <f>AVERAGE(data2!B3:AG3)</f>
        <v>#DIV/0!</v>
      </c>
      <c r="C8" s="74" t="e">
        <f t="shared" ref="C8:C67" si="0">AVERAGE(E8:AJ8)</f>
        <v>#DIV/0!</v>
      </c>
      <c r="D8" s="74" t="e">
        <f t="shared" ref="D8:D67" si="1">STDEV(E8:AJ8)</f>
        <v>#DIV/0!</v>
      </c>
      <c r="E8" s="74" t="e">
        <f>data2!B3*$B$6/E$6</f>
        <v>#DIV/0!</v>
      </c>
      <c r="F8" s="74" t="e">
        <f>data2!C3*$B$6/F$6</f>
        <v>#DIV/0!</v>
      </c>
      <c r="G8" s="74" t="e">
        <f>data2!D3*$B$6/G$6</f>
        <v>#DIV/0!</v>
      </c>
      <c r="H8" s="74" t="e">
        <f>data2!E3*$B$6/H$6</f>
        <v>#DIV/0!</v>
      </c>
      <c r="I8" s="74" t="e">
        <f>data2!F3*$B$6/I$6</f>
        <v>#DIV/0!</v>
      </c>
      <c r="J8" s="74" t="e">
        <f>data2!G3*$B$6/J$6</f>
        <v>#DIV/0!</v>
      </c>
      <c r="K8" s="74" t="e">
        <f>data2!H3*$B$6/K$6</f>
        <v>#DIV/0!</v>
      </c>
      <c r="L8" s="74" t="e">
        <f>data2!I3*$B$6/L$6</f>
        <v>#DIV/0!</v>
      </c>
      <c r="M8" s="74" t="e">
        <f>data2!J3*$B$6/M$6</f>
        <v>#DIV/0!</v>
      </c>
      <c r="N8" s="74" t="e">
        <f>data2!K3*$B$6/N$6</f>
        <v>#DIV/0!</v>
      </c>
      <c r="O8" s="74" t="e">
        <f>data2!L3*$B$6/O$6</f>
        <v>#DIV/0!</v>
      </c>
      <c r="P8" s="74" t="e">
        <f>data2!M3*$B$6/P$6</f>
        <v>#DIV/0!</v>
      </c>
      <c r="Q8" s="74" t="e">
        <f>data2!N3*$B$6/Q$6</f>
        <v>#DIV/0!</v>
      </c>
      <c r="R8" s="74" t="e">
        <f>data2!O3*$B$6/R$6</f>
        <v>#DIV/0!</v>
      </c>
      <c r="S8" s="74" t="e">
        <f>data2!P3*$B$6/S$6</f>
        <v>#DIV/0!</v>
      </c>
      <c r="T8" s="74" t="e">
        <f>data2!Q3*$B$6/T$6</f>
        <v>#DIV/0!</v>
      </c>
      <c r="U8" s="74" t="e">
        <f>data2!R3*$B$6/U$6</f>
        <v>#DIV/0!</v>
      </c>
      <c r="V8" s="74" t="e">
        <f>data2!S3*$B$6/V$6</f>
        <v>#DIV/0!</v>
      </c>
      <c r="W8" s="74" t="e">
        <f>data2!T3*$B$6/W$6</f>
        <v>#DIV/0!</v>
      </c>
      <c r="X8" s="74" t="e">
        <f>data2!U3*$B$6/X$6</f>
        <v>#DIV/0!</v>
      </c>
      <c r="Y8" s="74" t="e">
        <f>data2!V3*$B$6/Y$6</f>
        <v>#DIV/0!</v>
      </c>
      <c r="Z8" s="74" t="e">
        <f>data2!W3*$B$6/Z$6</f>
        <v>#DIV/0!</v>
      </c>
      <c r="AA8" s="74" t="e">
        <f>data2!X3*$B$6/AA$6</f>
        <v>#DIV/0!</v>
      </c>
      <c r="AB8" s="74" t="e">
        <f>data2!Y3*$B$6/AB$6</f>
        <v>#DIV/0!</v>
      </c>
      <c r="AC8" s="74" t="e">
        <f>data2!Z3*$B$6/AC$6</f>
        <v>#DIV/0!</v>
      </c>
      <c r="AD8" s="74" t="e">
        <f>data2!AA3*$B$6/AD$6</f>
        <v>#DIV/0!</v>
      </c>
      <c r="AE8" s="74" t="e">
        <f>data2!AB3*$B$6/AE$6</f>
        <v>#DIV/0!</v>
      </c>
      <c r="AF8" s="74" t="e">
        <f>data2!AC3*$B$6/AF$6</f>
        <v>#DIV/0!</v>
      </c>
      <c r="AG8" s="74" t="e">
        <f>data2!AD3*$B$6/AG$6</f>
        <v>#DIV/0!</v>
      </c>
      <c r="AH8" s="74" t="e">
        <f>data2!AE3*$B$6/AH$6</f>
        <v>#DIV/0!</v>
      </c>
      <c r="AI8" s="74" t="e">
        <f>data2!AF3*$B$6/AI$6</f>
        <v>#DIV/0!</v>
      </c>
      <c r="AJ8" s="74" t="e">
        <f>data2!AG3*$B$6/AJ$6</f>
        <v>#DIV/0!</v>
      </c>
    </row>
    <row r="9" spans="1:36">
      <c r="A9" s="29">
        <f>data0!A4</f>
        <v>-84</v>
      </c>
      <c r="B9" s="74" t="e">
        <f>AVERAGE(data2!B4:AG4)</f>
        <v>#DIV/0!</v>
      </c>
      <c r="C9" s="74" t="e">
        <f t="shared" si="0"/>
        <v>#DIV/0!</v>
      </c>
      <c r="D9" s="74" t="e">
        <f t="shared" si="1"/>
        <v>#DIV/0!</v>
      </c>
      <c r="E9" s="74" t="e">
        <f>data2!B4*$B$6/E$6</f>
        <v>#DIV/0!</v>
      </c>
      <c r="F9" s="74" t="e">
        <f>data2!C4*$B$6/F$6</f>
        <v>#DIV/0!</v>
      </c>
      <c r="G9" s="74" t="e">
        <f>data2!D4*$B$6/G$6</f>
        <v>#DIV/0!</v>
      </c>
      <c r="H9" s="74" t="e">
        <f>data2!E4*$B$6/H$6</f>
        <v>#DIV/0!</v>
      </c>
      <c r="I9" s="74" t="e">
        <f>data2!F4*$B$6/I$6</f>
        <v>#DIV/0!</v>
      </c>
      <c r="J9" s="74" t="e">
        <f>data2!G4*$B$6/J$6</f>
        <v>#DIV/0!</v>
      </c>
      <c r="K9" s="74" t="e">
        <f>data2!H4*$B$6/K$6</f>
        <v>#DIV/0!</v>
      </c>
      <c r="L9" s="74" t="e">
        <f>data2!I4*$B$6/L$6</f>
        <v>#DIV/0!</v>
      </c>
      <c r="M9" s="74" t="e">
        <f>data2!J4*$B$6/M$6</f>
        <v>#DIV/0!</v>
      </c>
      <c r="N9" s="74" t="e">
        <f>data2!K4*$B$6/N$6</f>
        <v>#DIV/0!</v>
      </c>
      <c r="O9" s="74" t="e">
        <f>data2!L4*$B$6/O$6</f>
        <v>#DIV/0!</v>
      </c>
      <c r="P9" s="74" t="e">
        <f>data2!M4*$B$6/P$6</f>
        <v>#DIV/0!</v>
      </c>
      <c r="Q9" s="74" t="e">
        <f>data2!N4*$B$6/Q$6</f>
        <v>#DIV/0!</v>
      </c>
      <c r="R9" s="74" t="e">
        <f>data2!O4*$B$6/R$6</f>
        <v>#DIV/0!</v>
      </c>
      <c r="S9" s="74" t="e">
        <f>data2!P4*$B$6/S$6</f>
        <v>#DIV/0!</v>
      </c>
      <c r="T9" s="74" t="e">
        <f>data2!Q4*$B$6/T$6</f>
        <v>#DIV/0!</v>
      </c>
      <c r="U9" s="74" t="e">
        <f>data2!R4*$B$6/U$6</f>
        <v>#DIV/0!</v>
      </c>
      <c r="V9" s="74" t="e">
        <f>data2!S4*$B$6/V$6</f>
        <v>#DIV/0!</v>
      </c>
      <c r="W9" s="74" t="e">
        <f>data2!T4*$B$6/W$6</f>
        <v>#DIV/0!</v>
      </c>
      <c r="X9" s="74" t="e">
        <f>data2!U4*$B$6/X$6</f>
        <v>#DIV/0!</v>
      </c>
      <c r="Y9" s="74" t="e">
        <f>data2!V4*$B$6/Y$6</f>
        <v>#DIV/0!</v>
      </c>
      <c r="Z9" s="74" t="e">
        <f>data2!W4*$B$6/Z$6</f>
        <v>#DIV/0!</v>
      </c>
      <c r="AA9" s="74" t="e">
        <f>data2!X4*$B$6/AA$6</f>
        <v>#DIV/0!</v>
      </c>
      <c r="AB9" s="74" t="e">
        <f>data2!Y4*$B$6/AB$6</f>
        <v>#DIV/0!</v>
      </c>
      <c r="AC9" s="74" t="e">
        <f>data2!Z4*$B$6/AC$6</f>
        <v>#DIV/0!</v>
      </c>
      <c r="AD9" s="74" t="e">
        <f>data2!AA4*$B$6/AD$6</f>
        <v>#DIV/0!</v>
      </c>
      <c r="AE9" s="74" t="e">
        <f>data2!AB4*$B$6/AE$6</f>
        <v>#DIV/0!</v>
      </c>
      <c r="AF9" s="74" t="e">
        <f>data2!AC4*$B$6/AF$6</f>
        <v>#DIV/0!</v>
      </c>
      <c r="AG9" s="74" t="e">
        <f>data2!AD4*$B$6/AG$6</f>
        <v>#DIV/0!</v>
      </c>
      <c r="AH9" s="74" t="e">
        <f>data2!AE4*$B$6/AH$6</f>
        <v>#DIV/0!</v>
      </c>
      <c r="AI9" s="74" t="e">
        <f>data2!AF4*$B$6/AI$6</f>
        <v>#DIV/0!</v>
      </c>
      <c r="AJ9" s="74" t="e">
        <f>data2!AG4*$B$6/AJ$6</f>
        <v>#DIV/0!</v>
      </c>
    </row>
    <row r="10" spans="1:36">
      <c r="A10" s="29">
        <f>data0!A5</f>
        <v>-81</v>
      </c>
      <c r="B10" s="74" t="e">
        <f>AVERAGE(data2!B5:AG5)</f>
        <v>#DIV/0!</v>
      </c>
      <c r="C10" s="74" t="e">
        <f t="shared" si="0"/>
        <v>#DIV/0!</v>
      </c>
      <c r="D10" s="74" t="e">
        <f t="shared" si="1"/>
        <v>#DIV/0!</v>
      </c>
      <c r="E10" s="74" t="e">
        <f>data2!B5*$B$6/E$6</f>
        <v>#DIV/0!</v>
      </c>
      <c r="F10" s="74" t="e">
        <f>data2!C5*$B$6/F$6</f>
        <v>#DIV/0!</v>
      </c>
      <c r="G10" s="74" t="e">
        <f>data2!D5*$B$6/G$6</f>
        <v>#DIV/0!</v>
      </c>
      <c r="H10" s="74" t="e">
        <f>data2!E5*$B$6/H$6</f>
        <v>#DIV/0!</v>
      </c>
      <c r="I10" s="74" t="e">
        <f>data2!F5*$B$6/I$6</f>
        <v>#DIV/0!</v>
      </c>
      <c r="J10" s="74" t="e">
        <f>data2!G5*$B$6/J$6</f>
        <v>#DIV/0!</v>
      </c>
      <c r="K10" s="74" t="e">
        <f>data2!H5*$B$6/K$6</f>
        <v>#DIV/0!</v>
      </c>
      <c r="L10" s="74" t="e">
        <f>data2!I5*$B$6/L$6</f>
        <v>#DIV/0!</v>
      </c>
      <c r="M10" s="74" t="e">
        <f>data2!J5*$B$6/M$6</f>
        <v>#DIV/0!</v>
      </c>
      <c r="N10" s="74" t="e">
        <f>data2!K5*$B$6/N$6</f>
        <v>#DIV/0!</v>
      </c>
      <c r="O10" s="74" t="e">
        <f>data2!L5*$B$6/O$6</f>
        <v>#DIV/0!</v>
      </c>
      <c r="P10" s="74" t="e">
        <f>data2!M5*$B$6/P$6</f>
        <v>#DIV/0!</v>
      </c>
      <c r="Q10" s="74" t="e">
        <f>data2!N5*$B$6/Q$6</f>
        <v>#DIV/0!</v>
      </c>
      <c r="R10" s="74" t="e">
        <f>data2!O5*$B$6/R$6</f>
        <v>#DIV/0!</v>
      </c>
      <c r="S10" s="74" t="e">
        <f>data2!P5*$B$6/S$6</f>
        <v>#DIV/0!</v>
      </c>
      <c r="T10" s="74" t="e">
        <f>data2!Q5*$B$6/T$6</f>
        <v>#DIV/0!</v>
      </c>
      <c r="U10" s="74" t="e">
        <f>data2!R5*$B$6/U$6</f>
        <v>#DIV/0!</v>
      </c>
      <c r="V10" s="74" t="e">
        <f>data2!S5*$B$6/V$6</f>
        <v>#DIV/0!</v>
      </c>
      <c r="W10" s="74" t="e">
        <f>data2!T5*$B$6/W$6</f>
        <v>#DIV/0!</v>
      </c>
      <c r="X10" s="74" t="e">
        <f>data2!U5*$B$6/X$6</f>
        <v>#DIV/0!</v>
      </c>
      <c r="Y10" s="74" t="e">
        <f>data2!V5*$B$6/Y$6</f>
        <v>#DIV/0!</v>
      </c>
      <c r="Z10" s="74" t="e">
        <f>data2!W5*$B$6/Z$6</f>
        <v>#DIV/0!</v>
      </c>
      <c r="AA10" s="74" t="e">
        <f>data2!X5*$B$6/AA$6</f>
        <v>#DIV/0!</v>
      </c>
      <c r="AB10" s="74" t="e">
        <f>data2!Y5*$B$6/AB$6</f>
        <v>#DIV/0!</v>
      </c>
      <c r="AC10" s="74" t="e">
        <f>data2!Z5*$B$6/AC$6</f>
        <v>#DIV/0!</v>
      </c>
      <c r="AD10" s="74" t="e">
        <f>data2!AA5*$B$6/AD$6</f>
        <v>#DIV/0!</v>
      </c>
      <c r="AE10" s="74" t="e">
        <f>data2!AB5*$B$6/AE$6</f>
        <v>#DIV/0!</v>
      </c>
      <c r="AF10" s="74" t="e">
        <f>data2!AC5*$B$6/AF$6</f>
        <v>#DIV/0!</v>
      </c>
      <c r="AG10" s="74" t="e">
        <f>data2!AD5*$B$6/AG$6</f>
        <v>#DIV/0!</v>
      </c>
      <c r="AH10" s="74" t="e">
        <f>data2!AE5*$B$6/AH$6</f>
        <v>#DIV/0!</v>
      </c>
      <c r="AI10" s="74" t="e">
        <f>data2!AF5*$B$6/AI$6</f>
        <v>#DIV/0!</v>
      </c>
      <c r="AJ10" s="74" t="e">
        <f>data2!AG5*$B$6/AJ$6</f>
        <v>#DIV/0!</v>
      </c>
    </row>
    <row r="11" spans="1:36">
      <c r="A11" s="29">
        <f>data0!A6</f>
        <v>-78</v>
      </c>
      <c r="B11" s="74" t="e">
        <f>AVERAGE(data2!B6:AG6)</f>
        <v>#DIV/0!</v>
      </c>
      <c r="C11" s="74" t="e">
        <f t="shared" si="0"/>
        <v>#DIV/0!</v>
      </c>
      <c r="D11" s="74" t="e">
        <f t="shared" si="1"/>
        <v>#DIV/0!</v>
      </c>
      <c r="E11" s="74" t="e">
        <f>data2!B6*$B$6/E$6</f>
        <v>#DIV/0!</v>
      </c>
      <c r="F11" s="74" t="e">
        <f>data2!C6*$B$6/F$6</f>
        <v>#DIV/0!</v>
      </c>
      <c r="G11" s="74" t="e">
        <f>data2!D6*$B$6/G$6</f>
        <v>#DIV/0!</v>
      </c>
      <c r="H11" s="74" t="e">
        <f>data2!E6*$B$6/H$6</f>
        <v>#DIV/0!</v>
      </c>
      <c r="I11" s="74" t="e">
        <f>data2!F6*$B$6/I$6</f>
        <v>#DIV/0!</v>
      </c>
      <c r="J11" s="74" t="e">
        <f>data2!G6*$B$6/J$6</f>
        <v>#DIV/0!</v>
      </c>
      <c r="K11" s="74" t="e">
        <f>data2!H6*$B$6/K$6</f>
        <v>#DIV/0!</v>
      </c>
      <c r="L11" s="74" t="e">
        <f>data2!I6*$B$6/L$6</f>
        <v>#DIV/0!</v>
      </c>
      <c r="M11" s="74" t="e">
        <f>data2!J6*$B$6/M$6</f>
        <v>#DIV/0!</v>
      </c>
      <c r="N11" s="74" t="e">
        <f>data2!K6*$B$6/N$6</f>
        <v>#DIV/0!</v>
      </c>
      <c r="O11" s="74" t="e">
        <f>data2!L6*$B$6/O$6</f>
        <v>#DIV/0!</v>
      </c>
      <c r="P11" s="74" t="e">
        <f>data2!M6*$B$6/P$6</f>
        <v>#DIV/0!</v>
      </c>
      <c r="Q11" s="74" t="e">
        <f>data2!N6*$B$6/Q$6</f>
        <v>#DIV/0!</v>
      </c>
      <c r="R11" s="74" t="e">
        <f>data2!O6*$B$6/R$6</f>
        <v>#DIV/0!</v>
      </c>
      <c r="S11" s="74" t="e">
        <f>data2!P6*$B$6/S$6</f>
        <v>#DIV/0!</v>
      </c>
      <c r="T11" s="74" t="e">
        <f>data2!Q6*$B$6/T$6</f>
        <v>#DIV/0!</v>
      </c>
      <c r="U11" s="74" t="e">
        <f>data2!R6*$B$6/U$6</f>
        <v>#DIV/0!</v>
      </c>
      <c r="V11" s="74" t="e">
        <f>data2!S6*$B$6/V$6</f>
        <v>#DIV/0!</v>
      </c>
      <c r="W11" s="74" t="e">
        <f>data2!T6*$B$6/W$6</f>
        <v>#DIV/0!</v>
      </c>
      <c r="X11" s="74" t="e">
        <f>data2!U6*$B$6/X$6</f>
        <v>#DIV/0!</v>
      </c>
      <c r="Y11" s="74" t="e">
        <f>data2!V6*$B$6/Y$6</f>
        <v>#DIV/0!</v>
      </c>
      <c r="Z11" s="74" t="e">
        <f>data2!W6*$B$6/Z$6</f>
        <v>#DIV/0!</v>
      </c>
      <c r="AA11" s="74" t="e">
        <f>data2!X6*$B$6/AA$6</f>
        <v>#DIV/0!</v>
      </c>
      <c r="AB11" s="74" t="e">
        <f>data2!Y6*$B$6/AB$6</f>
        <v>#DIV/0!</v>
      </c>
      <c r="AC11" s="74" t="e">
        <f>data2!Z6*$B$6/AC$6</f>
        <v>#DIV/0!</v>
      </c>
      <c r="AD11" s="74" t="e">
        <f>data2!AA6*$B$6/AD$6</f>
        <v>#DIV/0!</v>
      </c>
      <c r="AE11" s="74" t="e">
        <f>data2!AB6*$B$6/AE$6</f>
        <v>#DIV/0!</v>
      </c>
      <c r="AF11" s="74" t="e">
        <f>data2!AC6*$B$6/AF$6</f>
        <v>#DIV/0!</v>
      </c>
      <c r="AG11" s="74" t="e">
        <f>data2!AD6*$B$6/AG$6</f>
        <v>#DIV/0!</v>
      </c>
      <c r="AH11" s="74" t="e">
        <f>data2!AE6*$B$6/AH$6</f>
        <v>#DIV/0!</v>
      </c>
      <c r="AI11" s="74" t="e">
        <f>data2!AF6*$B$6/AI$6</f>
        <v>#DIV/0!</v>
      </c>
      <c r="AJ11" s="74" t="e">
        <f>data2!AG6*$B$6/AJ$6</f>
        <v>#DIV/0!</v>
      </c>
    </row>
    <row r="12" spans="1:36">
      <c r="A12" s="29">
        <f>data0!A7</f>
        <v>-75</v>
      </c>
      <c r="B12" s="74" t="e">
        <f>AVERAGE(data2!B7:AG7)</f>
        <v>#DIV/0!</v>
      </c>
      <c r="C12" s="74" t="e">
        <f t="shared" si="0"/>
        <v>#DIV/0!</v>
      </c>
      <c r="D12" s="74" t="e">
        <f t="shared" si="1"/>
        <v>#DIV/0!</v>
      </c>
      <c r="E12" s="74" t="e">
        <f>data2!B7*$B$6/E$6</f>
        <v>#DIV/0!</v>
      </c>
      <c r="F12" s="74" t="e">
        <f>data2!C7*$B$6/F$6</f>
        <v>#DIV/0!</v>
      </c>
      <c r="G12" s="74" t="e">
        <f>data2!D7*$B$6/G$6</f>
        <v>#DIV/0!</v>
      </c>
      <c r="H12" s="74" t="e">
        <f>data2!E7*$B$6/H$6</f>
        <v>#DIV/0!</v>
      </c>
      <c r="I12" s="74" t="e">
        <f>data2!F7*$B$6/I$6</f>
        <v>#DIV/0!</v>
      </c>
      <c r="J12" s="74" t="e">
        <f>data2!G7*$B$6/J$6</f>
        <v>#DIV/0!</v>
      </c>
      <c r="K12" s="74" t="e">
        <f>data2!H7*$B$6/K$6</f>
        <v>#DIV/0!</v>
      </c>
      <c r="L12" s="74" t="e">
        <f>data2!I7*$B$6/L$6</f>
        <v>#DIV/0!</v>
      </c>
      <c r="M12" s="74" t="e">
        <f>data2!J7*$B$6/M$6</f>
        <v>#DIV/0!</v>
      </c>
      <c r="N12" s="74" t="e">
        <f>data2!K7*$B$6/N$6</f>
        <v>#DIV/0!</v>
      </c>
      <c r="O12" s="74" t="e">
        <f>data2!L7*$B$6/O$6</f>
        <v>#DIV/0!</v>
      </c>
      <c r="P12" s="74" t="e">
        <f>data2!M7*$B$6/P$6</f>
        <v>#DIV/0!</v>
      </c>
      <c r="Q12" s="74" t="e">
        <f>data2!N7*$B$6/Q$6</f>
        <v>#DIV/0!</v>
      </c>
      <c r="R12" s="74" t="e">
        <f>data2!O7*$B$6/R$6</f>
        <v>#DIV/0!</v>
      </c>
      <c r="S12" s="74" t="e">
        <f>data2!P7*$B$6/S$6</f>
        <v>#DIV/0!</v>
      </c>
      <c r="T12" s="74" t="e">
        <f>data2!Q7*$B$6/T$6</f>
        <v>#DIV/0!</v>
      </c>
      <c r="U12" s="74" t="e">
        <f>data2!R7*$B$6/U$6</f>
        <v>#DIV/0!</v>
      </c>
      <c r="V12" s="74" t="e">
        <f>data2!S7*$B$6/V$6</f>
        <v>#DIV/0!</v>
      </c>
      <c r="W12" s="74" t="e">
        <f>data2!T7*$B$6/W$6</f>
        <v>#DIV/0!</v>
      </c>
      <c r="X12" s="74" t="e">
        <f>data2!U7*$B$6/X$6</f>
        <v>#DIV/0!</v>
      </c>
      <c r="Y12" s="74" t="e">
        <f>data2!V7*$B$6/Y$6</f>
        <v>#DIV/0!</v>
      </c>
      <c r="Z12" s="74" t="e">
        <f>data2!W7*$B$6/Z$6</f>
        <v>#DIV/0!</v>
      </c>
      <c r="AA12" s="74" t="e">
        <f>data2!X7*$B$6/AA$6</f>
        <v>#DIV/0!</v>
      </c>
      <c r="AB12" s="74" t="e">
        <f>data2!Y7*$B$6/AB$6</f>
        <v>#DIV/0!</v>
      </c>
      <c r="AC12" s="74" t="e">
        <f>data2!Z7*$B$6/AC$6</f>
        <v>#DIV/0!</v>
      </c>
      <c r="AD12" s="74" t="e">
        <f>data2!AA7*$B$6/AD$6</f>
        <v>#DIV/0!</v>
      </c>
      <c r="AE12" s="74" t="e">
        <f>data2!AB7*$B$6/AE$6</f>
        <v>#DIV/0!</v>
      </c>
      <c r="AF12" s="74" t="e">
        <f>data2!AC7*$B$6/AF$6</f>
        <v>#DIV/0!</v>
      </c>
      <c r="AG12" s="74" t="e">
        <f>data2!AD7*$B$6/AG$6</f>
        <v>#DIV/0!</v>
      </c>
      <c r="AH12" s="74" t="e">
        <f>data2!AE7*$B$6/AH$6</f>
        <v>#DIV/0!</v>
      </c>
      <c r="AI12" s="74" t="e">
        <f>data2!AF7*$B$6/AI$6</f>
        <v>#DIV/0!</v>
      </c>
      <c r="AJ12" s="74" t="e">
        <f>data2!AG7*$B$6/AJ$6</f>
        <v>#DIV/0!</v>
      </c>
    </row>
    <row r="13" spans="1:36">
      <c r="A13" s="29">
        <f>data0!A8</f>
        <v>-72</v>
      </c>
      <c r="B13" s="74" t="e">
        <f>AVERAGE(data2!B8:AG8)</f>
        <v>#DIV/0!</v>
      </c>
      <c r="C13" s="74" t="e">
        <f t="shared" si="0"/>
        <v>#DIV/0!</v>
      </c>
      <c r="D13" s="74" t="e">
        <f t="shared" si="1"/>
        <v>#DIV/0!</v>
      </c>
      <c r="E13" s="74" t="e">
        <f>data2!B8*$B$6/E$6</f>
        <v>#DIV/0!</v>
      </c>
      <c r="F13" s="74" t="e">
        <f>data2!C8*$B$6/F$6</f>
        <v>#DIV/0!</v>
      </c>
      <c r="G13" s="74" t="e">
        <f>data2!D8*$B$6/G$6</f>
        <v>#DIV/0!</v>
      </c>
      <c r="H13" s="74" t="e">
        <f>data2!E8*$B$6/H$6</f>
        <v>#DIV/0!</v>
      </c>
      <c r="I13" s="74" t="e">
        <f>data2!F8*$B$6/I$6</f>
        <v>#DIV/0!</v>
      </c>
      <c r="J13" s="74" t="e">
        <f>data2!G8*$B$6/J$6</f>
        <v>#DIV/0!</v>
      </c>
      <c r="K13" s="74" t="e">
        <f>data2!H8*$B$6/K$6</f>
        <v>#DIV/0!</v>
      </c>
      <c r="L13" s="74" t="e">
        <f>data2!I8*$B$6/L$6</f>
        <v>#DIV/0!</v>
      </c>
      <c r="M13" s="74" t="e">
        <f>data2!J8*$B$6/M$6</f>
        <v>#DIV/0!</v>
      </c>
      <c r="N13" s="74" t="e">
        <f>data2!K8*$B$6/N$6</f>
        <v>#DIV/0!</v>
      </c>
      <c r="O13" s="74" t="e">
        <f>data2!L8*$B$6/O$6</f>
        <v>#DIV/0!</v>
      </c>
      <c r="P13" s="74" t="e">
        <f>data2!M8*$B$6/P$6</f>
        <v>#DIV/0!</v>
      </c>
      <c r="Q13" s="74" t="e">
        <f>data2!N8*$B$6/Q$6</f>
        <v>#DIV/0!</v>
      </c>
      <c r="R13" s="74" t="e">
        <f>data2!O8*$B$6/R$6</f>
        <v>#DIV/0!</v>
      </c>
      <c r="S13" s="74" t="e">
        <f>data2!P8*$B$6/S$6</f>
        <v>#DIV/0!</v>
      </c>
      <c r="T13" s="74" t="e">
        <f>data2!Q8*$B$6/T$6</f>
        <v>#DIV/0!</v>
      </c>
      <c r="U13" s="74" t="e">
        <f>data2!R8*$B$6/U$6</f>
        <v>#DIV/0!</v>
      </c>
      <c r="V13" s="74" t="e">
        <f>data2!S8*$B$6/V$6</f>
        <v>#DIV/0!</v>
      </c>
      <c r="W13" s="74" t="e">
        <f>data2!T8*$B$6/W$6</f>
        <v>#DIV/0!</v>
      </c>
      <c r="X13" s="74" t="e">
        <f>data2!U8*$B$6/X$6</f>
        <v>#DIV/0!</v>
      </c>
      <c r="Y13" s="74" t="e">
        <f>data2!V8*$B$6/Y$6</f>
        <v>#DIV/0!</v>
      </c>
      <c r="Z13" s="74" t="e">
        <f>data2!W8*$B$6/Z$6</f>
        <v>#DIV/0!</v>
      </c>
      <c r="AA13" s="74" t="e">
        <f>data2!X8*$B$6/AA$6</f>
        <v>#DIV/0!</v>
      </c>
      <c r="AB13" s="74" t="e">
        <f>data2!Y8*$B$6/AB$6</f>
        <v>#DIV/0!</v>
      </c>
      <c r="AC13" s="74" t="e">
        <f>data2!Z8*$B$6/AC$6</f>
        <v>#DIV/0!</v>
      </c>
      <c r="AD13" s="74" t="e">
        <f>data2!AA8*$B$6/AD$6</f>
        <v>#DIV/0!</v>
      </c>
      <c r="AE13" s="74" t="e">
        <f>data2!AB8*$B$6/AE$6</f>
        <v>#DIV/0!</v>
      </c>
      <c r="AF13" s="74" t="e">
        <f>data2!AC8*$B$6/AF$6</f>
        <v>#DIV/0!</v>
      </c>
      <c r="AG13" s="74" t="e">
        <f>data2!AD8*$B$6/AG$6</f>
        <v>#DIV/0!</v>
      </c>
      <c r="AH13" s="74" t="e">
        <f>data2!AE8*$B$6/AH$6</f>
        <v>#DIV/0!</v>
      </c>
      <c r="AI13" s="74" t="e">
        <f>data2!AF8*$B$6/AI$6</f>
        <v>#DIV/0!</v>
      </c>
      <c r="AJ13" s="74" t="e">
        <f>data2!AG8*$B$6/AJ$6</f>
        <v>#DIV/0!</v>
      </c>
    </row>
    <row r="14" spans="1:36">
      <c r="A14" s="29">
        <f>data0!A9</f>
        <v>-69</v>
      </c>
      <c r="B14" s="74" t="e">
        <f>AVERAGE(data2!B9:AG9)</f>
        <v>#DIV/0!</v>
      </c>
      <c r="C14" s="74" t="e">
        <f t="shared" si="0"/>
        <v>#DIV/0!</v>
      </c>
      <c r="D14" s="74" t="e">
        <f t="shared" si="1"/>
        <v>#DIV/0!</v>
      </c>
      <c r="E14" s="74" t="e">
        <f>data2!B9*$B$6/E$6</f>
        <v>#DIV/0!</v>
      </c>
      <c r="F14" s="74" t="e">
        <f>data2!C9*$B$6/F$6</f>
        <v>#DIV/0!</v>
      </c>
      <c r="G14" s="74" t="e">
        <f>data2!D9*$B$6/G$6</f>
        <v>#DIV/0!</v>
      </c>
      <c r="H14" s="74" t="e">
        <f>data2!E9*$B$6/H$6</f>
        <v>#DIV/0!</v>
      </c>
      <c r="I14" s="74" t="e">
        <f>data2!F9*$B$6/I$6</f>
        <v>#DIV/0!</v>
      </c>
      <c r="J14" s="74" t="e">
        <f>data2!G9*$B$6/J$6</f>
        <v>#DIV/0!</v>
      </c>
      <c r="K14" s="74" t="e">
        <f>data2!H9*$B$6/K$6</f>
        <v>#DIV/0!</v>
      </c>
      <c r="L14" s="74" t="e">
        <f>data2!I9*$B$6/L$6</f>
        <v>#DIV/0!</v>
      </c>
      <c r="M14" s="74" t="e">
        <f>data2!J9*$B$6/M$6</f>
        <v>#DIV/0!</v>
      </c>
      <c r="N14" s="74" t="e">
        <f>data2!K9*$B$6/N$6</f>
        <v>#DIV/0!</v>
      </c>
      <c r="O14" s="74" t="e">
        <f>data2!L9*$B$6/O$6</f>
        <v>#DIV/0!</v>
      </c>
      <c r="P14" s="74" t="e">
        <f>data2!M9*$B$6/P$6</f>
        <v>#DIV/0!</v>
      </c>
      <c r="Q14" s="74" t="e">
        <f>data2!N9*$B$6/Q$6</f>
        <v>#DIV/0!</v>
      </c>
      <c r="R14" s="74" t="e">
        <f>data2!O9*$B$6/R$6</f>
        <v>#DIV/0!</v>
      </c>
      <c r="S14" s="74" t="e">
        <f>data2!P9*$B$6/S$6</f>
        <v>#DIV/0!</v>
      </c>
      <c r="T14" s="74" t="e">
        <f>data2!Q9*$B$6/T$6</f>
        <v>#DIV/0!</v>
      </c>
      <c r="U14" s="74" t="e">
        <f>data2!R9*$B$6/U$6</f>
        <v>#DIV/0!</v>
      </c>
      <c r="V14" s="74" t="e">
        <f>data2!S9*$B$6/V$6</f>
        <v>#DIV/0!</v>
      </c>
      <c r="W14" s="74" t="e">
        <f>data2!T9*$B$6/W$6</f>
        <v>#DIV/0!</v>
      </c>
      <c r="X14" s="74" t="e">
        <f>data2!U9*$B$6/X$6</f>
        <v>#DIV/0!</v>
      </c>
      <c r="Y14" s="74" t="e">
        <f>data2!V9*$B$6/Y$6</f>
        <v>#DIV/0!</v>
      </c>
      <c r="Z14" s="74" t="e">
        <f>data2!W9*$B$6/Z$6</f>
        <v>#DIV/0!</v>
      </c>
      <c r="AA14" s="74" t="e">
        <f>data2!X9*$B$6/AA$6</f>
        <v>#DIV/0!</v>
      </c>
      <c r="AB14" s="74" t="e">
        <f>data2!Y9*$B$6/AB$6</f>
        <v>#DIV/0!</v>
      </c>
      <c r="AC14" s="74" t="e">
        <f>data2!Z9*$B$6/AC$6</f>
        <v>#DIV/0!</v>
      </c>
      <c r="AD14" s="74" t="e">
        <f>data2!AA9*$B$6/AD$6</f>
        <v>#DIV/0!</v>
      </c>
      <c r="AE14" s="74" t="e">
        <f>data2!AB9*$B$6/AE$6</f>
        <v>#DIV/0!</v>
      </c>
      <c r="AF14" s="74" t="e">
        <f>data2!AC9*$B$6/AF$6</f>
        <v>#DIV/0!</v>
      </c>
      <c r="AG14" s="74" t="e">
        <f>data2!AD9*$B$6/AG$6</f>
        <v>#DIV/0!</v>
      </c>
      <c r="AH14" s="74" t="e">
        <f>data2!AE9*$B$6/AH$6</f>
        <v>#DIV/0!</v>
      </c>
      <c r="AI14" s="74" t="e">
        <f>data2!AF9*$B$6/AI$6</f>
        <v>#DIV/0!</v>
      </c>
      <c r="AJ14" s="74" t="e">
        <f>data2!AG9*$B$6/AJ$6</f>
        <v>#DIV/0!</v>
      </c>
    </row>
    <row r="15" spans="1:36">
      <c r="A15" s="29">
        <f>data0!A10</f>
        <v>-66</v>
      </c>
      <c r="B15" s="74" t="e">
        <f>AVERAGE(data2!B10:AG10)</f>
        <v>#DIV/0!</v>
      </c>
      <c r="C15" s="74" t="e">
        <f t="shared" si="0"/>
        <v>#DIV/0!</v>
      </c>
      <c r="D15" s="74" t="e">
        <f t="shared" si="1"/>
        <v>#DIV/0!</v>
      </c>
      <c r="E15" s="74" t="e">
        <f>data2!B10*$B$6/E$6</f>
        <v>#DIV/0!</v>
      </c>
      <c r="F15" s="74" t="e">
        <f>data2!C10*$B$6/F$6</f>
        <v>#DIV/0!</v>
      </c>
      <c r="G15" s="74" t="e">
        <f>data2!D10*$B$6/G$6</f>
        <v>#DIV/0!</v>
      </c>
      <c r="H15" s="74" t="e">
        <f>data2!E10*$B$6/H$6</f>
        <v>#DIV/0!</v>
      </c>
      <c r="I15" s="74" t="e">
        <f>data2!F10*$B$6/I$6</f>
        <v>#DIV/0!</v>
      </c>
      <c r="J15" s="74" t="e">
        <f>data2!G10*$B$6/J$6</f>
        <v>#DIV/0!</v>
      </c>
      <c r="K15" s="74" t="e">
        <f>data2!H10*$B$6/K$6</f>
        <v>#DIV/0!</v>
      </c>
      <c r="L15" s="74" t="e">
        <f>data2!I10*$B$6/L$6</f>
        <v>#DIV/0!</v>
      </c>
      <c r="M15" s="74" t="e">
        <f>data2!J10*$B$6/M$6</f>
        <v>#DIV/0!</v>
      </c>
      <c r="N15" s="74" t="e">
        <f>data2!K10*$B$6/N$6</f>
        <v>#DIV/0!</v>
      </c>
      <c r="O15" s="74" t="e">
        <f>data2!L10*$B$6/O$6</f>
        <v>#DIV/0!</v>
      </c>
      <c r="P15" s="74" t="e">
        <f>data2!M10*$B$6/P$6</f>
        <v>#DIV/0!</v>
      </c>
      <c r="Q15" s="74" t="e">
        <f>data2!N10*$B$6/Q$6</f>
        <v>#DIV/0!</v>
      </c>
      <c r="R15" s="74" t="e">
        <f>data2!O10*$B$6/R$6</f>
        <v>#DIV/0!</v>
      </c>
      <c r="S15" s="74" t="e">
        <f>data2!P10*$B$6/S$6</f>
        <v>#DIV/0!</v>
      </c>
      <c r="T15" s="74" t="e">
        <f>data2!Q10*$B$6/T$6</f>
        <v>#DIV/0!</v>
      </c>
      <c r="U15" s="74" t="e">
        <f>data2!R10*$B$6/U$6</f>
        <v>#DIV/0!</v>
      </c>
      <c r="V15" s="74" t="e">
        <f>data2!S10*$B$6/V$6</f>
        <v>#DIV/0!</v>
      </c>
      <c r="W15" s="74" t="e">
        <f>data2!T10*$B$6/W$6</f>
        <v>#DIV/0!</v>
      </c>
      <c r="X15" s="74" t="e">
        <f>data2!U10*$B$6/X$6</f>
        <v>#DIV/0!</v>
      </c>
      <c r="Y15" s="74" t="e">
        <f>data2!V10*$B$6/Y$6</f>
        <v>#DIV/0!</v>
      </c>
      <c r="Z15" s="74" t="e">
        <f>data2!W10*$B$6/Z$6</f>
        <v>#DIV/0!</v>
      </c>
      <c r="AA15" s="74" t="e">
        <f>data2!X10*$B$6/AA$6</f>
        <v>#DIV/0!</v>
      </c>
      <c r="AB15" s="74" t="e">
        <f>data2!Y10*$B$6/AB$6</f>
        <v>#DIV/0!</v>
      </c>
      <c r="AC15" s="74" t="e">
        <f>data2!Z10*$B$6/AC$6</f>
        <v>#DIV/0!</v>
      </c>
      <c r="AD15" s="74" t="e">
        <f>data2!AA10*$B$6/AD$6</f>
        <v>#DIV/0!</v>
      </c>
      <c r="AE15" s="74" t="e">
        <f>data2!AB10*$B$6/AE$6</f>
        <v>#DIV/0!</v>
      </c>
      <c r="AF15" s="74" t="e">
        <f>data2!AC10*$B$6/AF$6</f>
        <v>#DIV/0!</v>
      </c>
      <c r="AG15" s="74" t="e">
        <f>data2!AD10*$B$6/AG$6</f>
        <v>#DIV/0!</v>
      </c>
      <c r="AH15" s="74" t="e">
        <f>data2!AE10*$B$6/AH$6</f>
        <v>#DIV/0!</v>
      </c>
      <c r="AI15" s="74" t="e">
        <f>data2!AF10*$B$6/AI$6</f>
        <v>#DIV/0!</v>
      </c>
      <c r="AJ15" s="74" t="e">
        <f>data2!AG10*$B$6/AJ$6</f>
        <v>#DIV/0!</v>
      </c>
    </row>
    <row r="16" spans="1:36">
      <c r="A16" s="29">
        <f>data0!A11</f>
        <v>-63</v>
      </c>
      <c r="B16" s="74" t="e">
        <f>AVERAGE(data2!B11:AG11)</f>
        <v>#DIV/0!</v>
      </c>
      <c r="C16" s="74" t="e">
        <f t="shared" si="0"/>
        <v>#DIV/0!</v>
      </c>
      <c r="D16" s="74" t="e">
        <f t="shared" si="1"/>
        <v>#DIV/0!</v>
      </c>
      <c r="E16" s="74" t="e">
        <f>data2!B11*$B$6/E$6</f>
        <v>#DIV/0!</v>
      </c>
      <c r="F16" s="74" t="e">
        <f>data2!C11*$B$6/F$6</f>
        <v>#DIV/0!</v>
      </c>
      <c r="G16" s="74" t="e">
        <f>data2!D11*$B$6/G$6</f>
        <v>#DIV/0!</v>
      </c>
      <c r="H16" s="74" t="e">
        <f>data2!E11*$B$6/H$6</f>
        <v>#DIV/0!</v>
      </c>
      <c r="I16" s="74" t="e">
        <f>data2!F11*$B$6/I$6</f>
        <v>#DIV/0!</v>
      </c>
      <c r="J16" s="74" t="e">
        <f>data2!G11*$B$6/J$6</f>
        <v>#DIV/0!</v>
      </c>
      <c r="K16" s="74" t="e">
        <f>data2!H11*$B$6/K$6</f>
        <v>#DIV/0!</v>
      </c>
      <c r="L16" s="74" t="e">
        <f>data2!I11*$B$6/L$6</f>
        <v>#DIV/0!</v>
      </c>
      <c r="M16" s="74" t="e">
        <f>data2!J11*$B$6/M$6</f>
        <v>#DIV/0!</v>
      </c>
      <c r="N16" s="74" t="e">
        <f>data2!K11*$B$6/N$6</f>
        <v>#DIV/0!</v>
      </c>
      <c r="O16" s="74" t="e">
        <f>data2!L11*$B$6/O$6</f>
        <v>#DIV/0!</v>
      </c>
      <c r="P16" s="74" t="e">
        <f>data2!M11*$B$6/P$6</f>
        <v>#DIV/0!</v>
      </c>
      <c r="Q16" s="74" t="e">
        <f>data2!N11*$B$6/Q$6</f>
        <v>#DIV/0!</v>
      </c>
      <c r="R16" s="74" t="e">
        <f>data2!O11*$B$6/R$6</f>
        <v>#DIV/0!</v>
      </c>
      <c r="S16" s="74" t="e">
        <f>data2!P11*$B$6/S$6</f>
        <v>#DIV/0!</v>
      </c>
      <c r="T16" s="74" t="e">
        <f>data2!Q11*$B$6/T$6</f>
        <v>#DIV/0!</v>
      </c>
      <c r="U16" s="74" t="e">
        <f>data2!R11*$B$6/U$6</f>
        <v>#DIV/0!</v>
      </c>
      <c r="V16" s="74" t="e">
        <f>data2!S11*$B$6/V$6</f>
        <v>#DIV/0!</v>
      </c>
      <c r="W16" s="74" t="e">
        <f>data2!T11*$B$6/W$6</f>
        <v>#DIV/0!</v>
      </c>
      <c r="X16" s="74" t="e">
        <f>data2!U11*$B$6/X$6</f>
        <v>#DIV/0!</v>
      </c>
      <c r="Y16" s="74" t="e">
        <f>data2!V11*$B$6/Y$6</f>
        <v>#DIV/0!</v>
      </c>
      <c r="Z16" s="74" t="e">
        <f>data2!W11*$B$6/Z$6</f>
        <v>#DIV/0!</v>
      </c>
      <c r="AA16" s="74" t="e">
        <f>data2!X11*$B$6/AA$6</f>
        <v>#DIV/0!</v>
      </c>
      <c r="AB16" s="74" t="e">
        <f>data2!Y11*$B$6/AB$6</f>
        <v>#DIV/0!</v>
      </c>
      <c r="AC16" s="74" t="e">
        <f>data2!Z11*$B$6/AC$6</f>
        <v>#DIV/0!</v>
      </c>
      <c r="AD16" s="74" t="e">
        <f>data2!AA11*$B$6/AD$6</f>
        <v>#DIV/0!</v>
      </c>
      <c r="AE16" s="74" t="e">
        <f>data2!AB11*$B$6/AE$6</f>
        <v>#DIV/0!</v>
      </c>
      <c r="AF16" s="74" t="e">
        <f>data2!AC11*$B$6/AF$6</f>
        <v>#DIV/0!</v>
      </c>
      <c r="AG16" s="74" t="e">
        <f>data2!AD11*$B$6/AG$6</f>
        <v>#DIV/0!</v>
      </c>
      <c r="AH16" s="74" t="e">
        <f>data2!AE11*$B$6/AH$6</f>
        <v>#DIV/0!</v>
      </c>
      <c r="AI16" s="74" t="e">
        <f>data2!AF11*$B$6/AI$6</f>
        <v>#DIV/0!</v>
      </c>
      <c r="AJ16" s="74" t="e">
        <f>data2!AG11*$B$6/AJ$6</f>
        <v>#DIV/0!</v>
      </c>
    </row>
    <row r="17" spans="1:36">
      <c r="A17" s="29">
        <f>data0!A12</f>
        <v>-60</v>
      </c>
      <c r="B17" s="74" t="e">
        <f>AVERAGE(data2!B12:AG12)</f>
        <v>#DIV/0!</v>
      </c>
      <c r="C17" s="74" t="e">
        <f t="shared" si="0"/>
        <v>#DIV/0!</v>
      </c>
      <c r="D17" s="74" t="e">
        <f t="shared" si="1"/>
        <v>#DIV/0!</v>
      </c>
      <c r="E17" s="74" t="e">
        <f>data2!B12*$B$6/E$6</f>
        <v>#DIV/0!</v>
      </c>
      <c r="F17" s="74" t="e">
        <f>data2!C12*$B$6/F$6</f>
        <v>#DIV/0!</v>
      </c>
      <c r="G17" s="74" t="e">
        <f>data2!D12*$B$6/G$6</f>
        <v>#DIV/0!</v>
      </c>
      <c r="H17" s="74" t="e">
        <f>data2!E12*$B$6/H$6</f>
        <v>#DIV/0!</v>
      </c>
      <c r="I17" s="74" t="e">
        <f>data2!F12*$B$6/I$6</f>
        <v>#DIV/0!</v>
      </c>
      <c r="J17" s="74" t="e">
        <f>data2!G12*$B$6/J$6</f>
        <v>#DIV/0!</v>
      </c>
      <c r="K17" s="74" t="e">
        <f>data2!H12*$B$6/K$6</f>
        <v>#DIV/0!</v>
      </c>
      <c r="L17" s="74" t="e">
        <f>data2!I12*$B$6/L$6</f>
        <v>#DIV/0!</v>
      </c>
      <c r="M17" s="74" t="e">
        <f>data2!J12*$B$6/M$6</f>
        <v>#DIV/0!</v>
      </c>
      <c r="N17" s="74" t="e">
        <f>data2!K12*$B$6/N$6</f>
        <v>#DIV/0!</v>
      </c>
      <c r="O17" s="74" t="e">
        <f>data2!L12*$B$6/O$6</f>
        <v>#DIV/0!</v>
      </c>
      <c r="P17" s="74" t="e">
        <f>data2!M12*$B$6/P$6</f>
        <v>#DIV/0!</v>
      </c>
      <c r="Q17" s="74" t="e">
        <f>data2!N12*$B$6/Q$6</f>
        <v>#DIV/0!</v>
      </c>
      <c r="R17" s="74" t="e">
        <f>data2!O12*$B$6/R$6</f>
        <v>#DIV/0!</v>
      </c>
      <c r="S17" s="74" t="e">
        <f>data2!P12*$B$6/S$6</f>
        <v>#DIV/0!</v>
      </c>
      <c r="T17" s="74" t="e">
        <f>data2!Q12*$B$6/T$6</f>
        <v>#DIV/0!</v>
      </c>
      <c r="U17" s="74" t="e">
        <f>data2!R12*$B$6/U$6</f>
        <v>#DIV/0!</v>
      </c>
      <c r="V17" s="74" t="e">
        <f>data2!S12*$B$6/V$6</f>
        <v>#DIV/0!</v>
      </c>
      <c r="W17" s="74" t="e">
        <f>data2!T12*$B$6/W$6</f>
        <v>#DIV/0!</v>
      </c>
      <c r="X17" s="74" t="e">
        <f>data2!U12*$B$6/X$6</f>
        <v>#DIV/0!</v>
      </c>
      <c r="Y17" s="74" t="e">
        <f>data2!V12*$B$6/Y$6</f>
        <v>#DIV/0!</v>
      </c>
      <c r="Z17" s="74" t="e">
        <f>data2!W12*$B$6/Z$6</f>
        <v>#DIV/0!</v>
      </c>
      <c r="AA17" s="74" t="e">
        <f>data2!X12*$B$6/AA$6</f>
        <v>#DIV/0!</v>
      </c>
      <c r="AB17" s="74" t="e">
        <f>data2!Y12*$B$6/AB$6</f>
        <v>#DIV/0!</v>
      </c>
      <c r="AC17" s="74" t="e">
        <f>data2!Z12*$B$6/AC$6</f>
        <v>#DIV/0!</v>
      </c>
      <c r="AD17" s="74" t="e">
        <f>data2!AA12*$B$6/AD$6</f>
        <v>#DIV/0!</v>
      </c>
      <c r="AE17" s="74" t="e">
        <f>data2!AB12*$B$6/AE$6</f>
        <v>#DIV/0!</v>
      </c>
      <c r="AF17" s="74" t="e">
        <f>data2!AC12*$B$6/AF$6</f>
        <v>#DIV/0!</v>
      </c>
      <c r="AG17" s="74" t="e">
        <f>data2!AD12*$B$6/AG$6</f>
        <v>#DIV/0!</v>
      </c>
      <c r="AH17" s="74" t="e">
        <f>data2!AE12*$B$6/AH$6</f>
        <v>#DIV/0!</v>
      </c>
      <c r="AI17" s="74" t="e">
        <f>data2!AF12*$B$6/AI$6</f>
        <v>#DIV/0!</v>
      </c>
      <c r="AJ17" s="74" t="e">
        <f>data2!AG12*$B$6/AJ$6</f>
        <v>#DIV/0!</v>
      </c>
    </row>
    <row r="18" spans="1:36">
      <c r="A18" s="29">
        <f>data0!A13</f>
        <v>-57</v>
      </c>
      <c r="B18" s="74" t="e">
        <f>AVERAGE(data2!B13:AG13)</f>
        <v>#DIV/0!</v>
      </c>
      <c r="C18" s="74" t="e">
        <f t="shared" si="0"/>
        <v>#DIV/0!</v>
      </c>
      <c r="D18" s="74" t="e">
        <f t="shared" si="1"/>
        <v>#DIV/0!</v>
      </c>
      <c r="E18" s="74" t="e">
        <f>data2!B13*$B$6/E$6</f>
        <v>#DIV/0!</v>
      </c>
      <c r="F18" s="74" t="e">
        <f>data2!C13*$B$6/F$6</f>
        <v>#DIV/0!</v>
      </c>
      <c r="G18" s="74" t="e">
        <f>data2!D13*$B$6/G$6</f>
        <v>#DIV/0!</v>
      </c>
      <c r="H18" s="74" t="e">
        <f>data2!E13*$B$6/H$6</f>
        <v>#DIV/0!</v>
      </c>
      <c r="I18" s="74" t="e">
        <f>data2!F13*$B$6/I$6</f>
        <v>#DIV/0!</v>
      </c>
      <c r="J18" s="74" t="e">
        <f>data2!G13*$B$6/J$6</f>
        <v>#DIV/0!</v>
      </c>
      <c r="K18" s="74" t="e">
        <f>data2!H13*$B$6/K$6</f>
        <v>#DIV/0!</v>
      </c>
      <c r="L18" s="74" t="e">
        <f>data2!I13*$B$6/L$6</f>
        <v>#DIV/0!</v>
      </c>
      <c r="M18" s="74" t="e">
        <f>data2!J13*$B$6/M$6</f>
        <v>#DIV/0!</v>
      </c>
      <c r="N18" s="74" t="e">
        <f>data2!K13*$B$6/N$6</f>
        <v>#DIV/0!</v>
      </c>
      <c r="O18" s="74" t="e">
        <f>data2!L13*$B$6/O$6</f>
        <v>#DIV/0!</v>
      </c>
      <c r="P18" s="74" t="e">
        <f>data2!M13*$B$6/P$6</f>
        <v>#DIV/0!</v>
      </c>
      <c r="Q18" s="74" t="e">
        <f>data2!N13*$B$6/Q$6</f>
        <v>#DIV/0!</v>
      </c>
      <c r="R18" s="74" t="e">
        <f>data2!O13*$B$6/R$6</f>
        <v>#DIV/0!</v>
      </c>
      <c r="S18" s="74" t="e">
        <f>data2!P13*$B$6/S$6</f>
        <v>#DIV/0!</v>
      </c>
      <c r="T18" s="74" t="e">
        <f>data2!Q13*$B$6/T$6</f>
        <v>#DIV/0!</v>
      </c>
      <c r="U18" s="74" t="e">
        <f>data2!R13*$B$6/U$6</f>
        <v>#DIV/0!</v>
      </c>
      <c r="V18" s="74" t="e">
        <f>data2!S13*$B$6/V$6</f>
        <v>#DIV/0!</v>
      </c>
      <c r="W18" s="74" t="e">
        <f>data2!T13*$B$6/W$6</f>
        <v>#DIV/0!</v>
      </c>
      <c r="X18" s="74" t="e">
        <f>data2!U13*$B$6/X$6</f>
        <v>#DIV/0!</v>
      </c>
      <c r="Y18" s="74" t="e">
        <f>data2!V13*$B$6/Y$6</f>
        <v>#DIV/0!</v>
      </c>
      <c r="Z18" s="74" t="e">
        <f>data2!W13*$B$6/Z$6</f>
        <v>#DIV/0!</v>
      </c>
      <c r="AA18" s="74" t="e">
        <f>data2!X13*$B$6/AA$6</f>
        <v>#DIV/0!</v>
      </c>
      <c r="AB18" s="74" t="e">
        <f>data2!Y13*$B$6/AB$6</f>
        <v>#DIV/0!</v>
      </c>
      <c r="AC18" s="74" t="e">
        <f>data2!Z13*$B$6/AC$6</f>
        <v>#DIV/0!</v>
      </c>
      <c r="AD18" s="74" t="e">
        <f>data2!AA13*$B$6/AD$6</f>
        <v>#DIV/0!</v>
      </c>
      <c r="AE18" s="74" t="e">
        <f>data2!AB13*$B$6/AE$6</f>
        <v>#DIV/0!</v>
      </c>
      <c r="AF18" s="74" t="e">
        <f>data2!AC13*$B$6/AF$6</f>
        <v>#DIV/0!</v>
      </c>
      <c r="AG18" s="74" t="e">
        <f>data2!AD13*$B$6/AG$6</f>
        <v>#DIV/0!</v>
      </c>
      <c r="AH18" s="74" t="e">
        <f>data2!AE13*$B$6/AH$6</f>
        <v>#DIV/0!</v>
      </c>
      <c r="AI18" s="74" t="e">
        <f>data2!AF13*$B$6/AI$6</f>
        <v>#DIV/0!</v>
      </c>
      <c r="AJ18" s="74" t="e">
        <f>data2!AG13*$B$6/AJ$6</f>
        <v>#DIV/0!</v>
      </c>
    </row>
    <row r="19" spans="1:36">
      <c r="A19" s="29">
        <f>data0!A14</f>
        <v>-54</v>
      </c>
      <c r="B19" s="74" t="e">
        <f>AVERAGE(data2!B14:AG14)</f>
        <v>#DIV/0!</v>
      </c>
      <c r="C19" s="74" t="e">
        <f t="shared" si="0"/>
        <v>#DIV/0!</v>
      </c>
      <c r="D19" s="74" t="e">
        <f t="shared" si="1"/>
        <v>#DIV/0!</v>
      </c>
      <c r="E19" s="74" t="e">
        <f>data2!B14*$B$6/E$6</f>
        <v>#DIV/0!</v>
      </c>
      <c r="F19" s="74" t="e">
        <f>data2!C14*$B$6/F$6</f>
        <v>#DIV/0!</v>
      </c>
      <c r="G19" s="74" t="e">
        <f>data2!D14*$B$6/G$6</f>
        <v>#DIV/0!</v>
      </c>
      <c r="H19" s="74" t="e">
        <f>data2!E14*$B$6/H$6</f>
        <v>#DIV/0!</v>
      </c>
      <c r="I19" s="74" t="e">
        <f>data2!F14*$B$6/I$6</f>
        <v>#DIV/0!</v>
      </c>
      <c r="J19" s="74" t="e">
        <f>data2!G14*$B$6/J$6</f>
        <v>#DIV/0!</v>
      </c>
      <c r="K19" s="74" t="e">
        <f>data2!H14*$B$6/K$6</f>
        <v>#DIV/0!</v>
      </c>
      <c r="L19" s="74" t="e">
        <f>data2!I14*$B$6/L$6</f>
        <v>#DIV/0!</v>
      </c>
      <c r="M19" s="74" t="e">
        <f>data2!J14*$B$6/M$6</f>
        <v>#DIV/0!</v>
      </c>
      <c r="N19" s="74" t="e">
        <f>data2!K14*$B$6/N$6</f>
        <v>#DIV/0!</v>
      </c>
      <c r="O19" s="74" t="e">
        <f>data2!L14*$B$6/O$6</f>
        <v>#DIV/0!</v>
      </c>
      <c r="P19" s="74" t="e">
        <f>data2!M14*$B$6/P$6</f>
        <v>#DIV/0!</v>
      </c>
      <c r="Q19" s="74" t="e">
        <f>data2!N14*$B$6/Q$6</f>
        <v>#DIV/0!</v>
      </c>
      <c r="R19" s="74" t="e">
        <f>data2!O14*$B$6/R$6</f>
        <v>#DIV/0!</v>
      </c>
      <c r="S19" s="74" t="e">
        <f>data2!P14*$B$6/S$6</f>
        <v>#DIV/0!</v>
      </c>
      <c r="T19" s="74" t="e">
        <f>data2!Q14*$B$6/T$6</f>
        <v>#DIV/0!</v>
      </c>
      <c r="U19" s="74" t="e">
        <f>data2!R14*$B$6/U$6</f>
        <v>#DIV/0!</v>
      </c>
      <c r="V19" s="74" t="e">
        <f>data2!S14*$B$6/V$6</f>
        <v>#DIV/0!</v>
      </c>
      <c r="W19" s="74" t="e">
        <f>data2!T14*$B$6/W$6</f>
        <v>#DIV/0!</v>
      </c>
      <c r="X19" s="74" t="e">
        <f>data2!U14*$B$6/X$6</f>
        <v>#DIV/0!</v>
      </c>
      <c r="Y19" s="74" t="e">
        <f>data2!V14*$B$6/Y$6</f>
        <v>#DIV/0!</v>
      </c>
      <c r="Z19" s="74" t="e">
        <f>data2!W14*$B$6/Z$6</f>
        <v>#DIV/0!</v>
      </c>
      <c r="AA19" s="74" t="e">
        <f>data2!X14*$B$6/AA$6</f>
        <v>#DIV/0!</v>
      </c>
      <c r="AB19" s="74" t="e">
        <f>data2!Y14*$B$6/AB$6</f>
        <v>#DIV/0!</v>
      </c>
      <c r="AC19" s="74" t="e">
        <f>data2!Z14*$B$6/AC$6</f>
        <v>#DIV/0!</v>
      </c>
      <c r="AD19" s="74" t="e">
        <f>data2!AA14*$B$6/AD$6</f>
        <v>#DIV/0!</v>
      </c>
      <c r="AE19" s="74" t="e">
        <f>data2!AB14*$B$6/AE$6</f>
        <v>#DIV/0!</v>
      </c>
      <c r="AF19" s="74" t="e">
        <f>data2!AC14*$B$6/AF$6</f>
        <v>#DIV/0!</v>
      </c>
      <c r="AG19" s="74" t="e">
        <f>data2!AD14*$B$6/AG$6</f>
        <v>#DIV/0!</v>
      </c>
      <c r="AH19" s="74" t="e">
        <f>data2!AE14*$B$6/AH$6</f>
        <v>#DIV/0!</v>
      </c>
      <c r="AI19" s="74" t="e">
        <f>data2!AF14*$B$6/AI$6</f>
        <v>#DIV/0!</v>
      </c>
      <c r="AJ19" s="74" t="e">
        <f>data2!AG14*$B$6/AJ$6</f>
        <v>#DIV/0!</v>
      </c>
    </row>
    <row r="20" spans="1:36">
      <c r="A20" s="29">
        <f>data0!A15</f>
        <v>-51</v>
      </c>
      <c r="B20" s="74" t="e">
        <f>AVERAGE(data2!B15:AG15)</f>
        <v>#DIV/0!</v>
      </c>
      <c r="C20" s="74" t="e">
        <f t="shared" si="0"/>
        <v>#DIV/0!</v>
      </c>
      <c r="D20" s="74" t="e">
        <f t="shared" si="1"/>
        <v>#DIV/0!</v>
      </c>
      <c r="E20" s="74" t="e">
        <f>data2!B15*$B$6/E$6</f>
        <v>#DIV/0!</v>
      </c>
      <c r="F20" s="74" t="e">
        <f>data2!C15*$B$6/F$6</f>
        <v>#DIV/0!</v>
      </c>
      <c r="G20" s="74" t="e">
        <f>data2!D15*$B$6/G$6</f>
        <v>#DIV/0!</v>
      </c>
      <c r="H20" s="74" t="e">
        <f>data2!E15*$B$6/H$6</f>
        <v>#DIV/0!</v>
      </c>
      <c r="I20" s="74" t="e">
        <f>data2!F15*$B$6/I$6</f>
        <v>#DIV/0!</v>
      </c>
      <c r="J20" s="74" t="e">
        <f>data2!G15*$B$6/J$6</f>
        <v>#DIV/0!</v>
      </c>
      <c r="K20" s="74" t="e">
        <f>data2!H15*$B$6/K$6</f>
        <v>#DIV/0!</v>
      </c>
      <c r="L20" s="74" t="e">
        <f>data2!I15*$B$6/L$6</f>
        <v>#DIV/0!</v>
      </c>
      <c r="M20" s="74" t="e">
        <f>data2!J15*$B$6/M$6</f>
        <v>#DIV/0!</v>
      </c>
      <c r="N20" s="74" t="e">
        <f>data2!K15*$B$6/N$6</f>
        <v>#DIV/0!</v>
      </c>
      <c r="O20" s="74" t="e">
        <f>data2!L15*$B$6/O$6</f>
        <v>#DIV/0!</v>
      </c>
      <c r="P20" s="74" t="e">
        <f>data2!M15*$B$6/P$6</f>
        <v>#DIV/0!</v>
      </c>
      <c r="Q20" s="74" t="e">
        <f>data2!N15*$B$6/Q$6</f>
        <v>#DIV/0!</v>
      </c>
      <c r="R20" s="74" t="e">
        <f>data2!O15*$B$6/R$6</f>
        <v>#DIV/0!</v>
      </c>
      <c r="S20" s="74" t="e">
        <f>data2!P15*$B$6/S$6</f>
        <v>#DIV/0!</v>
      </c>
      <c r="T20" s="74" t="e">
        <f>data2!Q15*$B$6/T$6</f>
        <v>#DIV/0!</v>
      </c>
      <c r="U20" s="74" t="e">
        <f>data2!R15*$B$6/U$6</f>
        <v>#DIV/0!</v>
      </c>
      <c r="V20" s="74" t="e">
        <f>data2!S15*$B$6/V$6</f>
        <v>#DIV/0!</v>
      </c>
      <c r="W20" s="74" t="e">
        <f>data2!T15*$B$6/W$6</f>
        <v>#DIV/0!</v>
      </c>
      <c r="X20" s="74" t="e">
        <f>data2!U15*$B$6/X$6</f>
        <v>#DIV/0!</v>
      </c>
      <c r="Y20" s="74" t="e">
        <f>data2!V15*$B$6/Y$6</f>
        <v>#DIV/0!</v>
      </c>
      <c r="Z20" s="74" t="e">
        <f>data2!W15*$B$6/Z$6</f>
        <v>#DIV/0!</v>
      </c>
      <c r="AA20" s="74" t="e">
        <f>data2!X15*$B$6/AA$6</f>
        <v>#DIV/0!</v>
      </c>
      <c r="AB20" s="74" t="e">
        <f>data2!Y15*$B$6/AB$6</f>
        <v>#DIV/0!</v>
      </c>
      <c r="AC20" s="74" t="e">
        <f>data2!Z15*$B$6/AC$6</f>
        <v>#DIV/0!</v>
      </c>
      <c r="AD20" s="74" t="e">
        <f>data2!AA15*$B$6/AD$6</f>
        <v>#DIV/0!</v>
      </c>
      <c r="AE20" s="74" t="e">
        <f>data2!AB15*$B$6/AE$6</f>
        <v>#DIV/0!</v>
      </c>
      <c r="AF20" s="74" t="e">
        <f>data2!AC15*$B$6/AF$6</f>
        <v>#DIV/0!</v>
      </c>
      <c r="AG20" s="74" t="e">
        <f>data2!AD15*$B$6/AG$6</f>
        <v>#DIV/0!</v>
      </c>
      <c r="AH20" s="74" t="e">
        <f>data2!AE15*$B$6/AH$6</f>
        <v>#DIV/0!</v>
      </c>
      <c r="AI20" s="74" t="e">
        <f>data2!AF15*$B$6/AI$6</f>
        <v>#DIV/0!</v>
      </c>
      <c r="AJ20" s="74" t="e">
        <f>data2!AG15*$B$6/AJ$6</f>
        <v>#DIV/0!</v>
      </c>
    </row>
    <row r="21" spans="1:36">
      <c r="A21" s="29">
        <f>data0!A16</f>
        <v>-48</v>
      </c>
      <c r="B21" s="74" t="e">
        <f>AVERAGE(data2!B16:AG16)</f>
        <v>#DIV/0!</v>
      </c>
      <c r="C21" s="74" t="e">
        <f t="shared" si="0"/>
        <v>#DIV/0!</v>
      </c>
      <c r="D21" s="74" t="e">
        <f t="shared" si="1"/>
        <v>#DIV/0!</v>
      </c>
      <c r="E21" s="74" t="e">
        <f>data2!B16*$B$6/E$6</f>
        <v>#DIV/0!</v>
      </c>
      <c r="F21" s="74" t="e">
        <f>data2!C16*$B$6/F$6</f>
        <v>#DIV/0!</v>
      </c>
      <c r="G21" s="74" t="e">
        <f>data2!D16*$B$6/G$6</f>
        <v>#DIV/0!</v>
      </c>
      <c r="H21" s="74" t="e">
        <f>data2!E16*$B$6/H$6</f>
        <v>#DIV/0!</v>
      </c>
      <c r="I21" s="74" t="e">
        <f>data2!F16*$B$6/I$6</f>
        <v>#DIV/0!</v>
      </c>
      <c r="J21" s="74" t="e">
        <f>data2!G16*$B$6/J$6</f>
        <v>#DIV/0!</v>
      </c>
      <c r="K21" s="74" t="e">
        <f>data2!H16*$B$6/K$6</f>
        <v>#DIV/0!</v>
      </c>
      <c r="L21" s="74" t="e">
        <f>data2!I16*$B$6/L$6</f>
        <v>#DIV/0!</v>
      </c>
      <c r="M21" s="74" t="e">
        <f>data2!J16*$B$6/M$6</f>
        <v>#DIV/0!</v>
      </c>
      <c r="N21" s="74" t="e">
        <f>data2!K16*$B$6/N$6</f>
        <v>#DIV/0!</v>
      </c>
      <c r="O21" s="74" t="e">
        <f>data2!L16*$B$6/O$6</f>
        <v>#DIV/0!</v>
      </c>
      <c r="P21" s="74" t="e">
        <f>data2!M16*$B$6/P$6</f>
        <v>#DIV/0!</v>
      </c>
      <c r="Q21" s="74" t="e">
        <f>data2!N16*$B$6/Q$6</f>
        <v>#DIV/0!</v>
      </c>
      <c r="R21" s="74" t="e">
        <f>data2!O16*$B$6/R$6</f>
        <v>#DIV/0!</v>
      </c>
      <c r="S21" s="74" t="e">
        <f>data2!P16*$B$6/S$6</f>
        <v>#DIV/0!</v>
      </c>
      <c r="T21" s="74" t="e">
        <f>data2!Q16*$B$6/T$6</f>
        <v>#DIV/0!</v>
      </c>
      <c r="U21" s="74" t="e">
        <f>data2!R16*$B$6/U$6</f>
        <v>#DIV/0!</v>
      </c>
      <c r="V21" s="74" t="e">
        <f>data2!S16*$B$6/V$6</f>
        <v>#DIV/0!</v>
      </c>
      <c r="W21" s="74" t="e">
        <f>data2!T16*$B$6/W$6</f>
        <v>#DIV/0!</v>
      </c>
      <c r="X21" s="74" t="e">
        <f>data2!U16*$B$6/X$6</f>
        <v>#DIV/0!</v>
      </c>
      <c r="Y21" s="74" t="e">
        <f>data2!V16*$B$6/Y$6</f>
        <v>#DIV/0!</v>
      </c>
      <c r="Z21" s="74" t="e">
        <f>data2!W16*$B$6/Z$6</f>
        <v>#DIV/0!</v>
      </c>
      <c r="AA21" s="74" t="e">
        <f>data2!X16*$B$6/AA$6</f>
        <v>#DIV/0!</v>
      </c>
      <c r="AB21" s="74" t="e">
        <f>data2!Y16*$B$6/AB$6</f>
        <v>#DIV/0!</v>
      </c>
      <c r="AC21" s="74" t="e">
        <f>data2!Z16*$B$6/AC$6</f>
        <v>#DIV/0!</v>
      </c>
      <c r="AD21" s="74" t="e">
        <f>data2!AA16*$B$6/AD$6</f>
        <v>#DIV/0!</v>
      </c>
      <c r="AE21" s="74" t="e">
        <f>data2!AB16*$B$6/AE$6</f>
        <v>#DIV/0!</v>
      </c>
      <c r="AF21" s="74" t="e">
        <f>data2!AC16*$B$6/AF$6</f>
        <v>#DIV/0!</v>
      </c>
      <c r="AG21" s="74" t="e">
        <f>data2!AD16*$B$6/AG$6</f>
        <v>#DIV/0!</v>
      </c>
      <c r="AH21" s="74" t="e">
        <f>data2!AE16*$B$6/AH$6</f>
        <v>#DIV/0!</v>
      </c>
      <c r="AI21" s="74" t="e">
        <f>data2!AF16*$B$6/AI$6</f>
        <v>#DIV/0!</v>
      </c>
      <c r="AJ21" s="74" t="e">
        <f>data2!AG16*$B$6/AJ$6</f>
        <v>#DIV/0!</v>
      </c>
    </row>
    <row r="22" spans="1:36">
      <c r="A22" s="29">
        <f>data0!A17</f>
        <v>-45</v>
      </c>
      <c r="B22" s="74" t="e">
        <f>AVERAGE(data2!B17:AG17)</f>
        <v>#DIV/0!</v>
      </c>
      <c r="C22" s="74" t="e">
        <f t="shared" si="0"/>
        <v>#DIV/0!</v>
      </c>
      <c r="D22" s="74" t="e">
        <f t="shared" si="1"/>
        <v>#DIV/0!</v>
      </c>
      <c r="E22" s="74" t="e">
        <f>data2!B17*$B$6/E$6</f>
        <v>#DIV/0!</v>
      </c>
      <c r="F22" s="74" t="e">
        <f>data2!C17*$B$6/F$6</f>
        <v>#DIV/0!</v>
      </c>
      <c r="G22" s="74" t="e">
        <f>data2!D17*$B$6/G$6</f>
        <v>#DIV/0!</v>
      </c>
      <c r="H22" s="74" t="e">
        <f>data2!E17*$B$6/H$6</f>
        <v>#DIV/0!</v>
      </c>
      <c r="I22" s="74" t="e">
        <f>data2!F17*$B$6/I$6</f>
        <v>#DIV/0!</v>
      </c>
      <c r="J22" s="74" t="e">
        <f>data2!G17*$B$6/J$6</f>
        <v>#DIV/0!</v>
      </c>
      <c r="K22" s="74" t="e">
        <f>data2!H17*$B$6/K$6</f>
        <v>#DIV/0!</v>
      </c>
      <c r="L22" s="74" t="e">
        <f>data2!I17*$B$6/L$6</f>
        <v>#DIV/0!</v>
      </c>
      <c r="M22" s="74" t="e">
        <f>data2!J17*$B$6/M$6</f>
        <v>#DIV/0!</v>
      </c>
      <c r="N22" s="74" t="e">
        <f>data2!K17*$B$6/N$6</f>
        <v>#DIV/0!</v>
      </c>
      <c r="O22" s="74" t="e">
        <f>data2!L17*$B$6/O$6</f>
        <v>#DIV/0!</v>
      </c>
      <c r="P22" s="74" t="e">
        <f>data2!M17*$B$6/P$6</f>
        <v>#DIV/0!</v>
      </c>
      <c r="Q22" s="74" t="e">
        <f>data2!N17*$B$6/Q$6</f>
        <v>#DIV/0!</v>
      </c>
      <c r="R22" s="74" t="e">
        <f>data2!O17*$B$6/R$6</f>
        <v>#DIV/0!</v>
      </c>
      <c r="S22" s="74" t="e">
        <f>data2!P17*$B$6/S$6</f>
        <v>#DIV/0!</v>
      </c>
      <c r="T22" s="74" t="e">
        <f>data2!Q17*$B$6/T$6</f>
        <v>#DIV/0!</v>
      </c>
      <c r="U22" s="74" t="e">
        <f>data2!R17*$B$6/U$6</f>
        <v>#DIV/0!</v>
      </c>
      <c r="V22" s="74" t="e">
        <f>data2!S17*$B$6/V$6</f>
        <v>#DIV/0!</v>
      </c>
      <c r="W22" s="74" t="e">
        <f>data2!T17*$B$6/W$6</f>
        <v>#DIV/0!</v>
      </c>
      <c r="X22" s="74" t="e">
        <f>data2!U17*$B$6/X$6</f>
        <v>#DIV/0!</v>
      </c>
      <c r="Y22" s="74" t="e">
        <f>data2!V17*$B$6/Y$6</f>
        <v>#DIV/0!</v>
      </c>
      <c r="Z22" s="74" t="e">
        <f>data2!W17*$B$6/Z$6</f>
        <v>#DIV/0!</v>
      </c>
      <c r="AA22" s="74" t="e">
        <f>data2!X17*$B$6/AA$6</f>
        <v>#DIV/0!</v>
      </c>
      <c r="AB22" s="74" t="e">
        <f>data2!Y17*$B$6/AB$6</f>
        <v>#DIV/0!</v>
      </c>
      <c r="AC22" s="74" t="e">
        <f>data2!Z17*$B$6/AC$6</f>
        <v>#DIV/0!</v>
      </c>
      <c r="AD22" s="74" t="e">
        <f>data2!AA17*$B$6/AD$6</f>
        <v>#DIV/0!</v>
      </c>
      <c r="AE22" s="74" t="e">
        <f>data2!AB17*$B$6/AE$6</f>
        <v>#DIV/0!</v>
      </c>
      <c r="AF22" s="74" t="e">
        <f>data2!AC17*$B$6/AF$6</f>
        <v>#DIV/0!</v>
      </c>
      <c r="AG22" s="74" t="e">
        <f>data2!AD17*$B$6/AG$6</f>
        <v>#DIV/0!</v>
      </c>
      <c r="AH22" s="74" t="e">
        <f>data2!AE17*$B$6/AH$6</f>
        <v>#DIV/0!</v>
      </c>
      <c r="AI22" s="74" t="e">
        <f>data2!AF17*$B$6/AI$6</f>
        <v>#DIV/0!</v>
      </c>
      <c r="AJ22" s="74" t="e">
        <f>data2!AG17*$B$6/AJ$6</f>
        <v>#DIV/0!</v>
      </c>
    </row>
    <row r="23" spans="1:36">
      <c r="A23" s="29">
        <f>data0!A18</f>
        <v>-42</v>
      </c>
      <c r="B23" s="74" t="e">
        <f>AVERAGE(data2!B18:AG18)</f>
        <v>#DIV/0!</v>
      </c>
      <c r="C23" s="74" t="e">
        <f t="shared" si="0"/>
        <v>#DIV/0!</v>
      </c>
      <c r="D23" s="74" t="e">
        <f t="shared" si="1"/>
        <v>#DIV/0!</v>
      </c>
      <c r="E23" s="74" t="e">
        <f>data2!B18*$B$6/E$6</f>
        <v>#DIV/0!</v>
      </c>
      <c r="F23" s="74" t="e">
        <f>data2!C18*$B$6/F$6</f>
        <v>#DIV/0!</v>
      </c>
      <c r="G23" s="74" t="e">
        <f>data2!D18*$B$6/G$6</f>
        <v>#DIV/0!</v>
      </c>
      <c r="H23" s="74" t="e">
        <f>data2!E18*$B$6/H$6</f>
        <v>#DIV/0!</v>
      </c>
      <c r="I23" s="74" t="e">
        <f>data2!F18*$B$6/I$6</f>
        <v>#DIV/0!</v>
      </c>
      <c r="J23" s="74" t="e">
        <f>data2!G18*$B$6/J$6</f>
        <v>#DIV/0!</v>
      </c>
      <c r="K23" s="74" t="e">
        <f>data2!H18*$B$6/K$6</f>
        <v>#DIV/0!</v>
      </c>
      <c r="L23" s="74" t="e">
        <f>data2!I18*$B$6/L$6</f>
        <v>#DIV/0!</v>
      </c>
      <c r="M23" s="74" t="e">
        <f>data2!J18*$B$6/M$6</f>
        <v>#DIV/0!</v>
      </c>
      <c r="N23" s="74" t="e">
        <f>data2!K18*$B$6/N$6</f>
        <v>#DIV/0!</v>
      </c>
      <c r="O23" s="74" t="e">
        <f>data2!L18*$B$6/O$6</f>
        <v>#DIV/0!</v>
      </c>
      <c r="P23" s="74" t="e">
        <f>data2!M18*$B$6/P$6</f>
        <v>#DIV/0!</v>
      </c>
      <c r="Q23" s="74" t="e">
        <f>data2!N18*$B$6/Q$6</f>
        <v>#DIV/0!</v>
      </c>
      <c r="R23" s="74" t="e">
        <f>data2!O18*$B$6/R$6</f>
        <v>#DIV/0!</v>
      </c>
      <c r="S23" s="74" t="e">
        <f>data2!P18*$B$6/S$6</f>
        <v>#DIV/0!</v>
      </c>
      <c r="T23" s="74" t="e">
        <f>data2!Q18*$B$6/T$6</f>
        <v>#DIV/0!</v>
      </c>
      <c r="U23" s="74" t="e">
        <f>data2!R18*$B$6/U$6</f>
        <v>#DIV/0!</v>
      </c>
      <c r="V23" s="74" t="e">
        <f>data2!S18*$B$6/V$6</f>
        <v>#DIV/0!</v>
      </c>
      <c r="W23" s="74" t="e">
        <f>data2!T18*$B$6/W$6</f>
        <v>#DIV/0!</v>
      </c>
      <c r="X23" s="74" t="e">
        <f>data2!U18*$B$6/X$6</f>
        <v>#DIV/0!</v>
      </c>
      <c r="Y23" s="74" t="e">
        <f>data2!V18*$B$6/Y$6</f>
        <v>#DIV/0!</v>
      </c>
      <c r="Z23" s="74" t="e">
        <f>data2!W18*$B$6/Z$6</f>
        <v>#DIV/0!</v>
      </c>
      <c r="AA23" s="74" t="e">
        <f>data2!X18*$B$6/AA$6</f>
        <v>#DIV/0!</v>
      </c>
      <c r="AB23" s="74" t="e">
        <f>data2!Y18*$B$6/AB$6</f>
        <v>#DIV/0!</v>
      </c>
      <c r="AC23" s="74" t="e">
        <f>data2!Z18*$B$6/AC$6</f>
        <v>#DIV/0!</v>
      </c>
      <c r="AD23" s="74" t="e">
        <f>data2!AA18*$B$6/AD$6</f>
        <v>#DIV/0!</v>
      </c>
      <c r="AE23" s="74" t="e">
        <f>data2!AB18*$B$6/AE$6</f>
        <v>#DIV/0!</v>
      </c>
      <c r="AF23" s="74" t="e">
        <f>data2!AC18*$B$6/AF$6</f>
        <v>#DIV/0!</v>
      </c>
      <c r="AG23" s="74" t="e">
        <f>data2!AD18*$B$6/AG$6</f>
        <v>#DIV/0!</v>
      </c>
      <c r="AH23" s="74" t="e">
        <f>data2!AE18*$B$6/AH$6</f>
        <v>#DIV/0!</v>
      </c>
      <c r="AI23" s="74" t="e">
        <f>data2!AF18*$B$6/AI$6</f>
        <v>#DIV/0!</v>
      </c>
      <c r="AJ23" s="74" t="e">
        <f>data2!AG18*$B$6/AJ$6</f>
        <v>#DIV/0!</v>
      </c>
    </row>
    <row r="24" spans="1:36">
      <c r="A24" s="29">
        <f>data0!A19</f>
        <v>-39</v>
      </c>
      <c r="B24" s="74" t="e">
        <f>AVERAGE(data2!B19:AG19)</f>
        <v>#DIV/0!</v>
      </c>
      <c r="C24" s="74" t="e">
        <f t="shared" si="0"/>
        <v>#DIV/0!</v>
      </c>
      <c r="D24" s="74" t="e">
        <f t="shared" si="1"/>
        <v>#DIV/0!</v>
      </c>
      <c r="E24" s="74" t="e">
        <f>data2!B19*$B$6/E$6</f>
        <v>#DIV/0!</v>
      </c>
      <c r="F24" s="74" t="e">
        <f>data2!C19*$B$6/F$6</f>
        <v>#DIV/0!</v>
      </c>
      <c r="G24" s="74" t="e">
        <f>data2!D19*$B$6/G$6</f>
        <v>#DIV/0!</v>
      </c>
      <c r="H24" s="74" t="e">
        <f>data2!E19*$B$6/H$6</f>
        <v>#DIV/0!</v>
      </c>
      <c r="I24" s="74" t="e">
        <f>data2!F19*$B$6/I$6</f>
        <v>#DIV/0!</v>
      </c>
      <c r="J24" s="74" t="e">
        <f>data2!G19*$B$6/J$6</f>
        <v>#DIV/0!</v>
      </c>
      <c r="K24" s="74" t="e">
        <f>data2!H19*$B$6/K$6</f>
        <v>#DIV/0!</v>
      </c>
      <c r="L24" s="74" t="e">
        <f>data2!I19*$B$6/L$6</f>
        <v>#DIV/0!</v>
      </c>
      <c r="M24" s="74" t="e">
        <f>data2!J19*$B$6/M$6</f>
        <v>#DIV/0!</v>
      </c>
      <c r="N24" s="74" t="e">
        <f>data2!K19*$B$6/N$6</f>
        <v>#DIV/0!</v>
      </c>
      <c r="O24" s="74" t="e">
        <f>data2!L19*$B$6/O$6</f>
        <v>#DIV/0!</v>
      </c>
      <c r="P24" s="74" t="e">
        <f>data2!M19*$B$6/P$6</f>
        <v>#DIV/0!</v>
      </c>
      <c r="Q24" s="74" t="e">
        <f>data2!N19*$B$6/Q$6</f>
        <v>#DIV/0!</v>
      </c>
      <c r="R24" s="74" t="e">
        <f>data2!O19*$B$6/R$6</f>
        <v>#DIV/0!</v>
      </c>
      <c r="S24" s="74" t="e">
        <f>data2!P19*$B$6/S$6</f>
        <v>#DIV/0!</v>
      </c>
      <c r="T24" s="74" t="e">
        <f>data2!Q19*$B$6/T$6</f>
        <v>#DIV/0!</v>
      </c>
      <c r="U24" s="74" t="e">
        <f>data2!R19*$B$6/U$6</f>
        <v>#DIV/0!</v>
      </c>
      <c r="V24" s="74" t="e">
        <f>data2!S19*$B$6/V$6</f>
        <v>#DIV/0!</v>
      </c>
      <c r="W24" s="74" t="e">
        <f>data2!T19*$B$6/W$6</f>
        <v>#DIV/0!</v>
      </c>
      <c r="X24" s="74" t="e">
        <f>data2!U19*$B$6/X$6</f>
        <v>#DIV/0!</v>
      </c>
      <c r="Y24" s="74" t="e">
        <f>data2!V19*$B$6/Y$6</f>
        <v>#DIV/0!</v>
      </c>
      <c r="Z24" s="74" t="e">
        <f>data2!W19*$B$6/Z$6</f>
        <v>#DIV/0!</v>
      </c>
      <c r="AA24" s="74" t="e">
        <f>data2!X19*$B$6/AA$6</f>
        <v>#DIV/0!</v>
      </c>
      <c r="AB24" s="74" t="e">
        <f>data2!Y19*$B$6/AB$6</f>
        <v>#DIV/0!</v>
      </c>
      <c r="AC24" s="74" t="e">
        <f>data2!Z19*$B$6/AC$6</f>
        <v>#DIV/0!</v>
      </c>
      <c r="AD24" s="74" t="e">
        <f>data2!AA19*$B$6/AD$6</f>
        <v>#DIV/0!</v>
      </c>
      <c r="AE24" s="74" t="e">
        <f>data2!AB19*$B$6/AE$6</f>
        <v>#DIV/0!</v>
      </c>
      <c r="AF24" s="74" t="e">
        <f>data2!AC19*$B$6/AF$6</f>
        <v>#DIV/0!</v>
      </c>
      <c r="AG24" s="74" t="e">
        <f>data2!AD19*$B$6/AG$6</f>
        <v>#DIV/0!</v>
      </c>
      <c r="AH24" s="74" t="e">
        <f>data2!AE19*$B$6/AH$6</f>
        <v>#DIV/0!</v>
      </c>
      <c r="AI24" s="74" t="e">
        <f>data2!AF19*$B$6/AI$6</f>
        <v>#DIV/0!</v>
      </c>
      <c r="AJ24" s="74" t="e">
        <f>data2!AG19*$B$6/AJ$6</f>
        <v>#DIV/0!</v>
      </c>
    </row>
    <row r="25" spans="1:36">
      <c r="A25" s="29">
        <f>data0!A20</f>
        <v>-36</v>
      </c>
      <c r="B25" s="74" t="e">
        <f>AVERAGE(data2!B20:AG20)</f>
        <v>#DIV/0!</v>
      </c>
      <c r="C25" s="74" t="e">
        <f t="shared" si="0"/>
        <v>#DIV/0!</v>
      </c>
      <c r="D25" s="74" t="e">
        <f t="shared" si="1"/>
        <v>#DIV/0!</v>
      </c>
      <c r="E25" s="74" t="e">
        <f>data2!B20*$B$6/E$6</f>
        <v>#DIV/0!</v>
      </c>
      <c r="F25" s="74" t="e">
        <f>data2!C20*$B$6/F$6</f>
        <v>#DIV/0!</v>
      </c>
      <c r="G25" s="74" t="e">
        <f>data2!D20*$B$6/G$6</f>
        <v>#DIV/0!</v>
      </c>
      <c r="H25" s="74" t="e">
        <f>data2!E20*$B$6/H$6</f>
        <v>#DIV/0!</v>
      </c>
      <c r="I25" s="74" t="e">
        <f>data2!F20*$B$6/I$6</f>
        <v>#DIV/0!</v>
      </c>
      <c r="J25" s="74" t="e">
        <f>data2!G20*$B$6/J$6</f>
        <v>#DIV/0!</v>
      </c>
      <c r="K25" s="74" t="e">
        <f>data2!H20*$B$6/K$6</f>
        <v>#DIV/0!</v>
      </c>
      <c r="L25" s="74" t="e">
        <f>data2!I20*$B$6/L$6</f>
        <v>#DIV/0!</v>
      </c>
      <c r="M25" s="74" t="e">
        <f>data2!J20*$B$6/M$6</f>
        <v>#DIV/0!</v>
      </c>
      <c r="N25" s="74" t="e">
        <f>data2!K20*$B$6/N$6</f>
        <v>#DIV/0!</v>
      </c>
      <c r="O25" s="74" t="e">
        <f>data2!L20*$B$6/O$6</f>
        <v>#DIV/0!</v>
      </c>
      <c r="P25" s="74" t="e">
        <f>data2!M20*$B$6/P$6</f>
        <v>#DIV/0!</v>
      </c>
      <c r="Q25" s="74" t="e">
        <f>data2!N20*$B$6/Q$6</f>
        <v>#DIV/0!</v>
      </c>
      <c r="R25" s="74" t="e">
        <f>data2!O20*$B$6/R$6</f>
        <v>#DIV/0!</v>
      </c>
      <c r="S25" s="74" t="e">
        <f>data2!P20*$B$6/S$6</f>
        <v>#DIV/0!</v>
      </c>
      <c r="T25" s="74" t="e">
        <f>data2!Q20*$B$6/T$6</f>
        <v>#DIV/0!</v>
      </c>
      <c r="U25" s="74" t="e">
        <f>data2!R20*$B$6/U$6</f>
        <v>#DIV/0!</v>
      </c>
      <c r="V25" s="74" t="e">
        <f>data2!S20*$B$6/V$6</f>
        <v>#DIV/0!</v>
      </c>
      <c r="W25" s="74" t="e">
        <f>data2!T20*$B$6/W$6</f>
        <v>#DIV/0!</v>
      </c>
      <c r="X25" s="74" t="e">
        <f>data2!U20*$B$6/X$6</f>
        <v>#DIV/0!</v>
      </c>
      <c r="Y25" s="74" t="e">
        <f>data2!V20*$B$6/Y$6</f>
        <v>#DIV/0!</v>
      </c>
      <c r="Z25" s="74" t="e">
        <f>data2!W20*$B$6/Z$6</f>
        <v>#DIV/0!</v>
      </c>
      <c r="AA25" s="74" t="e">
        <f>data2!X20*$B$6/AA$6</f>
        <v>#DIV/0!</v>
      </c>
      <c r="AB25" s="74" t="e">
        <f>data2!Y20*$B$6/AB$6</f>
        <v>#DIV/0!</v>
      </c>
      <c r="AC25" s="74" t="e">
        <f>data2!Z20*$B$6/AC$6</f>
        <v>#DIV/0!</v>
      </c>
      <c r="AD25" s="74" t="e">
        <f>data2!AA20*$B$6/AD$6</f>
        <v>#DIV/0!</v>
      </c>
      <c r="AE25" s="74" t="e">
        <f>data2!AB20*$B$6/AE$6</f>
        <v>#DIV/0!</v>
      </c>
      <c r="AF25" s="74" t="e">
        <f>data2!AC20*$B$6/AF$6</f>
        <v>#DIV/0!</v>
      </c>
      <c r="AG25" s="74" t="e">
        <f>data2!AD20*$B$6/AG$6</f>
        <v>#DIV/0!</v>
      </c>
      <c r="AH25" s="74" t="e">
        <f>data2!AE20*$B$6/AH$6</f>
        <v>#DIV/0!</v>
      </c>
      <c r="AI25" s="74" t="e">
        <f>data2!AF20*$B$6/AI$6</f>
        <v>#DIV/0!</v>
      </c>
      <c r="AJ25" s="74" t="e">
        <f>data2!AG20*$B$6/AJ$6</f>
        <v>#DIV/0!</v>
      </c>
    </row>
    <row r="26" spans="1:36">
      <c r="A26" s="29">
        <f>data0!A21</f>
        <v>-33</v>
      </c>
      <c r="B26" s="74" t="e">
        <f>AVERAGE(data2!B21:AG21)</f>
        <v>#DIV/0!</v>
      </c>
      <c r="C26" s="74" t="e">
        <f t="shared" si="0"/>
        <v>#DIV/0!</v>
      </c>
      <c r="D26" s="74" t="e">
        <f t="shared" si="1"/>
        <v>#DIV/0!</v>
      </c>
      <c r="E26" s="74" t="e">
        <f>data2!B21*$B$6/E$6</f>
        <v>#DIV/0!</v>
      </c>
      <c r="F26" s="74" t="e">
        <f>data2!C21*$B$6/F$6</f>
        <v>#DIV/0!</v>
      </c>
      <c r="G26" s="74" t="e">
        <f>data2!D21*$B$6/G$6</f>
        <v>#DIV/0!</v>
      </c>
      <c r="H26" s="74" t="e">
        <f>data2!E21*$B$6/H$6</f>
        <v>#DIV/0!</v>
      </c>
      <c r="I26" s="74" t="e">
        <f>data2!F21*$B$6/I$6</f>
        <v>#DIV/0!</v>
      </c>
      <c r="J26" s="74" t="e">
        <f>data2!G21*$B$6/J$6</f>
        <v>#DIV/0!</v>
      </c>
      <c r="K26" s="74" t="e">
        <f>data2!H21*$B$6/K$6</f>
        <v>#DIV/0!</v>
      </c>
      <c r="L26" s="74" t="e">
        <f>data2!I21*$B$6/L$6</f>
        <v>#DIV/0!</v>
      </c>
      <c r="M26" s="74" t="e">
        <f>data2!J21*$B$6/M$6</f>
        <v>#DIV/0!</v>
      </c>
      <c r="N26" s="74" t="e">
        <f>data2!K21*$B$6/N$6</f>
        <v>#DIV/0!</v>
      </c>
      <c r="O26" s="74" t="e">
        <f>data2!L21*$B$6/O$6</f>
        <v>#DIV/0!</v>
      </c>
      <c r="P26" s="74" t="e">
        <f>data2!M21*$B$6/P$6</f>
        <v>#DIV/0!</v>
      </c>
      <c r="Q26" s="74" t="e">
        <f>data2!N21*$B$6/Q$6</f>
        <v>#DIV/0!</v>
      </c>
      <c r="R26" s="74" t="e">
        <f>data2!O21*$B$6/R$6</f>
        <v>#DIV/0!</v>
      </c>
      <c r="S26" s="74" t="e">
        <f>data2!P21*$B$6/S$6</f>
        <v>#DIV/0!</v>
      </c>
      <c r="T26" s="74" t="e">
        <f>data2!Q21*$B$6/T$6</f>
        <v>#DIV/0!</v>
      </c>
      <c r="U26" s="74" t="e">
        <f>data2!R21*$B$6/U$6</f>
        <v>#DIV/0!</v>
      </c>
      <c r="V26" s="74" t="e">
        <f>data2!S21*$B$6/V$6</f>
        <v>#DIV/0!</v>
      </c>
      <c r="W26" s="74" t="e">
        <f>data2!T21*$B$6/W$6</f>
        <v>#DIV/0!</v>
      </c>
      <c r="X26" s="74" t="e">
        <f>data2!U21*$B$6/X$6</f>
        <v>#DIV/0!</v>
      </c>
      <c r="Y26" s="74" t="e">
        <f>data2!V21*$B$6/Y$6</f>
        <v>#DIV/0!</v>
      </c>
      <c r="Z26" s="74" t="e">
        <f>data2!W21*$B$6/Z$6</f>
        <v>#DIV/0!</v>
      </c>
      <c r="AA26" s="74" t="e">
        <f>data2!X21*$B$6/AA$6</f>
        <v>#DIV/0!</v>
      </c>
      <c r="AB26" s="74" t="e">
        <f>data2!Y21*$B$6/AB$6</f>
        <v>#DIV/0!</v>
      </c>
      <c r="AC26" s="74" t="e">
        <f>data2!Z21*$B$6/AC$6</f>
        <v>#DIV/0!</v>
      </c>
      <c r="AD26" s="74" t="e">
        <f>data2!AA21*$B$6/AD$6</f>
        <v>#DIV/0!</v>
      </c>
      <c r="AE26" s="74" t="e">
        <f>data2!AB21*$B$6/AE$6</f>
        <v>#DIV/0!</v>
      </c>
      <c r="AF26" s="74" t="e">
        <f>data2!AC21*$B$6/AF$6</f>
        <v>#DIV/0!</v>
      </c>
      <c r="AG26" s="74" t="e">
        <f>data2!AD21*$B$6/AG$6</f>
        <v>#DIV/0!</v>
      </c>
      <c r="AH26" s="74" t="e">
        <f>data2!AE21*$B$6/AH$6</f>
        <v>#DIV/0!</v>
      </c>
      <c r="AI26" s="74" t="e">
        <f>data2!AF21*$B$6/AI$6</f>
        <v>#DIV/0!</v>
      </c>
      <c r="AJ26" s="74" t="e">
        <f>data2!AG21*$B$6/AJ$6</f>
        <v>#DIV/0!</v>
      </c>
    </row>
    <row r="27" spans="1:36">
      <c r="A27" s="29">
        <f>data0!A22</f>
        <v>-30</v>
      </c>
      <c r="B27" s="74" t="e">
        <f>AVERAGE(data2!B22:AG22)</f>
        <v>#DIV/0!</v>
      </c>
      <c r="C27" s="74" t="e">
        <f t="shared" si="0"/>
        <v>#DIV/0!</v>
      </c>
      <c r="D27" s="74" t="e">
        <f t="shared" si="1"/>
        <v>#DIV/0!</v>
      </c>
      <c r="E27" s="74" t="e">
        <f>data2!B22*$B$6/E$6</f>
        <v>#DIV/0!</v>
      </c>
      <c r="F27" s="74" t="e">
        <f>data2!C22*$B$6/F$6</f>
        <v>#DIV/0!</v>
      </c>
      <c r="G27" s="74" t="e">
        <f>data2!D22*$B$6/G$6</f>
        <v>#DIV/0!</v>
      </c>
      <c r="H27" s="74" t="e">
        <f>data2!E22*$B$6/H$6</f>
        <v>#DIV/0!</v>
      </c>
      <c r="I27" s="74" t="e">
        <f>data2!F22*$B$6/I$6</f>
        <v>#DIV/0!</v>
      </c>
      <c r="J27" s="74" t="e">
        <f>data2!G22*$B$6/J$6</f>
        <v>#DIV/0!</v>
      </c>
      <c r="K27" s="74" t="e">
        <f>data2!H22*$B$6/K$6</f>
        <v>#DIV/0!</v>
      </c>
      <c r="L27" s="74" t="e">
        <f>data2!I22*$B$6/L$6</f>
        <v>#DIV/0!</v>
      </c>
      <c r="M27" s="74" t="e">
        <f>data2!J22*$B$6/M$6</f>
        <v>#DIV/0!</v>
      </c>
      <c r="N27" s="74" t="e">
        <f>data2!K22*$B$6/N$6</f>
        <v>#DIV/0!</v>
      </c>
      <c r="O27" s="74" t="e">
        <f>data2!L22*$B$6/O$6</f>
        <v>#DIV/0!</v>
      </c>
      <c r="P27" s="74" t="e">
        <f>data2!M22*$B$6/P$6</f>
        <v>#DIV/0!</v>
      </c>
      <c r="Q27" s="74" t="e">
        <f>data2!N22*$B$6/Q$6</f>
        <v>#DIV/0!</v>
      </c>
      <c r="R27" s="74" t="e">
        <f>data2!O22*$B$6/R$6</f>
        <v>#DIV/0!</v>
      </c>
      <c r="S27" s="74" t="e">
        <f>data2!P22*$B$6/S$6</f>
        <v>#DIV/0!</v>
      </c>
      <c r="T27" s="74" t="e">
        <f>data2!Q22*$B$6/T$6</f>
        <v>#DIV/0!</v>
      </c>
      <c r="U27" s="74" t="e">
        <f>data2!R22*$B$6/U$6</f>
        <v>#DIV/0!</v>
      </c>
      <c r="V27" s="74" t="e">
        <f>data2!S22*$B$6/V$6</f>
        <v>#DIV/0!</v>
      </c>
      <c r="W27" s="74" t="e">
        <f>data2!T22*$B$6/W$6</f>
        <v>#DIV/0!</v>
      </c>
      <c r="X27" s="74" t="e">
        <f>data2!U22*$B$6/X$6</f>
        <v>#DIV/0!</v>
      </c>
      <c r="Y27" s="74" t="e">
        <f>data2!V22*$B$6/Y$6</f>
        <v>#DIV/0!</v>
      </c>
      <c r="Z27" s="74" t="e">
        <f>data2!W22*$B$6/Z$6</f>
        <v>#DIV/0!</v>
      </c>
      <c r="AA27" s="74" t="e">
        <f>data2!X22*$B$6/AA$6</f>
        <v>#DIV/0!</v>
      </c>
      <c r="AB27" s="74" t="e">
        <f>data2!Y22*$B$6/AB$6</f>
        <v>#DIV/0!</v>
      </c>
      <c r="AC27" s="74" t="e">
        <f>data2!Z22*$B$6/AC$6</f>
        <v>#DIV/0!</v>
      </c>
      <c r="AD27" s="74" t="e">
        <f>data2!AA22*$B$6/AD$6</f>
        <v>#DIV/0!</v>
      </c>
      <c r="AE27" s="74" t="e">
        <f>data2!AB22*$B$6/AE$6</f>
        <v>#DIV/0!</v>
      </c>
      <c r="AF27" s="74" t="e">
        <f>data2!AC22*$B$6/AF$6</f>
        <v>#DIV/0!</v>
      </c>
      <c r="AG27" s="74" t="e">
        <f>data2!AD22*$B$6/AG$6</f>
        <v>#DIV/0!</v>
      </c>
      <c r="AH27" s="74" t="e">
        <f>data2!AE22*$B$6/AH$6</f>
        <v>#DIV/0!</v>
      </c>
      <c r="AI27" s="74" t="e">
        <f>data2!AF22*$B$6/AI$6</f>
        <v>#DIV/0!</v>
      </c>
      <c r="AJ27" s="74" t="e">
        <f>data2!AG22*$B$6/AJ$6</f>
        <v>#DIV/0!</v>
      </c>
    </row>
    <row r="28" spans="1:36">
      <c r="A28" s="29">
        <f>data0!A23</f>
        <v>-27</v>
      </c>
      <c r="B28" s="74" t="e">
        <f>AVERAGE(data2!B23:AG23)</f>
        <v>#DIV/0!</v>
      </c>
      <c r="C28" s="74" t="e">
        <f t="shared" si="0"/>
        <v>#DIV/0!</v>
      </c>
      <c r="D28" s="74" t="e">
        <f t="shared" si="1"/>
        <v>#DIV/0!</v>
      </c>
      <c r="E28" s="74" t="e">
        <f>data2!B23*$B$6/E$6</f>
        <v>#DIV/0!</v>
      </c>
      <c r="F28" s="74" t="e">
        <f>data2!C23*$B$6/F$6</f>
        <v>#DIV/0!</v>
      </c>
      <c r="G28" s="74" t="e">
        <f>data2!D23*$B$6/G$6</f>
        <v>#DIV/0!</v>
      </c>
      <c r="H28" s="74" t="e">
        <f>data2!E23*$B$6/H$6</f>
        <v>#DIV/0!</v>
      </c>
      <c r="I28" s="74" t="e">
        <f>data2!F23*$B$6/I$6</f>
        <v>#DIV/0!</v>
      </c>
      <c r="J28" s="74" t="e">
        <f>data2!G23*$B$6/J$6</f>
        <v>#DIV/0!</v>
      </c>
      <c r="K28" s="74" t="e">
        <f>data2!H23*$B$6/K$6</f>
        <v>#DIV/0!</v>
      </c>
      <c r="L28" s="74" t="e">
        <f>data2!I23*$B$6/L$6</f>
        <v>#DIV/0!</v>
      </c>
      <c r="M28" s="74" t="e">
        <f>data2!J23*$B$6/M$6</f>
        <v>#DIV/0!</v>
      </c>
      <c r="N28" s="74" t="e">
        <f>data2!K23*$B$6/N$6</f>
        <v>#DIV/0!</v>
      </c>
      <c r="O28" s="74" t="e">
        <f>data2!L23*$B$6/O$6</f>
        <v>#DIV/0!</v>
      </c>
      <c r="P28" s="74" t="e">
        <f>data2!M23*$B$6/P$6</f>
        <v>#DIV/0!</v>
      </c>
      <c r="Q28" s="74" t="e">
        <f>data2!N23*$B$6/Q$6</f>
        <v>#DIV/0!</v>
      </c>
      <c r="R28" s="74" t="e">
        <f>data2!O23*$B$6/R$6</f>
        <v>#DIV/0!</v>
      </c>
      <c r="S28" s="74" t="e">
        <f>data2!P23*$B$6/S$6</f>
        <v>#DIV/0!</v>
      </c>
      <c r="T28" s="74" t="e">
        <f>data2!Q23*$B$6/T$6</f>
        <v>#DIV/0!</v>
      </c>
      <c r="U28" s="74" t="e">
        <f>data2!R23*$B$6/U$6</f>
        <v>#DIV/0!</v>
      </c>
      <c r="V28" s="74" t="e">
        <f>data2!S23*$B$6/V$6</f>
        <v>#DIV/0!</v>
      </c>
      <c r="W28" s="74" t="e">
        <f>data2!T23*$B$6/W$6</f>
        <v>#DIV/0!</v>
      </c>
      <c r="X28" s="74" t="e">
        <f>data2!U23*$B$6/X$6</f>
        <v>#DIV/0!</v>
      </c>
      <c r="Y28" s="74" t="e">
        <f>data2!V23*$B$6/Y$6</f>
        <v>#DIV/0!</v>
      </c>
      <c r="Z28" s="74" t="e">
        <f>data2!W23*$B$6/Z$6</f>
        <v>#DIV/0!</v>
      </c>
      <c r="AA28" s="74" t="e">
        <f>data2!X23*$B$6/AA$6</f>
        <v>#DIV/0!</v>
      </c>
      <c r="AB28" s="74" t="e">
        <f>data2!Y23*$B$6/AB$6</f>
        <v>#DIV/0!</v>
      </c>
      <c r="AC28" s="74" t="e">
        <f>data2!Z23*$B$6/AC$6</f>
        <v>#DIV/0!</v>
      </c>
      <c r="AD28" s="74" t="e">
        <f>data2!AA23*$B$6/AD$6</f>
        <v>#DIV/0!</v>
      </c>
      <c r="AE28" s="74" t="e">
        <f>data2!AB23*$B$6/AE$6</f>
        <v>#DIV/0!</v>
      </c>
      <c r="AF28" s="74" t="e">
        <f>data2!AC23*$B$6/AF$6</f>
        <v>#DIV/0!</v>
      </c>
      <c r="AG28" s="74" t="e">
        <f>data2!AD23*$B$6/AG$6</f>
        <v>#DIV/0!</v>
      </c>
      <c r="AH28" s="74" t="e">
        <f>data2!AE23*$B$6/AH$6</f>
        <v>#DIV/0!</v>
      </c>
      <c r="AI28" s="74" t="e">
        <f>data2!AF23*$B$6/AI$6</f>
        <v>#DIV/0!</v>
      </c>
      <c r="AJ28" s="74" t="e">
        <f>data2!AG23*$B$6/AJ$6</f>
        <v>#DIV/0!</v>
      </c>
    </row>
    <row r="29" spans="1:36">
      <c r="A29" s="29">
        <f>data0!A24</f>
        <v>-24</v>
      </c>
      <c r="B29" s="74" t="e">
        <f>AVERAGE(data2!B24:AG24)</f>
        <v>#DIV/0!</v>
      </c>
      <c r="C29" s="74" t="e">
        <f t="shared" si="0"/>
        <v>#DIV/0!</v>
      </c>
      <c r="D29" s="74" t="e">
        <f t="shared" si="1"/>
        <v>#DIV/0!</v>
      </c>
      <c r="E29" s="74" t="e">
        <f>data2!B24*$B$6/E$6</f>
        <v>#DIV/0!</v>
      </c>
      <c r="F29" s="74" t="e">
        <f>data2!C24*$B$6/F$6</f>
        <v>#DIV/0!</v>
      </c>
      <c r="G29" s="74" t="e">
        <f>data2!D24*$B$6/G$6</f>
        <v>#DIV/0!</v>
      </c>
      <c r="H29" s="74" t="e">
        <f>data2!E24*$B$6/H$6</f>
        <v>#DIV/0!</v>
      </c>
      <c r="I29" s="74" t="e">
        <f>data2!F24*$B$6/I$6</f>
        <v>#DIV/0!</v>
      </c>
      <c r="J29" s="74" t="e">
        <f>data2!G24*$B$6/J$6</f>
        <v>#DIV/0!</v>
      </c>
      <c r="K29" s="74" t="e">
        <f>data2!H24*$B$6/K$6</f>
        <v>#DIV/0!</v>
      </c>
      <c r="L29" s="74" t="e">
        <f>data2!I24*$B$6/L$6</f>
        <v>#DIV/0!</v>
      </c>
      <c r="M29" s="74" t="e">
        <f>data2!J24*$B$6/M$6</f>
        <v>#DIV/0!</v>
      </c>
      <c r="N29" s="74" t="e">
        <f>data2!K24*$B$6/N$6</f>
        <v>#DIV/0!</v>
      </c>
      <c r="O29" s="74" t="e">
        <f>data2!L24*$B$6/O$6</f>
        <v>#DIV/0!</v>
      </c>
      <c r="P29" s="74" t="e">
        <f>data2!M24*$B$6/P$6</f>
        <v>#DIV/0!</v>
      </c>
      <c r="Q29" s="74" t="e">
        <f>data2!N24*$B$6/Q$6</f>
        <v>#DIV/0!</v>
      </c>
      <c r="R29" s="74" t="e">
        <f>data2!O24*$B$6/R$6</f>
        <v>#DIV/0!</v>
      </c>
      <c r="S29" s="74" t="e">
        <f>data2!P24*$B$6/S$6</f>
        <v>#DIV/0!</v>
      </c>
      <c r="T29" s="74" t="e">
        <f>data2!Q24*$B$6/T$6</f>
        <v>#DIV/0!</v>
      </c>
      <c r="U29" s="74" t="e">
        <f>data2!R24*$B$6/U$6</f>
        <v>#DIV/0!</v>
      </c>
      <c r="V29" s="74" t="e">
        <f>data2!S24*$B$6/V$6</f>
        <v>#DIV/0!</v>
      </c>
      <c r="W29" s="74" t="e">
        <f>data2!T24*$B$6/W$6</f>
        <v>#DIV/0!</v>
      </c>
      <c r="X29" s="74" t="e">
        <f>data2!U24*$B$6/X$6</f>
        <v>#DIV/0!</v>
      </c>
      <c r="Y29" s="74" t="e">
        <f>data2!V24*$B$6/Y$6</f>
        <v>#DIV/0!</v>
      </c>
      <c r="Z29" s="74" t="e">
        <f>data2!W24*$B$6/Z$6</f>
        <v>#DIV/0!</v>
      </c>
      <c r="AA29" s="74" t="e">
        <f>data2!X24*$B$6/AA$6</f>
        <v>#DIV/0!</v>
      </c>
      <c r="AB29" s="74" t="e">
        <f>data2!Y24*$B$6/AB$6</f>
        <v>#DIV/0!</v>
      </c>
      <c r="AC29" s="74" t="e">
        <f>data2!Z24*$B$6/AC$6</f>
        <v>#DIV/0!</v>
      </c>
      <c r="AD29" s="74" t="e">
        <f>data2!AA24*$B$6/AD$6</f>
        <v>#DIV/0!</v>
      </c>
      <c r="AE29" s="74" t="e">
        <f>data2!AB24*$B$6/AE$6</f>
        <v>#DIV/0!</v>
      </c>
      <c r="AF29" s="74" t="e">
        <f>data2!AC24*$B$6/AF$6</f>
        <v>#DIV/0!</v>
      </c>
      <c r="AG29" s="74" t="e">
        <f>data2!AD24*$B$6/AG$6</f>
        <v>#DIV/0!</v>
      </c>
      <c r="AH29" s="74" t="e">
        <f>data2!AE24*$B$6/AH$6</f>
        <v>#DIV/0!</v>
      </c>
      <c r="AI29" s="74" t="e">
        <f>data2!AF24*$B$6/AI$6</f>
        <v>#DIV/0!</v>
      </c>
      <c r="AJ29" s="74" t="e">
        <f>data2!AG24*$B$6/AJ$6</f>
        <v>#DIV/0!</v>
      </c>
    </row>
    <row r="30" spans="1:36">
      <c r="A30" s="29">
        <f>data0!A25</f>
        <v>-21</v>
      </c>
      <c r="B30" s="74" t="e">
        <f>AVERAGE(data2!B25:AG25)</f>
        <v>#DIV/0!</v>
      </c>
      <c r="C30" s="74" t="e">
        <f t="shared" si="0"/>
        <v>#DIV/0!</v>
      </c>
      <c r="D30" s="74" t="e">
        <f t="shared" si="1"/>
        <v>#DIV/0!</v>
      </c>
      <c r="E30" s="74" t="e">
        <f>data2!B25*$B$6/E$6</f>
        <v>#DIV/0!</v>
      </c>
      <c r="F30" s="74" t="e">
        <f>data2!C25*$B$6/F$6</f>
        <v>#DIV/0!</v>
      </c>
      <c r="G30" s="74" t="e">
        <f>data2!D25*$B$6/G$6</f>
        <v>#DIV/0!</v>
      </c>
      <c r="H30" s="74" t="e">
        <f>data2!E25*$B$6/H$6</f>
        <v>#DIV/0!</v>
      </c>
      <c r="I30" s="74" t="e">
        <f>data2!F25*$B$6/I$6</f>
        <v>#DIV/0!</v>
      </c>
      <c r="J30" s="74" t="e">
        <f>data2!G25*$B$6/J$6</f>
        <v>#DIV/0!</v>
      </c>
      <c r="K30" s="74" t="e">
        <f>data2!H25*$B$6/K$6</f>
        <v>#DIV/0!</v>
      </c>
      <c r="L30" s="74" t="e">
        <f>data2!I25*$B$6/L$6</f>
        <v>#DIV/0!</v>
      </c>
      <c r="M30" s="74" t="e">
        <f>data2!J25*$B$6/M$6</f>
        <v>#DIV/0!</v>
      </c>
      <c r="N30" s="74" t="e">
        <f>data2!K25*$B$6/N$6</f>
        <v>#DIV/0!</v>
      </c>
      <c r="O30" s="74" t="e">
        <f>data2!L25*$B$6/O$6</f>
        <v>#DIV/0!</v>
      </c>
      <c r="P30" s="74" t="e">
        <f>data2!M25*$B$6/P$6</f>
        <v>#DIV/0!</v>
      </c>
      <c r="Q30" s="74" t="e">
        <f>data2!N25*$B$6/Q$6</f>
        <v>#DIV/0!</v>
      </c>
      <c r="R30" s="74" t="e">
        <f>data2!O25*$B$6/R$6</f>
        <v>#DIV/0!</v>
      </c>
      <c r="S30" s="74" t="e">
        <f>data2!P25*$B$6/S$6</f>
        <v>#DIV/0!</v>
      </c>
      <c r="T30" s="74" t="e">
        <f>data2!Q25*$B$6/T$6</f>
        <v>#DIV/0!</v>
      </c>
      <c r="U30" s="74" t="e">
        <f>data2!R25*$B$6/U$6</f>
        <v>#DIV/0!</v>
      </c>
      <c r="V30" s="74" t="e">
        <f>data2!S25*$B$6/V$6</f>
        <v>#DIV/0!</v>
      </c>
      <c r="W30" s="74" t="e">
        <f>data2!T25*$B$6/W$6</f>
        <v>#DIV/0!</v>
      </c>
      <c r="X30" s="74" t="e">
        <f>data2!U25*$B$6/X$6</f>
        <v>#DIV/0!</v>
      </c>
      <c r="Y30" s="74" t="e">
        <f>data2!V25*$B$6/Y$6</f>
        <v>#DIV/0!</v>
      </c>
      <c r="Z30" s="74" t="e">
        <f>data2!W25*$B$6/Z$6</f>
        <v>#DIV/0!</v>
      </c>
      <c r="AA30" s="74" t="e">
        <f>data2!X25*$B$6/AA$6</f>
        <v>#DIV/0!</v>
      </c>
      <c r="AB30" s="74" t="e">
        <f>data2!Y25*$B$6/AB$6</f>
        <v>#DIV/0!</v>
      </c>
      <c r="AC30" s="74" t="e">
        <f>data2!Z25*$B$6/AC$6</f>
        <v>#DIV/0!</v>
      </c>
      <c r="AD30" s="74" t="e">
        <f>data2!AA25*$B$6/AD$6</f>
        <v>#DIV/0!</v>
      </c>
      <c r="AE30" s="74" t="e">
        <f>data2!AB25*$B$6/AE$6</f>
        <v>#DIV/0!</v>
      </c>
      <c r="AF30" s="74" t="e">
        <f>data2!AC25*$B$6/AF$6</f>
        <v>#DIV/0!</v>
      </c>
      <c r="AG30" s="74" t="e">
        <f>data2!AD25*$B$6/AG$6</f>
        <v>#DIV/0!</v>
      </c>
      <c r="AH30" s="74" t="e">
        <f>data2!AE25*$B$6/AH$6</f>
        <v>#DIV/0!</v>
      </c>
      <c r="AI30" s="74" t="e">
        <f>data2!AF25*$B$6/AI$6</f>
        <v>#DIV/0!</v>
      </c>
      <c r="AJ30" s="74" t="e">
        <f>data2!AG25*$B$6/AJ$6</f>
        <v>#DIV/0!</v>
      </c>
    </row>
    <row r="31" spans="1:36">
      <c r="A31" s="29">
        <f>data0!A26</f>
        <v>-18</v>
      </c>
      <c r="B31" s="74" t="e">
        <f>AVERAGE(data2!B26:AG26)</f>
        <v>#DIV/0!</v>
      </c>
      <c r="C31" s="74" t="e">
        <f t="shared" si="0"/>
        <v>#DIV/0!</v>
      </c>
      <c r="D31" s="74" t="e">
        <f t="shared" si="1"/>
        <v>#DIV/0!</v>
      </c>
      <c r="E31" s="74" t="e">
        <f>data2!B26*$B$6/E$6</f>
        <v>#DIV/0!</v>
      </c>
      <c r="F31" s="74" t="e">
        <f>data2!C26*$B$6/F$6</f>
        <v>#DIV/0!</v>
      </c>
      <c r="G31" s="74" t="e">
        <f>data2!D26*$B$6/G$6</f>
        <v>#DIV/0!</v>
      </c>
      <c r="H31" s="74" t="e">
        <f>data2!E26*$B$6/H$6</f>
        <v>#DIV/0!</v>
      </c>
      <c r="I31" s="74" t="e">
        <f>data2!F26*$B$6/I$6</f>
        <v>#DIV/0!</v>
      </c>
      <c r="J31" s="74" t="e">
        <f>data2!G26*$B$6/J$6</f>
        <v>#DIV/0!</v>
      </c>
      <c r="K31" s="74" t="e">
        <f>data2!H26*$B$6/K$6</f>
        <v>#DIV/0!</v>
      </c>
      <c r="L31" s="74" t="e">
        <f>data2!I26*$B$6/L$6</f>
        <v>#DIV/0!</v>
      </c>
      <c r="M31" s="74" t="e">
        <f>data2!J26*$B$6/M$6</f>
        <v>#DIV/0!</v>
      </c>
      <c r="N31" s="74" t="e">
        <f>data2!K26*$B$6/N$6</f>
        <v>#DIV/0!</v>
      </c>
      <c r="O31" s="74" t="e">
        <f>data2!L26*$B$6/O$6</f>
        <v>#DIV/0!</v>
      </c>
      <c r="P31" s="74" t="e">
        <f>data2!M26*$B$6/P$6</f>
        <v>#DIV/0!</v>
      </c>
      <c r="Q31" s="74" t="e">
        <f>data2!N26*$B$6/Q$6</f>
        <v>#DIV/0!</v>
      </c>
      <c r="R31" s="74" t="e">
        <f>data2!O26*$B$6/R$6</f>
        <v>#DIV/0!</v>
      </c>
      <c r="S31" s="74" t="e">
        <f>data2!P26*$B$6/S$6</f>
        <v>#DIV/0!</v>
      </c>
      <c r="T31" s="74" t="e">
        <f>data2!Q26*$B$6/T$6</f>
        <v>#DIV/0!</v>
      </c>
      <c r="U31" s="74" t="e">
        <f>data2!R26*$B$6/U$6</f>
        <v>#DIV/0!</v>
      </c>
      <c r="V31" s="74" t="e">
        <f>data2!S26*$B$6/V$6</f>
        <v>#DIV/0!</v>
      </c>
      <c r="W31" s="74" t="e">
        <f>data2!T26*$B$6/W$6</f>
        <v>#DIV/0!</v>
      </c>
      <c r="X31" s="74" t="e">
        <f>data2!U26*$B$6/X$6</f>
        <v>#DIV/0!</v>
      </c>
      <c r="Y31" s="74" t="e">
        <f>data2!V26*$B$6/Y$6</f>
        <v>#DIV/0!</v>
      </c>
      <c r="Z31" s="74" t="e">
        <f>data2!W26*$B$6/Z$6</f>
        <v>#DIV/0!</v>
      </c>
      <c r="AA31" s="74" t="e">
        <f>data2!X26*$B$6/AA$6</f>
        <v>#DIV/0!</v>
      </c>
      <c r="AB31" s="74" t="e">
        <f>data2!Y26*$B$6/AB$6</f>
        <v>#DIV/0!</v>
      </c>
      <c r="AC31" s="74" t="e">
        <f>data2!Z26*$B$6/AC$6</f>
        <v>#DIV/0!</v>
      </c>
      <c r="AD31" s="74" t="e">
        <f>data2!AA26*$B$6/AD$6</f>
        <v>#DIV/0!</v>
      </c>
      <c r="AE31" s="74" t="e">
        <f>data2!AB26*$B$6/AE$6</f>
        <v>#DIV/0!</v>
      </c>
      <c r="AF31" s="74" t="e">
        <f>data2!AC26*$B$6/AF$6</f>
        <v>#DIV/0!</v>
      </c>
      <c r="AG31" s="74" t="e">
        <f>data2!AD26*$B$6/AG$6</f>
        <v>#DIV/0!</v>
      </c>
      <c r="AH31" s="74" t="e">
        <f>data2!AE26*$B$6/AH$6</f>
        <v>#DIV/0!</v>
      </c>
      <c r="AI31" s="74" t="e">
        <f>data2!AF26*$B$6/AI$6</f>
        <v>#DIV/0!</v>
      </c>
      <c r="AJ31" s="74" t="e">
        <f>data2!AG26*$B$6/AJ$6</f>
        <v>#DIV/0!</v>
      </c>
    </row>
    <row r="32" spans="1:36">
      <c r="A32" s="29">
        <f>data0!A27</f>
        <v>-15</v>
      </c>
      <c r="B32" s="74" t="e">
        <f>AVERAGE(data2!B27:AG27)</f>
        <v>#DIV/0!</v>
      </c>
      <c r="C32" s="74" t="e">
        <f t="shared" si="0"/>
        <v>#DIV/0!</v>
      </c>
      <c r="D32" s="74" t="e">
        <f t="shared" si="1"/>
        <v>#DIV/0!</v>
      </c>
      <c r="E32" s="74" t="e">
        <f>data2!B27*$B$6/E$6</f>
        <v>#DIV/0!</v>
      </c>
      <c r="F32" s="74" t="e">
        <f>data2!C27*$B$6/F$6</f>
        <v>#DIV/0!</v>
      </c>
      <c r="G32" s="74" t="e">
        <f>data2!D27*$B$6/G$6</f>
        <v>#DIV/0!</v>
      </c>
      <c r="H32" s="74" t="e">
        <f>data2!E27*$B$6/H$6</f>
        <v>#DIV/0!</v>
      </c>
      <c r="I32" s="74" t="e">
        <f>data2!F27*$B$6/I$6</f>
        <v>#DIV/0!</v>
      </c>
      <c r="J32" s="74" t="e">
        <f>data2!G27*$B$6/J$6</f>
        <v>#DIV/0!</v>
      </c>
      <c r="K32" s="74" t="e">
        <f>data2!H27*$B$6/K$6</f>
        <v>#DIV/0!</v>
      </c>
      <c r="L32" s="74" t="e">
        <f>data2!I27*$B$6/L$6</f>
        <v>#DIV/0!</v>
      </c>
      <c r="M32" s="74" t="e">
        <f>data2!J27*$B$6/M$6</f>
        <v>#DIV/0!</v>
      </c>
      <c r="N32" s="74" t="e">
        <f>data2!K27*$B$6/N$6</f>
        <v>#DIV/0!</v>
      </c>
      <c r="O32" s="74" t="e">
        <f>data2!L27*$B$6/O$6</f>
        <v>#DIV/0!</v>
      </c>
      <c r="P32" s="74" t="e">
        <f>data2!M27*$B$6/P$6</f>
        <v>#DIV/0!</v>
      </c>
      <c r="Q32" s="74" t="e">
        <f>data2!N27*$B$6/Q$6</f>
        <v>#DIV/0!</v>
      </c>
      <c r="R32" s="74" t="e">
        <f>data2!O27*$B$6/R$6</f>
        <v>#DIV/0!</v>
      </c>
      <c r="S32" s="74" t="e">
        <f>data2!P27*$B$6/S$6</f>
        <v>#DIV/0!</v>
      </c>
      <c r="T32" s="74" t="e">
        <f>data2!Q27*$B$6/T$6</f>
        <v>#DIV/0!</v>
      </c>
      <c r="U32" s="74" t="e">
        <f>data2!R27*$B$6/U$6</f>
        <v>#DIV/0!</v>
      </c>
      <c r="V32" s="74" t="e">
        <f>data2!S27*$B$6/V$6</f>
        <v>#DIV/0!</v>
      </c>
      <c r="W32" s="74" t="e">
        <f>data2!T27*$B$6/W$6</f>
        <v>#DIV/0!</v>
      </c>
      <c r="X32" s="74" t="e">
        <f>data2!U27*$B$6/X$6</f>
        <v>#DIV/0!</v>
      </c>
      <c r="Y32" s="74" t="e">
        <f>data2!V27*$B$6/Y$6</f>
        <v>#DIV/0!</v>
      </c>
      <c r="Z32" s="74" t="e">
        <f>data2!W27*$B$6/Z$6</f>
        <v>#DIV/0!</v>
      </c>
      <c r="AA32" s="74" t="e">
        <f>data2!X27*$B$6/AA$6</f>
        <v>#DIV/0!</v>
      </c>
      <c r="AB32" s="74" t="e">
        <f>data2!Y27*$B$6/AB$6</f>
        <v>#DIV/0!</v>
      </c>
      <c r="AC32" s="74" t="e">
        <f>data2!Z27*$B$6/AC$6</f>
        <v>#DIV/0!</v>
      </c>
      <c r="AD32" s="74" t="e">
        <f>data2!AA27*$B$6/AD$6</f>
        <v>#DIV/0!</v>
      </c>
      <c r="AE32" s="74" t="e">
        <f>data2!AB27*$B$6/AE$6</f>
        <v>#DIV/0!</v>
      </c>
      <c r="AF32" s="74" t="e">
        <f>data2!AC27*$B$6/AF$6</f>
        <v>#DIV/0!</v>
      </c>
      <c r="AG32" s="74" t="e">
        <f>data2!AD27*$B$6/AG$6</f>
        <v>#DIV/0!</v>
      </c>
      <c r="AH32" s="74" t="e">
        <f>data2!AE27*$B$6/AH$6</f>
        <v>#DIV/0!</v>
      </c>
      <c r="AI32" s="74" t="e">
        <f>data2!AF27*$B$6/AI$6</f>
        <v>#DIV/0!</v>
      </c>
      <c r="AJ32" s="74" t="e">
        <f>data2!AG27*$B$6/AJ$6</f>
        <v>#DIV/0!</v>
      </c>
    </row>
    <row r="33" spans="1:36">
      <c r="A33" s="29">
        <f>data0!A28</f>
        <v>-12</v>
      </c>
      <c r="B33" s="74" t="e">
        <f>AVERAGE(data2!B28:AG28)</f>
        <v>#DIV/0!</v>
      </c>
      <c r="C33" s="74" t="e">
        <f t="shared" si="0"/>
        <v>#DIV/0!</v>
      </c>
      <c r="D33" s="74" t="e">
        <f t="shared" si="1"/>
        <v>#DIV/0!</v>
      </c>
      <c r="E33" s="74" t="e">
        <f>data2!B28*$B$6/E$6</f>
        <v>#DIV/0!</v>
      </c>
      <c r="F33" s="74" t="e">
        <f>data2!C28*$B$6/F$6</f>
        <v>#DIV/0!</v>
      </c>
      <c r="G33" s="74" t="e">
        <f>data2!D28*$B$6/G$6</f>
        <v>#DIV/0!</v>
      </c>
      <c r="H33" s="74" t="e">
        <f>data2!E28*$B$6/H$6</f>
        <v>#DIV/0!</v>
      </c>
      <c r="I33" s="74" t="e">
        <f>data2!F28*$B$6/I$6</f>
        <v>#DIV/0!</v>
      </c>
      <c r="J33" s="74" t="e">
        <f>data2!G28*$B$6/J$6</f>
        <v>#DIV/0!</v>
      </c>
      <c r="K33" s="74" t="e">
        <f>data2!H28*$B$6/K$6</f>
        <v>#DIV/0!</v>
      </c>
      <c r="L33" s="74" t="e">
        <f>data2!I28*$B$6/L$6</f>
        <v>#DIV/0!</v>
      </c>
      <c r="M33" s="74" t="e">
        <f>data2!J28*$B$6/M$6</f>
        <v>#DIV/0!</v>
      </c>
      <c r="N33" s="74" t="e">
        <f>data2!K28*$B$6/N$6</f>
        <v>#DIV/0!</v>
      </c>
      <c r="O33" s="74" t="e">
        <f>data2!L28*$B$6/O$6</f>
        <v>#DIV/0!</v>
      </c>
      <c r="P33" s="74" t="e">
        <f>data2!M28*$B$6/P$6</f>
        <v>#DIV/0!</v>
      </c>
      <c r="Q33" s="74" t="e">
        <f>data2!N28*$B$6/Q$6</f>
        <v>#DIV/0!</v>
      </c>
      <c r="R33" s="74" t="e">
        <f>data2!O28*$B$6/R$6</f>
        <v>#DIV/0!</v>
      </c>
      <c r="S33" s="74" t="e">
        <f>data2!P28*$B$6/S$6</f>
        <v>#DIV/0!</v>
      </c>
      <c r="T33" s="74" t="e">
        <f>data2!Q28*$B$6/T$6</f>
        <v>#DIV/0!</v>
      </c>
      <c r="U33" s="74" t="e">
        <f>data2!R28*$B$6/U$6</f>
        <v>#DIV/0!</v>
      </c>
      <c r="V33" s="74" t="e">
        <f>data2!S28*$B$6/V$6</f>
        <v>#DIV/0!</v>
      </c>
      <c r="W33" s="74" t="e">
        <f>data2!T28*$B$6/W$6</f>
        <v>#DIV/0!</v>
      </c>
      <c r="X33" s="74" t="e">
        <f>data2!U28*$B$6/X$6</f>
        <v>#DIV/0!</v>
      </c>
      <c r="Y33" s="74" t="e">
        <f>data2!V28*$B$6/Y$6</f>
        <v>#DIV/0!</v>
      </c>
      <c r="Z33" s="74" t="e">
        <f>data2!W28*$B$6/Z$6</f>
        <v>#DIV/0!</v>
      </c>
      <c r="AA33" s="74" t="e">
        <f>data2!X28*$B$6/AA$6</f>
        <v>#DIV/0!</v>
      </c>
      <c r="AB33" s="74" t="e">
        <f>data2!Y28*$B$6/AB$6</f>
        <v>#DIV/0!</v>
      </c>
      <c r="AC33" s="74" t="e">
        <f>data2!Z28*$B$6/AC$6</f>
        <v>#DIV/0!</v>
      </c>
      <c r="AD33" s="74" t="e">
        <f>data2!AA28*$B$6/AD$6</f>
        <v>#DIV/0!</v>
      </c>
      <c r="AE33" s="74" t="e">
        <f>data2!AB28*$B$6/AE$6</f>
        <v>#DIV/0!</v>
      </c>
      <c r="AF33" s="74" t="e">
        <f>data2!AC28*$B$6/AF$6</f>
        <v>#DIV/0!</v>
      </c>
      <c r="AG33" s="74" t="e">
        <f>data2!AD28*$B$6/AG$6</f>
        <v>#DIV/0!</v>
      </c>
      <c r="AH33" s="74" t="e">
        <f>data2!AE28*$B$6/AH$6</f>
        <v>#DIV/0!</v>
      </c>
      <c r="AI33" s="74" t="e">
        <f>data2!AF28*$B$6/AI$6</f>
        <v>#DIV/0!</v>
      </c>
      <c r="AJ33" s="74" t="e">
        <f>data2!AG28*$B$6/AJ$6</f>
        <v>#DIV/0!</v>
      </c>
    </row>
    <row r="34" spans="1:36">
      <c r="A34" s="29">
        <f>data0!A29</f>
        <v>-9</v>
      </c>
      <c r="B34" s="74" t="e">
        <f>AVERAGE(data2!B29:AG29)</f>
        <v>#DIV/0!</v>
      </c>
      <c r="C34" s="74" t="e">
        <f t="shared" si="0"/>
        <v>#DIV/0!</v>
      </c>
      <c r="D34" s="74" t="e">
        <f t="shared" si="1"/>
        <v>#DIV/0!</v>
      </c>
      <c r="E34" s="74" t="e">
        <f>data2!B29*$B$6/E$6</f>
        <v>#DIV/0!</v>
      </c>
      <c r="F34" s="74" t="e">
        <f>data2!C29*$B$6/F$6</f>
        <v>#DIV/0!</v>
      </c>
      <c r="G34" s="74" t="e">
        <f>data2!D29*$B$6/G$6</f>
        <v>#DIV/0!</v>
      </c>
      <c r="H34" s="74" t="e">
        <f>data2!E29*$B$6/H$6</f>
        <v>#DIV/0!</v>
      </c>
      <c r="I34" s="74" t="e">
        <f>data2!F29*$B$6/I$6</f>
        <v>#DIV/0!</v>
      </c>
      <c r="J34" s="74" t="e">
        <f>data2!G29*$B$6/J$6</f>
        <v>#DIV/0!</v>
      </c>
      <c r="K34" s="74" t="e">
        <f>data2!H29*$B$6/K$6</f>
        <v>#DIV/0!</v>
      </c>
      <c r="L34" s="74" t="e">
        <f>data2!I29*$B$6/L$6</f>
        <v>#DIV/0!</v>
      </c>
      <c r="M34" s="74" t="e">
        <f>data2!J29*$B$6/M$6</f>
        <v>#DIV/0!</v>
      </c>
      <c r="N34" s="74" t="e">
        <f>data2!K29*$B$6/N$6</f>
        <v>#DIV/0!</v>
      </c>
      <c r="O34" s="74" t="e">
        <f>data2!L29*$B$6/O$6</f>
        <v>#DIV/0!</v>
      </c>
      <c r="P34" s="74" t="e">
        <f>data2!M29*$B$6/P$6</f>
        <v>#DIV/0!</v>
      </c>
      <c r="Q34" s="74" t="e">
        <f>data2!N29*$B$6/Q$6</f>
        <v>#DIV/0!</v>
      </c>
      <c r="R34" s="74" t="e">
        <f>data2!O29*$B$6/R$6</f>
        <v>#DIV/0!</v>
      </c>
      <c r="S34" s="74" t="e">
        <f>data2!P29*$B$6/S$6</f>
        <v>#DIV/0!</v>
      </c>
      <c r="T34" s="74" t="e">
        <f>data2!Q29*$B$6/T$6</f>
        <v>#DIV/0!</v>
      </c>
      <c r="U34" s="74" t="e">
        <f>data2!R29*$B$6/U$6</f>
        <v>#DIV/0!</v>
      </c>
      <c r="V34" s="74" t="e">
        <f>data2!S29*$B$6/V$6</f>
        <v>#DIV/0!</v>
      </c>
      <c r="W34" s="74" t="e">
        <f>data2!T29*$B$6/W$6</f>
        <v>#DIV/0!</v>
      </c>
      <c r="X34" s="74" t="e">
        <f>data2!U29*$B$6/X$6</f>
        <v>#DIV/0!</v>
      </c>
      <c r="Y34" s="74" t="e">
        <f>data2!V29*$B$6/Y$6</f>
        <v>#DIV/0!</v>
      </c>
      <c r="Z34" s="74" t="e">
        <f>data2!W29*$B$6/Z$6</f>
        <v>#DIV/0!</v>
      </c>
      <c r="AA34" s="74" t="e">
        <f>data2!X29*$B$6/AA$6</f>
        <v>#DIV/0!</v>
      </c>
      <c r="AB34" s="74" t="e">
        <f>data2!Y29*$B$6/AB$6</f>
        <v>#DIV/0!</v>
      </c>
      <c r="AC34" s="74" t="e">
        <f>data2!Z29*$B$6/AC$6</f>
        <v>#DIV/0!</v>
      </c>
      <c r="AD34" s="74" t="e">
        <f>data2!AA29*$B$6/AD$6</f>
        <v>#DIV/0!</v>
      </c>
      <c r="AE34" s="74" t="e">
        <f>data2!AB29*$B$6/AE$6</f>
        <v>#DIV/0!</v>
      </c>
      <c r="AF34" s="74" t="e">
        <f>data2!AC29*$B$6/AF$6</f>
        <v>#DIV/0!</v>
      </c>
      <c r="AG34" s="74" t="e">
        <f>data2!AD29*$B$6/AG$6</f>
        <v>#DIV/0!</v>
      </c>
      <c r="AH34" s="74" t="e">
        <f>data2!AE29*$B$6/AH$6</f>
        <v>#DIV/0!</v>
      </c>
      <c r="AI34" s="74" t="e">
        <f>data2!AF29*$B$6/AI$6</f>
        <v>#DIV/0!</v>
      </c>
      <c r="AJ34" s="74" t="e">
        <f>data2!AG29*$B$6/AJ$6</f>
        <v>#DIV/0!</v>
      </c>
    </row>
    <row r="35" spans="1:36">
      <c r="A35" s="29">
        <f>data0!A30</f>
        <v>-6</v>
      </c>
      <c r="B35" s="74" t="e">
        <f>AVERAGE(data2!B30:AG30)</f>
        <v>#DIV/0!</v>
      </c>
      <c r="C35" s="74" t="e">
        <f t="shared" si="0"/>
        <v>#DIV/0!</v>
      </c>
      <c r="D35" s="74" t="e">
        <f t="shared" si="1"/>
        <v>#DIV/0!</v>
      </c>
      <c r="E35" s="74" t="e">
        <f>data2!B30*$B$6/E$6</f>
        <v>#DIV/0!</v>
      </c>
      <c r="F35" s="74" t="e">
        <f>data2!C30*$B$6/F$6</f>
        <v>#DIV/0!</v>
      </c>
      <c r="G35" s="74" t="e">
        <f>data2!D30*$B$6/G$6</f>
        <v>#DIV/0!</v>
      </c>
      <c r="H35" s="74" t="e">
        <f>data2!E30*$B$6/H$6</f>
        <v>#DIV/0!</v>
      </c>
      <c r="I35" s="74" t="e">
        <f>data2!F30*$B$6/I$6</f>
        <v>#DIV/0!</v>
      </c>
      <c r="J35" s="74" t="e">
        <f>data2!G30*$B$6/J$6</f>
        <v>#DIV/0!</v>
      </c>
      <c r="K35" s="74" t="e">
        <f>data2!H30*$B$6/K$6</f>
        <v>#DIV/0!</v>
      </c>
      <c r="L35" s="74" t="e">
        <f>data2!I30*$B$6/L$6</f>
        <v>#DIV/0!</v>
      </c>
      <c r="M35" s="74" t="e">
        <f>data2!J30*$B$6/M$6</f>
        <v>#DIV/0!</v>
      </c>
      <c r="N35" s="74" t="e">
        <f>data2!K30*$B$6/N$6</f>
        <v>#DIV/0!</v>
      </c>
      <c r="O35" s="74" t="e">
        <f>data2!L30*$B$6/O$6</f>
        <v>#DIV/0!</v>
      </c>
      <c r="P35" s="74" t="e">
        <f>data2!M30*$B$6/P$6</f>
        <v>#DIV/0!</v>
      </c>
      <c r="Q35" s="74" t="e">
        <f>data2!N30*$B$6/Q$6</f>
        <v>#DIV/0!</v>
      </c>
      <c r="R35" s="74" t="e">
        <f>data2!O30*$B$6/R$6</f>
        <v>#DIV/0!</v>
      </c>
      <c r="S35" s="74" t="e">
        <f>data2!P30*$B$6/S$6</f>
        <v>#DIV/0!</v>
      </c>
      <c r="T35" s="74" t="e">
        <f>data2!Q30*$B$6/T$6</f>
        <v>#DIV/0!</v>
      </c>
      <c r="U35" s="74" t="e">
        <f>data2!R30*$B$6/U$6</f>
        <v>#DIV/0!</v>
      </c>
      <c r="V35" s="74" t="e">
        <f>data2!S30*$B$6/V$6</f>
        <v>#DIV/0!</v>
      </c>
      <c r="W35" s="74" t="e">
        <f>data2!T30*$B$6/W$6</f>
        <v>#DIV/0!</v>
      </c>
      <c r="X35" s="74" t="e">
        <f>data2!U30*$B$6/X$6</f>
        <v>#DIV/0!</v>
      </c>
      <c r="Y35" s="74" t="e">
        <f>data2!V30*$B$6/Y$6</f>
        <v>#DIV/0!</v>
      </c>
      <c r="Z35" s="74" t="e">
        <f>data2!W30*$B$6/Z$6</f>
        <v>#DIV/0!</v>
      </c>
      <c r="AA35" s="74" t="e">
        <f>data2!X30*$B$6/AA$6</f>
        <v>#DIV/0!</v>
      </c>
      <c r="AB35" s="74" t="e">
        <f>data2!Y30*$B$6/AB$6</f>
        <v>#DIV/0!</v>
      </c>
      <c r="AC35" s="74" t="e">
        <f>data2!Z30*$B$6/AC$6</f>
        <v>#DIV/0!</v>
      </c>
      <c r="AD35" s="74" t="e">
        <f>data2!AA30*$B$6/AD$6</f>
        <v>#DIV/0!</v>
      </c>
      <c r="AE35" s="74" t="e">
        <f>data2!AB30*$B$6/AE$6</f>
        <v>#DIV/0!</v>
      </c>
      <c r="AF35" s="74" t="e">
        <f>data2!AC30*$B$6/AF$6</f>
        <v>#DIV/0!</v>
      </c>
      <c r="AG35" s="74" t="e">
        <f>data2!AD30*$B$6/AG$6</f>
        <v>#DIV/0!</v>
      </c>
      <c r="AH35" s="74" t="e">
        <f>data2!AE30*$B$6/AH$6</f>
        <v>#DIV/0!</v>
      </c>
      <c r="AI35" s="74" t="e">
        <f>data2!AF30*$B$6/AI$6</f>
        <v>#DIV/0!</v>
      </c>
      <c r="AJ35" s="74" t="e">
        <f>data2!AG30*$B$6/AJ$6</f>
        <v>#DIV/0!</v>
      </c>
    </row>
    <row r="36" spans="1:36">
      <c r="A36" s="29">
        <f>data0!A31</f>
        <v>-3</v>
      </c>
      <c r="B36" s="74" t="e">
        <f>AVERAGE(data2!B31:AG31)</f>
        <v>#DIV/0!</v>
      </c>
      <c r="C36" s="74" t="e">
        <f t="shared" si="0"/>
        <v>#DIV/0!</v>
      </c>
      <c r="D36" s="74" t="e">
        <f t="shared" si="1"/>
        <v>#DIV/0!</v>
      </c>
      <c r="E36" s="74" t="e">
        <f>data2!B31*$B$6/E$6</f>
        <v>#DIV/0!</v>
      </c>
      <c r="F36" s="74" t="e">
        <f>data2!C31*$B$6/F$6</f>
        <v>#DIV/0!</v>
      </c>
      <c r="G36" s="74" t="e">
        <f>data2!D31*$B$6/G$6</f>
        <v>#DIV/0!</v>
      </c>
      <c r="H36" s="74" t="e">
        <f>data2!E31*$B$6/H$6</f>
        <v>#DIV/0!</v>
      </c>
      <c r="I36" s="74" t="e">
        <f>data2!F31*$B$6/I$6</f>
        <v>#DIV/0!</v>
      </c>
      <c r="J36" s="74" t="e">
        <f>data2!G31*$B$6/J$6</f>
        <v>#DIV/0!</v>
      </c>
      <c r="K36" s="74" t="e">
        <f>data2!H31*$B$6/K$6</f>
        <v>#DIV/0!</v>
      </c>
      <c r="L36" s="74" t="e">
        <f>data2!I31*$B$6/L$6</f>
        <v>#DIV/0!</v>
      </c>
      <c r="M36" s="74" t="e">
        <f>data2!J31*$B$6/M$6</f>
        <v>#DIV/0!</v>
      </c>
      <c r="N36" s="74" t="e">
        <f>data2!K31*$B$6/N$6</f>
        <v>#DIV/0!</v>
      </c>
      <c r="O36" s="74" t="e">
        <f>data2!L31*$B$6/O$6</f>
        <v>#DIV/0!</v>
      </c>
      <c r="P36" s="74" t="e">
        <f>data2!M31*$B$6/P$6</f>
        <v>#DIV/0!</v>
      </c>
      <c r="Q36" s="74" t="e">
        <f>data2!N31*$B$6/Q$6</f>
        <v>#DIV/0!</v>
      </c>
      <c r="R36" s="74" t="e">
        <f>data2!O31*$B$6/R$6</f>
        <v>#DIV/0!</v>
      </c>
      <c r="S36" s="74" t="e">
        <f>data2!P31*$B$6/S$6</f>
        <v>#DIV/0!</v>
      </c>
      <c r="T36" s="74" t="e">
        <f>data2!Q31*$B$6/T$6</f>
        <v>#DIV/0!</v>
      </c>
      <c r="U36" s="74" t="e">
        <f>data2!R31*$B$6/U$6</f>
        <v>#DIV/0!</v>
      </c>
      <c r="V36" s="74" t="e">
        <f>data2!S31*$B$6/V$6</f>
        <v>#DIV/0!</v>
      </c>
      <c r="W36" s="74" t="e">
        <f>data2!T31*$B$6/W$6</f>
        <v>#DIV/0!</v>
      </c>
      <c r="X36" s="74" t="e">
        <f>data2!U31*$B$6/X$6</f>
        <v>#DIV/0!</v>
      </c>
      <c r="Y36" s="74" t="e">
        <f>data2!V31*$B$6/Y$6</f>
        <v>#DIV/0!</v>
      </c>
      <c r="Z36" s="74" t="e">
        <f>data2!W31*$B$6/Z$6</f>
        <v>#DIV/0!</v>
      </c>
      <c r="AA36" s="74" t="e">
        <f>data2!X31*$B$6/AA$6</f>
        <v>#DIV/0!</v>
      </c>
      <c r="AB36" s="74" t="e">
        <f>data2!Y31*$B$6/AB$6</f>
        <v>#DIV/0!</v>
      </c>
      <c r="AC36" s="74" t="e">
        <f>data2!Z31*$B$6/AC$6</f>
        <v>#DIV/0!</v>
      </c>
      <c r="AD36" s="74" t="e">
        <f>data2!AA31*$B$6/AD$6</f>
        <v>#DIV/0!</v>
      </c>
      <c r="AE36" s="74" t="e">
        <f>data2!AB31*$B$6/AE$6</f>
        <v>#DIV/0!</v>
      </c>
      <c r="AF36" s="74" t="e">
        <f>data2!AC31*$B$6/AF$6</f>
        <v>#DIV/0!</v>
      </c>
      <c r="AG36" s="74" t="e">
        <f>data2!AD31*$B$6/AG$6</f>
        <v>#DIV/0!</v>
      </c>
      <c r="AH36" s="74" t="e">
        <f>data2!AE31*$B$6/AH$6</f>
        <v>#DIV/0!</v>
      </c>
      <c r="AI36" s="74" t="e">
        <f>data2!AF31*$B$6/AI$6</f>
        <v>#DIV/0!</v>
      </c>
      <c r="AJ36" s="74" t="e">
        <f>data2!AG31*$B$6/AJ$6</f>
        <v>#DIV/0!</v>
      </c>
    </row>
    <row r="37" spans="1:36">
      <c r="A37" s="29">
        <f>data0!A32</f>
        <v>0</v>
      </c>
      <c r="B37" s="74" t="e">
        <f>AVERAGE(data2!B32:AG32)</f>
        <v>#DIV/0!</v>
      </c>
      <c r="C37" s="74" t="e">
        <f t="shared" si="0"/>
        <v>#DIV/0!</v>
      </c>
      <c r="D37" s="74" t="e">
        <f t="shared" si="1"/>
        <v>#DIV/0!</v>
      </c>
      <c r="E37" s="74" t="e">
        <f>data2!B32*$B$6/E$6</f>
        <v>#DIV/0!</v>
      </c>
      <c r="F37" s="74" t="e">
        <f>data2!C32*$B$6/F$6</f>
        <v>#DIV/0!</v>
      </c>
      <c r="G37" s="74" t="e">
        <f>data2!D32*$B$6/G$6</f>
        <v>#DIV/0!</v>
      </c>
      <c r="H37" s="74" t="e">
        <f>data2!E32*$B$6/H$6</f>
        <v>#DIV/0!</v>
      </c>
      <c r="I37" s="74" t="e">
        <f>data2!F32*$B$6/I$6</f>
        <v>#DIV/0!</v>
      </c>
      <c r="J37" s="74" t="e">
        <f>data2!G32*$B$6/J$6</f>
        <v>#DIV/0!</v>
      </c>
      <c r="K37" s="74" t="e">
        <f>data2!H32*$B$6/K$6</f>
        <v>#DIV/0!</v>
      </c>
      <c r="L37" s="74" t="e">
        <f>data2!I32*$B$6/L$6</f>
        <v>#DIV/0!</v>
      </c>
      <c r="M37" s="74" t="e">
        <f>data2!J32*$B$6/M$6</f>
        <v>#DIV/0!</v>
      </c>
      <c r="N37" s="74" t="e">
        <f>data2!K32*$B$6/N$6</f>
        <v>#DIV/0!</v>
      </c>
      <c r="O37" s="74" t="e">
        <f>data2!L32*$B$6/O$6</f>
        <v>#DIV/0!</v>
      </c>
      <c r="P37" s="74" t="e">
        <f>data2!M32*$B$6/P$6</f>
        <v>#DIV/0!</v>
      </c>
      <c r="Q37" s="74" t="e">
        <f>data2!N32*$B$6/Q$6</f>
        <v>#DIV/0!</v>
      </c>
      <c r="R37" s="74" t="e">
        <f>data2!O32*$B$6/R$6</f>
        <v>#DIV/0!</v>
      </c>
      <c r="S37" s="74" t="e">
        <f>data2!P32*$B$6/S$6</f>
        <v>#DIV/0!</v>
      </c>
      <c r="T37" s="74" t="e">
        <f>data2!Q32*$B$6/T$6</f>
        <v>#DIV/0!</v>
      </c>
      <c r="U37" s="74" t="e">
        <f>data2!R32*$B$6/U$6</f>
        <v>#DIV/0!</v>
      </c>
      <c r="V37" s="74" t="e">
        <f>data2!S32*$B$6/V$6</f>
        <v>#DIV/0!</v>
      </c>
      <c r="W37" s="74" t="e">
        <f>data2!T32*$B$6/W$6</f>
        <v>#DIV/0!</v>
      </c>
      <c r="X37" s="74" t="e">
        <f>data2!U32*$B$6/X$6</f>
        <v>#DIV/0!</v>
      </c>
      <c r="Y37" s="74" t="e">
        <f>data2!V32*$B$6/Y$6</f>
        <v>#DIV/0!</v>
      </c>
      <c r="Z37" s="74" t="e">
        <f>data2!W32*$B$6/Z$6</f>
        <v>#DIV/0!</v>
      </c>
      <c r="AA37" s="74" t="e">
        <f>data2!X32*$B$6/AA$6</f>
        <v>#DIV/0!</v>
      </c>
      <c r="AB37" s="74" t="e">
        <f>data2!Y32*$B$6/AB$6</f>
        <v>#DIV/0!</v>
      </c>
      <c r="AC37" s="74" t="e">
        <f>data2!Z32*$B$6/AC$6</f>
        <v>#DIV/0!</v>
      </c>
      <c r="AD37" s="74" t="e">
        <f>data2!AA32*$B$6/AD$6</f>
        <v>#DIV/0!</v>
      </c>
      <c r="AE37" s="74" t="e">
        <f>data2!AB32*$B$6/AE$6</f>
        <v>#DIV/0!</v>
      </c>
      <c r="AF37" s="74" t="e">
        <f>data2!AC32*$B$6/AF$6</f>
        <v>#DIV/0!</v>
      </c>
      <c r="AG37" s="74" t="e">
        <f>data2!AD32*$B$6/AG$6</f>
        <v>#DIV/0!</v>
      </c>
      <c r="AH37" s="74" t="e">
        <f>data2!AE32*$B$6/AH$6</f>
        <v>#DIV/0!</v>
      </c>
      <c r="AI37" s="74" t="e">
        <f>data2!AF32*$B$6/AI$6</f>
        <v>#DIV/0!</v>
      </c>
      <c r="AJ37" s="74" t="e">
        <f>data2!AG32*$B$6/AJ$6</f>
        <v>#DIV/0!</v>
      </c>
    </row>
    <row r="38" spans="1:36">
      <c r="A38" s="29">
        <f>data0!A33</f>
        <v>3</v>
      </c>
      <c r="B38" s="74" t="e">
        <f>AVERAGE(data2!B33:AG33)</f>
        <v>#DIV/0!</v>
      </c>
      <c r="C38" s="74" t="e">
        <f t="shared" si="0"/>
        <v>#DIV/0!</v>
      </c>
      <c r="D38" s="74" t="e">
        <f t="shared" si="1"/>
        <v>#DIV/0!</v>
      </c>
      <c r="E38" s="74" t="e">
        <f>data2!B33*$B$6/E$6</f>
        <v>#DIV/0!</v>
      </c>
      <c r="F38" s="74" t="e">
        <f>data2!C33*$B$6/F$6</f>
        <v>#DIV/0!</v>
      </c>
      <c r="G38" s="74" t="e">
        <f>data2!D33*$B$6/G$6</f>
        <v>#DIV/0!</v>
      </c>
      <c r="H38" s="74" t="e">
        <f>data2!E33*$B$6/H$6</f>
        <v>#DIV/0!</v>
      </c>
      <c r="I38" s="74" t="e">
        <f>data2!F33*$B$6/I$6</f>
        <v>#DIV/0!</v>
      </c>
      <c r="J38" s="74" t="e">
        <f>data2!G33*$B$6/J$6</f>
        <v>#DIV/0!</v>
      </c>
      <c r="K38" s="74" t="e">
        <f>data2!H33*$B$6/K$6</f>
        <v>#DIV/0!</v>
      </c>
      <c r="L38" s="74" t="e">
        <f>data2!I33*$B$6/L$6</f>
        <v>#DIV/0!</v>
      </c>
      <c r="M38" s="74" t="e">
        <f>data2!J33*$B$6/M$6</f>
        <v>#DIV/0!</v>
      </c>
      <c r="N38" s="74" t="e">
        <f>data2!K33*$B$6/N$6</f>
        <v>#DIV/0!</v>
      </c>
      <c r="O38" s="74" t="e">
        <f>data2!L33*$B$6/O$6</f>
        <v>#DIV/0!</v>
      </c>
      <c r="P38" s="74" t="e">
        <f>data2!M33*$B$6/P$6</f>
        <v>#DIV/0!</v>
      </c>
      <c r="Q38" s="74" t="e">
        <f>data2!N33*$B$6/Q$6</f>
        <v>#DIV/0!</v>
      </c>
      <c r="R38" s="74" t="e">
        <f>data2!O33*$B$6/R$6</f>
        <v>#DIV/0!</v>
      </c>
      <c r="S38" s="74" t="e">
        <f>data2!P33*$B$6/S$6</f>
        <v>#DIV/0!</v>
      </c>
      <c r="T38" s="74" t="e">
        <f>data2!Q33*$B$6/T$6</f>
        <v>#DIV/0!</v>
      </c>
      <c r="U38" s="74" t="e">
        <f>data2!R33*$B$6/U$6</f>
        <v>#DIV/0!</v>
      </c>
      <c r="V38" s="74" t="e">
        <f>data2!S33*$B$6/V$6</f>
        <v>#DIV/0!</v>
      </c>
      <c r="W38" s="74" t="e">
        <f>data2!T33*$B$6/W$6</f>
        <v>#DIV/0!</v>
      </c>
      <c r="X38" s="74" t="e">
        <f>data2!U33*$B$6/X$6</f>
        <v>#DIV/0!</v>
      </c>
      <c r="Y38" s="74" t="e">
        <f>data2!V33*$B$6/Y$6</f>
        <v>#DIV/0!</v>
      </c>
      <c r="Z38" s="74" t="e">
        <f>data2!W33*$B$6/Z$6</f>
        <v>#DIV/0!</v>
      </c>
      <c r="AA38" s="74" t="e">
        <f>data2!X33*$B$6/AA$6</f>
        <v>#DIV/0!</v>
      </c>
      <c r="AB38" s="74" t="e">
        <f>data2!Y33*$B$6/AB$6</f>
        <v>#DIV/0!</v>
      </c>
      <c r="AC38" s="74" t="e">
        <f>data2!Z33*$B$6/AC$6</f>
        <v>#DIV/0!</v>
      </c>
      <c r="AD38" s="74" t="e">
        <f>data2!AA33*$B$6/AD$6</f>
        <v>#DIV/0!</v>
      </c>
      <c r="AE38" s="74" t="e">
        <f>data2!AB33*$B$6/AE$6</f>
        <v>#DIV/0!</v>
      </c>
      <c r="AF38" s="74" t="e">
        <f>data2!AC33*$B$6/AF$6</f>
        <v>#DIV/0!</v>
      </c>
      <c r="AG38" s="74" t="e">
        <f>data2!AD33*$B$6/AG$6</f>
        <v>#DIV/0!</v>
      </c>
      <c r="AH38" s="74" t="e">
        <f>data2!AE33*$B$6/AH$6</f>
        <v>#DIV/0!</v>
      </c>
      <c r="AI38" s="74" t="e">
        <f>data2!AF33*$B$6/AI$6</f>
        <v>#DIV/0!</v>
      </c>
      <c r="AJ38" s="74" t="e">
        <f>data2!AG33*$B$6/AJ$6</f>
        <v>#DIV/0!</v>
      </c>
    </row>
    <row r="39" spans="1:36">
      <c r="A39" s="29">
        <f>data0!A34</f>
        <v>6</v>
      </c>
      <c r="B39" s="74" t="e">
        <f>AVERAGE(data2!B34:AG34)</f>
        <v>#DIV/0!</v>
      </c>
      <c r="C39" s="74" t="e">
        <f t="shared" si="0"/>
        <v>#DIV/0!</v>
      </c>
      <c r="D39" s="74" t="e">
        <f t="shared" si="1"/>
        <v>#DIV/0!</v>
      </c>
      <c r="E39" s="74" t="e">
        <f>data2!B34*$B$6/E$6</f>
        <v>#DIV/0!</v>
      </c>
      <c r="F39" s="74" t="e">
        <f>data2!C34*$B$6/F$6</f>
        <v>#DIV/0!</v>
      </c>
      <c r="G39" s="74" t="e">
        <f>data2!D34*$B$6/G$6</f>
        <v>#DIV/0!</v>
      </c>
      <c r="H39" s="74" t="e">
        <f>data2!E34*$B$6/H$6</f>
        <v>#DIV/0!</v>
      </c>
      <c r="I39" s="74" t="e">
        <f>data2!F34*$B$6/I$6</f>
        <v>#DIV/0!</v>
      </c>
      <c r="J39" s="74" t="e">
        <f>data2!G34*$B$6/J$6</f>
        <v>#DIV/0!</v>
      </c>
      <c r="K39" s="74" t="e">
        <f>data2!H34*$B$6/K$6</f>
        <v>#DIV/0!</v>
      </c>
      <c r="L39" s="74" t="e">
        <f>data2!I34*$B$6/L$6</f>
        <v>#DIV/0!</v>
      </c>
      <c r="M39" s="74" t="e">
        <f>data2!J34*$B$6/M$6</f>
        <v>#DIV/0!</v>
      </c>
      <c r="N39" s="74" t="e">
        <f>data2!K34*$B$6/N$6</f>
        <v>#DIV/0!</v>
      </c>
      <c r="O39" s="74" t="e">
        <f>data2!L34*$B$6/O$6</f>
        <v>#DIV/0!</v>
      </c>
      <c r="P39" s="74" t="e">
        <f>data2!M34*$B$6/P$6</f>
        <v>#DIV/0!</v>
      </c>
      <c r="Q39" s="74" t="e">
        <f>data2!N34*$B$6/Q$6</f>
        <v>#DIV/0!</v>
      </c>
      <c r="R39" s="74" t="e">
        <f>data2!O34*$B$6/R$6</f>
        <v>#DIV/0!</v>
      </c>
      <c r="S39" s="74" t="e">
        <f>data2!P34*$B$6/S$6</f>
        <v>#DIV/0!</v>
      </c>
      <c r="T39" s="74" t="e">
        <f>data2!Q34*$B$6/T$6</f>
        <v>#DIV/0!</v>
      </c>
      <c r="U39" s="74" t="e">
        <f>data2!R34*$B$6/U$6</f>
        <v>#DIV/0!</v>
      </c>
      <c r="V39" s="74" t="e">
        <f>data2!S34*$B$6/V$6</f>
        <v>#DIV/0!</v>
      </c>
      <c r="W39" s="74" t="e">
        <f>data2!T34*$B$6/W$6</f>
        <v>#DIV/0!</v>
      </c>
      <c r="X39" s="74" t="e">
        <f>data2!U34*$B$6/X$6</f>
        <v>#DIV/0!</v>
      </c>
      <c r="Y39" s="74" t="e">
        <f>data2!V34*$B$6/Y$6</f>
        <v>#DIV/0!</v>
      </c>
      <c r="Z39" s="74" t="e">
        <f>data2!W34*$B$6/Z$6</f>
        <v>#DIV/0!</v>
      </c>
      <c r="AA39" s="74" t="e">
        <f>data2!X34*$B$6/AA$6</f>
        <v>#DIV/0!</v>
      </c>
      <c r="AB39" s="74" t="e">
        <f>data2!Y34*$B$6/AB$6</f>
        <v>#DIV/0!</v>
      </c>
      <c r="AC39" s="74" t="e">
        <f>data2!Z34*$B$6/AC$6</f>
        <v>#DIV/0!</v>
      </c>
      <c r="AD39" s="74" t="e">
        <f>data2!AA34*$B$6/AD$6</f>
        <v>#DIV/0!</v>
      </c>
      <c r="AE39" s="74" t="e">
        <f>data2!AB34*$B$6/AE$6</f>
        <v>#DIV/0!</v>
      </c>
      <c r="AF39" s="74" t="e">
        <f>data2!AC34*$B$6/AF$6</f>
        <v>#DIV/0!</v>
      </c>
      <c r="AG39" s="74" t="e">
        <f>data2!AD34*$B$6/AG$6</f>
        <v>#DIV/0!</v>
      </c>
      <c r="AH39" s="74" t="e">
        <f>data2!AE34*$B$6/AH$6</f>
        <v>#DIV/0!</v>
      </c>
      <c r="AI39" s="74" t="e">
        <f>data2!AF34*$B$6/AI$6</f>
        <v>#DIV/0!</v>
      </c>
      <c r="AJ39" s="74" t="e">
        <f>data2!AG34*$B$6/AJ$6</f>
        <v>#DIV/0!</v>
      </c>
    </row>
    <row r="40" spans="1:36">
      <c r="A40" s="29">
        <f>data0!A35</f>
        <v>9</v>
      </c>
      <c r="B40" s="74" t="e">
        <f>AVERAGE(data2!B35:AG35)</f>
        <v>#DIV/0!</v>
      </c>
      <c r="C40" s="74" t="e">
        <f t="shared" si="0"/>
        <v>#DIV/0!</v>
      </c>
      <c r="D40" s="74" t="e">
        <f t="shared" si="1"/>
        <v>#DIV/0!</v>
      </c>
      <c r="E40" s="74" t="e">
        <f>data2!B35*$B$6/E$6</f>
        <v>#DIV/0!</v>
      </c>
      <c r="F40" s="74" t="e">
        <f>data2!C35*$B$6/F$6</f>
        <v>#DIV/0!</v>
      </c>
      <c r="G40" s="74" t="e">
        <f>data2!D35*$B$6/G$6</f>
        <v>#DIV/0!</v>
      </c>
      <c r="H40" s="74" t="e">
        <f>data2!E35*$B$6/H$6</f>
        <v>#DIV/0!</v>
      </c>
      <c r="I40" s="74" t="e">
        <f>data2!F35*$B$6/I$6</f>
        <v>#DIV/0!</v>
      </c>
      <c r="J40" s="74" t="e">
        <f>data2!G35*$B$6/J$6</f>
        <v>#DIV/0!</v>
      </c>
      <c r="K40" s="74" t="e">
        <f>data2!H35*$B$6/K$6</f>
        <v>#DIV/0!</v>
      </c>
      <c r="L40" s="74" t="e">
        <f>data2!I35*$B$6/L$6</f>
        <v>#DIV/0!</v>
      </c>
      <c r="M40" s="74" t="e">
        <f>data2!J35*$B$6/M$6</f>
        <v>#DIV/0!</v>
      </c>
      <c r="N40" s="74" t="e">
        <f>data2!K35*$B$6/N$6</f>
        <v>#DIV/0!</v>
      </c>
      <c r="O40" s="74" t="e">
        <f>data2!L35*$B$6/O$6</f>
        <v>#DIV/0!</v>
      </c>
      <c r="P40" s="74" t="e">
        <f>data2!M35*$B$6/P$6</f>
        <v>#DIV/0!</v>
      </c>
      <c r="Q40" s="74" t="e">
        <f>data2!N35*$B$6/Q$6</f>
        <v>#DIV/0!</v>
      </c>
      <c r="R40" s="74" t="e">
        <f>data2!O35*$B$6/R$6</f>
        <v>#DIV/0!</v>
      </c>
      <c r="S40" s="74" t="e">
        <f>data2!P35*$B$6/S$6</f>
        <v>#DIV/0!</v>
      </c>
      <c r="T40" s="74" t="e">
        <f>data2!Q35*$B$6/T$6</f>
        <v>#DIV/0!</v>
      </c>
      <c r="U40" s="74" t="e">
        <f>data2!R35*$B$6/U$6</f>
        <v>#DIV/0!</v>
      </c>
      <c r="V40" s="74" t="e">
        <f>data2!S35*$B$6/V$6</f>
        <v>#DIV/0!</v>
      </c>
      <c r="W40" s="74" t="e">
        <f>data2!T35*$B$6/W$6</f>
        <v>#DIV/0!</v>
      </c>
      <c r="X40" s="74" t="e">
        <f>data2!U35*$B$6/X$6</f>
        <v>#DIV/0!</v>
      </c>
      <c r="Y40" s="74" t="e">
        <f>data2!V35*$B$6/Y$6</f>
        <v>#DIV/0!</v>
      </c>
      <c r="Z40" s="74" t="e">
        <f>data2!W35*$B$6/Z$6</f>
        <v>#DIV/0!</v>
      </c>
      <c r="AA40" s="74" t="e">
        <f>data2!X35*$B$6/AA$6</f>
        <v>#DIV/0!</v>
      </c>
      <c r="AB40" s="74" t="e">
        <f>data2!Y35*$B$6/AB$6</f>
        <v>#DIV/0!</v>
      </c>
      <c r="AC40" s="74" t="e">
        <f>data2!Z35*$B$6/AC$6</f>
        <v>#DIV/0!</v>
      </c>
      <c r="AD40" s="74" t="e">
        <f>data2!AA35*$B$6/AD$6</f>
        <v>#DIV/0!</v>
      </c>
      <c r="AE40" s="74" t="e">
        <f>data2!AB35*$B$6/AE$6</f>
        <v>#DIV/0!</v>
      </c>
      <c r="AF40" s="74" t="e">
        <f>data2!AC35*$B$6/AF$6</f>
        <v>#DIV/0!</v>
      </c>
      <c r="AG40" s="74" t="e">
        <f>data2!AD35*$B$6/AG$6</f>
        <v>#DIV/0!</v>
      </c>
      <c r="AH40" s="74" t="e">
        <f>data2!AE35*$B$6/AH$6</f>
        <v>#DIV/0!</v>
      </c>
      <c r="AI40" s="74" t="e">
        <f>data2!AF35*$B$6/AI$6</f>
        <v>#DIV/0!</v>
      </c>
      <c r="AJ40" s="74" t="e">
        <f>data2!AG35*$B$6/AJ$6</f>
        <v>#DIV/0!</v>
      </c>
    </row>
    <row r="41" spans="1:36">
      <c r="A41" s="29">
        <f>data0!A36</f>
        <v>12</v>
      </c>
      <c r="B41" s="74" t="e">
        <f>AVERAGE(data2!B36:AG36)</f>
        <v>#DIV/0!</v>
      </c>
      <c r="C41" s="74" t="e">
        <f t="shared" si="0"/>
        <v>#DIV/0!</v>
      </c>
      <c r="D41" s="74" t="e">
        <f t="shared" si="1"/>
        <v>#DIV/0!</v>
      </c>
      <c r="E41" s="74" t="e">
        <f>data2!B36*$B$6/E$6</f>
        <v>#DIV/0!</v>
      </c>
      <c r="F41" s="74" t="e">
        <f>data2!C36*$B$6/F$6</f>
        <v>#DIV/0!</v>
      </c>
      <c r="G41" s="74" t="e">
        <f>data2!D36*$B$6/G$6</f>
        <v>#DIV/0!</v>
      </c>
      <c r="H41" s="74" t="e">
        <f>data2!E36*$B$6/H$6</f>
        <v>#DIV/0!</v>
      </c>
      <c r="I41" s="74" t="e">
        <f>data2!F36*$B$6/I$6</f>
        <v>#DIV/0!</v>
      </c>
      <c r="J41" s="74" t="e">
        <f>data2!G36*$B$6/J$6</f>
        <v>#DIV/0!</v>
      </c>
      <c r="K41" s="74" t="e">
        <f>data2!H36*$B$6/K$6</f>
        <v>#DIV/0!</v>
      </c>
      <c r="L41" s="74" t="e">
        <f>data2!I36*$B$6/L$6</f>
        <v>#DIV/0!</v>
      </c>
      <c r="M41" s="74" t="e">
        <f>data2!J36*$B$6/M$6</f>
        <v>#DIV/0!</v>
      </c>
      <c r="N41" s="74" t="e">
        <f>data2!K36*$B$6/N$6</f>
        <v>#DIV/0!</v>
      </c>
      <c r="O41" s="74" t="e">
        <f>data2!L36*$B$6/O$6</f>
        <v>#DIV/0!</v>
      </c>
      <c r="P41" s="74" t="e">
        <f>data2!M36*$B$6/P$6</f>
        <v>#DIV/0!</v>
      </c>
      <c r="Q41" s="74" t="e">
        <f>data2!N36*$B$6/Q$6</f>
        <v>#DIV/0!</v>
      </c>
      <c r="R41" s="74" t="e">
        <f>data2!O36*$B$6/R$6</f>
        <v>#DIV/0!</v>
      </c>
      <c r="S41" s="74" t="e">
        <f>data2!P36*$B$6/S$6</f>
        <v>#DIV/0!</v>
      </c>
      <c r="T41" s="74" t="e">
        <f>data2!Q36*$B$6/T$6</f>
        <v>#DIV/0!</v>
      </c>
      <c r="U41" s="74" t="e">
        <f>data2!R36*$B$6/U$6</f>
        <v>#DIV/0!</v>
      </c>
      <c r="V41" s="74" t="e">
        <f>data2!S36*$B$6/V$6</f>
        <v>#DIV/0!</v>
      </c>
      <c r="W41" s="74" t="e">
        <f>data2!T36*$B$6/W$6</f>
        <v>#DIV/0!</v>
      </c>
      <c r="X41" s="74" t="e">
        <f>data2!U36*$B$6/X$6</f>
        <v>#DIV/0!</v>
      </c>
      <c r="Y41" s="74" t="e">
        <f>data2!V36*$B$6/Y$6</f>
        <v>#DIV/0!</v>
      </c>
      <c r="Z41" s="74" t="e">
        <f>data2!W36*$B$6/Z$6</f>
        <v>#DIV/0!</v>
      </c>
      <c r="AA41" s="74" t="e">
        <f>data2!X36*$B$6/AA$6</f>
        <v>#DIV/0!</v>
      </c>
      <c r="AB41" s="74" t="e">
        <f>data2!Y36*$B$6/AB$6</f>
        <v>#DIV/0!</v>
      </c>
      <c r="AC41" s="74" t="e">
        <f>data2!Z36*$B$6/AC$6</f>
        <v>#DIV/0!</v>
      </c>
      <c r="AD41" s="74" t="e">
        <f>data2!AA36*$B$6/AD$6</f>
        <v>#DIV/0!</v>
      </c>
      <c r="AE41" s="74" t="e">
        <f>data2!AB36*$B$6/AE$6</f>
        <v>#DIV/0!</v>
      </c>
      <c r="AF41" s="74" t="e">
        <f>data2!AC36*$B$6/AF$6</f>
        <v>#DIV/0!</v>
      </c>
      <c r="AG41" s="74" t="e">
        <f>data2!AD36*$B$6/AG$6</f>
        <v>#DIV/0!</v>
      </c>
      <c r="AH41" s="74" t="e">
        <f>data2!AE36*$B$6/AH$6</f>
        <v>#DIV/0!</v>
      </c>
      <c r="AI41" s="74" t="e">
        <f>data2!AF36*$B$6/AI$6</f>
        <v>#DIV/0!</v>
      </c>
      <c r="AJ41" s="74" t="e">
        <f>data2!AG36*$B$6/AJ$6</f>
        <v>#DIV/0!</v>
      </c>
    </row>
    <row r="42" spans="1:36">
      <c r="A42" s="29">
        <f>data0!A37</f>
        <v>15</v>
      </c>
      <c r="B42" s="74" t="e">
        <f>AVERAGE(data2!B37:AG37)</f>
        <v>#DIV/0!</v>
      </c>
      <c r="C42" s="74" t="e">
        <f t="shared" si="0"/>
        <v>#DIV/0!</v>
      </c>
      <c r="D42" s="74" t="e">
        <f t="shared" si="1"/>
        <v>#DIV/0!</v>
      </c>
      <c r="E42" s="74" t="e">
        <f>data2!B37*$B$6/E$6</f>
        <v>#DIV/0!</v>
      </c>
      <c r="F42" s="74" t="e">
        <f>data2!C37*$B$6/F$6</f>
        <v>#DIV/0!</v>
      </c>
      <c r="G42" s="74" t="e">
        <f>data2!D37*$B$6/G$6</f>
        <v>#DIV/0!</v>
      </c>
      <c r="H42" s="74" t="e">
        <f>data2!E37*$B$6/H$6</f>
        <v>#DIV/0!</v>
      </c>
      <c r="I42" s="74" t="e">
        <f>data2!F37*$B$6/I$6</f>
        <v>#DIV/0!</v>
      </c>
      <c r="J42" s="74" t="e">
        <f>data2!G37*$B$6/J$6</f>
        <v>#DIV/0!</v>
      </c>
      <c r="K42" s="74" t="e">
        <f>data2!H37*$B$6/K$6</f>
        <v>#DIV/0!</v>
      </c>
      <c r="L42" s="74" t="e">
        <f>data2!I37*$B$6/L$6</f>
        <v>#DIV/0!</v>
      </c>
      <c r="M42" s="74" t="e">
        <f>data2!J37*$B$6/M$6</f>
        <v>#DIV/0!</v>
      </c>
      <c r="N42" s="74" t="e">
        <f>data2!K37*$B$6/N$6</f>
        <v>#DIV/0!</v>
      </c>
      <c r="O42" s="74" t="e">
        <f>data2!L37*$B$6/O$6</f>
        <v>#DIV/0!</v>
      </c>
      <c r="P42" s="74" t="e">
        <f>data2!M37*$B$6/P$6</f>
        <v>#DIV/0!</v>
      </c>
      <c r="Q42" s="74" t="e">
        <f>data2!N37*$B$6/Q$6</f>
        <v>#DIV/0!</v>
      </c>
      <c r="R42" s="74" t="e">
        <f>data2!O37*$B$6/R$6</f>
        <v>#DIV/0!</v>
      </c>
      <c r="S42" s="74" t="e">
        <f>data2!P37*$B$6/S$6</f>
        <v>#DIV/0!</v>
      </c>
      <c r="T42" s="74" t="e">
        <f>data2!Q37*$B$6/T$6</f>
        <v>#DIV/0!</v>
      </c>
      <c r="U42" s="74" t="e">
        <f>data2!R37*$B$6/U$6</f>
        <v>#DIV/0!</v>
      </c>
      <c r="V42" s="74" t="e">
        <f>data2!S37*$B$6/V$6</f>
        <v>#DIV/0!</v>
      </c>
      <c r="W42" s="74" t="e">
        <f>data2!T37*$B$6/W$6</f>
        <v>#DIV/0!</v>
      </c>
      <c r="X42" s="74" t="e">
        <f>data2!U37*$B$6/X$6</f>
        <v>#DIV/0!</v>
      </c>
      <c r="Y42" s="74" t="e">
        <f>data2!V37*$B$6/Y$6</f>
        <v>#DIV/0!</v>
      </c>
      <c r="Z42" s="74" t="e">
        <f>data2!W37*$B$6/Z$6</f>
        <v>#DIV/0!</v>
      </c>
      <c r="AA42" s="74" t="e">
        <f>data2!X37*$B$6/AA$6</f>
        <v>#DIV/0!</v>
      </c>
      <c r="AB42" s="74" t="e">
        <f>data2!Y37*$B$6/AB$6</f>
        <v>#DIV/0!</v>
      </c>
      <c r="AC42" s="74" t="e">
        <f>data2!Z37*$B$6/AC$6</f>
        <v>#DIV/0!</v>
      </c>
      <c r="AD42" s="74" t="e">
        <f>data2!AA37*$B$6/AD$6</f>
        <v>#DIV/0!</v>
      </c>
      <c r="AE42" s="74" t="e">
        <f>data2!AB37*$B$6/AE$6</f>
        <v>#DIV/0!</v>
      </c>
      <c r="AF42" s="74" t="e">
        <f>data2!AC37*$B$6/AF$6</f>
        <v>#DIV/0!</v>
      </c>
      <c r="AG42" s="74" t="e">
        <f>data2!AD37*$B$6/AG$6</f>
        <v>#DIV/0!</v>
      </c>
      <c r="AH42" s="74" t="e">
        <f>data2!AE37*$B$6/AH$6</f>
        <v>#DIV/0!</v>
      </c>
      <c r="AI42" s="74" t="e">
        <f>data2!AF37*$B$6/AI$6</f>
        <v>#DIV/0!</v>
      </c>
      <c r="AJ42" s="74" t="e">
        <f>data2!AG37*$B$6/AJ$6</f>
        <v>#DIV/0!</v>
      </c>
    </row>
    <row r="43" spans="1:36">
      <c r="A43" s="29">
        <f>data0!A38</f>
        <v>18</v>
      </c>
      <c r="B43" s="74" t="e">
        <f>AVERAGE(data2!B38:AG38)</f>
        <v>#DIV/0!</v>
      </c>
      <c r="C43" s="74" t="e">
        <f t="shared" si="0"/>
        <v>#DIV/0!</v>
      </c>
      <c r="D43" s="74" t="e">
        <f t="shared" si="1"/>
        <v>#DIV/0!</v>
      </c>
      <c r="E43" s="74" t="e">
        <f>data2!B38*$B$6/E$6</f>
        <v>#DIV/0!</v>
      </c>
      <c r="F43" s="74" t="e">
        <f>data2!C38*$B$6/F$6</f>
        <v>#DIV/0!</v>
      </c>
      <c r="G43" s="74" t="e">
        <f>data2!D38*$B$6/G$6</f>
        <v>#DIV/0!</v>
      </c>
      <c r="H43" s="74" t="e">
        <f>data2!E38*$B$6/H$6</f>
        <v>#DIV/0!</v>
      </c>
      <c r="I43" s="74" t="e">
        <f>data2!F38*$B$6/I$6</f>
        <v>#DIV/0!</v>
      </c>
      <c r="J43" s="74" t="e">
        <f>data2!G38*$B$6/J$6</f>
        <v>#DIV/0!</v>
      </c>
      <c r="K43" s="74" t="e">
        <f>data2!H38*$B$6/K$6</f>
        <v>#DIV/0!</v>
      </c>
      <c r="L43" s="74" t="e">
        <f>data2!I38*$B$6/L$6</f>
        <v>#DIV/0!</v>
      </c>
      <c r="M43" s="74" t="e">
        <f>data2!J38*$B$6/M$6</f>
        <v>#DIV/0!</v>
      </c>
      <c r="N43" s="74" t="e">
        <f>data2!K38*$B$6/N$6</f>
        <v>#DIV/0!</v>
      </c>
      <c r="O43" s="74" t="e">
        <f>data2!L38*$B$6/O$6</f>
        <v>#DIV/0!</v>
      </c>
      <c r="P43" s="74" t="e">
        <f>data2!M38*$B$6/P$6</f>
        <v>#DIV/0!</v>
      </c>
      <c r="Q43" s="74" t="e">
        <f>data2!N38*$B$6/Q$6</f>
        <v>#DIV/0!</v>
      </c>
      <c r="R43" s="74" t="e">
        <f>data2!O38*$B$6/R$6</f>
        <v>#DIV/0!</v>
      </c>
      <c r="S43" s="74" t="e">
        <f>data2!P38*$B$6/S$6</f>
        <v>#DIV/0!</v>
      </c>
      <c r="T43" s="74" t="e">
        <f>data2!Q38*$B$6/T$6</f>
        <v>#DIV/0!</v>
      </c>
      <c r="U43" s="74" t="e">
        <f>data2!R38*$B$6/U$6</f>
        <v>#DIV/0!</v>
      </c>
      <c r="V43" s="74" t="e">
        <f>data2!S38*$B$6/V$6</f>
        <v>#DIV/0!</v>
      </c>
      <c r="W43" s="74" t="e">
        <f>data2!T38*$B$6/W$6</f>
        <v>#DIV/0!</v>
      </c>
      <c r="X43" s="74" t="e">
        <f>data2!U38*$B$6/X$6</f>
        <v>#DIV/0!</v>
      </c>
      <c r="Y43" s="74" t="e">
        <f>data2!V38*$B$6/Y$6</f>
        <v>#DIV/0!</v>
      </c>
      <c r="Z43" s="74" t="e">
        <f>data2!W38*$B$6/Z$6</f>
        <v>#DIV/0!</v>
      </c>
      <c r="AA43" s="74" t="e">
        <f>data2!X38*$B$6/AA$6</f>
        <v>#DIV/0!</v>
      </c>
      <c r="AB43" s="74" t="e">
        <f>data2!Y38*$B$6/AB$6</f>
        <v>#DIV/0!</v>
      </c>
      <c r="AC43" s="74" t="e">
        <f>data2!Z38*$B$6/AC$6</f>
        <v>#DIV/0!</v>
      </c>
      <c r="AD43" s="74" t="e">
        <f>data2!AA38*$B$6/AD$6</f>
        <v>#DIV/0!</v>
      </c>
      <c r="AE43" s="74" t="e">
        <f>data2!AB38*$B$6/AE$6</f>
        <v>#DIV/0!</v>
      </c>
      <c r="AF43" s="74" t="e">
        <f>data2!AC38*$B$6/AF$6</f>
        <v>#DIV/0!</v>
      </c>
      <c r="AG43" s="74" t="e">
        <f>data2!AD38*$B$6/AG$6</f>
        <v>#DIV/0!</v>
      </c>
      <c r="AH43" s="74" t="e">
        <f>data2!AE38*$B$6/AH$6</f>
        <v>#DIV/0!</v>
      </c>
      <c r="AI43" s="74" t="e">
        <f>data2!AF38*$B$6/AI$6</f>
        <v>#DIV/0!</v>
      </c>
      <c r="AJ43" s="74" t="e">
        <f>data2!AG38*$B$6/AJ$6</f>
        <v>#DIV/0!</v>
      </c>
    </row>
    <row r="44" spans="1:36">
      <c r="A44" s="29">
        <f>data0!A39</f>
        <v>21</v>
      </c>
      <c r="B44" s="74" t="e">
        <f>AVERAGE(data2!B39:AG39)</f>
        <v>#DIV/0!</v>
      </c>
      <c r="C44" s="74" t="e">
        <f t="shared" si="0"/>
        <v>#DIV/0!</v>
      </c>
      <c r="D44" s="74" t="e">
        <f t="shared" si="1"/>
        <v>#DIV/0!</v>
      </c>
      <c r="E44" s="74" t="e">
        <f>data2!B39*$B$6/E$6</f>
        <v>#DIV/0!</v>
      </c>
      <c r="F44" s="74" t="e">
        <f>data2!C39*$B$6/F$6</f>
        <v>#DIV/0!</v>
      </c>
      <c r="G44" s="74" t="e">
        <f>data2!D39*$B$6/G$6</f>
        <v>#DIV/0!</v>
      </c>
      <c r="H44" s="74" t="e">
        <f>data2!E39*$B$6/H$6</f>
        <v>#DIV/0!</v>
      </c>
      <c r="I44" s="74" t="e">
        <f>data2!F39*$B$6/I$6</f>
        <v>#DIV/0!</v>
      </c>
      <c r="J44" s="74" t="e">
        <f>data2!G39*$B$6/J$6</f>
        <v>#DIV/0!</v>
      </c>
      <c r="K44" s="74" t="e">
        <f>data2!H39*$B$6/K$6</f>
        <v>#DIV/0!</v>
      </c>
      <c r="L44" s="74" t="e">
        <f>data2!I39*$B$6/L$6</f>
        <v>#DIV/0!</v>
      </c>
      <c r="M44" s="74" t="e">
        <f>data2!J39*$B$6/M$6</f>
        <v>#DIV/0!</v>
      </c>
      <c r="N44" s="74" t="e">
        <f>data2!K39*$B$6/N$6</f>
        <v>#DIV/0!</v>
      </c>
      <c r="O44" s="74" t="e">
        <f>data2!L39*$B$6/O$6</f>
        <v>#DIV/0!</v>
      </c>
      <c r="P44" s="74" t="e">
        <f>data2!M39*$B$6/P$6</f>
        <v>#DIV/0!</v>
      </c>
      <c r="Q44" s="74" t="e">
        <f>data2!N39*$B$6/Q$6</f>
        <v>#DIV/0!</v>
      </c>
      <c r="R44" s="74" t="e">
        <f>data2!O39*$B$6/R$6</f>
        <v>#DIV/0!</v>
      </c>
      <c r="S44" s="74" t="e">
        <f>data2!P39*$B$6/S$6</f>
        <v>#DIV/0!</v>
      </c>
      <c r="T44" s="74" t="e">
        <f>data2!Q39*$B$6/T$6</f>
        <v>#DIV/0!</v>
      </c>
      <c r="U44" s="74" t="e">
        <f>data2!R39*$B$6/U$6</f>
        <v>#DIV/0!</v>
      </c>
      <c r="V44" s="74" t="e">
        <f>data2!S39*$B$6/V$6</f>
        <v>#DIV/0!</v>
      </c>
      <c r="W44" s="74" t="e">
        <f>data2!T39*$B$6/W$6</f>
        <v>#DIV/0!</v>
      </c>
      <c r="X44" s="74" t="e">
        <f>data2!U39*$B$6/X$6</f>
        <v>#DIV/0!</v>
      </c>
      <c r="Y44" s="74" t="e">
        <f>data2!V39*$B$6/Y$6</f>
        <v>#DIV/0!</v>
      </c>
      <c r="Z44" s="74" t="e">
        <f>data2!W39*$B$6/Z$6</f>
        <v>#DIV/0!</v>
      </c>
      <c r="AA44" s="74" t="e">
        <f>data2!X39*$B$6/AA$6</f>
        <v>#DIV/0!</v>
      </c>
      <c r="AB44" s="74" t="e">
        <f>data2!Y39*$B$6/AB$6</f>
        <v>#DIV/0!</v>
      </c>
      <c r="AC44" s="74" t="e">
        <f>data2!Z39*$B$6/AC$6</f>
        <v>#DIV/0!</v>
      </c>
      <c r="AD44" s="74" t="e">
        <f>data2!AA39*$B$6/AD$6</f>
        <v>#DIV/0!</v>
      </c>
      <c r="AE44" s="74" t="e">
        <f>data2!AB39*$B$6/AE$6</f>
        <v>#DIV/0!</v>
      </c>
      <c r="AF44" s="74" t="e">
        <f>data2!AC39*$B$6/AF$6</f>
        <v>#DIV/0!</v>
      </c>
      <c r="AG44" s="74" t="e">
        <f>data2!AD39*$B$6/AG$6</f>
        <v>#DIV/0!</v>
      </c>
      <c r="AH44" s="74" t="e">
        <f>data2!AE39*$B$6/AH$6</f>
        <v>#DIV/0!</v>
      </c>
      <c r="AI44" s="74" t="e">
        <f>data2!AF39*$B$6/AI$6</f>
        <v>#DIV/0!</v>
      </c>
      <c r="AJ44" s="74" t="e">
        <f>data2!AG39*$B$6/AJ$6</f>
        <v>#DIV/0!</v>
      </c>
    </row>
    <row r="45" spans="1:36">
      <c r="A45" s="29">
        <f>data0!A40</f>
        <v>24</v>
      </c>
      <c r="B45" s="74" t="e">
        <f>AVERAGE(data2!B40:AG40)</f>
        <v>#DIV/0!</v>
      </c>
      <c r="C45" s="74" t="e">
        <f t="shared" si="0"/>
        <v>#DIV/0!</v>
      </c>
      <c r="D45" s="74" t="e">
        <f t="shared" si="1"/>
        <v>#DIV/0!</v>
      </c>
      <c r="E45" s="74" t="e">
        <f>data2!B40*$B$6/E$6</f>
        <v>#DIV/0!</v>
      </c>
      <c r="F45" s="74" t="e">
        <f>data2!C40*$B$6/F$6</f>
        <v>#DIV/0!</v>
      </c>
      <c r="G45" s="74" t="e">
        <f>data2!D40*$B$6/G$6</f>
        <v>#DIV/0!</v>
      </c>
      <c r="H45" s="74" t="e">
        <f>data2!E40*$B$6/H$6</f>
        <v>#DIV/0!</v>
      </c>
      <c r="I45" s="74" t="e">
        <f>data2!F40*$B$6/I$6</f>
        <v>#DIV/0!</v>
      </c>
      <c r="J45" s="74" t="e">
        <f>data2!G40*$B$6/J$6</f>
        <v>#DIV/0!</v>
      </c>
      <c r="K45" s="74" t="e">
        <f>data2!H40*$B$6/K$6</f>
        <v>#DIV/0!</v>
      </c>
      <c r="L45" s="74" t="e">
        <f>data2!I40*$B$6/L$6</f>
        <v>#DIV/0!</v>
      </c>
      <c r="M45" s="74" t="e">
        <f>data2!J40*$B$6/M$6</f>
        <v>#DIV/0!</v>
      </c>
      <c r="N45" s="74" t="e">
        <f>data2!K40*$B$6/N$6</f>
        <v>#DIV/0!</v>
      </c>
      <c r="O45" s="74" t="e">
        <f>data2!L40*$B$6/O$6</f>
        <v>#DIV/0!</v>
      </c>
      <c r="P45" s="74" t="e">
        <f>data2!M40*$B$6/P$6</f>
        <v>#DIV/0!</v>
      </c>
      <c r="Q45" s="74" t="e">
        <f>data2!N40*$B$6/Q$6</f>
        <v>#DIV/0!</v>
      </c>
      <c r="R45" s="74" t="e">
        <f>data2!O40*$B$6/R$6</f>
        <v>#DIV/0!</v>
      </c>
      <c r="S45" s="74" t="e">
        <f>data2!P40*$B$6/S$6</f>
        <v>#DIV/0!</v>
      </c>
      <c r="T45" s="74" t="e">
        <f>data2!Q40*$B$6/T$6</f>
        <v>#DIV/0!</v>
      </c>
      <c r="U45" s="74" t="e">
        <f>data2!R40*$B$6/U$6</f>
        <v>#DIV/0!</v>
      </c>
      <c r="V45" s="74" t="e">
        <f>data2!S40*$B$6/V$6</f>
        <v>#DIV/0!</v>
      </c>
      <c r="W45" s="74" t="e">
        <f>data2!T40*$B$6/W$6</f>
        <v>#DIV/0!</v>
      </c>
      <c r="X45" s="74" t="e">
        <f>data2!U40*$B$6/X$6</f>
        <v>#DIV/0!</v>
      </c>
      <c r="Y45" s="74" t="e">
        <f>data2!V40*$B$6/Y$6</f>
        <v>#DIV/0!</v>
      </c>
      <c r="Z45" s="74" t="e">
        <f>data2!W40*$B$6/Z$6</f>
        <v>#DIV/0!</v>
      </c>
      <c r="AA45" s="74" t="e">
        <f>data2!X40*$B$6/AA$6</f>
        <v>#DIV/0!</v>
      </c>
      <c r="AB45" s="74" t="e">
        <f>data2!Y40*$B$6/AB$6</f>
        <v>#DIV/0!</v>
      </c>
      <c r="AC45" s="74" t="e">
        <f>data2!Z40*$B$6/AC$6</f>
        <v>#DIV/0!</v>
      </c>
      <c r="AD45" s="74" t="e">
        <f>data2!AA40*$B$6/AD$6</f>
        <v>#DIV/0!</v>
      </c>
      <c r="AE45" s="74" t="e">
        <f>data2!AB40*$B$6/AE$6</f>
        <v>#DIV/0!</v>
      </c>
      <c r="AF45" s="74" t="e">
        <f>data2!AC40*$B$6/AF$6</f>
        <v>#DIV/0!</v>
      </c>
      <c r="AG45" s="74" t="e">
        <f>data2!AD40*$B$6/AG$6</f>
        <v>#DIV/0!</v>
      </c>
      <c r="AH45" s="74" t="e">
        <f>data2!AE40*$B$6/AH$6</f>
        <v>#DIV/0!</v>
      </c>
      <c r="AI45" s="74" t="e">
        <f>data2!AF40*$B$6/AI$6</f>
        <v>#DIV/0!</v>
      </c>
      <c r="AJ45" s="74" t="e">
        <f>data2!AG40*$B$6/AJ$6</f>
        <v>#DIV/0!</v>
      </c>
    </row>
    <row r="46" spans="1:36">
      <c r="A46" s="29">
        <f>data0!A41</f>
        <v>27</v>
      </c>
      <c r="B46" s="74" t="e">
        <f>AVERAGE(data2!B41:AG41)</f>
        <v>#DIV/0!</v>
      </c>
      <c r="C46" s="74" t="e">
        <f t="shared" si="0"/>
        <v>#DIV/0!</v>
      </c>
      <c r="D46" s="74" t="e">
        <f t="shared" si="1"/>
        <v>#DIV/0!</v>
      </c>
      <c r="E46" s="74" t="e">
        <f>data2!B41*$B$6/E$6</f>
        <v>#DIV/0!</v>
      </c>
      <c r="F46" s="74" t="e">
        <f>data2!C41*$B$6/F$6</f>
        <v>#DIV/0!</v>
      </c>
      <c r="G46" s="74" t="e">
        <f>data2!D41*$B$6/G$6</f>
        <v>#DIV/0!</v>
      </c>
      <c r="H46" s="74" t="e">
        <f>data2!E41*$B$6/H$6</f>
        <v>#DIV/0!</v>
      </c>
      <c r="I46" s="74" t="e">
        <f>data2!F41*$B$6/I$6</f>
        <v>#DIV/0!</v>
      </c>
      <c r="J46" s="74" t="e">
        <f>data2!G41*$B$6/J$6</f>
        <v>#DIV/0!</v>
      </c>
      <c r="K46" s="74" t="e">
        <f>data2!H41*$B$6/K$6</f>
        <v>#DIV/0!</v>
      </c>
      <c r="L46" s="74" t="e">
        <f>data2!I41*$B$6/L$6</f>
        <v>#DIV/0!</v>
      </c>
      <c r="M46" s="74" t="e">
        <f>data2!J41*$B$6/M$6</f>
        <v>#DIV/0!</v>
      </c>
      <c r="N46" s="74" t="e">
        <f>data2!K41*$B$6/N$6</f>
        <v>#DIV/0!</v>
      </c>
      <c r="O46" s="74" t="e">
        <f>data2!L41*$B$6/O$6</f>
        <v>#DIV/0!</v>
      </c>
      <c r="P46" s="74" t="e">
        <f>data2!M41*$B$6/P$6</f>
        <v>#DIV/0!</v>
      </c>
      <c r="Q46" s="74" t="e">
        <f>data2!N41*$B$6/Q$6</f>
        <v>#DIV/0!</v>
      </c>
      <c r="R46" s="74" t="e">
        <f>data2!O41*$B$6/R$6</f>
        <v>#DIV/0!</v>
      </c>
      <c r="S46" s="74" t="e">
        <f>data2!P41*$B$6/S$6</f>
        <v>#DIV/0!</v>
      </c>
      <c r="T46" s="74" t="e">
        <f>data2!Q41*$B$6/T$6</f>
        <v>#DIV/0!</v>
      </c>
      <c r="U46" s="74" t="e">
        <f>data2!R41*$B$6/U$6</f>
        <v>#DIV/0!</v>
      </c>
      <c r="V46" s="74" t="e">
        <f>data2!S41*$B$6/V$6</f>
        <v>#DIV/0!</v>
      </c>
      <c r="W46" s="74" t="e">
        <f>data2!T41*$B$6/W$6</f>
        <v>#DIV/0!</v>
      </c>
      <c r="X46" s="74" t="e">
        <f>data2!U41*$B$6/X$6</f>
        <v>#DIV/0!</v>
      </c>
      <c r="Y46" s="74" t="e">
        <f>data2!V41*$B$6/Y$6</f>
        <v>#DIV/0!</v>
      </c>
      <c r="Z46" s="74" t="e">
        <f>data2!W41*$B$6/Z$6</f>
        <v>#DIV/0!</v>
      </c>
      <c r="AA46" s="74" t="e">
        <f>data2!X41*$B$6/AA$6</f>
        <v>#DIV/0!</v>
      </c>
      <c r="AB46" s="74" t="e">
        <f>data2!Y41*$B$6/AB$6</f>
        <v>#DIV/0!</v>
      </c>
      <c r="AC46" s="74" t="e">
        <f>data2!Z41*$B$6/AC$6</f>
        <v>#DIV/0!</v>
      </c>
      <c r="AD46" s="74" t="e">
        <f>data2!AA41*$B$6/AD$6</f>
        <v>#DIV/0!</v>
      </c>
      <c r="AE46" s="74" t="e">
        <f>data2!AB41*$B$6/AE$6</f>
        <v>#DIV/0!</v>
      </c>
      <c r="AF46" s="74" t="e">
        <f>data2!AC41*$B$6/AF$6</f>
        <v>#DIV/0!</v>
      </c>
      <c r="AG46" s="74" t="e">
        <f>data2!AD41*$B$6/AG$6</f>
        <v>#DIV/0!</v>
      </c>
      <c r="AH46" s="74" t="e">
        <f>data2!AE41*$B$6/AH$6</f>
        <v>#DIV/0!</v>
      </c>
      <c r="AI46" s="74" t="e">
        <f>data2!AF41*$B$6/AI$6</f>
        <v>#DIV/0!</v>
      </c>
      <c r="AJ46" s="74" t="e">
        <f>data2!AG41*$B$6/AJ$6</f>
        <v>#DIV/0!</v>
      </c>
    </row>
    <row r="47" spans="1:36">
      <c r="A47" s="29">
        <f>data0!A42</f>
        <v>30</v>
      </c>
      <c r="B47" s="74" t="e">
        <f>AVERAGE(data2!B42:AG42)</f>
        <v>#DIV/0!</v>
      </c>
      <c r="C47" s="74" t="e">
        <f t="shared" si="0"/>
        <v>#DIV/0!</v>
      </c>
      <c r="D47" s="74" t="e">
        <f t="shared" si="1"/>
        <v>#DIV/0!</v>
      </c>
      <c r="E47" s="74" t="e">
        <f>data2!B42*$B$6/E$6</f>
        <v>#DIV/0!</v>
      </c>
      <c r="F47" s="74" t="e">
        <f>data2!C42*$B$6/F$6</f>
        <v>#DIV/0!</v>
      </c>
      <c r="G47" s="74" t="e">
        <f>data2!D42*$B$6/G$6</f>
        <v>#DIV/0!</v>
      </c>
      <c r="H47" s="74" t="e">
        <f>data2!E42*$B$6/H$6</f>
        <v>#DIV/0!</v>
      </c>
      <c r="I47" s="74" t="e">
        <f>data2!F42*$B$6/I$6</f>
        <v>#DIV/0!</v>
      </c>
      <c r="J47" s="74" t="e">
        <f>data2!G42*$B$6/J$6</f>
        <v>#DIV/0!</v>
      </c>
      <c r="K47" s="74" t="e">
        <f>data2!H42*$B$6/K$6</f>
        <v>#DIV/0!</v>
      </c>
      <c r="L47" s="74" t="e">
        <f>data2!I42*$B$6/L$6</f>
        <v>#DIV/0!</v>
      </c>
      <c r="M47" s="74" t="e">
        <f>data2!J42*$B$6/M$6</f>
        <v>#DIV/0!</v>
      </c>
      <c r="N47" s="74" t="e">
        <f>data2!K42*$B$6/N$6</f>
        <v>#DIV/0!</v>
      </c>
      <c r="O47" s="74" t="e">
        <f>data2!L42*$B$6/O$6</f>
        <v>#DIV/0!</v>
      </c>
      <c r="P47" s="74" t="e">
        <f>data2!M42*$B$6/P$6</f>
        <v>#DIV/0!</v>
      </c>
      <c r="Q47" s="74" t="e">
        <f>data2!N42*$B$6/Q$6</f>
        <v>#DIV/0!</v>
      </c>
      <c r="R47" s="74" t="e">
        <f>data2!O42*$B$6/R$6</f>
        <v>#DIV/0!</v>
      </c>
      <c r="S47" s="74" t="e">
        <f>data2!P42*$B$6/S$6</f>
        <v>#DIV/0!</v>
      </c>
      <c r="T47" s="74" t="e">
        <f>data2!Q42*$B$6/T$6</f>
        <v>#DIV/0!</v>
      </c>
      <c r="U47" s="74" t="e">
        <f>data2!R42*$B$6/U$6</f>
        <v>#DIV/0!</v>
      </c>
      <c r="V47" s="74" t="e">
        <f>data2!S42*$B$6/V$6</f>
        <v>#DIV/0!</v>
      </c>
      <c r="W47" s="74" t="e">
        <f>data2!T42*$B$6/W$6</f>
        <v>#DIV/0!</v>
      </c>
      <c r="X47" s="74" t="e">
        <f>data2!U42*$B$6/X$6</f>
        <v>#DIV/0!</v>
      </c>
      <c r="Y47" s="74" t="e">
        <f>data2!V42*$B$6/Y$6</f>
        <v>#DIV/0!</v>
      </c>
      <c r="Z47" s="74" t="e">
        <f>data2!W42*$B$6/Z$6</f>
        <v>#DIV/0!</v>
      </c>
      <c r="AA47" s="74" t="e">
        <f>data2!X42*$B$6/AA$6</f>
        <v>#DIV/0!</v>
      </c>
      <c r="AB47" s="74" t="e">
        <f>data2!Y42*$B$6/AB$6</f>
        <v>#DIV/0!</v>
      </c>
      <c r="AC47" s="74" t="e">
        <f>data2!Z42*$B$6/AC$6</f>
        <v>#DIV/0!</v>
      </c>
      <c r="AD47" s="74" t="e">
        <f>data2!AA42*$B$6/AD$6</f>
        <v>#DIV/0!</v>
      </c>
      <c r="AE47" s="74" t="e">
        <f>data2!AB42*$B$6/AE$6</f>
        <v>#DIV/0!</v>
      </c>
      <c r="AF47" s="74" t="e">
        <f>data2!AC42*$B$6/AF$6</f>
        <v>#DIV/0!</v>
      </c>
      <c r="AG47" s="74" t="e">
        <f>data2!AD42*$B$6/AG$6</f>
        <v>#DIV/0!</v>
      </c>
      <c r="AH47" s="74" t="e">
        <f>data2!AE42*$B$6/AH$6</f>
        <v>#DIV/0!</v>
      </c>
      <c r="AI47" s="74" t="e">
        <f>data2!AF42*$B$6/AI$6</f>
        <v>#DIV/0!</v>
      </c>
      <c r="AJ47" s="74" t="e">
        <f>data2!AG42*$B$6/AJ$6</f>
        <v>#DIV/0!</v>
      </c>
    </row>
    <row r="48" spans="1:36">
      <c r="A48" s="29">
        <f>data0!A43</f>
        <v>33</v>
      </c>
      <c r="B48" s="74" t="e">
        <f>AVERAGE(data2!B43:AG43)</f>
        <v>#DIV/0!</v>
      </c>
      <c r="C48" s="74" t="e">
        <f t="shared" si="0"/>
        <v>#DIV/0!</v>
      </c>
      <c r="D48" s="74" t="e">
        <f t="shared" si="1"/>
        <v>#DIV/0!</v>
      </c>
      <c r="E48" s="74" t="e">
        <f>data2!B43*$B$6/E$6</f>
        <v>#DIV/0!</v>
      </c>
      <c r="F48" s="74" t="e">
        <f>data2!C43*$B$6/F$6</f>
        <v>#DIV/0!</v>
      </c>
      <c r="G48" s="74" t="e">
        <f>data2!D43*$B$6/G$6</f>
        <v>#DIV/0!</v>
      </c>
      <c r="H48" s="74" t="e">
        <f>data2!E43*$B$6/H$6</f>
        <v>#DIV/0!</v>
      </c>
      <c r="I48" s="74" t="e">
        <f>data2!F43*$B$6/I$6</f>
        <v>#DIV/0!</v>
      </c>
      <c r="J48" s="74" t="e">
        <f>data2!G43*$B$6/J$6</f>
        <v>#DIV/0!</v>
      </c>
      <c r="K48" s="74" t="e">
        <f>data2!H43*$B$6/K$6</f>
        <v>#DIV/0!</v>
      </c>
      <c r="L48" s="74" t="e">
        <f>data2!I43*$B$6/L$6</f>
        <v>#DIV/0!</v>
      </c>
      <c r="M48" s="74" t="e">
        <f>data2!J43*$B$6/M$6</f>
        <v>#DIV/0!</v>
      </c>
      <c r="N48" s="74" t="e">
        <f>data2!K43*$B$6/N$6</f>
        <v>#DIV/0!</v>
      </c>
      <c r="O48" s="74" t="e">
        <f>data2!L43*$B$6/O$6</f>
        <v>#DIV/0!</v>
      </c>
      <c r="P48" s="74" t="e">
        <f>data2!M43*$B$6/P$6</f>
        <v>#DIV/0!</v>
      </c>
      <c r="Q48" s="74" t="e">
        <f>data2!N43*$B$6/Q$6</f>
        <v>#DIV/0!</v>
      </c>
      <c r="R48" s="74" t="e">
        <f>data2!O43*$B$6/R$6</f>
        <v>#DIV/0!</v>
      </c>
      <c r="S48" s="74" t="e">
        <f>data2!P43*$B$6/S$6</f>
        <v>#DIV/0!</v>
      </c>
      <c r="T48" s="74" t="e">
        <f>data2!Q43*$B$6/T$6</f>
        <v>#DIV/0!</v>
      </c>
      <c r="U48" s="74" t="e">
        <f>data2!R43*$B$6/U$6</f>
        <v>#DIV/0!</v>
      </c>
      <c r="V48" s="74" t="e">
        <f>data2!S43*$B$6/V$6</f>
        <v>#DIV/0!</v>
      </c>
      <c r="W48" s="74" t="e">
        <f>data2!T43*$B$6/W$6</f>
        <v>#DIV/0!</v>
      </c>
      <c r="X48" s="74" t="e">
        <f>data2!U43*$B$6/X$6</f>
        <v>#DIV/0!</v>
      </c>
      <c r="Y48" s="74" t="e">
        <f>data2!V43*$B$6/Y$6</f>
        <v>#DIV/0!</v>
      </c>
      <c r="Z48" s="74" t="e">
        <f>data2!W43*$B$6/Z$6</f>
        <v>#DIV/0!</v>
      </c>
      <c r="AA48" s="74" t="e">
        <f>data2!X43*$B$6/AA$6</f>
        <v>#DIV/0!</v>
      </c>
      <c r="AB48" s="74" t="e">
        <f>data2!Y43*$B$6/AB$6</f>
        <v>#DIV/0!</v>
      </c>
      <c r="AC48" s="74" t="e">
        <f>data2!Z43*$B$6/AC$6</f>
        <v>#DIV/0!</v>
      </c>
      <c r="AD48" s="74" t="e">
        <f>data2!AA43*$B$6/AD$6</f>
        <v>#DIV/0!</v>
      </c>
      <c r="AE48" s="74" t="e">
        <f>data2!AB43*$B$6/AE$6</f>
        <v>#DIV/0!</v>
      </c>
      <c r="AF48" s="74" t="e">
        <f>data2!AC43*$B$6/AF$6</f>
        <v>#DIV/0!</v>
      </c>
      <c r="AG48" s="74" t="e">
        <f>data2!AD43*$B$6/AG$6</f>
        <v>#DIV/0!</v>
      </c>
      <c r="AH48" s="74" t="e">
        <f>data2!AE43*$B$6/AH$6</f>
        <v>#DIV/0!</v>
      </c>
      <c r="AI48" s="74" t="e">
        <f>data2!AF43*$B$6/AI$6</f>
        <v>#DIV/0!</v>
      </c>
      <c r="AJ48" s="74" t="e">
        <f>data2!AG43*$B$6/AJ$6</f>
        <v>#DIV/0!</v>
      </c>
    </row>
    <row r="49" spans="1:36">
      <c r="A49" s="29">
        <f>data0!A44</f>
        <v>36</v>
      </c>
      <c r="B49" s="74" t="e">
        <f>AVERAGE(data2!B44:AG44)</f>
        <v>#DIV/0!</v>
      </c>
      <c r="C49" s="74" t="e">
        <f t="shared" si="0"/>
        <v>#DIV/0!</v>
      </c>
      <c r="D49" s="74" t="e">
        <f t="shared" si="1"/>
        <v>#DIV/0!</v>
      </c>
      <c r="E49" s="74" t="e">
        <f>data2!B44*$B$6/E$6</f>
        <v>#DIV/0!</v>
      </c>
      <c r="F49" s="74" t="e">
        <f>data2!C44*$B$6/F$6</f>
        <v>#DIV/0!</v>
      </c>
      <c r="G49" s="74" t="e">
        <f>data2!D44*$B$6/G$6</f>
        <v>#DIV/0!</v>
      </c>
      <c r="H49" s="74" t="e">
        <f>data2!E44*$B$6/H$6</f>
        <v>#DIV/0!</v>
      </c>
      <c r="I49" s="74" t="e">
        <f>data2!F44*$B$6/I$6</f>
        <v>#DIV/0!</v>
      </c>
      <c r="J49" s="74" t="e">
        <f>data2!G44*$B$6/J$6</f>
        <v>#DIV/0!</v>
      </c>
      <c r="K49" s="74" t="e">
        <f>data2!H44*$B$6/K$6</f>
        <v>#DIV/0!</v>
      </c>
      <c r="L49" s="74" t="e">
        <f>data2!I44*$B$6/L$6</f>
        <v>#DIV/0!</v>
      </c>
      <c r="M49" s="74" t="e">
        <f>data2!J44*$B$6/M$6</f>
        <v>#DIV/0!</v>
      </c>
      <c r="N49" s="74" t="e">
        <f>data2!K44*$B$6/N$6</f>
        <v>#DIV/0!</v>
      </c>
      <c r="O49" s="74" t="e">
        <f>data2!L44*$B$6/O$6</f>
        <v>#DIV/0!</v>
      </c>
      <c r="P49" s="74" t="e">
        <f>data2!M44*$B$6/P$6</f>
        <v>#DIV/0!</v>
      </c>
      <c r="Q49" s="74" t="e">
        <f>data2!N44*$B$6/Q$6</f>
        <v>#DIV/0!</v>
      </c>
      <c r="R49" s="74" t="e">
        <f>data2!O44*$B$6/R$6</f>
        <v>#DIV/0!</v>
      </c>
      <c r="S49" s="74" t="e">
        <f>data2!P44*$B$6/S$6</f>
        <v>#DIV/0!</v>
      </c>
      <c r="T49" s="74" t="e">
        <f>data2!Q44*$B$6/T$6</f>
        <v>#DIV/0!</v>
      </c>
      <c r="U49" s="74" t="e">
        <f>data2!R44*$B$6/U$6</f>
        <v>#DIV/0!</v>
      </c>
      <c r="V49" s="74" t="e">
        <f>data2!S44*$B$6/V$6</f>
        <v>#DIV/0!</v>
      </c>
      <c r="W49" s="74" t="e">
        <f>data2!T44*$B$6/W$6</f>
        <v>#DIV/0!</v>
      </c>
      <c r="X49" s="74" t="e">
        <f>data2!U44*$B$6/X$6</f>
        <v>#DIV/0!</v>
      </c>
      <c r="Y49" s="74" t="e">
        <f>data2!V44*$B$6/Y$6</f>
        <v>#DIV/0!</v>
      </c>
      <c r="Z49" s="74" t="e">
        <f>data2!W44*$B$6/Z$6</f>
        <v>#DIV/0!</v>
      </c>
      <c r="AA49" s="74" t="e">
        <f>data2!X44*$B$6/AA$6</f>
        <v>#DIV/0!</v>
      </c>
      <c r="AB49" s="74" t="e">
        <f>data2!Y44*$B$6/AB$6</f>
        <v>#DIV/0!</v>
      </c>
      <c r="AC49" s="74" t="e">
        <f>data2!Z44*$B$6/AC$6</f>
        <v>#DIV/0!</v>
      </c>
      <c r="AD49" s="74" t="e">
        <f>data2!AA44*$B$6/AD$6</f>
        <v>#DIV/0!</v>
      </c>
      <c r="AE49" s="74" t="e">
        <f>data2!AB44*$B$6/AE$6</f>
        <v>#DIV/0!</v>
      </c>
      <c r="AF49" s="74" t="e">
        <f>data2!AC44*$B$6/AF$6</f>
        <v>#DIV/0!</v>
      </c>
      <c r="AG49" s="74" t="e">
        <f>data2!AD44*$B$6/AG$6</f>
        <v>#DIV/0!</v>
      </c>
      <c r="AH49" s="74" t="e">
        <f>data2!AE44*$B$6/AH$6</f>
        <v>#DIV/0!</v>
      </c>
      <c r="AI49" s="74" t="e">
        <f>data2!AF44*$B$6/AI$6</f>
        <v>#DIV/0!</v>
      </c>
      <c r="AJ49" s="74" t="e">
        <f>data2!AG44*$B$6/AJ$6</f>
        <v>#DIV/0!</v>
      </c>
    </row>
    <row r="50" spans="1:36">
      <c r="A50" s="29">
        <f>data0!A45</f>
        <v>39</v>
      </c>
      <c r="B50" s="74" t="e">
        <f>AVERAGE(data2!B45:AG45)</f>
        <v>#DIV/0!</v>
      </c>
      <c r="C50" s="74" t="e">
        <f t="shared" si="0"/>
        <v>#DIV/0!</v>
      </c>
      <c r="D50" s="74" t="e">
        <f t="shared" si="1"/>
        <v>#DIV/0!</v>
      </c>
      <c r="E50" s="74" t="e">
        <f>data2!B45*$B$6/E$6</f>
        <v>#DIV/0!</v>
      </c>
      <c r="F50" s="74" t="e">
        <f>data2!C45*$B$6/F$6</f>
        <v>#DIV/0!</v>
      </c>
      <c r="G50" s="74" t="e">
        <f>data2!D45*$B$6/G$6</f>
        <v>#DIV/0!</v>
      </c>
      <c r="H50" s="74" t="e">
        <f>data2!E45*$B$6/H$6</f>
        <v>#DIV/0!</v>
      </c>
      <c r="I50" s="74" t="e">
        <f>data2!F45*$B$6/I$6</f>
        <v>#DIV/0!</v>
      </c>
      <c r="J50" s="74" t="e">
        <f>data2!G45*$B$6/J$6</f>
        <v>#DIV/0!</v>
      </c>
      <c r="K50" s="74" t="e">
        <f>data2!H45*$B$6/K$6</f>
        <v>#DIV/0!</v>
      </c>
      <c r="L50" s="74" t="e">
        <f>data2!I45*$B$6/L$6</f>
        <v>#DIV/0!</v>
      </c>
      <c r="M50" s="74" t="e">
        <f>data2!J45*$B$6/M$6</f>
        <v>#DIV/0!</v>
      </c>
      <c r="N50" s="74" t="e">
        <f>data2!K45*$B$6/N$6</f>
        <v>#DIV/0!</v>
      </c>
      <c r="O50" s="74" t="e">
        <f>data2!L45*$B$6/O$6</f>
        <v>#DIV/0!</v>
      </c>
      <c r="P50" s="74" t="e">
        <f>data2!M45*$B$6/P$6</f>
        <v>#DIV/0!</v>
      </c>
      <c r="Q50" s="74" t="e">
        <f>data2!N45*$B$6/Q$6</f>
        <v>#DIV/0!</v>
      </c>
      <c r="R50" s="74" t="e">
        <f>data2!O45*$B$6/R$6</f>
        <v>#DIV/0!</v>
      </c>
      <c r="S50" s="74" t="e">
        <f>data2!P45*$B$6/S$6</f>
        <v>#DIV/0!</v>
      </c>
      <c r="T50" s="74" t="e">
        <f>data2!Q45*$B$6/T$6</f>
        <v>#DIV/0!</v>
      </c>
      <c r="U50" s="74" t="e">
        <f>data2!R45*$B$6/U$6</f>
        <v>#DIV/0!</v>
      </c>
      <c r="V50" s="74" t="e">
        <f>data2!S45*$B$6/V$6</f>
        <v>#DIV/0!</v>
      </c>
      <c r="W50" s="74" t="e">
        <f>data2!T45*$B$6/W$6</f>
        <v>#DIV/0!</v>
      </c>
      <c r="X50" s="74" t="e">
        <f>data2!U45*$B$6/X$6</f>
        <v>#DIV/0!</v>
      </c>
      <c r="Y50" s="74" t="e">
        <f>data2!V45*$B$6/Y$6</f>
        <v>#DIV/0!</v>
      </c>
      <c r="Z50" s="74" t="e">
        <f>data2!W45*$B$6/Z$6</f>
        <v>#DIV/0!</v>
      </c>
      <c r="AA50" s="74" t="e">
        <f>data2!X45*$B$6/AA$6</f>
        <v>#DIV/0!</v>
      </c>
      <c r="AB50" s="74" t="e">
        <f>data2!Y45*$B$6/AB$6</f>
        <v>#DIV/0!</v>
      </c>
      <c r="AC50" s="74" t="e">
        <f>data2!Z45*$B$6/AC$6</f>
        <v>#DIV/0!</v>
      </c>
      <c r="AD50" s="74" t="e">
        <f>data2!AA45*$B$6/AD$6</f>
        <v>#DIV/0!</v>
      </c>
      <c r="AE50" s="74" t="e">
        <f>data2!AB45*$B$6/AE$6</f>
        <v>#DIV/0!</v>
      </c>
      <c r="AF50" s="74" t="e">
        <f>data2!AC45*$B$6/AF$6</f>
        <v>#DIV/0!</v>
      </c>
      <c r="AG50" s="74" t="e">
        <f>data2!AD45*$B$6/AG$6</f>
        <v>#DIV/0!</v>
      </c>
      <c r="AH50" s="74" t="e">
        <f>data2!AE45*$B$6/AH$6</f>
        <v>#DIV/0!</v>
      </c>
      <c r="AI50" s="74" t="e">
        <f>data2!AF45*$B$6/AI$6</f>
        <v>#DIV/0!</v>
      </c>
      <c r="AJ50" s="74" t="e">
        <f>data2!AG45*$B$6/AJ$6</f>
        <v>#DIV/0!</v>
      </c>
    </row>
    <row r="51" spans="1:36">
      <c r="A51" s="29">
        <f>data0!A46</f>
        <v>42</v>
      </c>
      <c r="B51" s="74" t="e">
        <f>AVERAGE(data2!B46:AG46)</f>
        <v>#DIV/0!</v>
      </c>
      <c r="C51" s="74" t="e">
        <f t="shared" si="0"/>
        <v>#DIV/0!</v>
      </c>
      <c r="D51" s="74" t="e">
        <f t="shared" si="1"/>
        <v>#DIV/0!</v>
      </c>
      <c r="E51" s="74" t="e">
        <f>data2!B46*$B$6/E$6</f>
        <v>#DIV/0!</v>
      </c>
      <c r="F51" s="74" t="e">
        <f>data2!C46*$B$6/F$6</f>
        <v>#DIV/0!</v>
      </c>
      <c r="G51" s="74" t="e">
        <f>data2!D46*$B$6/G$6</f>
        <v>#DIV/0!</v>
      </c>
      <c r="H51" s="74" t="e">
        <f>data2!E46*$B$6/H$6</f>
        <v>#DIV/0!</v>
      </c>
      <c r="I51" s="74" t="e">
        <f>data2!F46*$B$6/I$6</f>
        <v>#DIV/0!</v>
      </c>
      <c r="J51" s="74" t="e">
        <f>data2!G46*$B$6/J$6</f>
        <v>#DIV/0!</v>
      </c>
      <c r="K51" s="74" t="e">
        <f>data2!H46*$B$6/K$6</f>
        <v>#DIV/0!</v>
      </c>
      <c r="L51" s="74" t="e">
        <f>data2!I46*$B$6/L$6</f>
        <v>#DIV/0!</v>
      </c>
      <c r="M51" s="74" t="e">
        <f>data2!J46*$B$6/M$6</f>
        <v>#DIV/0!</v>
      </c>
      <c r="N51" s="74" t="e">
        <f>data2!K46*$B$6/N$6</f>
        <v>#DIV/0!</v>
      </c>
      <c r="O51" s="74" t="e">
        <f>data2!L46*$B$6/O$6</f>
        <v>#DIV/0!</v>
      </c>
      <c r="P51" s="74" t="e">
        <f>data2!M46*$B$6/P$6</f>
        <v>#DIV/0!</v>
      </c>
      <c r="Q51" s="74" t="e">
        <f>data2!N46*$B$6/Q$6</f>
        <v>#DIV/0!</v>
      </c>
      <c r="R51" s="74" t="e">
        <f>data2!O46*$B$6/R$6</f>
        <v>#DIV/0!</v>
      </c>
      <c r="S51" s="74" t="e">
        <f>data2!P46*$B$6/S$6</f>
        <v>#DIV/0!</v>
      </c>
      <c r="T51" s="74" t="e">
        <f>data2!Q46*$B$6/T$6</f>
        <v>#DIV/0!</v>
      </c>
      <c r="U51" s="74" t="e">
        <f>data2!R46*$B$6/U$6</f>
        <v>#DIV/0!</v>
      </c>
      <c r="V51" s="74" t="e">
        <f>data2!S46*$B$6/V$6</f>
        <v>#DIV/0!</v>
      </c>
      <c r="W51" s="74" t="e">
        <f>data2!T46*$B$6/W$6</f>
        <v>#DIV/0!</v>
      </c>
      <c r="X51" s="74" t="e">
        <f>data2!U46*$B$6/X$6</f>
        <v>#DIV/0!</v>
      </c>
      <c r="Y51" s="74" t="e">
        <f>data2!V46*$B$6/Y$6</f>
        <v>#DIV/0!</v>
      </c>
      <c r="Z51" s="74" t="e">
        <f>data2!W46*$B$6/Z$6</f>
        <v>#DIV/0!</v>
      </c>
      <c r="AA51" s="74" t="e">
        <f>data2!X46*$B$6/AA$6</f>
        <v>#DIV/0!</v>
      </c>
      <c r="AB51" s="74" t="e">
        <f>data2!Y46*$B$6/AB$6</f>
        <v>#DIV/0!</v>
      </c>
      <c r="AC51" s="74" t="e">
        <f>data2!Z46*$B$6/AC$6</f>
        <v>#DIV/0!</v>
      </c>
      <c r="AD51" s="74" t="e">
        <f>data2!AA46*$B$6/AD$6</f>
        <v>#DIV/0!</v>
      </c>
      <c r="AE51" s="74" t="e">
        <f>data2!AB46*$B$6/AE$6</f>
        <v>#DIV/0!</v>
      </c>
      <c r="AF51" s="74" t="e">
        <f>data2!AC46*$B$6/AF$6</f>
        <v>#DIV/0!</v>
      </c>
      <c r="AG51" s="74" t="e">
        <f>data2!AD46*$B$6/AG$6</f>
        <v>#DIV/0!</v>
      </c>
      <c r="AH51" s="74" t="e">
        <f>data2!AE46*$B$6/AH$6</f>
        <v>#DIV/0!</v>
      </c>
      <c r="AI51" s="74" t="e">
        <f>data2!AF46*$B$6/AI$6</f>
        <v>#DIV/0!</v>
      </c>
      <c r="AJ51" s="74" t="e">
        <f>data2!AG46*$B$6/AJ$6</f>
        <v>#DIV/0!</v>
      </c>
    </row>
    <row r="52" spans="1:36">
      <c r="A52" s="29">
        <f>data0!A47</f>
        <v>45</v>
      </c>
      <c r="B52" s="74" t="e">
        <f>AVERAGE(data2!B47:AG47)</f>
        <v>#DIV/0!</v>
      </c>
      <c r="C52" s="74" t="e">
        <f t="shared" si="0"/>
        <v>#DIV/0!</v>
      </c>
      <c r="D52" s="74" t="e">
        <f t="shared" si="1"/>
        <v>#DIV/0!</v>
      </c>
      <c r="E52" s="74" t="e">
        <f>data2!B47*$B$6/E$6</f>
        <v>#DIV/0!</v>
      </c>
      <c r="F52" s="74" t="e">
        <f>data2!C47*$B$6/F$6</f>
        <v>#DIV/0!</v>
      </c>
      <c r="G52" s="74" t="e">
        <f>data2!D47*$B$6/G$6</f>
        <v>#DIV/0!</v>
      </c>
      <c r="H52" s="74" t="e">
        <f>data2!E47*$B$6/H$6</f>
        <v>#DIV/0!</v>
      </c>
      <c r="I52" s="74" t="e">
        <f>data2!F47*$B$6/I$6</f>
        <v>#DIV/0!</v>
      </c>
      <c r="J52" s="74" t="e">
        <f>data2!G47*$B$6/J$6</f>
        <v>#DIV/0!</v>
      </c>
      <c r="K52" s="74" t="e">
        <f>data2!H47*$B$6/K$6</f>
        <v>#DIV/0!</v>
      </c>
      <c r="L52" s="74" t="e">
        <f>data2!I47*$B$6/L$6</f>
        <v>#DIV/0!</v>
      </c>
      <c r="M52" s="74" t="e">
        <f>data2!J47*$B$6/M$6</f>
        <v>#DIV/0!</v>
      </c>
      <c r="N52" s="74" t="e">
        <f>data2!K47*$B$6/N$6</f>
        <v>#DIV/0!</v>
      </c>
      <c r="O52" s="74" t="e">
        <f>data2!L47*$B$6/O$6</f>
        <v>#DIV/0!</v>
      </c>
      <c r="P52" s="74" t="e">
        <f>data2!M47*$B$6/P$6</f>
        <v>#DIV/0!</v>
      </c>
      <c r="Q52" s="74" t="e">
        <f>data2!N47*$B$6/Q$6</f>
        <v>#DIV/0!</v>
      </c>
      <c r="R52" s="74" t="e">
        <f>data2!O47*$B$6/R$6</f>
        <v>#DIV/0!</v>
      </c>
      <c r="S52" s="74" t="e">
        <f>data2!P47*$B$6/S$6</f>
        <v>#DIV/0!</v>
      </c>
      <c r="T52" s="74" t="e">
        <f>data2!Q47*$B$6/T$6</f>
        <v>#DIV/0!</v>
      </c>
      <c r="U52" s="74" t="e">
        <f>data2!R47*$B$6/U$6</f>
        <v>#DIV/0!</v>
      </c>
      <c r="V52" s="74" t="e">
        <f>data2!S47*$B$6/V$6</f>
        <v>#DIV/0!</v>
      </c>
      <c r="W52" s="74" t="e">
        <f>data2!T47*$B$6/W$6</f>
        <v>#DIV/0!</v>
      </c>
      <c r="X52" s="74" t="e">
        <f>data2!U47*$B$6/X$6</f>
        <v>#DIV/0!</v>
      </c>
      <c r="Y52" s="74" t="e">
        <f>data2!V47*$B$6/Y$6</f>
        <v>#DIV/0!</v>
      </c>
      <c r="Z52" s="74" t="e">
        <f>data2!W47*$B$6/Z$6</f>
        <v>#DIV/0!</v>
      </c>
      <c r="AA52" s="74" t="e">
        <f>data2!X47*$B$6/AA$6</f>
        <v>#DIV/0!</v>
      </c>
      <c r="AB52" s="74" t="e">
        <f>data2!Y47*$B$6/AB$6</f>
        <v>#DIV/0!</v>
      </c>
      <c r="AC52" s="74" t="e">
        <f>data2!Z47*$B$6/AC$6</f>
        <v>#DIV/0!</v>
      </c>
      <c r="AD52" s="74" t="e">
        <f>data2!AA47*$B$6/AD$6</f>
        <v>#DIV/0!</v>
      </c>
      <c r="AE52" s="74" t="e">
        <f>data2!AB47*$B$6/AE$6</f>
        <v>#DIV/0!</v>
      </c>
      <c r="AF52" s="74" t="e">
        <f>data2!AC47*$B$6/AF$6</f>
        <v>#DIV/0!</v>
      </c>
      <c r="AG52" s="74" t="e">
        <f>data2!AD47*$B$6/AG$6</f>
        <v>#DIV/0!</v>
      </c>
      <c r="AH52" s="74" t="e">
        <f>data2!AE47*$B$6/AH$6</f>
        <v>#DIV/0!</v>
      </c>
      <c r="AI52" s="74" t="e">
        <f>data2!AF47*$B$6/AI$6</f>
        <v>#DIV/0!</v>
      </c>
      <c r="AJ52" s="74" t="e">
        <f>data2!AG47*$B$6/AJ$6</f>
        <v>#DIV/0!</v>
      </c>
    </row>
    <row r="53" spans="1:36">
      <c r="A53" s="29">
        <f>data0!A48</f>
        <v>48</v>
      </c>
      <c r="B53" s="74" t="e">
        <f>AVERAGE(data2!B48:AG48)</f>
        <v>#DIV/0!</v>
      </c>
      <c r="C53" s="74" t="e">
        <f t="shared" si="0"/>
        <v>#DIV/0!</v>
      </c>
      <c r="D53" s="74" t="e">
        <f t="shared" si="1"/>
        <v>#DIV/0!</v>
      </c>
      <c r="E53" s="74" t="e">
        <f>data2!B48*$B$6/E$6</f>
        <v>#DIV/0!</v>
      </c>
      <c r="F53" s="74" t="e">
        <f>data2!C48*$B$6/F$6</f>
        <v>#DIV/0!</v>
      </c>
      <c r="G53" s="74" t="e">
        <f>data2!D48*$B$6/G$6</f>
        <v>#DIV/0!</v>
      </c>
      <c r="H53" s="74" t="e">
        <f>data2!E48*$B$6/H$6</f>
        <v>#DIV/0!</v>
      </c>
      <c r="I53" s="74" t="e">
        <f>data2!F48*$B$6/I$6</f>
        <v>#DIV/0!</v>
      </c>
      <c r="J53" s="74" t="e">
        <f>data2!G48*$B$6/J$6</f>
        <v>#DIV/0!</v>
      </c>
      <c r="K53" s="74" t="e">
        <f>data2!H48*$B$6/K$6</f>
        <v>#DIV/0!</v>
      </c>
      <c r="L53" s="74" t="e">
        <f>data2!I48*$B$6/L$6</f>
        <v>#DIV/0!</v>
      </c>
      <c r="M53" s="74" t="e">
        <f>data2!J48*$B$6/M$6</f>
        <v>#DIV/0!</v>
      </c>
      <c r="N53" s="74" t="e">
        <f>data2!K48*$B$6/N$6</f>
        <v>#DIV/0!</v>
      </c>
      <c r="O53" s="74" t="e">
        <f>data2!L48*$B$6/O$6</f>
        <v>#DIV/0!</v>
      </c>
      <c r="P53" s="74" t="e">
        <f>data2!M48*$B$6/P$6</f>
        <v>#DIV/0!</v>
      </c>
      <c r="Q53" s="74" t="e">
        <f>data2!N48*$B$6/Q$6</f>
        <v>#DIV/0!</v>
      </c>
      <c r="R53" s="74" t="e">
        <f>data2!O48*$B$6/R$6</f>
        <v>#DIV/0!</v>
      </c>
      <c r="S53" s="74" t="e">
        <f>data2!P48*$B$6/S$6</f>
        <v>#DIV/0!</v>
      </c>
      <c r="T53" s="74" t="e">
        <f>data2!Q48*$B$6/T$6</f>
        <v>#DIV/0!</v>
      </c>
      <c r="U53" s="74" t="e">
        <f>data2!R48*$B$6/U$6</f>
        <v>#DIV/0!</v>
      </c>
      <c r="V53" s="74" t="e">
        <f>data2!S48*$B$6/V$6</f>
        <v>#DIV/0!</v>
      </c>
      <c r="W53" s="74" t="e">
        <f>data2!T48*$B$6/W$6</f>
        <v>#DIV/0!</v>
      </c>
      <c r="X53" s="74" t="e">
        <f>data2!U48*$B$6/X$6</f>
        <v>#DIV/0!</v>
      </c>
      <c r="Y53" s="74" t="e">
        <f>data2!V48*$B$6/Y$6</f>
        <v>#DIV/0!</v>
      </c>
      <c r="Z53" s="74" t="e">
        <f>data2!W48*$B$6/Z$6</f>
        <v>#DIV/0!</v>
      </c>
      <c r="AA53" s="74" t="e">
        <f>data2!X48*$B$6/AA$6</f>
        <v>#DIV/0!</v>
      </c>
      <c r="AB53" s="74" t="e">
        <f>data2!Y48*$B$6/AB$6</f>
        <v>#DIV/0!</v>
      </c>
      <c r="AC53" s="74" t="e">
        <f>data2!Z48*$B$6/AC$6</f>
        <v>#DIV/0!</v>
      </c>
      <c r="AD53" s="74" t="e">
        <f>data2!AA48*$B$6/AD$6</f>
        <v>#DIV/0!</v>
      </c>
      <c r="AE53" s="74" t="e">
        <f>data2!AB48*$B$6/AE$6</f>
        <v>#DIV/0!</v>
      </c>
      <c r="AF53" s="74" t="e">
        <f>data2!AC48*$B$6/AF$6</f>
        <v>#DIV/0!</v>
      </c>
      <c r="AG53" s="74" t="e">
        <f>data2!AD48*$B$6/AG$6</f>
        <v>#DIV/0!</v>
      </c>
      <c r="AH53" s="74" t="e">
        <f>data2!AE48*$B$6/AH$6</f>
        <v>#DIV/0!</v>
      </c>
      <c r="AI53" s="74" t="e">
        <f>data2!AF48*$B$6/AI$6</f>
        <v>#DIV/0!</v>
      </c>
      <c r="AJ53" s="74" t="e">
        <f>data2!AG48*$B$6/AJ$6</f>
        <v>#DIV/0!</v>
      </c>
    </row>
    <row r="54" spans="1:36">
      <c r="A54" s="29">
        <f>data0!A49</f>
        <v>51</v>
      </c>
      <c r="B54" s="74" t="e">
        <f>AVERAGE(data2!B49:AG49)</f>
        <v>#DIV/0!</v>
      </c>
      <c r="C54" s="74" t="e">
        <f t="shared" si="0"/>
        <v>#DIV/0!</v>
      </c>
      <c r="D54" s="74" t="e">
        <f t="shared" si="1"/>
        <v>#DIV/0!</v>
      </c>
      <c r="E54" s="74" t="e">
        <f>data2!B49*$B$6/E$6</f>
        <v>#DIV/0!</v>
      </c>
      <c r="F54" s="74" t="e">
        <f>data2!C49*$B$6/F$6</f>
        <v>#DIV/0!</v>
      </c>
      <c r="G54" s="74" t="e">
        <f>data2!D49*$B$6/G$6</f>
        <v>#DIV/0!</v>
      </c>
      <c r="H54" s="74" t="e">
        <f>data2!E49*$B$6/H$6</f>
        <v>#DIV/0!</v>
      </c>
      <c r="I54" s="74" t="e">
        <f>data2!F49*$B$6/I$6</f>
        <v>#DIV/0!</v>
      </c>
      <c r="J54" s="74" t="e">
        <f>data2!G49*$B$6/J$6</f>
        <v>#DIV/0!</v>
      </c>
      <c r="K54" s="74" t="e">
        <f>data2!H49*$B$6/K$6</f>
        <v>#DIV/0!</v>
      </c>
      <c r="L54" s="74" t="e">
        <f>data2!I49*$B$6/L$6</f>
        <v>#DIV/0!</v>
      </c>
      <c r="M54" s="74" t="e">
        <f>data2!J49*$B$6/M$6</f>
        <v>#DIV/0!</v>
      </c>
      <c r="N54" s="74" t="e">
        <f>data2!K49*$B$6/N$6</f>
        <v>#DIV/0!</v>
      </c>
      <c r="O54" s="74" t="e">
        <f>data2!L49*$B$6/O$6</f>
        <v>#DIV/0!</v>
      </c>
      <c r="P54" s="74" t="e">
        <f>data2!M49*$B$6/P$6</f>
        <v>#DIV/0!</v>
      </c>
      <c r="Q54" s="74" t="e">
        <f>data2!N49*$B$6/Q$6</f>
        <v>#DIV/0!</v>
      </c>
      <c r="R54" s="74" t="e">
        <f>data2!O49*$B$6/R$6</f>
        <v>#DIV/0!</v>
      </c>
      <c r="S54" s="74" t="e">
        <f>data2!P49*$B$6/S$6</f>
        <v>#DIV/0!</v>
      </c>
      <c r="T54" s="74" t="e">
        <f>data2!Q49*$B$6/T$6</f>
        <v>#DIV/0!</v>
      </c>
      <c r="U54" s="74" t="e">
        <f>data2!R49*$B$6/U$6</f>
        <v>#DIV/0!</v>
      </c>
      <c r="V54" s="74" t="e">
        <f>data2!S49*$B$6/V$6</f>
        <v>#DIV/0!</v>
      </c>
      <c r="W54" s="74" t="e">
        <f>data2!T49*$B$6/W$6</f>
        <v>#DIV/0!</v>
      </c>
      <c r="X54" s="74" t="e">
        <f>data2!U49*$B$6/X$6</f>
        <v>#DIV/0!</v>
      </c>
      <c r="Y54" s="74" t="e">
        <f>data2!V49*$B$6/Y$6</f>
        <v>#DIV/0!</v>
      </c>
      <c r="Z54" s="74" t="e">
        <f>data2!W49*$B$6/Z$6</f>
        <v>#DIV/0!</v>
      </c>
      <c r="AA54" s="74" t="e">
        <f>data2!X49*$B$6/AA$6</f>
        <v>#DIV/0!</v>
      </c>
      <c r="AB54" s="74" t="e">
        <f>data2!Y49*$B$6/AB$6</f>
        <v>#DIV/0!</v>
      </c>
      <c r="AC54" s="74" t="e">
        <f>data2!Z49*$B$6/AC$6</f>
        <v>#DIV/0!</v>
      </c>
      <c r="AD54" s="74" t="e">
        <f>data2!AA49*$B$6/AD$6</f>
        <v>#DIV/0!</v>
      </c>
      <c r="AE54" s="74" t="e">
        <f>data2!AB49*$B$6/AE$6</f>
        <v>#DIV/0!</v>
      </c>
      <c r="AF54" s="74" t="e">
        <f>data2!AC49*$B$6/AF$6</f>
        <v>#DIV/0!</v>
      </c>
      <c r="AG54" s="74" t="e">
        <f>data2!AD49*$B$6/AG$6</f>
        <v>#DIV/0!</v>
      </c>
      <c r="AH54" s="74" t="e">
        <f>data2!AE49*$B$6/AH$6</f>
        <v>#DIV/0!</v>
      </c>
      <c r="AI54" s="74" t="e">
        <f>data2!AF49*$B$6/AI$6</f>
        <v>#DIV/0!</v>
      </c>
      <c r="AJ54" s="74" t="e">
        <f>data2!AG49*$B$6/AJ$6</f>
        <v>#DIV/0!</v>
      </c>
    </row>
    <row r="55" spans="1:36">
      <c r="A55" s="29">
        <f>data0!A50</f>
        <v>54</v>
      </c>
      <c r="B55" s="74" t="e">
        <f>AVERAGE(data2!B50:AG50)</f>
        <v>#DIV/0!</v>
      </c>
      <c r="C55" s="74" t="e">
        <f t="shared" si="0"/>
        <v>#DIV/0!</v>
      </c>
      <c r="D55" s="74" t="e">
        <f t="shared" si="1"/>
        <v>#DIV/0!</v>
      </c>
      <c r="E55" s="74" t="e">
        <f>data2!B50*$B$6/E$6</f>
        <v>#DIV/0!</v>
      </c>
      <c r="F55" s="74" t="e">
        <f>data2!C50*$B$6/F$6</f>
        <v>#DIV/0!</v>
      </c>
      <c r="G55" s="74" t="e">
        <f>data2!D50*$B$6/G$6</f>
        <v>#DIV/0!</v>
      </c>
      <c r="H55" s="74" t="e">
        <f>data2!E50*$B$6/H$6</f>
        <v>#DIV/0!</v>
      </c>
      <c r="I55" s="74" t="e">
        <f>data2!F50*$B$6/I$6</f>
        <v>#DIV/0!</v>
      </c>
      <c r="J55" s="74" t="e">
        <f>data2!G50*$B$6/J$6</f>
        <v>#DIV/0!</v>
      </c>
      <c r="K55" s="74" t="e">
        <f>data2!H50*$B$6/K$6</f>
        <v>#DIV/0!</v>
      </c>
      <c r="L55" s="74" t="e">
        <f>data2!I50*$B$6/L$6</f>
        <v>#DIV/0!</v>
      </c>
      <c r="M55" s="74" t="e">
        <f>data2!J50*$B$6/M$6</f>
        <v>#DIV/0!</v>
      </c>
      <c r="N55" s="74" t="e">
        <f>data2!K50*$B$6/N$6</f>
        <v>#DIV/0!</v>
      </c>
      <c r="O55" s="74" t="e">
        <f>data2!L50*$B$6/O$6</f>
        <v>#DIV/0!</v>
      </c>
      <c r="P55" s="74" t="e">
        <f>data2!M50*$B$6/P$6</f>
        <v>#DIV/0!</v>
      </c>
      <c r="Q55" s="74" t="e">
        <f>data2!N50*$B$6/Q$6</f>
        <v>#DIV/0!</v>
      </c>
      <c r="R55" s="74" t="e">
        <f>data2!O50*$B$6/R$6</f>
        <v>#DIV/0!</v>
      </c>
      <c r="S55" s="74" t="e">
        <f>data2!P50*$B$6/S$6</f>
        <v>#DIV/0!</v>
      </c>
      <c r="T55" s="74" t="e">
        <f>data2!Q50*$B$6/T$6</f>
        <v>#DIV/0!</v>
      </c>
      <c r="U55" s="74" t="e">
        <f>data2!R50*$B$6/U$6</f>
        <v>#DIV/0!</v>
      </c>
      <c r="V55" s="74" t="e">
        <f>data2!S50*$B$6/V$6</f>
        <v>#DIV/0!</v>
      </c>
      <c r="W55" s="74" t="e">
        <f>data2!T50*$B$6/W$6</f>
        <v>#DIV/0!</v>
      </c>
      <c r="X55" s="74" t="e">
        <f>data2!U50*$B$6/X$6</f>
        <v>#DIV/0!</v>
      </c>
      <c r="Y55" s="74" t="e">
        <f>data2!V50*$B$6/Y$6</f>
        <v>#DIV/0!</v>
      </c>
      <c r="Z55" s="74" t="e">
        <f>data2!W50*$B$6/Z$6</f>
        <v>#DIV/0!</v>
      </c>
      <c r="AA55" s="74" t="e">
        <f>data2!X50*$B$6/AA$6</f>
        <v>#DIV/0!</v>
      </c>
      <c r="AB55" s="74" t="e">
        <f>data2!Y50*$B$6/AB$6</f>
        <v>#DIV/0!</v>
      </c>
      <c r="AC55" s="74" t="e">
        <f>data2!Z50*$B$6/AC$6</f>
        <v>#DIV/0!</v>
      </c>
      <c r="AD55" s="74" t="e">
        <f>data2!AA50*$B$6/AD$6</f>
        <v>#DIV/0!</v>
      </c>
      <c r="AE55" s="74" t="e">
        <f>data2!AB50*$B$6/AE$6</f>
        <v>#DIV/0!</v>
      </c>
      <c r="AF55" s="74" t="e">
        <f>data2!AC50*$B$6/AF$6</f>
        <v>#DIV/0!</v>
      </c>
      <c r="AG55" s="74" t="e">
        <f>data2!AD50*$B$6/AG$6</f>
        <v>#DIV/0!</v>
      </c>
      <c r="AH55" s="74" t="e">
        <f>data2!AE50*$B$6/AH$6</f>
        <v>#DIV/0!</v>
      </c>
      <c r="AI55" s="74" t="e">
        <f>data2!AF50*$B$6/AI$6</f>
        <v>#DIV/0!</v>
      </c>
      <c r="AJ55" s="74" t="e">
        <f>data2!AG50*$B$6/AJ$6</f>
        <v>#DIV/0!</v>
      </c>
    </row>
    <row r="56" spans="1:36">
      <c r="A56" s="29">
        <f>data0!A51</f>
        <v>57</v>
      </c>
      <c r="B56" s="74" t="e">
        <f>AVERAGE(data2!B51:AG51)</f>
        <v>#DIV/0!</v>
      </c>
      <c r="C56" s="74" t="e">
        <f t="shared" si="0"/>
        <v>#DIV/0!</v>
      </c>
      <c r="D56" s="74" t="e">
        <f t="shared" si="1"/>
        <v>#DIV/0!</v>
      </c>
      <c r="E56" s="74" t="e">
        <f>data2!B51*$B$6/E$6</f>
        <v>#DIV/0!</v>
      </c>
      <c r="F56" s="74" t="e">
        <f>data2!C51*$B$6/F$6</f>
        <v>#DIV/0!</v>
      </c>
      <c r="G56" s="74" t="e">
        <f>data2!D51*$B$6/G$6</f>
        <v>#DIV/0!</v>
      </c>
      <c r="H56" s="74" t="e">
        <f>data2!E51*$B$6/H$6</f>
        <v>#DIV/0!</v>
      </c>
      <c r="I56" s="74" t="e">
        <f>data2!F51*$B$6/I$6</f>
        <v>#DIV/0!</v>
      </c>
      <c r="J56" s="74" t="e">
        <f>data2!G51*$B$6/J$6</f>
        <v>#DIV/0!</v>
      </c>
      <c r="K56" s="74" t="e">
        <f>data2!H51*$B$6/K$6</f>
        <v>#DIV/0!</v>
      </c>
      <c r="L56" s="74" t="e">
        <f>data2!I51*$B$6/L$6</f>
        <v>#DIV/0!</v>
      </c>
      <c r="M56" s="74" t="e">
        <f>data2!J51*$B$6/M$6</f>
        <v>#DIV/0!</v>
      </c>
      <c r="N56" s="74" t="e">
        <f>data2!K51*$B$6/N$6</f>
        <v>#DIV/0!</v>
      </c>
      <c r="O56" s="74" t="e">
        <f>data2!L51*$B$6/O$6</f>
        <v>#DIV/0!</v>
      </c>
      <c r="P56" s="74" t="e">
        <f>data2!M51*$B$6/P$6</f>
        <v>#DIV/0!</v>
      </c>
      <c r="Q56" s="74" t="e">
        <f>data2!N51*$B$6/Q$6</f>
        <v>#DIV/0!</v>
      </c>
      <c r="R56" s="74" t="e">
        <f>data2!O51*$B$6/R$6</f>
        <v>#DIV/0!</v>
      </c>
      <c r="S56" s="74" t="e">
        <f>data2!P51*$B$6/S$6</f>
        <v>#DIV/0!</v>
      </c>
      <c r="T56" s="74" t="e">
        <f>data2!Q51*$B$6/T$6</f>
        <v>#DIV/0!</v>
      </c>
      <c r="U56" s="74" t="e">
        <f>data2!R51*$B$6/U$6</f>
        <v>#DIV/0!</v>
      </c>
      <c r="V56" s="74" t="e">
        <f>data2!S51*$B$6/V$6</f>
        <v>#DIV/0!</v>
      </c>
      <c r="W56" s="74" t="e">
        <f>data2!T51*$B$6/W$6</f>
        <v>#DIV/0!</v>
      </c>
      <c r="X56" s="74" t="e">
        <f>data2!U51*$B$6/X$6</f>
        <v>#DIV/0!</v>
      </c>
      <c r="Y56" s="74" t="e">
        <f>data2!V51*$B$6/Y$6</f>
        <v>#DIV/0!</v>
      </c>
      <c r="Z56" s="74" t="e">
        <f>data2!W51*$B$6/Z$6</f>
        <v>#DIV/0!</v>
      </c>
      <c r="AA56" s="74" t="e">
        <f>data2!X51*$B$6/AA$6</f>
        <v>#DIV/0!</v>
      </c>
      <c r="AB56" s="74" t="e">
        <f>data2!Y51*$B$6/AB$6</f>
        <v>#DIV/0!</v>
      </c>
      <c r="AC56" s="74" t="e">
        <f>data2!Z51*$B$6/AC$6</f>
        <v>#DIV/0!</v>
      </c>
      <c r="AD56" s="74" t="e">
        <f>data2!AA51*$B$6/AD$6</f>
        <v>#DIV/0!</v>
      </c>
      <c r="AE56" s="74" t="e">
        <f>data2!AB51*$B$6/AE$6</f>
        <v>#DIV/0!</v>
      </c>
      <c r="AF56" s="74" t="e">
        <f>data2!AC51*$B$6/AF$6</f>
        <v>#DIV/0!</v>
      </c>
      <c r="AG56" s="74" t="e">
        <f>data2!AD51*$B$6/AG$6</f>
        <v>#DIV/0!</v>
      </c>
      <c r="AH56" s="74" t="e">
        <f>data2!AE51*$B$6/AH$6</f>
        <v>#DIV/0!</v>
      </c>
      <c r="AI56" s="74" t="e">
        <f>data2!AF51*$B$6/AI$6</f>
        <v>#DIV/0!</v>
      </c>
      <c r="AJ56" s="74" t="e">
        <f>data2!AG51*$B$6/AJ$6</f>
        <v>#DIV/0!</v>
      </c>
    </row>
    <row r="57" spans="1:36">
      <c r="A57" s="29">
        <f>data0!A52</f>
        <v>60</v>
      </c>
      <c r="B57" s="74" t="e">
        <f>AVERAGE(data2!B52:AG52)</f>
        <v>#DIV/0!</v>
      </c>
      <c r="C57" s="74" t="e">
        <f t="shared" si="0"/>
        <v>#DIV/0!</v>
      </c>
      <c r="D57" s="74" t="e">
        <f t="shared" si="1"/>
        <v>#DIV/0!</v>
      </c>
      <c r="E57" s="74" t="e">
        <f>data2!B52*$B$6/E$6</f>
        <v>#DIV/0!</v>
      </c>
      <c r="F57" s="74" t="e">
        <f>data2!C52*$B$6/F$6</f>
        <v>#DIV/0!</v>
      </c>
      <c r="G57" s="74" t="e">
        <f>data2!D52*$B$6/G$6</f>
        <v>#DIV/0!</v>
      </c>
      <c r="H57" s="74" t="e">
        <f>data2!E52*$B$6/H$6</f>
        <v>#DIV/0!</v>
      </c>
      <c r="I57" s="74" t="e">
        <f>data2!F52*$B$6/I$6</f>
        <v>#DIV/0!</v>
      </c>
      <c r="J57" s="74" t="e">
        <f>data2!G52*$B$6/J$6</f>
        <v>#DIV/0!</v>
      </c>
      <c r="K57" s="74" t="e">
        <f>data2!H52*$B$6/K$6</f>
        <v>#DIV/0!</v>
      </c>
      <c r="L57" s="74" t="e">
        <f>data2!I52*$B$6/L$6</f>
        <v>#DIV/0!</v>
      </c>
      <c r="M57" s="74" t="e">
        <f>data2!J52*$B$6/M$6</f>
        <v>#DIV/0!</v>
      </c>
      <c r="N57" s="74" t="e">
        <f>data2!K52*$B$6/N$6</f>
        <v>#DIV/0!</v>
      </c>
      <c r="O57" s="74" t="e">
        <f>data2!L52*$B$6/O$6</f>
        <v>#DIV/0!</v>
      </c>
      <c r="P57" s="74" t="e">
        <f>data2!M52*$B$6/P$6</f>
        <v>#DIV/0!</v>
      </c>
      <c r="Q57" s="74" t="e">
        <f>data2!N52*$B$6/Q$6</f>
        <v>#DIV/0!</v>
      </c>
      <c r="R57" s="74" t="e">
        <f>data2!O52*$B$6/R$6</f>
        <v>#DIV/0!</v>
      </c>
      <c r="S57" s="74" t="e">
        <f>data2!P52*$B$6/S$6</f>
        <v>#DIV/0!</v>
      </c>
      <c r="T57" s="74" t="e">
        <f>data2!Q52*$B$6/T$6</f>
        <v>#DIV/0!</v>
      </c>
      <c r="U57" s="74" t="e">
        <f>data2!R52*$B$6/U$6</f>
        <v>#DIV/0!</v>
      </c>
      <c r="V57" s="74" t="e">
        <f>data2!S52*$B$6/V$6</f>
        <v>#DIV/0!</v>
      </c>
      <c r="W57" s="74" t="e">
        <f>data2!T52*$B$6/W$6</f>
        <v>#DIV/0!</v>
      </c>
      <c r="X57" s="74" t="e">
        <f>data2!U52*$B$6/X$6</f>
        <v>#DIV/0!</v>
      </c>
      <c r="Y57" s="74" t="e">
        <f>data2!V52*$B$6/Y$6</f>
        <v>#DIV/0!</v>
      </c>
      <c r="Z57" s="74" t="e">
        <f>data2!W52*$B$6/Z$6</f>
        <v>#DIV/0!</v>
      </c>
      <c r="AA57" s="74" t="e">
        <f>data2!X52*$B$6/AA$6</f>
        <v>#DIV/0!</v>
      </c>
      <c r="AB57" s="74" t="e">
        <f>data2!Y52*$B$6/AB$6</f>
        <v>#DIV/0!</v>
      </c>
      <c r="AC57" s="74" t="e">
        <f>data2!Z52*$B$6/AC$6</f>
        <v>#DIV/0!</v>
      </c>
      <c r="AD57" s="74" t="e">
        <f>data2!AA52*$B$6/AD$6</f>
        <v>#DIV/0!</v>
      </c>
      <c r="AE57" s="74" t="e">
        <f>data2!AB52*$B$6/AE$6</f>
        <v>#DIV/0!</v>
      </c>
      <c r="AF57" s="74" t="e">
        <f>data2!AC52*$B$6/AF$6</f>
        <v>#DIV/0!</v>
      </c>
      <c r="AG57" s="74" t="e">
        <f>data2!AD52*$B$6/AG$6</f>
        <v>#DIV/0!</v>
      </c>
      <c r="AH57" s="74" t="e">
        <f>data2!AE52*$B$6/AH$6</f>
        <v>#DIV/0!</v>
      </c>
      <c r="AI57" s="74" t="e">
        <f>data2!AF52*$B$6/AI$6</f>
        <v>#DIV/0!</v>
      </c>
      <c r="AJ57" s="74" t="e">
        <f>data2!AG52*$B$6/AJ$6</f>
        <v>#DIV/0!</v>
      </c>
    </row>
    <row r="58" spans="1:36">
      <c r="A58" s="29">
        <f>data0!A53</f>
        <v>63</v>
      </c>
      <c r="B58" s="74" t="e">
        <f>AVERAGE(data2!B53:AG53)</f>
        <v>#DIV/0!</v>
      </c>
      <c r="C58" s="74" t="e">
        <f t="shared" si="0"/>
        <v>#DIV/0!</v>
      </c>
      <c r="D58" s="74" t="e">
        <f t="shared" si="1"/>
        <v>#DIV/0!</v>
      </c>
      <c r="E58" s="74" t="e">
        <f>data2!B53*$B$6/E$6</f>
        <v>#DIV/0!</v>
      </c>
      <c r="F58" s="74" t="e">
        <f>data2!C53*$B$6/F$6</f>
        <v>#DIV/0!</v>
      </c>
      <c r="G58" s="74" t="e">
        <f>data2!D53*$B$6/G$6</f>
        <v>#DIV/0!</v>
      </c>
      <c r="H58" s="74" t="e">
        <f>data2!E53*$B$6/H$6</f>
        <v>#DIV/0!</v>
      </c>
      <c r="I58" s="74" t="e">
        <f>data2!F53*$B$6/I$6</f>
        <v>#DIV/0!</v>
      </c>
      <c r="J58" s="74" t="e">
        <f>data2!G53*$B$6/J$6</f>
        <v>#DIV/0!</v>
      </c>
      <c r="K58" s="74" t="e">
        <f>data2!H53*$B$6/K$6</f>
        <v>#DIV/0!</v>
      </c>
      <c r="L58" s="74" t="e">
        <f>data2!I53*$B$6/L$6</f>
        <v>#DIV/0!</v>
      </c>
      <c r="M58" s="74" t="e">
        <f>data2!J53*$B$6/M$6</f>
        <v>#DIV/0!</v>
      </c>
      <c r="N58" s="74" t="e">
        <f>data2!K53*$B$6/N$6</f>
        <v>#DIV/0!</v>
      </c>
      <c r="O58" s="74" t="e">
        <f>data2!L53*$B$6/O$6</f>
        <v>#DIV/0!</v>
      </c>
      <c r="P58" s="74" t="e">
        <f>data2!M53*$B$6/P$6</f>
        <v>#DIV/0!</v>
      </c>
      <c r="Q58" s="74" t="e">
        <f>data2!N53*$B$6/Q$6</f>
        <v>#DIV/0!</v>
      </c>
      <c r="R58" s="74" t="e">
        <f>data2!O53*$B$6/R$6</f>
        <v>#DIV/0!</v>
      </c>
      <c r="S58" s="74" t="e">
        <f>data2!P53*$B$6/S$6</f>
        <v>#DIV/0!</v>
      </c>
      <c r="T58" s="74" t="e">
        <f>data2!Q53*$B$6/T$6</f>
        <v>#DIV/0!</v>
      </c>
      <c r="U58" s="74" t="e">
        <f>data2!R53*$B$6/U$6</f>
        <v>#DIV/0!</v>
      </c>
      <c r="V58" s="74" t="e">
        <f>data2!S53*$B$6/V$6</f>
        <v>#DIV/0!</v>
      </c>
      <c r="W58" s="74" t="e">
        <f>data2!T53*$B$6/W$6</f>
        <v>#DIV/0!</v>
      </c>
      <c r="X58" s="74" t="e">
        <f>data2!U53*$B$6/X$6</f>
        <v>#DIV/0!</v>
      </c>
      <c r="Y58" s="74" t="e">
        <f>data2!V53*$B$6/Y$6</f>
        <v>#DIV/0!</v>
      </c>
      <c r="Z58" s="74" t="e">
        <f>data2!W53*$B$6/Z$6</f>
        <v>#DIV/0!</v>
      </c>
      <c r="AA58" s="74" t="e">
        <f>data2!X53*$B$6/AA$6</f>
        <v>#DIV/0!</v>
      </c>
      <c r="AB58" s="74" t="e">
        <f>data2!Y53*$B$6/AB$6</f>
        <v>#DIV/0!</v>
      </c>
      <c r="AC58" s="74" t="e">
        <f>data2!Z53*$B$6/AC$6</f>
        <v>#DIV/0!</v>
      </c>
      <c r="AD58" s="74" t="e">
        <f>data2!AA53*$B$6/AD$6</f>
        <v>#DIV/0!</v>
      </c>
      <c r="AE58" s="74" t="e">
        <f>data2!AB53*$B$6/AE$6</f>
        <v>#DIV/0!</v>
      </c>
      <c r="AF58" s="74" t="e">
        <f>data2!AC53*$B$6/AF$6</f>
        <v>#DIV/0!</v>
      </c>
      <c r="AG58" s="74" t="e">
        <f>data2!AD53*$B$6/AG$6</f>
        <v>#DIV/0!</v>
      </c>
      <c r="AH58" s="74" t="e">
        <f>data2!AE53*$B$6/AH$6</f>
        <v>#DIV/0!</v>
      </c>
      <c r="AI58" s="74" t="e">
        <f>data2!AF53*$B$6/AI$6</f>
        <v>#DIV/0!</v>
      </c>
      <c r="AJ58" s="74" t="e">
        <f>data2!AG53*$B$6/AJ$6</f>
        <v>#DIV/0!</v>
      </c>
    </row>
    <row r="59" spans="1:36">
      <c r="A59" s="29">
        <f>data0!A54</f>
        <v>66</v>
      </c>
      <c r="B59" s="74" t="e">
        <f>AVERAGE(data2!B54:AG54)</f>
        <v>#DIV/0!</v>
      </c>
      <c r="C59" s="74" t="e">
        <f t="shared" si="0"/>
        <v>#DIV/0!</v>
      </c>
      <c r="D59" s="74" t="e">
        <f t="shared" si="1"/>
        <v>#DIV/0!</v>
      </c>
      <c r="E59" s="74" t="e">
        <f>data2!B54*$B$6/E$6</f>
        <v>#DIV/0!</v>
      </c>
      <c r="F59" s="74" t="e">
        <f>data2!C54*$B$6/F$6</f>
        <v>#DIV/0!</v>
      </c>
      <c r="G59" s="74" t="e">
        <f>data2!D54*$B$6/G$6</f>
        <v>#DIV/0!</v>
      </c>
      <c r="H59" s="74" t="e">
        <f>data2!E54*$B$6/H$6</f>
        <v>#DIV/0!</v>
      </c>
      <c r="I59" s="74" t="e">
        <f>data2!F54*$B$6/I$6</f>
        <v>#DIV/0!</v>
      </c>
      <c r="J59" s="74" t="e">
        <f>data2!G54*$B$6/J$6</f>
        <v>#DIV/0!</v>
      </c>
      <c r="K59" s="74" t="e">
        <f>data2!H54*$B$6/K$6</f>
        <v>#DIV/0!</v>
      </c>
      <c r="L59" s="74" t="e">
        <f>data2!I54*$B$6/L$6</f>
        <v>#DIV/0!</v>
      </c>
      <c r="M59" s="74" t="e">
        <f>data2!J54*$B$6/M$6</f>
        <v>#DIV/0!</v>
      </c>
      <c r="N59" s="74" t="e">
        <f>data2!K54*$B$6/N$6</f>
        <v>#DIV/0!</v>
      </c>
      <c r="O59" s="74" t="e">
        <f>data2!L54*$B$6/O$6</f>
        <v>#DIV/0!</v>
      </c>
      <c r="P59" s="74" t="e">
        <f>data2!M54*$B$6/P$6</f>
        <v>#DIV/0!</v>
      </c>
      <c r="Q59" s="74" t="e">
        <f>data2!N54*$B$6/Q$6</f>
        <v>#DIV/0!</v>
      </c>
      <c r="R59" s="74" t="e">
        <f>data2!O54*$B$6/R$6</f>
        <v>#DIV/0!</v>
      </c>
      <c r="S59" s="74" t="e">
        <f>data2!P54*$B$6/S$6</f>
        <v>#DIV/0!</v>
      </c>
      <c r="T59" s="74" t="e">
        <f>data2!Q54*$B$6/T$6</f>
        <v>#DIV/0!</v>
      </c>
      <c r="U59" s="74" t="e">
        <f>data2!R54*$B$6/U$6</f>
        <v>#DIV/0!</v>
      </c>
      <c r="V59" s="74" t="e">
        <f>data2!S54*$B$6/V$6</f>
        <v>#DIV/0!</v>
      </c>
      <c r="W59" s="74" t="e">
        <f>data2!T54*$B$6/W$6</f>
        <v>#DIV/0!</v>
      </c>
      <c r="X59" s="74" t="e">
        <f>data2!U54*$B$6/X$6</f>
        <v>#DIV/0!</v>
      </c>
      <c r="Y59" s="74" t="e">
        <f>data2!V54*$B$6/Y$6</f>
        <v>#DIV/0!</v>
      </c>
      <c r="Z59" s="74" t="e">
        <f>data2!W54*$B$6/Z$6</f>
        <v>#DIV/0!</v>
      </c>
      <c r="AA59" s="74" t="e">
        <f>data2!X54*$B$6/AA$6</f>
        <v>#DIV/0!</v>
      </c>
      <c r="AB59" s="74" t="e">
        <f>data2!Y54*$B$6/AB$6</f>
        <v>#DIV/0!</v>
      </c>
      <c r="AC59" s="74" t="e">
        <f>data2!Z54*$B$6/AC$6</f>
        <v>#DIV/0!</v>
      </c>
      <c r="AD59" s="74" t="e">
        <f>data2!AA54*$B$6/AD$6</f>
        <v>#DIV/0!</v>
      </c>
      <c r="AE59" s="74" t="e">
        <f>data2!AB54*$B$6/AE$6</f>
        <v>#DIV/0!</v>
      </c>
      <c r="AF59" s="74" t="e">
        <f>data2!AC54*$B$6/AF$6</f>
        <v>#DIV/0!</v>
      </c>
      <c r="AG59" s="74" t="e">
        <f>data2!AD54*$B$6/AG$6</f>
        <v>#DIV/0!</v>
      </c>
      <c r="AH59" s="74" t="e">
        <f>data2!AE54*$B$6/AH$6</f>
        <v>#DIV/0!</v>
      </c>
      <c r="AI59" s="74" t="e">
        <f>data2!AF54*$B$6/AI$6</f>
        <v>#DIV/0!</v>
      </c>
      <c r="AJ59" s="74" t="e">
        <f>data2!AG54*$B$6/AJ$6</f>
        <v>#DIV/0!</v>
      </c>
    </row>
    <row r="60" spans="1:36">
      <c r="A60" s="29">
        <f>data0!A55</f>
        <v>69</v>
      </c>
      <c r="B60" s="74" t="e">
        <f>AVERAGE(data2!B55:AG55)</f>
        <v>#DIV/0!</v>
      </c>
      <c r="C60" s="74" t="e">
        <f t="shared" si="0"/>
        <v>#DIV/0!</v>
      </c>
      <c r="D60" s="74" t="e">
        <f t="shared" si="1"/>
        <v>#DIV/0!</v>
      </c>
      <c r="E60" s="74" t="e">
        <f>data2!B55*$B$6/E$6</f>
        <v>#DIV/0!</v>
      </c>
      <c r="F60" s="74" t="e">
        <f>data2!C55*$B$6/F$6</f>
        <v>#DIV/0!</v>
      </c>
      <c r="G60" s="74" t="e">
        <f>data2!D55*$B$6/G$6</f>
        <v>#DIV/0!</v>
      </c>
      <c r="H60" s="74" t="e">
        <f>data2!E55*$B$6/H$6</f>
        <v>#DIV/0!</v>
      </c>
      <c r="I60" s="74" t="e">
        <f>data2!F55*$B$6/I$6</f>
        <v>#DIV/0!</v>
      </c>
      <c r="J60" s="74" t="e">
        <f>data2!G55*$B$6/J$6</f>
        <v>#DIV/0!</v>
      </c>
      <c r="K60" s="74" t="e">
        <f>data2!H55*$B$6/K$6</f>
        <v>#DIV/0!</v>
      </c>
      <c r="L60" s="74" t="e">
        <f>data2!I55*$B$6/L$6</f>
        <v>#DIV/0!</v>
      </c>
      <c r="M60" s="74" t="e">
        <f>data2!J55*$B$6/M$6</f>
        <v>#DIV/0!</v>
      </c>
      <c r="N60" s="74" t="e">
        <f>data2!K55*$B$6/N$6</f>
        <v>#DIV/0!</v>
      </c>
      <c r="O60" s="74" t="e">
        <f>data2!L55*$B$6/O$6</f>
        <v>#DIV/0!</v>
      </c>
      <c r="P60" s="74" t="e">
        <f>data2!M55*$B$6/P$6</f>
        <v>#DIV/0!</v>
      </c>
      <c r="Q60" s="74" t="e">
        <f>data2!N55*$B$6/Q$6</f>
        <v>#DIV/0!</v>
      </c>
      <c r="R60" s="74" t="e">
        <f>data2!O55*$B$6/R$6</f>
        <v>#DIV/0!</v>
      </c>
      <c r="S60" s="74" t="e">
        <f>data2!P55*$B$6/S$6</f>
        <v>#DIV/0!</v>
      </c>
      <c r="T60" s="74" t="e">
        <f>data2!Q55*$B$6/T$6</f>
        <v>#DIV/0!</v>
      </c>
      <c r="U60" s="74" t="e">
        <f>data2!R55*$B$6/U$6</f>
        <v>#DIV/0!</v>
      </c>
      <c r="V60" s="74" t="e">
        <f>data2!S55*$B$6/V$6</f>
        <v>#DIV/0!</v>
      </c>
      <c r="W60" s="74" t="e">
        <f>data2!T55*$B$6/W$6</f>
        <v>#DIV/0!</v>
      </c>
      <c r="X60" s="74" t="e">
        <f>data2!U55*$B$6/X$6</f>
        <v>#DIV/0!</v>
      </c>
      <c r="Y60" s="74" t="e">
        <f>data2!V55*$B$6/Y$6</f>
        <v>#DIV/0!</v>
      </c>
      <c r="Z60" s="74" t="e">
        <f>data2!W55*$B$6/Z$6</f>
        <v>#DIV/0!</v>
      </c>
      <c r="AA60" s="74" t="e">
        <f>data2!X55*$B$6/AA$6</f>
        <v>#DIV/0!</v>
      </c>
      <c r="AB60" s="74" t="e">
        <f>data2!Y55*$B$6/AB$6</f>
        <v>#DIV/0!</v>
      </c>
      <c r="AC60" s="74" t="e">
        <f>data2!Z55*$B$6/AC$6</f>
        <v>#DIV/0!</v>
      </c>
      <c r="AD60" s="74" t="e">
        <f>data2!AA55*$B$6/AD$6</f>
        <v>#DIV/0!</v>
      </c>
      <c r="AE60" s="74" t="e">
        <f>data2!AB55*$B$6/AE$6</f>
        <v>#DIV/0!</v>
      </c>
      <c r="AF60" s="74" t="e">
        <f>data2!AC55*$B$6/AF$6</f>
        <v>#DIV/0!</v>
      </c>
      <c r="AG60" s="74" t="e">
        <f>data2!AD55*$B$6/AG$6</f>
        <v>#DIV/0!</v>
      </c>
      <c r="AH60" s="74" t="e">
        <f>data2!AE55*$B$6/AH$6</f>
        <v>#DIV/0!</v>
      </c>
      <c r="AI60" s="74" t="e">
        <f>data2!AF55*$B$6/AI$6</f>
        <v>#DIV/0!</v>
      </c>
      <c r="AJ60" s="74" t="e">
        <f>data2!AG55*$B$6/AJ$6</f>
        <v>#DIV/0!</v>
      </c>
    </row>
    <row r="61" spans="1:36">
      <c r="A61" s="29">
        <f>data0!A56</f>
        <v>72</v>
      </c>
      <c r="B61" s="74" t="e">
        <f>AVERAGE(data2!B56:AG56)</f>
        <v>#DIV/0!</v>
      </c>
      <c r="C61" s="74" t="e">
        <f t="shared" si="0"/>
        <v>#DIV/0!</v>
      </c>
      <c r="D61" s="74" t="e">
        <f t="shared" si="1"/>
        <v>#DIV/0!</v>
      </c>
      <c r="E61" s="74" t="e">
        <f>data2!B56*$B$6/E$6</f>
        <v>#DIV/0!</v>
      </c>
      <c r="F61" s="74" t="e">
        <f>data2!C56*$B$6/F$6</f>
        <v>#DIV/0!</v>
      </c>
      <c r="G61" s="74" t="e">
        <f>data2!D56*$B$6/G$6</f>
        <v>#DIV/0!</v>
      </c>
      <c r="H61" s="74" t="e">
        <f>data2!E56*$B$6/H$6</f>
        <v>#DIV/0!</v>
      </c>
      <c r="I61" s="74" t="e">
        <f>data2!F56*$B$6/I$6</f>
        <v>#DIV/0!</v>
      </c>
      <c r="J61" s="74" t="e">
        <f>data2!G56*$B$6/J$6</f>
        <v>#DIV/0!</v>
      </c>
      <c r="K61" s="74" t="e">
        <f>data2!H56*$B$6/K$6</f>
        <v>#DIV/0!</v>
      </c>
      <c r="L61" s="74" t="e">
        <f>data2!I56*$B$6/L$6</f>
        <v>#DIV/0!</v>
      </c>
      <c r="M61" s="74" t="e">
        <f>data2!J56*$B$6/M$6</f>
        <v>#DIV/0!</v>
      </c>
      <c r="N61" s="74" t="e">
        <f>data2!K56*$B$6/N$6</f>
        <v>#DIV/0!</v>
      </c>
      <c r="O61" s="74" t="e">
        <f>data2!L56*$B$6/O$6</f>
        <v>#DIV/0!</v>
      </c>
      <c r="P61" s="74" t="e">
        <f>data2!M56*$B$6/P$6</f>
        <v>#DIV/0!</v>
      </c>
      <c r="Q61" s="74" t="e">
        <f>data2!N56*$B$6/Q$6</f>
        <v>#DIV/0!</v>
      </c>
      <c r="R61" s="74" t="e">
        <f>data2!O56*$B$6/R$6</f>
        <v>#DIV/0!</v>
      </c>
      <c r="S61" s="74" t="e">
        <f>data2!P56*$B$6/S$6</f>
        <v>#DIV/0!</v>
      </c>
      <c r="T61" s="74" t="e">
        <f>data2!Q56*$B$6/T$6</f>
        <v>#DIV/0!</v>
      </c>
      <c r="U61" s="74" t="e">
        <f>data2!R56*$B$6/U$6</f>
        <v>#DIV/0!</v>
      </c>
      <c r="V61" s="74" t="e">
        <f>data2!S56*$B$6/V$6</f>
        <v>#DIV/0!</v>
      </c>
      <c r="W61" s="74" t="e">
        <f>data2!T56*$B$6/W$6</f>
        <v>#DIV/0!</v>
      </c>
      <c r="X61" s="74" t="e">
        <f>data2!U56*$B$6/X$6</f>
        <v>#DIV/0!</v>
      </c>
      <c r="Y61" s="74" t="e">
        <f>data2!V56*$B$6/Y$6</f>
        <v>#DIV/0!</v>
      </c>
      <c r="Z61" s="74" t="e">
        <f>data2!W56*$B$6/Z$6</f>
        <v>#DIV/0!</v>
      </c>
      <c r="AA61" s="74" t="e">
        <f>data2!X56*$B$6/AA$6</f>
        <v>#DIV/0!</v>
      </c>
      <c r="AB61" s="74" t="e">
        <f>data2!Y56*$B$6/AB$6</f>
        <v>#DIV/0!</v>
      </c>
      <c r="AC61" s="74" t="e">
        <f>data2!Z56*$B$6/AC$6</f>
        <v>#DIV/0!</v>
      </c>
      <c r="AD61" s="74" t="e">
        <f>data2!AA56*$B$6/AD$6</f>
        <v>#DIV/0!</v>
      </c>
      <c r="AE61" s="74" t="e">
        <f>data2!AB56*$B$6/AE$6</f>
        <v>#DIV/0!</v>
      </c>
      <c r="AF61" s="74" t="e">
        <f>data2!AC56*$B$6/AF$6</f>
        <v>#DIV/0!</v>
      </c>
      <c r="AG61" s="74" t="e">
        <f>data2!AD56*$B$6/AG$6</f>
        <v>#DIV/0!</v>
      </c>
      <c r="AH61" s="74" t="e">
        <f>data2!AE56*$B$6/AH$6</f>
        <v>#DIV/0!</v>
      </c>
      <c r="AI61" s="74" t="e">
        <f>data2!AF56*$B$6/AI$6</f>
        <v>#DIV/0!</v>
      </c>
      <c r="AJ61" s="74" t="e">
        <f>data2!AG56*$B$6/AJ$6</f>
        <v>#DIV/0!</v>
      </c>
    </row>
    <row r="62" spans="1:36">
      <c r="A62" s="29">
        <f>data0!A57</f>
        <v>75</v>
      </c>
      <c r="B62" s="74" t="e">
        <f>AVERAGE(data2!B57:AG57)</f>
        <v>#DIV/0!</v>
      </c>
      <c r="C62" s="74" t="e">
        <f t="shared" si="0"/>
        <v>#DIV/0!</v>
      </c>
      <c r="D62" s="74" t="e">
        <f t="shared" si="1"/>
        <v>#DIV/0!</v>
      </c>
      <c r="E62" s="74" t="e">
        <f>data2!B57*$B$6/E$6</f>
        <v>#DIV/0!</v>
      </c>
      <c r="F62" s="74" t="e">
        <f>data2!C57*$B$6/F$6</f>
        <v>#DIV/0!</v>
      </c>
      <c r="G62" s="74" t="e">
        <f>data2!D57*$B$6/G$6</f>
        <v>#DIV/0!</v>
      </c>
      <c r="H62" s="74" t="e">
        <f>data2!E57*$B$6/H$6</f>
        <v>#DIV/0!</v>
      </c>
      <c r="I62" s="74" t="e">
        <f>data2!F57*$B$6/I$6</f>
        <v>#DIV/0!</v>
      </c>
      <c r="J62" s="74" t="e">
        <f>data2!G57*$B$6/J$6</f>
        <v>#DIV/0!</v>
      </c>
      <c r="K62" s="74" t="e">
        <f>data2!H57*$B$6/K$6</f>
        <v>#DIV/0!</v>
      </c>
      <c r="L62" s="74" t="e">
        <f>data2!I57*$B$6/L$6</f>
        <v>#DIV/0!</v>
      </c>
      <c r="M62" s="74" t="e">
        <f>data2!J57*$B$6/M$6</f>
        <v>#DIV/0!</v>
      </c>
      <c r="N62" s="74" t="e">
        <f>data2!K57*$B$6/N$6</f>
        <v>#DIV/0!</v>
      </c>
      <c r="O62" s="74" t="e">
        <f>data2!L57*$B$6/O$6</f>
        <v>#DIV/0!</v>
      </c>
      <c r="P62" s="74" t="e">
        <f>data2!M57*$B$6/P$6</f>
        <v>#DIV/0!</v>
      </c>
      <c r="Q62" s="74" t="e">
        <f>data2!N57*$B$6/Q$6</f>
        <v>#DIV/0!</v>
      </c>
      <c r="R62" s="74" t="e">
        <f>data2!O57*$B$6/R$6</f>
        <v>#DIV/0!</v>
      </c>
      <c r="S62" s="74" t="e">
        <f>data2!P57*$B$6/S$6</f>
        <v>#DIV/0!</v>
      </c>
      <c r="T62" s="74" t="e">
        <f>data2!Q57*$B$6/T$6</f>
        <v>#DIV/0!</v>
      </c>
      <c r="U62" s="74" t="e">
        <f>data2!R57*$B$6/U$6</f>
        <v>#DIV/0!</v>
      </c>
      <c r="V62" s="74" t="e">
        <f>data2!S57*$B$6/V$6</f>
        <v>#DIV/0!</v>
      </c>
      <c r="W62" s="74" t="e">
        <f>data2!T57*$B$6/W$6</f>
        <v>#DIV/0!</v>
      </c>
      <c r="X62" s="74" t="e">
        <f>data2!U57*$B$6/X$6</f>
        <v>#DIV/0!</v>
      </c>
      <c r="Y62" s="74" t="e">
        <f>data2!V57*$B$6/Y$6</f>
        <v>#DIV/0!</v>
      </c>
      <c r="Z62" s="74" t="e">
        <f>data2!W57*$B$6/Z$6</f>
        <v>#DIV/0!</v>
      </c>
      <c r="AA62" s="74" t="e">
        <f>data2!X57*$B$6/AA$6</f>
        <v>#DIV/0!</v>
      </c>
      <c r="AB62" s="74" t="e">
        <f>data2!Y57*$B$6/AB$6</f>
        <v>#DIV/0!</v>
      </c>
      <c r="AC62" s="74" t="e">
        <f>data2!Z57*$B$6/AC$6</f>
        <v>#DIV/0!</v>
      </c>
      <c r="AD62" s="74" t="e">
        <f>data2!AA57*$B$6/AD$6</f>
        <v>#DIV/0!</v>
      </c>
      <c r="AE62" s="74" t="e">
        <f>data2!AB57*$B$6/AE$6</f>
        <v>#DIV/0!</v>
      </c>
      <c r="AF62" s="74" t="e">
        <f>data2!AC57*$B$6/AF$6</f>
        <v>#DIV/0!</v>
      </c>
      <c r="AG62" s="74" t="e">
        <f>data2!AD57*$B$6/AG$6</f>
        <v>#DIV/0!</v>
      </c>
      <c r="AH62" s="74" t="e">
        <f>data2!AE57*$B$6/AH$6</f>
        <v>#DIV/0!</v>
      </c>
      <c r="AI62" s="74" t="e">
        <f>data2!AF57*$B$6/AI$6</f>
        <v>#DIV/0!</v>
      </c>
      <c r="AJ62" s="74" t="e">
        <f>data2!AG57*$B$6/AJ$6</f>
        <v>#DIV/0!</v>
      </c>
    </row>
    <row r="63" spans="1:36">
      <c r="A63" s="29">
        <f>data0!A58</f>
        <v>78</v>
      </c>
      <c r="B63" s="74" t="e">
        <f>AVERAGE(data2!B58:AG58)</f>
        <v>#DIV/0!</v>
      </c>
      <c r="C63" s="74" t="e">
        <f t="shared" si="0"/>
        <v>#DIV/0!</v>
      </c>
      <c r="D63" s="74" t="e">
        <f t="shared" si="1"/>
        <v>#DIV/0!</v>
      </c>
      <c r="E63" s="74" t="e">
        <f>data2!B58*$B$6/E$6</f>
        <v>#DIV/0!</v>
      </c>
      <c r="F63" s="74" t="e">
        <f>data2!C58*$B$6/F$6</f>
        <v>#DIV/0!</v>
      </c>
      <c r="G63" s="74" t="e">
        <f>data2!D58*$B$6/G$6</f>
        <v>#DIV/0!</v>
      </c>
      <c r="H63" s="74" t="e">
        <f>data2!E58*$B$6/H$6</f>
        <v>#DIV/0!</v>
      </c>
      <c r="I63" s="74" t="e">
        <f>data2!F58*$B$6/I$6</f>
        <v>#DIV/0!</v>
      </c>
      <c r="J63" s="74" t="e">
        <f>data2!G58*$B$6/J$6</f>
        <v>#DIV/0!</v>
      </c>
      <c r="K63" s="74" t="e">
        <f>data2!H58*$B$6/K$6</f>
        <v>#DIV/0!</v>
      </c>
      <c r="L63" s="74" t="e">
        <f>data2!I58*$B$6/L$6</f>
        <v>#DIV/0!</v>
      </c>
      <c r="M63" s="74" t="e">
        <f>data2!J58*$B$6/M$6</f>
        <v>#DIV/0!</v>
      </c>
      <c r="N63" s="74" t="e">
        <f>data2!K58*$B$6/N$6</f>
        <v>#DIV/0!</v>
      </c>
      <c r="O63" s="74" t="e">
        <f>data2!L58*$B$6/O$6</f>
        <v>#DIV/0!</v>
      </c>
      <c r="P63" s="74" t="e">
        <f>data2!M58*$B$6/P$6</f>
        <v>#DIV/0!</v>
      </c>
      <c r="Q63" s="74" t="e">
        <f>data2!N58*$B$6/Q$6</f>
        <v>#DIV/0!</v>
      </c>
      <c r="R63" s="74" t="e">
        <f>data2!O58*$B$6/R$6</f>
        <v>#DIV/0!</v>
      </c>
      <c r="S63" s="74" t="e">
        <f>data2!P58*$B$6/S$6</f>
        <v>#DIV/0!</v>
      </c>
      <c r="T63" s="74" t="e">
        <f>data2!Q58*$B$6/T$6</f>
        <v>#DIV/0!</v>
      </c>
      <c r="U63" s="74" t="e">
        <f>data2!R58*$B$6/U$6</f>
        <v>#DIV/0!</v>
      </c>
      <c r="V63" s="74" t="e">
        <f>data2!S58*$B$6/V$6</f>
        <v>#DIV/0!</v>
      </c>
      <c r="W63" s="74" t="e">
        <f>data2!T58*$B$6/W$6</f>
        <v>#DIV/0!</v>
      </c>
      <c r="X63" s="74" t="e">
        <f>data2!U58*$B$6/X$6</f>
        <v>#DIV/0!</v>
      </c>
      <c r="Y63" s="74" t="e">
        <f>data2!V58*$B$6/Y$6</f>
        <v>#DIV/0!</v>
      </c>
      <c r="Z63" s="74" t="e">
        <f>data2!W58*$B$6/Z$6</f>
        <v>#DIV/0!</v>
      </c>
      <c r="AA63" s="74" t="e">
        <f>data2!X58*$B$6/AA$6</f>
        <v>#DIV/0!</v>
      </c>
      <c r="AB63" s="74" t="e">
        <f>data2!Y58*$B$6/AB$6</f>
        <v>#DIV/0!</v>
      </c>
      <c r="AC63" s="74" t="e">
        <f>data2!Z58*$B$6/AC$6</f>
        <v>#DIV/0!</v>
      </c>
      <c r="AD63" s="74" t="e">
        <f>data2!AA58*$B$6/AD$6</f>
        <v>#DIV/0!</v>
      </c>
      <c r="AE63" s="74" t="e">
        <f>data2!AB58*$B$6/AE$6</f>
        <v>#DIV/0!</v>
      </c>
      <c r="AF63" s="74" t="e">
        <f>data2!AC58*$B$6/AF$6</f>
        <v>#DIV/0!</v>
      </c>
      <c r="AG63" s="74" t="e">
        <f>data2!AD58*$B$6/AG$6</f>
        <v>#DIV/0!</v>
      </c>
      <c r="AH63" s="74" t="e">
        <f>data2!AE58*$B$6/AH$6</f>
        <v>#DIV/0!</v>
      </c>
      <c r="AI63" s="74" t="e">
        <f>data2!AF58*$B$6/AI$6</f>
        <v>#DIV/0!</v>
      </c>
      <c r="AJ63" s="74" t="e">
        <f>data2!AG58*$B$6/AJ$6</f>
        <v>#DIV/0!</v>
      </c>
    </row>
    <row r="64" spans="1:36">
      <c r="A64" s="29">
        <f>data0!A59</f>
        <v>81</v>
      </c>
      <c r="B64" s="74" t="e">
        <f>AVERAGE(data2!B59:AG59)</f>
        <v>#DIV/0!</v>
      </c>
      <c r="C64" s="74" t="e">
        <f t="shared" si="0"/>
        <v>#DIV/0!</v>
      </c>
      <c r="D64" s="74" t="e">
        <f t="shared" si="1"/>
        <v>#DIV/0!</v>
      </c>
      <c r="E64" s="74" t="e">
        <f>data2!B59*$B$6/E$6</f>
        <v>#DIV/0!</v>
      </c>
      <c r="F64" s="74" t="e">
        <f>data2!C59*$B$6/F$6</f>
        <v>#DIV/0!</v>
      </c>
      <c r="G64" s="74" t="e">
        <f>data2!D59*$B$6/G$6</f>
        <v>#DIV/0!</v>
      </c>
      <c r="H64" s="74" t="e">
        <f>data2!E59*$B$6/H$6</f>
        <v>#DIV/0!</v>
      </c>
      <c r="I64" s="74" t="e">
        <f>data2!F59*$B$6/I$6</f>
        <v>#DIV/0!</v>
      </c>
      <c r="J64" s="74" t="e">
        <f>data2!G59*$B$6/J$6</f>
        <v>#DIV/0!</v>
      </c>
      <c r="K64" s="74" t="e">
        <f>data2!H59*$B$6/K$6</f>
        <v>#DIV/0!</v>
      </c>
      <c r="L64" s="74" t="e">
        <f>data2!I59*$B$6/L$6</f>
        <v>#DIV/0!</v>
      </c>
      <c r="M64" s="74" t="e">
        <f>data2!J59*$B$6/M$6</f>
        <v>#DIV/0!</v>
      </c>
      <c r="N64" s="74" t="e">
        <f>data2!K59*$B$6/N$6</f>
        <v>#DIV/0!</v>
      </c>
      <c r="O64" s="74" t="e">
        <f>data2!L59*$B$6/O$6</f>
        <v>#DIV/0!</v>
      </c>
      <c r="P64" s="74" t="e">
        <f>data2!M59*$B$6/P$6</f>
        <v>#DIV/0!</v>
      </c>
      <c r="Q64" s="74" t="e">
        <f>data2!N59*$B$6/Q$6</f>
        <v>#DIV/0!</v>
      </c>
      <c r="R64" s="74" t="e">
        <f>data2!O59*$B$6/R$6</f>
        <v>#DIV/0!</v>
      </c>
      <c r="S64" s="74" t="e">
        <f>data2!P59*$B$6/S$6</f>
        <v>#DIV/0!</v>
      </c>
      <c r="T64" s="74" t="e">
        <f>data2!Q59*$B$6/T$6</f>
        <v>#DIV/0!</v>
      </c>
      <c r="U64" s="74" t="e">
        <f>data2!R59*$B$6/U$6</f>
        <v>#DIV/0!</v>
      </c>
      <c r="V64" s="74" t="e">
        <f>data2!S59*$B$6/V$6</f>
        <v>#DIV/0!</v>
      </c>
      <c r="W64" s="74" t="e">
        <f>data2!T59*$B$6/W$6</f>
        <v>#DIV/0!</v>
      </c>
      <c r="X64" s="74" t="e">
        <f>data2!U59*$B$6/X$6</f>
        <v>#DIV/0!</v>
      </c>
      <c r="Y64" s="74" t="e">
        <f>data2!V59*$B$6/Y$6</f>
        <v>#DIV/0!</v>
      </c>
      <c r="Z64" s="74" t="e">
        <f>data2!W59*$B$6/Z$6</f>
        <v>#DIV/0!</v>
      </c>
      <c r="AA64" s="74" t="e">
        <f>data2!X59*$B$6/AA$6</f>
        <v>#DIV/0!</v>
      </c>
      <c r="AB64" s="74" t="e">
        <f>data2!Y59*$B$6/AB$6</f>
        <v>#DIV/0!</v>
      </c>
      <c r="AC64" s="74" t="e">
        <f>data2!Z59*$B$6/AC$6</f>
        <v>#DIV/0!</v>
      </c>
      <c r="AD64" s="74" t="e">
        <f>data2!AA59*$B$6/AD$6</f>
        <v>#DIV/0!</v>
      </c>
      <c r="AE64" s="74" t="e">
        <f>data2!AB59*$B$6/AE$6</f>
        <v>#DIV/0!</v>
      </c>
      <c r="AF64" s="74" t="e">
        <f>data2!AC59*$B$6/AF$6</f>
        <v>#DIV/0!</v>
      </c>
      <c r="AG64" s="74" t="e">
        <f>data2!AD59*$B$6/AG$6</f>
        <v>#DIV/0!</v>
      </c>
      <c r="AH64" s="74" t="e">
        <f>data2!AE59*$B$6/AH$6</f>
        <v>#DIV/0!</v>
      </c>
      <c r="AI64" s="74" t="e">
        <f>data2!AF59*$B$6/AI$6</f>
        <v>#DIV/0!</v>
      </c>
      <c r="AJ64" s="74" t="e">
        <f>data2!AG59*$B$6/AJ$6</f>
        <v>#DIV/0!</v>
      </c>
    </row>
    <row r="65" spans="1:36">
      <c r="A65" s="29">
        <f>data0!A60</f>
        <v>84</v>
      </c>
      <c r="B65" s="74" t="e">
        <f>AVERAGE(data2!B60:AG60)</f>
        <v>#DIV/0!</v>
      </c>
      <c r="C65" s="74" t="e">
        <f t="shared" si="0"/>
        <v>#DIV/0!</v>
      </c>
      <c r="D65" s="74" t="e">
        <f t="shared" si="1"/>
        <v>#DIV/0!</v>
      </c>
      <c r="E65" s="74" t="e">
        <f>data2!B60*$B$6/E$6</f>
        <v>#DIV/0!</v>
      </c>
      <c r="F65" s="74" t="e">
        <f>data2!C60*$B$6/F$6</f>
        <v>#DIV/0!</v>
      </c>
      <c r="G65" s="74" t="e">
        <f>data2!D60*$B$6/G$6</f>
        <v>#DIV/0!</v>
      </c>
      <c r="H65" s="74" t="e">
        <f>data2!E60*$B$6/H$6</f>
        <v>#DIV/0!</v>
      </c>
      <c r="I65" s="74" t="e">
        <f>data2!F60*$B$6/I$6</f>
        <v>#DIV/0!</v>
      </c>
      <c r="J65" s="74" t="e">
        <f>data2!G60*$B$6/J$6</f>
        <v>#DIV/0!</v>
      </c>
      <c r="K65" s="74" t="e">
        <f>data2!H60*$B$6/K$6</f>
        <v>#DIV/0!</v>
      </c>
      <c r="L65" s="74" t="e">
        <f>data2!I60*$B$6/L$6</f>
        <v>#DIV/0!</v>
      </c>
      <c r="M65" s="74" t="e">
        <f>data2!J60*$B$6/M$6</f>
        <v>#DIV/0!</v>
      </c>
      <c r="N65" s="74" t="e">
        <f>data2!K60*$B$6/N$6</f>
        <v>#DIV/0!</v>
      </c>
      <c r="O65" s="74" t="e">
        <f>data2!L60*$B$6/O$6</f>
        <v>#DIV/0!</v>
      </c>
      <c r="P65" s="74" t="e">
        <f>data2!M60*$B$6/P$6</f>
        <v>#DIV/0!</v>
      </c>
      <c r="Q65" s="74" t="e">
        <f>data2!N60*$B$6/Q$6</f>
        <v>#DIV/0!</v>
      </c>
      <c r="R65" s="74" t="e">
        <f>data2!O60*$B$6/R$6</f>
        <v>#DIV/0!</v>
      </c>
      <c r="S65" s="74" t="e">
        <f>data2!P60*$B$6/S$6</f>
        <v>#DIV/0!</v>
      </c>
      <c r="T65" s="74" t="e">
        <f>data2!Q60*$B$6/T$6</f>
        <v>#DIV/0!</v>
      </c>
      <c r="U65" s="74" t="e">
        <f>data2!R60*$B$6/U$6</f>
        <v>#DIV/0!</v>
      </c>
      <c r="V65" s="74" t="e">
        <f>data2!S60*$B$6/V$6</f>
        <v>#DIV/0!</v>
      </c>
      <c r="W65" s="74" t="e">
        <f>data2!T60*$B$6/W$6</f>
        <v>#DIV/0!</v>
      </c>
      <c r="X65" s="74" t="e">
        <f>data2!U60*$B$6/X$6</f>
        <v>#DIV/0!</v>
      </c>
      <c r="Y65" s="74" t="e">
        <f>data2!V60*$B$6/Y$6</f>
        <v>#DIV/0!</v>
      </c>
      <c r="Z65" s="74" t="e">
        <f>data2!W60*$B$6/Z$6</f>
        <v>#DIV/0!</v>
      </c>
      <c r="AA65" s="74" t="e">
        <f>data2!X60*$B$6/AA$6</f>
        <v>#DIV/0!</v>
      </c>
      <c r="AB65" s="74" t="e">
        <f>data2!Y60*$B$6/AB$6</f>
        <v>#DIV/0!</v>
      </c>
      <c r="AC65" s="74" t="e">
        <f>data2!Z60*$B$6/AC$6</f>
        <v>#DIV/0!</v>
      </c>
      <c r="AD65" s="74" t="e">
        <f>data2!AA60*$B$6/AD$6</f>
        <v>#DIV/0!</v>
      </c>
      <c r="AE65" s="74" t="e">
        <f>data2!AB60*$B$6/AE$6</f>
        <v>#DIV/0!</v>
      </c>
      <c r="AF65" s="74" t="e">
        <f>data2!AC60*$B$6/AF$6</f>
        <v>#DIV/0!</v>
      </c>
      <c r="AG65" s="74" t="e">
        <f>data2!AD60*$B$6/AG$6</f>
        <v>#DIV/0!</v>
      </c>
      <c r="AH65" s="74" t="e">
        <f>data2!AE60*$B$6/AH$6</f>
        <v>#DIV/0!</v>
      </c>
      <c r="AI65" s="74" t="e">
        <f>data2!AF60*$B$6/AI$6</f>
        <v>#DIV/0!</v>
      </c>
      <c r="AJ65" s="74" t="e">
        <f>data2!AG60*$B$6/AJ$6</f>
        <v>#DIV/0!</v>
      </c>
    </row>
    <row r="66" spans="1:36">
      <c r="A66" s="29">
        <f>data0!A61</f>
        <v>87</v>
      </c>
      <c r="B66" s="74" t="e">
        <f>AVERAGE(data2!B61:AG61)</f>
        <v>#DIV/0!</v>
      </c>
      <c r="C66" s="74" t="e">
        <f t="shared" si="0"/>
        <v>#DIV/0!</v>
      </c>
      <c r="D66" s="74" t="e">
        <f t="shared" si="1"/>
        <v>#DIV/0!</v>
      </c>
      <c r="E66" s="74" t="e">
        <f>data2!B61*$B$6/E$6</f>
        <v>#DIV/0!</v>
      </c>
      <c r="F66" s="74" t="e">
        <f>data2!C61*$B$6/F$6</f>
        <v>#DIV/0!</v>
      </c>
      <c r="G66" s="74" t="e">
        <f>data2!D61*$B$6/G$6</f>
        <v>#DIV/0!</v>
      </c>
      <c r="H66" s="74" t="e">
        <f>data2!E61*$B$6/H$6</f>
        <v>#DIV/0!</v>
      </c>
      <c r="I66" s="74" t="e">
        <f>data2!F61*$B$6/I$6</f>
        <v>#DIV/0!</v>
      </c>
      <c r="J66" s="74" t="e">
        <f>data2!G61*$B$6/J$6</f>
        <v>#DIV/0!</v>
      </c>
      <c r="K66" s="74" t="e">
        <f>data2!H61*$B$6/K$6</f>
        <v>#DIV/0!</v>
      </c>
      <c r="L66" s="74" t="e">
        <f>data2!I61*$B$6/L$6</f>
        <v>#DIV/0!</v>
      </c>
      <c r="M66" s="74" t="e">
        <f>data2!J61*$B$6/M$6</f>
        <v>#DIV/0!</v>
      </c>
      <c r="N66" s="74" t="e">
        <f>data2!K61*$B$6/N$6</f>
        <v>#DIV/0!</v>
      </c>
      <c r="O66" s="74" t="e">
        <f>data2!L61*$B$6/O$6</f>
        <v>#DIV/0!</v>
      </c>
      <c r="P66" s="74" t="e">
        <f>data2!M61*$B$6/P$6</f>
        <v>#DIV/0!</v>
      </c>
      <c r="Q66" s="74" t="e">
        <f>data2!N61*$B$6/Q$6</f>
        <v>#DIV/0!</v>
      </c>
      <c r="R66" s="74" t="e">
        <f>data2!O61*$B$6/R$6</f>
        <v>#DIV/0!</v>
      </c>
      <c r="S66" s="74" t="e">
        <f>data2!P61*$B$6/S$6</f>
        <v>#DIV/0!</v>
      </c>
      <c r="T66" s="74" t="e">
        <f>data2!Q61*$B$6/T$6</f>
        <v>#DIV/0!</v>
      </c>
      <c r="U66" s="74" t="e">
        <f>data2!R61*$B$6/U$6</f>
        <v>#DIV/0!</v>
      </c>
      <c r="V66" s="74" t="e">
        <f>data2!S61*$B$6/V$6</f>
        <v>#DIV/0!</v>
      </c>
      <c r="W66" s="74" t="e">
        <f>data2!T61*$B$6/W$6</f>
        <v>#DIV/0!</v>
      </c>
      <c r="X66" s="74" t="e">
        <f>data2!U61*$B$6/X$6</f>
        <v>#DIV/0!</v>
      </c>
      <c r="Y66" s="74" t="e">
        <f>data2!V61*$B$6/Y$6</f>
        <v>#DIV/0!</v>
      </c>
      <c r="Z66" s="74" t="e">
        <f>data2!W61*$B$6/Z$6</f>
        <v>#DIV/0!</v>
      </c>
      <c r="AA66" s="74" t="e">
        <f>data2!X61*$B$6/AA$6</f>
        <v>#DIV/0!</v>
      </c>
      <c r="AB66" s="74" t="e">
        <f>data2!Y61*$B$6/AB$6</f>
        <v>#DIV/0!</v>
      </c>
      <c r="AC66" s="74" t="e">
        <f>data2!Z61*$B$6/AC$6</f>
        <v>#DIV/0!</v>
      </c>
      <c r="AD66" s="74" t="e">
        <f>data2!AA61*$B$6/AD$6</f>
        <v>#DIV/0!</v>
      </c>
      <c r="AE66" s="74" t="e">
        <f>data2!AB61*$B$6/AE$6</f>
        <v>#DIV/0!</v>
      </c>
      <c r="AF66" s="74" t="e">
        <f>data2!AC61*$B$6/AF$6</f>
        <v>#DIV/0!</v>
      </c>
      <c r="AG66" s="74" t="e">
        <f>data2!AD61*$B$6/AG$6</f>
        <v>#DIV/0!</v>
      </c>
      <c r="AH66" s="74" t="e">
        <f>data2!AE61*$B$6/AH$6</f>
        <v>#DIV/0!</v>
      </c>
      <c r="AI66" s="74" t="e">
        <f>data2!AF61*$B$6/AI$6</f>
        <v>#DIV/0!</v>
      </c>
      <c r="AJ66" s="74" t="e">
        <f>data2!AG61*$B$6/AJ$6</f>
        <v>#DIV/0!</v>
      </c>
    </row>
    <row r="67" spans="1:36">
      <c r="A67" s="29">
        <f>data0!A62</f>
        <v>90</v>
      </c>
      <c r="B67" s="74" t="e">
        <f>AVERAGE(data2!B62:AG62)</f>
        <v>#DIV/0!</v>
      </c>
      <c r="C67" s="74" t="e">
        <f t="shared" si="0"/>
        <v>#DIV/0!</v>
      </c>
      <c r="D67" s="74" t="e">
        <f t="shared" si="1"/>
        <v>#DIV/0!</v>
      </c>
      <c r="E67" s="74" t="e">
        <f>data2!B62*$B$6/E$6</f>
        <v>#DIV/0!</v>
      </c>
      <c r="F67" s="74" t="e">
        <f>data2!C62*$B$6/F$6</f>
        <v>#DIV/0!</v>
      </c>
      <c r="G67" s="74" t="e">
        <f>data2!D62*$B$6/G$6</f>
        <v>#DIV/0!</v>
      </c>
      <c r="H67" s="74" t="e">
        <f>data2!E62*$B$6/H$6</f>
        <v>#DIV/0!</v>
      </c>
      <c r="I67" s="74" t="e">
        <f>data2!F62*$B$6/I$6</f>
        <v>#DIV/0!</v>
      </c>
      <c r="J67" s="74" t="e">
        <f>data2!G62*$B$6/J$6</f>
        <v>#DIV/0!</v>
      </c>
      <c r="K67" s="74" t="e">
        <f>data2!H62*$B$6/K$6</f>
        <v>#DIV/0!</v>
      </c>
      <c r="L67" s="74" t="e">
        <f>data2!I62*$B$6/L$6</f>
        <v>#DIV/0!</v>
      </c>
      <c r="M67" s="74" t="e">
        <f>data2!J62*$B$6/M$6</f>
        <v>#DIV/0!</v>
      </c>
      <c r="N67" s="74" t="e">
        <f>data2!K62*$B$6/N$6</f>
        <v>#DIV/0!</v>
      </c>
      <c r="O67" s="74" t="e">
        <f>data2!L62*$B$6/O$6</f>
        <v>#DIV/0!</v>
      </c>
      <c r="P67" s="74" t="e">
        <f>data2!M62*$B$6/P$6</f>
        <v>#DIV/0!</v>
      </c>
      <c r="Q67" s="74" t="e">
        <f>data2!N62*$B$6/Q$6</f>
        <v>#DIV/0!</v>
      </c>
      <c r="R67" s="74" t="e">
        <f>data2!O62*$B$6/R$6</f>
        <v>#DIV/0!</v>
      </c>
      <c r="S67" s="74" t="e">
        <f>data2!P62*$B$6/S$6</f>
        <v>#DIV/0!</v>
      </c>
      <c r="T67" s="74" t="e">
        <f>data2!Q62*$B$6/T$6</f>
        <v>#DIV/0!</v>
      </c>
      <c r="U67" s="74" t="e">
        <f>data2!R62*$B$6/U$6</f>
        <v>#DIV/0!</v>
      </c>
      <c r="V67" s="74" t="e">
        <f>data2!S62*$B$6/V$6</f>
        <v>#DIV/0!</v>
      </c>
      <c r="W67" s="74" t="e">
        <f>data2!T62*$B$6/W$6</f>
        <v>#DIV/0!</v>
      </c>
      <c r="X67" s="74" t="e">
        <f>data2!U62*$B$6/X$6</f>
        <v>#DIV/0!</v>
      </c>
      <c r="Y67" s="74" t="e">
        <f>data2!V62*$B$6/Y$6</f>
        <v>#DIV/0!</v>
      </c>
      <c r="Z67" s="74" t="e">
        <f>data2!W62*$B$6/Z$6</f>
        <v>#DIV/0!</v>
      </c>
      <c r="AA67" s="74" t="e">
        <f>data2!X62*$B$6/AA$6</f>
        <v>#DIV/0!</v>
      </c>
      <c r="AB67" s="74" t="e">
        <f>data2!Y62*$B$6/AB$6</f>
        <v>#DIV/0!</v>
      </c>
      <c r="AC67" s="74" t="e">
        <f>data2!Z62*$B$6/AC$6</f>
        <v>#DIV/0!</v>
      </c>
      <c r="AD67" s="74" t="e">
        <f>data2!AA62*$B$6/AD$6</f>
        <v>#DIV/0!</v>
      </c>
      <c r="AE67" s="74" t="e">
        <f>data2!AB62*$B$6/AE$6</f>
        <v>#DIV/0!</v>
      </c>
      <c r="AF67" s="74" t="e">
        <f>data2!AC62*$B$6/AF$6</f>
        <v>#DIV/0!</v>
      </c>
      <c r="AG67" s="74" t="e">
        <f>data2!AD62*$B$6/AG$6</f>
        <v>#DIV/0!</v>
      </c>
      <c r="AH67" s="74" t="e">
        <f>data2!AE62*$B$6/AH$6</f>
        <v>#DIV/0!</v>
      </c>
      <c r="AI67" s="74" t="e">
        <f>data2!AF62*$B$6/AI$6</f>
        <v>#DIV/0!</v>
      </c>
      <c r="AJ67" s="74" t="e">
        <f>data2!AG62*$B$6/AJ$6</f>
        <v>#DIV/0!</v>
      </c>
    </row>
    <row r="68" spans="1:36">
      <c r="B68" s="74"/>
      <c r="C68" s="74"/>
      <c r="D68" s="74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>
      <c r="B69" s="74"/>
      <c r="C69" s="74"/>
      <c r="D69" s="74"/>
      <c r="E69" s="1" t="e">
        <f>MAX(E70:E130)</f>
        <v>#DIV/0!</v>
      </c>
      <c r="F69" s="1" t="e">
        <f t="shared" ref="F69:I69" si="2">MAX(F70:F130)</f>
        <v>#DIV/0!</v>
      </c>
      <c r="G69" s="1" t="e">
        <f t="shared" si="2"/>
        <v>#DIV/0!</v>
      </c>
      <c r="H69" s="1" t="e">
        <f t="shared" si="2"/>
        <v>#DIV/0!</v>
      </c>
      <c r="I69" s="1" t="e">
        <f t="shared" si="2"/>
        <v>#DIV/0!</v>
      </c>
      <c r="J69" s="1" t="e">
        <f t="shared" ref="J69:AJ69" si="3">MAX(J70:J130)</f>
        <v>#DIV/0!</v>
      </c>
      <c r="K69" s="1" t="e">
        <f t="shared" si="3"/>
        <v>#DIV/0!</v>
      </c>
      <c r="L69" s="1" t="e">
        <f t="shared" si="3"/>
        <v>#DIV/0!</v>
      </c>
      <c r="M69" s="1" t="e">
        <f t="shared" si="3"/>
        <v>#DIV/0!</v>
      </c>
      <c r="N69" s="1" t="e">
        <f t="shared" si="3"/>
        <v>#DIV/0!</v>
      </c>
      <c r="O69" s="1" t="e">
        <f t="shared" si="3"/>
        <v>#DIV/0!</v>
      </c>
      <c r="P69" s="1" t="e">
        <f t="shared" si="3"/>
        <v>#DIV/0!</v>
      </c>
      <c r="Q69" s="1" t="e">
        <f t="shared" si="3"/>
        <v>#DIV/0!</v>
      </c>
      <c r="R69" s="1" t="e">
        <f t="shared" si="3"/>
        <v>#DIV/0!</v>
      </c>
      <c r="S69" s="1" t="e">
        <f t="shared" si="3"/>
        <v>#DIV/0!</v>
      </c>
      <c r="T69" s="1" t="e">
        <f t="shared" si="3"/>
        <v>#DIV/0!</v>
      </c>
      <c r="U69" s="1" t="e">
        <f t="shared" si="3"/>
        <v>#DIV/0!</v>
      </c>
      <c r="V69" s="1" t="e">
        <f t="shared" si="3"/>
        <v>#DIV/0!</v>
      </c>
      <c r="W69" s="1" t="e">
        <f t="shared" si="3"/>
        <v>#DIV/0!</v>
      </c>
      <c r="X69" s="1" t="e">
        <f t="shared" si="3"/>
        <v>#DIV/0!</v>
      </c>
      <c r="Y69" s="1" t="e">
        <f t="shared" si="3"/>
        <v>#DIV/0!</v>
      </c>
      <c r="Z69" s="1" t="e">
        <f t="shared" si="3"/>
        <v>#DIV/0!</v>
      </c>
      <c r="AA69" s="1" t="e">
        <f t="shared" si="3"/>
        <v>#DIV/0!</v>
      </c>
      <c r="AB69" s="1" t="e">
        <f t="shared" si="3"/>
        <v>#DIV/0!</v>
      </c>
      <c r="AC69" s="1" t="e">
        <f t="shared" si="3"/>
        <v>#DIV/0!</v>
      </c>
      <c r="AD69" s="1" t="e">
        <f t="shared" si="3"/>
        <v>#DIV/0!</v>
      </c>
      <c r="AE69" s="1" t="e">
        <f t="shared" si="3"/>
        <v>#DIV/0!</v>
      </c>
      <c r="AF69" s="1" t="e">
        <f t="shared" si="3"/>
        <v>#DIV/0!</v>
      </c>
      <c r="AG69" s="1" t="e">
        <f t="shared" si="3"/>
        <v>#DIV/0!</v>
      </c>
      <c r="AH69" s="1" t="e">
        <f t="shared" si="3"/>
        <v>#DIV/0!</v>
      </c>
      <c r="AI69" s="1" t="e">
        <f t="shared" si="3"/>
        <v>#DIV/0!</v>
      </c>
      <c r="AJ69" s="1" t="e">
        <f t="shared" si="3"/>
        <v>#DIV/0!</v>
      </c>
    </row>
    <row r="70" spans="1:36">
      <c r="A70" s="29">
        <f t="shared" ref="A70:A101" si="4">A7</f>
        <v>-90</v>
      </c>
      <c r="B70" s="74"/>
      <c r="C70" s="74"/>
      <c r="D70" s="74"/>
      <c r="E70" s="1" t="e">
        <f t="shared" ref="E70:I79" si="5">(E7-$B7)/$B$4</f>
        <v>#DIV/0!</v>
      </c>
      <c r="F70" s="1" t="e">
        <f t="shared" si="5"/>
        <v>#DIV/0!</v>
      </c>
      <c r="G70" s="1" t="e">
        <f t="shared" si="5"/>
        <v>#DIV/0!</v>
      </c>
      <c r="H70" s="1" t="e">
        <f t="shared" si="5"/>
        <v>#DIV/0!</v>
      </c>
      <c r="I70" s="1" t="e">
        <f t="shared" si="5"/>
        <v>#DIV/0!</v>
      </c>
      <c r="J70" s="1" t="e">
        <f t="shared" ref="J70:AJ70" si="6">(J7-$B7)/$B$4</f>
        <v>#DIV/0!</v>
      </c>
      <c r="K70" s="1" t="e">
        <f t="shared" si="6"/>
        <v>#DIV/0!</v>
      </c>
      <c r="L70" s="1" t="e">
        <f t="shared" si="6"/>
        <v>#DIV/0!</v>
      </c>
      <c r="M70" s="1" t="e">
        <f t="shared" si="6"/>
        <v>#DIV/0!</v>
      </c>
      <c r="N70" s="1" t="e">
        <f t="shared" si="6"/>
        <v>#DIV/0!</v>
      </c>
      <c r="O70" s="1" t="e">
        <f t="shared" si="6"/>
        <v>#DIV/0!</v>
      </c>
      <c r="P70" s="1" t="e">
        <f t="shared" si="6"/>
        <v>#DIV/0!</v>
      </c>
      <c r="Q70" s="1" t="e">
        <f t="shared" si="6"/>
        <v>#DIV/0!</v>
      </c>
      <c r="R70" s="1" t="e">
        <f t="shared" si="6"/>
        <v>#DIV/0!</v>
      </c>
      <c r="S70" s="1" t="e">
        <f t="shared" si="6"/>
        <v>#DIV/0!</v>
      </c>
      <c r="T70" s="1" t="e">
        <f t="shared" si="6"/>
        <v>#DIV/0!</v>
      </c>
      <c r="U70" s="1" t="e">
        <f t="shared" si="6"/>
        <v>#DIV/0!</v>
      </c>
      <c r="V70" s="1" t="e">
        <f t="shared" si="6"/>
        <v>#DIV/0!</v>
      </c>
      <c r="W70" s="1" t="e">
        <f t="shared" si="6"/>
        <v>#DIV/0!</v>
      </c>
      <c r="X70" s="1" t="e">
        <f t="shared" si="6"/>
        <v>#DIV/0!</v>
      </c>
      <c r="Y70" s="1" t="e">
        <f t="shared" si="6"/>
        <v>#DIV/0!</v>
      </c>
      <c r="Z70" s="1" t="e">
        <f t="shared" si="6"/>
        <v>#DIV/0!</v>
      </c>
      <c r="AA70" s="1" t="e">
        <f t="shared" si="6"/>
        <v>#DIV/0!</v>
      </c>
      <c r="AB70" s="1" t="e">
        <f t="shared" si="6"/>
        <v>#DIV/0!</v>
      </c>
      <c r="AC70" s="1" t="e">
        <f t="shared" si="6"/>
        <v>#DIV/0!</v>
      </c>
      <c r="AD70" s="1" t="e">
        <f t="shared" si="6"/>
        <v>#DIV/0!</v>
      </c>
      <c r="AE70" s="1" t="e">
        <f t="shared" si="6"/>
        <v>#DIV/0!</v>
      </c>
      <c r="AF70" s="1" t="e">
        <f t="shared" si="6"/>
        <v>#DIV/0!</v>
      </c>
      <c r="AG70" s="1" t="e">
        <f t="shared" si="6"/>
        <v>#DIV/0!</v>
      </c>
      <c r="AH70" s="1" t="e">
        <f t="shared" si="6"/>
        <v>#DIV/0!</v>
      </c>
      <c r="AI70" s="1" t="e">
        <f t="shared" si="6"/>
        <v>#DIV/0!</v>
      </c>
      <c r="AJ70" s="1" t="e">
        <f t="shared" si="6"/>
        <v>#DIV/0!</v>
      </c>
    </row>
    <row r="71" spans="1:36">
      <c r="A71" s="29">
        <f t="shared" si="4"/>
        <v>-87</v>
      </c>
      <c r="B71" s="74"/>
      <c r="C71" s="74"/>
      <c r="D71" s="74"/>
      <c r="E71" s="1" t="e">
        <f t="shared" si="5"/>
        <v>#DIV/0!</v>
      </c>
      <c r="F71" s="1" t="e">
        <f t="shared" si="5"/>
        <v>#DIV/0!</v>
      </c>
      <c r="G71" s="1" t="e">
        <f t="shared" si="5"/>
        <v>#DIV/0!</v>
      </c>
      <c r="H71" s="1" t="e">
        <f t="shared" si="5"/>
        <v>#DIV/0!</v>
      </c>
      <c r="I71" s="1" t="e">
        <f t="shared" si="5"/>
        <v>#DIV/0!</v>
      </c>
      <c r="J71" s="1" t="e">
        <f t="shared" ref="J71:AJ71" si="7">(J8-$B8)/$B$4</f>
        <v>#DIV/0!</v>
      </c>
      <c r="K71" s="1" t="e">
        <f t="shared" si="7"/>
        <v>#DIV/0!</v>
      </c>
      <c r="L71" s="1" t="e">
        <f t="shared" si="7"/>
        <v>#DIV/0!</v>
      </c>
      <c r="M71" s="1" t="e">
        <f t="shared" si="7"/>
        <v>#DIV/0!</v>
      </c>
      <c r="N71" s="1" t="e">
        <f t="shared" si="7"/>
        <v>#DIV/0!</v>
      </c>
      <c r="O71" s="1" t="e">
        <f t="shared" si="7"/>
        <v>#DIV/0!</v>
      </c>
      <c r="P71" s="1" t="e">
        <f t="shared" si="7"/>
        <v>#DIV/0!</v>
      </c>
      <c r="Q71" s="1" t="e">
        <f t="shared" si="7"/>
        <v>#DIV/0!</v>
      </c>
      <c r="R71" s="1" t="e">
        <f t="shared" si="7"/>
        <v>#DIV/0!</v>
      </c>
      <c r="S71" s="1" t="e">
        <f t="shared" si="7"/>
        <v>#DIV/0!</v>
      </c>
      <c r="T71" s="1" t="e">
        <f t="shared" si="7"/>
        <v>#DIV/0!</v>
      </c>
      <c r="U71" s="1" t="e">
        <f t="shared" si="7"/>
        <v>#DIV/0!</v>
      </c>
      <c r="V71" s="1" t="e">
        <f t="shared" si="7"/>
        <v>#DIV/0!</v>
      </c>
      <c r="W71" s="1" t="e">
        <f t="shared" si="7"/>
        <v>#DIV/0!</v>
      </c>
      <c r="X71" s="1" t="e">
        <f t="shared" si="7"/>
        <v>#DIV/0!</v>
      </c>
      <c r="Y71" s="1" t="e">
        <f t="shared" si="7"/>
        <v>#DIV/0!</v>
      </c>
      <c r="Z71" s="1" t="e">
        <f t="shared" si="7"/>
        <v>#DIV/0!</v>
      </c>
      <c r="AA71" s="1" t="e">
        <f t="shared" si="7"/>
        <v>#DIV/0!</v>
      </c>
      <c r="AB71" s="1" t="e">
        <f t="shared" si="7"/>
        <v>#DIV/0!</v>
      </c>
      <c r="AC71" s="1" t="e">
        <f t="shared" si="7"/>
        <v>#DIV/0!</v>
      </c>
      <c r="AD71" s="1" t="e">
        <f t="shared" si="7"/>
        <v>#DIV/0!</v>
      </c>
      <c r="AE71" s="1" t="e">
        <f t="shared" si="7"/>
        <v>#DIV/0!</v>
      </c>
      <c r="AF71" s="1" t="e">
        <f t="shared" si="7"/>
        <v>#DIV/0!</v>
      </c>
      <c r="AG71" s="1" t="e">
        <f t="shared" si="7"/>
        <v>#DIV/0!</v>
      </c>
      <c r="AH71" s="1" t="e">
        <f t="shared" si="7"/>
        <v>#DIV/0!</v>
      </c>
      <c r="AI71" s="1" t="e">
        <f t="shared" si="7"/>
        <v>#DIV/0!</v>
      </c>
      <c r="AJ71" s="1" t="e">
        <f t="shared" si="7"/>
        <v>#DIV/0!</v>
      </c>
    </row>
    <row r="72" spans="1:36">
      <c r="A72" s="29">
        <f t="shared" si="4"/>
        <v>-84</v>
      </c>
      <c r="B72" s="74"/>
      <c r="C72" s="74"/>
      <c r="D72" s="74"/>
      <c r="E72" s="1" t="e">
        <f t="shared" si="5"/>
        <v>#DIV/0!</v>
      </c>
      <c r="F72" s="1" t="e">
        <f t="shared" si="5"/>
        <v>#DIV/0!</v>
      </c>
      <c r="G72" s="1" t="e">
        <f t="shared" si="5"/>
        <v>#DIV/0!</v>
      </c>
      <c r="H72" s="1" t="e">
        <f t="shared" si="5"/>
        <v>#DIV/0!</v>
      </c>
      <c r="I72" s="1" t="e">
        <f t="shared" si="5"/>
        <v>#DIV/0!</v>
      </c>
      <c r="J72" s="1" t="e">
        <f t="shared" ref="J72:AJ72" si="8">(J9-$B9)/$B$4</f>
        <v>#DIV/0!</v>
      </c>
      <c r="K72" s="1" t="e">
        <f t="shared" si="8"/>
        <v>#DIV/0!</v>
      </c>
      <c r="L72" s="1" t="e">
        <f t="shared" si="8"/>
        <v>#DIV/0!</v>
      </c>
      <c r="M72" s="1" t="e">
        <f t="shared" si="8"/>
        <v>#DIV/0!</v>
      </c>
      <c r="N72" s="1" t="e">
        <f t="shared" si="8"/>
        <v>#DIV/0!</v>
      </c>
      <c r="O72" s="1" t="e">
        <f t="shared" si="8"/>
        <v>#DIV/0!</v>
      </c>
      <c r="P72" s="1" t="e">
        <f t="shared" si="8"/>
        <v>#DIV/0!</v>
      </c>
      <c r="Q72" s="1" t="e">
        <f t="shared" si="8"/>
        <v>#DIV/0!</v>
      </c>
      <c r="R72" s="1" t="e">
        <f t="shared" si="8"/>
        <v>#DIV/0!</v>
      </c>
      <c r="S72" s="1" t="e">
        <f t="shared" si="8"/>
        <v>#DIV/0!</v>
      </c>
      <c r="T72" s="1" t="e">
        <f t="shared" si="8"/>
        <v>#DIV/0!</v>
      </c>
      <c r="U72" s="1" t="e">
        <f t="shared" si="8"/>
        <v>#DIV/0!</v>
      </c>
      <c r="V72" s="1" t="e">
        <f t="shared" si="8"/>
        <v>#DIV/0!</v>
      </c>
      <c r="W72" s="1" t="e">
        <f t="shared" si="8"/>
        <v>#DIV/0!</v>
      </c>
      <c r="X72" s="1" t="e">
        <f t="shared" si="8"/>
        <v>#DIV/0!</v>
      </c>
      <c r="Y72" s="1" t="e">
        <f t="shared" si="8"/>
        <v>#DIV/0!</v>
      </c>
      <c r="Z72" s="1" t="e">
        <f t="shared" si="8"/>
        <v>#DIV/0!</v>
      </c>
      <c r="AA72" s="1" t="e">
        <f t="shared" si="8"/>
        <v>#DIV/0!</v>
      </c>
      <c r="AB72" s="1" t="e">
        <f t="shared" si="8"/>
        <v>#DIV/0!</v>
      </c>
      <c r="AC72" s="1" t="e">
        <f t="shared" si="8"/>
        <v>#DIV/0!</v>
      </c>
      <c r="AD72" s="1" t="e">
        <f t="shared" si="8"/>
        <v>#DIV/0!</v>
      </c>
      <c r="AE72" s="1" t="e">
        <f t="shared" si="8"/>
        <v>#DIV/0!</v>
      </c>
      <c r="AF72" s="1" t="e">
        <f t="shared" si="8"/>
        <v>#DIV/0!</v>
      </c>
      <c r="AG72" s="1" t="e">
        <f t="shared" si="8"/>
        <v>#DIV/0!</v>
      </c>
      <c r="AH72" s="1" t="e">
        <f t="shared" si="8"/>
        <v>#DIV/0!</v>
      </c>
      <c r="AI72" s="1" t="e">
        <f t="shared" si="8"/>
        <v>#DIV/0!</v>
      </c>
      <c r="AJ72" s="1" t="e">
        <f t="shared" si="8"/>
        <v>#DIV/0!</v>
      </c>
    </row>
    <row r="73" spans="1:36">
      <c r="A73" s="29">
        <f t="shared" si="4"/>
        <v>-81</v>
      </c>
      <c r="B73" s="74"/>
      <c r="C73" s="74"/>
      <c r="D73" s="74"/>
      <c r="E73" s="1" t="e">
        <f t="shared" si="5"/>
        <v>#DIV/0!</v>
      </c>
      <c r="F73" s="1" t="e">
        <f t="shared" si="5"/>
        <v>#DIV/0!</v>
      </c>
      <c r="G73" s="1" t="e">
        <f t="shared" si="5"/>
        <v>#DIV/0!</v>
      </c>
      <c r="H73" s="1" t="e">
        <f t="shared" si="5"/>
        <v>#DIV/0!</v>
      </c>
      <c r="I73" s="1" t="e">
        <f t="shared" si="5"/>
        <v>#DIV/0!</v>
      </c>
      <c r="J73" s="1" t="e">
        <f t="shared" ref="J73:AJ73" si="9">(J10-$B10)/$B$4</f>
        <v>#DIV/0!</v>
      </c>
      <c r="K73" s="1" t="e">
        <f t="shared" si="9"/>
        <v>#DIV/0!</v>
      </c>
      <c r="L73" s="1" t="e">
        <f t="shared" si="9"/>
        <v>#DIV/0!</v>
      </c>
      <c r="M73" s="1" t="e">
        <f t="shared" si="9"/>
        <v>#DIV/0!</v>
      </c>
      <c r="N73" s="1" t="e">
        <f t="shared" si="9"/>
        <v>#DIV/0!</v>
      </c>
      <c r="O73" s="1" t="e">
        <f t="shared" si="9"/>
        <v>#DIV/0!</v>
      </c>
      <c r="P73" s="1" t="e">
        <f t="shared" si="9"/>
        <v>#DIV/0!</v>
      </c>
      <c r="Q73" s="1" t="e">
        <f t="shared" si="9"/>
        <v>#DIV/0!</v>
      </c>
      <c r="R73" s="1" t="e">
        <f t="shared" si="9"/>
        <v>#DIV/0!</v>
      </c>
      <c r="S73" s="1" t="e">
        <f t="shared" si="9"/>
        <v>#DIV/0!</v>
      </c>
      <c r="T73" s="1" t="e">
        <f t="shared" si="9"/>
        <v>#DIV/0!</v>
      </c>
      <c r="U73" s="1" t="e">
        <f t="shared" si="9"/>
        <v>#DIV/0!</v>
      </c>
      <c r="V73" s="1" t="e">
        <f t="shared" si="9"/>
        <v>#DIV/0!</v>
      </c>
      <c r="W73" s="1" t="e">
        <f t="shared" si="9"/>
        <v>#DIV/0!</v>
      </c>
      <c r="X73" s="1" t="e">
        <f t="shared" si="9"/>
        <v>#DIV/0!</v>
      </c>
      <c r="Y73" s="1" t="e">
        <f t="shared" si="9"/>
        <v>#DIV/0!</v>
      </c>
      <c r="Z73" s="1" t="e">
        <f t="shared" si="9"/>
        <v>#DIV/0!</v>
      </c>
      <c r="AA73" s="1" t="e">
        <f t="shared" si="9"/>
        <v>#DIV/0!</v>
      </c>
      <c r="AB73" s="1" t="e">
        <f t="shared" si="9"/>
        <v>#DIV/0!</v>
      </c>
      <c r="AC73" s="1" t="e">
        <f t="shared" si="9"/>
        <v>#DIV/0!</v>
      </c>
      <c r="AD73" s="1" t="e">
        <f t="shared" si="9"/>
        <v>#DIV/0!</v>
      </c>
      <c r="AE73" s="1" t="e">
        <f t="shared" si="9"/>
        <v>#DIV/0!</v>
      </c>
      <c r="AF73" s="1" t="e">
        <f t="shared" si="9"/>
        <v>#DIV/0!</v>
      </c>
      <c r="AG73" s="1" t="e">
        <f t="shared" si="9"/>
        <v>#DIV/0!</v>
      </c>
      <c r="AH73" s="1" t="e">
        <f t="shared" si="9"/>
        <v>#DIV/0!</v>
      </c>
      <c r="AI73" s="1" t="e">
        <f t="shared" si="9"/>
        <v>#DIV/0!</v>
      </c>
      <c r="AJ73" s="1" t="e">
        <f t="shared" si="9"/>
        <v>#DIV/0!</v>
      </c>
    </row>
    <row r="74" spans="1:36">
      <c r="A74" s="29">
        <f t="shared" si="4"/>
        <v>-78</v>
      </c>
      <c r="B74" s="74"/>
      <c r="C74" s="74"/>
      <c r="D74" s="74"/>
      <c r="E74" s="1" t="e">
        <f t="shared" si="5"/>
        <v>#DIV/0!</v>
      </c>
      <c r="F74" s="1" t="e">
        <f t="shared" si="5"/>
        <v>#DIV/0!</v>
      </c>
      <c r="G74" s="1" t="e">
        <f t="shared" si="5"/>
        <v>#DIV/0!</v>
      </c>
      <c r="H74" s="1" t="e">
        <f t="shared" si="5"/>
        <v>#DIV/0!</v>
      </c>
      <c r="I74" s="1" t="e">
        <f t="shared" si="5"/>
        <v>#DIV/0!</v>
      </c>
      <c r="J74" s="1" t="e">
        <f t="shared" ref="J74:AJ74" si="10">(J11-$B11)/$B$4</f>
        <v>#DIV/0!</v>
      </c>
      <c r="K74" s="1" t="e">
        <f t="shared" si="10"/>
        <v>#DIV/0!</v>
      </c>
      <c r="L74" s="1" t="e">
        <f t="shared" si="10"/>
        <v>#DIV/0!</v>
      </c>
      <c r="M74" s="1" t="e">
        <f t="shared" si="10"/>
        <v>#DIV/0!</v>
      </c>
      <c r="N74" s="1" t="e">
        <f t="shared" si="10"/>
        <v>#DIV/0!</v>
      </c>
      <c r="O74" s="1" t="e">
        <f t="shared" si="10"/>
        <v>#DIV/0!</v>
      </c>
      <c r="P74" s="1" t="e">
        <f t="shared" si="10"/>
        <v>#DIV/0!</v>
      </c>
      <c r="Q74" s="1" t="e">
        <f t="shared" si="10"/>
        <v>#DIV/0!</v>
      </c>
      <c r="R74" s="1" t="e">
        <f t="shared" si="10"/>
        <v>#DIV/0!</v>
      </c>
      <c r="S74" s="1" t="e">
        <f t="shared" si="10"/>
        <v>#DIV/0!</v>
      </c>
      <c r="T74" s="1" t="e">
        <f t="shared" si="10"/>
        <v>#DIV/0!</v>
      </c>
      <c r="U74" s="1" t="e">
        <f t="shared" si="10"/>
        <v>#DIV/0!</v>
      </c>
      <c r="V74" s="1" t="e">
        <f t="shared" si="10"/>
        <v>#DIV/0!</v>
      </c>
      <c r="W74" s="1" t="e">
        <f t="shared" si="10"/>
        <v>#DIV/0!</v>
      </c>
      <c r="X74" s="1" t="e">
        <f t="shared" si="10"/>
        <v>#DIV/0!</v>
      </c>
      <c r="Y74" s="1" t="e">
        <f t="shared" si="10"/>
        <v>#DIV/0!</v>
      </c>
      <c r="Z74" s="1" t="e">
        <f t="shared" si="10"/>
        <v>#DIV/0!</v>
      </c>
      <c r="AA74" s="1" t="e">
        <f t="shared" si="10"/>
        <v>#DIV/0!</v>
      </c>
      <c r="AB74" s="1" t="e">
        <f t="shared" si="10"/>
        <v>#DIV/0!</v>
      </c>
      <c r="AC74" s="1" t="e">
        <f t="shared" si="10"/>
        <v>#DIV/0!</v>
      </c>
      <c r="AD74" s="1" t="e">
        <f t="shared" si="10"/>
        <v>#DIV/0!</v>
      </c>
      <c r="AE74" s="1" t="e">
        <f t="shared" si="10"/>
        <v>#DIV/0!</v>
      </c>
      <c r="AF74" s="1" t="e">
        <f t="shared" si="10"/>
        <v>#DIV/0!</v>
      </c>
      <c r="AG74" s="1" t="e">
        <f t="shared" si="10"/>
        <v>#DIV/0!</v>
      </c>
      <c r="AH74" s="1" t="e">
        <f t="shared" si="10"/>
        <v>#DIV/0!</v>
      </c>
      <c r="AI74" s="1" t="e">
        <f t="shared" si="10"/>
        <v>#DIV/0!</v>
      </c>
      <c r="AJ74" s="1" t="e">
        <f t="shared" si="10"/>
        <v>#DIV/0!</v>
      </c>
    </row>
    <row r="75" spans="1:36">
      <c r="A75" s="29">
        <f t="shared" si="4"/>
        <v>-75</v>
      </c>
      <c r="B75" s="74"/>
      <c r="C75" s="74"/>
      <c r="D75" s="74"/>
      <c r="E75" s="1" t="e">
        <f t="shared" si="5"/>
        <v>#DIV/0!</v>
      </c>
      <c r="F75" s="1" t="e">
        <f t="shared" si="5"/>
        <v>#DIV/0!</v>
      </c>
      <c r="G75" s="1" t="e">
        <f t="shared" si="5"/>
        <v>#DIV/0!</v>
      </c>
      <c r="H75" s="1" t="e">
        <f t="shared" si="5"/>
        <v>#DIV/0!</v>
      </c>
      <c r="I75" s="1" t="e">
        <f t="shared" si="5"/>
        <v>#DIV/0!</v>
      </c>
      <c r="J75" s="1" t="e">
        <f t="shared" ref="J75:AJ75" si="11">(J12-$B12)/$B$4</f>
        <v>#DIV/0!</v>
      </c>
      <c r="K75" s="1" t="e">
        <f t="shared" si="11"/>
        <v>#DIV/0!</v>
      </c>
      <c r="L75" s="1" t="e">
        <f t="shared" si="11"/>
        <v>#DIV/0!</v>
      </c>
      <c r="M75" s="1" t="e">
        <f t="shared" si="11"/>
        <v>#DIV/0!</v>
      </c>
      <c r="N75" s="1" t="e">
        <f t="shared" si="11"/>
        <v>#DIV/0!</v>
      </c>
      <c r="O75" s="1" t="e">
        <f t="shared" si="11"/>
        <v>#DIV/0!</v>
      </c>
      <c r="P75" s="1" t="e">
        <f t="shared" si="11"/>
        <v>#DIV/0!</v>
      </c>
      <c r="Q75" s="1" t="e">
        <f t="shared" si="11"/>
        <v>#DIV/0!</v>
      </c>
      <c r="R75" s="1" t="e">
        <f t="shared" si="11"/>
        <v>#DIV/0!</v>
      </c>
      <c r="S75" s="1" t="e">
        <f t="shared" si="11"/>
        <v>#DIV/0!</v>
      </c>
      <c r="T75" s="1" t="e">
        <f t="shared" si="11"/>
        <v>#DIV/0!</v>
      </c>
      <c r="U75" s="1" t="e">
        <f t="shared" si="11"/>
        <v>#DIV/0!</v>
      </c>
      <c r="V75" s="1" t="e">
        <f t="shared" si="11"/>
        <v>#DIV/0!</v>
      </c>
      <c r="W75" s="1" t="e">
        <f t="shared" si="11"/>
        <v>#DIV/0!</v>
      </c>
      <c r="X75" s="1" t="e">
        <f t="shared" si="11"/>
        <v>#DIV/0!</v>
      </c>
      <c r="Y75" s="1" t="e">
        <f t="shared" si="11"/>
        <v>#DIV/0!</v>
      </c>
      <c r="Z75" s="1" t="e">
        <f t="shared" si="11"/>
        <v>#DIV/0!</v>
      </c>
      <c r="AA75" s="1" t="e">
        <f t="shared" si="11"/>
        <v>#DIV/0!</v>
      </c>
      <c r="AB75" s="1" t="e">
        <f t="shared" si="11"/>
        <v>#DIV/0!</v>
      </c>
      <c r="AC75" s="1" t="e">
        <f t="shared" si="11"/>
        <v>#DIV/0!</v>
      </c>
      <c r="AD75" s="1" t="e">
        <f t="shared" si="11"/>
        <v>#DIV/0!</v>
      </c>
      <c r="AE75" s="1" t="e">
        <f t="shared" si="11"/>
        <v>#DIV/0!</v>
      </c>
      <c r="AF75" s="1" t="e">
        <f t="shared" si="11"/>
        <v>#DIV/0!</v>
      </c>
      <c r="AG75" s="1" t="e">
        <f t="shared" si="11"/>
        <v>#DIV/0!</v>
      </c>
      <c r="AH75" s="1" t="e">
        <f t="shared" si="11"/>
        <v>#DIV/0!</v>
      </c>
      <c r="AI75" s="1" t="e">
        <f t="shared" si="11"/>
        <v>#DIV/0!</v>
      </c>
      <c r="AJ75" s="1" t="e">
        <f t="shared" si="11"/>
        <v>#DIV/0!</v>
      </c>
    </row>
    <row r="76" spans="1:36">
      <c r="A76" s="29">
        <f t="shared" si="4"/>
        <v>-72</v>
      </c>
      <c r="B76" s="74"/>
      <c r="C76" s="74"/>
      <c r="D76" s="74"/>
      <c r="E76" s="1" t="e">
        <f t="shared" si="5"/>
        <v>#DIV/0!</v>
      </c>
      <c r="F76" s="1" t="e">
        <f t="shared" si="5"/>
        <v>#DIV/0!</v>
      </c>
      <c r="G76" s="1" t="e">
        <f t="shared" si="5"/>
        <v>#DIV/0!</v>
      </c>
      <c r="H76" s="1" t="e">
        <f t="shared" si="5"/>
        <v>#DIV/0!</v>
      </c>
      <c r="I76" s="1" t="e">
        <f t="shared" si="5"/>
        <v>#DIV/0!</v>
      </c>
      <c r="J76" s="1" t="e">
        <f t="shared" ref="J76:AJ76" si="12">(J13-$B13)/$B$4</f>
        <v>#DIV/0!</v>
      </c>
      <c r="K76" s="1" t="e">
        <f t="shared" si="12"/>
        <v>#DIV/0!</v>
      </c>
      <c r="L76" s="1" t="e">
        <f t="shared" si="12"/>
        <v>#DIV/0!</v>
      </c>
      <c r="M76" s="1" t="e">
        <f t="shared" si="12"/>
        <v>#DIV/0!</v>
      </c>
      <c r="N76" s="1" t="e">
        <f t="shared" si="12"/>
        <v>#DIV/0!</v>
      </c>
      <c r="O76" s="1" t="e">
        <f t="shared" si="12"/>
        <v>#DIV/0!</v>
      </c>
      <c r="P76" s="1" t="e">
        <f t="shared" si="12"/>
        <v>#DIV/0!</v>
      </c>
      <c r="Q76" s="1" t="e">
        <f t="shared" si="12"/>
        <v>#DIV/0!</v>
      </c>
      <c r="R76" s="1" t="e">
        <f t="shared" si="12"/>
        <v>#DIV/0!</v>
      </c>
      <c r="S76" s="1" t="e">
        <f t="shared" si="12"/>
        <v>#DIV/0!</v>
      </c>
      <c r="T76" s="1" t="e">
        <f t="shared" si="12"/>
        <v>#DIV/0!</v>
      </c>
      <c r="U76" s="1" t="e">
        <f t="shared" si="12"/>
        <v>#DIV/0!</v>
      </c>
      <c r="V76" s="1" t="e">
        <f t="shared" si="12"/>
        <v>#DIV/0!</v>
      </c>
      <c r="W76" s="1" t="e">
        <f t="shared" si="12"/>
        <v>#DIV/0!</v>
      </c>
      <c r="X76" s="1" t="e">
        <f t="shared" si="12"/>
        <v>#DIV/0!</v>
      </c>
      <c r="Y76" s="1" t="e">
        <f t="shared" si="12"/>
        <v>#DIV/0!</v>
      </c>
      <c r="Z76" s="1" t="e">
        <f t="shared" si="12"/>
        <v>#DIV/0!</v>
      </c>
      <c r="AA76" s="1" t="e">
        <f t="shared" si="12"/>
        <v>#DIV/0!</v>
      </c>
      <c r="AB76" s="1" t="e">
        <f t="shared" si="12"/>
        <v>#DIV/0!</v>
      </c>
      <c r="AC76" s="1" t="e">
        <f t="shared" si="12"/>
        <v>#DIV/0!</v>
      </c>
      <c r="AD76" s="1" t="e">
        <f t="shared" si="12"/>
        <v>#DIV/0!</v>
      </c>
      <c r="AE76" s="1" t="e">
        <f t="shared" si="12"/>
        <v>#DIV/0!</v>
      </c>
      <c r="AF76" s="1" t="e">
        <f t="shared" si="12"/>
        <v>#DIV/0!</v>
      </c>
      <c r="AG76" s="1" t="e">
        <f t="shared" si="12"/>
        <v>#DIV/0!</v>
      </c>
      <c r="AH76" s="1" t="e">
        <f t="shared" si="12"/>
        <v>#DIV/0!</v>
      </c>
      <c r="AI76" s="1" t="e">
        <f t="shared" si="12"/>
        <v>#DIV/0!</v>
      </c>
      <c r="AJ76" s="1" t="e">
        <f t="shared" si="12"/>
        <v>#DIV/0!</v>
      </c>
    </row>
    <row r="77" spans="1:36">
      <c r="A77" s="29">
        <f t="shared" si="4"/>
        <v>-69</v>
      </c>
      <c r="B77" s="74"/>
      <c r="C77" s="74"/>
      <c r="D77" s="74"/>
      <c r="E77" s="1" t="e">
        <f t="shared" si="5"/>
        <v>#DIV/0!</v>
      </c>
      <c r="F77" s="1" t="e">
        <f t="shared" si="5"/>
        <v>#DIV/0!</v>
      </c>
      <c r="G77" s="1" t="e">
        <f t="shared" si="5"/>
        <v>#DIV/0!</v>
      </c>
      <c r="H77" s="1" t="e">
        <f t="shared" si="5"/>
        <v>#DIV/0!</v>
      </c>
      <c r="I77" s="1" t="e">
        <f t="shared" si="5"/>
        <v>#DIV/0!</v>
      </c>
      <c r="J77" s="1" t="e">
        <f t="shared" ref="J77:AJ77" si="13">(J14-$B14)/$B$4</f>
        <v>#DIV/0!</v>
      </c>
      <c r="K77" s="1" t="e">
        <f t="shared" si="13"/>
        <v>#DIV/0!</v>
      </c>
      <c r="L77" s="1" t="e">
        <f t="shared" si="13"/>
        <v>#DIV/0!</v>
      </c>
      <c r="M77" s="1" t="e">
        <f t="shared" si="13"/>
        <v>#DIV/0!</v>
      </c>
      <c r="N77" s="1" t="e">
        <f t="shared" si="13"/>
        <v>#DIV/0!</v>
      </c>
      <c r="O77" s="1" t="e">
        <f t="shared" si="13"/>
        <v>#DIV/0!</v>
      </c>
      <c r="P77" s="1" t="e">
        <f t="shared" si="13"/>
        <v>#DIV/0!</v>
      </c>
      <c r="Q77" s="1" t="e">
        <f t="shared" si="13"/>
        <v>#DIV/0!</v>
      </c>
      <c r="R77" s="1" t="e">
        <f t="shared" si="13"/>
        <v>#DIV/0!</v>
      </c>
      <c r="S77" s="1" t="e">
        <f t="shared" si="13"/>
        <v>#DIV/0!</v>
      </c>
      <c r="T77" s="1" t="e">
        <f t="shared" si="13"/>
        <v>#DIV/0!</v>
      </c>
      <c r="U77" s="1" t="e">
        <f t="shared" si="13"/>
        <v>#DIV/0!</v>
      </c>
      <c r="V77" s="1" t="e">
        <f t="shared" si="13"/>
        <v>#DIV/0!</v>
      </c>
      <c r="W77" s="1" t="e">
        <f t="shared" si="13"/>
        <v>#DIV/0!</v>
      </c>
      <c r="X77" s="1" t="e">
        <f t="shared" si="13"/>
        <v>#DIV/0!</v>
      </c>
      <c r="Y77" s="1" t="e">
        <f t="shared" si="13"/>
        <v>#DIV/0!</v>
      </c>
      <c r="Z77" s="1" t="e">
        <f t="shared" si="13"/>
        <v>#DIV/0!</v>
      </c>
      <c r="AA77" s="1" t="e">
        <f t="shared" si="13"/>
        <v>#DIV/0!</v>
      </c>
      <c r="AB77" s="1" t="e">
        <f t="shared" si="13"/>
        <v>#DIV/0!</v>
      </c>
      <c r="AC77" s="1" t="e">
        <f t="shared" si="13"/>
        <v>#DIV/0!</v>
      </c>
      <c r="AD77" s="1" t="e">
        <f t="shared" si="13"/>
        <v>#DIV/0!</v>
      </c>
      <c r="AE77" s="1" t="e">
        <f t="shared" si="13"/>
        <v>#DIV/0!</v>
      </c>
      <c r="AF77" s="1" t="e">
        <f t="shared" si="13"/>
        <v>#DIV/0!</v>
      </c>
      <c r="AG77" s="1" t="e">
        <f t="shared" si="13"/>
        <v>#DIV/0!</v>
      </c>
      <c r="AH77" s="1" t="e">
        <f t="shared" si="13"/>
        <v>#DIV/0!</v>
      </c>
      <c r="AI77" s="1" t="e">
        <f t="shared" si="13"/>
        <v>#DIV/0!</v>
      </c>
      <c r="AJ77" s="1" t="e">
        <f t="shared" si="13"/>
        <v>#DIV/0!</v>
      </c>
    </row>
    <row r="78" spans="1:36">
      <c r="A78" s="29">
        <f t="shared" si="4"/>
        <v>-66</v>
      </c>
      <c r="B78" s="74"/>
      <c r="C78" s="74"/>
      <c r="D78" s="74"/>
      <c r="E78" s="1" t="e">
        <f t="shared" si="5"/>
        <v>#DIV/0!</v>
      </c>
      <c r="F78" s="1" t="e">
        <f t="shared" si="5"/>
        <v>#DIV/0!</v>
      </c>
      <c r="G78" s="1" t="e">
        <f t="shared" si="5"/>
        <v>#DIV/0!</v>
      </c>
      <c r="H78" s="1" t="e">
        <f t="shared" si="5"/>
        <v>#DIV/0!</v>
      </c>
      <c r="I78" s="1" t="e">
        <f t="shared" si="5"/>
        <v>#DIV/0!</v>
      </c>
      <c r="J78" s="1" t="e">
        <f t="shared" ref="J78:AJ78" si="14">(J15-$B15)/$B$4</f>
        <v>#DIV/0!</v>
      </c>
      <c r="K78" s="1" t="e">
        <f t="shared" si="14"/>
        <v>#DIV/0!</v>
      </c>
      <c r="L78" s="1" t="e">
        <f t="shared" si="14"/>
        <v>#DIV/0!</v>
      </c>
      <c r="M78" s="1" t="e">
        <f t="shared" si="14"/>
        <v>#DIV/0!</v>
      </c>
      <c r="N78" s="1" t="e">
        <f t="shared" si="14"/>
        <v>#DIV/0!</v>
      </c>
      <c r="O78" s="1" t="e">
        <f t="shared" si="14"/>
        <v>#DIV/0!</v>
      </c>
      <c r="P78" s="1" t="e">
        <f t="shared" si="14"/>
        <v>#DIV/0!</v>
      </c>
      <c r="Q78" s="1" t="e">
        <f t="shared" si="14"/>
        <v>#DIV/0!</v>
      </c>
      <c r="R78" s="1" t="e">
        <f t="shared" si="14"/>
        <v>#DIV/0!</v>
      </c>
      <c r="S78" s="1" t="e">
        <f t="shared" si="14"/>
        <v>#DIV/0!</v>
      </c>
      <c r="T78" s="1" t="e">
        <f t="shared" si="14"/>
        <v>#DIV/0!</v>
      </c>
      <c r="U78" s="1" t="e">
        <f t="shared" si="14"/>
        <v>#DIV/0!</v>
      </c>
      <c r="V78" s="1" t="e">
        <f t="shared" si="14"/>
        <v>#DIV/0!</v>
      </c>
      <c r="W78" s="1" t="e">
        <f t="shared" si="14"/>
        <v>#DIV/0!</v>
      </c>
      <c r="X78" s="1" t="e">
        <f t="shared" si="14"/>
        <v>#DIV/0!</v>
      </c>
      <c r="Y78" s="1" t="e">
        <f t="shared" si="14"/>
        <v>#DIV/0!</v>
      </c>
      <c r="Z78" s="1" t="e">
        <f t="shared" si="14"/>
        <v>#DIV/0!</v>
      </c>
      <c r="AA78" s="1" t="e">
        <f t="shared" si="14"/>
        <v>#DIV/0!</v>
      </c>
      <c r="AB78" s="1" t="e">
        <f t="shared" si="14"/>
        <v>#DIV/0!</v>
      </c>
      <c r="AC78" s="1" t="e">
        <f t="shared" si="14"/>
        <v>#DIV/0!</v>
      </c>
      <c r="AD78" s="1" t="e">
        <f t="shared" si="14"/>
        <v>#DIV/0!</v>
      </c>
      <c r="AE78" s="1" t="e">
        <f t="shared" si="14"/>
        <v>#DIV/0!</v>
      </c>
      <c r="AF78" s="1" t="e">
        <f t="shared" si="14"/>
        <v>#DIV/0!</v>
      </c>
      <c r="AG78" s="1" t="e">
        <f t="shared" si="14"/>
        <v>#DIV/0!</v>
      </c>
      <c r="AH78" s="1" t="e">
        <f t="shared" si="14"/>
        <v>#DIV/0!</v>
      </c>
      <c r="AI78" s="1" t="e">
        <f t="shared" si="14"/>
        <v>#DIV/0!</v>
      </c>
      <c r="AJ78" s="1" t="e">
        <f t="shared" si="14"/>
        <v>#DIV/0!</v>
      </c>
    </row>
    <row r="79" spans="1:36">
      <c r="A79" s="29">
        <f t="shared" si="4"/>
        <v>-63</v>
      </c>
      <c r="B79" s="74"/>
      <c r="C79" s="74"/>
      <c r="D79" s="74"/>
      <c r="E79" s="1" t="e">
        <f t="shared" si="5"/>
        <v>#DIV/0!</v>
      </c>
      <c r="F79" s="1" t="e">
        <f t="shared" si="5"/>
        <v>#DIV/0!</v>
      </c>
      <c r="G79" s="1" t="e">
        <f t="shared" si="5"/>
        <v>#DIV/0!</v>
      </c>
      <c r="H79" s="1" t="e">
        <f t="shared" si="5"/>
        <v>#DIV/0!</v>
      </c>
      <c r="I79" s="1" t="e">
        <f t="shared" si="5"/>
        <v>#DIV/0!</v>
      </c>
      <c r="J79" s="1" t="e">
        <f t="shared" ref="J79:AJ79" si="15">(J16-$B16)/$B$4</f>
        <v>#DIV/0!</v>
      </c>
      <c r="K79" s="1" t="e">
        <f t="shared" si="15"/>
        <v>#DIV/0!</v>
      </c>
      <c r="L79" s="1" t="e">
        <f t="shared" si="15"/>
        <v>#DIV/0!</v>
      </c>
      <c r="M79" s="1" t="e">
        <f t="shared" si="15"/>
        <v>#DIV/0!</v>
      </c>
      <c r="N79" s="1" t="e">
        <f t="shared" si="15"/>
        <v>#DIV/0!</v>
      </c>
      <c r="O79" s="1" t="e">
        <f t="shared" si="15"/>
        <v>#DIV/0!</v>
      </c>
      <c r="P79" s="1" t="e">
        <f t="shared" si="15"/>
        <v>#DIV/0!</v>
      </c>
      <c r="Q79" s="1" t="e">
        <f t="shared" si="15"/>
        <v>#DIV/0!</v>
      </c>
      <c r="R79" s="1" t="e">
        <f t="shared" si="15"/>
        <v>#DIV/0!</v>
      </c>
      <c r="S79" s="1" t="e">
        <f t="shared" si="15"/>
        <v>#DIV/0!</v>
      </c>
      <c r="T79" s="1" t="e">
        <f t="shared" si="15"/>
        <v>#DIV/0!</v>
      </c>
      <c r="U79" s="1" t="e">
        <f t="shared" si="15"/>
        <v>#DIV/0!</v>
      </c>
      <c r="V79" s="1" t="e">
        <f t="shared" si="15"/>
        <v>#DIV/0!</v>
      </c>
      <c r="W79" s="1" t="e">
        <f t="shared" si="15"/>
        <v>#DIV/0!</v>
      </c>
      <c r="X79" s="1" t="e">
        <f t="shared" si="15"/>
        <v>#DIV/0!</v>
      </c>
      <c r="Y79" s="1" t="e">
        <f t="shared" si="15"/>
        <v>#DIV/0!</v>
      </c>
      <c r="Z79" s="1" t="e">
        <f t="shared" si="15"/>
        <v>#DIV/0!</v>
      </c>
      <c r="AA79" s="1" t="e">
        <f t="shared" si="15"/>
        <v>#DIV/0!</v>
      </c>
      <c r="AB79" s="1" t="e">
        <f t="shared" si="15"/>
        <v>#DIV/0!</v>
      </c>
      <c r="AC79" s="1" t="e">
        <f t="shared" si="15"/>
        <v>#DIV/0!</v>
      </c>
      <c r="AD79" s="1" t="e">
        <f t="shared" si="15"/>
        <v>#DIV/0!</v>
      </c>
      <c r="AE79" s="1" t="e">
        <f t="shared" si="15"/>
        <v>#DIV/0!</v>
      </c>
      <c r="AF79" s="1" t="e">
        <f t="shared" si="15"/>
        <v>#DIV/0!</v>
      </c>
      <c r="AG79" s="1" t="e">
        <f t="shared" si="15"/>
        <v>#DIV/0!</v>
      </c>
      <c r="AH79" s="1" t="e">
        <f t="shared" si="15"/>
        <v>#DIV/0!</v>
      </c>
      <c r="AI79" s="1" t="e">
        <f t="shared" si="15"/>
        <v>#DIV/0!</v>
      </c>
      <c r="AJ79" s="1" t="e">
        <f t="shared" si="15"/>
        <v>#DIV/0!</v>
      </c>
    </row>
    <row r="80" spans="1:36">
      <c r="A80" s="29">
        <f t="shared" si="4"/>
        <v>-60</v>
      </c>
      <c r="B80" s="74"/>
      <c r="C80" s="74"/>
      <c r="D80" s="74"/>
      <c r="E80" s="1" t="e">
        <f t="shared" ref="E80:I89" si="16">(E17-$B17)/$B$4</f>
        <v>#DIV/0!</v>
      </c>
      <c r="F80" s="1" t="e">
        <f t="shared" si="16"/>
        <v>#DIV/0!</v>
      </c>
      <c r="G80" s="1" t="e">
        <f t="shared" si="16"/>
        <v>#DIV/0!</v>
      </c>
      <c r="H80" s="1" t="e">
        <f t="shared" si="16"/>
        <v>#DIV/0!</v>
      </c>
      <c r="I80" s="1" t="e">
        <f t="shared" si="16"/>
        <v>#DIV/0!</v>
      </c>
      <c r="J80" s="1" t="e">
        <f t="shared" ref="J80:AJ80" si="17">(J17-$B17)/$B$4</f>
        <v>#DIV/0!</v>
      </c>
      <c r="K80" s="1" t="e">
        <f t="shared" si="17"/>
        <v>#DIV/0!</v>
      </c>
      <c r="L80" s="1" t="e">
        <f t="shared" si="17"/>
        <v>#DIV/0!</v>
      </c>
      <c r="M80" s="1" t="e">
        <f t="shared" si="17"/>
        <v>#DIV/0!</v>
      </c>
      <c r="N80" s="1" t="e">
        <f t="shared" si="17"/>
        <v>#DIV/0!</v>
      </c>
      <c r="O80" s="1" t="e">
        <f t="shared" si="17"/>
        <v>#DIV/0!</v>
      </c>
      <c r="P80" s="1" t="e">
        <f t="shared" si="17"/>
        <v>#DIV/0!</v>
      </c>
      <c r="Q80" s="1" t="e">
        <f t="shared" si="17"/>
        <v>#DIV/0!</v>
      </c>
      <c r="R80" s="1" t="e">
        <f t="shared" si="17"/>
        <v>#DIV/0!</v>
      </c>
      <c r="S80" s="1" t="e">
        <f t="shared" si="17"/>
        <v>#DIV/0!</v>
      </c>
      <c r="T80" s="1" t="e">
        <f t="shared" si="17"/>
        <v>#DIV/0!</v>
      </c>
      <c r="U80" s="1" t="e">
        <f t="shared" si="17"/>
        <v>#DIV/0!</v>
      </c>
      <c r="V80" s="1" t="e">
        <f t="shared" si="17"/>
        <v>#DIV/0!</v>
      </c>
      <c r="W80" s="1" t="e">
        <f t="shared" si="17"/>
        <v>#DIV/0!</v>
      </c>
      <c r="X80" s="1" t="e">
        <f t="shared" si="17"/>
        <v>#DIV/0!</v>
      </c>
      <c r="Y80" s="1" t="e">
        <f t="shared" si="17"/>
        <v>#DIV/0!</v>
      </c>
      <c r="Z80" s="1" t="e">
        <f t="shared" si="17"/>
        <v>#DIV/0!</v>
      </c>
      <c r="AA80" s="1" t="e">
        <f t="shared" si="17"/>
        <v>#DIV/0!</v>
      </c>
      <c r="AB80" s="1" t="e">
        <f t="shared" si="17"/>
        <v>#DIV/0!</v>
      </c>
      <c r="AC80" s="1" t="e">
        <f t="shared" si="17"/>
        <v>#DIV/0!</v>
      </c>
      <c r="AD80" s="1" t="e">
        <f t="shared" si="17"/>
        <v>#DIV/0!</v>
      </c>
      <c r="AE80" s="1" t="e">
        <f t="shared" si="17"/>
        <v>#DIV/0!</v>
      </c>
      <c r="AF80" s="1" t="e">
        <f t="shared" si="17"/>
        <v>#DIV/0!</v>
      </c>
      <c r="AG80" s="1" t="e">
        <f t="shared" si="17"/>
        <v>#DIV/0!</v>
      </c>
      <c r="AH80" s="1" t="e">
        <f t="shared" si="17"/>
        <v>#DIV/0!</v>
      </c>
      <c r="AI80" s="1" t="e">
        <f t="shared" si="17"/>
        <v>#DIV/0!</v>
      </c>
      <c r="AJ80" s="1" t="e">
        <f t="shared" si="17"/>
        <v>#DIV/0!</v>
      </c>
    </row>
    <row r="81" spans="1:36">
      <c r="A81" s="29">
        <f t="shared" si="4"/>
        <v>-57</v>
      </c>
      <c r="B81" s="74"/>
      <c r="C81" s="74"/>
      <c r="D81" s="74"/>
      <c r="E81" s="1" t="e">
        <f t="shared" si="16"/>
        <v>#DIV/0!</v>
      </c>
      <c r="F81" s="1" t="e">
        <f t="shared" si="16"/>
        <v>#DIV/0!</v>
      </c>
      <c r="G81" s="1" t="e">
        <f t="shared" si="16"/>
        <v>#DIV/0!</v>
      </c>
      <c r="H81" s="1" t="e">
        <f t="shared" si="16"/>
        <v>#DIV/0!</v>
      </c>
      <c r="I81" s="1" t="e">
        <f t="shared" si="16"/>
        <v>#DIV/0!</v>
      </c>
      <c r="J81" s="1" t="e">
        <f t="shared" ref="J81:AJ81" si="18">(J18-$B18)/$B$4</f>
        <v>#DIV/0!</v>
      </c>
      <c r="K81" s="1" t="e">
        <f t="shared" si="18"/>
        <v>#DIV/0!</v>
      </c>
      <c r="L81" s="1" t="e">
        <f t="shared" si="18"/>
        <v>#DIV/0!</v>
      </c>
      <c r="M81" s="1" t="e">
        <f t="shared" si="18"/>
        <v>#DIV/0!</v>
      </c>
      <c r="N81" s="1" t="e">
        <f t="shared" si="18"/>
        <v>#DIV/0!</v>
      </c>
      <c r="O81" s="1" t="e">
        <f t="shared" si="18"/>
        <v>#DIV/0!</v>
      </c>
      <c r="P81" s="1" t="e">
        <f t="shared" si="18"/>
        <v>#DIV/0!</v>
      </c>
      <c r="Q81" s="1" t="e">
        <f t="shared" si="18"/>
        <v>#DIV/0!</v>
      </c>
      <c r="R81" s="1" t="e">
        <f t="shared" si="18"/>
        <v>#DIV/0!</v>
      </c>
      <c r="S81" s="1" t="e">
        <f t="shared" si="18"/>
        <v>#DIV/0!</v>
      </c>
      <c r="T81" s="1" t="e">
        <f t="shared" si="18"/>
        <v>#DIV/0!</v>
      </c>
      <c r="U81" s="1" t="e">
        <f t="shared" si="18"/>
        <v>#DIV/0!</v>
      </c>
      <c r="V81" s="1" t="e">
        <f t="shared" si="18"/>
        <v>#DIV/0!</v>
      </c>
      <c r="W81" s="1" t="e">
        <f t="shared" si="18"/>
        <v>#DIV/0!</v>
      </c>
      <c r="X81" s="1" t="e">
        <f t="shared" si="18"/>
        <v>#DIV/0!</v>
      </c>
      <c r="Y81" s="1" t="e">
        <f t="shared" si="18"/>
        <v>#DIV/0!</v>
      </c>
      <c r="Z81" s="1" t="e">
        <f t="shared" si="18"/>
        <v>#DIV/0!</v>
      </c>
      <c r="AA81" s="1" t="e">
        <f t="shared" si="18"/>
        <v>#DIV/0!</v>
      </c>
      <c r="AB81" s="1" t="e">
        <f t="shared" si="18"/>
        <v>#DIV/0!</v>
      </c>
      <c r="AC81" s="1" t="e">
        <f t="shared" si="18"/>
        <v>#DIV/0!</v>
      </c>
      <c r="AD81" s="1" t="e">
        <f t="shared" si="18"/>
        <v>#DIV/0!</v>
      </c>
      <c r="AE81" s="1" t="e">
        <f t="shared" si="18"/>
        <v>#DIV/0!</v>
      </c>
      <c r="AF81" s="1" t="e">
        <f t="shared" si="18"/>
        <v>#DIV/0!</v>
      </c>
      <c r="AG81" s="1" t="e">
        <f t="shared" si="18"/>
        <v>#DIV/0!</v>
      </c>
      <c r="AH81" s="1" t="e">
        <f t="shared" si="18"/>
        <v>#DIV/0!</v>
      </c>
      <c r="AI81" s="1" t="e">
        <f t="shared" si="18"/>
        <v>#DIV/0!</v>
      </c>
      <c r="AJ81" s="1" t="e">
        <f t="shared" si="18"/>
        <v>#DIV/0!</v>
      </c>
    </row>
    <row r="82" spans="1:36">
      <c r="A82" s="29">
        <f t="shared" si="4"/>
        <v>-54</v>
      </c>
      <c r="B82" s="74"/>
      <c r="C82" s="74"/>
      <c r="D82" s="74"/>
      <c r="E82" s="1" t="e">
        <f t="shared" si="16"/>
        <v>#DIV/0!</v>
      </c>
      <c r="F82" s="1" t="e">
        <f t="shared" si="16"/>
        <v>#DIV/0!</v>
      </c>
      <c r="G82" s="1" t="e">
        <f t="shared" si="16"/>
        <v>#DIV/0!</v>
      </c>
      <c r="H82" s="1" t="e">
        <f t="shared" si="16"/>
        <v>#DIV/0!</v>
      </c>
      <c r="I82" s="1" t="e">
        <f t="shared" si="16"/>
        <v>#DIV/0!</v>
      </c>
      <c r="J82" s="1" t="e">
        <f t="shared" ref="J82:AJ82" si="19">(J19-$B19)/$B$4</f>
        <v>#DIV/0!</v>
      </c>
      <c r="K82" s="1" t="e">
        <f t="shared" si="19"/>
        <v>#DIV/0!</v>
      </c>
      <c r="L82" s="1" t="e">
        <f t="shared" si="19"/>
        <v>#DIV/0!</v>
      </c>
      <c r="M82" s="1" t="e">
        <f t="shared" si="19"/>
        <v>#DIV/0!</v>
      </c>
      <c r="N82" s="1" t="e">
        <f t="shared" si="19"/>
        <v>#DIV/0!</v>
      </c>
      <c r="O82" s="1" t="e">
        <f t="shared" si="19"/>
        <v>#DIV/0!</v>
      </c>
      <c r="P82" s="1" t="e">
        <f t="shared" si="19"/>
        <v>#DIV/0!</v>
      </c>
      <c r="Q82" s="1" t="e">
        <f t="shared" si="19"/>
        <v>#DIV/0!</v>
      </c>
      <c r="R82" s="1" t="e">
        <f t="shared" si="19"/>
        <v>#DIV/0!</v>
      </c>
      <c r="S82" s="1" t="e">
        <f t="shared" si="19"/>
        <v>#DIV/0!</v>
      </c>
      <c r="T82" s="1" t="e">
        <f t="shared" si="19"/>
        <v>#DIV/0!</v>
      </c>
      <c r="U82" s="1" t="e">
        <f t="shared" si="19"/>
        <v>#DIV/0!</v>
      </c>
      <c r="V82" s="1" t="e">
        <f t="shared" si="19"/>
        <v>#DIV/0!</v>
      </c>
      <c r="W82" s="1" t="e">
        <f t="shared" si="19"/>
        <v>#DIV/0!</v>
      </c>
      <c r="X82" s="1" t="e">
        <f t="shared" si="19"/>
        <v>#DIV/0!</v>
      </c>
      <c r="Y82" s="1" t="e">
        <f t="shared" si="19"/>
        <v>#DIV/0!</v>
      </c>
      <c r="Z82" s="1" t="e">
        <f t="shared" si="19"/>
        <v>#DIV/0!</v>
      </c>
      <c r="AA82" s="1" t="e">
        <f t="shared" si="19"/>
        <v>#DIV/0!</v>
      </c>
      <c r="AB82" s="1" t="e">
        <f t="shared" si="19"/>
        <v>#DIV/0!</v>
      </c>
      <c r="AC82" s="1" t="e">
        <f t="shared" si="19"/>
        <v>#DIV/0!</v>
      </c>
      <c r="AD82" s="1" t="e">
        <f t="shared" si="19"/>
        <v>#DIV/0!</v>
      </c>
      <c r="AE82" s="1" t="e">
        <f t="shared" si="19"/>
        <v>#DIV/0!</v>
      </c>
      <c r="AF82" s="1" t="e">
        <f t="shared" si="19"/>
        <v>#DIV/0!</v>
      </c>
      <c r="AG82" s="1" t="e">
        <f t="shared" si="19"/>
        <v>#DIV/0!</v>
      </c>
      <c r="AH82" s="1" t="e">
        <f t="shared" si="19"/>
        <v>#DIV/0!</v>
      </c>
      <c r="AI82" s="1" t="e">
        <f t="shared" si="19"/>
        <v>#DIV/0!</v>
      </c>
      <c r="AJ82" s="1" t="e">
        <f t="shared" si="19"/>
        <v>#DIV/0!</v>
      </c>
    </row>
    <row r="83" spans="1:36">
      <c r="A83" s="29">
        <f t="shared" si="4"/>
        <v>-51</v>
      </c>
      <c r="B83" s="74"/>
      <c r="C83" s="74"/>
      <c r="D83" s="74"/>
      <c r="E83" s="1" t="e">
        <f t="shared" si="16"/>
        <v>#DIV/0!</v>
      </c>
      <c r="F83" s="1" t="e">
        <f t="shared" si="16"/>
        <v>#DIV/0!</v>
      </c>
      <c r="G83" s="1" t="e">
        <f t="shared" si="16"/>
        <v>#DIV/0!</v>
      </c>
      <c r="H83" s="1" t="e">
        <f t="shared" si="16"/>
        <v>#DIV/0!</v>
      </c>
      <c r="I83" s="1" t="e">
        <f t="shared" si="16"/>
        <v>#DIV/0!</v>
      </c>
      <c r="J83" s="1" t="e">
        <f t="shared" ref="J83:AJ83" si="20">(J20-$B20)/$B$4</f>
        <v>#DIV/0!</v>
      </c>
      <c r="K83" s="1" t="e">
        <f t="shared" si="20"/>
        <v>#DIV/0!</v>
      </c>
      <c r="L83" s="1" t="e">
        <f t="shared" si="20"/>
        <v>#DIV/0!</v>
      </c>
      <c r="M83" s="1" t="e">
        <f t="shared" si="20"/>
        <v>#DIV/0!</v>
      </c>
      <c r="N83" s="1" t="e">
        <f t="shared" si="20"/>
        <v>#DIV/0!</v>
      </c>
      <c r="O83" s="1" t="e">
        <f t="shared" si="20"/>
        <v>#DIV/0!</v>
      </c>
      <c r="P83" s="1" t="e">
        <f t="shared" si="20"/>
        <v>#DIV/0!</v>
      </c>
      <c r="Q83" s="1" t="e">
        <f t="shared" si="20"/>
        <v>#DIV/0!</v>
      </c>
      <c r="R83" s="1" t="e">
        <f t="shared" si="20"/>
        <v>#DIV/0!</v>
      </c>
      <c r="S83" s="1" t="e">
        <f t="shared" si="20"/>
        <v>#DIV/0!</v>
      </c>
      <c r="T83" s="1" t="e">
        <f t="shared" si="20"/>
        <v>#DIV/0!</v>
      </c>
      <c r="U83" s="1" t="e">
        <f t="shared" si="20"/>
        <v>#DIV/0!</v>
      </c>
      <c r="V83" s="1" t="e">
        <f t="shared" si="20"/>
        <v>#DIV/0!</v>
      </c>
      <c r="W83" s="1" t="e">
        <f t="shared" si="20"/>
        <v>#DIV/0!</v>
      </c>
      <c r="X83" s="1" t="e">
        <f t="shared" si="20"/>
        <v>#DIV/0!</v>
      </c>
      <c r="Y83" s="1" t="e">
        <f t="shared" si="20"/>
        <v>#DIV/0!</v>
      </c>
      <c r="Z83" s="1" t="e">
        <f t="shared" si="20"/>
        <v>#DIV/0!</v>
      </c>
      <c r="AA83" s="1" t="e">
        <f t="shared" si="20"/>
        <v>#DIV/0!</v>
      </c>
      <c r="AB83" s="1" t="e">
        <f t="shared" si="20"/>
        <v>#DIV/0!</v>
      </c>
      <c r="AC83" s="1" t="e">
        <f t="shared" si="20"/>
        <v>#DIV/0!</v>
      </c>
      <c r="AD83" s="1" t="e">
        <f t="shared" si="20"/>
        <v>#DIV/0!</v>
      </c>
      <c r="AE83" s="1" t="e">
        <f t="shared" si="20"/>
        <v>#DIV/0!</v>
      </c>
      <c r="AF83" s="1" t="e">
        <f t="shared" si="20"/>
        <v>#DIV/0!</v>
      </c>
      <c r="AG83" s="1" t="e">
        <f t="shared" si="20"/>
        <v>#DIV/0!</v>
      </c>
      <c r="AH83" s="1" t="e">
        <f t="shared" si="20"/>
        <v>#DIV/0!</v>
      </c>
      <c r="AI83" s="1" t="e">
        <f t="shared" si="20"/>
        <v>#DIV/0!</v>
      </c>
      <c r="AJ83" s="1" t="e">
        <f t="shared" si="20"/>
        <v>#DIV/0!</v>
      </c>
    </row>
    <row r="84" spans="1:36">
      <c r="A84" s="29">
        <f t="shared" si="4"/>
        <v>-48</v>
      </c>
      <c r="B84" s="74"/>
      <c r="C84" s="74"/>
      <c r="D84" s="74"/>
      <c r="E84" s="1" t="e">
        <f t="shared" si="16"/>
        <v>#DIV/0!</v>
      </c>
      <c r="F84" s="1" t="e">
        <f t="shared" si="16"/>
        <v>#DIV/0!</v>
      </c>
      <c r="G84" s="1" t="e">
        <f t="shared" si="16"/>
        <v>#DIV/0!</v>
      </c>
      <c r="H84" s="1" t="e">
        <f t="shared" si="16"/>
        <v>#DIV/0!</v>
      </c>
      <c r="I84" s="1" t="e">
        <f t="shared" si="16"/>
        <v>#DIV/0!</v>
      </c>
      <c r="J84" s="1" t="e">
        <f t="shared" ref="J84:AJ84" si="21">(J21-$B21)/$B$4</f>
        <v>#DIV/0!</v>
      </c>
      <c r="K84" s="1" t="e">
        <f t="shared" si="21"/>
        <v>#DIV/0!</v>
      </c>
      <c r="L84" s="1" t="e">
        <f t="shared" si="21"/>
        <v>#DIV/0!</v>
      </c>
      <c r="M84" s="1" t="e">
        <f t="shared" si="21"/>
        <v>#DIV/0!</v>
      </c>
      <c r="N84" s="1" t="e">
        <f t="shared" si="21"/>
        <v>#DIV/0!</v>
      </c>
      <c r="O84" s="1" t="e">
        <f t="shared" si="21"/>
        <v>#DIV/0!</v>
      </c>
      <c r="P84" s="1" t="e">
        <f t="shared" si="21"/>
        <v>#DIV/0!</v>
      </c>
      <c r="Q84" s="1" t="e">
        <f t="shared" si="21"/>
        <v>#DIV/0!</v>
      </c>
      <c r="R84" s="1" t="e">
        <f t="shared" si="21"/>
        <v>#DIV/0!</v>
      </c>
      <c r="S84" s="1" t="e">
        <f t="shared" si="21"/>
        <v>#DIV/0!</v>
      </c>
      <c r="T84" s="1" t="e">
        <f t="shared" si="21"/>
        <v>#DIV/0!</v>
      </c>
      <c r="U84" s="1" t="e">
        <f t="shared" si="21"/>
        <v>#DIV/0!</v>
      </c>
      <c r="V84" s="1" t="e">
        <f t="shared" si="21"/>
        <v>#DIV/0!</v>
      </c>
      <c r="W84" s="1" t="e">
        <f t="shared" si="21"/>
        <v>#DIV/0!</v>
      </c>
      <c r="X84" s="1" t="e">
        <f t="shared" si="21"/>
        <v>#DIV/0!</v>
      </c>
      <c r="Y84" s="1" t="e">
        <f t="shared" si="21"/>
        <v>#DIV/0!</v>
      </c>
      <c r="Z84" s="1" t="e">
        <f t="shared" si="21"/>
        <v>#DIV/0!</v>
      </c>
      <c r="AA84" s="1" t="e">
        <f t="shared" si="21"/>
        <v>#DIV/0!</v>
      </c>
      <c r="AB84" s="1" t="e">
        <f t="shared" si="21"/>
        <v>#DIV/0!</v>
      </c>
      <c r="AC84" s="1" t="e">
        <f t="shared" si="21"/>
        <v>#DIV/0!</v>
      </c>
      <c r="AD84" s="1" t="e">
        <f t="shared" si="21"/>
        <v>#DIV/0!</v>
      </c>
      <c r="AE84" s="1" t="e">
        <f t="shared" si="21"/>
        <v>#DIV/0!</v>
      </c>
      <c r="AF84" s="1" t="e">
        <f t="shared" si="21"/>
        <v>#DIV/0!</v>
      </c>
      <c r="AG84" s="1" t="e">
        <f t="shared" si="21"/>
        <v>#DIV/0!</v>
      </c>
      <c r="AH84" s="1" t="e">
        <f t="shared" si="21"/>
        <v>#DIV/0!</v>
      </c>
      <c r="AI84" s="1" t="e">
        <f t="shared" si="21"/>
        <v>#DIV/0!</v>
      </c>
      <c r="AJ84" s="1" t="e">
        <f t="shared" si="21"/>
        <v>#DIV/0!</v>
      </c>
    </row>
    <row r="85" spans="1:36">
      <c r="A85" s="29">
        <f t="shared" si="4"/>
        <v>-45</v>
      </c>
      <c r="B85" s="74"/>
      <c r="C85" s="74"/>
      <c r="D85" s="74"/>
      <c r="E85" s="1" t="e">
        <f t="shared" si="16"/>
        <v>#DIV/0!</v>
      </c>
      <c r="F85" s="1" t="e">
        <f t="shared" si="16"/>
        <v>#DIV/0!</v>
      </c>
      <c r="G85" s="1" t="e">
        <f t="shared" si="16"/>
        <v>#DIV/0!</v>
      </c>
      <c r="H85" s="1" t="e">
        <f t="shared" si="16"/>
        <v>#DIV/0!</v>
      </c>
      <c r="I85" s="1" t="e">
        <f t="shared" si="16"/>
        <v>#DIV/0!</v>
      </c>
      <c r="J85" s="1" t="e">
        <f t="shared" ref="J85:AJ85" si="22">(J22-$B22)/$B$4</f>
        <v>#DIV/0!</v>
      </c>
      <c r="K85" s="1" t="e">
        <f t="shared" si="22"/>
        <v>#DIV/0!</v>
      </c>
      <c r="L85" s="1" t="e">
        <f t="shared" si="22"/>
        <v>#DIV/0!</v>
      </c>
      <c r="M85" s="1" t="e">
        <f t="shared" si="22"/>
        <v>#DIV/0!</v>
      </c>
      <c r="N85" s="1" t="e">
        <f t="shared" si="22"/>
        <v>#DIV/0!</v>
      </c>
      <c r="O85" s="1" t="e">
        <f t="shared" si="22"/>
        <v>#DIV/0!</v>
      </c>
      <c r="P85" s="1" t="e">
        <f t="shared" si="22"/>
        <v>#DIV/0!</v>
      </c>
      <c r="Q85" s="1" t="e">
        <f t="shared" si="22"/>
        <v>#DIV/0!</v>
      </c>
      <c r="R85" s="1" t="e">
        <f t="shared" si="22"/>
        <v>#DIV/0!</v>
      </c>
      <c r="S85" s="1" t="e">
        <f t="shared" si="22"/>
        <v>#DIV/0!</v>
      </c>
      <c r="T85" s="1" t="e">
        <f t="shared" si="22"/>
        <v>#DIV/0!</v>
      </c>
      <c r="U85" s="1" t="e">
        <f t="shared" si="22"/>
        <v>#DIV/0!</v>
      </c>
      <c r="V85" s="1" t="e">
        <f t="shared" si="22"/>
        <v>#DIV/0!</v>
      </c>
      <c r="W85" s="1" t="e">
        <f t="shared" si="22"/>
        <v>#DIV/0!</v>
      </c>
      <c r="X85" s="1" t="e">
        <f t="shared" si="22"/>
        <v>#DIV/0!</v>
      </c>
      <c r="Y85" s="1" t="e">
        <f t="shared" si="22"/>
        <v>#DIV/0!</v>
      </c>
      <c r="Z85" s="1" t="e">
        <f t="shared" si="22"/>
        <v>#DIV/0!</v>
      </c>
      <c r="AA85" s="1" t="e">
        <f t="shared" si="22"/>
        <v>#DIV/0!</v>
      </c>
      <c r="AB85" s="1" t="e">
        <f t="shared" si="22"/>
        <v>#DIV/0!</v>
      </c>
      <c r="AC85" s="1" t="e">
        <f t="shared" si="22"/>
        <v>#DIV/0!</v>
      </c>
      <c r="AD85" s="1" t="e">
        <f t="shared" si="22"/>
        <v>#DIV/0!</v>
      </c>
      <c r="AE85" s="1" t="e">
        <f t="shared" si="22"/>
        <v>#DIV/0!</v>
      </c>
      <c r="AF85" s="1" t="e">
        <f t="shared" si="22"/>
        <v>#DIV/0!</v>
      </c>
      <c r="AG85" s="1" t="e">
        <f t="shared" si="22"/>
        <v>#DIV/0!</v>
      </c>
      <c r="AH85" s="1" t="e">
        <f t="shared" si="22"/>
        <v>#DIV/0!</v>
      </c>
      <c r="AI85" s="1" t="e">
        <f t="shared" si="22"/>
        <v>#DIV/0!</v>
      </c>
      <c r="AJ85" s="1" t="e">
        <f t="shared" si="22"/>
        <v>#DIV/0!</v>
      </c>
    </row>
    <row r="86" spans="1:36">
      <c r="A86" s="29">
        <f t="shared" si="4"/>
        <v>-42</v>
      </c>
      <c r="B86" s="74"/>
      <c r="C86" s="74"/>
      <c r="D86" s="74"/>
      <c r="E86" s="1" t="e">
        <f t="shared" si="16"/>
        <v>#DIV/0!</v>
      </c>
      <c r="F86" s="1" t="e">
        <f t="shared" si="16"/>
        <v>#DIV/0!</v>
      </c>
      <c r="G86" s="1" t="e">
        <f t="shared" si="16"/>
        <v>#DIV/0!</v>
      </c>
      <c r="H86" s="1" t="e">
        <f t="shared" si="16"/>
        <v>#DIV/0!</v>
      </c>
      <c r="I86" s="1" t="e">
        <f t="shared" si="16"/>
        <v>#DIV/0!</v>
      </c>
      <c r="J86" s="1" t="e">
        <f t="shared" ref="J86:AJ86" si="23">(J23-$B23)/$B$4</f>
        <v>#DIV/0!</v>
      </c>
      <c r="K86" s="1" t="e">
        <f t="shared" si="23"/>
        <v>#DIV/0!</v>
      </c>
      <c r="L86" s="1" t="e">
        <f t="shared" si="23"/>
        <v>#DIV/0!</v>
      </c>
      <c r="M86" s="1" t="e">
        <f t="shared" si="23"/>
        <v>#DIV/0!</v>
      </c>
      <c r="N86" s="1" t="e">
        <f t="shared" si="23"/>
        <v>#DIV/0!</v>
      </c>
      <c r="O86" s="1" t="e">
        <f t="shared" si="23"/>
        <v>#DIV/0!</v>
      </c>
      <c r="P86" s="1" t="e">
        <f t="shared" si="23"/>
        <v>#DIV/0!</v>
      </c>
      <c r="Q86" s="1" t="e">
        <f t="shared" si="23"/>
        <v>#DIV/0!</v>
      </c>
      <c r="R86" s="1" t="e">
        <f t="shared" si="23"/>
        <v>#DIV/0!</v>
      </c>
      <c r="S86" s="1" t="e">
        <f t="shared" si="23"/>
        <v>#DIV/0!</v>
      </c>
      <c r="T86" s="1" t="e">
        <f t="shared" si="23"/>
        <v>#DIV/0!</v>
      </c>
      <c r="U86" s="1" t="e">
        <f t="shared" si="23"/>
        <v>#DIV/0!</v>
      </c>
      <c r="V86" s="1" t="e">
        <f t="shared" si="23"/>
        <v>#DIV/0!</v>
      </c>
      <c r="W86" s="1" t="e">
        <f t="shared" si="23"/>
        <v>#DIV/0!</v>
      </c>
      <c r="X86" s="1" t="e">
        <f t="shared" si="23"/>
        <v>#DIV/0!</v>
      </c>
      <c r="Y86" s="1" t="e">
        <f t="shared" si="23"/>
        <v>#DIV/0!</v>
      </c>
      <c r="Z86" s="1" t="e">
        <f t="shared" si="23"/>
        <v>#DIV/0!</v>
      </c>
      <c r="AA86" s="1" t="e">
        <f t="shared" si="23"/>
        <v>#DIV/0!</v>
      </c>
      <c r="AB86" s="1" t="e">
        <f t="shared" si="23"/>
        <v>#DIV/0!</v>
      </c>
      <c r="AC86" s="1" t="e">
        <f t="shared" si="23"/>
        <v>#DIV/0!</v>
      </c>
      <c r="AD86" s="1" t="e">
        <f t="shared" si="23"/>
        <v>#DIV/0!</v>
      </c>
      <c r="AE86" s="1" t="e">
        <f t="shared" si="23"/>
        <v>#DIV/0!</v>
      </c>
      <c r="AF86" s="1" t="e">
        <f t="shared" si="23"/>
        <v>#DIV/0!</v>
      </c>
      <c r="AG86" s="1" t="e">
        <f t="shared" si="23"/>
        <v>#DIV/0!</v>
      </c>
      <c r="AH86" s="1" t="e">
        <f t="shared" si="23"/>
        <v>#DIV/0!</v>
      </c>
      <c r="AI86" s="1" t="e">
        <f t="shared" si="23"/>
        <v>#DIV/0!</v>
      </c>
      <c r="AJ86" s="1" t="e">
        <f t="shared" si="23"/>
        <v>#DIV/0!</v>
      </c>
    </row>
    <row r="87" spans="1:36">
      <c r="A87" s="29">
        <f t="shared" si="4"/>
        <v>-39</v>
      </c>
      <c r="B87" s="74"/>
      <c r="C87" s="74"/>
      <c r="D87" s="74"/>
      <c r="E87" s="1" t="e">
        <f t="shared" si="16"/>
        <v>#DIV/0!</v>
      </c>
      <c r="F87" s="1" t="e">
        <f t="shared" si="16"/>
        <v>#DIV/0!</v>
      </c>
      <c r="G87" s="1" t="e">
        <f t="shared" si="16"/>
        <v>#DIV/0!</v>
      </c>
      <c r="H87" s="1" t="e">
        <f t="shared" si="16"/>
        <v>#DIV/0!</v>
      </c>
      <c r="I87" s="1" t="e">
        <f t="shared" si="16"/>
        <v>#DIV/0!</v>
      </c>
      <c r="J87" s="1" t="e">
        <f t="shared" ref="J87:AJ87" si="24">(J24-$B24)/$B$4</f>
        <v>#DIV/0!</v>
      </c>
      <c r="K87" s="1" t="e">
        <f t="shared" si="24"/>
        <v>#DIV/0!</v>
      </c>
      <c r="L87" s="1" t="e">
        <f t="shared" si="24"/>
        <v>#DIV/0!</v>
      </c>
      <c r="M87" s="1" t="e">
        <f t="shared" si="24"/>
        <v>#DIV/0!</v>
      </c>
      <c r="N87" s="1" t="e">
        <f t="shared" si="24"/>
        <v>#DIV/0!</v>
      </c>
      <c r="O87" s="1" t="e">
        <f t="shared" si="24"/>
        <v>#DIV/0!</v>
      </c>
      <c r="P87" s="1" t="e">
        <f t="shared" si="24"/>
        <v>#DIV/0!</v>
      </c>
      <c r="Q87" s="1" t="e">
        <f t="shared" si="24"/>
        <v>#DIV/0!</v>
      </c>
      <c r="R87" s="1" t="e">
        <f t="shared" si="24"/>
        <v>#DIV/0!</v>
      </c>
      <c r="S87" s="1" t="e">
        <f t="shared" si="24"/>
        <v>#DIV/0!</v>
      </c>
      <c r="T87" s="1" t="e">
        <f t="shared" si="24"/>
        <v>#DIV/0!</v>
      </c>
      <c r="U87" s="1" t="e">
        <f t="shared" si="24"/>
        <v>#DIV/0!</v>
      </c>
      <c r="V87" s="1" t="e">
        <f t="shared" si="24"/>
        <v>#DIV/0!</v>
      </c>
      <c r="W87" s="1" t="e">
        <f t="shared" si="24"/>
        <v>#DIV/0!</v>
      </c>
      <c r="X87" s="1" t="e">
        <f t="shared" si="24"/>
        <v>#DIV/0!</v>
      </c>
      <c r="Y87" s="1" t="e">
        <f t="shared" si="24"/>
        <v>#DIV/0!</v>
      </c>
      <c r="Z87" s="1" t="e">
        <f t="shared" si="24"/>
        <v>#DIV/0!</v>
      </c>
      <c r="AA87" s="1" t="e">
        <f t="shared" si="24"/>
        <v>#DIV/0!</v>
      </c>
      <c r="AB87" s="1" t="e">
        <f t="shared" si="24"/>
        <v>#DIV/0!</v>
      </c>
      <c r="AC87" s="1" t="e">
        <f t="shared" si="24"/>
        <v>#DIV/0!</v>
      </c>
      <c r="AD87" s="1" t="e">
        <f t="shared" si="24"/>
        <v>#DIV/0!</v>
      </c>
      <c r="AE87" s="1" t="e">
        <f t="shared" si="24"/>
        <v>#DIV/0!</v>
      </c>
      <c r="AF87" s="1" t="e">
        <f t="shared" si="24"/>
        <v>#DIV/0!</v>
      </c>
      <c r="AG87" s="1" t="e">
        <f t="shared" si="24"/>
        <v>#DIV/0!</v>
      </c>
      <c r="AH87" s="1" t="e">
        <f t="shared" si="24"/>
        <v>#DIV/0!</v>
      </c>
      <c r="AI87" s="1" t="e">
        <f t="shared" si="24"/>
        <v>#DIV/0!</v>
      </c>
      <c r="AJ87" s="1" t="e">
        <f t="shared" si="24"/>
        <v>#DIV/0!</v>
      </c>
    </row>
    <row r="88" spans="1:36">
      <c r="A88" s="29">
        <f t="shared" si="4"/>
        <v>-36</v>
      </c>
      <c r="B88" s="74"/>
      <c r="C88" s="74"/>
      <c r="D88" s="74"/>
      <c r="E88" s="1" t="e">
        <f t="shared" si="16"/>
        <v>#DIV/0!</v>
      </c>
      <c r="F88" s="1" t="e">
        <f t="shared" si="16"/>
        <v>#DIV/0!</v>
      </c>
      <c r="G88" s="1" t="e">
        <f t="shared" si="16"/>
        <v>#DIV/0!</v>
      </c>
      <c r="H88" s="1" t="e">
        <f t="shared" si="16"/>
        <v>#DIV/0!</v>
      </c>
      <c r="I88" s="1" t="e">
        <f t="shared" si="16"/>
        <v>#DIV/0!</v>
      </c>
      <c r="J88" s="1" t="e">
        <f t="shared" ref="J88:AJ88" si="25">(J25-$B25)/$B$4</f>
        <v>#DIV/0!</v>
      </c>
      <c r="K88" s="1" t="e">
        <f t="shared" si="25"/>
        <v>#DIV/0!</v>
      </c>
      <c r="L88" s="1" t="e">
        <f t="shared" si="25"/>
        <v>#DIV/0!</v>
      </c>
      <c r="M88" s="1" t="e">
        <f t="shared" si="25"/>
        <v>#DIV/0!</v>
      </c>
      <c r="N88" s="1" t="e">
        <f t="shared" si="25"/>
        <v>#DIV/0!</v>
      </c>
      <c r="O88" s="1" t="e">
        <f t="shared" si="25"/>
        <v>#DIV/0!</v>
      </c>
      <c r="P88" s="1" t="e">
        <f t="shared" si="25"/>
        <v>#DIV/0!</v>
      </c>
      <c r="Q88" s="1" t="e">
        <f t="shared" si="25"/>
        <v>#DIV/0!</v>
      </c>
      <c r="R88" s="1" t="e">
        <f t="shared" si="25"/>
        <v>#DIV/0!</v>
      </c>
      <c r="S88" s="1" t="e">
        <f t="shared" si="25"/>
        <v>#DIV/0!</v>
      </c>
      <c r="T88" s="1" t="e">
        <f t="shared" si="25"/>
        <v>#DIV/0!</v>
      </c>
      <c r="U88" s="1" t="e">
        <f t="shared" si="25"/>
        <v>#DIV/0!</v>
      </c>
      <c r="V88" s="1" t="e">
        <f t="shared" si="25"/>
        <v>#DIV/0!</v>
      </c>
      <c r="W88" s="1" t="e">
        <f t="shared" si="25"/>
        <v>#DIV/0!</v>
      </c>
      <c r="X88" s="1" t="e">
        <f t="shared" si="25"/>
        <v>#DIV/0!</v>
      </c>
      <c r="Y88" s="1" t="e">
        <f t="shared" si="25"/>
        <v>#DIV/0!</v>
      </c>
      <c r="Z88" s="1" t="e">
        <f t="shared" si="25"/>
        <v>#DIV/0!</v>
      </c>
      <c r="AA88" s="1" t="e">
        <f t="shared" si="25"/>
        <v>#DIV/0!</v>
      </c>
      <c r="AB88" s="1" t="e">
        <f t="shared" si="25"/>
        <v>#DIV/0!</v>
      </c>
      <c r="AC88" s="1" t="e">
        <f t="shared" si="25"/>
        <v>#DIV/0!</v>
      </c>
      <c r="AD88" s="1" t="e">
        <f t="shared" si="25"/>
        <v>#DIV/0!</v>
      </c>
      <c r="AE88" s="1" t="e">
        <f t="shared" si="25"/>
        <v>#DIV/0!</v>
      </c>
      <c r="AF88" s="1" t="e">
        <f t="shared" si="25"/>
        <v>#DIV/0!</v>
      </c>
      <c r="AG88" s="1" t="e">
        <f t="shared" si="25"/>
        <v>#DIV/0!</v>
      </c>
      <c r="AH88" s="1" t="e">
        <f t="shared" si="25"/>
        <v>#DIV/0!</v>
      </c>
      <c r="AI88" s="1" t="e">
        <f t="shared" si="25"/>
        <v>#DIV/0!</v>
      </c>
      <c r="AJ88" s="1" t="e">
        <f t="shared" si="25"/>
        <v>#DIV/0!</v>
      </c>
    </row>
    <row r="89" spans="1:36">
      <c r="A89" s="29">
        <f t="shared" si="4"/>
        <v>-33</v>
      </c>
      <c r="B89" s="74"/>
      <c r="C89" s="74"/>
      <c r="D89" s="74"/>
      <c r="E89" s="1" t="e">
        <f t="shared" si="16"/>
        <v>#DIV/0!</v>
      </c>
      <c r="F89" s="1" t="e">
        <f t="shared" si="16"/>
        <v>#DIV/0!</v>
      </c>
      <c r="G89" s="1" t="e">
        <f t="shared" si="16"/>
        <v>#DIV/0!</v>
      </c>
      <c r="H89" s="1" t="e">
        <f t="shared" si="16"/>
        <v>#DIV/0!</v>
      </c>
      <c r="I89" s="1" t="e">
        <f t="shared" si="16"/>
        <v>#DIV/0!</v>
      </c>
      <c r="J89" s="1" t="e">
        <f t="shared" ref="J89:AJ89" si="26">(J26-$B26)/$B$4</f>
        <v>#DIV/0!</v>
      </c>
      <c r="K89" s="1" t="e">
        <f t="shared" si="26"/>
        <v>#DIV/0!</v>
      </c>
      <c r="L89" s="1" t="e">
        <f t="shared" si="26"/>
        <v>#DIV/0!</v>
      </c>
      <c r="M89" s="1" t="e">
        <f t="shared" si="26"/>
        <v>#DIV/0!</v>
      </c>
      <c r="N89" s="1" t="e">
        <f t="shared" si="26"/>
        <v>#DIV/0!</v>
      </c>
      <c r="O89" s="1" t="e">
        <f t="shared" si="26"/>
        <v>#DIV/0!</v>
      </c>
      <c r="P89" s="1" t="e">
        <f t="shared" si="26"/>
        <v>#DIV/0!</v>
      </c>
      <c r="Q89" s="1" t="e">
        <f t="shared" si="26"/>
        <v>#DIV/0!</v>
      </c>
      <c r="R89" s="1" t="e">
        <f t="shared" si="26"/>
        <v>#DIV/0!</v>
      </c>
      <c r="S89" s="1" t="e">
        <f t="shared" si="26"/>
        <v>#DIV/0!</v>
      </c>
      <c r="T89" s="1" t="e">
        <f t="shared" si="26"/>
        <v>#DIV/0!</v>
      </c>
      <c r="U89" s="1" t="e">
        <f t="shared" si="26"/>
        <v>#DIV/0!</v>
      </c>
      <c r="V89" s="1" t="e">
        <f t="shared" si="26"/>
        <v>#DIV/0!</v>
      </c>
      <c r="W89" s="1" t="e">
        <f t="shared" si="26"/>
        <v>#DIV/0!</v>
      </c>
      <c r="X89" s="1" t="e">
        <f t="shared" si="26"/>
        <v>#DIV/0!</v>
      </c>
      <c r="Y89" s="1" t="e">
        <f t="shared" si="26"/>
        <v>#DIV/0!</v>
      </c>
      <c r="Z89" s="1" t="e">
        <f t="shared" si="26"/>
        <v>#DIV/0!</v>
      </c>
      <c r="AA89" s="1" t="e">
        <f t="shared" si="26"/>
        <v>#DIV/0!</v>
      </c>
      <c r="AB89" s="1" t="e">
        <f t="shared" si="26"/>
        <v>#DIV/0!</v>
      </c>
      <c r="AC89" s="1" t="e">
        <f t="shared" si="26"/>
        <v>#DIV/0!</v>
      </c>
      <c r="AD89" s="1" t="e">
        <f t="shared" si="26"/>
        <v>#DIV/0!</v>
      </c>
      <c r="AE89" s="1" t="e">
        <f t="shared" si="26"/>
        <v>#DIV/0!</v>
      </c>
      <c r="AF89" s="1" t="e">
        <f t="shared" si="26"/>
        <v>#DIV/0!</v>
      </c>
      <c r="AG89" s="1" t="e">
        <f t="shared" si="26"/>
        <v>#DIV/0!</v>
      </c>
      <c r="AH89" s="1" t="e">
        <f t="shared" si="26"/>
        <v>#DIV/0!</v>
      </c>
      <c r="AI89" s="1" t="e">
        <f t="shared" si="26"/>
        <v>#DIV/0!</v>
      </c>
      <c r="AJ89" s="1" t="e">
        <f t="shared" si="26"/>
        <v>#DIV/0!</v>
      </c>
    </row>
    <row r="90" spans="1:36">
      <c r="A90" s="29">
        <f t="shared" si="4"/>
        <v>-30</v>
      </c>
      <c r="B90" s="74"/>
      <c r="C90" s="74"/>
      <c r="D90" s="74"/>
      <c r="E90" s="1" t="e">
        <f t="shared" ref="E90:I99" si="27">(E27-$B27)/$B$4</f>
        <v>#DIV/0!</v>
      </c>
      <c r="F90" s="1" t="e">
        <f t="shared" si="27"/>
        <v>#DIV/0!</v>
      </c>
      <c r="G90" s="1" t="e">
        <f t="shared" si="27"/>
        <v>#DIV/0!</v>
      </c>
      <c r="H90" s="1" t="e">
        <f t="shared" si="27"/>
        <v>#DIV/0!</v>
      </c>
      <c r="I90" s="1" t="e">
        <f t="shared" si="27"/>
        <v>#DIV/0!</v>
      </c>
      <c r="J90" s="1" t="e">
        <f t="shared" ref="J90:AJ90" si="28">(J27-$B27)/$B$4</f>
        <v>#DIV/0!</v>
      </c>
      <c r="K90" s="1" t="e">
        <f t="shared" si="28"/>
        <v>#DIV/0!</v>
      </c>
      <c r="L90" s="1" t="e">
        <f t="shared" si="28"/>
        <v>#DIV/0!</v>
      </c>
      <c r="M90" s="1" t="e">
        <f t="shared" si="28"/>
        <v>#DIV/0!</v>
      </c>
      <c r="N90" s="1" t="e">
        <f t="shared" si="28"/>
        <v>#DIV/0!</v>
      </c>
      <c r="O90" s="1" t="e">
        <f t="shared" si="28"/>
        <v>#DIV/0!</v>
      </c>
      <c r="P90" s="1" t="e">
        <f t="shared" si="28"/>
        <v>#DIV/0!</v>
      </c>
      <c r="Q90" s="1" t="e">
        <f t="shared" si="28"/>
        <v>#DIV/0!</v>
      </c>
      <c r="R90" s="1" t="e">
        <f t="shared" si="28"/>
        <v>#DIV/0!</v>
      </c>
      <c r="S90" s="1" t="e">
        <f t="shared" si="28"/>
        <v>#DIV/0!</v>
      </c>
      <c r="T90" s="1" t="e">
        <f t="shared" si="28"/>
        <v>#DIV/0!</v>
      </c>
      <c r="U90" s="1" t="e">
        <f t="shared" si="28"/>
        <v>#DIV/0!</v>
      </c>
      <c r="V90" s="1" t="e">
        <f t="shared" si="28"/>
        <v>#DIV/0!</v>
      </c>
      <c r="W90" s="1" t="e">
        <f t="shared" si="28"/>
        <v>#DIV/0!</v>
      </c>
      <c r="X90" s="1" t="e">
        <f t="shared" si="28"/>
        <v>#DIV/0!</v>
      </c>
      <c r="Y90" s="1" t="e">
        <f t="shared" si="28"/>
        <v>#DIV/0!</v>
      </c>
      <c r="Z90" s="1" t="e">
        <f t="shared" si="28"/>
        <v>#DIV/0!</v>
      </c>
      <c r="AA90" s="1" t="e">
        <f t="shared" si="28"/>
        <v>#DIV/0!</v>
      </c>
      <c r="AB90" s="1" t="e">
        <f t="shared" si="28"/>
        <v>#DIV/0!</v>
      </c>
      <c r="AC90" s="1" t="e">
        <f t="shared" si="28"/>
        <v>#DIV/0!</v>
      </c>
      <c r="AD90" s="1" t="e">
        <f t="shared" si="28"/>
        <v>#DIV/0!</v>
      </c>
      <c r="AE90" s="1" t="e">
        <f t="shared" si="28"/>
        <v>#DIV/0!</v>
      </c>
      <c r="AF90" s="1" t="e">
        <f t="shared" si="28"/>
        <v>#DIV/0!</v>
      </c>
      <c r="AG90" s="1" t="e">
        <f t="shared" si="28"/>
        <v>#DIV/0!</v>
      </c>
      <c r="AH90" s="1" t="e">
        <f t="shared" si="28"/>
        <v>#DIV/0!</v>
      </c>
      <c r="AI90" s="1" t="e">
        <f t="shared" si="28"/>
        <v>#DIV/0!</v>
      </c>
      <c r="AJ90" s="1" t="e">
        <f t="shared" si="28"/>
        <v>#DIV/0!</v>
      </c>
    </row>
    <row r="91" spans="1:36">
      <c r="A91" s="29">
        <f t="shared" si="4"/>
        <v>-27</v>
      </c>
      <c r="B91" s="74"/>
      <c r="C91" s="74"/>
      <c r="D91" s="74"/>
      <c r="E91" s="1" t="e">
        <f t="shared" si="27"/>
        <v>#DIV/0!</v>
      </c>
      <c r="F91" s="1" t="e">
        <f t="shared" si="27"/>
        <v>#DIV/0!</v>
      </c>
      <c r="G91" s="1" t="e">
        <f t="shared" si="27"/>
        <v>#DIV/0!</v>
      </c>
      <c r="H91" s="1" t="e">
        <f t="shared" si="27"/>
        <v>#DIV/0!</v>
      </c>
      <c r="I91" s="1" t="e">
        <f t="shared" si="27"/>
        <v>#DIV/0!</v>
      </c>
      <c r="J91" s="1" t="e">
        <f t="shared" ref="J91:AJ91" si="29">(J28-$B28)/$B$4</f>
        <v>#DIV/0!</v>
      </c>
      <c r="K91" s="1" t="e">
        <f t="shared" si="29"/>
        <v>#DIV/0!</v>
      </c>
      <c r="L91" s="1" t="e">
        <f t="shared" si="29"/>
        <v>#DIV/0!</v>
      </c>
      <c r="M91" s="1" t="e">
        <f t="shared" si="29"/>
        <v>#DIV/0!</v>
      </c>
      <c r="N91" s="1" t="e">
        <f t="shared" si="29"/>
        <v>#DIV/0!</v>
      </c>
      <c r="O91" s="1" t="e">
        <f t="shared" si="29"/>
        <v>#DIV/0!</v>
      </c>
      <c r="P91" s="1" t="e">
        <f t="shared" si="29"/>
        <v>#DIV/0!</v>
      </c>
      <c r="Q91" s="1" t="e">
        <f t="shared" si="29"/>
        <v>#DIV/0!</v>
      </c>
      <c r="R91" s="1" t="e">
        <f t="shared" si="29"/>
        <v>#DIV/0!</v>
      </c>
      <c r="S91" s="1" t="e">
        <f t="shared" si="29"/>
        <v>#DIV/0!</v>
      </c>
      <c r="T91" s="1" t="e">
        <f t="shared" si="29"/>
        <v>#DIV/0!</v>
      </c>
      <c r="U91" s="1" t="e">
        <f t="shared" si="29"/>
        <v>#DIV/0!</v>
      </c>
      <c r="V91" s="1" t="e">
        <f t="shared" si="29"/>
        <v>#DIV/0!</v>
      </c>
      <c r="W91" s="1" t="e">
        <f t="shared" si="29"/>
        <v>#DIV/0!</v>
      </c>
      <c r="X91" s="1" t="e">
        <f t="shared" si="29"/>
        <v>#DIV/0!</v>
      </c>
      <c r="Y91" s="1" t="e">
        <f t="shared" si="29"/>
        <v>#DIV/0!</v>
      </c>
      <c r="Z91" s="1" t="e">
        <f t="shared" si="29"/>
        <v>#DIV/0!</v>
      </c>
      <c r="AA91" s="1" t="e">
        <f t="shared" si="29"/>
        <v>#DIV/0!</v>
      </c>
      <c r="AB91" s="1" t="e">
        <f t="shared" si="29"/>
        <v>#DIV/0!</v>
      </c>
      <c r="AC91" s="1" t="e">
        <f t="shared" si="29"/>
        <v>#DIV/0!</v>
      </c>
      <c r="AD91" s="1" t="e">
        <f t="shared" si="29"/>
        <v>#DIV/0!</v>
      </c>
      <c r="AE91" s="1" t="e">
        <f t="shared" si="29"/>
        <v>#DIV/0!</v>
      </c>
      <c r="AF91" s="1" t="e">
        <f t="shared" si="29"/>
        <v>#DIV/0!</v>
      </c>
      <c r="AG91" s="1" t="e">
        <f t="shared" si="29"/>
        <v>#DIV/0!</v>
      </c>
      <c r="AH91" s="1" t="e">
        <f t="shared" si="29"/>
        <v>#DIV/0!</v>
      </c>
      <c r="AI91" s="1" t="e">
        <f t="shared" si="29"/>
        <v>#DIV/0!</v>
      </c>
      <c r="AJ91" s="1" t="e">
        <f t="shared" si="29"/>
        <v>#DIV/0!</v>
      </c>
    </row>
    <row r="92" spans="1:36">
      <c r="A92" s="29">
        <f t="shared" si="4"/>
        <v>-24</v>
      </c>
      <c r="B92" s="74"/>
      <c r="C92" s="74"/>
      <c r="D92" s="74"/>
      <c r="E92" s="1" t="e">
        <f t="shared" si="27"/>
        <v>#DIV/0!</v>
      </c>
      <c r="F92" s="1" t="e">
        <f t="shared" si="27"/>
        <v>#DIV/0!</v>
      </c>
      <c r="G92" s="1" t="e">
        <f t="shared" si="27"/>
        <v>#DIV/0!</v>
      </c>
      <c r="H92" s="1" t="e">
        <f t="shared" si="27"/>
        <v>#DIV/0!</v>
      </c>
      <c r="I92" s="1" t="e">
        <f t="shared" si="27"/>
        <v>#DIV/0!</v>
      </c>
      <c r="J92" s="1" t="e">
        <f t="shared" ref="J92:AJ92" si="30">(J29-$B29)/$B$4</f>
        <v>#DIV/0!</v>
      </c>
      <c r="K92" s="1" t="e">
        <f t="shared" si="30"/>
        <v>#DIV/0!</v>
      </c>
      <c r="L92" s="1" t="e">
        <f t="shared" si="30"/>
        <v>#DIV/0!</v>
      </c>
      <c r="M92" s="1" t="e">
        <f t="shared" si="30"/>
        <v>#DIV/0!</v>
      </c>
      <c r="N92" s="1" t="e">
        <f t="shared" si="30"/>
        <v>#DIV/0!</v>
      </c>
      <c r="O92" s="1" t="e">
        <f t="shared" si="30"/>
        <v>#DIV/0!</v>
      </c>
      <c r="P92" s="1" t="e">
        <f t="shared" si="30"/>
        <v>#DIV/0!</v>
      </c>
      <c r="Q92" s="1" t="e">
        <f t="shared" si="30"/>
        <v>#DIV/0!</v>
      </c>
      <c r="R92" s="1" t="e">
        <f t="shared" si="30"/>
        <v>#DIV/0!</v>
      </c>
      <c r="S92" s="1" t="e">
        <f t="shared" si="30"/>
        <v>#DIV/0!</v>
      </c>
      <c r="T92" s="1" t="e">
        <f t="shared" si="30"/>
        <v>#DIV/0!</v>
      </c>
      <c r="U92" s="1" t="e">
        <f t="shared" si="30"/>
        <v>#DIV/0!</v>
      </c>
      <c r="V92" s="1" t="e">
        <f t="shared" si="30"/>
        <v>#DIV/0!</v>
      </c>
      <c r="W92" s="1" t="e">
        <f t="shared" si="30"/>
        <v>#DIV/0!</v>
      </c>
      <c r="X92" s="1" t="e">
        <f t="shared" si="30"/>
        <v>#DIV/0!</v>
      </c>
      <c r="Y92" s="1" t="e">
        <f t="shared" si="30"/>
        <v>#DIV/0!</v>
      </c>
      <c r="Z92" s="1" t="e">
        <f t="shared" si="30"/>
        <v>#DIV/0!</v>
      </c>
      <c r="AA92" s="1" t="e">
        <f t="shared" si="30"/>
        <v>#DIV/0!</v>
      </c>
      <c r="AB92" s="1" t="e">
        <f t="shared" si="30"/>
        <v>#DIV/0!</v>
      </c>
      <c r="AC92" s="1" t="e">
        <f t="shared" si="30"/>
        <v>#DIV/0!</v>
      </c>
      <c r="AD92" s="1" t="e">
        <f t="shared" si="30"/>
        <v>#DIV/0!</v>
      </c>
      <c r="AE92" s="1" t="e">
        <f t="shared" si="30"/>
        <v>#DIV/0!</v>
      </c>
      <c r="AF92" s="1" t="e">
        <f t="shared" si="30"/>
        <v>#DIV/0!</v>
      </c>
      <c r="AG92" s="1" t="e">
        <f t="shared" si="30"/>
        <v>#DIV/0!</v>
      </c>
      <c r="AH92" s="1" t="e">
        <f t="shared" si="30"/>
        <v>#DIV/0!</v>
      </c>
      <c r="AI92" s="1" t="e">
        <f t="shared" si="30"/>
        <v>#DIV/0!</v>
      </c>
      <c r="AJ92" s="1" t="e">
        <f t="shared" si="30"/>
        <v>#DIV/0!</v>
      </c>
    </row>
    <row r="93" spans="1:36">
      <c r="A93" s="29">
        <f t="shared" si="4"/>
        <v>-21</v>
      </c>
      <c r="B93" s="74"/>
      <c r="C93" s="74"/>
      <c r="D93" s="74"/>
      <c r="E93" s="1" t="e">
        <f t="shared" si="27"/>
        <v>#DIV/0!</v>
      </c>
      <c r="F93" s="1" t="e">
        <f t="shared" si="27"/>
        <v>#DIV/0!</v>
      </c>
      <c r="G93" s="1" t="e">
        <f t="shared" si="27"/>
        <v>#DIV/0!</v>
      </c>
      <c r="H93" s="1" t="e">
        <f t="shared" si="27"/>
        <v>#DIV/0!</v>
      </c>
      <c r="I93" s="1" t="e">
        <f t="shared" si="27"/>
        <v>#DIV/0!</v>
      </c>
      <c r="J93" s="1" t="e">
        <f t="shared" ref="J93:AJ93" si="31">(J30-$B30)/$B$4</f>
        <v>#DIV/0!</v>
      </c>
      <c r="K93" s="1" t="e">
        <f t="shared" si="31"/>
        <v>#DIV/0!</v>
      </c>
      <c r="L93" s="1" t="e">
        <f t="shared" si="31"/>
        <v>#DIV/0!</v>
      </c>
      <c r="M93" s="1" t="e">
        <f t="shared" si="31"/>
        <v>#DIV/0!</v>
      </c>
      <c r="N93" s="1" t="e">
        <f t="shared" si="31"/>
        <v>#DIV/0!</v>
      </c>
      <c r="O93" s="1" t="e">
        <f t="shared" si="31"/>
        <v>#DIV/0!</v>
      </c>
      <c r="P93" s="1" t="e">
        <f t="shared" si="31"/>
        <v>#DIV/0!</v>
      </c>
      <c r="Q93" s="1" t="e">
        <f t="shared" si="31"/>
        <v>#DIV/0!</v>
      </c>
      <c r="R93" s="1" t="e">
        <f t="shared" si="31"/>
        <v>#DIV/0!</v>
      </c>
      <c r="S93" s="1" t="e">
        <f t="shared" si="31"/>
        <v>#DIV/0!</v>
      </c>
      <c r="T93" s="1" t="e">
        <f t="shared" si="31"/>
        <v>#DIV/0!</v>
      </c>
      <c r="U93" s="1" t="e">
        <f t="shared" si="31"/>
        <v>#DIV/0!</v>
      </c>
      <c r="V93" s="1" t="e">
        <f t="shared" si="31"/>
        <v>#DIV/0!</v>
      </c>
      <c r="W93" s="1" t="e">
        <f t="shared" si="31"/>
        <v>#DIV/0!</v>
      </c>
      <c r="X93" s="1" t="e">
        <f t="shared" si="31"/>
        <v>#DIV/0!</v>
      </c>
      <c r="Y93" s="1" t="e">
        <f t="shared" si="31"/>
        <v>#DIV/0!</v>
      </c>
      <c r="Z93" s="1" t="e">
        <f t="shared" si="31"/>
        <v>#DIV/0!</v>
      </c>
      <c r="AA93" s="1" t="e">
        <f t="shared" si="31"/>
        <v>#DIV/0!</v>
      </c>
      <c r="AB93" s="1" t="e">
        <f t="shared" si="31"/>
        <v>#DIV/0!</v>
      </c>
      <c r="AC93" s="1" t="e">
        <f t="shared" si="31"/>
        <v>#DIV/0!</v>
      </c>
      <c r="AD93" s="1" t="e">
        <f t="shared" si="31"/>
        <v>#DIV/0!</v>
      </c>
      <c r="AE93" s="1" t="e">
        <f t="shared" si="31"/>
        <v>#DIV/0!</v>
      </c>
      <c r="AF93" s="1" t="e">
        <f t="shared" si="31"/>
        <v>#DIV/0!</v>
      </c>
      <c r="AG93" s="1" t="e">
        <f t="shared" si="31"/>
        <v>#DIV/0!</v>
      </c>
      <c r="AH93" s="1" t="e">
        <f t="shared" si="31"/>
        <v>#DIV/0!</v>
      </c>
      <c r="AI93" s="1" t="e">
        <f t="shared" si="31"/>
        <v>#DIV/0!</v>
      </c>
      <c r="AJ93" s="1" t="e">
        <f t="shared" si="31"/>
        <v>#DIV/0!</v>
      </c>
    </row>
    <row r="94" spans="1:36">
      <c r="A94" s="29">
        <f t="shared" si="4"/>
        <v>-18</v>
      </c>
      <c r="B94" s="74"/>
      <c r="C94" s="74"/>
      <c r="D94" s="74"/>
      <c r="E94" s="1" t="e">
        <f t="shared" si="27"/>
        <v>#DIV/0!</v>
      </c>
      <c r="F94" s="1" t="e">
        <f t="shared" si="27"/>
        <v>#DIV/0!</v>
      </c>
      <c r="G94" s="1" t="e">
        <f t="shared" si="27"/>
        <v>#DIV/0!</v>
      </c>
      <c r="H94" s="1" t="e">
        <f t="shared" si="27"/>
        <v>#DIV/0!</v>
      </c>
      <c r="I94" s="1" t="e">
        <f t="shared" si="27"/>
        <v>#DIV/0!</v>
      </c>
      <c r="J94" s="1" t="e">
        <f t="shared" ref="J94:AJ94" si="32">(J31-$B31)/$B$4</f>
        <v>#DIV/0!</v>
      </c>
      <c r="K94" s="1" t="e">
        <f t="shared" si="32"/>
        <v>#DIV/0!</v>
      </c>
      <c r="L94" s="1" t="e">
        <f t="shared" si="32"/>
        <v>#DIV/0!</v>
      </c>
      <c r="M94" s="1" t="e">
        <f t="shared" si="32"/>
        <v>#DIV/0!</v>
      </c>
      <c r="N94" s="1" t="e">
        <f t="shared" si="32"/>
        <v>#DIV/0!</v>
      </c>
      <c r="O94" s="1" t="e">
        <f t="shared" si="32"/>
        <v>#DIV/0!</v>
      </c>
      <c r="P94" s="1" t="e">
        <f t="shared" si="32"/>
        <v>#DIV/0!</v>
      </c>
      <c r="Q94" s="1" t="e">
        <f t="shared" si="32"/>
        <v>#DIV/0!</v>
      </c>
      <c r="R94" s="1" t="e">
        <f t="shared" si="32"/>
        <v>#DIV/0!</v>
      </c>
      <c r="S94" s="1" t="e">
        <f t="shared" si="32"/>
        <v>#DIV/0!</v>
      </c>
      <c r="T94" s="1" t="e">
        <f t="shared" si="32"/>
        <v>#DIV/0!</v>
      </c>
      <c r="U94" s="1" t="e">
        <f t="shared" si="32"/>
        <v>#DIV/0!</v>
      </c>
      <c r="V94" s="1" t="e">
        <f t="shared" si="32"/>
        <v>#DIV/0!</v>
      </c>
      <c r="W94" s="1" t="e">
        <f t="shared" si="32"/>
        <v>#DIV/0!</v>
      </c>
      <c r="X94" s="1" t="e">
        <f t="shared" si="32"/>
        <v>#DIV/0!</v>
      </c>
      <c r="Y94" s="1" t="e">
        <f t="shared" si="32"/>
        <v>#DIV/0!</v>
      </c>
      <c r="Z94" s="1" t="e">
        <f t="shared" si="32"/>
        <v>#DIV/0!</v>
      </c>
      <c r="AA94" s="1" t="e">
        <f t="shared" si="32"/>
        <v>#DIV/0!</v>
      </c>
      <c r="AB94" s="1" t="e">
        <f t="shared" si="32"/>
        <v>#DIV/0!</v>
      </c>
      <c r="AC94" s="1" t="e">
        <f t="shared" si="32"/>
        <v>#DIV/0!</v>
      </c>
      <c r="AD94" s="1" t="e">
        <f t="shared" si="32"/>
        <v>#DIV/0!</v>
      </c>
      <c r="AE94" s="1" t="e">
        <f t="shared" si="32"/>
        <v>#DIV/0!</v>
      </c>
      <c r="AF94" s="1" t="e">
        <f t="shared" si="32"/>
        <v>#DIV/0!</v>
      </c>
      <c r="AG94" s="1" t="e">
        <f t="shared" si="32"/>
        <v>#DIV/0!</v>
      </c>
      <c r="AH94" s="1" t="e">
        <f t="shared" si="32"/>
        <v>#DIV/0!</v>
      </c>
      <c r="AI94" s="1" t="e">
        <f t="shared" si="32"/>
        <v>#DIV/0!</v>
      </c>
      <c r="AJ94" s="1" t="e">
        <f t="shared" si="32"/>
        <v>#DIV/0!</v>
      </c>
    </row>
    <row r="95" spans="1:36">
      <c r="A95" s="29">
        <f t="shared" si="4"/>
        <v>-15</v>
      </c>
      <c r="B95" s="74"/>
      <c r="C95" s="74"/>
      <c r="D95" s="74"/>
      <c r="E95" s="1" t="e">
        <f t="shared" si="27"/>
        <v>#DIV/0!</v>
      </c>
      <c r="F95" s="1" t="e">
        <f t="shared" si="27"/>
        <v>#DIV/0!</v>
      </c>
      <c r="G95" s="1" t="e">
        <f t="shared" si="27"/>
        <v>#DIV/0!</v>
      </c>
      <c r="H95" s="1" t="e">
        <f t="shared" si="27"/>
        <v>#DIV/0!</v>
      </c>
      <c r="I95" s="1" t="e">
        <f t="shared" si="27"/>
        <v>#DIV/0!</v>
      </c>
      <c r="J95" s="1" t="e">
        <f t="shared" ref="J95:AJ95" si="33">(J32-$B32)/$B$4</f>
        <v>#DIV/0!</v>
      </c>
      <c r="K95" s="1" t="e">
        <f t="shared" si="33"/>
        <v>#DIV/0!</v>
      </c>
      <c r="L95" s="1" t="e">
        <f t="shared" si="33"/>
        <v>#DIV/0!</v>
      </c>
      <c r="M95" s="1" t="e">
        <f t="shared" si="33"/>
        <v>#DIV/0!</v>
      </c>
      <c r="N95" s="1" t="e">
        <f t="shared" si="33"/>
        <v>#DIV/0!</v>
      </c>
      <c r="O95" s="1" t="e">
        <f t="shared" si="33"/>
        <v>#DIV/0!</v>
      </c>
      <c r="P95" s="1" t="e">
        <f t="shared" si="33"/>
        <v>#DIV/0!</v>
      </c>
      <c r="Q95" s="1" t="e">
        <f t="shared" si="33"/>
        <v>#DIV/0!</v>
      </c>
      <c r="R95" s="1" t="e">
        <f t="shared" si="33"/>
        <v>#DIV/0!</v>
      </c>
      <c r="S95" s="1" t="e">
        <f t="shared" si="33"/>
        <v>#DIV/0!</v>
      </c>
      <c r="T95" s="1" t="e">
        <f t="shared" si="33"/>
        <v>#DIV/0!</v>
      </c>
      <c r="U95" s="1" t="e">
        <f t="shared" si="33"/>
        <v>#DIV/0!</v>
      </c>
      <c r="V95" s="1" t="e">
        <f t="shared" si="33"/>
        <v>#DIV/0!</v>
      </c>
      <c r="W95" s="1" t="e">
        <f t="shared" si="33"/>
        <v>#DIV/0!</v>
      </c>
      <c r="X95" s="1" t="e">
        <f t="shared" si="33"/>
        <v>#DIV/0!</v>
      </c>
      <c r="Y95" s="1" t="e">
        <f t="shared" si="33"/>
        <v>#DIV/0!</v>
      </c>
      <c r="Z95" s="1" t="e">
        <f t="shared" si="33"/>
        <v>#DIV/0!</v>
      </c>
      <c r="AA95" s="1" t="e">
        <f t="shared" si="33"/>
        <v>#DIV/0!</v>
      </c>
      <c r="AB95" s="1" t="e">
        <f t="shared" si="33"/>
        <v>#DIV/0!</v>
      </c>
      <c r="AC95" s="1" t="e">
        <f t="shared" si="33"/>
        <v>#DIV/0!</v>
      </c>
      <c r="AD95" s="1" t="e">
        <f t="shared" si="33"/>
        <v>#DIV/0!</v>
      </c>
      <c r="AE95" s="1" t="e">
        <f t="shared" si="33"/>
        <v>#DIV/0!</v>
      </c>
      <c r="AF95" s="1" t="e">
        <f t="shared" si="33"/>
        <v>#DIV/0!</v>
      </c>
      <c r="AG95" s="1" t="e">
        <f t="shared" si="33"/>
        <v>#DIV/0!</v>
      </c>
      <c r="AH95" s="1" t="e">
        <f t="shared" si="33"/>
        <v>#DIV/0!</v>
      </c>
      <c r="AI95" s="1" t="e">
        <f t="shared" si="33"/>
        <v>#DIV/0!</v>
      </c>
      <c r="AJ95" s="1" t="e">
        <f t="shared" si="33"/>
        <v>#DIV/0!</v>
      </c>
    </row>
    <row r="96" spans="1:36">
      <c r="A96" s="29">
        <f t="shared" si="4"/>
        <v>-12</v>
      </c>
      <c r="B96" s="74"/>
      <c r="C96" s="74"/>
      <c r="D96" s="74"/>
      <c r="E96" s="1" t="e">
        <f t="shared" si="27"/>
        <v>#DIV/0!</v>
      </c>
      <c r="F96" s="1" t="e">
        <f t="shared" si="27"/>
        <v>#DIV/0!</v>
      </c>
      <c r="G96" s="1" t="e">
        <f t="shared" si="27"/>
        <v>#DIV/0!</v>
      </c>
      <c r="H96" s="1" t="e">
        <f t="shared" si="27"/>
        <v>#DIV/0!</v>
      </c>
      <c r="I96" s="1" t="e">
        <f t="shared" si="27"/>
        <v>#DIV/0!</v>
      </c>
      <c r="J96" s="1" t="e">
        <f t="shared" ref="J96:AJ96" si="34">(J33-$B33)/$B$4</f>
        <v>#DIV/0!</v>
      </c>
      <c r="K96" s="1" t="e">
        <f t="shared" si="34"/>
        <v>#DIV/0!</v>
      </c>
      <c r="L96" s="1" t="e">
        <f t="shared" si="34"/>
        <v>#DIV/0!</v>
      </c>
      <c r="M96" s="1" t="e">
        <f t="shared" si="34"/>
        <v>#DIV/0!</v>
      </c>
      <c r="N96" s="1" t="e">
        <f t="shared" si="34"/>
        <v>#DIV/0!</v>
      </c>
      <c r="O96" s="1" t="e">
        <f t="shared" si="34"/>
        <v>#DIV/0!</v>
      </c>
      <c r="P96" s="1" t="e">
        <f t="shared" si="34"/>
        <v>#DIV/0!</v>
      </c>
      <c r="Q96" s="1" t="e">
        <f t="shared" si="34"/>
        <v>#DIV/0!</v>
      </c>
      <c r="R96" s="1" t="e">
        <f t="shared" si="34"/>
        <v>#DIV/0!</v>
      </c>
      <c r="S96" s="1" t="e">
        <f t="shared" si="34"/>
        <v>#DIV/0!</v>
      </c>
      <c r="T96" s="1" t="e">
        <f t="shared" si="34"/>
        <v>#DIV/0!</v>
      </c>
      <c r="U96" s="1" t="e">
        <f t="shared" si="34"/>
        <v>#DIV/0!</v>
      </c>
      <c r="V96" s="1" t="e">
        <f t="shared" si="34"/>
        <v>#DIV/0!</v>
      </c>
      <c r="W96" s="1" t="e">
        <f t="shared" si="34"/>
        <v>#DIV/0!</v>
      </c>
      <c r="X96" s="1" t="e">
        <f t="shared" si="34"/>
        <v>#DIV/0!</v>
      </c>
      <c r="Y96" s="1" t="e">
        <f t="shared" si="34"/>
        <v>#DIV/0!</v>
      </c>
      <c r="Z96" s="1" t="e">
        <f t="shared" si="34"/>
        <v>#DIV/0!</v>
      </c>
      <c r="AA96" s="1" t="e">
        <f t="shared" si="34"/>
        <v>#DIV/0!</v>
      </c>
      <c r="AB96" s="1" t="e">
        <f t="shared" si="34"/>
        <v>#DIV/0!</v>
      </c>
      <c r="AC96" s="1" t="e">
        <f t="shared" si="34"/>
        <v>#DIV/0!</v>
      </c>
      <c r="AD96" s="1" t="e">
        <f t="shared" si="34"/>
        <v>#DIV/0!</v>
      </c>
      <c r="AE96" s="1" t="e">
        <f t="shared" si="34"/>
        <v>#DIV/0!</v>
      </c>
      <c r="AF96" s="1" t="e">
        <f t="shared" si="34"/>
        <v>#DIV/0!</v>
      </c>
      <c r="AG96" s="1" t="e">
        <f t="shared" si="34"/>
        <v>#DIV/0!</v>
      </c>
      <c r="AH96" s="1" t="e">
        <f t="shared" si="34"/>
        <v>#DIV/0!</v>
      </c>
      <c r="AI96" s="1" t="e">
        <f t="shared" si="34"/>
        <v>#DIV/0!</v>
      </c>
      <c r="AJ96" s="1" t="e">
        <f t="shared" si="34"/>
        <v>#DIV/0!</v>
      </c>
    </row>
    <row r="97" spans="1:36">
      <c r="A97" s="29">
        <f t="shared" si="4"/>
        <v>-9</v>
      </c>
      <c r="B97" s="74"/>
      <c r="C97" s="74"/>
      <c r="D97" s="74"/>
      <c r="E97" s="1" t="e">
        <f t="shared" si="27"/>
        <v>#DIV/0!</v>
      </c>
      <c r="F97" s="1" t="e">
        <f t="shared" si="27"/>
        <v>#DIV/0!</v>
      </c>
      <c r="G97" s="1" t="e">
        <f t="shared" si="27"/>
        <v>#DIV/0!</v>
      </c>
      <c r="H97" s="1" t="e">
        <f t="shared" si="27"/>
        <v>#DIV/0!</v>
      </c>
      <c r="I97" s="1" t="e">
        <f t="shared" si="27"/>
        <v>#DIV/0!</v>
      </c>
      <c r="J97" s="1" t="e">
        <f t="shared" ref="J97:AJ97" si="35">(J34-$B34)/$B$4</f>
        <v>#DIV/0!</v>
      </c>
      <c r="K97" s="1" t="e">
        <f t="shared" si="35"/>
        <v>#DIV/0!</v>
      </c>
      <c r="L97" s="1" t="e">
        <f t="shared" si="35"/>
        <v>#DIV/0!</v>
      </c>
      <c r="M97" s="1" t="e">
        <f t="shared" si="35"/>
        <v>#DIV/0!</v>
      </c>
      <c r="N97" s="1" t="e">
        <f t="shared" si="35"/>
        <v>#DIV/0!</v>
      </c>
      <c r="O97" s="1" t="e">
        <f t="shared" si="35"/>
        <v>#DIV/0!</v>
      </c>
      <c r="P97" s="1" t="e">
        <f t="shared" si="35"/>
        <v>#DIV/0!</v>
      </c>
      <c r="Q97" s="1" t="e">
        <f t="shared" si="35"/>
        <v>#DIV/0!</v>
      </c>
      <c r="R97" s="1" t="e">
        <f t="shared" si="35"/>
        <v>#DIV/0!</v>
      </c>
      <c r="S97" s="1" t="e">
        <f t="shared" si="35"/>
        <v>#DIV/0!</v>
      </c>
      <c r="T97" s="1" t="e">
        <f t="shared" si="35"/>
        <v>#DIV/0!</v>
      </c>
      <c r="U97" s="1" t="e">
        <f t="shared" si="35"/>
        <v>#DIV/0!</v>
      </c>
      <c r="V97" s="1" t="e">
        <f t="shared" si="35"/>
        <v>#DIV/0!</v>
      </c>
      <c r="W97" s="1" t="e">
        <f t="shared" si="35"/>
        <v>#DIV/0!</v>
      </c>
      <c r="X97" s="1" t="e">
        <f t="shared" si="35"/>
        <v>#DIV/0!</v>
      </c>
      <c r="Y97" s="1" t="e">
        <f t="shared" si="35"/>
        <v>#DIV/0!</v>
      </c>
      <c r="Z97" s="1" t="e">
        <f t="shared" si="35"/>
        <v>#DIV/0!</v>
      </c>
      <c r="AA97" s="1" t="e">
        <f t="shared" si="35"/>
        <v>#DIV/0!</v>
      </c>
      <c r="AB97" s="1" t="e">
        <f t="shared" si="35"/>
        <v>#DIV/0!</v>
      </c>
      <c r="AC97" s="1" t="e">
        <f t="shared" si="35"/>
        <v>#DIV/0!</v>
      </c>
      <c r="AD97" s="1" t="e">
        <f t="shared" si="35"/>
        <v>#DIV/0!</v>
      </c>
      <c r="AE97" s="1" t="e">
        <f t="shared" si="35"/>
        <v>#DIV/0!</v>
      </c>
      <c r="AF97" s="1" t="e">
        <f t="shared" si="35"/>
        <v>#DIV/0!</v>
      </c>
      <c r="AG97" s="1" t="e">
        <f t="shared" si="35"/>
        <v>#DIV/0!</v>
      </c>
      <c r="AH97" s="1" t="e">
        <f t="shared" si="35"/>
        <v>#DIV/0!</v>
      </c>
      <c r="AI97" s="1" t="e">
        <f t="shared" si="35"/>
        <v>#DIV/0!</v>
      </c>
      <c r="AJ97" s="1" t="e">
        <f t="shared" si="35"/>
        <v>#DIV/0!</v>
      </c>
    </row>
    <row r="98" spans="1:36">
      <c r="A98" s="29">
        <f t="shared" si="4"/>
        <v>-6</v>
      </c>
      <c r="B98" s="74"/>
      <c r="C98" s="74"/>
      <c r="D98" s="74"/>
      <c r="E98" s="1" t="e">
        <f t="shared" si="27"/>
        <v>#DIV/0!</v>
      </c>
      <c r="F98" s="1" t="e">
        <f t="shared" si="27"/>
        <v>#DIV/0!</v>
      </c>
      <c r="G98" s="1" t="e">
        <f t="shared" si="27"/>
        <v>#DIV/0!</v>
      </c>
      <c r="H98" s="1" t="e">
        <f t="shared" si="27"/>
        <v>#DIV/0!</v>
      </c>
      <c r="I98" s="1" t="e">
        <f t="shared" si="27"/>
        <v>#DIV/0!</v>
      </c>
      <c r="J98" s="1" t="e">
        <f t="shared" ref="J98:AJ98" si="36">(J35-$B35)/$B$4</f>
        <v>#DIV/0!</v>
      </c>
      <c r="K98" s="1" t="e">
        <f t="shared" si="36"/>
        <v>#DIV/0!</v>
      </c>
      <c r="L98" s="1" t="e">
        <f t="shared" si="36"/>
        <v>#DIV/0!</v>
      </c>
      <c r="M98" s="1" t="e">
        <f t="shared" si="36"/>
        <v>#DIV/0!</v>
      </c>
      <c r="N98" s="1" t="e">
        <f t="shared" si="36"/>
        <v>#DIV/0!</v>
      </c>
      <c r="O98" s="1" t="e">
        <f t="shared" si="36"/>
        <v>#DIV/0!</v>
      </c>
      <c r="P98" s="1" t="e">
        <f t="shared" si="36"/>
        <v>#DIV/0!</v>
      </c>
      <c r="Q98" s="1" t="e">
        <f t="shared" si="36"/>
        <v>#DIV/0!</v>
      </c>
      <c r="R98" s="1" t="e">
        <f t="shared" si="36"/>
        <v>#DIV/0!</v>
      </c>
      <c r="S98" s="1" t="e">
        <f t="shared" si="36"/>
        <v>#DIV/0!</v>
      </c>
      <c r="T98" s="1" t="e">
        <f t="shared" si="36"/>
        <v>#DIV/0!</v>
      </c>
      <c r="U98" s="1" t="e">
        <f t="shared" si="36"/>
        <v>#DIV/0!</v>
      </c>
      <c r="V98" s="1" t="e">
        <f t="shared" si="36"/>
        <v>#DIV/0!</v>
      </c>
      <c r="W98" s="1" t="e">
        <f t="shared" si="36"/>
        <v>#DIV/0!</v>
      </c>
      <c r="X98" s="1" t="e">
        <f t="shared" si="36"/>
        <v>#DIV/0!</v>
      </c>
      <c r="Y98" s="1" t="e">
        <f t="shared" si="36"/>
        <v>#DIV/0!</v>
      </c>
      <c r="Z98" s="1" t="e">
        <f t="shared" si="36"/>
        <v>#DIV/0!</v>
      </c>
      <c r="AA98" s="1" t="e">
        <f t="shared" si="36"/>
        <v>#DIV/0!</v>
      </c>
      <c r="AB98" s="1" t="e">
        <f t="shared" si="36"/>
        <v>#DIV/0!</v>
      </c>
      <c r="AC98" s="1" t="e">
        <f t="shared" si="36"/>
        <v>#DIV/0!</v>
      </c>
      <c r="AD98" s="1" t="e">
        <f t="shared" si="36"/>
        <v>#DIV/0!</v>
      </c>
      <c r="AE98" s="1" t="e">
        <f t="shared" si="36"/>
        <v>#DIV/0!</v>
      </c>
      <c r="AF98" s="1" t="e">
        <f t="shared" si="36"/>
        <v>#DIV/0!</v>
      </c>
      <c r="AG98" s="1" t="e">
        <f t="shared" si="36"/>
        <v>#DIV/0!</v>
      </c>
      <c r="AH98" s="1" t="e">
        <f t="shared" si="36"/>
        <v>#DIV/0!</v>
      </c>
      <c r="AI98" s="1" t="e">
        <f t="shared" si="36"/>
        <v>#DIV/0!</v>
      </c>
      <c r="AJ98" s="1" t="e">
        <f t="shared" si="36"/>
        <v>#DIV/0!</v>
      </c>
    </row>
    <row r="99" spans="1:36">
      <c r="A99" s="29">
        <f t="shared" si="4"/>
        <v>-3</v>
      </c>
      <c r="B99" s="74"/>
      <c r="C99" s="74"/>
      <c r="D99" s="74"/>
      <c r="E99" s="1" t="e">
        <f t="shared" si="27"/>
        <v>#DIV/0!</v>
      </c>
      <c r="F99" s="1" t="e">
        <f t="shared" si="27"/>
        <v>#DIV/0!</v>
      </c>
      <c r="G99" s="1" t="e">
        <f t="shared" si="27"/>
        <v>#DIV/0!</v>
      </c>
      <c r="H99" s="1" t="e">
        <f t="shared" si="27"/>
        <v>#DIV/0!</v>
      </c>
      <c r="I99" s="1" t="e">
        <f t="shared" si="27"/>
        <v>#DIV/0!</v>
      </c>
      <c r="J99" s="1" t="e">
        <f t="shared" ref="J99:AJ99" si="37">(J36-$B36)/$B$4</f>
        <v>#DIV/0!</v>
      </c>
      <c r="K99" s="1" t="e">
        <f t="shared" si="37"/>
        <v>#DIV/0!</v>
      </c>
      <c r="L99" s="1" t="e">
        <f t="shared" si="37"/>
        <v>#DIV/0!</v>
      </c>
      <c r="M99" s="1" t="e">
        <f t="shared" si="37"/>
        <v>#DIV/0!</v>
      </c>
      <c r="N99" s="1" t="e">
        <f t="shared" si="37"/>
        <v>#DIV/0!</v>
      </c>
      <c r="O99" s="1" t="e">
        <f t="shared" si="37"/>
        <v>#DIV/0!</v>
      </c>
      <c r="P99" s="1" t="e">
        <f t="shared" si="37"/>
        <v>#DIV/0!</v>
      </c>
      <c r="Q99" s="1" t="e">
        <f t="shared" si="37"/>
        <v>#DIV/0!</v>
      </c>
      <c r="R99" s="1" t="e">
        <f t="shared" si="37"/>
        <v>#DIV/0!</v>
      </c>
      <c r="S99" s="1" t="e">
        <f t="shared" si="37"/>
        <v>#DIV/0!</v>
      </c>
      <c r="T99" s="1" t="e">
        <f t="shared" si="37"/>
        <v>#DIV/0!</v>
      </c>
      <c r="U99" s="1" t="e">
        <f t="shared" si="37"/>
        <v>#DIV/0!</v>
      </c>
      <c r="V99" s="1" t="e">
        <f t="shared" si="37"/>
        <v>#DIV/0!</v>
      </c>
      <c r="W99" s="1" t="e">
        <f t="shared" si="37"/>
        <v>#DIV/0!</v>
      </c>
      <c r="X99" s="1" t="e">
        <f t="shared" si="37"/>
        <v>#DIV/0!</v>
      </c>
      <c r="Y99" s="1" t="e">
        <f t="shared" si="37"/>
        <v>#DIV/0!</v>
      </c>
      <c r="Z99" s="1" t="e">
        <f t="shared" si="37"/>
        <v>#DIV/0!</v>
      </c>
      <c r="AA99" s="1" t="e">
        <f t="shared" si="37"/>
        <v>#DIV/0!</v>
      </c>
      <c r="AB99" s="1" t="e">
        <f t="shared" si="37"/>
        <v>#DIV/0!</v>
      </c>
      <c r="AC99" s="1" t="e">
        <f t="shared" si="37"/>
        <v>#DIV/0!</v>
      </c>
      <c r="AD99" s="1" t="e">
        <f t="shared" si="37"/>
        <v>#DIV/0!</v>
      </c>
      <c r="AE99" s="1" t="e">
        <f t="shared" si="37"/>
        <v>#DIV/0!</v>
      </c>
      <c r="AF99" s="1" t="e">
        <f t="shared" si="37"/>
        <v>#DIV/0!</v>
      </c>
      <c r="AG99" s="1" t="e">
        <f t="shared" si="37"/>
        <v>#DIV/0!</v>
      </c>
      <c r="AH99" s="1" t="e">
        <f t="shared" si="37"/>
        <v>#DIV/0!</v>
      </c>
      <c r="AI99" s="1" t="e">
        <f t="shared" si="37"/>
        <v>#DIV/0!</v>
      </c>
      <c r="AJ99" s="1" t="e">
        <f t="shared" si="37"/>
        <v>#DIV/0!</v>
      </c>
    </row>
    <row r="100" spans="1:36">
      <c r="A100" s="29">
        <f t="shared" si="4"/>
        <v>0</v>
      </c>
      <c r="B100" s="74"/>
      <c r="C100" s="74"/>
      <c r="D100" s="74"/>
      <c r="E100" s="1" t="e">
        <f t="shared" ref="E100:I109" si="38">(E37-$B37)/$B$4</f>
        <v>#DIV/0!</v>
      </c>
      <c r="F100" s="1" t="e">
        <f t="shared" si="38"/>
        <v>#DIV/0!</v>
      </c>
      <c r="G100" s="1" t="e">
        <f t="shared" si="38"/>
        <v>#DIV/0!</v>
      </c>
      <c r="H100" s="1" t="e">
        <f t="shared" si="38"/>
        <v>#DIV/0!</v>
      </c>
      <c r="I100" s="1" t="e">
        <f t="shared" si="38"/>
        <v>#DIV/0!</v>
      </c>
      <c r="J100" s="1" t="e">
        <f t="shared" ref="J100:AJ100" si="39">(J37-$B37)/$B$4</f>
        <v>#DIV/0!</v>
      </c>
      <c r="K100" s="1" t="e">
        <f t="shared" si="39"/>
        <v>#DIV/0!</v>
      </c>
      <c r="L100" s="1" t="e">
        <f t="shared" si="39"/>
        <v>#DIV/0!</v>
      </c>
      <c r="M100" s="1" t="e">
        <f t="shared" si="39"/>
        <v>#DIV/0!</v>
      </c>
      <c r="N100" s="1" t="e">
        <f t="shared" si="39"/>
        <v>#DIV/0!</v>
      </c>
      <c r="O100" s="1" t="e">
        <f t="shared" si="39"/>
        <v>#DIV/0!</v>
      </c>
      <c r="P100" s="1" t="e">
        <f t="shared" si="39"/>
        <v>#DIV/0!</v>
      </c>
      <c r="Q100" s="1" t="e">
        <f t="shared" si="39"/>
        <v>#DIV/0!</v>
      </c>
      <c r="R100" s="1" t="e">
        <f t="shared" si="39"/>
        <v>#DIV/0!</v>
      </c>
      <c r="S100" s="1" t="e">
        <f t="shared" si="39"/>
        <v>#DIV/0!</v>
      </c>
      <c r="T100" s="1" t="e">
        <f t="shared" si="39"/>
        <v>#DIV/0!</v>
      </c>
      <c r="U100" s="1" t="e">
        <f t="shared" si="39"/>
        <v>#DIV/0!</v>
      </c>
      <c r="V100" s="1" t="e">
        <f t="shared" si="39"/>
        <v>#DIV/0!</v>
      </c>
      <c r="W100" s="1" t="e">
        <f t="shared" si="39"/>
        <v>#DIV/0!</v>
      </c>
      <c r="X100" s="1" t="e">
        <f t="shared" si="39"/>
        <v>#DIV/0!</v>
      </c>
      <c r="Y100" s="1" t="e">
        <f t="shared" si="39"/>
        <v>#DIV/0!</v>
      </c>
      <c r="Z100" s="1" t="e">
        <f t="shared" si="39"/>
        <v>#DIV/0!</v>
      </c>
      <c r="AA100" s="1" t="e">
        <f t="shared" si="39"/>
        <v>#DIV/0!</v>
      </c>
      <c r="AB100" s="1" t="e">
        <f t="shared" si="39"/>
        <v>#DIV/0!</v>
      </c>
      <c r="AC100" s="1" t="e">
        <f t="shared" si="39"/>
        <v>#DIV/0!</v>
      </c>
      <c r="AD100" s="1" t="e">
        <f t="shared" si="39"/>
        <v>#DIV/0!</v>
      </c>
      <c r="AE100" s="1" t="e">
        <f t="shared" si="39"/>
        <v>#DIV/0!</v>
      </c>
      <c r="AF100" s="1" t="e">
        <f t="shared" si="39"/>
        <v>#DIV/0!</v>
      </c>
      <c r="AG100" s="1" t="e">
        <f t="shared" si="39"/>
        <v>#DIV/0!</v>
      </c>
      <c r="AH100" s="1" t="e">
        <f t="shared" si="39"/>
        <v>#DIV/0!</v>
      </c>
      <c r="AI100" s="1" t="e">
        <f t="shared" si="39"/>
        <v>#DIV/0!</v>
      </c>
      <c r="AJ100" s="1" t="e">
        <f t="shared" si="39"/>
        <v>#DIV/0!</v>
      </c>
    </row>
    <row r="101" spans="1:36">
      <c r="A101" s="29">
        <f t="shared" si="4"/>
        <v>3</v>
      </c>
      <c r="B101" s="74"/>
      <c r="C101" s="74"/>
      <c r="D101" s="74"/>
      <c r="E101" s="1" t="e">
        <f t="shared" si="38"/>
        <v>#DIV/0!</v>
      </c>
      <c r="F101" s="1" t="e">
        <f t="shared" si="38"/>
        <v>#DIV/0!</v>
      </c>
      <c r="G101" s="1" t="e">
        <f t="shared" si="38"/>
        <v>#DIV/0!</v>
      </c>
      <c r="H101" s="1" t="e">
        <f t="shared" si="38"/>
        <v>#DIV/0!</v>
      </c>
      <c r="I101" s="1" t="e">
        <f t="shared" si="38"/>
        <v>#DIV/0!</v>
      </c>
      <c r="J101" s="1" t="e">
        <f t="shared" ref="J101:AJ101" si="40">(J38-$B38)/$B$4</f>
        <v>#DIV/0!</v>
      </c>
      <c r="K101" s="1" t="e">
        <f t="shared" si="40"/>
        <v>#DIV/0!</v>
      </c>
      <c r="L101" s="1" t="e">
        <f t="shared" si="40"/>
        <v>#DIV/0!</v>
      </c>
      <c r="M101" s="1" t="e">
        <f t="shared" si="40"/>
        <v>#DIV/0!</v>
      </c>
      <c r="N101" s="1" t="e">
        <f t="shared" si="40"/>
        <v>#DIV/0!</v>
      </c>
      <c r="O101" s="1" t="e">
        <f t="shared" si="40"/>
        <v>#DIV/0!</v>
      </c>
      <c r="P101" s="1" t="e">
        <f t="shared" si="40"/>
        <v>#DIV/0!</v>
      </c>
      <c r="Q101" s="1" t="e">
        <f t="shared" si="40"/>
        <v>#DIV/0!</v>
      </c>
      <c r="R101" s="1" t="e">
        <f t="shared" si="40"/>
        <v>#DIV/0!</v>
      </c>
      <c r="S101" s="1" t="e">
        <f t="shared" si="40"/>
        <v>#DIV/0!</v>
      </c>
      <c r="T101" s="1" t="e">
        <f t="shared" si="40"/>
        <v>#DIV/0!</v>
      </c>
      <c r="U101" s="1" t="e">
        <f t="shared" si="40"/>
        <v>#DIV/0!</v>
      </c>
      <c r="V101" s="1" t="e">
        <f t="shared" si="40"/>
        <v>#DIV/0!</v>
      </c>
      <c r="W101" s="1" t="e">
        <f t="shared" si="40"/>
        <v>#DIV/0!</v>
      </c>
      <c r="X101" s="1" t="e">
        <f t="shared" si="40"/>
        <v>#DIV/0!</v>
      </c>
      <c r="Y101" s="1" t="e">
        <f t="shared" si="40"/>
        <v>#DIV/0!</v>
      </c>
      <c r="Z101" s="1" t="e">
        <f t="shared" si="40"/>
        <v>#DIV/0!</v>
      </c>
      <c r="AA101" s="1" t="e">
        <f t="shared" si="40"/>
        <v>#DIV/0!</v>
      </c>
      <c r="AB101" s="1" t="e">
        <f t="shared" si="40"/>
        <v>#DIV/0!</v>
      </c>
      <c r="AC101" s="1" t="e">
        <f t="shared" si="40"/>
        <v>#DIV/0!</v>
      </c>
      <c r="AD101" s="1" t="e">
        <f t="shared" si="40"/>
        <v>#DIV/0!</v>
      </c>
      <c r="AE101" s="1" t="e">
        <f t="shared" si="40"/>
        <v>#DIV/0!</v>
      </c>
      <c r="AF101" s="1" t="e">
        <f t="shared" si="40"/>
        <v>#DIV/0!</v>
      </c>
      <c r="AG101" s="1" t="e">
        <f t="shared" si="40"/>
        <v>#DIV/0!</v>
      </c>
      <c r="AH101" s="1" t="e">
        <f t="shared" si="40"/>
        <v>#DIV/0!</v>
      </c>
      <c r="AI101" s="1" t="e">
        <f t="shared" si="40"/>
        <v>#DIV/0!</v>
      </c>
      <c r="AJ101" s="1" t="e">
        <f t="shared" si="40"/>
        <v>#DIV/0!</v>
      </c>
    </row>
    <row r="102" spans="1:36">
      <c r="A102" s="29">
        <f t="shared" ref="A102:A130" si="41">A39</f>
        <v>6</v>
      </c>
      <c r="B102" s="74"/>
      <c r="C102" s="74"/>
      <c r="D102" s="74"/>
      <c r="E102" s="1" t="e">
        <f t="shared" si="38"/>
        <v>#DIV/0!</v>
      </c>
      <c r="F102" s="1" t="e">
        <f t="shared" si="38"/>
        <v>#DIV/0!</v>
      </c>
      <c r="G102" s="1" t="e">
        <f t="shared" si="38"/>
        <v>#DIV/0!</v>
      </c>
      <c r="H102" s="1" t="e">
        <f t="shared" si="38"/>
        <v>#DIV/0!</v>
      </c>
      <c r="I102" s="1" t="e">
        <f t="shared" si="38"/>
        <v>#DIV/0!</v>
      </c>
      <c r="J102" s="1" t="e">
        <f t="shared" ref="J102:AJ102" si="42">(J39-$B39)/$B$4</f>
        <v>#DIV/0!</v>
      </c>
      <c r="K102" s="1" t="e">
        <f t="shared" si="42"/>
        <v>#DIV/0!</v>
      </c>
      <c r="L102" s="1" t="e">
        <f t="shared" si="42"/>
        <v>#DIV/0!</v>
      </c>
      <c r="M102" s="1" t="e">
        <f t="shared" si="42"/>
        <v>#DIV/0!</v>
      </c>
      <c r="N102" s="1" t="e">
        <f t="shared" si="42"/>
        <v>#DIV/0!</v>
      </c>
      <c r="O102" s="1" t="e">
        <f t="shared" si="42"/>
        <v>#DIV/0!</v>
      </c>
      <c r="P102" s="1" t="e">
        <f t="shared" si="42"/>
        <v>#DIV/0!</v>
      </c>
      <c r="Q102" s="1" t="e">
        <f t="shared" si="42"/>
        <v>#DIV/0!</v>
      </c>
      <c r="R102" s="1" t="e">
        <f t="shared" si="42"/>
        <v>#DIV/0!</v>
      </c>
      <c r="S102" s="1" t="e">
        <f t="shared" si="42"/>
        <v>#DIV/0!</v>
      </c>
      <c r="T102" s="1" t="e">
        <f t="shared" si="42"/>
        <v>#DIV/0!</v>
      </c>
      <c r="U102" s="1" t="e">
        <f t="shared" si="42"/>
        <v>#DIV/0!</v>
      </c>
      <c r="V102" s="1" t="e">
        <f t="shared" si="42"/>
        <v>#DIV/0!</v>
      </c>
      <c r="W102" s="1" t="e">
        <f t="shared" si="42"/>
        <v>#DIV/0!</v>
      </c>
      <c r="X102" s="1" t="e">
        <f t="shared" si="42"/>
        <v>#DIV/0!</v>
      </c>
      <c r="Y102" s="1" t="e">
        <f t="shared" si="42"/>
        <v>#DIV/0!</v>
      </c>
      <c r="Z102" s="1" t="e">
        <f t="shared" si="42"/>
        <v>#DIV/0!</v>
      </c>
      <c r="AA102" s="1" t="e">
        <f t="shared" si="42"/>
        <v>#DIV/0!</v>
      </c>
      <c r="AB102" s="1" t="e">
        <f t="shared" si="42"/>
        <v>#DIV/0!</v>
      </c>
      <c r="AC102" s="1" t="e">
        <f t="shared" si="42"/>
        <v>#DIV/0!</v>
      </c>
      <c r="AD102" s="1" t="e">
        <f t="shared" si="42"/>
        <v>#DIV/0!</v>
      </c>
      <c r="AE102" s="1" t="e">
        <f t="shared" si="42"/>
        <v>#DIV/0!</v>
      </c>
      <c r="AF102" s="1" t="e">
        <f t="shared" si="42"/>
        <v>#DIV/0!</v>
      </c>
      <c r="AG102" s="1" t="e">
        <f t="shared" si="42"/>
        <v>#DIV/0!</v>
      </c>
      <c r="AH102" s="1" t="e">
        <f t="shared" si="42"/>
        <v>#DIV/0!</v>
      </c>
      <c r="AI102" s="1" t="e">
        <f t="shared" si="42"/>
        <v>#DIV/0!</v>
      </c>
      <c r="AJ102" s="1" t="e">
        <f t="shared" si="42"/>
        <v>#DIV/0!</v>
      </c>
    </row>
    <row r="103" spans="1:36">
      <c r="A103" s="29">
        <f t="shared" si="41"/>
        <v>9</v>
      </c>
      <c r="B103" s="74"/>
      <c r="C103" s="74"/>
      <c r="D103" s="74"/>
      <c r="E103" s="1" t="e">
        <f t="shared" si="38"/>
        <v>#DIV/0!</v>
      </c>
      <c r="F103" s="1" t="e">
        <f t="shared" si="38"/>
        <v>#DIV/0!</v>
      </c>
      <c r="G103" s="1" t="e">
        <f t="shared" si="38"/>
        <v>#DIV/0!</v>
      </c>
      <c r="H103" s="1" t="e">
        <f t="shared" si="38"/>
        <v>#DIV/0!</v>
      </c>
      <c r="I103" s="1" t="e">
        <f t="shared" si="38"/>
        <v>#DIV/0!</v>
      </c>
      <c r="J103" s="1" t="e">
        <f t="shared" ref="J103:AJ103" si="43">(J40-$B40)/$B$4</f>
        <v>#DIV/0!</v>
      </c>
      <c r="K103" s="1" t="e">
        <f t="shared" si="43"/>
        <v>#DIV/0!</v>
      </c>
      <c r="L103" s="1" t="e">
        <f t="shared" si="43"/>
        <v>#DIV/0!</v>
      </c>
      <c r="M103" s="1" t="e">
        <f t="shared" si="43"/>
        <v>#DIV/0!</v>
      </c>
      <c r="N103" s="1" t="e">
        <f t="shared" si="43"/>
        <v>#DIV/0!</v>
      </c>
      <c r="O103" s="1" t="e">
        <f t="shared" si="43"/>
        <v>#DIV/0!</v>
      </c>
      <c r="P103" s="1" t="e">
        <f t="shared" si="43"/>
        <v>#DIV/0!</v>
      </c>
      <c r="Q103" s="1" t="e">
        <f t="shared" si="43"/>
        <v>#DIV/0!</v>
      </c>
      <c r="R103" s="1" t="e">
        <f t="shared" si="43"/>
        <v>#DIV/0!</v>
      </c>
      <c r="S103" s="1" t="e">
        <f t="shared" si="43"/>
        <v>#DIV/0!</v>
      </c>
      <c r="T103" s="1" t="e">
        <f t="shared" si="43"/>
        <v>#DIV/0!</v>
      </c>
      <c r="U103" s="1" t="e">
        <f t="shared" si="43"/>
        <v>#DIV/0!</v>
      </c>
      <c r="V103" s="1" t="e">
        <f t="shared" si="43"/>
        <v>#DIV/0!</v>
      </c>
      <c r="W103" s="1" t="e">
        <f t="shared" si="43"/>
        <v>#DIV/0!</v>
      </c>
      <c r="X103" s="1" t="e">
        <f t="shared" si="43"/>
        <v>#DIV/0!</v>
      </c>
      <c r="Y103" s="1" t="e">
        <f t="shared" si="43"/>
        <v>#DIV/0!</v>
      </c>
      <c r="Z103" s="1" t="e">
        <f t="shared" si="43"/>
        <v>#DIV/0!</v>
      </c>
      <c r="AA103" s="1" t="e">
        <f t="shared" si="43"/>
        <v>#DIV/0!</v>
      </c>
      <c r="AB103" s="1" t="e">
        <f t="shared" si="43"/>
        <v>#DIV/0!</v>
      </c>
      <c r="AC103" s="1" t="e">
        <f t="shared" si="43"/>
        <v>#DIV/0!</v>
      </c>
      <c r="AD103" s="1" t="e">
        <f t="shared" si="43"/>
        <v>#DIV/0!</v>
      </c>
      <c r="AE103" s="1" t="e">
        <f t="shared" si="43"/>
        <v>#DIV/0!</v>
      </c>
      <c r="AF103" s="1" t="e">
        <f t="shared" si="43"/>
        <v>#DIV/0!</v>
      </c>
      <c r="AG103" s="1" t="e">
        <f t="shared" si="43"/>
        <v>#DIV/0!</v>
      </c>
      <c r="AH103" s="1" t="e">
        <f t="shared" si="43"/>
        <v>#DIV/0!</v>
      </c>
      <c r="AI103" s="1" t="e">
        <f t="shared" si="43"/>
        <v>#DIV/0!</v>
      </c>
      <c r="AJ103" s="1" t="e">
        <f t="shared" si="43"/>
        <v>#DIV/0!</v>
      </c>
    </row>
    <row r="104" spans="1:36">
      <c r="A104" s="29">
        <f t="shared" si="41"/>
        <v>12</v>
      </c>
      <c r="B104" s="74"/>
      <c r="C104" s="74"/>
      <c r="D104" s="74"/>
      <c r="E104" s="1" t="e">
        <f t="shared" si="38"/>
        <v>#DIV/0!</v>
      </c>
      <c r="F104" s="1" t="e">
        <f t="shared" si="38"/>
        <v>#DIV/0!</v>
      </c>
      <c r="G104" s="1" t="e">
        <f t="shared" si="38"/>
        <v>#DIV/0!</v>
      </c>
      <c r="H104" s="1" t="e">
        <f t="shared" si="38"/>
        <v>#DIV/0!</v>
      </c>
      <c r="I104" s="1" t="e">
        <f t="shared" si="38"/>
        <v>#DIV/0!</v>
      </c>
      <c r="J104" s="1" t="e">
        <f t="shared" ref="J104:AJ104" si="44">(J41-$B41)/$B$4</f>
        <v>#DIV/0!</v>
      </c>
      <c r="K104" s="1" t="e">
        <f t="shared" si="44"/>
        <v>#DIV/0!</v>
      </c>
      <c r="L104" s="1" t="e">
        <f t="shared" si="44"/>
        <v>#DIV/0!</v>
      </c>
      <c r="M104" s="1" t="e">
        <f t="shared" si="44"/>
        <v>#DIV/0!</v>
      </c>
      <c r="N104" s="1" t="e">
        <f t="shared" si="44"/>
        <v>#DIV/0!</v>
      </c>
      <c r="O104" s="1" t="e">
        <f t="shared" si="44"/>
        <v>#DIV/0!</v>
      </c>
      <c r="P104" s="1" t="e">
        <f t="shared" si="44"/>
        <v>#DIV/0!</v>
      </c>
      <c r="Q104" s="1" t="e">
        <f t="shared" si="44"/>
        <v>#DIV/0!</v>
      </c>
      <c r="R104" s="1" t="e">
        <f t="shared" si="44"/>
        <v>#DIV/0!</v>
      </c>
      <c r="S104" s="1" t="e">
        <f t="shared" si="44"/>
        <v>#DIV/0!</v>
      </c>
      <c r="T104" s="1" t="e">
        <f t="shared" si="44"/>
        <v>#DIV/0!</v>
      </c>
      <c r="U104" s="1" t="e">
        <f t="shared" si="44"/>
        <v>#DIV/0!</v>
      </c>
      <c r="V104" s="1" t="e">
        <f t="shared" si="44"/>
        <v>#DIV/0!</v>
      </c>
      <c r="W104" s="1" t="e">
        <f t="shared" si="44"/>
        <v>#DIV/0!</v>
      </c>
      <c r="X104" s="1" t="e">
        <f t="shared" si="44"/>
        <v>#DIV/0!</v>
      </c>
      <c r="Y104" s="1" t="e">
        <f t="shared" si="44"/>
        <v>#DIV/0!</v>
      </c>
      <c r="Z104" s="1" t="e">
        <f t="shared" si="44"/>
        <v>#DIV/0!</v>
      </c>
      <c r="AA104" s="1" t="e">
        <f t="shared" si="44"/>
        <v>#DIV/0!</v>
      </c>
      <c r="AB104" s="1" t="e">
        <f t="shared" si="44"/>
        <v>#DIV/0!</v>
      </c>
      <c r="AC104" s="1" t="e">
        <f t="shared" si="44"/>
        <v>#DIV/0!</v>
      </c>
      <c r="AD104" s="1" t="e">
        <f t="shared" si="44"/>
        <v>#DIV/0!</v>
      </c>
      <c r="AE104" s="1" t="e">
        <f t="shared" si="44"/>
        <v>#DIV/0!</v>
      </c>
      <c r="AF104" s="1" t="e">
        <f t="shared" si="44"/>
        <v>#DIV/0!</v>
      </c>
      <c r="AG104" s="1" t="e">
        <f t="shared" si="44"/>
        <v>#DIV/0!</v>
      </c>
      <c r="AH104" s="1" t="e">
        <f t="shared" si="44"/>
        <v>#DIV/0!</v>
      </c>
      <c r="AI104" s="1" t="e">
        <f t="shared" si="44"/>
        <v>#DIV/0!</v>
      </c>
      <c r="AJ104" s="1" t="e">
        <f t="shared" si="44"/>
        <v>#DIV/0!</v>
      </c>
    </row>
    <row r="105" spans="1:36">
      <c r="A105" s="29">
        <f t="shared" si="41"/>
        <v>15</v>
      </c>
      <c r="B105" s="74"/>
      <c r="C105" s="74"/>
      <c r="D105" s="74"/>
      <c r="E105" s="1" t="e">
        <f t="shared" si="38"/>
        <v>#DIV/0!</v>
      </c>
      <c r="F105" s="1" t="e">
        <f t="shared" si="38"/>
        <v>#DIV/0!</v>
      </c>
      <c r="G105" s="1" t="e">
        <f t="shared" si="38"/>
        <v>#DIV/0!</v>
      </c>
      <c r="H105" s="1" t="e">
        <f t="shared" si="38"/>
        <v>#DIV/0!</v>
      </c>
      <c r="I105" s="1" t="e">
        <f t="shared" si="38"/>
        <v>#DIV/0!</v>
      </c>
      <c r="J105" s="1" t="e">
        <f t="shared" ref="J105:AJ105" si="45">(J42-$B42)/$B$4</f>
        <v>#DIV/0!</v>
      </c>
      <c r="K105" s="1" t="e">
        <f t="shared" si="45"/>
        <v>#DIV/0!</v>
      </c>
      <c r="L105" s="1" t="e">
        <f t="shared" si="45"/>
        <v>#DIV/0!</v>
      </c>
      <c r="M105" s="1" t="e">
        <f t="shared" si="45"/>
        <v>#DIV/0!</v>
      </c>
      <c r="N105" s="1" t="e">
        <f t="shared" si="45"/>
        <v>#DIV/0!</v>
      </c>
      <c r="O105" s="1" t="e">
        <f t="shared" si="45"/>
        <v>#DIV/0!</v>
      </c>
      <c r="P105" s="1" t="e">
        <f t="shared" si="45"/>
        <v>#DIV/0!</v>
      </c>
      <c r="Q105" s="1" t="e">
        <f t="shared" si="45"/>
        <v>#DIV/0!</v>
      </c>
      <c r="R105" s="1" t="e">
        <f t="shared" si="45"/>
        <v>#DIV/0!</v>
      </c>
      <c r="S105" s="1" t="e">
        <f t="shared" si="45"/>
        <v>#DIV/0!</v>
      </c>
      <c r="T105" s="1" t="e">
        <f t="shared" si="45"/>
        <v>#DIV/0!</v>
      </c>
      <c r="U105" s="1" t="e">
        <f t="shared" si="45"/>
        <v>#DIV/0!</v>
      </c>
      <c r="V105" s="1" t="e">
        <f t="shared" si="45"/>
        <v>#DIV/0!</v>
      </c>
      <c r="W105" s="1" t="e">
        <f t="shared" si="45"/>
        <v>#DIV/0!</v>
      </c>
      <c r="X105" s="1" t="e">
        <f t="shared" si="45"/>
        <v>#DIV/0!</v>
      </c>
      <c r="Y105" s="1" t="e">
        <f t="shared" si="45"/>
        <v>#DIV/0!</v>
      </c>
      <c r="Z105" s="1" t="e">
        <f t="shared" si="45"/>
        <v>#DIV/0!</v>
      </c>
      <c r="AA105" s="1" t="e">
        <f t="shared" si="45"/>
        <v>#DIV/0!</v>
      </c>
      <c r="AB105" s="1" t="e">
        <f t="shared" si="45"/>
        <v>#DIV/0!</v>
      </c>
      <c r="AC105" s="1" t="e">
        <f t="shared" si="45"/>
        <v>#DIV/0!</v>
      </c>
      <c r="AD105" s="1" t="e">
        <f t="shared" si="45"/>
        <v>#DIV/0!</v>
      </c>
      <c r="AE105" s="1" t="e">
        <f t="shared" si="45"/>
        <v>#DIV/0!</v>
      </c>
      <c r="AF105" s="1" t="e">
        <f t="shared" si="45"/>
        <v>#DIV/0!</v>
      </c>
      <c r="AG105" s="1" t="e">
        <f t="shared" si="45"/>
        <v>#DIV/0!</v>
      </c>
      <c r="AH105" s="1" t="e">
        <f t="shared" si="45"/>
        <v>#DIV/0!</v>
      </c>
      <c r="AI105" s="1" t="e">
        <f t="shared" si="45"/>
        <v>#DIV/0!</v>
      </c>
      <c r="AJ105" s="1" t="e">
        <f t="shared" si="45"/>
        <v>#DIV/0!</v>
      </c>
    </row>
    <row r="106" spans="1:36">
      <c r="A106" s="29">
        <f t="shared" si="41"/>
        <v>18</v>
      </c>
      <c r="B106" s="74"/>
      <c r="C106" s="74"/>
      <c r="D106" s="74"/>
      <c r="E106" s="1" t="e">
        <f t="shared" si="38"/>
        <v>#DIV/0!</v>
      </c>
      <c r="F106" s="1" t="e">
        <f t="shared" si="38"/>
        <v>#DIV/0!</v>
      </c>
      <c r="G106" s="1" t="e">
        <f t="shared" si="38"/>
        <v>#DIV/0!</v>
      </c>
      <c r="H106" s="1" t="e">
        <f t="shared" si="38"/>
        <v>#DIV/0!</v>
      </c>
      <c r="I106" s="1" t="e">
        <f t="shared" si="38"/>
        <v>#DIV/0!</v>
      </c>
      <c r="J106" s="1" t="e">
        <f t="shared" ref="J106:AJ106" si="46">(J43-$B43)/$B$4</f>
        <v>#DIV/0!</v>
      </c>
      <c r="K106" s="1" t="e">
        <f t="shared" si="46"/>
        <v>#DIV/0!</v>
      </c>
      <c r="L106" s="1" t="e">
        <f t="shared" si="46"/>
        <v>#DIV/0!</v>
      </c>
      <c r="M106" s="1" t="e">
        <f t="shared" si="46"/>
        <v>#DIV/0!</v>
      </c>
      <c r="N106" s="1" t="e">
        <f t="shared" si="46"/>
        <v>#DIV/0!</v>
      </c>
      <c r="O106" s="1" t="e">
        <f t="shared" si="46"/>
        <v>#DIV/0!</v>
      </c>
      <c r="P106" s="1" t="e">
        <f t="shared" si="46"/>
        <v>#DIV/0!</v>
      </c>
      <c r="Q106" s="1" t="e">
        <f t="shared" si="46"/>
        <v>#DIV/0!</v>
      </c>
      <c r="R106" s="1" t="e">
        <f t="shared" si="46"/>
        <v>#DIV/0!</v>
      </c>
      <c r="S106" s="1" t="e">
        <f t="shared" si="46"/>
        <v>#DIV/0!</v>
      </c>
      <c r="T106" s="1" t="e">
        <f t="shared" si="46"/>
        <v>#DIV/0!</v>
      </c>
      <c r="U106" s="1" t="e">
        <f t="shared" si="46"/>
        <v>#DIV/0!</v>
      </c>
      <c r="V106" s="1" t="e">
        <f t="shared" si="46"/>
        <v>#DIV/0!</v>
      </c>
      <c r="W106" s="1" t="e">
        <f t="shared" si="46"/>
        <v>#DIV/0!</v>
      </c>
      <c r="X106" s="1" t="e">
        <f t="shared" si="46"/>
        <v>#DIV/0!</v>
      </c>
      <c r="Y106" s="1" t="e">
        <f t="shared" si="46"/>
        <v>#DIV/0!</v>
      </c>
      <c r="Z106" s="1" t="e">
        <f t="shared" si="46"/>
        <v>#DIV/0!</v>
      </c>
      <c r="AA106" s="1" t="e">
        <f t="shared" si="46"/>
        <v>#DIV/0!</v>
      </c>
      <c r="AB106" s="1" t="e">
        <f t="shared" si="46"/>
        <v>#DIV/0!</v>
      </c>
      <c r="AC106" s="1" t="e">
        <f t="shared" si="46"/>
        <v>#DIV/0!</v>
      </c>
      <c r="AD106" s="1" t="e">
        <f t="shared" si="46"/>
        <v>#DIV/0!</v>
      </c>
      <c r="AE106" s="1" t="e">
        <f t="shared" si="46"/>
        <v>#DIV/0!</v>
      </c>
      <c r="AF106" s="1" t="e">
        <f t="shared" si="46"/>
        <v>#DIV/0!</v>
      </c>
      <c r="AG106" s="1" t="e">
        <f t="shared" si="46"/>
        <v>#DIV/0!</v>
      </c>
      <c r="AH106" s="1" t="e">
        <f t="shared" si="46"/>
        <v>#DIV/0!</v>
      </c>
      <c r="AI106" s="1" t="e">
        <f t="shared" si="46"/>
        <v>#DIV/0!</v>
      </c>
      <c r="AJ106" s="1" t="e">
        <f t="shared" si="46"/>
        <v>#DIV/0!</v>
      </c>
    </row>
    <row r="107" spans="1:36">
      <c r="A107" s="29">
        <f t="shared" si="41"/>
        <v>21</v>
      </c>
      <c r="B107" s="74"/>
      <c r="C107" s="74"/>
      <c r="D107" s="74"/>
      <c r="E107" s="1" t="e">
        <f t="shared" si="38"/>
        <v>#DIV/0!</v>
      </c>
      <c r="F107" s="1" t="e">
        <f t="shared" si="38"/>
        <v>#DIV/0!</v>
      </c>
      <c r="G107" s="1" t="e">
        <f t="shared" si="38"/>
        <v>#DIV/0!</v>
      </c>
      <c r="H107" s="1" t="e">
        <f t="shared" si="38"/>
        <v>#DIV/0!</v>
      </c>
      <c r="I107" s="1" t="e">
        <f t="shared" si="38"/>
        <v>#DIV/0!</v>
      </c>
      <c r="J107" s="1" t="e">
        <f t="shared" ref="J107:AJ107" si="47">(J44-$B44)/$B$4</f>
        <v>#DIV/0!</v>
      </c>
      <c r="K107" s="1" t="e">
        <f t="shared" si="47"/>
        <v>#DIV/0!</v>
      </c>
      <c r="L107" s="1" t="e">
        <f t="shared" si="47"/>
        <v>#DIV/0!</v>
      </c>
      <c r="M107" s="1" t="e">
        <f t="shared" si="47"/>
        <v>#DIV/0!</v>
      </c>
      <c r="N107" s="1" t="e">
        <f t="shared" si="47"/>
        <v>#DIV/0!</v>
      </c>
      <c r="O107" s="1" t="e">
        <f t="shared" si="47"/>
        <v>#DIV/0!</v>
      </c>
      <c r="P107" s="1" t="e">
        <f t="shared" si="47"/>
        <v>#DIV/0!</v>
      </c>
      <c r="Q107" s="1" t="e">
        <f t="shared" si="47"/>
        <v>#DIV/0!</v>
      </c>
      <c r="R107" s="1" t="e">
        <f t="shared" si="47"/>
        <v>#DIV/0!</v>
      </c>
      <c r="S107" s="1" t="e">
        <f t="shared" si="47"/>
        <v>#DIV/0!</v>
      </c>
      <c r="T107" s="1" t="e">
        <f t="shared" si="47"/>
        <v>#DIV/0!</v>
      </c>
      <c r="U107" s="1" t="e">
        <f t="shared" si="47"/>
        <v>#DIV/0!</v>
      </c>
      <c r="V107" s="1" t="e">
        <f t="shared" si="47"/>
        <v>#DIV/0!</v>
      </c>
      <c r="W107" s="1" t="e">
        <f t="shared" si="47"/>
        <v>#DIV/0!</v>
      </c>
      <c r="X107" s="1" t="e">
        <f t="shared" si="47"/>
        <v>#DIV/0!</v>
      </c>
      <c r="Y107" s="1" t="e">
        <f t="shared" si="47"/>
        <v>#DIV/0!</v>
      </c>
      <c r="Z107" s="1" t="e">
        <f t="shared" si="47"/>
        <v>#DIV/0!</v>
      </c>
      <c r="AA107" s="1" t="e">
        <f t="shared" si="47"/>
        <v>#DIV/0!</v>
      </c>
      <c r="AB107" s="1" t="e">
        <f t="shared" si="47"/>
        <v>#DIV/0!</v>
      </c>
      <c r="AC107" s="1" t="e">
        <f t="shared" si="47"/>
        <v>#DIV/0!</v>
      </c>
      <c r="AD107" s="1" t="e">
        <f t="shared" si="47"/>
        <v>#DIV/0!</v>
      </c>
      <c r="AE107" s="1" t="e">
        <f t="shared" si="47"/>
        <v>#DIV/0!</v>
      </c>
      <c r="AF107" s="1" t="e">
        <f t="shared" si="47"/>
        <v>#DIV/0!</v>
      </c>
      <c r="AG107" s="1" t="e">
        <f t="shared" si="47"/>
        <v>#DIV/0!</v>
      </c>
      <c r="AH107" s="1" t="e">
        <f t="shared" si="47"/>
        <v>#DIV/0!</v>
      </c>
      <c r="AI107" s="1" t="e">
        <f t="shared" si="47"/>
        <v>#DIV/0!</v>
      </c>
      <c r="AJ107" s="1" t="e">
        <f t="shared" si="47"/>
        <v>#DIV/0!</v>
      </c>
    </row>
    <row r="108" spans="1:36">
      <c r="A108" s="29">
        <f t="shared" si="41"/>
        <v>24</v>
      </c>
      <c r="B108" s="74"/>
      <c r="C108" s="74"/>
      <c r="D108" s="74"/>
      <c r="E108" s="1" t="e">
        <f t="shared" si="38"/>
        <v>#DIV/0!</v>
      </c>
      <c r="F108" s="1" t="e">
        <f t="shared" si="38"/>
        <v>#DIV/0!</v>
      </c>
      <c r="G108" s="1" t="e">
        <f t="shared" si="38"/>
        <v>#DIV/0!</v>
      </c>
      <c r="H108" s="1" t="e">
        <f t="shared" si="38"/>
        <v>#DIV/0!</v>
      </c>
      <c r="I108" s="1" t="e">
        <f t="shared" si="38"/>
        <v>#DIV/0!</v>
      </c>
      <c r="J108" s="1" t="e">
        <f t="shared" ref="J108:AJ108" si="48">(J45-$B45)/$B$4</f>
        <v>#DIV/0!</v>
      </c>
      <c r="K108" s="1" t="e">
        <f t="shared" si="48"/>
        <v>#DIV/0!</v>
      </c>
      <c r="L108" s="1" t="e">
        <f t="shared" si="48"/>
        <v>#DIV/0!</v>
      </c>
      <c r="M108" s="1" t="e">
        <f t="shared" si="48"/>
        <v>#DIV/0!</v>
      </c>
      <c r="N108" s="1" t="e">
        <f t="shared" si="48"/>
        <v>#DIV/0!</v>
      </c>
      <c r="O108" s="1" t="e">
        <f t="shared" si="48"/>
        <v>#DIV/0!</v>
      </c>
      <c r="P108" s="1" t="e">
        <f t="shared" si="48"/>
        <v>#DIV/0!</v>
      </c>
      <c r="Q108" s="1" t="e">
        <f t="shared" si="48"/>
        <v>#DIV/0!</v>
      </c>
      <c r="R108" s="1" t="e">
        <f t="shared" si="48"/>
        <v>#DIV/0!</v>
      </c>
      <c r="S108" s="1" t="e">
        <f t="shared" si="48"/>
        <v>#DIV/0!</v>
      </c>
      <c r="T108" s="1" t="e">
        <f t="shared" si="48"/>
        <v>#DIV/0!</v>
      </c>
      <c r="U108" s="1" t="e">
        <f t="shared" si="48"/>
        <v>#DIV/0!</v>
      </c>
      <c r="V108" s="1" t="e">
        <f t="shared" si="48"/>
        <v>#DIV/0!</v>
      </c>
      <c r="W108" s="1" t="e">
        <f t="shared" si="48"/>
        <v>#DIV/0!</v>
      </c>
      <c r="X108" s="1" t="e">
        <f t="shared" si="48"/>
        <v>#DIV/0!</v>
      </c>
      <c r="Y108" s="1" t="e">
        <f t="shared" si="48"/>
        <v>#DIV/0!</v>
      </c>
      <c r="Z108" s="1" t="e">
        <f t="shared" si="48"/>
        <v>#DIV/0!</v>
      </c>
      <c r="AA108" s="1" t="e">
        <f t="shared" si="48"/>
        <v>#DIV/0!</v>
      </c>
      <c r="AB108" s="1" t="e">
        <f t="shared" si="48"/>
        <v>#DIV/0!</v>
      </c>
      <c r="AC108" s="1" t="e">
        <f t="shared" si="48"/>
        <v>#DIV/0!</v>
      </c>
      <c r="AD108" s="1" t="e">
        <f t="shared" si="48"/>
        <v>#DIV/0!</v>
      </c>
      <c r="AE108" s="1" t="e">
        <f t="shared" si="48"/>
        <v>#DIV/0!</v>
      </c>
      <c r="AF108" s="1" t="e">
        <f t="shared" si="48"/>
        <v>#DIV/0!</v>
      </c>
      <c r="AG108" s="1" t="e">
        <f t="shared" si="48"/>
        <v>#DIV/0!</v>
      </c>
      <c r="AH108" s="1" t="e">
        <f t="shared" si="48"/>
        <v>#DIV/0!</v>
      </c>
      <c r="AI108" s="1" t="e">
        <f t="shared" si="48"/>
        <v>#DIV/0!</v>
      </c>
      <c r="AJ108" s="1" t="e">
        <f t="shared" si="48"/>
        <v>#DIV/0!</v>
      </c>
    </row>
    <row r="109" spans="1:36">
      <c r="A109" s="29">
        <f t="shared" si="41"/>
        <v>27</v>
      </c>
      <c r="B109" s="74"/>
      <c r="C109" s="74"/>
      <c r="D109" s="74"/>
      <c r="E109" s="1" t="e">
        <f t="shared" si="38"/>
        <v>#DIV/0!</v>
      </c>
      <c r="F109" s="1" t="e">
        <f t="shared" si="38"/>
        <v>#DIV/0!</v>
      </c>
      <c r="G109" s="1" t="e">
        <f t="shared" si="38"/>
        <v>#DIV/0!</v>
      </c>
      <c r="H109" s="1" t="e">
        <f t="shared" si="38"/>
        <v>#DIV/0!</v>
      </c>
      <c r="I109" s="1" t="e">
        <f t="shared" si="38"/>
        <v>#DIV/0!</v>
      </c>
      <c r="J109" s="1" t="e">
        <f t="shared" ref="J109:AJ109" si="49">(J46-$B46)/$B$4</f>
        <v>#DIV/0!</v>
      </c>
      <c r="K109" s="1" t="e">
        <f t="shared" si="49"/>
        <v>#DIV/0!</v>
      </c>
      <c r="L109" s="1" t="e">
        <f t="shared" si="49"/>
        <v>#DIV/0!</v>
      </c>
      <c r="M109" s="1" t="e">
        <f t="shared" si="49"/>
        <v>#DIV/0!</v>
      </c>
      <c r="N109" s="1" t="e">
        <f t="shared" si="49"/>
        <v>#DIV/0!</v>
      </c>
      <c r="O109" s="1" t="e">
        <f t="shared" si="49"/>
        <v>#DIV/0!</v>
      </c>
      <c r="P109" s="1" t="e">
        <f t="shared" si="49"/>
        <v>#DIV/0!</v>
      </c>
      <c r="Q109" s="1" t="e">
        <f t="shared" si="49"/>
        <v>#DIV/0!</v>
      </c>
      <c r="R109" s="1" t="e">
        <f t="shared" si="49"/>
        <v>#DIV/0!</v>
      </c>
      <c r="S109" s="1" t="e">
        <f t="shared" si="49"/>
        <v>#DIV/0!</v>
      </c>
      <c r="T109" s="1" t="e">
        <f t="shared" si="49"/>
        <v>#DIV/0!</v>
      </c>
      <c r="U109" s="1" t="e">
        <f t="shared" si="49"/>
        <v>#DIV/0!</v>
      </c>
      <c r="V109" s="1" t="e">
        <f t="shared" si="49"/>
        <v>#DIV/0!</v>
      </c>
      <c r="W109" s="1" t="e">
        <f t="shared" si="49"/>
        <v>#DIV/0!</v>
      </c>
      <c r="X109" s="1" t="e">
        <f t="shared" si="49"/>
        <v>#DIV/0!</v>
      </c>
      <c r="Y109" s="1" t="e">
        <f t="shared" si="49"/>
        <v>#DIV/0!</v>
      </c>
      <c r="Z109" s="1" t="e">
        <f t="shared" si="49"/>
        <v>#DIV/0!</v>
      </c>
      <c r="AA109" s="1" t="e">
        <f t="shared" si="49"/>
        <v>#DIV/0!</v>
      </c>
      <c r="AB109" s="1" t="e">
        <f t="shared" si="49"/>
        <v>#DIV/0!</v>
      </c>
      <c r="AC109" s="1" t="e">
        <f t="shared" si="49"/>
        <v>#DIV/0!</v>
      </c>
      <c r="AD109" s="1" t="e">
        <f t="shared" si="49"/>
        <v>#DIV/0!</v>
      </c>
      <c r="AE109" s="1" t="e">
        <f t="shared" si="49"/>
        <v>#DIV/0!</v>
      </c>
      <c r="AF109" s="1" t="e">
        <f t="shared" si="49"/>
        <v>#DIV/0!</v>
      </c>
      <c r="AG109" s="1" t="e">
        <f t="shared" si="49"/>
        <v>#DIV/0!</v>
      </c>
      <c r="AH109" s="1" t="e">
        <f t="shared" si="49"/>
        <v>#DIV/0!</v>
      </c>
      <c r="AI109" s="1" t="e">
        <f t="shared" si="49"/>
        <v>#DIV/0!</v>
      </c>
      <c r="AJ109" s="1" t="e">
        <f t="shared" si="49"/>
        <v>#DIV/0!</v>
      </c>
    </row>
    <row r="110" spans="1:36">
      <c r="A110" s="29">
        <f t="shared" si="41"/>
        <v>30</v>
      </c>
      <c r="B110" s="74"/>
      <c r="C110" s="74"/>
      <c r="D110" s="74"/>
      <c r="E110" s="1" t="e">
        <f t="shared" ref="E110:I119" si="50">(E47-$B47)/$B$4</f>
        <v>#DIV/0!</v>
      </c>
      <c r="F110" s="1" t="e">
        <f t="shared" si="50"/>
        <v>#DIV/0!</v>
      </c>
      <c r="G110" s="1" t="e">
        <f t="shared" si="50"/>
        <v>#DIV/0!</v>
      </c>
      <c r="H110" s="1" t="e">
        <f t="shared" si="50"/>
        <v>#DIV/0!</v>
      </c>
      <c r="I110" s="1" t="e">
        <f t="shared" si="50"/>
        <v>#DIV/0!</v>
      </c>
      <c r="J110" s="1" t="e">
        <f t="shared" ref="J110:AJ110" si="51">(J47-$B47)/$B$4</f>
        <v>#DIV/0!</v>
      </c>
      <c r="K110" s="1" t="e">
        <f t="shared" si="51"/>
        <v>#DIV/0!</v>
      </c>
      <c r="L110" s="1" t="e">
        <f t="shared" si="51"/>
        <v>#DIV/0!</v>
      </c>
      <c r="M110" s="1" t="e">
        <f t="shared" si="51"/>
        <v>#DIV/0!</v>
      </c>
      <c r="N110" s="1" t="e">
        <f t="shared" si="51"/>
        <v>#DIV/0!</v>
      </c>
      <c r="O110" s="1" t="e">
        <f t="shared" si="51"/>
        <v>#DIV/0!</v>
      </c>
      <c r="P110" s="1" t="e">
        <f t="shared" si="51"/>
        <v>#DIV/0!</v>
      </c>
      <c r="Q110" s="1" t="e">
        <f t="shared" si="51"/>
        <v>#DIV/0!</v>
      </c>
      <c r="R110" s="1" t="e">
        <f t="shared" si="51"/>
        <v>#DIV/0!</v>
      </c>
      <c r="S110" s="1" t="e">
        <f t="shared" si="51"/>
        <v>#DIV/0!</v>
      </c>
      <c r="T110" s="1" t="e">
        <f t="shared" si="51"/>
        <v>#DIV/0!</v>
      </c>
      <c r="U110" s="1" t="e">
        <f t="shared" si="51"/>
        <v>#DIV/0!</v>
      </c>
      <c r="V110" s="1" t="e">
        <f t="shared" si="51"/>
        <v>#DIV/0!</v>
      </c>
      <c r="W110" s="1" t="e">
        <f t="shared" si="51"/>
        <v>#DIV/0!</v>
      </c>
      <c r="X110" s="1" t="e">
        <f t="shared" si="51"/>
        <v>#DIV/0!</v>
      </c>
      <c r="Y110" s="1" t="e">
        <f t="shared" si="51"/>
        <v>#DIV/0!</v>
      </c>
      <c r="Z110" s="1" t="e">
        <f t="shared" si="51"/>
        <v>#DIV/0!</v>
      </c>
      <c r="AA110" s="1" t="e">
        <f t="shared" si="51"/>
        <v>#DIV/0!</v>
      </c>
      <c r="AB110" s="1" t="e">
        <f t="shared" si="51"/>
        <v>#DIV/0!</v>
      </c>
      <c r="AC110" s="1" t="e">
        <f t="shared" si="51"/>
        <v>#DIV/0!</v>
      </c>
      <c r="AD110" s="1" t="e">
        <f t="shared" si="51"/>
        <v>#DIV/0!</v>
      </c>
      <c r="AE110" s="1" t="e">
        <f t="shared" si="51"/>
        <v>#DIV/0!</v>
      </c>
      <c r="AF110" s="1" t="e">
        <f t="shared" si="51"/>
        <v>#DIV/0!</v>
      </c>
      <c r="AG110" s="1" t="e">
        <f t="shared" si="51"/>
        <v>#DIV/0!</v>
      </c>
      <c r="AH110" s="1" t="e">
        <f t="shared" si="51"/>
        <v>#DIV/0!</v>
      </c>
      <c r="AI110" s="1" t="e">
        <f t="shared" si="51"/>
        <v>#DIV/0!</v>
      </c>
      <c r="AJ110" s="1" t="e">
        <f t="shared" si="51"/>
        <v>#DIV/0!</v>
      </c>
    </row>
    <row r="111" spans="1:36">
      <c r="A111" s="29">
        <f t="shared" si="41"/>
        <v>33</v>
      </c>
      <c r="B111" s="74"/>
      <c r="C111" s="74"/>
      <c r="D111" s="74"/>
      <c r="E111" s="1" t="e">
        <f t="shared" si="50"/>
        <v>#DIV/0!</v>
      </c>
      <c r="F111" s="1" t="e">
        <f t="shared" si="50"/>
        <v>#DIV/0!</v>
      </c>
      <c r="G111" s="1" t="e">
        <f t="shared" si="50"/>
        <v>#DIV/0!</v>
      </c>
      <c r="H111" s="1" t="e">
        <f t="shared" si="50"/>
        <v>#DIV/0!</v>
      </c>
      <c r="I111" s="1" t="e">
        <f t="shared" si="50"/>
        <v>#DIV/0!</v>
      </c>
      <c r="J111" s="1" t="e">
        <f t="shared" ref="J111:AJ111" si="52">(J48-$B48)/$B$4</f>
        <v>#DIV/0!</v>
      </c>
      <c r="K111" s="1" t="e">
        <f t="shared" si="52"/>
        <v>#DIV/0!</v>
      </c>
      <c r="L111" s="1" t="e">
        <f t="shared" si="52"/>
        <v>#DIV/0!</v>
      </c>
      <c r="M111" s="1" t="e">
        <f t="shared" si="52"/>
        <v>#DIV/0!</v>
      </c>
      <c r="N111" s="1" t="e">
        <f t="shared" si="52"/>
        <v>#DIV/0!</v>
      </c>
      <c r="O111" s="1" t="e">
        <f t="shared" si="52"/>
        <v>#DIV/0!</v>
      </c>
      <c r="P111" s="1" t="e">
        <f t="shared" si="52"/>
        <v>#DIV/0!</v>
      </c>
      <c r="Q111" s="1" t="e">
        <f t="shared" si="52"/>
        <v>#DIV/0!</v>
      </c>
      <c r="R111" s="1" t="e">
        <f t="shared" si="52"/>
        <v>#DIV/0!</v>
      </c>
      <c r="S111" s="1" t="e">
        <f t="shared" si="52"/>
        <v>#DIV/0!</v>
      </c>
      <c r="T111" s="1" t="e">
        <f t="shared" si="52"/>
        <v>#DIV/0!</v>
      </c>
      <c r="U111" s="1" t="e">
        <f t="shared" si="52"/>
        <v>#DIV/0!</v>
      </c>
      <c r="V111" s="1" t="e">
        <f t="shared" si="52"/>
        <v>#DIV/0!</v>
      </c>
      <c r="W111" s="1" t="e">
        <f t="shared" si="52"/>
        <v>#DIV/0!</v>
      </c>
      <c r="X111" s="1" t="e">
        <f t="shared" si="52"/>
        <v>#DIV/0!</v>
      </c>
      <c r="Y111" s="1" t="e">
        <f t="shared" si="52"/>
        <v>#DIV/0!</v>
      </c>
      <c r="Z111" s="1" t="e">
        <f t="shared" si="52"/>
        <v>#DIV/0!</v>
      </c>
      <c r="AA111" s="1" t="e">
        <f t="shared" si="52"/>
        <v>#DIV/0!</v>
      </c>
      <c r="AB111" s="1" t="e">
        <f t="shared" si="52"/>
        <v>#DIV/0!</v>
      </c>
      <c r="AC111" s="1" t="e">
        <f t="shared" si="52"/>
        <v>#DIV/0!</v>
      </c>
      <c r="AD111" s="1" t="e">
        <f t="shared" si="52"/>
        <v>#DIV/0!</v>
      </c>
      <c r="AE111" s="1" t="e">
        <f t="shared" si="52"/>
        <v>#DIV/0!</v>
      </c>
      <c r="AF111" s="1" t="e">
        <f t="shared" si="52"/>
        <v>#DIV/0!</v>
      </c>
      <c r="AG111" s="1" t="e">
        <f t="shared" si="52"/>
        <v>#DIV/0!</v>
      </c>
      <c r="AH111" s="1" t="e">
        <f t="shared" si="52"/>
        <v>#DIV/0!</v>
      </c>
      <c r="AI111" s="1" t="e">
        <f t="shared" si="52"/>
        <v>#DIV/0!</v>
      </c>
      <c r="AJ111" s="1" t="e">
        <f t="shared" si="52"/>
        <v>#DIV/0!</v>
      </c>
    </row>
    <row r="112" spans="1:36">
      <c r="A112" s="29">
        <f t="shared" si="41"/>
        <v>36</v>
      </c>
      <c r="B112" s="74"/>
      <c r="C112" s="74"/>
      <c r="D112" s="74"/>
      <c r="E112" s="1" t="e">
        <f t="shared" si="50"/>
        <v>#DIV/0!</v>
      </c>
      <c r="F112" s="1" t="e">
        <f t="shared" si="50"/>
        <v>#DIV/0!</v>
      </c>
      <c r="G112" s="1" t="e">
        <f t="shared" si="50"/>
        <v>#DIV/0!</v>
      </c>
      <c r="H112" s="1" t="e">
        <f t="shared" si="50"/>
        <v>#DIV/0!</v>
      </c>
      <c r="I112" s="1" t="e">
        <f t="shared" si="50"/>
        <v>#DIV/0!</v>
      </c>
      <c r="J112" s="1" t="e">
        <f t="shared" ref="J112:AJ112" si="53">(J49-$B49)/$B$4</f>
        <v>#DIV/0!</v>
      </c>
      <c r="K112" s="1" t="e">
        <f t="shared" si="53"/>
        <v>#DIV/0!</v>
      </c>
      <c r="L112" s="1" t="e">
        <f t="shared" si="53"/>
        <v>#DIV/0!</v>
      </c>
      <c r="M112" s="1" t="e">
        <f t="shared" si="53"/>
        <v>#DIV/0!</v>
      </c>
      <c r="N112" s="1" t="e">
        <f t="shared" si="53"/>
        <v>#DIV/0!</v>
      </c>
      <c r="O112" s="1" t="e">
        <f t="shared" si="53"/>
        <v>#DIV/0!</v>
      </c>
      <c r="P112" s="1" t="e">
        <f t="shared" si="53"/>
        <v>#DIV/0!</v>
      </c>
      <c r="Q112" s="1" t="e">
        <f t="shared" si="53"/>
        <v>#DIV/0!</v>
      </c>
      <c r="R112" s="1" t="e">
        <f t="shared" si="53"/>
        <v>#DIV/0!</v>
      </c>
      <c r="S112" s="1" t="e">
        <f t="shared" si="53"/>
        <v>#DIV/0!</v>
      </c>
      <c r="T112" s="1" t="e">
        <f t="shared" si="53"/>
        <v>#DIV/0!</v>
      </c>
      <c r="U112" s="1" t="e">
        <f t="shared" si="53"/>
        <v>#DIV/0!</v>
      </c>
      <c r="V112" s="1" t="e">
        <f t="shared" si="53"/>
        <v>#DIV/0!</v>
      </c>
      <c r="W112" s="1" t="e">
        <f t="shared" si="53"/>
        <v>#DIV/0!</v>
      </c>
      <c r="X112" s="1" t="e">
        <f t="shared" si="53"/>
        <v>#DIV/0!</v>
      </c>
      <c r="Y112" s="1" t="e">
        <f t="shared" si="53"/>
        <v>#DIV/0!</v>
      </c>
      <c r="Z112" s="1" t="e">
        <f t="shared" si="53"/>
        <v>#DIV/0!</v>
      </c>
      <c r="AA112" s="1" t="e">
        <f t="shared" si="53"/>
        <v>#DIV/0!</v>
      </c>
      <c r="AB112" s="1" t="e">
        <f t="shared" si="53"/>
        <v>#DIV/0!</v>
      </c>
      <c r="AC112" s="1" t="e">
        <f t="shared" si="53"/>
        <v>#DIV/0!</v>
      </c>
      <c r="AD112" s="1" t="e">
        <f t="shared" si="53"/>
        <v>#DIV/0!</v>
      </c>
      <c r="AE112" s="1" t="e">
        <f t="shared" si="53"/>
        <v>#DIV/0!</v>
      </c>
      <c r="AF112" s="1" t="e">
        <f t="shared" si="53"/>
        <v>#DIV/0!</v>
      </c>
      <c r="AG112" s="1" t="e">
        <f t="shared" si="53"/>
        <v>#DIV/0!</v>
      </c>
      <c r="AH112" s="1" t="e">
        <f t="shared" si="53"/>
        <v>#DIV/0!</v>
      </c>
      <c r="AI112" s="1" t="e">
        <f t="shared" si="53"/>
        <v>#DIV/0!</v>
      </c>
      <c r="AJ112" s="1" t="e">
        <f t="shared" si="53"/>
        <v>#DIV/0!</v>
      </c>
    </row>
    <row r="113" spans="1:36">
      <c r="A113" s="29">
        <f t="shared" si="41"/>
        <v>39</v>
      </c>
      <c r="B113" s="74"/>
      <c r="C113" s="74"/>
      <c r="D113" s="74"/>
      <c r="E113" s="1" t="e">
        <f t="shared" si="50"/>
        <v>#DIV/0!</v>
      </c>
      <c r="F113" s="1" t="e">
        <f t="shared" si="50"/>
        <v>#DIV/0!</v>
      </c>
      <c r="G113" s="1" t="e">
        <f t="shared" si="50"/>
        <v>#DIV/0!</v>
      </c>
      <c r="H113" s="1" t="e">
        <f t="shared" si="50"/>
        <v>#DIV/0!</v>
      </c>
      <c r="I113" s="1" t="e">
        <f t="shared" si="50"/>
        <v>#DIV/0!</v>
      </c>
      <c r="J113" s="1" t="e">
        <f t="shared" ref="J113:AJ113" si="54">(J50-$B50)/$B$4</f>
        <v>#DIV/0!</v>
      </c>
      <c r="K113" s="1" t="e">
        <f t="shared" si="54"/>
        <v>#DIV/0!</v>
      </c>
      <c r="L113" s="1" t="e">
        <f t="shared" si="54"/>
        <v>#DIV/0!</v>
      </c>
      <c r="M113" s="1" t="e">
        <f t="shared" si="54"/>
        <v>#DIV/0!</v>
      </c>
      <c r="N113" s="1" t="e">
        <f t="shared" si="54"/>
        <v>#DIV/0!</v>
      </c>
      <c r="O113" s="1" t="e">
        <f t="shared" si="54"/>
        <v>#DIV/0!</v>
      </c>
      <c r="P113" s="1" t="e">
        <f t="shared" si="54"/>
        <v>#DIV/0!</v>
      </c>
      <c r="Q113" s="1" t="e">
        <f t="shared" si="54"/>
        <v>#DIV/0!</v>
      </c>
      <c r="R113" s="1" t="e">
        <f t="shared" si="54"/>
        <v>#DIV/0!</v>
      </c>
      <c r="S113" s="1" t="e">
        <f t="shared" si="54"/>
        <v>#DIV/0!</v>
      </c>
      <c r="T113" s="1" t="e">
        <f t="shared" si="54"/>
        <v>#DIV/0!</v>
      </c>
      <c r="U113" s="1" t="e">
        <f t="shared" si="54"/>
        <v>#DIV/0!</v>
      </c>
      <c r="V113" s="1" t="e">
        <f t="shared" si="54"/>
        <v>#DIV/0!</v>
      </c>
      <c r="W113" s="1" t="e">
        <f t="shared" si="54"/>
        <v>#DIV/0!</v>
      </c>
      <c r="X113" s="1" t="e">
        <f t="shared" si="54"/>
        <v>#DIV/0!</v>
      </c>
      <c r="Y113" s="1" t="e">
        <f t="shared" si="54"/>
        <v>#DIV/0!</v>
      </c>
      <c r="Z113" s="1" t="e">
        <f t="shared" si="54"/>
        <v>#DIV/0!</v>
      </c>
      <c r="AA113" s="1" t="e">
        <f t="shared" si="54"/>
        <v>#DIV/0!</v>
      </c>
      <c r="AB113" s="1" t="e">
        <f t="shared" si="54"/>
        <v>#DIV/0!</v>
      </c>
      <c r="AC113" s="1" t="e">
        <f t="shared" si="54"/>
        <v>#DIV/0!</v>
      </c>
      <c r="AD113" s="1" t="e">
        <f t="shared" si="54"/>
        <v>#DIV/0!</v>
      </c>
      <c r="AE113" s="1" t="e">
        <f t="shared" si="54"/>
        <v>#DIV/0!</v>
      </c>
      <c r="AF113" s="1" t="e">
        <f t="shared" si="54"/>
        <v>#DIV/0!</v>
      </c>
      <c r="AG113" s="1" t="e">
        <f t="shared" si="54"/>
        <v>#DIV/0!</v>
      </c>
      <c r="AH113" s="1" t="e">
        <f t="shared" si="54"/>
        <v>#DIV/0!</v>
      </c>
      <c r="AI113" s="1" t="e">
        <f t="shared" si="54"/>
        <v>#DIV/0!</v>
      </c>
      <c r="AJ113" s="1" t="e">
        <f t="shared" si="54"/>
        <v>#DIV/0!</v>
      </c>
    </row>
    <row r="114" spans="1:36">
      <c r="A114" s="29">
        <f t="shared" si="41"/>
        <v>42</v>
      </c>
      <c r="B114" s="74"/>
      <c r="C114" s="74"/>
      <c r="D114" s="74"/>
      <c r="E114" s="1" t="e">
        <f t="shared" si="50"/>
        <v>#DIV/0!</v>
      </c>
      <c r="F114" s="1" t="e">
        <f t="shared" si="50"/>
        <v>#DIV/0!</v>
      </c>
      <c r="G114" s="1" t="e">
        <f t="shared" si="50"/>
        <v>#DIV/0!</v>
      </c>
      <c r="H114" s="1" t="e">
        <f t="shared" si="50"/>
        <v>#DIV/0!</v>
      </c>
      <c r="I114" s="1" t="e">
        <f t="shared" si="50"/>
        <v>#DIV/0!</v>
      </c>
      <c r="J114" s="1" t="e">
        <f t="shared" ref="J114:AJ114" si="55">(J51-$B51)/$B$4</f>
        <v>#DIV/0!</v>
      </c>
      <c r="K114" s="1" t="e">
        <f t="shared" si="55"/>
        <v>#DIV/0!</v>
      </c>
      <c r="L114" s="1" t="e">
        <f t="shared" si="55"/>
        <v>#DIV/0!</v>
      </c>
      <c r="M114" s="1" t="e">
        <f t="shared" si="55"/>
        <v>#DIV/0!</v>
      </c>
      <c r="N114" s="1" t="e">
        <f t="shared" si="55"/>
        <v>#DIV/0!</v>
      </c>
      <c r="O114" s="1" t="e">
        <f t="shared" si="55"/>
        <v>#DIV/0!</v>
      </c>
      <c r="P114" s="1" t="e">
        <f t="shared" si="55"/>
        <v>#DIV/0!</v>
      </c>
      <c r="Q114" s="1" t="e">
        <f t="shared" si="55"/>
        <v>#DIV/0!</v>
      </c>
      <c r="R114" s="1" t="e">
        <f t="shared" si="55"/>
        <v>#DIV/0!</v>
      </c>
      <c r="S114" s="1" t="e">
        <f t="shared" si="55"/>
        <v>#DIV/0!</v>
      </c>
      <c r="T114" s="1" t="e">
        <f t="shared" si="55"/>
        <v>#DIV/0!</v>
      </c>
      <c r="U114" s="1" t="e">
        <f t="shared" si="55"/>
        <v>#DIV/0!</v>
      </c>
      <c r="V114" s="1" t="e">
        <f t="shared" si="55"/>
        <v>#DIV/0!</v>
      </c>
      <c r="W114" s="1" t="e">
        <f t="shared" si="55"/>
        <v>#DIV/0!</v>
      </c>
      <c r="X114" s="1" t="e">
        <f t="shared" si="55"/>
        <v>#DIV/0!</v>
      </c>
      <c r="Y114" s="1" t="e">
        <f t="shared" si="55"/>
        <v>#DIV/0!</v>
      </c>
      <c r="Z114" s="1" t="e">
        <f t="shared" si="55"/>
        <v>#DIV/0!</v>
      </c>
      <c r="AA114" s="1" t="e">
        <f t="shared" si="55"/>
        <v>#DIV/0!</v>
      </c>
      <c r="AB114" s="1" t="e">
        <f t="shared" si="55"/>
        <v>#DIV/0!</v>
      </c>
      <c r="AC114" s="1" t="e">
        <f t="shared" si="55"/>
        <v>#DIV/0!</v>
      </c>
      <c r="AD114" s="1" t="e">
        <f t="shared" si="55"/>
        <v>#DIV/0!</v>
      </c>
      <c r="AE114" s="1" t="e">
        <f t="shared" si="55"/>
        <v>#DIV/0!</v>
      </c>
      <c r="AF114" s="1" t="e">
        <f t="shared" si="55"/>
        <v>#DIV/0!</v>
      </c>
      <c r="AG114" s="1" t="e">
        <f t="shared" si="55"/>
        <v>#DIV/0!</v>
      </c>
      <c r="AH114" s="1" t="e">
        <f t="shared" si="55"/>
        <v>#DIV/0!</v>
      </c>
      <c r="AI114" s="1" t="e">
        <f t="shared" si="55"/>
        <v>#DIV/0!</v>
      </c>
      <c r="AJ114" s="1" t="e">
        <f t="shared" si="55"/>
        <v>#DIV/0!</v>
      </c>
    </row>
    <row r="115" spans="1:36">
      <c r="A115" s="29">
        <f t="shared" si="41"/>
        <v>45</v>
      </c>
      <c r="B115" s="74"/>
      <c r="C115" s="74"/>
      <c r="D115" s="74"/>
      <c r="E115" s="1" t="e">
        <f t="shared" si="50"/>
        <v>#DIV/0!</v>
      </c>
      <c r="F115" s="1" t="e">
        <f t="shared" si="50"/>
        <v>#DIV/0!</v>
      </c>
      <c r="G115" s="1" t="e">
        <f t="shared" si="50"/>
        <v>#DIV/0!</v>
      </c>
      <c r="H115" s="1" t="e">
        <f t="shared" si="50"/>
        <v>#DIV/0!</v>
      </c>
      <c r="I115" s="1" t="e">
        <f t="shared" si="50"/>
        <v>#DIV/0!</v>
      </c>
      <c r="J115" s="1" t="e">
        <f t="shared" ref="J115:AJ115" si="56">(J52-$B52)/$B$4</f>
        <v>#DIV/0!</v>
      </c>
      <c r="K115" s="1" t="e">
        <f t="shared" si="56"/>
        <v>#DIV/0!</v>
      </c>
      <c r="L115" s="1" t="e">
        <f t="shared" si="56"/>
        <v>#DIV/0!</v>
      </c>
      <c r="M115" s="1" t="e">
        <f t="shared" si="56"/>
        <v>#DIV/0!</v>
      </c>
      <c r="N115" s="1" t="e">
        <f t="shared" si="56"/>
        <v>#DIV/0!</v>
      </c>
      <c r="O115" s="1" t="e">
        <f t="shared" si="56"/>
        <v>#DIV/0!</v>
      </c>
      <c r="P115" s="1" t="e">
        <f t="shared" si="56"/>
        <v>#DIV/0!</v>
      </c>
      <c r="Q115" s="1" t="e">
        <f t="shared" si="56"/>
        <v>#DIV/0!</v>
      </c>
      <c r="R115" s="1" t="e">
        <f t="shared" si="56"/>
        <v>#DIV/0!</v>
      </c>
      <c r="S115" s="1" t="e">
        <f t="shared" si="56"/>
        <v>#DIV/0!</v>
      </c>
      <c r="T115" s="1" t="e">
        <f t="shared" si="56"/>
        <v>#DIV/0!</v>
      </c>
      <c r="U115" s="1" t="e">
        <f t="shared" si="56"/>
        <v>#DIV/0!</v>
      </c>
      <c r="V115" s="1" t="e">
        <f t="shared" si="56"/>
        <v>#DIV/0!</v>
      </c>
      <c r="W115" s="1" t="e">
        <f t="shared" si="56"/>
        <v>#DIV/0!</v>
      </c>
      <c r="X115" s="1" t="e">
        <f t="shared" si="56"/>
        <v>#DIV/0!</v>
      </c>
      <c r="Y115" s="1" t="e">
        <f t="shared" si="56"/>
        <v>#DIV/0!</v>
      </c>
      <c r="Z115" s="1" t="e">
        <f t="shared" si="56"/>
        <v>#DIV/0!</v>
      </c>
      <c r="AA115" s="1" t="e">
        <f t="shared" si="56"/>
        <v>#DIV/0!</v>
      </c>
      <c r="AB115" s="1" t="e">
        <f t="shared" si="56"/>
        <v>#DIV/0!</v>
      </c>
      <c r="AC115" s="1" t="e">
        <f t="shared" si="56"/>
        <v>#DIV/0!</v>
      </c>
      <c r="AD115" s="1" t="e">
        <f t="shared" si="56"/>
        <v>#DIV/0!</v>
      </c>
      <c r="AE115" s="1" t="e">
        <f t="shared" si="56"/>
        <v>#DIV/0!</v>
      </c>
      <c r="AF115" s="1" t="e">
        <f t="shared" si="56"/>
        <v>#DIV/0!</v>
      </c>
      <c r="AG115" s="1" t="e">
        <f t="shared" si="56"/>
        <v>#DIV/0!</v>
      </c>
      <c r="AH115" s="1" t="e">
        <f t="shared" si="56"/>
        <v>#DIV/0!</v>
      </c>
      <c r="AI115" s="1" t="e">
        <f t="shared" si="56"/>
        <v>#DIV/0!</v>
      </c>
      <c r="AJ115" s="1" t="e">
        <f t="shared" si="56"/>
        <v>#DIV/0!</v>
      </c>
    </row>
    <row r="116" spans="1:36">
      <c r="A116" s="29">
        <f t="shared" si="41"/>
        <v>48</v>
      </c>
      <c r="B116" s="74"/>
      <c r="C116" s="74"/>
      <c r="D116" s="74"/>
      <c r="E116" s="1" t="e">
        <f t="shared" si="50"/>
        <v>#DIV/0!</v>
      </c>
      <c r="F116" s="1" t="e">
        <f t="shared" si="50"/>
        <v>#DIV/0!</v>
      </c>
      <c r="G116" s="1" t="e">
        <f t="shared" si="50"/>
        <v>#DIV/0!</v>
      </c>
      <c r="H116" s="1" t="e">
        <f t="shared" si="50"/>
        <v>#DIV/0!</v>
      </c>
      <c r="I116" s="1" t="e">
        <f t="shared" si="50"/>
        <v>#DIV/0!</v>
      </c>
      <c r="J116" s="1" t="e">
        <f t="shared" ref="J116:AJ116" si="57">(J53-$B53)/$B$4</f>
        <v>#DIV/0!</v>
      </c>
      <c r="K116" s="1" t="e">
        <f t="shared" si="57"/>
        <v>#DIV/0!</v>
      </c>
      <c r="L116" s="1" t="e">
        <f t="shared" si="57"/>
        <v>#DIV/0!</v>
      </c>
      <c r="M116" s="1" t="e">
        <f t="shared" si="57"/>
        <v>#DIV/0!</v>
      </c>
      <c r="N116" s="1" t="e">
        <f t="shared" si="57"/>
        <v>#DIV/0!</v>
      </c>
      <c r="O116" s="1" t="e">
        <f t="shared" si="57"/>
        <v>#DIV/0!</v>
      </c>
      <c r="P116" s="1" t="e">
        <f t="shared" si="57"/>
        <v>#DIV/0!</v>
      </c>
      <c r="Q116" s="1" t="e">
        <f t="shared" si="57"/>
        <v>#DIV/0!</v>
      </c>
      <c r="R116" s="1" t="e">
        <f t="shared" si="57"/>
        <v>#DIV/0!</v>
      </c>
      <c r="S116" s="1" t="e">
        <f t="shared" si="57"/>
        <v>#DIV/0!</v>
      </c>
      <c r="T116" s="1" t="e">
        <f t="shared" si="57"/>
        <v>#DIV/0!</v>
      </c>
      <c r="U116" s="1" t="e">
        <f t="shared" si="57"/>
        <v>#DIV/0!</v>
      </c>
      <c r="V116" s="1" t="e">
        <f t="shared" si="57"/>
        <v>#DIV/0!</v>
      </c>
      <c r="W116" s="1" t="e">
        <f t="shared" si="57"/>
        <v>#DIV/0!</v>
      </c>
      <c r="X116" s="1" t="e">
        <f t="shared" si="57"/>
        <v>#DIV/0!</v>
      </c>
      <c r="Y116" s="1" t="e">
        <f t="shared" si="57"/>
        <v>#DIV/0!</v>
      </c>
      <c r="Z116" s="1" t="e">
        <f t="shared" si="57"/>
        <v>#DIV/0!</v>
      </c>
      <c r="AA116" s="1" t="e">
        <f t="shared" si="57"/>
        <v>#DIV/0!</v>
      </c>
      <c r="AB116" s="1" t="e">
        <f t="shared" si="57"/>
        <v>#DIV/0!</v>
      </c>
      <c r="AC116" s="1" t="e">
        <f t="shared" si="57"/>
        <v>#DIV/0!</v>
      </c>
      <c r="AD116" s="1" t="e">
        <f t="shared" si="57"/>
        <v>#DIV/0!</v>
      </c>
      <c r="AE116" s="1" t="e">
        <f t="shared" si="57"/>
        <v>#DIV/0!</v>
      </c>
      <c r="AF116" s="1" t="e">
        <f t="shared" si="57"/>
        <v>#DIV/0!</v>
      </c>
      <c r="AG116" s="1" t="e">
        <f t="shared" si="57"/>
        <v>#DIV/0!</v>
      </c>
      <c r="AH116" s="1" t="e">
        <f t="shared" si="57"/>
        <v>#DIV/0!</v>
      </c>
      <c r="AI116" s="1" t="e">
        <f t="shared" si="57"/>
        <v>#DIV/0!</v>
      </c>
      <c r="AJ116" s="1" t="e">
        <f t="shared" si="57"/>
        <v>#DIV/0!</v>
      </c>
    </row>
    <row r="117" spans="1:36">
      <c r="A117" s="29">
        <f t="shared" si="41"/>
        <v>51</v>
      </c>
      <c r="B117" s="74"/>
      <c r="C117" s="74"/>
      <c r="D117" s="74"/>
      <c r="E117" s="1" t="e">
        <f t="shared" si="50"/>
        <v>#DIV/0!</v>
      </c>
      <c r="F117" s="1" t="e">
        <f t="shared" si="50"/>
        <v>#DIV/0!</v>
      </c>
      <c r="G117" s="1" t="e">
        <f t="shared" si="50"/>
        <v>#DIV/0!</v>
      </c>
      <c r="H117" s="1" t="e">
        <f t="shared" si="50"/>
        <v>#DIV/0!</v>
      </c>
      <c r="I117" s="1" t="e">
        <f t="shared" si="50"/>
        <v>#DIV/0!</v>
      </c>
      <c r="J117" s="1" t="e">
        <f t="shared" ref="J117:AJ117" si="58">(J54-$B54)/$B$4</f>
        <v>#DIV/0!</v>
      </c>
      <c r="K117" s="1" t="e">
        <f t="shared" si="58"/>
        <v>#DIV/0!</v>
      </c>
      <c r="L117" s="1" t="e">
        <f t="shared" si="58"/>
        <v>#DIV/0!</v>
      </c>
      <c r="M117" s="1" t="e">
        <f t="shared" si="58"/>
        <v>#DIV/0!</v>
      </c>
      <c r="N117" s="1" t="e">
        <f t="shared" si="58"/>
        <v>#DIV/0!</v>
      </c>
      <c r="O117" s="1" t="e">
        <f t="shared" si="58"/>
        <v>#DIV/0!</v>
      </c>
      <c r="P117" s="1" t="e">
        <f t="shared" si="58"/>
        <v>#DIV/0!</v>
      </c>
      <c r="Q117" s="1" t="e">
        <f t="shared" si="58"/>
        <v>#DIV/0!</v>
      </c>
      <c r="R117" s="1" t="e">
        <f t="shared" si="58"/>
        <v>#DIV/0!</v>
      </c>
      <c r="S117" s="1" t="e">
        <f t="shared" si="58"/>
        <v>#DIV/0!</v>
      </c>
      <c r="T117" s="1" t="e">
        <f t="shared" si="58"/>
        <v>#DIV/0!</v>
      </c>
      <c r="U117" s="1" t="e">
        <f t="shared" si="58"/>
        <v>#DIV/0!</v>
      </c>
      <c r="V117" s="1" t="e">
        <f t="shared" si="58"/>
        <v>#DIV/0!</v>
      </c>
      <c r="W117" s="1" t="e">
        <f t="shared" si="58"/>
        <v>#DIV/0!</v>
      </c>
      <c r="X117" s="1" t="e">
        <f t="shared" si="58"/>
        <v>#DIV/0!</v>
      </c>
      <c r="Y117" s="1" t="e">
        <f t="shared" si="58"/>
        <v>#DIV/0!</v>
      </c>
      <c r="Z117" s="1" t="e">
        <f t="shared" si="58"/>
        <v>#DIV/0!</v>
      </c>
      <c r="AA117" s="1" t="e">
        <f t="shared" si="58"/>
        <v>#DIV/0!</v>
      </c>
      <c r="AB117" s="1" t="e">
        <f t="shared" si="58"/>
        <v>#DIV/0!</v>
      </c>
      <c r="AC117" s="1" t="e">
        <f t="shared" si="58"/>
        <v>#DIV/0!</v>
      </c>
      <c r="AD117" s="1" t="e">
        <f t="shared" si="58"/>
        <v>#DIV/0!</v>
      </c>
      <c r="AE117" s="1" t="e">
        <f t="shared" si="58"/>
        <v>#DIV/0!</v>
      </c>
      <c r="AF117" s="1" t="e">
        <f t="shared" si="58"/>
        <v>#DIV/0!</v>
      </c>
      <c r="AG117" s="1" t="e">
        <f t="shared" si="58"/>
        <v>#DIV/0!</v>
      </c>
      <c r="AH117" s="1" t="e">
        <f t="shared" si="58"/>
        <v>#DIV/0!</v>
      </c>
      <c r="AI117" s="1" t="e">
        <f t="shared" si="58"/>
        <v>#DIV/0!</v>
      </c>
      <c r="AJ117" s="1" t="e">
        <f t="shared" si="58"/>
        <v>#DIV/0!</v>
      </c>
    </row>
    <row r="118" spans="1:36">
      <c r="A118" s="29">
        <f t="shared" si="41"/>
        <v>54</v>
      </c>
      <c r="B118" s="74"/>
      <c r="C118" s="74"/>
      <c r="D118" s="74"/>
      <c r="E118" s="1" t="e">
        <f t="shared" si="50"/>
        <v>#DIV/0!</v>
      </c>
      <c r="F118" s="1" t="e">
        <f t="shared" si="50"/>
        <v>#DIV/0!</v>
      </c>
      <c r="G118" s="1" t="e">
        <f t="shared" si="50"/>
        <v>#DIV/0!</v>
      </c>
      <c r="H118" s="1" t="e">
        <f t="shared" si="50"/>
        <v>#DIV/0!</v>
      </c>
      <c r="I118" s="1" t="e">
        <f t="shared" si="50"/>
        <v>#DIV/0!</v>
      </c>
      <c r="J118" s="1" t="e">
        <f t="shared" ref="J118:AJ118" si="59">(J55-$B55)/$B$4</f>
        <v>#DIV/0!</v>
      </c>
      <c r="K118" s="1" t="e">
        <f t="shared" si="59"/>
        <v>#DIV/0!</v>
      </c>
      <c r="L118" s="1" t="e">
        <f t="shared" si="59"/>
        <v>#DIV/0!</v>
      </c>
      <c r="M118" s="1" t="e">
        <f t="shared" si="59"/>
        <v>#DIV/0!</v>
      </c>
      <c r="N118" s="1" t="e">
        <f t="shared" si="59"/>
        <v>#DIV/0!</v>
      </c>
      <c r="O118" s="1" t="e">
        <f t="shared" si="59"/>
        <v>#DIV/0!</v>
      </c>
      <c r="P118" s="1" t="e">
        <f t="shared" si="59"/>
        <v>#DIV/0!</v>
      </c>
      <c r="Q118" s="1" t="e">
        <f t="shared" si="59"/>
        <v>#DIV/0!</v>
      </c>
      <c r="R118" s="1" t="e">
        <f t="shared" si="59"/>
        <v>#DIV/0!</v>
      </c>
      <c r="S118" s="1" t="e">
        <f t="shared" si="59"/>
        <v>#DIV/0!</v>
      </c>
      <c r="T118" s="1" t="e">
        <f t="shared" si="59"/>
        <v>#DIV/0!</v>
      </c>
      <c r="U118" s="1" t="e">
        <f t="shared" si="59"/>
        <v>#DIV/0!</v>
      </c>
      <c r="V118" s="1" t="e">
        <f t="shared" si="59"/>
        <v>#DIV/0!</v>
      </c>
      <c r="W118" s="1" t="e">
        <f t="shared" si="59"/>
        <v>#DIV/0!</v>
      </c>
      <c r="X118" s="1" t="e">
        <f t="shared" si="59"/>
        <v>#DIV/0!</v>
      </c>
      <c r="Y118" s="1" t="e">
        <f t="shared" si="59"/>
        <v>#DIV/0!</v>
      </c>
      <c r="Z118" s="1" t="e">
        <f t="shared" si="59"/>
        <v>#DIV/0!</v>
      </c>
      <c r="AA118" s="1" t="e">
        <f t="shared" si="59"/>
        <v>#DIV/0!</v>
      </c>
      <c r="AB118" s="1" t="e">
        <f t="shared" si="59"/>
        <v>#DIV/0!</v>
      </c>
      <c r="AC118" s="1" t="e">
        <f t="shared" si="59"/>
        <v>#DIV/0!</v>
      </c>
      <c r="AD118" s="1" t="e">
        <f t="shared" si="59"/>
        <v>#DIV/0!</v>
      </c>
      <c r="AE118" s="1" t="e">
        <f t="shared" si="59"/>
        <v>#DIV/0!</v>
      </c>
      <c r="AF118" s="1" t="e">
        <f t="shared" si="59"/>
        <v>#DIV/0!</v>
      </c>
      <c r="AG118" s="1" t="e">
        <f t="shared" si="59"/>
        <v>#DIV/0!</v>
      </c>
      <c r="AH118" s="1" t="e">
        <f t="shared" si="59"/>
        <v>#DIV/0!</v>
      </c>
      <c r="AI118" s="1" t="e">
        <f t="shared" si="59"/>
        <v>#DIV/0!</v>
      </c>
      <c r="AJ118" s="1" t="e">
        <f t="shared" si="59"/>
        <v>#DIV/0!</v>
      </c>
    </row>
    <row r="119" spans="1:36">
      <c r="A119" s="29">
        <f t="shared" si="41"/>
        <v>57</v>
      </c>
      <c r="B119" s="74"/>
      <c r="C119" s="74"/>
      <c r="D119" s="74"/>
      <c r="E119" s="1" t="e">
        <f t="shared" si="50"/>
        <v>#DIV/0!</v>
      </c>
      <c r="F119" s="1" t="e">
        <f t="shared" si="50"/>
        <v>#DIV/0!</v>
      </c>
      <c r="G119" s="1" t="e">
        <f t="shared" si="50"/>
        <v>#DIV/0!</v>
      </c>
      <c r="H119" s="1" t="e">
        <f t="shared" si="50"/>
        <v>#DIV/0!</v>
      </c>
      <c r="I119" s="1" t="e">
        <f t="shared" si="50"/>
        <v>#DIV/0!</v>
      </c>
      <c r="J119" s="1" t="e">
        <f t="shared" ref="J119:AJ119" si="60">(J56-$B56)/$B$4</f>
        <v>#DIV/0!</v>
      </c>
      <c r="K119" s="1" t="e">
        <f t="shared" si="60"/>
        <v>#DIV/0!</v>
      </c>
      <c r="L119" s="1" t="e">
        <f t="shared" si="60"/>
        <v>#DIV/0!</v>
      </c>
      <c r="M119" s="1" t="e">
        <f t="shared" si="60"/>
        <v>#DIV/0!</v>
      </c>
      <c r="N119" s="1" t="e">
        <f t="shared" si="60"/>
        <v>#DIV/0!</v>
      </c>
      <c r="O119" s="1" t="e">
        <f t="shared" si="60"/>
        <v>#DIV/0!</v>
      </c>
      <c r="P119" s="1" t="e">
        <f t="shared" si="60"/>
        <v>#DIV/0!</v>
      </c>
      <c r="Q119" s="1" t="e">
        <f t="shared" si="60"/>
        <v>#DIV/0!</v>
      </c>
      <c r="R119" s="1" t="e">
        <f t="shared" si="60"/>
        <v>#DIV/0!</v>
      </c>
      <c r="S119" s="1" t="e">
        <f t="shared" si="60"/>
        <v>#DIV/0!</v>
      </c>
      <c r="T119" s="1" t="e">
        <f t="shared" si="60"/>
        <v>#DIV/0!</v>
      </c>
      <c r="U119" s="1" t="e">
        <f t="shared" si="60"/>
        <v>#DIV/0!</v>
      </c>
      <c r="V119" s="1" t="e">
        <f t="shared" si="60"/>
        <v>#DIV/0!</v>
      </c>
      <c r="W119" s="1" t="e">
        <f t="shared" si="60"/>
        <v>#DIV/0!</v>
      </c>
      <c r="X119" s="1" t="e">
        <f t="shared" si="60"/>
        <v>#DIV/0!</v>
      </c>
      <c r="Y119" s="1" t="e">
        <f t="shared" si="60"/>
        <v>#DIV/0!</v>
      </c>
      <c r="Z119" s="1" t="e">
        <f t="shared" si="60"/>
        <v>#DIV/0!</v>
      </c>
      <c r="AA119" s="1" t="e">
        <f t="shared" si="60"/>
        <v>#DIV/0!</v>
      </c>
      <c r="AB119" s="1" t="e">
        <f t="shared" si="60"/>
        <v>#DIV/0!</v>
      </c>
      <c r="AC119" s="1" t="e">
        <f t="shared" si="60"/>
        <v>#DIV/0!</v>
      </c>
      <c r="AD119" s="1" t="e">
        <f t="shared" si="60"/>
        <v>#DIV/0!</v>
      </c>
      <c r="AE119" s="1" t="e">
        <f t="shared" si="60"/>
        <v>#DIV/0!</v>
      </c>
      <c r="AF119" s="1" t="e">
        <f t="shared" si="60"/>
        <v>#DIV/0!</v>
      </c>
      <c r="AG119" s="1" t="e">
        <f t="shared" si="60"/>
        <v>#DIV/0!</v>
      </c>
      <c r="AH119" s="1" t="e">
        <f t="shared" si="60"/>
        <v>#DIV/0!</v>
      </c>
      <c r="AI119" s="1" t="e">
        <f t="shared" si="60"/>
        <v>#DIV/0!</v>
      </c>
      <c r="AJ119" s="1" t="e">
        <f t="shared" si="60"/>
        <v>#DIV/0!</v>
      </c>
    </row>
    <row r="120" spans="1:36">
      <c r="A120" s="29">
        <f t="shared" si="41"/>
        <v>60</v>
      </c>
      <c r="B120" s="74"/>
      <c r="C120" s="74"/>
      <c r="D120" s="74"/>
      <c r="E120" s="1" t="e">
        <f t="shared" ref="E120:I129" si="61">(E57-$B57)/$B$4</f>
        <v>#DIV/0!</v>
      </c>
      <c r="F120" s="1" t="e">
        <f t="shared" si="61"/>
        <v>#DIV/0!</v>
      </c>
      <c r="G120" s="1" t="e">
        <f t="shared" si="61"/>
        <v>#DIV/0!</v>
      </c>
      <c r="H120" s="1" t="e">
        <f t="shared" si="61"/>
        <v>#DIV/0!</v>
      </c>
      <c r="I120" s="1" t="e">
        <f t="shared" si="61"/>
        <v>#DIV/0!</v>
      </c>
      <c r="J120" s="1" t="e">
        <f t="shared" ref="J120:AJ120" si="62">(J57-$B57)/$B$4</f>
        <v>#DIV/0!</v>
      </c>
      <c r="K120" s="1" t="e">
        <f t="shared" si="62"/>
        <v>#DIV/0!</v>
      </c>
      <c r="L120" s="1" t="e">
        <f t="shared" si="62"/>
        <v>#DIV/0!</v>
      </c>
      <c r="M120" s="1" t="e">
        <f t="shared" si="62"/>
        <v>#DIV/0!</v>
      </c>
      <c r="N120" s="1" t="e">
        <f t="shared" si="62"/>
        <v>#DIV/0!</v>
      </c>
      <c r="O120" s="1" t="e">
        <f t="shared" si="62"/>
        <v>#DIV/0!</v>
      </c>
      <c r="P120" s="1" t="e">
        <f t="shared" si="62"/>
        <v>#DIV/0!</v>
      </c>
      <c r="Q120" s="1" t="e">
        <f t="shared" si="62"/>
        <v>#DIV/0!</v>
      </c>
      <c r="R120" s="1" t="e">
        <f t="shared" si="62"/>
        <v>#DIV/0!</v>
      </c>
      <c r="S120" s="1" t="e">
        <f t="shared" si="62"/>
        <v>#DIV/0!</v>
      </c>
      <c r="T120" s="1" t="e">
        <f t="shared" si="62"/>
        <v>#DIV/0!</v>
      </c>
      <c r="U120" s="1" t="e">
        <f t="shared" si="62"/>
        <v>#DIV/0!</v>
      </c>
      <c r="V120" s="1" t="e">
        <f t="shared" si="62"/>
        <v>#DIV/0!</v>
      </c>
      <c r="W120" s="1" t="e">
        <f t="shared" si="62"/>
        <v>#DIV/0!</v>
      </c>
      <c r="X120" s="1" t="e">
        <f t="shared" si="62"/>
        <v>#DIV/0!</v>
      </c>
      <c r="Y120" s="1" t="e">
        <f t="shared" si="62"/>
        <v>#DIV/0!</v>
      </c>
      <c r="Z120" s="1" t="e">
        <f t="shared" si="62"/>
        <v>#DIV/0!</v>
      </c>
      <c r="AA120" s="1" t="e">
        <f t="shared" si="62"/>
        <v>#DIV/0!</v>
      </c>
      <c r="AB120" s="1" t="e">
        <f t="shared" si="62"/>
        <v>#DIV/0!</v>
      </c>
      <c r="AC120" s="1" t="e">
        <f t="shared" si="62"/>
        <v>#DIV/0!</v>
      </c>
      <c r="AD120" s="1" t="e">
        <f t="shared" si="62"/>
        <v>#DIV/0!</v>
      </c>
      <c r="AE120" s="1" t="e">
        <f t="shared" si="62"/>
        <v>#DIV/0!</v>
      </c>
      <c r="AF120" s="1" t="e">
        <f t="shared" si="62"/>
        <v>#DIV/0!</v>
      </c>
      <c r="AG120" s="1" t="e">
        <f t="shared" si="62"/>
        <v>#DIV/0!</v>
      </c>
      <c r="AH120" s="1" t="e">
        <f t="shared" si="62"/>
        <v>#DIV/0!</v>
      </c>
      <c r="AI120" s="1" t="e">
        <f t="shared" si="62"/>
        <v>#DIV/0!</v>
      </c>
      <c r="AJ120" s="1" t="e">
        <f t="shared" si="62"/>
        <v>#DIV/0!</v>
      </c>
    </row>
    <row r="121" spans="1:36">
      <c r="A121" s="29">
        <f t="shared" si="41"/>
        <v>63</v>
      </c>
      <c r="B121" s="74"/>
      <c r="C121" s="74"/>
      <c r="D121" s="74"/>
      <c r="E121" s="1" t="e">
        <f t="shared" si="61"/>
        <v>#DIV/0!</v>
      </c>
      <c r="F121" s="1" t="e">
        <f t="shared" si="61"/>
        <v>#DIV/0!</v>
      </c>
      <c r="G121" s="1" t="e">
        <f t="shared" si="61"/>
        <v>#DIV/0!</v>
      </c>
      <c r="H121" s="1" t="e">
        <f t="shared" si="61"/>
        <v>#DIV/0!</v>
      </c>
      <c r="I121" s="1" t="e">
        <f t="shared" si="61"/>
        <v>#DIV/0!</v>
      </c>
      <c r="J121" s="1" t="e">
        <f t="shared" ref="J121:AJ121" si="63">(J58-$B58)/$B$4</f>
        <v>#DIV/0!</v>
      </c>
      <c r="K121" s="1" t="e">
        <f t="shared" si="63"/>
        <v>#DIV/0!</v>
      </c>
      <c r="L121" s="1" t="e">
        <f t="shared" si="63"/>
        <v>#DIV/0!</v>
      </c>
      <c r="M121" s="1" t="e">
        <f t="shared" si="63"/>
        <v>#DIV/0!</v>
      </c>
      <c r="N121" s="1" t="e">
        <f t="shared" si="63"/>
        <v>#DIV/0!</v>
      </c>
      <c r="O121" s="1" t="e">
        <f t="shared" si="63"/>
        <v>#DIV/0!</v>
      </c>
      <c r="P121" s="1" t="e">
        <f t="shared" si="63"/>
        <v>#DIV/0!</v>
      </c>
      <c r="Q121" s="1" t="e">
        <f t="shared" si="63"/>
        <v>#DIV/0!</v>
      </c>
      <c r="R121" s="1" t="e">
        <f t="shared" si="63"/>
        <v>#DIV/0!</v>
      </c>
      <c r="S121" s="1" t="e">
        <f t="shared" si="63"/>
        <v>#DIV/0!</v>
      </c>
      <c r="T121" s="1" t="e">
        <f t="shared" si="63"/>
        <v>#DIV/0!</v>
      </c>
      <c r="U121" s="1" t="e">
        <f t="shared" si="63"/>
        <v>#DIV/0!</v>
      </c>
      <c r="V121" s="1" t="e">
        <f t="shared" si="63"/>
        <v>#DIV/0!</v>
      </c>
      <c r="W121" s="1" t="e">
        <f t="shared" si="63"/>
        <v>#DIV/0!</v>
      </c>
      <c r="X121" s="1" t="e">
        <f t="shared" si="63"/>
        <v>#DIV/0!</v>
      </c>
      <c r="Y121" s="1" t="e">
        <f t="shared" si="63"/>
        <v>#DIV/0!</v>
      </c>
      <c r="Z121" s="1" t="e">
        <f t="shared" si="63"/>
        <v>#DIV/0!</v>
      </c>
      <c r="AA121" s="1" t="e">
        <f t="shared" si="63"/>
        <v>#DIV/0!</v>
      </c>
      <c r="AB121" s="1" t="e">
        <f t="shared" si="63"/>
        <v>#DIV/0!</v>
      </c>
      <c r="AC121" s="1" t="e">
        <f t="shared" si="63"/>
        <v>#DIV/0!</v>
      </c>
      <c r="AD121" s="1" t="e">
        <f t="shared" si="63"/>
        <v>#DIV/0!</v>
      </c>
      <c r="AE121" s="1" t="e">
        <f t="shared" si="63"/>
        <v>#DIV/0!</v>
      </c>
      <c r="AF121" s="1" t="e">
        <f t="shared" si="63"/>
        <v>#DIV/0!</v>
      </c>
      <c r="AG121" s="1" t="e">
        <f t="shared" si="63"/>
        <v>#DIV/0!</v>
      </c>
      <c r="AH121" s="1" t="e">
        <f t="shared" si="63"/>
        <v>#DIV/0!</v>
      </c>
      <c r="AI121" s="1" t="e">
        <f t="shared" si="63"/>
        <v>#DIV/0!</v>
      </c>
      <c r="AJ121" s="1" t="e">
        <f t="shared" si="63"/>
        <v>#DIV/0!</v>
      </c>
    </row>
    <row r="122" spans="1:36">
      <c r="A122" s="29">
        <f t="shared" si="41"/>
        <v>66</v>
      </c>
      <c r="B122" s="74"/>
      <c r="C122" s="74"/>
      <c r="D122" s="74"/>
      <c r="E122" s="1" t="e">
        <f t="shared" si="61"/>
        <v>#DIV/0!</v>
      </c>
      <c r="F122" s="1" t="e">
        <f t="shared" si="61"/>
        <v>#DIV/0!</v>
      </c>
      <c r="G122" s="1" t="e">
        <f t="shared" si="61"/>
        <v>#DIV/0!</v>
      </c>
      <c r="H122" s="1" t="e">
        <f t="shared" si="61"/>
        <v>#DIV/0!</v>
      </c>
      <c r="I122" s="1" t="e">
        <f t="shared" si="61"/>
        <v>#DIV/0!</v>
      </c>
      <c r="J122" s="1" t="e">
        <f t="shared" ref="J122:AJ122" si="64">(J59-$B59)/$B$4</f>
        <v>#DIV/0!</v>
      </c>
      <c r="K122" s="1" t="e">
        <f t="shared" si="64"/>
        <v>#DIV/0!</v>
      </c>
      <c r="L122" s="1" t="e">
        <f t="shared" si="64"/>
        <v>#DIV/0!</v>
      </c>
      <c r="M122" s="1" t="e">
        <f t="shared" si="64"/>
        <v>#DIV/0!</v>
      </c>
      <c r="N122" s="1" t="e">
        <f t="shared" si="64"/>
        <v>#DIV/0!</v>
      </c>
      <c r="O122" s="1" t="e">
        <f t="shared" si="64"/>
        <v>#DIV/0!</v>
      </c>
      <c r="P122" s="1" t="e">
        <f t="shared" si="64"/>
        <v>#DIV/0!</v>
      </c>
      <c r="Q122" s="1" t="e">
        <f t="shared" si="64"/>
        <v>#DIV/0!</v>
      </c>
      <c r="R122" s="1" t="e">
        <f t="shared" si="64"/>
        <v>#DIV/0!</v>
      </c>
      <c r="S122" s="1" t="e">
        <f t="shared" si="64"/>
        <v>#DIV/0!</v>
      </c>
      <c r="T122" s="1" t="e">
        <f t="shared" si="64"/>
        <v>#DIV/0!</v>
      </c>
      <c r="U122" s="1" t="e">
        <f t="shared" si="64"/>
        <v>#DIV/0!</v>
      </c>
      <c r="V122" s="1" t="e">
        <f t="shared" si="64"/>
        <v>#DIV/0!</v>
      </c>
      <c r="W122" s="1" t="e">
        <f t="shared" si="64"/>
        <v>#DIV/0!</v>
      </c>
      <c r="X122" s="1" t="e">
        <f t="shared" si="64"/>
        <v>#DIV/0!</v>
      </c>
      <c r="Y122" s="1" t="e">
        <f t="shared" si="64"/>
        <v>#DIV/0!</v>
      </c>
      <c r="Z122" s="1" t="e">
        <f t="shared" si="64"/>
        <v>#DIV/0!</v>
      </c>
      <c r="AA122" s="1" t="e">
        <f t="shared" si="64"/>
        <v>#DIV/0!</v>
      </c>
      <c r="AB122" s="1" t="e">
        <f t="shared" si="64"/>
        <v>#DIV/0!</v>
      </c>
      <c r="AC122" s="1" t="e">
        <f t="shared" si="64"/>
        <v>#DIV/0!</v>
      </c>
      <c r="AD122" s="1" t="e">
        <f t="shared" si="64"/>
        <v>#DIV/0!</v>
      </c>
      <c r="AE122" s="1" t="e">
        <f t="shared" si="64"/>
        <v>#DIV/0!</v>
      </c>
      <c r="AF122" s="1" t="e">
        <f t="shared" si="64"/>
        <v>#DIV/0!</v>
      </c>
      <c r="AG122" s="1" t="e">
        <f t="shared" si="64"/>
        <v>#DIV/0!</v>
      </c>
      <c r="AH122" s="1" t="e">
        <f t="shared" si="64"/>
        <v>#DIV/0!</v>
      </c>
      <c r="AI122" s="1" t="e">
        <f t="shared" si="64"/>
        <v>#DIV/0!</v>
      </c>
      <c r="AJ122" s="1" t="e">
        <f t="shared" si="64"/>
        <v>#DIV/0!</v>
      </c>
    </row>
    <row r="123" spans="1:36">
      <c r="A123" s="29">
        <f t="shared" si="41"/>
        <v>69</v>
      </c>
      <c r="B123" s="74"/>
      <c r="C123" s="74"/>
      <c r="D123" s="74"/>
      <c r="E123" s="1" t="e">
        <f t="shared" si="61"/>
        <v>#DIV/0!</v>
      </c>
      <c r="F123" s="1" t="e">
        <f t="shared" si="61"/>
        <v>#DIV/0!</v>
      </c>
      <c r="G123" s="1" t="e">
        <f t="shared" si="61"/>
        <v>#DIV/0!</v>
      </c>
      <c r="H123" s="1" t="e">
        <f t="shared" si="61"/>
        <v>#DIV/0!</v>
      </c>
      <c r="I123" s="1" t="e">
        <f t="shared" si="61"/>
        <v>#DIV/0!</v>
      </c>
      <c r="J123" s="1" t="e">
        <f t="shared" ref="J123:AJ123" si="65">(J60-$B60)/$B$4</f>
        <v>#DIV/0!</v>
      </c>
      <c r="K123" s="1" t="e">
        <f t="shared" si="65"/>
        <v>#DIV/0!</v>
      </c>
      <c r="L123" s="1" t="e">
        <f t="shared" si="65"/>
        <v>#DIV/0!</v>
      </c>
      <c r="M123" s="1" t="e">
        <f t="shared" si="65"/>
        <v>#DIV/0!</v>
      </c>
      <c r="N123" s="1" t="e">
        <f t="shared" si="65"/>
        <v>#DIV/0!</v>
      </c>
      <c r="O123" s="1" t="e">
        <f t="shared" si="65"/>
        <v>#DIV/0!</v>
      </c>
      <c r="P123" s="1" t="e">
        <f t="shared" si="65"/>
        <v>#DIV/0!</v>
      </c>
      <c r="Q123" s="1" t="e">
        <f t="shared" si="65"/>
        <v>#DIV/0!</v>
      </c>
      <c r="R123" s="1" t="e">
        <f t="shared" si="65"/>
        <v>#DIV/0!</v>
      </c>
      <c r="S123" s="1" t="e">
        <f t="shared" si="65"/>
        <v>#DIV/0!</v>
      </c>
      <c r="T123" s="1" t="e">
        <f t="shared" si="65"/>
        <v>#DIV/0!</v>
      </c>
      <c r="U123" s="1" t="e">
        <f t="shared" si="65"/>
        <v>#DIV/0!</v>
      </c>
      <c r="V123" s="1" t="e">
        <f t="shared" si="65"/>
        <v>#DIV/0!</v>
      </c>
      <c r="W123" s="1" t="e">
        <f t="shared" si="65"/>
        <v>#DIV/0!</v>
      </c>
      <c r="X123" s="1" t="e">
        <f t="shared" si="65"/>
        <v>#DIV/0!</v>
      </c>
      <c r="Y123" s="1" t="e">
        <f t="shared" si="65"/>
        <v>#DIV/0!</v>
      </c>
      <c r="Z123" s="1" t="e">
        <f t="shared" si="65"/>
        <v>#DIV/0!</v>
      </c>
      <c r="AA123" s="1" t="e">
        <f t="shared" si="65"/>
        <v>#DIV/0!</v>
      </c>
      <c r="AB123" s="1" t="e">
        <f t="shared" si="65"/>
        <v>#DIV/0!</v>
      </c>
      <c r="AC123" s="1" t="e">
        <f t="shared" si="65"/>
        <v>#DIV/0!</v>
      </c>
      <c r="AD123" s="1" t="e">
        <f t="shared" si="65"/>
        <v>#DIV/0!</v>
      </c>
      <c r="AE123" s="1" t="e">
        <f t="shared" si="65"/>
        <v>#DIV/0!</v>
      </c>
      <c r="AF123" s="1" t="e">
        <f t="shared" si="65"/>
        <v>#DIV/0!</v>
      </c>
      <c r="AG123" s="1" t="e">
        <f t="shared" si="65"/>
        <v>#DIV/0!</v>
      </c>
      <c r="AH123" s="1" t="e">
        <f t="shared" si="65"/>
        <v>#DIV/0!</v>
      </c>
      <c r="AI123" s="1" t="e">
        <f t="shared" si="65"/>
        <v>#DIV/0!</v>
      </c>
      <c r="AJ123" s="1" t="e">
        <f t="shared" si="65"/>
        <v>#DIV/0!</v>
      </c>
    </row>
    <row r="124" spans="1:36">
      <c r="A124" s="29">
        <f t="shared" si="41"/>
        <v>72</v>
      </c>
      <c r="B124" s="74"/>
      <c r="C124" s="74"/>
      <c r="D124" s="74"/>
      <c r="E124" s="1" t="e">
        <f t="shared" si="61"/>
        <v>#DIV/0!</v>
      </c>
      <c r="F124" s="1" t="e">
        <f t="shared" si="61"/>
        <v>#DIV/0!</v>
      </c>
      <c r="G124" s="1" t="e">
        <f t="shared" si="61"/>
        <v>#DIV/0!</v>
      </c>
      <c r="H124" s="1" t="e">
        <f t="shared" si="61"/>
        <v>#DIV/0!</v>
      </c>
      <c r="I124" s="1" t="e">
        <f t="shared" si="61"/>
        <v>#DIV/0!</v>
      </c>
      <c r="J124" s="1" t="e">
        <f t="shared" ref="J124:AJ124" si="66">(J61-$B61)/$B$4</f>
        <v>#DIV/0!</v>
      </c>
      <c r="K124" s="1" t="e">
        <f t="shared" si="66"/>
        <v>#DIV/0!</v>
      </c>
      <c r="L124" s="1" t="e">
        <f t="shared" si="66"/>
        <v>#DIV/0!</v>
      </c>
      <c r="M124" s="1" t="e">
        <f t="shared" si="66"/>
        <v>#DIV/0!</v>
      </c>
      <c r="N124" s="1" t="e">
        <f t="shared" si="66"/>
        <v>#DIV/0!</v>
      </c>
      <c r="O124" s="1" t="e">
        <f t="shared" si="66"/>
        <v>#DIV/0!</v>
      </c>
      <c r="P124" s="1" t="e">
        <f t="shared" si="66"/>
        <v>#DIV/0!</v>
      </c>
      <c r="Q124" s="1" t="e">
        <f t="shared" si="66"/>
        <v>#DIV/0!</v>
      </c>
      <c r="R124" s="1" t="e">
        <f t="shared" si="66"/>
        <v>#DIV/0!</v>
      </c>
      <c r="S124" s="1" t="e">
        <f t="shared" si="66"/>
        <v>#DIV/0!</v>
      </c>
      <c r="T124" s="1" t="e">
        <f t="shared" si="66"/>
        <v>#DIV/0!</v>
      </c>
      <c r="U124" s="1" t="e">
        <f t="shared" si="66"/>
        <v>#DIV/0!</v>
      </c>
      <c r="V124" s="1" t="e">
        <f t="shared" si="66"/>
        <v>#DIV/0!</v>
      </c>
      <c r="W124" s="1" t="e">
        <f t="shared" si="66"/>
        <v>#DIV/0!</v>
      </c>
      <c r="X124" s="1" t="e">
        <f t="shared" si="66"/>
        <v>#DIV/0!</v>
      </c>
      <c r="Y124" s="1" t="e">
        <f t="shared" si="66"/>
        <v>#DIV/0!</v>
      </c>
      <c r="Z124" s="1" t="e">
        <f t="shared" si="66"/>
        <v>#DIV/0!</v>
      </c>
      <c r="AA124" s="1" t="e">
        <f t="shared" si="66"/>
        <v>#DIV/0!</v>
      </c>
      <c r="AB124" s="1" t="e">
        <f t="shared" si="66"/>
        <v>#DIV/0!</v>
      </c>
      <c r="AC124" s="1" t="e">
        <f t="shared" si="66"/>
        <v>#DIV/0!</v>
      </c>
      <c r="AD124" s="1" t="e">
        <f t="shared" si="66"/>
        <v>#DIV/0!</v>
      </c>
      <c r="AE124" s="1" t="e">
        <f t="shared" si="66"/>
        <v>#DIV/0!</v>
      </c>
      <c r="AF124" s="1" t="e">
        <f t="shared" si="66"/>
        <v>#DIV/0!</v>
      </c>
      <c r="AG124" s="1" t="e">
        <f t="shared" si="66"/>
        <v>#DIV/0!</v>
      </c>
      <c r="AH124" s="1" t="e">
        <f t="shared" si="66"/>
        <v>#DIV/0!</v>
      </c>
      <c r="AI124" s="1" t="e">
        <f t="shared" si="66"/>
        <v>#DIV/0!</v>
      </c>
      <c r="AJ124" s="1" t="e">
        <f t="shared" si="66"/>
        <v>#DIV/0!</v>
      </c>
    </row>
    <row r="125" spans="1:36">
      <c r="A125" s="29">
        <f t="shared" si="41"/>
        <v>75</v>
      </c>
      <c r="B125" s="74"/>
      <c r="C125" s="74"/>
      <c r="D125" s="74"/>
      <c r="E125" s="1" t="e">
        <f t="shared" si="61"/>
        <v>#DIV/0!</v>
      </c>
      <c r="F125" s="1" t="e">
        <f t="shared" si="61"/>
        <v>#DIV/0!</v>
      </c>
      <c r="G125" s="1" t="e">
        <f t="shared" si="61"/>
        <v>#DIV/0!</v>
      </c>
      <c r="H125" s="1" t="e">
        <f t="shared" si="61"/>
        <v>#DIV/0!</v>
      </c>
      <c r="I125" s="1" t="e">
        <f t="shared" si="61"/>
        <v>#DIV/0!</v>
      </c>
      <c r="J125" s="1" t="e">
        <f t="shared" ref="J125:AJ125" si="67">(J62-$B62)/$B$4</f>
        <v>#DIV/0!</v>
      </c>
      <c r="K125" s="1" t="e">
        <f t="shared" si="67"/>
        <v>#DIV/0!</v>
      </c>
      <c r="L125" s="1" t="e">
        <f t="shared" si="67"/>
        <v>#DIV/0!</v>
      </c>
      <c r="M125" s="1" t="e">
        <f t="shared" si="67"/>
        <v>#DIV/0!</v>
      </c>
      <c r="N125" s="1" t="e">
        <f t="shared" si="67"/>
        <v>#DIV/0!</v>
      </c>
      <c r="O125" s="1" t="e">
        <f t="shared" si="67"/>
        <v>#DIV/0!</v>
      </c>
      <c r="P125" s="1" t="e">
        <f t="shared" si="67"/>
        <v>#DIV/0!</v>
      </c>
      <c r="Q125" s="1" t="e">
        <f t="shared" si="67"/>
        <v>#DIV/0!</v>
      </c>
      <c r="R125" s="1" t="e">
        <f t="shared" si="67"/>
        <v>#DIV/0!</v>
      </c>
      <c r="S125" s="1" t="e">
        <f t="shared" si="67"/>
        <v>#DIV/0!</v>
      </c>
      <c r="T125" s="1" t="e">
        <f t="shared" si="67"/>
        <v>#DIV/0!</v>
      </c>
      <c r="U125" s="1" t="e">
        <f t="shared" si="67"/>
        <v>#DIV/0!</v>
      </c>
      <c r="V125" s="1" t="e">
        <f t="shared" si="67"/>
        <v>#DIV/0!</v>
      </c>
      <c r="W125" s="1" t="e">
        <f t="shared" si="67"/>
        <v>#DIV/0!</v>
      </c>
      <c r="X125" s="1" t="e">
        <f t="shared" si="67"/>
        <v>#DIV/0!</v>
      </c>
      <c r="Y125" s="1" t="e">
        <f t="shared" si="67"/>
        <v>#DIV/0!</v>
      </c>
      <c r="Z125" s="1" t="e">
        <f t="shared" si="67"/>
        <v>#DIV/0!</v>
      </c>
      <c r="AA125" s="1" t="e">
        <f t="shared" si="67"/>
        <v>#DIV/0!</v>
      </c>
      <c r="AB125" s="1" t="e">
        <f t="shared" si="67"/>
        <v>#DIV/0!</v>
      </c>
      <c r="AC125" s="1" t="e">
        <f t="shared" si="67"/>
        <v>#DIV/0!</v>
      </c>
      <c r="AD125" s="1" t="e">
        <f t="shared" si="67"/>
        <v>#DIV/0!</v>
      </c>
      <c r="AE125" s="1" t="e">
        <f t="shared" si="67"/>
        <v>#DIV/0!</v>
      </c>
      <c r="AF125" s="1" t="e">
        <f t="shared" si="67"/>
        <v>#DIV/0!</v>
      </c>
      <c r="AG125" s="1" t="e">
        <f t="shared" si="67"/>
        <v>#DIV/0!</v>
      </c>
      <c r="AH125" s="1" t="e">
        <f t="shared" si="67"/>
        <v>#DIV/0!</v>
      </c>
      <c r="AI125" s="1" t="e">
        <f t="shared" si="67"/>
        <v>#DIV/0!</v>
      </c>
      <c r="AJ125" s="1" t="e">
        <f t="shared" si="67"/>
        <v>#DIV/0!</v>
      </c>
    </row>
    <row r="126" spans="1:36">
      <c r="A126" s="29">
        <f t="shared" si="41"/>
        <v>78</v>
      </c>
      <c r="B126" s="74"/>
      <c r="C126" s="74"/>
      <c r="D126" s="74"/>
      <c r="E126" s="1" t="e">
        <f t="shared" si="61"/>
        <v>#DIV/0!</v>
      </c>
      <c r="F126" s="1" t="e">
        <f t="shared" si="61"/>
        <v>#DIV/0!</v>
      </c>
      <c r="G126" s="1" t="e">
        <f t="shared" si="61"/>
        <v>#DIV/0!</v>
      </c>
      <c r="H126" s="1" t="e">
        <f t="shared" si="61"/>
        <v>#DIV/0!</v>
      </c>
      <c r="I126" s="1" t="e">
        <f t="shared" si="61"/>
        <v>#DIV/0!</v>
      </c>
      <c r="J126" s="1" t="e">
        <f t="shared" ref="J126:AJ126" si="68">(J63-$B63)/$B$4</f>
        <v>#DIV/0!</v>
      </c>
      <c r="K126" s="1" t="e">
        <f t="shared" si="68"/>
        <v>#DIV/0!</v>
      </c>
      <c r="L126" s="1" t="e">
        <f t="shared" si="68"/>
        <v>#DIV/0!</v>
      </c>
      <c r="M126" s="1" t="e">
        <f t="shared" si="68"/>
        <v>#DIV/0!</v>
      </c>
      <c r="N126" s="1" t="e">
        <f t="shared" si="68"/>
        <v>#DIV/0!</v>
      </c>
      <c r="O126" s="1" t="e">
        <f t="shared" si="68"/>
        <v>#DIV/0!</v>
      </c>
      <c r="P126" s="1" t="e">
        <f t="shared" si="68"/>
        <v>#DIV/0!</v>
      </c>
      <c r="Q126" s="1" t="e">
        <f t="shared" si="68"/>
        <v>#DIV/0!</v>
      </c>
      <c r="R126" s="1" t="e">
        <f t="shared" si="68"/>
        <v>#DIV/0!</v>
      </c>
      <c r="S126" s="1" t="e">
        <f t="shared" si="68"/>
        <v>#DIV/0!</v>
      </c>
      <c r="T126" s="1" t="e">
        <f t="shared" si="68"/>
        <v>#DIV/0!</v>
      </c>
      <c r="U126" s="1" t="e">
        <f t="shared" si="68"/>
        <v>#DIV/0!</v>
      </c>
      <c r="V126" s="1" t="e">
        <f t="shared" si="68"/>
        <v>#DIV/0!</v>
      </c>
      <c r="W126" s="1" t="e">
        <f t="shared" si="68"/>
        <v>#DIV/0!</v>
      </c>
      <c r="X126" s="1" t="e">
        <f t="shared" si="68"/>
        <v>#DIV/0!</v>
      </c>
      <c r="Y126" s="1" t="e">
        <f t="shared" si="68"/>
        <v>#DIV/0!</v>
      </c>
      <c r="Z126" s="1" t="e">
        <f t="shared" si="68"/>
        <v>#DIV/0!</v>
      </c>
      <c r="AA126" s="1" t="e">
        <f t="shared" si="68"/>
        <v>#DIV/0!</v>
      </c>
      <c r="AB126" s="1" t="e">
        <f t="shared" si="68"/>
        <v>#DIV/0!</v>
      </c>
      <c r="AC126" s="1" t="e">
        <f t="shared" si="68"/>
        <v>#DIV/0!</v>
      </c>
      <c r="AD126" s="1" t="e">
        <f t="shared" si="68"/>
        <v>#DIV/0!</v>
      </c>
      <c r="AE126" s="1" t="e">
        <f t="shared" si="68"/>
        <v>#DIV/0!</v>
      </c>
      <c r="AF126" s="1" t="e">
        <f t="shared" si="68"/>
        <v>#DIV/0!</v>
      </c>
      <c r="AG126" s="1" t="e">
        <f t="shared" si="68"/>
        <v>#DIV/0!</v>
      </c>
      <c r="AH126" s="1" t="e">
        <f t="shared" si="68"/>
        <v>#DIV/0!</v>
      </c>
      <c r="AI126" s="1" t="e">
        <f t="shared" si="68"/>
        <v>#DIV/0!</v>
      </c>
      <c r="AJ126" s="1" t="e">
        <f t="shared" si="68"/>
        <v>#DIV/0!</v>
      </c>
    </row>
    <row r="127" spans="1:36">
      <c r="A127" s="29">
        <f t="shared" si="41"/>
        <v>81</v>
      </c>
      <c r="B127" s="74"/>
      <c r="C127" s="74"/>
      <c r="D127" s="74"/>
      <c r="E127" s="1" t="e">
        <f t="shared" si="61"/>
        <v>#DIV/0!</v>
      </c>
      <c r="F127" s="1" t="e">
        <f t="shared" si="61"/>
        <v>#DIV/0!</v>
      </c>
      <c r="G127" s="1" t="e">
        <f t="shared" si="61"/>
        <v>#DIV/0!</v>
      </c>
      <c r="H127" s="1" t="e">
        <f t="shared" si="61"/>
        <v>#DIV/0!</v>
      </c>
      <c r="I127" s="1" t="e">
        <f t="shared" si="61"/>
        <v>#DIV/0!</v>
      </c>
      <c r="J127" s="1" t="e">
        <f t="shared" ref="J127:AJ127" si="69">(J64-$B64)/$B$4</f>
        <v>#DIV/0!</v>
      </c>
      <c r="K127" s="1" t="e">
        <f t="shared" si="69"/>
        <v>#DIV/0!</v>
      </c>
      <c r="L127" s="1" t="e">
        <f t="shared" si="69"/>
        <v>#DIV/0!</v>
      </c>
      <c r="M127" s="1" t="e">
        <f t="shared" si="69"/>
        <v>#DIV/0!</v>
      </c>
      <c r="N127" s="1" t="e">
        <f t="shared" si="69"/>
        <v>#DIV/0!</v>
      </c>
      <c r="O127" s="1" t="e">
        <f t="shared" si="69"/>
        <v>#DIV/0!</v>
      </c>
      <c r="P127" s="1" t="e">
        <f t="shared" si="69"/>
        <v>#DIV/0!</v>
      </c>
      <c r="Q127" s="1" t="e">
        <f t="shared" si="69"/>
        <v>#DIV/0!</v>
      </c>
      <c r="R127" s="1" t="e">
        <f t="shared" si="69"/>
        <v>#DIV/0!</v>
      </c>
      <c r="S127" s="1" t="e">
        <f t="shared" si="69"/>
        <v>#DIV/0!</v>
      </c>
      <c r="T127" s="1" t="e">
        <f t="shared" si="69"/>
        <v>#DIV/0!</v>
      </c>
      <c r="U127" s="1" t="e">
        <f t="shared" si="69"/>
        <v>#DIV/0!</v>
      </c>
      <c r="V127" s="1" t="e">
        <f t="shared" si="69"/>
        <v>#DIV/0!</v>
      </c>
      <c r="W127" s="1" t="e">
        <f t="shared" si="69"/>
        <v>#DIV/0!</v>
      </c>
      <c r="X127" s="1" t="e">
        <f t="shared" si="69"/>
        <v>#DIV/0!</v>
      </c>
      <c r="Y127" s="1" t="e">
        <f t="shared" si="69"/>
        <v>#DIV/0!</v>
      </c>
      <c r="Z127" s="1" t="e">
        <f t="shared" si="69"/>
        <v>#DIV/0!</v>
      </c>
      <c r="AA127" s="1" t="e">
        <f t="shared" si="69"/>
        <v>#DIV/0!</v>
      </c>
      <c r="AB127" s="1" t="e">
        <f t="shared" si="69"/>
        <v>#DIV/0!</v>
      </c>
      <c r="AC127" s="1" t="e">
        <f t="shared" si="69"/>
        <v>#DIV/0!</v>
      </c>
      <c r="AD127" s="1" t="e">
        <f t="shared" si="69"/>
        <v>#DIV/0!</v>
      </c>
      <c r="AE127" s="1" t="e">
        <f t="shared" si="69"/>
        <v>#DIV/0!</v>
      </c>
      <c r="AF127" s="1" t="e">
        <f t="shared" si="69"/>
        <v>#DIV/0!</v>
      </c>
      <c r="AG127" s="1" t="e">
        <f t="shared" si="69"/>
        <v>#DIV/0!</v>
      </c>
      <c r="AH127" s="1" t="e">
        <f t="shared" si="69"/>
        <v>#DIV/0!</v>
      </c>
      <c r="AI127" s="1" t="e">
        <f t="shared" si="69"/>
        <v>#DIV/0!</v>
      </c>
      <c r="AJ127" s="1" t="e">
        <f t="shared" si="69"/>
        <v>#DIV/0!</v>
      </c>
    </row>
    <row r="128" spans="1:36">
      <c r="A128" s="29">
        <f t="shared" si="41"/>
        <v>84</v>
      </c>
      <c r="B128" s="74"/>
      <c r="C128" s="74"/>
      <c r="D128" s="74"/>
      <c r="E128" s="1" t="e">
        <f t="shared" si="61"/>
        <v>#DIV/0!</v>
      </c>
      <c r="F128" s="1" t="e">
        <f t="shared" si="61"/>
        <v>#DIV/0!</v>
      </c>
      <c r="G128" s="1" t="e">
        <f t="shared" si="61"/>
        <v>#DIV/0!</v>
      </c>
      <c r="H128" s="1" t="e">
        <f t="shared" si="61"/>
        <v>#DIV/0!</v>
      </c>
      <c r="I128" s="1" t="e">
        <f t="shared" si="61"/>
        <v>#DIV/0!</v>
      </c>
      <c r="J128" s="1" t="e">
        <f t="shared" ref="J128:AJ128" si="70">(J65-$B65)/$B$4</f>
        <v>#DIV/0!</v>
      </c>
      <c r="K128" s="1" t="e">
        <f t="shared" si="70"/>
        <v>#DIV/0!</v>
      </c>
      <c r="L128" s="1" t="e">
        <f t="shared" si="70"/>
        <v>#DIV/0!</v>
      </c>
      <c r="M128" s="1" t="e">
        <f t="shared" si="70"/>
        <v>#DIV/0!</v>
      </c>
      <c r="N128" s="1" t="e">
        <f t="shared" si="70"/>
        <v>#DIV/0!</v>
      </c>
      <c r="O128" s="1" t="e">
        <f t="shared" si="70"/>
        <v>#DIV/0!</v>
      </c>
      <c r="P128" s="1" t="e">
        <f t="shared" si="70"/>
        <v>#DIV/0!</v>
      </c>
      <c r="Q128" s="1" t="e">
        <f t="shared" si="70"/>
        <v>#DIV/0!</v>
      </c>
      <c r="R128" s="1" t="e">
        <f t="shared" si="70"/>
        <v>#DIV/0!</v>
      </c>
      <c r="S128" s="1" t="e">
        <f t="shared" si="70"/>
        <v>#DIV/0!</v>
      </c>
      <c r="T128" s="1" t="e">
        <f t="shared" si="70"/>
        <v>#DIV/0!</v>
      </c>
      <c r="U128" s="1" t="e">
        <f t="shared" si="70"/>
        <v>#DIV/0!</v>
      </c>
      <c r="V128" s="1" t="e">
        <f t="shared" si="70"/>
        <v>#DIV/0!</v>
      </c>
      <c r="W128" s="1" t="e">
        <f t="shared" si="70"/>
        <v>#DIV/0!</v>
      </c>
      <c r="X128" s="1" t="e">
        <f t="shared" si="70"/>
        <v>#DIV/0!</v>
      </c>
      <c r="Y128" s="1" t="e">
        <f t="shared" si="70"/>
        <v>#DIV/0!</v>
      </c>
      <c r="Z128" s="1" t="e">
        <f t="shared" si="70"/>
        <v>#DIV/0!</v>
      </c>
      <c r="AA128" s="1" t="e">
        <f t="shared" si="70"/>
        <v>#DIV/0!</v>
      </c>
      <c r="AB128" s="1" t="e">
        <f t="shared" si="70"/>
        <v>#DIV/0!</v>
      </c>
      <c r="AC128" s="1" t="e">
        <f t="shared" si="70"/>
        <v>#DIV/0!</v>
      </c>
      <c r="AD128" s="1" t="e">
        <f t="shared" si="70"/>
        <v>#DIV/0!</v>
      </c>
      <c r="AE128" s="1" t="e">
        <f t="shared" si="70"/>
        <v>#DIV/0!</v>
      </c>
      <c r="AF128" s="1" t="e">
        <f t="shared" si="70"/>
        <v>#DIV/0!</v>
      </c>
      <c r="AG128" s="1" t="e">
        <f t="shared" si="70"/>
        <v>#DIV/0!</v>
      </c>
      <c r="AH128" s="1" t="e">
        <f t="shared" si="70"/>
        <v>#DIV/0!</v>
      </c>
      <c r="AI128" s="1" t="e">
        <f t="shared" si="70"/>
        <v>#DIV/0!</v>
      </c>
      <c r="AJ128" s="1" t="e">
        <f t="shared" si="70"/>
        <v>#DIV/0!</v>
      </c>
    </row>
    <row r="129" spans="1:36">
      <c r="A129" s="29">
        <f t="shared" si="41"/>
        <v>87</v>
      </c>
      <c r="B129" s="74"/>
      <c r="C129" s="74"/>
      <c r="D129" s="74"/>
      <c r="E129" s="1" t="e">
        <f t="shared" si="61"/>
        <v>#DIV/0!</v>
      </c>
      <c r="F129" s="1" t="e">
        <f t="shared" si="61"/>
        <v>#DIV/0!</v>
      </c>
      <c r="G129" s="1" t="e">
        <f t="shared" si="61"/>
        <v>#DIV/0!</v>
      </c>
      <c r="H129" s="1" t="e">
        <f t="shared" si="61"/>
        <v>#DIV/0!</v>
      </c>
      <c r="I129" s="1" t="e">
        <f t="shared" si="61"/>
        <v>#DIV/0!</v>
      </c>
      <c r="J129" s="1" t="e">
        <f t="shared" ref="J129:AJ129" si="71">(J66-$B66)/$B$4</f>
        <v>#DIV/0!</v>
      </c>
      <c r="K129" s="1" t="e">
        <f t="shared" si="71"/>
        <v>#DIV/0!</v>
      </c>
      <c r="L129" s="1" t="e">
        <f t="shared" si="71"/>
        <v>#DIV/0!</v>
      </c>
      <c r="M129" s="1" t="e">
        <f t="shared" si="71"/>
        <v>#DIV/0!</v>
      </c>
      <c r="N129" s="1" t="e">
        <f t="shared" si="71"/>
        <v>#DIV/0!</v>
      </c>
      <c r="O129" s="1" t="e">
        <f t="shared" si="71"/>
        <v>#DIV/0!</v>
      </c>
      <c r="P129" s="1" t="e">
        <f t="shared" si="71"/>
        <v>#DIV/0!</v>
      </c>
      <c r="Q129" s="1" t="e">
        <f t="shared" si="71"/>
        <v>#DIV/0!</v>
      </c>
      <c r="R129" s="1" t="e">
        <f t="shared" si="71"/>
        <v>#DIV/0!</v>
      </c>
      <c r="S129" s="1" t="e">
        <f t="shared" si="71"/>
        <v>#DIV/0!</v>
      </c>
      <c r="T129" s="1" t="e">
        <f t="shared" si="71"/>
        <v>#DIV/0!</v>
      </c>
      <c r="U129" s="1" t="e">
        <f t="shared" si="71"/>
        <v>#DIV/0!</v>
      </c>
      <c r="V129" s="1" t="e">
        <f t="shared" si="71"/>
        <v>#DIV/0!</v>
      </c>
      <c r="W129" s="1" t="e">
        <f t="shared" si="71"/>
        <v>#DIV/0!</v>
      </c>
      <c r="X129" s="1" t="e">
        <f t="shared" si="71"/>
        <v>#DIV/0!</v>
      </c>
      <c r="Y129" s="1" t="e">
        <f t="shared" si="71"/>
        <v>#DIV/0!</v>
      </c>
      <c r="Z129" s="1" t="e">
        <f t="shared" si="71"/>
        <v>#DIV/0!</v>
      </c>
      <c r="AA129" s="1" t="e">
        <f t="shared" si="71"/>
        <v>#DIV/0!</v>
      </c>
      <c r="AB129" s="1" t="e">
        <f t="shared" si="71"/>
        <v>#DIV/0!</v>
      </c>
      <c r="AC129" s="1" t="e">
        <f t="shared" si="71"/>
        <v>#DIV/0!</v>
      </c>
      <c r="AD129" s="1" t="e">
        <f t="shared" si="71"/>
        <v>#DIV/0!</v>
      </c>
      <c r="AE129" s="1" t="e">
        <f t="shared" si="71"/>
        <v>#DIV/0!</v>
      </c>
      <c r="AF129" s="1" t="e">
        <f t="shared" si="71"/>
        <v>#DIV/0!</v>
      </c>
      <c r="AG129" s="1" t="e">
        <f t="shared" si="71"/>
        <v>#DIV/0!</v>
      </c>
      <c r="AH129" s="1" t="e">
        <f t="shared" si="71"/>
        <v>#DIV/0!</v>
      </c>
      <c r="AI129" s="1" t="e">
        <f t="shared" si="71"/>
        <v>#DIV/0!</v>
      </c>
      <c r="AJ129" s="1" t="e">
        <f t="shared" si="71"/>
        <v>#DIV/0!</v>
      </c>
    </row>
    <row r="130" spans="1:36">
      <c r="A130" s="29">
        <f t="shared" si="41"/>
        <v>90</v>
      </c>
      <c r="B130" s="74"/>
      <c r="C130" s="74"/>
      <c r="D130" s="74"/>
      <c r="E130" s="1" t="e">
        <f t="shared" ref="E130:I130" si="72">(E67-$B67)/$B$4</f>
        <v>#DIV/0!</v>
      </c>
      <c r="F130" s="1" t="e">
        <f t="shared" si="72"/>
        <v>#DIV/0!</v>
      </c>
      <c r="G130" s="1" t="e">
        <f t="shared" si="72"/>
        <v>#DIV/0!</v>
      </c>
      <c r="H130" s="1" t="e">
        <f t="shared" si="72"/>
        <v>#DIV/0!</v>
      </c>
      <c r="I130" s="1" t="e">
        <f t="shared" si="72"/>
        <v>#DIV/0!</v>
      </c>
      <c r="J130" s="1" t="e">
        <f t="shared" ref="J130:AJ130" si="73">(J67-$B67)/$B$4</f>
        <v>#DIV/0!</v>
      </c>
      <c r="K130" s="1" t="e">
        <f t="shared" si="73"/>
        <v>#DIV/0!</v>
      </c>
      <c r="L130" s="1" t="e">
        <f t="shared" si="73"/>
        <v>#DIV/0!</v>
      </c>
      <c r="M130" s="1" t="e">
        <f t="shared" si="73"/>
        <v>#DIV/0!</v>
      </c>
      <c r="N130" s="1" t="e">
        <f t="shared" si="73"/>
        <v>#DIV/0!</v>
      </c>
      <c r="O130" s="1" t="e">
        <f t="shared" si="73"/>
        <v>#DIV/0!</v>
      </c>
      <c r="P130" s="1" t="e">
        <f t="shared" si="73"/>
        <v>#DIV/0!</v>
      </c>
      <c r="Q130" s="1" t="e">
        <f t="shared" si="73"/>
        <v>#DIV/0!</v>
      </c>
      <c r="R130" s="1" t="e">
        <f t="shared" si="73"/>
        <v>#DIV/0!</v>
      </c>
      <c r="S130" s="1" t="e">
        <f t="shared" si="73"/>
        <v>#DIV/0!</v>
      </c>
      <c r="T130" s="1" t="e">
        <f t="shared" si="73"/>
        <v>#DIV/0!</v>
      </c>
      <c r="U130" s="1" t="e">
        <f t="shared" si="73"/>
        <v>#DIV/0!</v>
      </c>
      <c r="V130" s="1" t="e">
        <f t="shared" si="73"/>
        <v>#DIV/0!</v>
      </c>
      <c r="W130" s="1" t="e">
        <f t="shared" si="73"/>
        <v>#DIV/0!</v>
      </c>
      <c r="X130" s="1" t="e">
        <f t="shared" si="73"/>
        <v>#DIV/0!</v>
      </c>
      <c r="Y130" s="1" t="e">
        <f t="shared" si="73"/>
        <v>#DIV/0!</v>
      </c>
      <c r="Z130" s="1" t="e">
        <f t="shared" si="73"/>
        <v>#DIV/0!</v>
      </c>
      <c r="AA130" s="1" t="e">
        <f t="shared" si="73"/>
        <v>#DIV/0!</v>
      </c>
      <c r="AB130" s="1" t="e">
        <f t="shared" si="73"/>
        <v>#DIV/0!</v>
      </c>
      <c r="AC130" s="1" t="e">
        <f t="shared" si="73"/>
        <v>#DIV/0!</v>
      </c>
      <c r="AD130" s="1" t="e">
        <f t="shared" si="73"/>
        <v>#DIV/0!</v>
      </c>
      <c r="AE130" s="1" t="e">
        <f t="shared" si="73"/>
        <v>#DIV/0!</v>
      </c>
      <c r="AF130" s="1" t="e">
        <f t="shared" si="73"/>
        <v>#DIV/0!</v>
      </c>
      <c r="AG130" s="1" t="e">
        <f t="shared" si="73"/>
        <v>#DIV/0!</v>
      </c>
      <c r="AH130" s="1" t="e">
        <f t="shared" si="73"/>
        <v>#DIV/0!</v>
      </c>
      <c r="AI130" s="1" t="e">
        <f t="shared" si="73"/>
        <v>#DIV/0!</v>
      </c>
      <c r="AJ130" s="1" t="e">
        <f t="shared" si="73"/>
        <v>#DIV/0!</v>
      </c>
    </row>
    <row r="131" spans="1:36">
      <c r="B131" s="74"/>
      <c r="C131" s="74"/>
      <c r="D131" s="74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>
      <c r="B132" s="74"/>
      <c r="C132" s="74"/>
      <c r="D132" s="74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>
      <c r="B133" s="74"/>
      <c r="C133" s="74"/>
      <c r="D133" s="74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>
      <c r="B134" s="74"/>
      <c r="C134" s="74"/>
      <c r="D134" s="74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>
      <c r="B135" s="74"/>
      <c r="C135" s="74"/>
      <c r="D135" s="74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>
      <c r="B136" s="74"/>
      <c r="C136" s="74"/>
      <c r="D136" s="74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>
      <c r="B137" s="74"/>
      <c r="C137" s="74"/>
      <c r="D137" s="74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>
      <c r="B138" s="74"/>
      <c r="C138" s="74"/>
      <c r="D138" s="74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>
      <c r="B139" s="74"/>
      <c r="C139" s="74"/>
      <c r="D139" s="74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>
      <c r="B140" s="74"/>
      <c r="C140" s="74"/>
      <c r="D140" s="74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>
      <c r="B141" s="74"/>
      <c r="C141" s="74"/>
      <c r="D141" s="74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>
      <c r="B142" s="74"/>
      <c r="C142" s="74"/>
      <c r="D142" s="74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>
      <c r="B143" s="74"/>
      <c r="C143" s="74"/>
      <c r="D143" s="74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>
      <c r="B144" s="74"/>
      <c r="C144" s="74"/>
      <c r="D144" s="74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2:36">
      <c r="B145" s="74"/>
      <c r="C145" s="74"/>
      <c r="D145" s="74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2:36">
      <c r="B146" s="74"/>
      <c r="C146" s="74"/>
      <c r="D146" s="74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2:36">
      <c r="B147" s="74"/>
      <c r="C147" s="74"/>
      <c r="D147" s="74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2:36">
      <c r="B148" s="74"/>
      <c r="C148" s="74"/>
      <c r="D148" s="74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2:36">
      <c r="B149" s="74"/>
      <c r="C149" s="74"/>
      <c r="D149" s="74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2:36">
      <c r="B150" s="74"/>
      <c r="C150" s="74"/>
      <c r="D150" s="74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2:36">
      <c r="B151" s="74"/>
      <c r="C151" s="74"/>
      <c r="D151" s="74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2:36">
      <c r="B152" s="74"/>
      <c r="C152" s="74"/>
      <c r="D152" s="74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2:36">
      <c r="B153" s="74"/>
      <c r="C153" s="74"/>
      <c r="D153" s="74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2:36">
      <c r="B154" s="74"/>
      <c r="C154" s="74"/>
      <c r="D154" s="74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2:36">
      <c r="B155" s="74"/>
      <c r="C155" s="74"/>
      <c r="D155" s="74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2:36">
      <c r="B156" s="74"/>
      <c r="C156" s="74"/>
      <c r="D156" s="74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2:36">
      <c r="B157" s="74"/>
      <c r="C157" s="74"/>
      <c r="D157" s="74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2:36">
      <c r="B158" s="74"/>
      <c r="C158" s="74"/>
      <c r="D158" s="74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2:36">
      <c r="B159" s="74"/>
      <c r="C159" s="74"/>
      <c r="D159" s="74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2:36">
      <c r="B160" s="74"/>
      <c r="C160" s="74"/>
      <c r="D160" s="74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2:36">
      <c r="B161" s="74"/>
      <c r="C161" s="74"/>
      <c r="D161" s="74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2:36">
      <c r="B162" s="74"/>
      <c r="C162" s="74"/>
      <c r="D162" s="74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2:36">
      <c r="B163" s="74"/>
      <c r="C163" s="74"/>
      <c r="D163" s="74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2:36">
      <c r="B164" s="74"/>
      <c r="C164" s="74"/>
      <c r="D164" s="74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2:36">
      <c r="B165" s="74"/>
      <c r="C165" s="74"/>
      <c r="D165" s="74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2:36">
      <c r="B166" s="74"/>
      <c r="C166" s="74"/>
      <c r="D166" s="74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2:36">
      <c r="B167" s="74"/>
      <c r="C167" s="74"/>
      <c r="D167" s="74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2:36">
      <c r="B168" s="74"/>
      <c r="C168" s="74"/>
      <c r="D168" s="74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2:36">
      <c r="B169" s="74"/>
      <c r="C169" s="74"/>
      <c r="D169" s="74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2:36">
      <c r="B170" s="74"/>
      <c r="C170" s="74"/>
      <c r="D170" s="74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2:36">
      <c r="B171" s="74"/>
      <c r="C171" s="74"/>
      <c r="D171" s="74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2:36">
      <c r="B172" s="74"/>
      <c r="C172" s="74"/>
      <c r="D172" s="74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2:36">
      <c r="B173" s="74"/>
      <c r="C173" s="74"/>
      <c r="D173" s="74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2:36">
      <c r="B174" s="74"/>
      <c r="C174" s="74"/>
      <c r="D174" s="74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2:36">
      <c r="B175" s="74"/>
      <c r="C175" s="74"/>
      <c r="D175" s="74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2:36">
      <c r="B176" s="74"/>
      <c r="C176" s="74"/>
      <c r="D176" s="74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2:36">
      <c r="B177" s="74"/>
      <c r="C177" s="74"/>
      <c r="D177" s="74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2:36">
      <c r="B178" s="74"/>
      <c r="C178" s="74"/>
      <c r="D178" s="74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2:36">
      <c r="B179" s="74"/>
      <c r="C179" s="74"/>
      <c r="D179" s="74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2:36">
      <c r="B180" s="74"/>
      <c r="C180" s="74"/>
      <c r="D180" s="74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2:36">
      <c r="B181" s="74"/>
      <c r="C181" s="74"/>
      <c r="D181" s="74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2:36">
      <c r="B182" s="74"/>
      <c r="C182" s="74"/>
      <c r="D182" s="74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2:36">
      <c r="B183" s="74"/>
      <c r="C183" s="74"/>
      <c r="D183" s="74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2:36">
      <c r="B184" s="74"/>
      <c r="C184" s="74"/>
      <c r="D184" s="74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2:36">
      <c r="B185" s="74"/>
      <c r="C185" s="74"/>
      <c r="D185" s="74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2:36">
      <c r="B186" s="74"/>
      <c r="C186" s="74"/>
      <c r="D186" s="74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2:36">
      <c r="B187" s="74"/>
      <c r="C187" s="74"/>
      <c r="D187" s="74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</row>
  </sheetData>
  <conditionalFormatting sqref="E7:AJ187">
    <cfRule type="top10" dxfId="5" priority="3" percent="1" rank="10"/>
  </conditionalFormatting>
  <conditionalFormatting sqref="E6:AJ6">
    <cfRule type="top10" dxfId="4" priority="2" percent="1" rank="10"/>
  </conditionalFormatting>
  <conditionalFormatting sqref="E68:AJ130">
    <cfRule type="top10" dxfId="3" priority="1" percent="1" rank="10"/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4:AJ187"/>
  <sheetViews>
    <sheetView zoomScale="80" zoomScaleNormal="80" workbookViewId="0">
      <pane xSplit="9525" ySplit="6720" topLeftCell="X114"/>
      <selection activeCell="I6" sqref="I6:AJ130"/>
      <selection pane="topRight" activeCell="AC8" sqref="AC8"/>
      <selection pane="bottomLeft" activeCell="D71" sqref="D71"/>
      <selection pane="bottomRight" activeCell="L28" sqref="L28"/>
    </sheetView>
  </sheetViews>
  <sheetFormatPr defaultColWidth="7.140625" defaultRowHeight="15"/>
  <cols>
    <col min="1" max="1" width="7.140625" style="29"/>
    <col min="2" max="2" width="9.28515625" style="29" bestFit="1" customWidth="1"/>
    <col min="3" max="4" width="9.28515625" style="29" customWidth="1"/>
    <col min="5" max="36" width="9.28515625" style="29" bestFit="1" customWidth="1"/>
    <col min="37" max="16384" width="7.140625" style="29"/>
  </cols>
  <sheetData>
    <row r="4" spans="1:36">
      <c r="A4" s="29" t="s">
        <v>17</v>
      </c>
      <c r="B4" s="74" t="e">
        <f>MAX(B7:B67)</f>
        <v>#DIV/0!</v>
      </c>
      <c r="C4" s="74"/>
      <c r="D4" s="74"/>
    </row>
    <row r="5" spans="1:36">
      <c r="B5" s="29" t="s">
        <v>32</v>
      </c>
      <c r="E5" s="29">
        <f>data0!B1</f>
        <v>0</v>
      </c>
      <c r="F5" s="29">
        <f>data0!C1</f>
        <v>1</v>
      </c>
      <c r="G5" s="29">
        <f>data0!D1</f>
        <v>2</v>
      </c>
      <c r="H5" s="29">
        <f>data0!E1</f>
        <v>3</v>
      </c>
      <c r="I5" s="29">
        <f>data0!F1</f>
        <v>4</v>
      </c>
      <c r="J5" s="29">
        <f>data0!G1</f>
        <v>5</v>
      </c>
      <c r="K5" s="29">
        <f>data0!H1</f>
        <v>6</v>
      </c>
      <c r="L5" s="29">
        <f>data0!I1</f>
        <v>7</v>
      </c>
      <c r="M5" s="29">
        <f>data0!J1</f>
        <v>8</v>
      </c>
      <c r="N5" s="29">
        <f>data0!K1</f>
        <v>9</v>
      </c>
      <c r="O5" s="29">
        <f>data0!L1</f>
        <v>10</v>
      </c>
      <c r="P5" s="29">
        <f>data0!M1</f>
        <v>11</v>
      </c>
      <c r="Q5" s="29">
        <f>data0!N1</f>
        <v>12</v>
      </c>
      <c r="R5" s="29">
        <f>data0!O1</f>
        <v>13</v>
      </c>
      <c r="S5" s="29">
        <f>data0!P1</f>
        <v>14</v>
      </c>
      <c r="T5" s="29">
        <f>data0!Q1</f>
        <v>15</v>
      </c>
      <c r="U5" s="29">
        <f>data0!R1</f>
        <v>16</v>
      </c>
      <c r="V5" s="29">
        <f>data0!S1</f>
        <v>17</v>
      </c>
      <c r="W5" s="29">
        <f>data0!T1</f>
        <v>18</v>
      </c>
      <c r="X5" s="29">
        <f>data0!U1</f>
        <v>19</v>
      </c>
      <c r="Y5" s="29">
        <f>data0!V1</f>
        <v>20</v>
      </c>
      <c r="Z5" s="29">
        <f>data0!W1</f>
        <v>21</v>
      </c>
      <c r="AA5" s="29">
        <f>data0!X1</f>
        <v>22</v>
      </c>
      <c r="AB5" s="29">
        <f>data0!Y1</f>
        <v>23</v>
      </c>
      <c r="AC5" s="29">
        <f>data0!Z1</f>
        <v>24</v>
      </c>
      <c r="AD5" s="29">
        <f>data0!AA1</f>
        <v>25</v>
      </c>
      <c r="AE5" s="29">
        <f>data0!AB1</f>
        <v>26</v>
      </c>
      <c r="AF5" s="29">
        <f>data0!AC1</f>
        <v>27</v>
      </c>
      <c r="AG5" s="29">
        <f>data0!AD1</f>
        <v>28</v>
      </c>
      <c r="AH5" s="29">
        <f>data0!AE1</f>
        <v>29</v>
      </c>
      <c r="AI5" s="29">
        <f>data0!AF1</f>
        <v>30</v>
      </c>
      <c r="AJ5" s="29">
        <f>data0!AG1</f>
        <v>31</v>
      </c>
    </row>
    <row r="6" spans="1:36" s="75" customFormat="1">
      <c r="A6" s="75" t="s">
        <v>31</v>
      </c>
      <c r="B6" s="75" t="e">
        <f>SUM(B7:B67)</f>
        <v>#DIV/0!</v>
      </c>
      <c r="C6" s="80" t="s">
        <v>2</v>
      </c>
      <c r="D6" s="80" t="s">
        <v>33</v>
      </c>
      <c r="E6" s="75">
        <f>SUM(data3!B2:B62)</f>
        <v>0</v>
      </c>
      <c r="F6" s="75">
        <f>SUM(data3!C2:C62)</f>
        <v>0</v>
      </c>
      <c r="G6" s="75">
        <f>SUM(data3!D2:D62)</f>
        <v>0</v>
      </c>
      <c r="H6" s="75">
        <f>SUM(data3!E2:E62)</f>
        <v>0</v>
      </c>
      <c r="I6" s="75">
        <f>SUM(data3!F2:F62)</f>
        <v>0</v>
      </c>
      <c r="J6" s="75">
        <f>SUM(data3!G2:G62)</f>
        <v>0</v>
      </c>
      <c r="K6" s="75">
        <f>SUM(data3!H2:H62)</f>
        <v>0</v>
      </c>
      <c r="L6" s="75">
        <f>SUM(data3!I2:I62)</f>
        <v>0</v>
      </c>
      <c r="M6" s="75">
        <f>SUM(data3!J2:J62)</f>
        <v>0</v>
      </c>
      <c r="N6" s="75">
        <f>SUM(data3!K2:K62)</f>
        <v>0</v>
      </c>
      <c r="O6" s="75">
        <f>SUM(data3!L2:L62)</f>
        <v>0</v>
      </c>
      <c r="P6" s="75">
        <f>SUM(data3!M2:M62)</f>
        <v>0</v>
      </c>
      <c r="Q6" s="75">
        <f>SUM(data3!N2:N62)</f>
        <v>0</v>
      </c>
      <c r="R6" s="75">
        <f>SUM(data3!O2:O62)</f>
        <v>0</v>
      </c>
      <c r="S6" s="75">
        <f>SUM(data3!P2:P62)</f>
        <v>0</v>
      </c>
      <c r="T6" s="75">
        <f>SUM(data3!Q2:Q62)</f>
        <v>0</v>
      </c>
      <c r="U6" s="75">
        <f>SUM(data3!R2:R62)</f>
        <v>0</v>
      </c>
      <c r="V6" s="75">
        <f>SUM(data3!S2:S62)</f>
        <v>0</v>
      </c>
      <c r="W6" s="75">
        <f>SUM(data3!T2:T62)</f>
        <v>0</v>
      </c>
      <c r="X6" s="75">
        <f>SUM(data3!U2:U62)</f>
        <v>0</v>
      </c>
      <c r="Y6" s="75">
        <f>SUM(data3!V2:V62)</f>
        <v>0</v>
      </c>
      <c r="Z6" s="75">
        <f>SUM(data3!W2:W62)</f>
        <v>0</v>
      </c>
      <c r="AA6" s="75">
        <f>SUM(data3!X2:X62)</f>
        <v>0</v>
      </c>
      <c r="AB6" s="75">
        <f>SUM(data3!Y2:Y62)</f>
        <v>0</v>
      </c>
      <c r="AC6" s="75">
        <f>SUM(data3!Z2:Z62)</f>
        <v>0</v>
      </c>
      <c r="AD6" s="75">
        <f>SUM(data3!AA2:AA62)</f>
        <v>0</v>
      </c>
      <c r="AE6" s="75">
        <f>SUM(data3!AB2:AB62)</f>
        <v>0</v>
      </c>
      <c r="AF6" s="75">
        <f>SUM(data3!AC2:AC62)</f>
        <v>0</v>
      </c>
      <c r="AG6" s="75">
        <f>SUM(data3!AD2:AD62)</f>
        <v>0</v>
      </c>
      <c r="AH6" s="75">
        <f>SUM(data3!AE2:AE62)</f>
        <v>0</v>
      </c>
      <c r="AI6" s="75">
        <f>SUM(data3!AF2:AF62)</f>
        <v>0</v>
      </c>
      <c r="AJ6" s="75">
        <f>SUM(data3!AG2:AG62)</f>
        <v>0</v>
      </c>
    </row>
    <row r="7" spans="1:36">
      <c r="A7" s="29">
        <f>data0!A2</f>
        <v>-90</v>
      </c>
      <c r="B7" s="74" t="e">
        <f>AVERAGE(data3!B2:AG2)</f>
        <v>#DIV/0!</v>
      </c>
      <c r="C7" s="74" t="e">
        <f>AVERAGE(E7:AJ7)</f>
        <v>#DIV/0!</v>
      </c>
      <c r="D7" s="74" t="e">
        <f>STDEV(E7:AJ7)</f>
        <v>#DIV/0!</v>
      </c>
      <c r="E7" s="74" t="e">
        <f>data3!B2*$B$6/E$6</f>
        <v>#DIV/0!</v>
      </c>
      <c r="F7" s="74" t="e">
        <f>data3!C2*$B$6/F$6</f>
        <v>#DIV/0!</v>
      </c>
      <c r="G7" s="74" t="e">
        <f>data3!D2*$B$6/G$6</f>
        <v>#DIV/0!</v>
      </c>
      <c r="H7" s="74" t="e">
        <f>data3!E2*$B$6/H$6</f>
        <v>#DIV/0!</v>
      </c>
      <c r="I7" s="74" t="e">
        <f>data3!F2*$B$6/I$6</f>
        <v>#DIV/0!</v>
      </c>
      <c r="J7" s="74" t="e">
        <f>data3!G2*$B$6/J$6</f>
        <v>#DIV/0!</v>
      </c>
      <c r="K7" s="74" t="e">
        <f>data3!H2*$B$6/K$6</f>
        <v>#DIV/0!</v>
      </c>
      <c r="L7" s="74" t="e">
        <f>data3!I2*$B$6/L$6</f>
        <v>#DIV/0!</v>
      </c>
      <c r="M7" s="74" t="e">
        <f>data3!J2*$B$6/M$6</f>
        <v>#DIV/0!</v>
      </c>
      <c r="N7" s="74" t="e">
        <f>data3!K2*$B$6/N$6</f>
        <v>#DIV/0!</v>
      </c>
      <c r="O7" s="74" t="e">
        <f>data3!L2*$B$6/O$6</f>
        <v>#DIV/0!</v>
      </c>
      <c r="P7" s="74" t="e">
        <f>data3!M2*$B$6/P$6</f>
        <v>#DIV/0!</v>
      </c>
      <c r="Q7" s="74" t="e">
        <f>data3!N2*$B$6/Q$6</f>
        <v>#DIV/0!</v>
      </c>
      <c r="R7" s="74" t="e">
        <f>data3!O2*$B$6/R$6</f>
        <v>#DIV/0!</v>
      </c>
      <c r="S7" s="74" t="e">
        <f>data3!P2*$B$6/S$6</f>
        <v>#DIV/0!</v>
      </c>
      <c r="T7" s="74" t="e">
        <f>data3!Q2*$B$6/T$6</f>
        <v>#DIV/0!</v>
      </c>
      <c r="U7" s="74" t="e">
        <f>data3!R2*$B$6/U$6</f>
        <v>#DIV/0!</v>
      </c>
      <c r="V7" s="74" t="e">
        <f>data3!S2*$B$6/V$6</f>
        <v>#DIV/0!</v>
      </c>
      <c r="W7" s="74" t="e">
        <f>data3!T2*$B$6/W$6</f>
        <v>#DIV/0!</v>
      </c>
      <c r="X7" s="74" t="e">
        <f>data3!U2*$B$6/X$6</f>
        <v>#DIV/0!</v>
      </c>
      <c r="Y7" s="74" t="e">
        <f>data3!V2*$B$6/Y$6</f>
        <v>#DIV/0!</v>
      </c>
      <c r="Z7" s="74" t="e">
        <f>data3!W2*$B$6/Z$6</f>
        <v>#DIV/0!</v>
      </c>
      <c r="AA7" s="74" t="e">
        <f>data3!X2*$B$6/AA$6</f>
        <v>#DIV/0!</v>
      </c>
      <c r="AB7" s="74" t="e">
        <f>data3!Y2*$B$6/AB$6</f>
        <v>#DIV/0!</v>
      </c>
      <c r="AC7" s="74" t="e">
        <f>data3!Z2*$B$6/AC$6</f>
        <v>#DIV/0!</v>
      </c>
      <c r="AD7" s="74" t="e">
        <f>data3!AA2*$B$6/AD$6</f>
        <v>#DIV/0!</v>
      </c>
      <c r="AE7" s="74" t="e">
        <f>data3!AB2*$B$6/AE$6</f>
        <v>#DIV/0!</v>
      </c>
      <c r="AF7" s="74" t="e">
        <f>data3!AC2*$B$6/AF$6</f>
        <v>#DIV/0!</v>
      </c>
      <c r="AG7" s="74" t="e">
        <f>data3!AD2*$B$6/AG$6</f>
        <v>#DIV/0!</v>
      </c>
      <c r="AH7" s="74" t="e">
        <f>data3!AE2*$B$6/AH$6</f>
        <v>#DIV/0!</v>
      </c>
      <c r="AI7" s="74" t="e">
        <f>data3!AF2*$B$6/AI$6</f>
        <v>#DIV/0!</v>
      </c>
      <c r="AJ7" s="74" t="e">
        <f>data3!AG2*$B$6/AJ$6</f>
        <v>#DIV/0!</v>
      </c>
    </row>
    <row r="8" spans="1:36">
      <c r="A8" s="29">
        <f>data0!A3</f>
        <v>-87</v>
      </c>
      <c r="B8" s="74" t="e">
        <f>AVERAGE(data3!B3:AG3)</f>
        <v>#DIV/0!</v>
      </c>
      <c r="C8" s="74" t="e">
        <f t="shared" ref="C8:C67" si="0">AVERAGE(E8:AJ8)</f>
        <v>#DIV/0!</v>
      </c>
      <c r="D8" s="74" t="e">
        <f t="shared" ref="D8:D67" si="1">STDEV(E8:AJ8)</f>
        <v>#DIV/0!</v>
      </c>
      <c r="E8" s="74" t="e">
        <f>data3!B3*$B$6/E$6</f>
        <v>#DIV/0!</v>
      </c>
      <c r="F8" s="74" t="e">
        <f>data3!C3*$B$6/F$6</f>
        <v>#DIV/0!</v>
      </c>
      <c r="G8" s="74" t="e">
        <f>data3!D3*$B$6/G$6</f>
        <v>#DIV/0!</v>
      </c>
      <c r="H8" s="74" t="e">
        <f>data3!E3*$B$6/H$6</f>
        <v>#DIV/0!</v>
      </c>
      <c r="I8" s="74" t="e">
        <f>data3!F3*$B$6/I$6</f>
        <v>#DIV/0!</v>
      </c>
      <c r="J8" s="74" t="e">
        <f>data3!G3*$B$6/J$6</f>
        <v>#DIV/0!</v>
      </c>
      <c r="K8" s="74" t="e">
        <f>data3!H3*$B$6/K$6</f>
        <v>#DIV/0!</v>
      </c>
      <c r="L8" s="74" t="e">
        <f>data3!I3*$B$6/L$6</f>
        <v>#DIV/0!</v>
      </c>
      <c r="M8" s="74" t="e">
        <f>data3!J3*$B$6/M$6</f>
        <v>#DIV/0!</v>
      </c>
      <c r="N8" s="74" t="e">
        <f>data3!K3*$B$6/N$6</f>
        <v>#DIV/0!</v>
      </c>
      <c r="O8" s="74" t="e">
        <f>data3!L3*$B$6/O$6</f>
        <v>#DIV/0!</v>
      </c>
      <c r="P8" s="74" t="e">
        <f>data3!M3*$B$6/P$6</f>
        <v>#DIV/0!</v>
      </c>
      <c r="Q8" s="74" t="e">
        <f>data3!N3*$B$6/Q$6</f>
        <v>#DIV/0!</v>
      </c>
      <c r="R8" s="74" t="e">
        <f>data3!O3*$B$6/R$6</f>
        <v>#DIV/0!</v>
      </c>
      <c r="S8" s="74" t="e">
        <f>data3!P3*$B$6/S$6</f>
        <v>#DIV/0!</v>
      </c>
      <c r="T8" s="74" t="e">
        <f>data3!Q3*$B$6/T$6</f>
        <v>#DIV/0!</v>
      </c>
      <c r="U8" s="74" t="e">
        <f>data3!R3*$B$6/U$6</f>
        <v>#DIV/0!</v>
      </c>
      <c r="V8" s="74" t="e">
        <f>data3!S3*$B$6/V$6</f>
        <v>#DIV/0!</v>
      </c>
      <c r="W8" s="74" t="e">
        <f>data3!T3*$B$6/W$6</f>
        <v>#DIV/0!</v>
      </c>
      <c r="X8" s="74" t="e">
        <f>data3!U3*$B$6/X$6</f>
        <v>#DIV/0!</v>
      </c>
      <c r="Y8" s="74" t="e">
        <f>data3!V3*$B$6/Y$6</f>
        <v>#DIV/0!</v>
      </c>
      <c r="Z8" s="74" t="e">
        <f>data3!W3*$B$6/Z$6</f>
        <v>#DIV/0!</v>
      </c>
      <c r="AA8" s="74" t="e">
        <f>data3!X3*$B$6/AA$6</f>
        <v>#DIV/0!</v>
      </c>
      <c r="AB8" s="74" t="e">
        <f>data3!Y3*$B$6/AB$6</f>
        <v>#DIV/0!</v>
      </c>
      <c r="AC8" s="74" t="e">
        <f>data3!Z3*$B$6/AC$6</f>
        <v>#DIV/0!</v>
      </c>
      <c r="AD8" s="74" t="e">
        <f>data3!AA3*$B$6/AD$6</f>
        <v>#DIV/0!</v>
      </c>
      <c r="AE8" s="74" t="e">
        <f>data3!AB3*$B$6/AE$6</f>
        <v>#DIV/0!</v>
      </c>
      <c r="AF8" s="74" t="e">
        <f>data3!AC3*$B$6/AF$6</f>
        <v>#DIV/0!</v>
      </c>
      <c r="AG8" s="74" t="e">
        <f>data3!AD3*$B$6/AG$6</f>
        <v>#DIV/0!</v>
      </c>
      <c r="AH8" s="74" t="e">
        <f>data3!AE3*$B$6/AH$6</f>
        <v>#DIV/0!</v>
      </c>
      <c r="AI8" s="74" t="e">
        <f>data3!AF3*$B$6/AI$6</f>
        <v>#DIV/0!</v>
      </c>
      <c r="AJ8" s="74" t="e">
        <f>data3!AG3*$B$6/AJ$6</f>
        <v>#DIV/0!</v>
      </c>
    </row>
    <row r="9" spans="1:36">
      <c r="A9" s="29">
        <f>data0!A4</f>
        <v>-84</v>
      </c>
      <c r="B9" s="74" t="e">
        <f>AVERAGE(data3!B4:AG4)</f>
        <v>#DIV/0!</v>
      </c>
      <c r="C9" s="74" t="e">
        <f t="shared" si="0"/>
        <v>#DIV/0!</v>
      </c>
      <c r="D9" s="74" t="e">
        <f t="shared" si="1"/>
        <v>#DIV/0!</v>
      </c>
      <c r="E9" s="74" t="e">
        <f>data3!B4*$B$6/E$6</f>
        <v>#DIV/0!</v>
      </c>
      <c r="F9" s="74" t="e">
        <f>data3!C4*$B$6/F$6</f>
        <v>#DIV/0!</v>
      </c>
      <c r="G9" s="74" t="e">
        <f>data3!D4*$B$6/G$6</f>
        <v>#DIV/0!</v>
      </c>
      <c r="H9" s="74" t="e">
        <f>data3!E4*$B$6/H$6</f>
        <v>#DIV/0!</v>
      </c>
      <c r="I9" s="74" t="e">
        <f>data3!F4*$B$6/I$6</f>
        <v>#DIV/0!</v>
      </c>
      <c r="J9" s="74" t="e">
        <f>data3!G4*$B$6/J$6</f>
        <v>#DIV/0!</v>
      </c>
      <c r="K9" s="74" t="e">
        <f>data3!H4*$B$6/K$6</f>
        <v>#DIV/0!</v>
      </c>
      <c r="L9" s="74" t="e">
        <f>data3!I4*$B$6/L$6</f>
        <v>#DIV/0!</v>
      </c>
      <c r="M9" s="74" t="e">
        <f>data3!J4*$B$6/M$6</f>
        <v>#DIV/0!</v>
      </c>
      <c r="N9" s="74" t="e">
        <f>data3!K4*$B$6/N$6</f>
        <v>#DIV/0!</v>
      </c>
      <c r="O9" s="74" t="e">
        <f>data3!L4*$B$6/O$6</f>
        <v>#DIV/0!</v>
      </c>
      <c r="P9" s="74" t="e">
        <f>data3!M4*$B$6/P$6</f>
        <v>#DIV/0!</v>
      </c>
      <c r="Q9" s="74" t="e">
        <f>data3!N4*$B$6/Q$6</f>
        <v>#DIV/0!</v>
      </c>
      <c r="R9" s="74" t="e">
        <f>data3!O4*$B$6/R$6</f>
        <v>#DIV/0!</v>
      </c>
      <c r="S9" s="74" t="e">
        <f>data3!P4*$B$6/S$6</f>
        <v>#DIV/0!</v>
      </c>
      <c r="T9" s="74" t="e">
        <f>data3!Q4*$B$6/T$6</f>
        <v>#DIV/0!</v>
      </c>
      <c r="U9" s="74" t="e">
        <f>data3!R4*$B$6/U$6</f>
        <v>#DIV/0!</v>
      </c>
      <c r="V9" s="74" t="e">
        <f>data3!S4*$B$6/V$6</f>
        <v>#DIV/0!</v>
      </c>
      <c r="W9" s="74" t="e">
        <f>data3!T4*$B$6/W$6</f>
        <v>#DIV/0!</v>
      </c>
      <c r="X9" s="74" t="e">
        <f>data3!U4*$B$6/X$6</f>
        <v>#DIV/0!</v>
      </c>
      <c r="Y9" s="74" t="e">
        <f>data3!V4*$B$6/Y$6</f>
        <v>#DIV/0!</v>
      </c>
      <c r="Z9" s="74" t="e">
        <f>data3!W4*$B$6/Z$6</f>
        <v>#DIV/0!</v>
      </c>
      <c r="AA9" s="74" t="e">
        <f>data3!X4*$B$6/AA$6</f>
        <v>#DIV/0!</v>
      </c>
      <c r="AB9" s="74" t="e">
        <f>data3!Y4*$B$6/AB$6</f>
        <v>#DIV/0!</v>
      </c>
      <c r="AC9" s="74" t="e">
        <f>data3!Z4*$B$6/AC$6</f>
        <v>#DIV/0!</v>
      </c>
      <c r="AD9" s="74" t="e">
        <f>data3!AA4*$B$6/AD$6</f>
        <v>#DIV/0!</v>
      </c>
      <c r="AE9" s="74" t="e">
        <f>data3!AB4*$B$6/AE$6</f>
        <v>#DIV/0!</v>
      </c>
      <c r="AF9" s="74" t="e">
        <f>data3!AC4*$B$6/AF$6</f>
        <v>#DIV/0!</v>
      </c>
      <c r="AG9" s="74" t="e">
        <f>data3!AD4*$B$6/AG$6</f>
        <v>#DIV/0!</v>
      </c>
      <c r="AH9" s="74" t="e">
        <f>data3!AE4*$B$6/AH$6</f>
        <v>#DIV/0!</v>
      </c>
      <c r="AI9" s="74" t="e">
        <f>data3!AF4*$B$6/AI$6</f>
        <v>#DIV/0!</v>
      </c>
      <c r="AJ9" s="74" t="e">
        <f>data3!AG4*$B$6/AJ$6</f>
        <v>#DIV/0!</v>
      </c>
    </row>
    <row r="10" spans="1:36">
      <c r="A10" s="29">
        <f>data0!A5</f>
        <v>-81</v>
      </c>
      <c r="B10" s="74" t="e">
        <f>AVERAGE(data3!B5:AG5)</f>
        <v>#DIV/0!</v>
      </c>
      <c r="C10" s="74" t="e">
        <f t="shared" si="0"/>
        <v>#DIV/0!</v>
      </c>
      <c r="D10" s="74" t="e">
        <f t="shared" si="1"/>
        <v>#DIV/0!</v>
      </c>
      <c r="E10" s="74" t="e">
        <f>data3!B5*$B$6/E$6</f>
        <v>#DIV/0!</v>
      </c>
      <c r="F10" s="74" t="e">
        <f>data3!C5*$B$6/F$6</f>
        <v>#DIV/0!</v>
      </c>
      <c r="G10" s="74" t="e">
        <f>data3!D5*$B$6/G$6</f>
        <v>#DIV/0!</v>
      </c>
      <c r="H10" s="74" t="e">
        <f>data3!E5*$B$6/H$6</f>
        <v>#DIV/0!</v>
      </c>
      <c r="I10" s="74" t="e">
        <f>data3!F5*$B$6/I$6</f>
        <v>#DIV/0!</v>
      </c>
      <c r="J10" s="74" t="e">
        <f>data3!G5*$B$6/J$6</f>
        <v>#DIV/0!</v>
      </c>
      <c r="K10" s="74" t="e">
        <f>data3!H5*$B$6/K$6</f>
        <v>#DIV/0!</v>
      </c>
      <c r="L10" s="74" t="e">
        <f>data3!I5*$B$6/L$6</f>
        <v>#DIV/0!</v>
      </c>
      <c r="M10" s="74" t="e">
        <f>data3!J5*$B$6/M$6</f>
        <v>#DIV/0!</v>
      </c>
      <c r="N10" s="74" t="e">
        <f>data3!K5*$B$6/N$6</f>
        <v>#DIV/0!</v>
      </c>
      <c r="O10" s="74" t="e">
        <f>data3!L5*$B$6/O$6</f>
        <v>#DIV/0!</v>
      </c>
      <c r="P10" s="74" t="e">
        <f>data3!M5*$B$6/P$6</f>
        <v>#DIV/0!</v>
      </c>
      <c r="Q10" s="74" t="e">
        <f>data3!N5*$B$6/Q$6</f>
        <v>#DIV/0!</v>
      </c>
      <c r="R10" s="74" t="e">
        <f>data3!O5*$B$6/R$6</f>
        <v>#DIV/0!</v>
      </c>
      <c r="S10" s="74" t="e">
        <f>data3!P5*$B$6/S$6</f>
        <v>#DIV/0!</v>
      </c>
      <c r="T10" s="74" t="e">
        <f>data3!Q5*$B$6/T$6</f>
        <v>#DIV/0!</v>
      </c>
      <c r="U10" s="74" t="e">
        <f>data3!R5*$B$6/U$6</f>
        <v>#DIV/0!</v>
      </c>
      <c r="V10" s="74" t="e">
        <f>data3!S5*$B$6/V$6</f>
        <v>#DIV/0!</v>
      </c>
      <c r="W10" s="74" t="e">
        <f>data3!T5*$B$6/W$6</f>
        <v>#DIV/0!</v>
      </c>
      <c r="X10" s="74" t="e">
        <f>data3!U5*$B$6/X$6</f>
        <v>#DIV/0!</v>
      </c>
      <c r="Y10" s="74" t="e">
        <f>data3!V5*$B$6/Y$6</f>
        <v>#DIV/0!</v>
      </c>
      <c r="Z10" s="74" t="e">
        <f>data3!W5*$B$6/Z$6</f>
        <v>#DIV/0!</v>
      </c>
      <c r="AA10" s="74" t="e">
        <f>data3!X5*$B$6/AA$6</f>
        <v>#DIV/0!</v>
      </c>
      <c r="AB10" s="74" t="e">
        <f>data3!Y5*$B$6/AB$6</f>
        <v>#DIV/0!</v>
      </c>
      <c r="AC10" s="74" t="e">
        <f>data3!Z5*$B$6/AC$6</f>
        <v>#DIV/0!</v>
      </c>
      <c r="AD10" s="74" t="e">
        <f>data3!AA5*$B$6/AD$6</f>
        <v>#DIV/0!</v>
      </c>
      <c r="AE10" s="74" t="e">
        <f>data3!AB5*$B$6/AE$6</f>
        <v>#DIV/0!</v>
      </c>
      <c r="AF10" s="74" t="e">
        <f>data3!AC5*$B$6/AF$6</f>
        <v>#DIV/0!</v>
      </c>
      <c r="AG10" s="74" t="e">
        <f>data3!AD5*$B$6/AG$6</f>
        <v>#DIV/0!</v>
      </c>
      <c r="AH10" s="74" t="e">
        <f>data3!AE5*$B$6/AH$6</f>
        <v>#DIV/0!</v>
      </c>
      <c r="AI10" s="74" t="e">
        <f>data3!AF5*$B$6/AI$6</f>
        <v>#DIV/0!</v>
      </c>
      <c r="AJ10" s="74" t="e">
        <f>data3!AG5*$B$6/AJ$6</f>
        <v>#DIV/0!</v>
      </c>
    </row>
    <row r="11" spans="1:36">
      <c r="A11" s="29">
        <f>data0!A6</f>
        <v>-78</v>
      </c>
      <c r="B11" s="74" t="e">
        <f>AVERAGE(data3!B6:AG6)</f>
        <v>#DIV/0!</v>
      </c>
      <c r="C11" s="74" t="e">
        <f t="shared" si="0"/>
        <v>#DIV/0!</v>
      </c>
      <c r="D11" s="74" t="e">
        <f t="shared" si="1"/>
        <v>#DIV/0!</v>
      </c>
      <c r="E11" s="74" t="e">
        <f>data3!B6*$B$6/E$6</f>
        <v>#DIV/0!</v>
      </c>
      <c r="F11" s="74" t="e">
        <f>data3!C6*$B$6/F$6</f>
        <v>#DIV/0!</v>
      </c>
      <c r="G11" s="74" t="e">
        <f>data3!D6*$B$6/G$6</f>
        <v>#DIV/0!</v>
      </c>
      <c r="H11" s="74" t="e">
        <f>data3!E6*$B$6/H$6</f>
        <v>#DIV/0!</v>
      </c>
      <c r="I11" s="74" t="e">
        <f>data3!F6*$B$6/I$6</f>
        <v>#DIV/0!</v>
      </c>
      <c r="J11" s="74" t="e">
        <f>data3!G6*$B$6/J$6</f>
        <v>#DIV/0!</v>
      </c>
      <c r="K11" s="74" t="e">
        <f>data3!H6*$B$6/K$6</f>
        <v>#DIV/0!</v>
      </c>
      <c r="L11" s="74" t="e">
        <f>data3!I6*$B$6/L$6</f>
        <v>#DIV/0!</v>
      </c>
      <c r="M11" s="74" t="e">
        <f>data3!J6*$B$6/M$6</f>
        <v>#DIV/0!</v>
      </c>
      <c r="N11" s="74" t="e">
        <f>data3!K6*$B$6/N$6</f>
        <v>#DIV/0!</v>
      </c>
      <c r="O11" s="74" t="e">
        <f>data3!L6*$B$6/O$6</f>
        <v>#DIV/0!</v>
      </c>
      <c r="P11" s="74" t="e">
        <f>data3!M6*$B$6/P$6</f>
        <v>#DIV/0!</v>
      </c>
      <c r="Q11" s="74" t="e">
        <f>data3!N6*$B$6/Q$6</f>
        <v>#DIV/0!</v>
      </c>
      <c r="R11" s="74" t="e">
        <f>data3!O6*$B$6/R$6</f>
        <v>#DIV/0!</v>
      </c>
      <c r="S11" s="74" t="e">
        <f>data3!P6*$B$6/S$6</f>
        <v>#DIV/0!</v>
      </c>
      <c r="T11" s="74" t="e">
        <f>data3!Q6*$B$6/T$6</f>
        <v>#DIV/0!</v>
      </c>
      <c r="U11" s="74" t="e">
        <f>data3!R6*$B$6/U$6</f>
        <v>#DIV/0!</v>
      </c>
      <c r="V11" s="74" t="e">
        <f>data3!S6*$B$6/V$6</f>
        <v>#DIV/0!</v>
      </c>
      <c r="W11" s="74" t="e">
        <f>data3!T6*$B$6/W$6</f>
        <v>#DIV/0!</v>
      </c>
      <c r="X11" s="74" t="e">
        <f>data3!U6*$B$6/X$6</f>
        <v>#DIV/0!</v>
      </c>
      <c r="Y11" s="74" t="e">
        <f>data3!V6*$B$6/Y$6</f>
        <v>#DIV/0!</v>
      </c>
      <c r="Z11" s="74" t="e">
        <f>data3!W6*$B$6/Z$6</f>
        <v>#DIV/0!</v>
      </c>
      <c r="AA11" s="74" t="e">
        <f>data3!X6*$B$6/AA$6</f>
        <v>#DIV/0!</v>
      </c>
      <c r="AB11" s="74" t="e">
        <f>data3!Y6*$B$6/AB$6</f>
        <v>#DIV/0!</v>
      </c>
      <c r="AC11" s="74" t="e">
        <f>data3!Z6*$B$6/AC$6</f>
        <v>#DIV/0!</v>
      </c>
      <c r="AD11" s="74" t="e">
        <f>data3!AA6*$B$6/AD$6</f>
        <v>#DIV/0!</v>
      </c>
      <c r="AE11" s="74" t="e">
        <f>data3!AB6*$B$6/AE$6</f>
        <v>#DIV/0!</v>
      </c>
      <c r="AF11" s="74" t="e">
        <f>data3!AC6*$B$6/AF$6</f>
        <v>#DIV/0!</v>
      </c>
      <c r="AG11" s="74" t="e">
        <f>data3!AD6*$B$6/AG$6</f>
        <v>#DIV/0!</v>
      </c>
      <c r="AH11" s="74" t="e">
        <f>data3!AE6*$B$6/AH$6</f>
        <v>#DIV/0!</v>
      </c>
      <c r="AI11" s="74" t="e">
        <f>data3!AF6*$B$6/AI$6</f>
        <v>#DIV/0!</v>
      </c>
      <c r="AJ11" s="74" t="e">
        <f>data3!AG6*$B$6/AJ$6</f>
        <v>#DIV/0!</v>
      </c>
    </row>
    <row r="12" spans="1:36">
      <c r="A12" s="29">
        <f>data0!A7</f>
        <v>-75</v>
      </c>
      <c r="B12" s="74" t="e">
        <f>AVERAGE(data3!B7:AG7)</f>
        <v>#DIV/0!</v>
      </c>
      <c r="C12" s="74" t="e">
        <f t="shared" si="0"/>
        <v>#DIV/0!</v>
      </c>
      <c r="D12" s="74" t="e">
        <f t="shared" si="1"/>
        <v>#DIV/0!</v>
      </c>
      <c r="E12" s="74" t="e">
        <f>data3!B7*$B$6/E$6</f>
        <v>#DIV/0!</v>
      </c>
      <c r="F12" s="74" t="e">
        <f>data3!C7*$B$6/F$6</f>
        <v>#DIV/0!</v>
      </c>
      <c r="G12" s="74" t="e">
        <f>data3!D7*$B$6/G$6</f>
        <v>#DIV/0!</v>
      </c>
      <c r="H12" s="74" t="e">
        <f>data3!E7*$B$6/H$6</f>
        <v>#DIV/0!</v>
      </c>
      <c r="I12" s="74" t="e">
        <f>data3!F7*$B$6/I$6</f>
        <v>#DIV/0!</v>
      </c>
      <c r="J12" s="74" t="e">
        <f>data3!G7*$B$6/J$6</f>
        <v>#DIV/0!</v>
      </c>
      <c r="K12" s="74" t="e">
        <f>data3!H7*$B$6/K$6</f>
        <v>#DIV/0!</v>
      </c>
      <c r="L12" s="74" t="e">
        <f>data3!I7*$B$6/L$6</f>
        <v>#DIV/0!</v>
      </c>
      <c r="M12" s="74" t="e">
        <f>data3!J7*$B$6/M$6</f>
        <v>#DIV/0!</v>
      </c>
      <c r="N12" s="74" t="e">
        <f>data3!K7*$B$6/N$6</f>
        <v>#DIV/0!</v>
      </c>
      <c r="O12" s="74" t="e">
        <f>data3!L7*$B$6/O$6</f>
        <v>#DIV/0!</v>
      </c>
      <c r="P12" s="74" t="e">
        <f>data3!M7*$B$6/P$6</f>
        <v>#DIV/0!</v>
      </c>
      <c r="Q12" s="74" t="e">
        <f>data3!N7*$B$6/Q$6</f>
        <v>#DIV/0!</v>
      </c>
      <c r="R12" s="74" t="e">
        <f>data3!O7*$B$6/R$6</f>
        <v>#DIV/0!</v>
      </c>
      <c r="S12" s="74" t="e">
        <f>data3!P7*$B$6/S$6</f>
        <v>#DIV/0!</v>
      </c>
      <c r="T12" s="74" t="e">
        <f>data3!Q7*$B$6/T$6</f>
        <v>#DIV/0!</v>
      </c>
      <c r="U12" s="74" t="e">
        <f>data3!R7*$B$6/U$6</f>
        <v>#DIV/0!</v>
      </c>
      <c r="V12" s="74" t="e">
        <f>data3!S7*$B$6/V$6</f>
        <v>#DIV/0!</v>
      </c>
      <c r="W12" s="74" t="e">
        <f>data3!T7*$B$6/W$6</f>
        <v>#DIV/0!</v>
      </c>
      <c r="X12" s="74" t="e">
        <f>data3!U7*$B$6/X$6</f>
        <v>#DIV/0!</v>
      </c>
      <c r="Y12" s="74" t="e">
        <f>data3!V7*$B$6/Y$6</f>
        <v>#DIV/0!</v>
      </c>
      <c r="Z12" s="74" t="e">
        <f>data3!W7*$B$6/Z$6</f>
        <v>#DIV/0!</v>
      </c>
      <c r="AA12" s="74" t="e">
        <f>data3!X7*$B$6/AA$6</f>
        <v>#DIV/0!</v>
      </c>
      <c r="AB12" s="74" t="e">
        <f>data3!Y7*$B$6/AB$6</f>
        <v>#DIV/0!</v>
      </c>
      <c r="AC12" s="74" t="e">
        <f>data3!Z7*$B$6/AC$6</f>
        <v>#DIV/0!</v>
      </c>
      <c r="AD12" s="74" t="e">
        <f>data3!AA7*$B$6/AD$6</f>
        <v>#DIV/0!</v>
      </c>
      <c r="AE12" s="74" t="e">
        <f>data3!AB7*$B$6/AE$6</f>
        <v>#DIV/0!</v>
      </c>
      <c r="AF12" s="74" t="e">
        <f>data3!AC7*$B$6/AF$6</f>
        <v>#DIV/0!</v>
      </c>
      <c r="AG12" s="74" t="e">
        <f>data3!AD7*$B$6/AG$6</f>
        <v>#DIV/0!</v>
      </c>
      <c r="AH12" s="74" t="e">
        <f>data3!AE7*$B$6/AH$6</f>
        <v>#DIV/0!</v>
      </c>
      <c r="AI12" s="74" t="e">
        <f>data3!AF7*$B$6/AI$6</f>
        <v>#DIV/0!</v>
      </c>
      <c r="AJ12" s="74" t="e">
        <f>data3!AG7*$B$6/AJ$6</f>
        <v>#DIV/0!</v>
      </c>
    </row>
    <row r="13" spans="1:36">
      <c r="A13" s="29">
        <f>data0!A8</f>
        <v>-72</v>
      </c>
      <c r="B13" s="74" t="e">
        <f>AVERAGE(data3!B8:AG8)</f>
        <v>#DIV/0!</v>
      </c>
      <c r="C13" s="74" t="e">
        <f t="shared" si="0"/>
        <v>#DIV/0!</v>
      </c>
      <c r="D13" s="74" t="e">
        <f t="shared" si="1"/>
        <v>#DIV/0!</v>
      </c>
      <c r="E13" s="74" t="e">
        <f>data3!B8*$B$6/E$6</f>
        <v>#DIV/0!</v>
      </c>
      <c r="F13" s="74" t="e">
        <f>data3!C8*$B$6/F$6</f>
        <v>#DIV/0!</v>
      </c>
      <c r="G13" s="74" t="e">
        <f>data3!D8*$B$6/G$6</f>
        <v>#DIV/0!</v>
      </c>
      <c r="H13" s="74" t="e">
        <f>data3!E8*$B$6/H$6</f>
        <v>#DIV/0!</v>
      </c>
      <c r="I13" s="74" t="e">
        <f>data3!F8*$B$6/I$6</f>
        <v>#DIV/0!</v>
      </c>
      <c r="J13" s="74" t="e">
        <f>data3!G8*$B$6/J$6</f>
        <v>#DIV/0!</v>
      </c>
      <c r="K13" s="74" t="e">
        <f>data3!H8*$B$6/K$6</f>
        <v>#DIV/0!</v>
      </c>
      <c r="L13" s="74" t="e">
        <f>data3!I8*$B$6/L$6</f>
        <v>#DIV/0!</v>
      </c>
      <c r="M13" s="74" t="e">
        <f>data3!J8*$B$6/M$6</f>
        <v>#DIV/0!</v>
      </c>
      <c r="N13" s="74" t="e">
        <f>data3!K8*$B$6/N$6</f>
        <v>#DIV/0!</v>
      </c>
      <c r="O13" s="74" t="e">
        <f>data3!L8*$B$6/O$6</f>
        <v>#DIV/0!</v>
      </c>
      <c r="P13" s="74" t="e">
        <f>data3!M8*$B$6/P$6</f>
        <v>#DIV/0!</v>
      </c>
      <c r="Q13" s="74" t="e">
        <f>data3!N8*$B$6/Q$6</f>
        <v>#DIV/0!</v>
      </c>
      <c r="R13" s="74" t="e">
        <f>data3!O8*$B$6/R$6</f>
        <v>#DIV/0!</v>
      </c>
      <c r="S13" s="74" t="e">
        <f>data3!P8*$B$6/S$6</f>
        <v>#DIV/0!</v>
      </c>
      <c r="T13" s="74" t="e">
        <f>data3!Q8*$B$6/T$6</f>
        <v>#DIV/0!</v>
      </c>
      <c r="U13" s="74" t="e">
        <f>data3!R8*$B$6/U$6</f>
        <v>#DIV/0!</v>
      </c>
      <c r="V13" s="74" t="e">
        <f>data3!S8*$B$6/V$6</f>
        <v>#DIV/0!</v>
      </c>
      <c r="W13" s="74" t="e">
        <f>data3!T8*$B$6/W$6</f>
        <v>#DIV/0!</v>
      </c>
      <c r="X13" s="74" t="e">
        <f>data3!U8*$B$6/X$6</f>
        <v>#DIV/0!</v>
      </c>
      <c r="Y13" s="74" t="e">
        <f>data3!V8*$B$6/Y$6</f>
        <v>#DIV/0!</v>
      </c>
      <c r="Z13" s="74" t="e">
        <f>data3!W8*$B$6/Z$6</f>
        <v>#DIV/0!</v>
      </c>
      <c r="AA13" s="74" t="e">
        <f>data3!X8*$B$6/AA$6</f>
        <v>#DIV/0!</v>
      </c>
      <c r="AB13" s="74" t="e">
        <f>data3!Y8*$B$6/AB$6</f>
        <v>#DIV/0!</v>
      </c>
      <c r="AC13" s="74" t="e">
        <f>data3!Z8*$B$6/AC$6</f>
        <v>#DIV/0!</v>
      </c>
      <c r="AD13" s="74" t="e">
        <f>data3!AA8*$B$6/AD$6</f>
        <v>#DIV/0!</v>
      </c>
      <c r="AE13" s="74" t="e">
        <f>data3!AB8*$B$6/AE$6</f>
        <v>#DIV/0!</v>
      </c>
      <c r="AF13" s="74" t="e">
        <f>data3!AC8*$B$6/AF$6</f>
        <v>#DIV/0!</v>
      </c>
      <c r="AG13" s="74" t="e">
        <f>data3!AD8*$B$6/AG$6</f>
        <v>#DIV/0!</v>
      </c>
      <c r="AH13" s="74" t="e">
        <f>data3!AE8*$B$6/AH$6</f>
        <v>#DIV/0!</v>
      </c>
      <c r="AI13" s="74" t="e">
        <f>data3!AF8*$B$6/AI$6</f>
        <v>#DIV/0!</v>
      </c>
      <c r="AJ13" s="74" t="e">
        <f>data3!AG8*$B$6/AJ$6</f>
        <v>#DIV/0!</v>
      </c>
    </row>
    <row r="14" spans="1:36">
      <c r="A14" s="29">
        <f>data0!A9</f>
        <v>-69</v>
      </c>
      <c r="B14" s="74" t="e">
        <f>AVERAGE(data3!B9:AG9)</f>
        <v>#DIV/0!</v>
      </c>
      <c r="C14" s="74" t="e">
        <f t="shared" si="0"/>
        <v>#DIV/0!</v>
      </c>
      <c r="D14" s="74" t="e">
        <f t="shared" si="1"/>
        <v>#DIV/0!</v>
      </c>
      <c r="E14" s="74" t="e">
        <f>data3!B9*$B$6/E$6</f>
        <v>#DIV/0!</v>
      </c>
      <c r="F14" s="74" t="e">
        <f>data3!C9*$B$6/F$6</f>
        <v>#DIV/0!</v>
      </c>
      <c r="G14" s="74" t="e">
        <f>data3!D9*$B$6/G$6</f>
        <v>#DIV/0!</v>
      </c>
      <c r="H14" s="74" t="e">
        <f>data3!E9*$B$6/H$6</f>
        <v>#DIV/0!</v>
      </c>
      <c r="I14" s="74" t="e">
        <f>data3!F9*$B$6/I$6</f>
        <v>#DIV/0!</v>
      </c>
      <c r="J14" s="74" t="e">
        <f>data3!G9*$B$6/J$6</f>
        <v>#DIV/0!</v>
      </c>
      <c r="K14" s="74" t="e">
        <f>data3!H9*$B$6/K$6</f>
        <v>#DIV/0!</v>
      </c>
      <c r="L14" s="74" t="e">
        <f>data3!I9*$B$6/L$6</f>
        <v>#DIV/0!</v>
      </c>
      <c r="M14" s="74" t="e">
        <f>data3!J9*$B$6/M$6</f>
        <v>#DIV/0!</v>
      </c>
      <c r="N14" s="74" t="e">
        <f>data3!K9*$B$6/N$6</f>
        <v>#DIV/0!</v>
      </c>
      <c r="O14" s="74" t="e">
        <f>data3!L9*$B$6/O$6</f>
        <v>#DIV/0!</v>
      </c>
      <c r="P14" s="74" t="e">
        <f>data3!M9*$B$6/P$6</f>
        <v>#DIV/0!</v>
      </c>
      <c r="Q14" s="74" t="e">
        <f>data3!N9*$B$6/Q$6</f>
        <v>#DIV/0!</v>
      </c>
      <c r="R14" s="74" t="e">
        <f>data3!O9*$B$6/R$6</f>
        <v>#DIV/0!</v>
      </c>
      <c r="S14" s="74" t="e">
        <f>data3!P9*$B$6/S$6</f>
        <v>#DIV/0!</v>
      </c>
      <c r="T14" s="74" t="e">
        <f>data3!Q9*$B$6/T$6</f>
        <v>#DIV/0!</v>
      </c>
      <c r="U14" s="74" t="e">
        <f>data3!R9*$B$6/U$6</f>
        <v>#DIV/0!</v>
      </c>
      <c r="V14" s="74" t="e">
        <f>data3!S9*$B$6/V$6</f>
        <v>#DIV/0!</v>
      </c>
      <c r="W14" s="74" t="e">
        <f>data3!T9*$B$6/W$6</f>
        <v>#DIV/0!</v>
      </c>
      <c r="X14" s="74" t="e">
        <f>data3!U9*$B$6/X$6</f>
        <v>#DIV/0!</v>
      </c>
      <c r="Y14" s="74" t="e">
        <f>data3!V9*$B$6/Y$6</f>
        <v>#DIV/0!</v>
      </c>
      <c r="Z14" s="74" t="e">
        <f>data3!W9*$B$6/Z$6</f>
        <v>#DIV/0!</v>
      </c>
      <c r="AA14" s="74" t="e">
        <f>data3!X9*$B$6/AA$6</f>
        <v>#DIV/0!</v>
      </c>
      <c r="AB14" s="74" t="e">
        <f>data3!Y9*$B$6/AB$6</f>
        <v>#DIV/0!</v>
      </c>
      <c r="AC14" s="74" t="e">
        <f>data3!Z9*$B$6/AC$6</f>
        <v>#DIV/0!</v>
      </c>
      <c r="AD14" s="74" t="e">
        <f>data3!AA9*$B$6/AD$6</f>
        <v>#DIV/0!</v>
      </c>
      <c r="AE14" s="74" t="e">
        <f>data3!AB9*$B$6/AE$6</f>
        <v>#DIV/0!</v>
      </c>
      <c r="AF14" s="74" t="e">
        <f>data3!AC9*$B$6/AF$6</f>
        <v>#DIV/0!</v>
      </c>
      <c r="AG14" s="74" t="e">
        <f>data3!AD9*$B$6/AG$6</f>
        <v>#DIV/0!</v>
      </c>
      <c r="AH14" s="74" t="e">
        <f>data3!AE9*$B$6/AH$6</f>
        <v>#DIV/0!</v>
      </c>
      <c r="AI14" s="74" t="e">
        <f>data3!AF9*$B$6/AI$6</f>
        <v>#DIV/0!</v>
      </c>
      <c r="AJ14" s="74" t="e">
        <f>data3!AG9*$B$6/AJ$6</f>
        <v>#DIV/0!</v>
      </c>
    </row>
    <row r="15" spans="1:36">
      <c r="A15" s="29">
        <f>data0!A10</f>
        <v>-66</v>
      </c>
      <c r="B15" s="74" t="e">
        <f>AVERAGE(data3!B10:AG10)</f>
        <v>#DIV/0!</v>
      </c>
      <c r="C15" s="74" t="e">
        <f t="shared" si="0"/>
        <v>#DIV/0!</v>
      </c>
      <c r="D15" s="74" t="e">
        <f t="shared" si="1"/>
        <v>#DIV/0!</v>
      </c>
      <c r="E15" s="74" t="e">
        <f>data3!B10*$B$6/E$6</f>
        <v>#DIV/0!</v>
      </c>
      <c r="F15" s="74" t="e">
        <f>data3!C10*$B$6/F$6</f>
        <v>#DIV/0!</v>
      </c>
      <c r="G15" s="74" t="e">
        <f>data3!D10*$B$6/G$6</f>
        <v>#DIV/0!</v>
      </c>
      <c r="H15" s="74" t="e">
        <f>data3!E10*$B$6/H$6</f>
        <v>#DIV/0!</v>
      </c>
      <c r="I15" s="74" t="e">
        <f>data3!F10*$B$6/I$6</f>
        <v>#DIV/0!</v>
      </c>
      <c r="J15" s="74" t="e">
        <f>data3!G10*$B$6/J$6</f>
        <v>#DIV/0!</v>
      </c>
      <c r="K15" s="74" t="e">
        <f>data3!H10*$B$6/K$6</f>
        <v>#DIV/0!</v>
      </c>
      <c r="L15" s="74" t="e">
        <f>data3!I10*$B$6/L$6</f>
        <v>#DIV/0!</v>
      </c>
      <c r="M15" s="74" t="e">
        <f>data3!J10*$B$6/M$6</f>
        <v>#DIV/0!</v>
      </c>
      <c r="N15" s="74" t="e">
        <f>data3!K10*$B$6/N$6</f>
        <v>#DIV/0!</v>
      </c>
      <c r="O15" s="74" t="e">
        <f>data3!L10*$B$6/O$6</f>
        <v>#DIV/0!</v>
      </c>
      <c r="P15" s="74" t="e">
        <f>data3!M10*$B$6/P$6</f>
        <v>#DIV/0!</v>
      </c>
      <c r="Q15" s="74" t="e">
        <f>data3!N10*$B$6/Q$6</f>
        <v>#DIV/0!</v>
      </c>
      <c r="R15" s="74" t="e">
        <f>data3!O10*$B$6/R$6</f>
        <v>#DIV/0!</v>
      </c>
      <c r="S15" s="74" t="e">
        <f>data3!P10*$B$6/S$6</f>
        <v>#DIV/0!</v>
      </c>
      <c r="T15" s="74" t="e">
        <f>data3!Q10*$B$6/T$6</f>
        <v>#DIV/0!</v>
      </c>
      <c r="U15" s="74" t="e">
        <f>data3!R10*$B$6/U$6</f>
        <v>#DIV/0!</v>
      </c>
      <c r="V15" s="74" t="e">
        <f>data3!S10*$B$6/V$6</f>
        <v>#DIV/0!</v>
      </c>
      <c r="W15" s="74" t="e">
        <f>data3!T10*$B$6/W$6</f>
        <v>#DIV/0!</v>
      </c>
      <c r="X15" s="74" t="e">
        <f>data3!U10*$B$6/X$6</f>
        <v>#DIV/0!</v>
      </c>
      <c r="Y15" s="74" t="e">
        <f>data3!V10*$B$6/Y$6</f>
        <v>#DIV/0!</v>
      </c>
      <c r="Z15" s="74" t="e">
        <f>data3!W10*$B$6/Z$6</f>
        <v>#DIV/0!</v>
      </c>
      <c r="AA15" s="74" t="e">
        <f>data3!X10*$B$6/AA$6</f>
        <v>#DIV/0!</v>
      </c>
      <c r="AB15" s="74" t="e">
        <f>data3!Y10*$B$6/AB$6</f>
        <v>#DIV/0!</v>
      </c>
      <c r="AC15" s="74" t="e">
        <f>data3!Z10*$B$6/AC$6</f>
        <v>#DIV/0!</v>
      </c>
      <c r="AD15" s="74" t="e">
        <f>data3!AA10*$B$6/AD$6</f>
        <v>#DIV/0!</v>
      </c>
      <c r="AE15" s="74" t="e">
        <f>data3!AB10*$B$6/AE$6</f>
        <v>#DIV/0!</v>
      </c>
      <c r="AF15" s="74" t="e">
        <f>data3!AC10*$B$6/AF$6</f>
        <v>#DIV/0!</v>
      </c>
      <c r="AG15" s="74" t="e">
        <f>data3!AD10*$B$6/AG$6</f>
        <v>#DIV/0!</v>
      </c>
      <c r="AH15" s="74" t="e">
        <f>data3!AE10*$B$6/AH$6</f>
        <v>#DIV/0!</v>
      </c>
      <c r="AI15" s="74" t="e">
        <f>data3!AF10*$B$6/AI$6</f>
        <v>#DIV/0!</v>
      </c>
      <c r="AJ15" s="74" t="e">
        <f>data3!AG10*$B$6/AJ$6</f>
        <v>#DIV/0!</v>
      </c>
    </row>
    <row r="16" spans="1:36">
      <c r="A16" s="29">
        <f>data0!A11</f>
        <v>-63</v>
      </c>
      <c r="B16" s="74" t="e">
        <f>AVERAGE(data3!B11:AG11)</f>
        <v>#DIV/0!</v>
      </c>
      <c r="C16" s="74" t="e">
        <f t="shared" si="0"/>
        <v>#DIV/0!</v>
      </c>
      <c r="D16" s="74" t="e">
        <f t="shared" si="1"/>
        <v>#DIV/0!</v>
      </c>
      <c r="E16" s="74" t="e">
        <f>data3!B11*$B$6/E$6</f>
        <v>#DIV/0!</v>
      </c>
      <c r="F16" s="74" t="e">
        <f>data3!C11*$B$6/F$6</f>
        <v>#DIV/0!</v>
      </c>
      <c r="G16" s="74" t="e">
        <f>data3!D11*$B$6/G$6</f>
        <v>#DIV/0!</v>
      </c>
      <c r="H16" s="74" t="e">
        <f>data3!E11*$B$6/H$6</f>
        <v>#DIV/0!</v>
      </c>
      <c r="I16" s="74" t="e">
        <f>data3!F11*$B$6/I$6</f>
        <v>#DIV/0!</v>
      </c>
      <c r="J16" s="74" t="e">
        <f>data3!G11*$B$6/J$6</f>
        <v>#DIV/0!</v>
      </c>
      <c r="K16" s="74" t="e">
        <f>data3!H11*$B$6/K$6</f>
        <v>#DIV/0!</v>
      </c>
      <c r="L16" s="74" t="e">
        <f>data3!I11*$B$6/L$6</f>
        <v>#DIV/0!</v>
      </c>
      <c r="M16" s="74" t="e">
        <f>data3!J11*$B$6/M$6</f>
        <v>#DIV/0!</v>
      </c>
      <c r="N16" s="74" t="e">
        <f>data3!K11*$B$6/N$6</f>
        <v>#DIV/0!</v>
      </c>
      <c r="O16" s="74" t="e">
        <f>data3!L11*$B$6/O$6</f>
        <v>#DIV/0!</v>
      </c>
      <c r="P16" s="74" t="e">
        <f>data3!M11*$B$6/P$6</f>
        <v>#DIV/0!</v>
      </c>
      <c r="Q16" s="74" t="e">
        <f>data3!N11*$B$6/Q$6</f>
        <v>#DIV/0!</v>
      </c>
      <c r="R16" s="74" t="e">
        <f>data3!O11*$B$6/R$6</f>
        <v>#DIV/0!</v>
      </c>
      <c r="S16" s="74" t="e">
        <f>data3!P11*$B$6/S$6</f>
        <v>#DIV/0!</v>
      </c>
      <c r="T16" s="74" t="e">
        <f>data3!Q11*$B$6/T$6</f>
        <v>#DIV/0!</v>
      </c>
      <c r="U16" s="74" t="e">
        <f>data3!R11*$B$6/U$6</f>
        <v>#DIV/0!</v>
      </c>
      <c r="V16" s="74" t="e">
        <f>data3!S11*$B$6/V$6</f>
        <v>#DIV/0!</v>
      </c>
      <c r="W16" s="74" t="e">
        <f>data3!T11*$B$6/W$6</f>
        <v>#DIV/0!</v>
      </c>
      <c r="X16" s="74" t="e">
        <f>data3!U11*$B$6/X$6</f>
        <v>#DIV/0!</v>
      </c>
      <c r="Y16" s="74" t="e">
        <f>data3!V11*$B$6/Y$6</f>
        <v>#DIV/0!</v>
      </c>
      <c r="Z16" s="74" t="e">
        <f>data3!W11*$B$6/Z$6</f>
        <v>#DIV/0!</v>
      </c>
      <c r="AA16" s="74" t="e">
        <f>data3!X11*$B$6/AA$6</f>
        <v>#DIV/0!</v>
      </c>
      <c r="AB16" s="74" t="e">
        <f>data3!Y11*$B$6/AB$6</f>
        <v>#DIV/0!</v>
      </c>
      <c r="AC16" s="74" t="e">
        <f>data3!Z11*$B$6/AC$6</f>
        <v>#DIV/0!</v>
      </c>
      <c r="AD16" s="74" t="e">
        <f>data3!AA11*$B$6/AD$6</f>
        <v>#DIV/0!</v>
      </c>
      <c r="AE16" s="74" t="e">
        <f>data3!AB11*$B$6/AE$6</f>
        <v>#DIV/0!</v>
      </c>
      <c r="AF16" s="74" t="e">
        <f>data3!AC11*$B$6/AF$6</f>
        <v>#DIV/0!</v>
      </c>
      <c r="AG16" s="74" t="e">
        <f>data3!AD11*$B$6/AG$6</f>
        <v>#DIV/0!</v>
      </c>
      <c r="AH16" s="74" t="e">
        <f>data3!AE11*$B$6/AH$6</f>
        <v>#DIV/0!</v>
      </c>
      <c r="AI16" s="74" t="e">
        <f>data3!AF11*$B$6/AI$6</f>
        <v>#DIV/0!</v>
      </c>
      <c r="AJ16" s="74" t="e">
        <f>data3!AG11*$B$6/AJ$6</f>
        <v>#DIV/0!</v>
      </c>
    </row>
    <row r="17" spans="1:36">
      <c r="A17" s="29">
        <f>data0!A12</f>
        <v>-60</v>
      </c>
      <c r="B17" s="74" t="e">
        <f>AVERAGE(data3!B12:AG12)</f>
        <v>#DIV/0!</v>
      </c>
      <c r="C17" s="74" t="e">
        <f t="shared" si="0"/>
        <v>#DIV/0!</v>
      </c>
      <c r="D17" s="74" t="e">
        <f t="shared" si="1"/>
        <v>#DIV/0!</v>
      </c>
      <c r="E17" s="74" t="e">
        <f>data3!B12*$B$6/E$6</f>
        <v>#DIV/0!</v>
      </c>
      <c r="F17" s="74" t="e">
        <f>data3!C12*$B$6/F$6</f>
        <v>#DIV/0!</v>
      </c>
      <c r="G17" s="74" t="e">
        <f>data3!D12*$B$6/G$6</f>
        <v>#DIV/0!</v>
      </c>
      <c r="H17" s="74" t="e">
        <f>data3!E12*$B$6/H$6</f>
        <v>#DIV/0!</v>
      </c>
      <c r="I17" s="74" t="e">
        <f>data3!F12*$B$6/I$6</f>
        <v>#DIV/0!</v>
      </c>
      <c r="J17" s="74" t="e">
        <f>data3!G12*$B$6/J$6</f>
        <v>#DIV/0!</v>
      </c>
      <c r="K17" s="74" t="e">
        <f>data3!H12*$B$6/K$6</f>
        <v>#DIV/0!</v>
      </c>
      <c r="L17" s="74" t="e">
        <f>data3!I12*$B$6/L$6</f>
        <v>#DIV/0!</v>
      </c>
      <c r="M17" s="74" t="e">
        <f>data3!J12*$B$6/M$6</f>
        <v>#DIV/0!</v>
      </c>
      <c r="N17" s="74" t="e">
        <f>data3!K12*$B$6/N$6</f>
        <v>#DIV/0!</v>
      </c>
      <c r="O17" s="74" t="e">
        <f>data3!L12*$B$6/O$6</f>
        <v>#DIV/0!</v>
      </c>
      <c r="P17" s="74" t="e">
        <f>data3!M12*$B$6/P$6</f>
        <v>#DIV/0!</v>
      </c>
      <c r="Q17" s="74" t="e">
        <f>data3!N12*$B$6/Q$6</f>
        <v>#DIV/0!</v>
      </c>
      <c r="R17" s="74" t="e">
        <f>data3!O12*$B$6/R$6</f>
        <v>#DIV/0!</v>
      </c>
      <c r="S17" s="74" t="e">
        <f>data3!P12*$B$6/S$6</f>
        <v>#DIV/0!</v>
      </c>
      <c r="T17" s="74" t="e">
        <f>data3!Q12*$B$6/T$6</f>
        <v>#DIV/0!</v>
      </c>
      <c r="U17" s="74" t="e">
        <f>data3!R12*$B$6/U$6</f>
        <v>#DIV/0!</v>
      </c>
      <c r="V17" s="74" t="e">
        <f>data3!S12*$B$6/V$6</f>
        <v>#DIV/0!</v>
      </c>
      <c r="W17" s="74" t="e">
        <f>data3!T12*$B$6/W$6</f>
        <v>#DIV/0!</v>
      </c>
      <c r="X17" s="74" t="e">
        <f>data3!U12*$B$6/X$6</f>
        <v>#DIV/0!</v>
      </c>
      <c r="Y17" s="74" t="e">
        <f>data3!V12*$B$6/Y$6</f>
        <v>#DIV/0!</v>
      </c>
      <c r="Z17" s="74" t="e">
        <f>data3!W12*$B$6/Z$6</f>
        <v>#DIV/0!</v>
      </c>
      <c r="AA17" s="74" t="e">
        <f>data3!X12*$B$6/AA$6</f>
        <v>#DIV/0!</v>
      </c>
      <c r="AB17" s="74" t="e">
        <f>data3!Y12*$B$6/AB$6</f>
        <v>#DIV/0!</v>
      </c>
      <c r="AC17" s="74" t="e">
        <f>data3!Z12*$B$6/AC$6</f>
        <v>#DIV/0!</v>
      </c>
      <c r="AD17" s="74" t="e">
        <f>data3!AA12*$B$6/AD$6</f>
        <v>#DIV/0!</v>
      </c>
      <c r="AE17" s="74" t="e">
        <f>data3!AB12*$B$6/AE$6</f>
        <v>#DIV/0!</v>
      </c>
      <c r="AF17" s="74" t="e">
        <f>data3!AC12*$B$6/AF$6</f>
        <v>#DIV/0!</v>
      </c>
      <c r="AG17" s="74" t="e">
        <f>data3!AD12*$B$6/AG$6</f>
        <v>#DIV/0!</v>
      </c>
      <c r="AH17" s="74" t="e">
        <f>data3!AE12*$B$6/AH$6</f>
        <v>#DIV/0!</v>
      </c>
      <c r="AI17" s="74" t="e">
        <f>data3!AF12*$B$6/AI$6</f>
        <v>#DIV/0!</v>
      </c>
      <c r="AJ17" s="74" t="e">
        <f>data3!AG12*$B$6/AJ$6</f>
        <v>#DIV/0!</v>
      </c>
    </row>
    <row r="18" spans="1:36">
      <c r="A18" s="29">
        <f>data0!A13</f>
        <v>-57</v>
      </c>
      <c r="B18" s="74" t="e">
        <f>AVERAGE(data3!B13:AG13)</f>
        <v>#DIV/0!</v>
      </c>
      <c r="C18" s="74" t="e">
        <f t="shared" si="0"/>
        <v>#DIV/0!</v>
      </c>
      <c r="D18" s="74" t="e">
        <f t="shared" si="1"/>
        <v>#DIV/0!</v>
      </c>
      <c r="E18" s="74" t="e">
        <f>data3!B13*$B$6/E$6</f>
        <v>#DIV/0!</v>
      </c>
      <c r="F18" s="74" t="e">
        <f>data3!C13*$B$6/F$6</f>
        <v>#DIV/0!</v>
      </c>
      <c r="G18" s="74" t="e">
        <f>data3!D13*$B$6/G$6</f>
        <v>#DIV/0!</v>
      </c>
      <c r="H18" s="74" t="e">
        <f>data3!E13*$B$6/H$6</f>
        <v>#DIV/0!</v>
      </c>
      <c r="I18" s="74" t="e">
        <f>data3!F13*$B$6/I$6</f>
        <v>#DIV/0!</v>
      </c>
      <c r="J18" s="74" t="e">
        <f>data3!G13*$B$6/J$6</f>
        <v>#DIV/0!</v>
      </c>
      <c r="K18" s="74" t="e">
        <f>data3!H13*$B$6/K$6</f>
        <v>#DIV/0!</v>
      </c>
      <c r="L18" s="74" t="e">
        <f>data3!I13*$B$6/L$6</f>
        <v>#DIV/0!</v>
      </c>
      <c r="M18" s="74" t="e">
        <f>data3!J13*$B$6/M$6</f>
        <v>#DIV/0!</v>
      </c>
      <c r="N18" s="74" t="e">
        <f>data3!K13*$B$6/N$6</f>
        <v>#DIV/0!</v>
      </c>
      <c r="O18" s="74" t="e">
        <f>data3!L13*$B$6/O$6</f>
        <v>#DIV/0!</v>
      </c>
      <c r="P18" s="74" t="e">
        <f>data3!M13*$B$6/P$6</f>
        <v>#DIV/0!</v>
      </c>
      <c r="Q18" s="74" t="e">
        <f>data3!N13*$B$6/Q$6</f>
        <v>#DIV/0!</v>
      </c>
      <c r="R18" s="74" t="e">
        <f>data3!O13*$B$6/R$6</f>
        <v>#DIV/0!</v>
      </c>
      <c r="S18" s="74" t="e">
        <f>data3!P13*$B$6/S$6</f>
        <v>#DIV/0!</v>
      </c>
      <c r="T18" s="74" t="e">
        <f>data3!Q13*$B$6/T$6</f>
        <v>#DIV/0!</v>
      </c>
      <c r="U18" s="74" t="e">
        <f>data3!R13*$B$6/U$6</f>
        <v>#DIV/0!</v>
      </c>
      <c r="V18" s="74" t="e">
        <f>data3!S13*$B$6/V$6</f>
        <v>#DIV/0!</v>
      </c>
      <c r="W18" s="74" t="e">
        <f>data3!T13*$B$6/W$6</f>
        <v>#DIV/0!</v>
      </c>
      <c r="X18" s="74" t="e">
        <f>data3!U13*$B$6/X$6</f>
        <v>#DIV/0!</v>
      </c>
      <c r="Y18" s="74" t="e">
        <f>data3!V13*$B$6/Y$6</f>
        <v>#DIV/0!</v>
      </c>
      <c r="Z18" s="74" t="e">
        <f>data3!W13*$B$6/Z$6</f>
        <v>#DIV/0!</v>
      </c>
      <c r="AA18" s="74" t="e">
        <f>data3!X13*$B$6/AA$6</f>
        <v>#DIV/0!</v>
      </c>
      <c r="AB18" s="74" t="e">
        <f>data3!Y13*$B$6/AB$6</f>
        <v>#DIV/0!</v>
      </c>
      <c r="AC18" s="74" t="e">
        <f>data3!Z13*$B$6/AC$6</f>
        <v>#DIV/0!</v>
      </c>
      <c r="AD18" s="74" t="e">
        <f>data3!AA13*$B$6/AD$6</f>
        <v>#DIV/0!</v>
      </c>
      <c r="AE18" s="74" t="e">
        <f>data3!AB13*$B$6/AE$6</f>
        <v>#DIV/0!</v>
      </c>
      <c r="AF18" s="74" t="e">
        <f>data3!AC13*$B$6/AF$6</f>
        <v>#DIV/0!</v>
      </c>
      <c r="AG18" s="74" t="e">
        <f>data3!AD13*$B$6/AG$6</f>
        <v>#DIV/0!</v>
      </c>
      <c r="AH18" s="74" t="e">
        <f>data3!AE13*$B$6/AH$6</f>
        <v>#DIV/0!</v>
      </c>
      <c r="AI18" s="74" t="e">
        <f>data3!AF13*$B$6/AI$6</f>
        <v>#DIV/0!</v>
      </c>
      <c r="AJ18" s="74" t="e">
        <f>data3!AG13*$B$6/AJ$6</f>
        <v>#DIV/0!</v>
      </c>
    </row>
    <row r="19" spans="1:36">
      <c r="A19" s="29">
        <f>data0!A14</f>
        <v>-54</v>
      </c>
      <c r="B19" s="74" t="e">
        <f>AVERAGE(data3!B14:AG14)</f>
        <v>#DIV/0!</v>
      </c>
      <c r="C19" s="74" t="e">
        <f t="shared" si="0"/>
        <v>#DIV/0!</v>
      </c>
      <c r="D19" s="74" t="e">
        <f t="shared" si="1"/>
        <v>#DIV/0!</v>
      </c>
      <c r="E19" s="74" t="e">
        <f>data3!B14*$B$6/E$6</f>
        <v>#DIV/0!</v>
      </c>
      <c r="F19" s="74" t="e">
        <f>data3!C14*$B$6/F$6</f>
        <v>#DIV/0!</v>
      </c>
      <c r="G19" s="74" t="e">
        <f>data3!D14*$B$6/G$6</f>
        <v>#DIV/0!</v>
      </c>
      <c r="H19" s="74" t="e">
        <f>data3!E14*$B$6/H$6</f>
        <v>#DIV/0!</v>
      </c>
      <c r="I19" s="74" t="e">
        <f>data3!F14*$B$6/I$6</f>
        <v>#DIV/0!</v>
      </c>
      <c r="J19" s="74" t="e">
        <f>data3!G14*$B$6/J$6</f>
        <v>#DIV/0!</v>
      </c>
      <c r="K19" s="74" t="e">
        <f>data3!H14*$B$6/K$6</f>
        <v>#DIV/0!</v>
      </c>
      <c r="L19" s="74" t="e">
        <f>data3!I14*$B$6/L$6</f>
        <v>#DIV/0!</v>
      </c>
      <c r="M19" s="74" t="e">
        <f>data3!J14*$B$6/M$6</f>
        <v>#DIV/0!</v>
      </c>
      <c r="N19" s="74" t="e">
        <f>data3!K14*$B$6/N$6</f>
        <v>#DIV/0!</v>
      </c>
      <c r="O19" s="74" t="e">
        <f>data3!L14*$B$6/O$6</f>
        <v>#DIV/0!</v>
      </c>
      <c r="P19" s="74" t="e">
        <f>data3!M14*$B$6/P$6</f>
        <v>#DIV/0!</v>
      </c>
      <c r="Q19" s="74" t="e">
        <f>data3!N14*$B$6/Q$6</f>
        <v>#DIV/0!</v>
      </c>
      <c r="R19" s="74" t="e">
        <f>data3!O14*$B$6/R$6</f>
        <v>#DIV/0!</v>
      </c>
      <c r="S19" s="74" t="e">
        <f>data3!P14*$B$6/S$6</f>
        <v>#DIV/0!</v>
      </c>
      <c r="T19" s="74" t="e">
        <f>data3!Q14*$B$6/T$6</f>
        <v>#DIV/0!</v>
      </c>
      <c r="U19" s="74" t="e">
        <f>data3!R14*$B$6/U$6</f>
        <v>#DIV/0!</v>
      </c>
      <c r="V19" s="74" t="e">
        <f>data3!S14*$B$6/V$6</f>
        <v>#DIV/0!</v>
      </c>
      <c r="W19" s="74" t="e">
        <f>data3!T14*$B$6/W$6</f>
        <v>#DIV/0!</v>
      </c>
      <c r="X19" s="74" t="e">
        <f>data3!U14*$B$6/X$6</f>
        <v>#DIV/0!</v>
      </c>
      <c r="Y19" s="74" t="e">
        <f>data3!V14*$B$6/Y$6</f>
        <v>#DIV/0!</v>
      </c>
      <c r="Z19" s="74" t="e">
        <f>data3!W14*$B$6/Z$6</f>
        <v>#DIV/0!</v>
      </c>
      <c r="AA19" s="74" t="e">
        <f>data3!X14*$B$6/AA$6</f>
        <v>#DIV/0!</v>
      </c>
      <c r="AB19" s="74" t="e">
        <f>data3!Y14*$B$6/AB$6</f>
        <v>#DIV/0!</v>
      </c>
      <c r="AC19" s="74" t="e">
        <f>data3!Z14*$B$6/AC$6</f>
        <v>#DIV/0!</v>
      </c>
      <c r="AD19" s="74" t="e">
        <f>data3!AA14*$B$6/AD$6</f>
        <v>#DIV/0!</v>
      </c>
      <c r="AE19" s="74" t="e">
        <f>data3!AB14*$B$6/AE$6</f>
        <v>#DIV/0!</v>
      </c>
      <c r="AF19" s="74" t="e">
        <f>data3!AC14*$B$6/AF$6</f>
        <v>#DIV/0!</v>
      </c>
      <c r="AG19" s="74" t="e">
        <f>data3!AD14*$B$6/AG$6</f>
        <v>#DIV/0!</v>
      </c>
      <c r="AH19" s="74" t="e">
        <f>data3!AE14*$B$6/AH$6</f>
        <v>#DIV/0!</v>
      </c>
      <c r="AI19" s="74" t="e">
        <f>data3!AF14*$B$6/AI$6</f>
        <v>#DIV/0!</v>
      </c>
      <c r="AJ19" s="74" t="e">
        <f>data3!AG14*$B$6/AJ$6</f>
        <v>#DIV/0!</v>
      </c>
    </row>
    <row r="20" spans="1:36">
      <c r="A20" s="29">
        <f>data0!A15</f>
        <v>-51</v>
      </c>
      <c r="B20" s="74" t="e">
        <f>AVERAGE(data3!B15:AG15)</f>
        <v>#DIV/0!</v>
      </c>
      <c r="C20" s="74" t="e">
        <f t="shared" si="0"/>
        <v>#DIV/0!</v>
      </c>
      <c r="D20" s="74" t="e">
        <f t="shared" si="1"/>
        <v>#DIV/0!</v>
      </c>
      <c r="E20" s="74" t="e">
        <f>data3!B15*$B$6/E$6</f>
        <v>#DIV/0!</v>
      </c>
      <c r="F20" s="74" t="e">
        <f>data3!C15*$B$6/F$6</f>
        <v>#DIV/0!</v>
      </c>
      <c r="G20" s="74" t="e">
        <f>data3!D15*$B$6/G$6</f>
        <v>#DIV/0!</v>
      </c>
      <c r="H20" s="74" t="e">
        <f>data3!E15*$B$6/H$6</f>
        <v>#DIV/0!</v>
      </c>
      <c r="I20" s="74" t="e">
        <f>data3!F15*$B$6/I$6</f>
        <v>#DIV/0!</v>
      </c>
      <c r="J20" s="74" t="e">
        <f>data3!G15*$B$6/J$6</f>
        <v>#DIV/0!</v>
      </c>
      <c r="K20" s="74" t="e">
        <f>data3!H15*$B$6/K$6</f>
        <v>#DIV/0!</v>
      </c>
      <c r="L20" s="74" t="e">
        <f>data3!I15*$B$6/L$6</f>
        <v>#DIV/0!</v>
      </c>
      <c r="M20" s="74" t="e">
        <f>data3!J15*$B$6/M$6</f>
        <v>#DIV/0!</v>
      </c>
      <c r="N20" s="74" t="e">
        <f>data3!K15*$B$6/N$6</f>
        <v>#DIV/0!</v>
      </c>
      <c r="O20" s="74" t="e">
        <f>data3!L15*$B$6/O$6</f>
        <v>#DIV/0!</v>
      </c>
      <c r="P20" s="74" t="e">
        <f>data3!M15*$B$6/P$6</f>
        <v>#DIV/0!</v>
      </c>
      <c r="Q20" s="74" t="e">
        <f>data3!N15*$B$6/Q$6</f>
        <v>#DIV/0!</v>
      </c>
      <c r="R20" s="74" t="e">
        <f>data3!O15*$B$6/R$6</f>
        <v>#DIV/0!</v>
      </c>
      <c r="S20" s="74" t="e">
        <f>data3!P15*$B$6/S$6</f>
        <v>#DIV/0!</v>
      </c>
      <c r="T20" s="74" t="e">
        <f>data3!Q15*$B$6/T$6</f>
        <v>#DIV/0!</v>
      </c>
      <c r="U20" s="74" t="e">
        <f>data3!R15*$B$6/U$6</f>
        <v>#DIV/0!</v>
      </c>
      <c r="V20" s="74" t="e">
        <f>data3!S15*$B$6/V$6</f>
        <v>#DIV/0!</v>
      </c>
      <c r="W20" s="74" t="e">
        <f>data3!T15*$B$6/W$6</f>
        <v>#DIV/0!</v>
      </c>
      <c r="X20" s="74" t="e">
        <f>data3!U15*$B$6/X$6</f>
        <v>#DIV/0!</v>
      </c>
      <c r="Y20" s="74" t="e">
        <f>data3!V15*$B$6/Y$6</f>
        <v>#DIV/0!</v>
      </c>
      <c r="Z20" s="74" t="e">
        <f>data3!W15*$B$6/Z$6</f>
        <v>#DIV/0!</v>
      </c>
      <c r="AA20" s="74" t="e">
        <f>data3!X15*$B$6/AA$6</f>
        <v>#DIV/0!</v>
      </c>
      <c r="AB20" s="74" t="e">
        <f>data3!Y15*$B$6/AB$6</f>
        <v>#DIV/0!</v>
      </c>
      <c r="AC20" s="74" t="e">
        <f>data3!Z15*$B$6/AC$6</f>
        <v>#DIV/0!</v>
      </c>
      <c r="AD20" s="74" t="e">
        <f>data3!AA15*$B$6/AD$6</f>
        <v>#DIV/0!</v>
      </c>
      <c r="AE20" s="74" t="e">
        <f>data3!AB15*$B$6/AE$6</f>
        <v>#DIV/0!</v>
      </c>
      <c r="AF20" s="74" t="e">
        <f>data3!AC15*$B$6/AF$6</f>
        <v>#DIV/0!</v>
      </c>
      <c r="AG20" s="74" t="e">
        <f>data3!AD15*$B$6/AG$6</f>
        <v>#DIV/0!</v>
      </c>
      <c r="AH20" s="74" t="e">
        <f>data3!AE15*$B$6/AH$6</f>
        <v>#DIV/0!</v>
      </c>
      <c r="AI20" s="74" t="e">
        <f>data3!AF15*$B$6/AI$6</f>
        <v>#DIV/0!</v>
      </c>
      <c r="AJ20" s="74" t="e">
        <f>data3!AG15*$B$6/AJ$6</f>
        <v>#DIV/0!</v>
      </c>
    </row>
    <row r="21" spans="1:36">
      <c r="A21" s="29">
        <f>data0!A16</f>
        <v>-48</v>
      </c>
      <c r="B21" s="74" t="e">
        <f>AVERAGE(data3!B16:AG16)</f>
        <v>#DIV/0!</v>
      </c>
      <c r="C21" s="74" t="e">
        <f t="shared" si="0"/>
        <v>#DIV/0!</v>
      </c>
      <c r="D21" s="74" t="e">
        <f t="shared" si="1"/>
        <v>#DIV/0!</v>
      </c>
      <c r="E21" s="74" t="e">
        <f>data3!B16*$B$6/E$6</f>
        <v>#DIV/0!</v>
      </c>
      <c r="F21" s="74" t="e">
        <f>data3!C16*$B$6/F$6</f>
        <v>#DIV/0!</v>
      </c>
      <c r="G21" s="74" t="e">
        <f>data3!D16*$B$6/G$6</f>
        <v>#DIV/0!</v>
      </c>
      <c r="H21" s="74" t="e">
        <f>data3!E16*$B$6/H$6</f>
        <v>#DIV/0!</v>
      </c>
      <c r="I21" s="74" t="e">
        <f>data3!F16*$B$6/I$6</f>
        <v>#DIV/0!</v>
      </c>
      <c r="J21" s="74" t="e">
        <f>data3!G16*$B$6/J$6</f>
        <v>#DIV/0!</v>
      </c>
      <c r="K21" s="74" t="e">
        <f>data3!H16*$B$6/K$6</f>
        <v>#DIV/0!</v>
      </c>
      <c r="L21" s="74" t="e">
        <f>data3!I16*$B$6/L$6</f>
        <v>#DIV/0!</v>
      </c>
      <c r="M21" s="74" t="e">
        <f>data3!J16*$B$6/M$6</f>
        <v>#DIV/0!</v>
      </c>
      <c r="N21" s="74" t="e">
        <f>data3!K16*$B$6/N$6</f>
        <v>#DIV/0!</v>
      </c>
      <c r="O21" s="74" t="e">
        <f>data3!L16*$B$6/O$6</f>
        <v>#DIV/0!</v>
      </c>
      <c r="P21" s="74" t="e">
        <f>data3!M16*$B$6/P$6</f>
        <v>#DIV/0!</v>
      </c>
      <c r="Q21" s="74" t="e">
        <f>data3!N16*$B$6/Q$6</f>
        <v>#DIV/0!</v>
      </c>
      <c r="R21" s="74" t="e">
        <f>data3!O16*$B$6/R$6</f>
        <v>#DIV/0!</v>
      </c>
      <c r="S21" s="74" t="e">
        <f>data3!P16*$B$6/S$6</f>
        <v>#DIV/0!</v>
      </c>
      <c r="T21" s="74" t="e">
        <f>data3!Q16*$B$6/T$6</f>
        <v>#DIV/0!</v>
      </c>
      <c r="U21" s="74" t="e">
        <f>data3!R16*$B$6/U$6</f>
        <v>#DIV/0!</v>
      </c>
      <c r="V21" s="74" t="e">
        <f>data3!S16*$B$6/V$6</f>
        <v>#DIV/0!</v>
      </c>
      <c r="W21" s="74" t="e">
        <f>data3!T16*$B$6/W$6</f>
        <v>#DIV/0!</v>
      </c>
      <c r="X21" s="74" t="e">
        <f>data3!U16*$B$6/X$6</f>
        <v>#DIV/0!</v>
      </c>
      <c r="Y21" s="74" t="e">
        <f>data3!V16*$B$6/Y$6</f>
        <v>#DIV/0!</v>
      </c>
      <c r="Z21" s="74" t="e">
        <f>data3!W16*$B$6/Z$6</f>
        <v>#DIV/0!</v>
      </c>
      <c r="AA21" s="74" t="e">
        <f>data3!X16*$B$6/AA$6</f>
        <v>#DIV/0!</v>
      </c>
      <c r="AB21" s="74" t="e">
        <f>data3!Y16*$B$6/AB$6</f>
        <v>#DIV/0!</v>
      </c>
      <c r="AC21" s="74" t="e">
        <f>data3!Z16*$B$6/AC$6</f>
        <v>#DIV/0!</v>
      </c>
      <c r="AD21" s="74" t="e">
        <f>data3!AA16*$B$6/AD$6</f>
        <v>#DIV/0!</v>
      </c>
      <c r="AE21" s="74" t="e">
        <f>data3!AB16*$B$6/AE$6</f>
        <v>#DIV/0!</v>
      </c>
      <c r="AF21" s="74" t="e">
        <f>data3!AC16*$B$6/AF$6</f>
        <v>#DIV/0!</v>
      </c>
      <c r="AG21" s="74" t="e">
        <f>data3!AD16*$B$6/AG$6</f>
        <v>#DIV/0!</v>
      </c>
      <c r="AH21" s="74" t="e">
        <f>data3!AE16*$B$6/AH$6</f>
        <v>#DIV/0!</v>
      </c>
      <c r="AI21" s="74" t="e">
        <f>data3!AF16*$B$6/AI$6</f>
        <v>#DIV/0!</v>
      </c>
      <c r="AJ21" s="74" t="e">
        <f>data3!AG16*$B$6/AJ$6</f>
        <v>#DIV/0!</v>
      </c>
    </row>
    <row r="22" spans="1:36">
      <c r="A22" s="29">
        <f>data0!A17</f>
        <v>-45</v>
      </c>
      <c r="B22" s="74" t="e">
        <f>AVERAGE(data3!B17:AG17)</f>
        <v>#DIV/0!</v>
      </c>
      <c r="C22" s="74" t="e">
        <f t="shared" si="0"/>
        <v>#DIV/0!</v>
      </c>
      <c r="D22" s="74" t="e">
        <f t="shared" si="1"/>
        <v>#DIV/0!</v>
      </c>
      <c r="E22" s="74" t="e">
        <f>data3!B17*$B$6/E$6</f>
        <v>#DIV/0!</v>
      </c>
      <c r="F22" s="74" t="e">
        <f>data3!C17*$B$6/F$6</f>
        <v>#DIV/0!</v>
      </c>
      <c r="G22" s="74" t="e">
        <f>data3!D17*$B$6/G$6</f>
        <v>#DIV/0!</v>
      </c>
      <c r="H22" s="74" t="e">
        <f>data3!E17*$B$6/H$6</f>
        <v>#DIV/0!</v>
      </c>
      <c r="I22" s="74" t="e">
        <f>data3!F17*$B$6/I$6</f>
        <v>#DIV/0!</v>
      </c>
      <c r="J22" s="74" t="e">
        <f>data3!G17*$B$6/J$6</f>
        <v>#DIV/0!</v>
      </c>
      <c r="K22" s="74" t="e">
        <f>data3!H17*$B$6/K$6</f>
        <v>#DIV/0!</v>
      </c>
      <c r="L22" s="74" t="e">
        <f>data3!I17*$B$6/L$6</f>
        <v>#DIV/0!</v>
      </c>
      <c r="M22" s="74" t="e">
        <f>data3!J17*$B$6/M$6</f>
        <v>#DIV/0!</v>
      </c>
      <c r="N22" s="74" t="e">
        <f>data3!K17*$B$6/N$6</f>
        <v>#DIV/0!</v>
      </c>
      <c r="O22" s="74" t="e">
        <f>data3!L17*$B$6/O$6</f>
        <v>#DIV/0!</v>
      </c>
      <c r="P22" s="74" t="e">
        <f>data3!M17*$B$6/P$6</f>
        <v>#DIV/0!</v>
      </c>
      <c r="Q22" s="74" t="e">
        <f>data3!N17*$B$6/Q$6</f>
        <v>#DIV/0!</v>
      </c>
      <c r="R22" s="74" t="e">
        <f>data3!O17*$B$6/R$6</f>
        <v>#DIV/0!</v>
      </c>
      <c r="S22" s="74" t="e">
        <f>data3!P17*$B$6/S$6</f>
        <v>#DIV/0!</v>
      </c>
      <c r="T22" s="74" t="e">
        <f>data3!Q17*$B$6/T$6</f>
        <v>#DIV/0!</v>
      </c>
      <c r="U22" s="74" t="e">
        <f>data3!R17*$B$6/U$6</f>
        <v>#DIV/0!</v>
      </c>
      <c r="V22" s="74" t="e">
        <f>data3!S17*$B$6/V$6</f>
        <v>#DIV/0!</v>
      </c>
      <c r="W22" s="74" t="e">
        <f>data3!T17*$B$6/W$6</f>
        <v>#DIV/0!</v>
      </c>
      <c r="X22" s="74" t="e">
        <f>data3!U17*$B$6/X$6</f>
        <v>#DIV/0!</v>
      </c>
      <c r="Y22" s="74" t="e">
        <f>data3!V17*$B$6/Y$6</f>
        <v>#DIV/0!</v>
      </c>
      <c r="Z22" s="74" t="e">
        <f>data3!W17*$B$6/Z$6</f>
        <v>#DIV/0!</v>
      </c>
      <c r="AA22" s="74" t="e">
        <f>data3!X17*$B$6/AA$6</f>
        <v>#DIV/0!</v>
      </c>
      <c r="AB22" s="74" t="e">
        <f>data3!Y17*$B$6/AB$6</f>
        <v>#DIV/0!</v>
      </c>
      <c r="AC22" s="74" t="e">
        <f>data3!Z17*$B$6/AC$6</f>
        <v>#DIV/0!</v>
      </c>
      <c r="AD22" s="74" t="e">
        <f>data3!AA17*$B$6/AD$6</f>
        <v>#DIV/0!</v>
      </c>
      <c r="AE22" s="74" t="e">
        <f>data3!AB17*$B$6/AE$6</f>
        <v>#DIV/0!</v>
      </c>
      <c r="AF22" s="74" t="e">
        <f>data3!AC17*$B$6/AF$6</f>
        <v>#DIV/0!</v>
      </c>
      <c r="AG22" s="74" t="e">
        <f>data3!AD17*$B$6/AG$6</f>
        <v>#DIV/0!</v>
      </c>
      <c r="AH22" s="74" t="e">
        <f>data3!AE17*$B$6/AH$6</f>
        <v>#DIV/0!</v>
      </c>
      <c r="AI22" s="74" t="e">
        <f>data3!AF17*$B$6/AI$6</f>
        <v>#DIV/0!</v>
      </c>
      <c r="AJ22" s="74" t="e">
        <f>data3!AG17*$B$6/AJ$6</f>
        <v>#DIV/0!</v>
      </c>
    </row>
    <row r="23" spans="1:36">
      <c r="A23" s="29">
        <f>data0!A18</f>
        <v>-42</v>
      </c>
      <c r="B23" s="74" t="e">
        <f>AVERAGE(data3!B18:AG18)</f>
        <v>#DIV/0!</v>
      </c>
      <c r="C23" s="74" t="e">
        <f t="shared" si="0"/>
        <v>#DIV/0!</v>
      </c>
      <c r="D23" s="74" t="e">
        <f t="shared" si="1"/>
        <v>#DIV/0!</v>
      </c>
      <c r="E23" s="74" t="e">
        <f>data3!B18*$B$6/E$6</f>
        <v>#DIV/0!</v>
      </c>
      <c r="F23" s="74" t="e">
        <f>data3!C18*$B$6/F$6</f>
        <v>#DIV/0!</v>
      </c>
      <c r="G23" s="74" t="e">
        <f>data3!D18*$B$6/G$6</f>
        <v>#DIV/0!</v>
      </c>
      <c r="H23" s="74" t="e">
        <f>data3!E18*$B$6/H$6</f>
        <v>#DIV/0!</v>
      </c>
      <c r="I23" s="74" t="e">
        <f>data3!F18*$B$6/I$6</f>
        <v>#DIV/0!</v>
      </c>
      <c r="J23" s="74" t="e">
        <f>data3!G18*$B$6/J$6</f>
        <v>#DIV/0!</v>
      </c>
      <c r="K23" s="74" t="e">
        <f>data3!H18*$B$6/K$6</f>
        <v>#DIV/0!</v>
      </c>
      <c r="L23" s="74" t="e">
        <f>data3!I18*$B$6/L$6</f>
        <v>#DIV/0!</v>
      </c>
      <c r="M23" s="74" t="e">
        <f>data3!J18*$B$6/M$6</f>
        <v>#DIV/0!</v>
      </c>
      <c r="N23" s="74" t="e">
        <f>data3!K18*$B$6/N$6</f>
        <v>#DIV/0!</v>
      </c>
      <c r="O23" s="74" t="e">
        <f>data3!L18*$B$6/O$6</f>
        <v>#DIV/0!</v>
      </c>
      <c r="P23" s="74" t="e">
        <f>data3!M18*$B$6/P$6</f>
        <v>#DIV/0!</v>
      </c>
      <c r="Q23" s="74" t="e">
        <f>data3!N18*$B$6/Q$6</f>
        <v>#DIV/0!</v>
      </c>
      <c r="R23" s="74" t="e">
        <f>data3!O18*$B$6/R$6</f>
        <v>#DIV/0!</v>
      </c>
      <c r="S23" s="74" t="e">
        <f>data3!P18*$B$6/S$6</f>
        <v>#DIV/0!</v>
      </c>
      <c r="T23" s="74" t="e">
        <f>data3!Q18*$B$6/T$6</f>
        <v>#DIV/0!</v>
      </c>
      <c r="U23" s="74" t="e">
        <f>data3!R18*$B$6/U$6</f>
        <v>#DIV/0!</v>
      </c>
      <c r="V23" s="74" t="e">
        <f>data3!S18*$B$6/V$6</f>
        <v>#DIV/0!</v>
      </c>
      <c r="W23" s="74" t="e">
        <f>data3!T18*$B$6/W$6</f>
        <v>#DIV/0!</v>
      </c>
      <c r="X23" s="74" t="e">
        <f>data3!U18*$B$6/X$6</f>
        <v>#DIV/0!</v>
      </c>
      <c r="Y23" s="74" t="e">
        <f>data3!V18*$B$6/Y$6</f>
        <v>#DIV/0!</v>
      </c>
      <c r="Z23" s="74" t="e">
        <f>data3!W18*$B$6/Z$6</f>
        <v>#DIV/0!</v>
      </c>
      <c r="AA23" s="74" t="e">
        <f>data3!X18*$B$6/AA$6</f>
        <v>#DIV/0!</v>
      </c>
      <c r="AB23" s="74" t="e">
        <f>data3!Y18*$B$6/AB$6</f>
        <v>#DIV/0!</v>
      </c>
      <c r="AC23" s="74" t="e">
        <f>data3!Z18*$B$6/AC$6</f>
        <v>#DIV/0!</v>
      </c>
      <c r="AD23" s="74" t="e">
        <f>data3!AA18*$B$6/AD$6</f>
        <v>#DIV/0!</v>
      </c>
      <c r="AE23" s="74" t="e">
        <f>data3!AB18*$B$6/AE$6</f>
        <v>#DIV/0!</v>
      </c>
      <c r="AF23" s="74" t="e">
        <f>data3!AC18*$B$6/AF$6</f>
        <v>#DIV/0!</v>
      </c>
      <c r="AG23" s="74" t="e">
        <f>data3!AD18*$B$6/AG$6</f>
        <v>#DIV/0!</v>
      </c>
      <c r="AH23" s="74" t="e">
        <f>data3!AE18*$B$6/AH$6</f>
        <v>#DIV/0!</v>
      </c>
      <c r="AI23" s="74" t="e">
        <f>data3!AF18*$B$6/AI$6</f>
        <v>#DIV/0!</v>
      </c>
      <c r="AJ23" s="74" t="e">
        <f>data3!AG18*$B$6/AJ$6</f>
        <v>#DIV/0!</v>
      </c>
    </row>
    <row r="24" spans="1:36">
      <c r="A24" s="29">
        <f>data0!A19</f>
        <v>-39</v>
      </c>
      <c r="B24" s="74" t="e">
        <f>AVERAGE(data3!B19:AG19)</f>
        <v>#DIV/0!</v>
      </c>
      <c r="C24" s="74" t="e">
        <f t="shared" si="0"/>
        <v>#DIV/0!</v>
      </c>
      <c r="D24" s="74" t="e">
        <f t="shared" si="1"/>
        <v>#DIV/0!</v>
      </c>
      <c r="E24" s="74" t="e">
        <f>data3!B19*$B$6/E$6</f>
        <v>#DIV/0!</v>
      </c>
      <c r="F24" s="74" t="e">
        <f>data3!C19*$B$6/F$6</f>
        <v>#DIV/0!</v>
      </c>
      <c r="G24" s="74" t="e">
        <f>data3!D19*$B$6/G$6</f>
        <v>#DIV/0!</v>
      </c>
      <c r="H24" s="74" t="e">
        <f>data3!E19*$B$6/H$6</f>
        <v>#DIV/0!</v>
      </c>
      <c r="I24" s="74" t="e">
        <f>data3!F19*$B$6/I$6</f>
        <v>#DIV/0!</v>
      </c>
      <c r="J24" s="74" t="e">
        <f>data3!G19*$B$6/J$6</f>
        <v>#DIV/0!</v>
      </c>
      <c r="K24" s="74" t="e">
        <f>data3!H19*$B$6/K$6</f>
        <v>#DIV/0!</v>
      </c>
      <c r="L24" s="74" t="e">
        <f>data3!I19*$B$6/L$6</f>
        <v>#DIV/0!</v>
      </c>
      <c r="M24" s="74" t="e">
        <f>data3!J19*$B$6/M$6</f>
        <v>#DIV/0!</v>
      </c>
      <c r="N24" s="74" t="e">
        <f>data3!K19*$B$6/N$6</f>
        <v>#DIV/0!</v>
      </c>
      <c r="O24" s="74" t="e">
        <f>data3!L19*$B$6/O$6</f>
        <v>#DIV/0!</v>
      </c>
      <c r="P24" s="74" t="e">
        <f>data3!M19*$B$6/P$6</f>
        <v>#DIV/0!</v>
      </c>
      <c r="Q24" s="74" t="e">
        <f>data3!N19*$B$6/Q$6</f>
        <v>#DIV/0!</v>
      </c>
      <c r="R24" s="74" t="e">
        <f>data3!O19*$B$6/R$6</f>
        <v>#DIV/0!</v>
      </c>
      <c r="S24" s="74" t="e">
        <f>data3!P19*$B$6/S$6</f>
        <v>#DIV/0!</v>
      </c>
      <c r="T24" s="74" t="e">
        <f>data3!Q19*$B$6/T$6</f>
        <v>#DIV/0!</v>
      </c>
      <c r="U24" s="74" t="e">
        <f>data3!R19*$B$6/U$6</f>
        <v>#DIV/0!</v>
      </c>
      <c r="V24" s="74" t="e">
        <f>data3!S19*$B$6/V$6</f>
        <v>#DIV/0!</v>
      </c>
      <c r="W24" s="74" t="e">
        <f>data3!T19*$B$6/W$6</f>
        <v>#DIV/0!</v>
      </c>
      <c r="X24" s="74" t="e">
        <f>data3!U19*$B$6/X$6</f>
        <v>#DIV/0!</v>
      </c>
      <c r="Y24" s="74" t="e">
        <f>data3!V19*$B$6/Y$6</f>
        <v>#DIV/0!</v>
      </c>
      <c r="Z24" s="74" t="e">
        <f>data3!W19*$B$6/Z$6</f>
        <v>#DIV/0!</v>
      </c>
      <c r="AA24" s="74" t="e">
        <f>data3!X19*$B$6/AA$6</f>
        <v>#DIV/0!</v>
      </c>
      <c r="AB24" s="74" t="e">
        <f>data3!Y19*$B$6/AB$6</f>
        <v>#DIV/0!</v>
      </c>
      <c r="AC24" s="74" t="e">
        <f>data3!Z19*$B$6/AC$6</f>
        <v>#DIV/0!</v>
      </c>
      <c r="AD24" s="74" t="e">
        <f>data3!AA19*$B$6/AD$6</f>
        <v>#DIV/0!</v>
      </c>
      <c r="AE24" s="74" t="e">
        <f>data3!AB19*$B$6/AE$6</f>
        <v>#DIV/0!</v>
      </c>
      <c r="AF24" s="74" t="e">
        <f>data3!AC19*$B$6/AF$6</f>
        <v>#DIV/0!</v>
      </c>
      <c r="AG24" s="74" t="e">
        <f>data3!AD19*$B$6/AG$6</f>
        <v>#DIV/0!</v>
      </c>
      <c r="AH24" s="74" t="e">
        <f>data3!AE19*$B$6/AH$6</f>
        <v>#DIV/0!</v>
      </c>
      <c r="AI24" s="74" t="e">
        <f>data3!AF19*$B$6/AI$6</f>
        <v>#DIV/0!</v>
      </c>
      <c r="AJ24" s="74" t="e">
        <f>data3!AG19*$B$6/AJ$6</f>
        <v>#DIV/0!</v>
      </c>
    </row>
    <row r="25" spans="1:36">
      <c r="A25" s="29">
        <f>data0!A20</f>
        <v>-36</v>
      </c>
      <c r="B25" s="74" t="e">
        <f>AVERAGE(data3!B20:AG20)</f>
        <v>#DIV/0!</v>
      </c>
      <c r="C25" s="74" t="e">
        <f t="shared" si="0"/>
        <v>#DIV/0!</v>
      </c>
      <c r="D25" s="74" t="e">
        <f t="shared" si="1"/>
        <v>#DIV/0!</v>
      </c>
      <c r="E25" s="74" t="e">
        <f>data3!B20*$B$6/E$6</f>
        <v>#DIV/0!</v>
      </c>
      <c r="F25" s="74" t="e">
        <f>data3!C20*$B$6/F$6</f>
        <v>#DIV/0!</v>
      </c>
      <c r="G25" s="74" t="e">
        <f>data3!D20*$B$6/G$6</f>
        <v>#DIV/0!</v>
      </c>
      <c r="H25" s="74" t="e">
        <f>data3!E20*$B$6/H$6</f>
        <v>#DIV/0!</v>
      </c>
      <c r="I25" s="74" t="e">
        <f>data3!F20*$B$6/I$6</f>
        <v>#DIV/0!</v>
      </c>
      <c r="J25" s="74" t="e">
        <f>data3!G20*$B$6/J$6</f>
        <v>#DIV/0!</v>
      </c>
      <c r="K25" s="74" t="e">
        <f>data3!H20*$B$6/K$6</f>
        <v>#DIV/0!</v>
      </c>
      <c r="L25" s="74" t="e">
        <f>data3!I20*$B$6/L$6</f>
        <v>#DIV/0!</v>
      </c>
      <c r="M25" s="74" t="e">
        <f>data3!J20*$B$6/M$6</f>
        <v>#DIV/0!</v>
      </c>
      <c r="N25" s="74" t="e">
        <f>data3!K20*$B$6/N$6</f>
        <v>#DIV/0!</v>
      </c>
      <c r="O25" s="74" t="e">
        <f>data3!L20*$B$6/O$6</f>
        <v>#DIV/0!</v>
      </c>
      <c r="P25" s="74" t="e">
        <f>data3!M20*$B$6/P$6</f>
        <v>#DIV/0!</v>
      </c>
      <c r="Q25" s="74" t="e">
        <f>data3!N20*$B$6/Q$6</f>
        <v>#DIV/0!</v>
      </c>
      <c r="R25" s="74" t="e">
        <f>data3!O20*$B$6/R$6</f>
        <v>#DIV/0!</v>
      </c>
      <c r="S25" s="74" t="e">
        <f>data3!P20*$B$6/S$6</f>
        <v>#DIV/0!</v>
      </c>
      <c r="T25" s="74" t="e">
        <f>data3!Q20*$B$6/T$6</f>
        <v>#DIV/0!</v>
      </c>
      <c r="U25" s="74" t="e">
        <f>data3!R20*$B$6/U$6</f>
        <v>#DIV/0!</v>
      </c>
      <c r="V25" s="74" t="e">
        <f>data3!S20*$B$6/V$6</f>
        <v>#DIV/0!</v>
      </c>
      <c r="W25" s="74" t="e">
        <f>data3!T20*$B$6/W$6</f>
        <v>#DIV/0!</v>
      </c>
      <c r="X25" s="74" t="e">
        <f>data3!U20*$B$6/X$6</f>
        <v>#DIV/0!</v>
      </c>
      <c r="Y25" s="74" t="e">
        <f>data3!V20*$B$6/Y$6</f>
        <v>#DIV/0!</v>
      </c>
      <c r="Z25" s="74" t="e">
        <f>data3!W20*$B$6/Z$6</f>
        <v>#DIV/0!</v>
      </c>
      <c r="AA25" s="74" t="e">
        <f>data3!X20*$B$6/AA$6</f>
        <v>#DIV/0!</v>
      </c>
      <c r="AB25" s="74" t="e">
        <f>data3!Y20*$B$6/AB$6</f>
        <v>#DIV/0!</v>
      </c>
      <c r="AC25" s="74" t="e">
        <f>data3!Z20*$B$6/AC$6</f>
        <v>#DIV/0!</v>
      </c>
      <c r="AD25" s="74" t="e">
        <f>data3!AA20*$B$6/AD$6</f>
        <v>#DIV/0!</v>
      </c>
      <c r="AE25" s="74" t="e">
        <f>data3!AB20*$B$6/AE$6</f>
        <v>#DIV/0!</v>
      </c>
      <c r="AF25" s="74" t="e">
        <f>data3!AC20*$B$6/AF$6</f>
        <v>#DIV/0!</v>
      </c>
      <c r="AG25" s="74" t="e">
        <f>data3!AD20*$B$6/AG$6</f>
        <v>#DIV/0!</v>
      </c>
      <c r="AH25" s="74" t="e">
        <f>data3!AE20*$B$6/AH$6</f>
        <v>#DIV/0!</v>
      </c>
      <c r="AI25" s="74" t="e">
        <f>data3!AF20*$B$6/AI$6</f>
        <v>#DIV/0!</v>
      </c>
      <c r="AJ25" s="74" t="e">
        <f>data3!AG20*$B$6/AJ$6</f>
        <v>#DIV/0!</v>
      </c>
    </row>
    <row r="26" spans="1:36">
      <c r="A26" s="29">
        <f>data0!A21</f>
        <v>-33</v>
      </c>
      <c r="B26" s="74" t="e">
        <f>AVERAGE(data3!B21:AG21)</f>
        <v>#DIV/0!</v>
      </c>
      <c r="C26" s="74" t="e">
        <f t="shared" si="0"/>
        <v>#DIV/0!</v>
      </c>
      <c r="D26" s="74" t="e">
        <f t="shared" si="1"/>
        <v>#DIV/0!</v>
      </c>
      <c r="E26" s="74" t="e">
        <f>data3!B21*$B$6/E$6</f>
        <v>#DIV/0!</v>
      </c>
      <c r="F26" s="74" t="e">
        <f>data3!C21*$B$6/F$6</f>
        <v>#DIV/0!</v>
      </c>
      <c r="G26" s="74" t="e">
        <f>data3!D21*$B$6/G$6</f>
        <v>#DIV/0!</v>
      </c>
      <c r="H26" s="74" t="e">
        <f>data3!E21*$B$6/H$6</f>
        <v>#DIV/0!</v>
      </c>
      <c r="I26" s="74" t="e">
        <f>data3!F21*$B$6/I$6</f>
        <v>#DIV/0!</v>
      </c>
      <c r="J26" s="74" t="e">
        <f>data3!G21*$B$6/J$6</f>
        <v>#DIV/0!</v>
      </c>
      <c r="K26" s="74" t="e">
        <f>data3!H21*$B$6/K$6</f>
        <v>#DIV/0!</v>
      </c>
      <c r="L26" s="74" t="e">
        <f>data3!I21*$B$6/L$6</f>
        <v>#DIV/0!</v>
      </c>
      <c r="M26" s="74" t="e">
        <f>data3!J21*$B$6/M$6</f>
        <v>#DIV/0!</v>
      </c>
      <c r="N26" s="74" t="e">
        <f>data3!K21*$B$6/N$6</f>
        <v>#DIV/0!</v>
      </c>
      <c r="O26" s="74" t="e">
        <f>data3!L21*$B$6/O$6</f>
        <v>#DIV/0!</v>
      </c>
      <c r="P26" s="74" t="e">
        <f>data3!M21*$B$6/P$6</f>
        <v>#DIV/0!</v>
      </c>
      <c r="Q26" s="74" t="e">
        <f>data3!N21*$B$6/Q$6</f>
        <v>#DIV/0!</v>
      </c>
      <c r="R26" s="74" t="e">
        <f>data3!O21*$B$6/R$6</f>
        <v>#DIV/0!</v>
      </c>
      <c r="S26" s="74" t="e">
        <f>data3!P21*$B$6/S$6</f>
        <v>#DIV/0!</v>
      </c>
      <c r="T26" s="74" t="e">
        <f>data3!Q21*$B$6/T$6</f>
        <v>#DIV/0!</v>
      </c>
      <c r="U26" s="74" t="e">
        <f>data3!R21*$B$6/U$6</f>
        <v>#DIV/0!</v>
      </c>
      <c r="V26" s="74" t="e">
        <f>data3!S21*$B$6/V$6</f>
        <v>#DIV/0!</v>
      </c>
      <c r="W26" s="74" t="e">
        <f>data3!T21*$B$6/W$6</f>
        <v>#DIV/0!</v>
      </c>
      <c r="X26" s="74" t="e">
        <f>data3!U21*$B$6/X$6</f>
        <v>#DIV/0!</v>
      </c>
      <c r="Y26" s="74" t="e">
        <f>data3!V21*$B$6/Y$6</f>
        <v>#DIV/0!</v>
      </c>
      <c r="Z26" s="74" t="e">
        <f>data3!W21*$B$6/Z$6</f>
        <v>#DIV/0!</v>
      </c>
      <c r="AA26" s="74" t="e">
        <f>data3!X21*$B$6/AA$6</f>
        <v>#DIV/0!</v>
      </c>
      <c r="AB26" s="74" t="e">
        <f>data3!Y21*$B$6/AB$6</f>
        <v>#DIV/0!</v>
      </c>
      <c r="AC26" s="74" t="e">
        <f>data3!Z21*$B$6/AC$6</f>
        <v>#DIV/0!</v>
      </c>
      <c r="AD26" s="74" t="e">
        <f>data3!AA21*$B$6/AD$6</f>
        <v>#DIV/0!</v>
      </c>
      <c r="AE26" s="74" t="e">
        <f>data3!AB21*$B$6/AE$6</f>
        <v>#DIV/0!</v>
      </c>
      <c r="AF26" s="74" t="e">
        <f>data3!AC21*$B$6/AF$6</f>
        <v>#DIV/0!</v>
      </c>
      <c r="AG26" s="74" t="e">
        <f>data3!AD21*$B$6/AG$6</f>
        <v>#DIV/0!</v>
      </c>
      <c r="AH26" s="74" t="e">
        <f>data3!AE21*$B$6/AH$6</f>
        <v>#DIV/0!</v>
      </c>
      <c r="AI26" s="74" t="e">
        <f>data3!AF21*$B$6/AI$6</f>
        <v>#DIV/0!</v>
      </c>
      <c r="AJ26" s="74" t="e">
        <f>data3!AG21*$B$6/AJ$6</f>
        <v>#DIV/0!</v>
      </c>
    </row>
    <row r="27" spans="1:36">
      <c r="A27" s="29">
        <f>data0!A22</f>
        <v>-30</v>
      </c>
      <c r="B27" s="74" t="e">
        <f>AVERAGE(data3!B22:AG22)</f>
        <v>#DIV/0!</v>
      </c>
      <c r="C27" s="74" t="e">
        <f t="shared" si="0"/>
        <v>#DIV/0!</v>
      </c>
      <c r="D27" s="74" t="e">
        <f t="shared" si="1"/>
        <v>#DIV/0!</v>
      </c>
      <c r="E27" s="74" t="e">
        <f>data3!B22*$B$6/E$6</f>
        <v>#DIV/0!</v>
      </c>
      <c r="F27" s="74" t="e">
        <f>data3!C22*$B$6/F$6</f>
        <v>#DIV/0!</v>
      </c>
      <c r="G27" s="74" t="e">
        <f>data3!D22*$B$6/G$6</f>
        <v>#DIV/0!</v>
      </c>
      <c r="H27" s="74" t="e">
        <f>data3!E22*$B$6/H$6</f>
        <v>#DIV/0!</v>
      </c>
      <c r="I27" s="74" t="e">
        <f>data3!F22*$B$6/I$6</f>
        <v>#DIV/0!</v>
      </c>
      <c r="J27" s="74" t="e">
        <f>data3!G22*$B$6/J$6</f>
        <v>#DIV/0!</v>
      </c>
      <c r="K27" s="74" t="e">
        <f>data3!H22*$B$6/K$6</f>
        <v>#DIV/0!</v>
      </c>
      <c r="L27" s="74" t="e">
        <f>data3!I22*$B$6/L$6</f>
        <v>#DIV/0!</v>
      </c>
      <c r="M27" s="74" t="e">
        <f>data3!J22*$B$6/M$6</f>
        <v>#DIV/0!</v>
      </c>
      <c r="N27" s="74" t="e">
        <f>data3!K22*$B$6/N$6</f>
        <v>#DIV/0!</v>
      </c>
      <c r="O27" s="74" t="e">
        <f>data3!L22*$B$6/O$6</f>
        <v>#DIV/0!</v>
      </c>
      <c r="P27" s="74" t="e">
        <f>data3!M22*$B$6/P$6</f>
        <v>#DIV/0!</v>
      </c>
      <c r="Q27" s="74" t="e">
        <f>data3!N22*$B$6/Q$6</f>
        <v>#DIV/0!</v>
      </c>
      <c r="R27" s="74" t="e">
        <f>data3!O22*$B$6/R$6</f>
        <v>#DIV/0!</v>
      </c>
      <c r="S27" s="74" t="e">
        <f>data3!P22*$B$6/S$6</f>
        <v>#DIV/0!</v>
      </c>
      <c r="T27" s="74" t="e">
        <f>data3!Q22*$B$6/T$6</f>
        <v>#DIV/0!</v>
      </c>
      <c r="U27" s="74" t="e">
        <f>data3!R22*$B$6/U$6</f>
        <v>#DIV/0!</v>
      </c>
      <c r="V27" s="74" t="e">
        <f>data3!S22*$B$6/V$6</f>
        <v>#DIV/0!</v>
      </c>
      <c r="W27" s="74" t="e">
        <f>data3!T22*$B$6/W$6</f>
        <v>#DIV/0!</v>
      </c>
      <c r="X27" s="74" t="e">
        <f>data3!U22*$B$6/X$6</f>
        <v>#DIV/0!</v>
      </c>
      <c r="Y27" s="74" t="e">
        <f>data3!V22*$B$6/Y$6</f>
        <v>#DIV/0!</v>
      </c>
      <c r="Z27" s="74" t="e">
        <f>data3!W22*$B$6/Z$6</f>
        <v>#DIV/0!</v>
      </c>
      <c r="AA27" s="74" t="e">
        <f>data3!X22*$B$6/AA$6</f>
        <v>#DIV/0!</v>
      </c>
      <c r="AB27" s="74" t="e">
        <f>data3!Y22*$B$6/AB$6</f>
        <v>#DIV/0!</v>
      </c>
      <c r="AC27" s="74" t="e">
        <f>data3!Z22*$B$6/AC$6</f>
        <v>#DIV/0!</v>
      </c>
      <c r="AD27" s="74" t="e">
        <f>data3!AA22*$B$6/AD$6</f>
        <v>#DIV/0!</v>
      </c>
      <c r="AE27" s="74" t="e">
        <f>data3!AB22*$B$6/AE$6</f>
        <v>#DIV/0!</v>
      </c>
      <c r="AF27" s="74" t="e">
        <f>data3!AC22*$B$6/AF$6</f>
        <v>#DIV/0!</v>
      </c>
      <c r="AG27" s="74" t="e">
        <f>data3!AD22*$B$6/AG$6</f>
        <v>#DIV/0!</v>
      </c>
      <c r="AH27" s="74" t="e">
        <f>data3!AE22*$B$6/AH$6</f>
        <v>#DIV/0!</v>
      </c>
      <c r="AI27" s="74" t="e">
        <f>data3!AF22*$B$6/AI$6</f>
        <v>#DIV/0!</v>
      </c>
      <c r="AJ27" s="74" t="e">
        <f>data3!AG22*$B$6/AJ$6</f>
        <v>#DIV/0!</v>
      </c>
    </row>
    <row r="28" spans="1:36">
      <c r="A28" s="29">
        <f>data0!A23</f>
        <v>-27</v>
      </c>
      <c r="B28" s="74" t="e">
        <f>AVERAGE(data3!B23:AG23)</f>
        <v>#DIV/0!</v>
      </c>
      <c r="C28" s="74" t="e">
        <f t="shared" si="0"/>
        <v>#DIV/0!</v>
      </c>
      <c r="D28" s="74" t="e">
        <f t="shared" si="1"/>
        <v>#DIV/0!</v>
      </c>
      <c r="E28" s="74" t="e">
        <f>data3!B23*$B$6/E$6</f>
        <v>#DIV/0!</v>
      </c>
      <c r="F28" s="74" t="e">
        <f>data3!C23*$B$6/F$6</f>
        <v>#DIV/0!</v>
      </c>
      <c r="G28" s="74" t="e">
        <f>data3!D23*$B$6/G$6</f>
        <v>#DIV/0!</v>
      </c>
      <c r="H28" s="74" t="e">
        <f>data3!E23*$B$6/H$6</f>
        <v>#DIV/0!</v>
      </c>
      <c r="I28" s="74" t="e">
        <f>data3!F23*$B$6/I$6</f>
        <v>#DIV/0!</v>
      </c>
      <c r="J28" s="74" t="e">
        <f>data3!G23*$B$6/J$6</f>
        <v>#DIV/0!</v>
      </c>
      <c r="K28" s="74" t="e">
        <f>data3!H23*$B$6/K$6</f>
        <v>#DIV/0!</v>
      </c>
      <c r="L28" s="74" t="e">
        <f>data3!I23*$B$6/L$6</f>
        <v>#DIV/0!</v>
      </c>
      <c r="M28" s="74" t="e">
        <f>data3!J23*$B$6/M$6</f>
        <v>#DIV/0!</v>
      </c>
      <c r="N28" s="74" t="e">
        <f>data3!K23*$B$6/N$6</f>
        <v>#DIV/0!</v>
      </c>
      <c r="O28" s="74" t="e">
        <f>data3!L23*$B$6/O$6</f>
        <v>#DIV/0!</v>
      </c>
      <c r="P28" s="74" t="e">
        <f>data3!M23*$B$6/P$6</f>
        <v>#DIV/0!</v>
      </c>
      <c r="Q28" s="74" t="e">
        <f>data3!N23*$B$6/Q$6</f>
        <v>#DIV/0!</v>
      </c>
      <c r="R28" s="74" t="e">
        <f>data3!O23*$B$6/R$6</f>
        <v>#DIV/0!</v>
      </c>
      <c r="S28" s="74" t="e">
        <f>data3!P23*$B$6/S$6</f>
        <v>#DIV/0!</v>
      </c>
      <c r="T28" s="74" t="e">
        <f>data3!Q23*$B$6/T$6</f>
        <v>#DIV/0!</v>
      </c>
      <c r="U28" s="74" t="e">
        <f>data3!R23*$B$6/U$6</f>
        <v>#DIV/0!</v>
      </c>
      <c r="V28" s="74" t="e">
        <f>data3!S23*$B$6/V$6</f>
        <v>#DIV/0!</v>
      </c>
      <c r="W28" s="74" t="e">
        <f>data3!T23*$B$6/W$6</f>
        <v>#DIV/0!</v>
      </c>
      <c r="X28" s="74" t="e">
        <f>data3!U23*$B$6/X$6</f>
        <v>#DIV/0!</v>
      </c>
      <c r="Y28" s="74" t="e">
        <f>data3!V23*$B$6/Y$6</f>
        <v>#DIV/0!</v>
      </c>
      <c r="Z28" s="74" t="e">
        <f>data3!W23*$B$6/Z$6</f>
        <v>#DIV/0!</v>
      </c>
      <c r="AA28" s="74" t="e">
        <f>data3!X23*$B$6/AA$6</f>
        <v>#DIV/0!</v>
      </c>
      <c r="AB28" s="74" t="e">
        <f>data3!Y23*$B$6/AB$6</f>
        <v>#DIV/0!</v>
      </c>
      <c r="AC28" s="74" t="e">
        <f>data3!Z23*$B$6/AC$6</f>
        <v>#DIV/0!</v>
      </c>
      <c r="AD28" s="74" t="e">
        <f>data3!AA23*$B$6/AD$6</f>
        <v>#DIV/0!</v>
      </c>
      <c r="AE28" s="74" t="e">
        <f>data3!AB23*$B$6/AE$6</f>
        <v>#DIV/0!</v>
      </c>
      <c r="AF28" s="74" t="e">
        <f>data3!AC23*$B$6/AF$6</f>
        <v>#DIV/0!</v>
      </c>
      <c r="AG28" s="74" t="e">
        <f>data3!AD23*$B$6/AG$6</f>
        <v>#DIV/0!</v>
      </c>
      <c r="AH28" s="74" t="e">
        <f>data3!AE23*$B$6/AH$6</f>
        <v>#DIV/0!</v>
      </c>
      <c r="AI28" s="74" t="e">
        <f>data3!AF23*$B$6/AI$6</f>
        <v>#DIV/0!</v>
      </c>
      <c r="AJ28" s="74" t="e">
        <f>data3!AG23*$B$6/AJ$6</f>
        <v>#DIV/0!</v>
      </c>
    </row>
    <row r="29" spans="1:36">
      <c r="A29" s="29">
        <f>data0!A24</f>
        <v>-24</v>
      </c>
      <c r="B29" s="74" t="e">
        <f>AVERAGE(data3!B24:AG24)</f>
        <v>#DIV/0!</v>
      </c>
      <c r="C29" s="74" t="e">
        <f t="shared" si="0"/>
        <v>#DIV/0!</v>
      </c>
      <c r="D29" s="74" t="e">
        <f t="shared" si="1"/>
        <v>#DIV/0!</v>
      </c>
      <c r="E29" s="74" t="e">
        <f>data3!B24*$B$6/E$6</f>
        <v>#DIV/0!</v>
      </c>
      <c r="F29" s="74" t="e">
        <f>data3!C24*$B$6/F$6</f>
        <v>#DIV/0!</v>
      </c>
      <c r="G29" s="74" t="e">
        <f>data3!D24*$B$6/G$6</f>
        <v>#DIV/0!</v>
      </c>
      <c r="H29" s="74" t="e">
        <f>data3!E24*$B$6/H$6</f>
        <v>#DIV/0!</v>
      </c>
      <c r="I29" s="74" t="e">
        <f>data3!F24*$B$6/I$6</f>
        <v>#DIV/0!</v>
      </c>
      <c r="J29" s="74" t="e">
        <f>data3!G24*$B$6/J$6</f>
        <v>#DIV/0!</v>
      </c>
      <c r="K29" s="74" t="e">
        <f>data3!H24*$B$6/K$6</f>
        <v>#DIV/0!</v>
      </c>
      <c r="L29" s="74" t="e">
        <f>data3!I24*$B$6/L$6</f>
        <v>#DIV/0!</v>
      </c>
      <c r="M29" s="74" t="e">
        <f>data3!J24*$B$6/M$6</f>
        <v>#DIV/0!</v>
      </c>
      <c r="N29" s="74" t="e">
        <f>data3!K24*$B$6/N$6</f>
        <v>#DIV/0!</v>
      </c>
      <c r="O29" s="74" t="e">
        <f>data3!L24*$B$6/O$6</f>
        <v>#DIV/0!</v>
      </c>
      <c r="P29" s="74" t="e">
        <f>data3!M24*$B$6/P$6</f>
        <v>#DIV/0!</v>
      </c>
      <c r="Q29" s="74" t="e">
        <f>data3!N24*$B$6/Q$6</f>
        <v>#DIV/0!</v>
      </c>
      <c r="R29" s="74" t="e">
        <f>data3!O24*$B$6/R$6</f>
        <v>#DIV/0!</v>
      </c>
      <c r="S29" s="74" t="e">
        <f>data3!P24*$B$6/S$6</f>
        <v>#DIV/0!</v>
      </c>
      <c r="T29" s="74" t="e">
        <f>data3!Q24*$B$6/T$6</f>
        <v>#DIV/0!</v>
      </c>
      <c r="U29" s="74" t="e">
        <f>data3!R24*$B$6/U$6</f>
        <v>#DIV/0!</v>
      </c>
      <c r="V29" s="74" t="e">
        <f>data3!S24*$B$6/V$6</f>
        <v>#DIV/0!</v>
      </c>
      <c r="W29" s="74" t="e">
        <f>data3!T24*$B$6/W$6</f>
        <v>#DIV/0!</v>
      </c>
      <c r="X29" s="74" t="e">
        <f>data3!U24*$B$6/X$6</f>
        <v>#DIV/0!</v>
      </c>
      <c r="Y29" s="74" t="e">
        <f>data3!V24*$B$6/Y$6</f>
        <v>#DIV/0!</v>
      </c>
      <c r="Z29" s="74" t="e">
        <f>data3!W24*$B$6/Z$6</f>
        <v>#DIV/0!</v>
      </c>
      <c r="AA29" s="74" t="e">
        <f>data3!X24*$B$6/AA$6</f>
        <v>#DIV/0!</v>
      </c>
      <c r="AB29" s="74" t="e">
        <f>data3!Y24*$B$6/AB$6</f>
        <v>#DIV/0!</v>
      </c>
      <c r="AC29" s="74" t="e">
        <f>data3!Z24*$B$6/AC$6</f>
        <v>#DIV/0!</v>
      </c>
      <c r="AD29" s="74" t="e">
        <f>data3!AA24*$B$6/AD$6</f>
        <v>#DIV/0!</v>
      </c>
      <c r="AE29" s="74" t="e">
        <f>data3!AB24*$B$6/AE$6</f>
        <v>#DIV/0!</v>
      </c>
      <c r="AF29" s="74" t="e">
        <f>data3!AC24*$B$6/AF$6</f>
        <v>#DIV/0!</v>
      </c>
      <c r="AG29" s="74" t="e">
        <f>data3!AD24*$B$6/AG$6</f>
        <v>#DIV/0!</v>
      </c>
      <c r="AH29" s="74" t="e">
        <f>data3!AE24*$B$6/AH$6</f>
        <v>#DIV/0!</v>
      </c>
      <c r="AI29" s="74" t="e">
        <f>data3!AF24*$B$6/AI$6</f>
        <v>#DIV/0!</v>
      </c>
      <c r="AJ29" s="74" t="e">
        <f>data3!AG24*$B$6/AJ$6</f>
        <v>#DIV/0!</v>
      </c>
    </row>
    <row r="30" spans="1:36">
      <c r="A30" s="29">
        <f>data0!A25</f>
        <v>-21</v>
      </c>
      <c r="B30" s="74" t="e">
        <f>AVERAGE(data3!B25:AG25)</f>
        <v>#DIV/0!</v>
      </c>
      <c r="C30" s="74" t="e">
        <f t="shared" si="0"/>
        <v>#DIV/0!</v>
      </c>
      <c r="D30" s="74" t="e">
        <f t="shared" si="1"/>
        <v>#DIV/0!</v>
      </c>
      <c r="E30" s="74" t="e">
        <f>data3!B25*$B$6/E$6</f>
        <v>#DIV/0!</v>
      </c>
      <c r="F30" s="74" t="e">
        <f>data3!C25*$B$6/F$6</f>
        <v>#DIV/0!</v>
      </c>
      <c r="G30" s="74" t="e">
        <f>data3!D25*$B$6/G$6</f>
        <v>#DIV/0!</v>
      </c>
      <c r="H30" s="74" t="e">
        <f>data3!E25*$B$6/H$6</f>
        <v>#DIV/0!</v>
      </c>
      <c r="I30" s="74" t="e">
        <f>data3!F25*$B$6/I$6</f>
        <v>#DIV/0!</v>
      </c>
      <c r="J30" s="74" t="e">
        <f>data3!G25*$B$6/J$6</f>
        <v>#DIV/0!</v>
      </c>
      <c r="K30" s="74" t="e">
        <f>data3!H25*$B$6/K$6</f>
        <v>#DIV/0!</v>
      </c>
      <c r="L30" s="74" t="e">
        <f>data3!I25*$B$6/L$6</f>
        <v>#DIV/0!</v>
      </c>
      <c r="M30" s="74" t="e">
        <f>data3!J25*$B$6/M$6</f>
        <v>#DIV/0!</v>
      </c>
      <c r="N30" s="74" t="e">
        <f>data3!K25*$B$6/N$6</f>
        <v>#DIV/0!</v>
      </c>
      <c r="O30" s="74" t="e">
        <f>data3!L25*$B$6/O$6</f>
        <v>#DIV/0!</v>
      </c>
      <c r="P30" s="74" t="e">
        <f>data3!M25*$B$6/P$6</f>
        <v>#DIV/0!</v>
      </c>
      <c r="Q30" s="74" t="e">
        <f>data3!N25*$B$6/Q$6</f>
        <v>#DIV/0!</v>
      </c>
      <c r="R30" s="74" t="e">
        <f>data3!O25*$B$6/R$6</f>
        <v>#DIV/0!</v>
      </c>
      <c r="S30" s="74" t="e">
        <f>data3!P25*$B$6/S$6</f>
        <v>#DIV/0!</v>
      </c>
      <c r="T30" s="74" t="e">
        <f>data3!Q25*$B$6/T$6</f>
        <v>#DIV/0!</v>
      </c>
      <c r="U30" s="74" t="e">
        <f>data3!R25*$B$6/U$6</f>
        <v>#DIV/0!</v>
      </c>
      <c r="V30" s="74" t="e">
        <f>data3!S25*$B$6/V$6</f>
        <v>#DIV/0!</v>
      </c>
      <c r="W30" s="74" t="e">
        <f>data3!T25*$B$6/W$6</f>
        <v>#DIV/0!</v>
      </c>
      <c r="X30" s="74" t="e">
        <f>data3!U25*$B$6/X$6</f>
        <v>#DIV/0!</v>
      </c>
      <c r="Y30" s="74" t="e">
        <f>data3!V25*$B$6/Y$6</f>
        <v>#DIV/0!</v>
      </c>
      <c r="Z30" s="74" t="e">
        <f>data3!W25*$B$6/Z$6</f>
        <v>#DIV/0!</v>
      </c>
      <c r="AA30" s="74" t="e">
        <f>data3!X25*$B$6/AA$6</f>
        <v>#DIV/0!</v>
      </c>
      <c r="AB30" s="74" t="e">
        <f>data3!Y25*$B$6/AB$6</f>
        <v>#DIV/0!</v>
      </c>
      <c r="AC30" s="74" t="e">
        <f>data3!Z25*$B$6/AC$6</f>
        <v>#DIV/0!</v>
      </c>
      <c r="AD30" s="74" t="e">
        <f>data3!AA25*$B$6/AD$6</f>
        <v>#DIV/0!</v>
      </c>
      <c r="AE30" s="74" t="e">
        <f>data3!AB25*$B$6/AE$6</f>
        <v>#DIV/0!</v>
      </c>
      <c r="AF30" s="74" t="e">
        <f>data3!AC25*$B$6/AF$6</f>
        <v>#DIV/0!</v>
      </c>
      <c r="AG30" s="74" t="e">
        <f>data3!AD25*$B$6/AG$6</f>
        <v>#DIV/0!</v>
      </c>
      <c r="AH30" s="74" t="e">
        <f>data3!AE25*$B$6/AH$6</f>
        <v>#DIV/0!</v>
      </c>
      <c r="AI30" s="74" t="e">
        <f>data3!AF25*$B$6/AI$6</f>
        <v>#DIV/0!</v>
      </c>
      <c r="AJ30" s="74" t="e">
        <f>data3!AG25*$B$6/AJ$6</f>
        <v>#DIV/0!</v>
      </c>
    </row>
    <row r="31" spans="1:36">
      <c r="A31" s="29">
        <f>data0!A26</f>
        <v>-18</v>
      </c>
      <c r="B31" s="74" t="e">
        <f>AVERAGE(data3!B26:AG26)</f>
        <v>#DIV/0!</v>
      </c>
      <c r="C31" s="74" t="e">
        <f t="shared" si="0"/>
        <v>#DIV/0!</v>
      </c>
      <c r="D31" s="74" t="e">
        <f t="shared" si="1"/>
        <v>#DIV/0!</v>
      </c>
      <c r="E31" s="74" t="e">
        <f>data3!B26*$B$6/E$6</f>
        <v>#DIV/0!</v>
      </c>
      <c r="F31" s="74" t="e">
        <f>data3!C26*$B$6/F$6</f>
        <v>#DIV/0!</v>
      </c>
      <c r="G31" s="74" t="e">
        <f>data3!D26*$B$6/G$6</f>
        <v>#DIV/0!</v>
      </c>
      <c r="H31" s="74" t="e">
        <f>data3!E26*$B$6/H$6</f>
        <v>#DIV/0!</v>
      </c>
      <c r="I31" s="74" t="e">
        <f>data3!F26*$B$6/I$6</f>
        <v>#DIV/0!</v>
      </c>
      <c r="J31" s="74" t="e">
        <f>data3!G26*$B$6/J$6</f>
        <v>#DIV/0!</v>
      </c>
      <c r="K31" s="74" t="e">
        <f>data3!H26*$B$6/K$6</f>
        <v>#DIV/0!</v>
      </c>
      <c r="L31" s="74" t="e">
        <f>data3!I26*$B$6/L$6</f>
        <v>#DIV/0!</v>
      </c>
      <c r="M31" s="74" t="e">
        <f>data3!J26*$B$6/M$6</f>
        <v>#DIV/0!</v>
      </c>
      <c r="N31" s="74" t="e">
        <f>data3!K26*$B$6/N$6</f>
        <v>#DIV/0!</v>
      </c>
      <c r="O31" s="74" t="e">
        <f>data3!L26*$B$6/O$6</f>
        <v>#DIV/0!</v>
      </c>
      <c r="P31" s="74" t="e">
        <f>data3!M26*$B$6/P$6</f>
        <v>#DIV/0!</v>
      </c>
      <c r="Q31" s="74" t="e">
        <f>data3!N26*$B$6/Q$6</f>
        <v>#DIV/0!</v>
      </c>
      <c r="R31" s="74" t="e">
        <f>data3!O26*$B$6/R$6</f>
        <v>#DIV/0!</v>
      </c>
      <c r="S31" s="74" t="e">
        <f>data3!P26*$B$6/S$6</f>
        <v>#DIV/0!</v>
      </c>
      <c r="T31" s="74" t="e">
        <f>data3!Q26*$B$6/T$6</f>
        <v>#DIV/0!</v>
      </c>
      <c r="U31" s="74" t="e">
        <f>data3!R26*$B$6/U$6</f>
        <v>#DIV/0!</v>
      </c>
      <c r="V31" s="74" t="e">
        <f>data3!S26*$B$6/V$6</f>
        <v>#DIV/0!</v>
      </c>
      <c r="W31" s="74" t="e">
        <f>data3!T26*$B$6/W$6</f>
        <v>#DIV/0!</v>
      </c>
      <c r="X31" s="74" t="e">
        <f>data3!U26*$B$6/X$6</f>
        <v>#DIV/0!</v>
      </c>
      <c r="Y31" s="74" t="e">
        <f>data3!V26*$B$6/Y$6</f>
        <v>#DIV/0!</v>
      </c>
      <c r="Z31" s="74" t="e">
        <f>data3!W26*$B$6/Z$6</f>
        <v>#DIV/0!</v>
      </c>
      <c r="AA31" s="74" t="e">
        <f>data3!X26*$B$6/AA$6</f>
        <v>#DIV/0!</v>
      </c>
      <c r="AB31" s="74" t="e">
        <f>data3!Y26*$B$6/AB$6</f>
        <v>#DIV/0!</v>
      </c>
      <c r="AC31" s="74" t="e">
        <f>data3!Z26*$B$6/AC$6</f>
        <v>#DIV/0!</v>
      </c>
      <c r="AD31" s="74" t="e">
        <f>data3!AA26*$B$6/AD$6</f>
        <v>#DIV/0!</v>
      </c>
      <c r="AE31" s="74" t="e">
        <f>data3!AB26*$B$6/AE$6</f>
        <v>#DIV/0!</v>
      </c>
      <c r="AF31" s="74" t="e">
        <f>data3!AC26*$B$6/AF$6</f>
        <v>#DIV/0!</v>
      </c>
      <c r="AG31" s="74" t="e">
        <f>data3!AD26*$B$6/AG$6</f>
        <v>#DIV/0!</v>
      </c>
      <c r="AH31" s="74" t="e">
        <f>data3!AE26*$B$6/AH$6</f>
        <v>#DIV/0!</v>
      </c>
      <c r="AI31" s="74" t="e">
        <f>data3!AF26*$B$6/AI$6</f>
        <v>#DIV/0!</v>
      </c>
      <c r="AJ31" s="74" t="e">
        <f>data3!AG26*$B$6/AJ$6</f>
        <v>#DIV/0!</v>
      </c>
    </row>
    <row r="32" spans="1:36">
      <c r="A32" s="29">
        <f>data0!A27</f>
        <v>-15</v>
      </c>
      <c r="B32" s="74" t="e">
        <f>AVERAGE(data3!B27:AG27)</f>
        <v>#DIV/0!</v>
      </c>
      <c r="C32" s="74" t="e">
        <f t="shared" si="0"/>
        <v>#DIV/0!</v>
      </c>
      <c r="D32" s="74" t="e">
        <f t="shared" si="1"/>
        <v>#DIV/0!</v>
      </c>
      <c r="E32" s="74" t="e">
        <f>data3!B27*$B$6/E$6</f>
        <v>#DIV/0!</v>
      </c>
      <c r="F32" s="74" t="e">
        <f>data3!C27*$B$6/F$6</f>
        <v>#DIV/0!</v>
      </c>
      <c r="G32" s="74" t="e">
        <f>data3!D27*$B$6/G$6</f>
        <v>#DIV/0!</v>
      </c>
      <c r="H32" s="74" t="e">
        <f>data3!E27*$B$6/H$6</f>
        <v>#DIV/0!</v>
      </c>
      <c r="I32" s="74" t="e">
        <f>data3!F27*$B$6/I$6</f>
        <v>#DIV/0!</v>
      </c>
      <c r="J32" s="74" t="e">
        <f>data3!G27*$B$6/J$6</f>
        <v>#DIV/0!</v>
      </c>
      <c r="K32" s="74" t="e">
        <f>data3!H27*$B$6/K$6</f>
        <v>#DIV/0!</v>
      </c>
      <c r="L32" s="74" t="e">
        <f>data3!I27*$B$6/L$6</f>
        <v>#DIV/0!</v>
      </c>
      <c r="M32" s="74" t="e">
        <f>data3!J27*$B$6/M$6</f>
        <v>#DIV/0!</v>
      </c>
      <c r="N32" s="74" t="e">
        <f>data3!K27*$B$6/N$6</f>
        <v>#DIV/0!</v>
      </c>
      <c r="O32" s="74" t="e">
        <f>data3!L27*$B$6/O$6</f>
        <v>#DIV/0!</v>
      </c>
      <c r="P32" s="74" t="e">
        <f>data3!M27*$B$6/P$6</f>
        <v>#DIV/0!</v>
      </c>
      <c r="Q32" s="74" t="e">
        <f>data3!N27*$B$6/Q$6</f>
        <v>#DIV/0!</v>
      </c>
      <c r="R32" s="74" t="e">
        <f>data3!O27*$B$6/R$6</f>
        <v>#DIV/0!</v>
      </c>
      <c r="S32" s="74" t="e">
        <f>data3!P27*$B$6/S$6</f>
        <v>#DIV/0!</v>
      </c>
      <c r="T32" s="74" t="e">
        <f>data3!Q27*$B$6/T$6</f>
        <v>#DIV/0!</v>
      </c>
      <c r="U32" s="74" t="e">
        <f>data3!R27*$B$6/U$6</f>
        <v>#DIV/0!</v>
      </c>
      <c r="V32" s="74" t="e">
        <f>data3!S27*$B$6/V$6</f>
        <v>#DIV/0!</v>
      </c>
      <c r="W32" s="74" t="e">
        <f>data3!T27*$B$6/W$6</f>
        <v>#DIV/0!</v>
      </c>
      <c r="X32" s="74" t="e">
        <f>data3!U27*$B$6/X$6</f>
        <v>#DIV/0!</v>
      </c>
      <c r="Y32" s="74" t="e">
        <f>data3!V27*$B$6/Y$6</f>
        <v>#DIV/0!</v>
      </c>
      <c r="Z32" s="74" t="e">
        <f>data3!W27*$B$6/Z$6</f>
        <v>#DIV/0!</v>
      </c>
      <c r="AA32" s="74" t="e">
        <f>data3!X27*$B$6/AA$6</f>
        <v>#DIV/0!</v>
      </c>
      <c r="AB32" s="74" t="e">
        <f>data3!Y27*$B$6/AB$6</f>
        <v>#DIV/0!</v>
      </c>
      <c r="AC32" s="74" t="e">
        <f>data3!Z27*$B$6/AC$6</f>
        <v>#DIV/0!</v>
      </c>
      <c r="AD32" s="74" t="e">
        <f>data3!AA27*$B$6/AD$6</f>
        <v>#DIV/0!</v>
      </c>
      <c r="AE32" s="74" t="e">
        <f>data3!AB27*$B$6/AE$6</f>
        <v>#DIV/0!</v>
      </c>
      <c r="AF32" s="74" t="e">
        <f>data3!AC27*$B$6/AF$6</f>
        <v>#DIV/0!</v>
      </c>
      <c r="AG32" s="74" t="e">
        <f>data3!AD27*$B$6/AG$6</f>
        <v>#DIV/0!</v>
      </c>
      <c r="AH32" s="74" t="e">
        <f>data3!AE27*$B$6/AH$6</f>
        <v>#DIV/0!</v>
      </c>
      <c r="AI32" s="74" t="e">
        <f>data3!AF27*$B$6/AI$6</f>
        <v>#DIV/0!</v>
      </c>
      <c r="AJ32" s="74" t="e">
        <f>data3!AG27*$B$6/AJ$6</f>
        <v>#DIV/0!</v>
      </c>
    </row>
    <row r="33" spans="1:36">
      <c r="A33" s="29">
        <f>data0!A28</f>
        <v>-12</v>
      </c>
      <c r="B33" s="74" t="e">
        <f>AVERAGE(data3!B28:AG28)</f>
        <v>#DIV/0!</v>
      </c>
      <c r="C33" s="74" t="e">
        <f t="shared" si="0"/>
        <v>#DIV/0!</v>
      </c>
      <c r="D33" s="74" t="e">
        <f t="shared" si="1"/>
        <v>#DIV/0!</v>
      </c>
      <c r="E33" s="74" t="e">
        <f>data3!B28*$B$6/E$6</f>
        <v>#DIV/0!</v>
      </c>
      <c r="F33" s="74" t="e">
        <f>data3!C28*$B$6/F$6</f>
        <v>#DIV/0!</v>
      </c>
      <c r="G33" s="74" t="e">
        <f>data3!D28*$B$6/G$6</f>
        <v>#DIV/0!</v>
      </c>
      <c r="H33" s="74" t="e">
        <f>data3!E28*$B$6/H$6</f>
        <v>#DIV/0!</v>
      </c>
      <c r="I33" s="74" t="e">
        <f>data3!F28*$B$6/I$6</f>
        <v>#DIV/0!</v>
      </c>
      <c r="J33" s="74" t="e">
        <f>data3!G28*$B$6/J$6</f>
        <v>#DIV/0!</v>
      </c>
      <c r="K33" s="74" t="e">
        <f>data3!H28*$B$6/K$6</f>
        <v>#DIV/0!</v>
      </c>
      <c r="L33" s="74" t="e">
        <f>data3!I28*$B$6/L$6</f>
        <v>#DIV/0!</v>
      </c>
      <c r="M33" s="74" t="e">
        <f>data3!J28*$B$6/M$6</f>
        <v>#DIV/0!</v>
      </c>
      <c r="N33" s="74" t="e">
        <f>data3!K28*$B$6/N$6</f>
        <v>#DIV/0!</v>
      </c>
      <c r="O33" s="74" t="e">
        <f>data3!L28*$B$6/O$6</f>
        <v>#DIV/0!</v>
      </c>
      <c r="P33" s="74" t="e">
        <f>data3!M28*$B$6/P$6</f>
        <v>#DIV/0!</v>
      </c>
      <c r="Q33" s="74" t="e">
        <f>data3!N28*$B$6/Q$6</f>
        <v>#DIV/0!</v>
      </c>
      <c r="R33" s="74" t="e">
        <f>data3!O28*$B$6/R$6</f>
        <v>#DIV/0!</v>
      </c>
      <c r="S33" s="74" t="e">
        <f>data3!P28*$B$6/S$6</f>
        <v>#DIV/0!</v>
      </c>
      <c r="T33" s="74" t="e">
        <f>data3!Q28*$B$6/T$6</f>
        <v>#DIV/0!</v>
      </c>
      <c r="U33" s="74" t="e">
        <f>data3!R28*$B$6/U$6</f>
        <v>#DIV/0!</v>
      </c>
      <c r="V33" s="74" t="e">
        <f>data3!S28*$B$6/V$6</f>
        <v>#DIV/0!</v>
      </c>
      <c r="W33" s="74" t="e">
        <f>data3!T28*$B$6/W$6</f>
        <v>#DIV/0!</v>
      </c>
      <c r="X33" s="74" t="e">
        <f>data3!U28*$B$6/X$6</f>
        <v>#DIV/0!</v>
      </c>
      <c r="Y33" s="74" t="e">
        <f>data3!V28*$B$6/Y$6</f>
        <v>#DIV/0!</v>
      </c>
      <c r="Z33" s="74" t="e">
        <f>data3!W28*$B$6/Z$6</f>
        <v>#DIV/0!</v>
      </c>
      <c r="AA33" s="74" t="e">
        <f>data3!X28*$B$6/AA$6</f>
        <v>#DIV/0!</v>
      </c>
      <c r="AB33" s="74" t="e">
        <f>data3!Y28*$B$6/AB$6</f>
        <v>#DIV/0!</v>
      </c>
      <c r="AC33" s="74" t="e">
        <f>data3!Z28*$B$6/AC$6</f>
        <v>#DIV/0!</v>
      </c>
      <c r="AD33" s="74" t="e">
        <f>data3!AA28*$B$6/AD$6</f>
        <v>#DIV/0!</v>
      </c>
      <c r="AE33" s="74" t="e">
        <f>data3!AB28*$B$6/AE$6</f>
        <v>#DIV/0!</v>
      </c>
      <c r="AF33" s="74" t="e">
        <f>data3!AC28*$B$6/AF$6</f>
        <v>#DIV/0!</v>
      </c>
      <c r="AG33" s="74" t="e">
        <f>data3!AD28*$B$6/AG$6</f>
        <v>#DIV/0!</v>
      </c>
      <c r="AH33" s="74" t="e">
        <f>data3!AE28*$B$6/AH$6</f>
        <v>#DIV/0!</v>
      </c>
      <c r="AI33" s="74" t="e">
        <f>data3!AF28*$B$6/AI$6</f>
        <v>#DIV/0!</v>
      </c>
      <c r="AJ33" s="74" t="e">
        <f>data3!AG28*$B$6/AJ$6</f>
        <v>#DIV/0!</v>
      </c>
    </row>
    <row r="34" spans="1:36">
      <c r="A34" s="29">
        <f>data0!A29</f>
        <v>-9</v>
      </c>
      <c r="B34" s="74" t="e">
        <f>AVERAGE(data3!B29:AG29)</f>
        <v>#DIV/0!</v>
      </c>
      <c r="C34" s="74" t="e">
        <f t="shared" si="0"/>
        <v>#DIV/0!</v>
      </c>
      <c r="D34" s="74" t="e">
        <f t="shared" si="1"/>
        <v>#DIV/0!</v>
      </c>
      <c r="E34" s="74" t="e">
        <f>data3!B29*$B$6/E$6</f>
        <v>#DIV/0!</v>
      </c>
      <c r="F34" s="74" t="e">
        <f>data3!C29*$B$6/F$6</f>
        <v>#DIV/0!</v>
      </c>
      <c r="G34" s="74" t="e">
        <f>data3!D29*$B$6/G$6</f>
        <v>#DIV/0!</v>
      </c>
      <c r="H34" s="74" t="e">
        <f>data3!E29*$B$6/H$6</f>
        <v>#DIV/0!</v>
      </c>
      <c r="I34" s="74" t="e">
        <f>data3!F29*$B$6/I$6</f>
        <v>#DIV/0!</v>
      </c>
      <c r="J34" s="74" t="e">
        <f>data3!G29*$B$6/J$6</f>
        <v>#DIV/0!</v>
      </c>
      <c r="K34" s="74" t="e">
        <f>data3!H29*$B$6/K$6</f>
        <v>#DIV/0!</v>
      </c>
      <c r="L34" s="74" t="e">
        <f>data3!I29*$B$6/L$6</f>
        <v>#DIV/0!</v>
      </c>
      <c r="M34" s="74" t="e">
        <f>data3!J29*$B$6/M$6</f>
        <v>#DIV/0!</v>
      </c>
      <c r="N34" s="74" t="e">
        <f>data3!K29*$B$6/N$6</f>
        <v>#DIV/0!</v>
      </c>
      <c r="O34" s="74" t="e">
        <f>data3!L29*$B$6/O$6</f>
        <v>#DIV/0!</v>
      </c>
      <c r="P34" s="74" t="e">
        <f>data3!M29*$B$6/P$6</f>
        <v>#DIV/0!</v>
      </c>
      <c r="Q34" s="74" t="e">
        <f>data3!N29*$B$6/Q$6</f>
        <v>#DIV/0!</v>
      </c>
      <c r="R34" s="74" t="e">
        <f>data3!O29*$B$6/R$6</f>
        <v>#DIV/0!</v>
      </c>
      <c r="S34" s="74" t="e">
        <f>data3!P29*$B$6/S$6</f>
        <v>#DIV/0!</v>
      </c>
      <c r="T34" s="74" t="e">
        <f>data3!Q29*$B$6/T$6</f>
        <v>#DIV/0!</v>
      </c>
      <c r="U34" s="74" t="e">
        <f>data3!R29*$B$6/U$6</f>
        <v>#DIV/0!</v>
      </c>
      <c r="V34" s="74" t="e">
        <f>data3!S29*$B$6/V$6</f>
        <v>#DIV/0!</v>
      </c>
      <c r="W34" s="74" t="e">
        <f>data3!T29*$B$6/W$6</f>
        <v>#DIV/0!</v>
      </c>
      <c r="X34" s="74" t="e">
        <f>data3!U29*$B$6/X$6</f>
        <v>#DIV/0!</v>
      </c>
      <c r="Y34" s="74" t="e">
        <f>data3!V29*$B$6/Y$6</f>
        <v>#DIV/0!</v>
      </c>
      <c r="Z34" s="74" t="e">
        <f>data3!W29*$B$6/Z$6</f>
        <v>#DIV/0!</v>
      </c>
      <c r="AA34" s="74" t="e">
        <f>data3!X29*$B$6/AA$6</f>
        <v>#DIV/0!</v>
      </c>
      <c r="AB34" s="74" t="e">
        <f>data3!Y29*$B$6/AB$6</f>
        <v>#DIV/0!</v>
      </c>
      <c r="AC34" s="74" t="e">
        <f>data3!Z29*$B$6/AC$6</f>
        <v>#DIV/0!</v>
      </c>
      <c r="AD34" s="74" t="e">
        <f>data3!AA29*$B$6/AD$6</f>
        <v>#DIV/0!</v>
      </c>
      <c r="AE34" s="74" t="e">
        <f>data3!AB29*$B$6/AE$6</f>
        <v>#DIV/0!</v>
      </c>
      <c r="AF34" s="74" t="e">
        <f>data3!AC29*$B$6/AF$6</f>
        <v>#DIV/0!</v>
      </c>
      <c r="AG34" s="74" t="e">
        <f>data3!AD29*$B$6/AG$6</f>
        <v>#DIV/0!</v>
      </c>
      <c r="AH34" s="74" t="e">
        <f>data3!AE29*$B$6/AH$6</f>
        <v>#DIV/0!</v>
      </c>
      <c r="AI34" s="74" t="e">
        <f>data3!AF29*$B$6/AI$6</f>
        <v>#DIV/0!</v>
      </c>
      <c r="AJ34" s="74" t="e">
        <f>data3!AG29*$B$6/AJ$6</f>
        <v>#DIV/0!</v>
      </c>
    </row>
    <row r="35" spans="1:36">
      <c r="A35" s="29">
        <f>data0!A30</f>
        <v>-6</v>
      </c>
      <c r="B35" s="74" t="e">
        <f>AVERAGE(data3!B30:AG30)</f>
        <v>#DIV/0!</v>
      </c>
      <c r="C35" s="74" t="e">
        <f t="shared" si="0"/>
        <v>#DIV/0!</v>
      </c>
      <c r="D35" s="74" t="e">
        <f t="shared" si="1"/>
        <v>#DIV/0!</v>
      </c>
      <c r="E35" s="74" t="e">
        <f>data3!B30*$B$6/E$6</f>
        <v>#DIV/0!</v>
      </c>
      <c r="F35" s="74" t="e">
        <f>data3!C30*$B$6/F$6</f>
        <v>#DIV/0!</v>
      </c>
      <c r="G35" s="74" t="e">
        <f>data3!D30*$B$6/G$6</f>
        <v>#DIV/0!</v>
      </c>
      <c r="H35" s="74" t="e">
        <f>data3!E30*$B$6/H$6</f>
        <v>#DIV/0!</v>
      </c>
      <c r="I35" s="74" t="e">
        <f>data3!F30*$B$6/I$6</f>
        <v>#DIV/0!</v>
      </c>
      <c r="J35" s="74" t="e">
        <f>data3!G30*$B$6/J$6</f>
        <v>#DIV/0!</v>
      </c>
      <c r="K35" s="74" t="e">
        <f>data3!H30*$B$6/K$6</f>
        <v>#DIV/0!</v>
      </c>
      <c r="L35" s="74" t="e">
        <f>data3!I30*$B$6/L$6</f>
        <v>#DIV/0!</v>
      </c>
      <c r="M35" s="74" t="e">
        <f>data3!J30*$B$6/M$6</f>
        <v>#DIV/0!</v>
      </c>
      <c r="N35" s="74" t="e">
        <f>data3!K30*$B$6/N$6</f>
        <v>#DIV/0!</v>
      </c>
      <c r="O35" s="74" t="e">
        <f>data3!L30*$B$6/O$6</f>
        <v>#DIV/0!</v>
      </c>
      <c r="P35" s="74" t="e">
        <f>data3!M30*$B$6/P$6</f>
        <v>#DIV/0!</v>
      </c>
      <c r="Q35" s="74" t="e">
        <f>data3!N30*$B$6/Q$6</f>
        <v>#DIV/0!</v>
      </c>
      <c r="R35" s="74" t="e">
        <f>data3!O30*$B$6/R$6</f>
        <v>#DIV/0!</v>
      </c>
      <c r="S35" s="74" t="e">
        <f>data3!P30*$B$6/S$6</f>
        <v>#DIV/0!</v>
      </c>
      <c r="T35" s="74" t="e">
        <f>data3!Q30*$B$6/T$6</f>
        <v>#DIV/0!</v>
      </c>
      <c r="U35" s="74" t="e">
        <f>data3!R30*$B$6/U$6</f>
        <v>#DIV/0!</v>
      </c>
      <c r="V35" s="74" t="e">
        <f>data3!S30*$B$6/V$6</f>
        <v>#DIV/0!</v>
      </c>
      <c r="W35" s="74" t="e">
        <f>data3!T30*$B$6/W$6</f>
        <v>#DIV/0!</v>
      </c>
      <c r="X35" s="74" t="e">
        <f>data3!U30*$B$6/X$6</f>
        <v>#DIV/0!</v>
      </c>
      <c r="Y35" s="74" t="e">
        <f>data3!V30*$B$6/Y$6</f>
        <v>#DIV/0!</v>
      </c>
      <c r="Z35" s="74" t="e">
        <f>data3!W30*$B$6/Z$6</f>
        <v>#DIV/0!</v>
      </c>
      <c r="AA35" s="74" t="e">
        <f>data3!X30*$B$6/AA$6</f>
        <v>#DIV/0!</v>
      </c>
      <c r="AB35" s="74" t="e">
        <f>data3!Y30*$B$6/AB$6</f>
        <v>#DIV/0!</v>
      </c>
      <c r="AC35" s="74" t="e">
        <f>data3!Z30*$B$6/AC$6</f>
        <v>#DIV/0!</v>
      </c>
      <c r="AD35" s="74" t="e">
        <f>data3!AA30*$B$6/AD$6</f>
        <v>#DIV/0!</v>
      </c>
      <c r="AE35" s="74" t="e">
        <f>data3!AB30*$B$6/AE$6</f>
        <v>#DIV/0!</v>
      </c>
      <c r="AF35" s="74" t="e">
        <f>data3!AC30*$B$6/AF$6</f>
        <v>#DIV/0!</v>
      </c>
      <c r="AG35" s="74" t="e">
        <f>data3!AD30*$B$6/AG$6</f>
        <v>#DIV/0!</v>
      </c>
      <c r="AH35" s="74" t="e">
        <f>data3!AE30*$B$6/AH$6</f>
        <v>#DIV/0!</v>
      </c>
      <c r="AI35" s="74" t="e">
        <f>data3!AF30*$B$6/AI$6</f>
        <v>#DIV/0!</v>
      </c>
      <c r="AJ35" s="74" t="e">
        <f>data3!AG30*$B$6/AJ$6</f>
        <v>#DIV/0!</v>
      </c>
    </row>
    <row r="36" spans="1:36">
      <c r="A36" s="29">
        <f>data0!A31</f>
        <v>-3</v>
      </c>
      <c r="B36" s="74" t="e">
        <f>AVERAGE(data3!B31:AG31)</f>
        <v>#DIV/0!</v>
      </c>
      <c r="C36" s="74" t="e">
        <f t="shared" si="0"/>
        <v>#DIV/0!</v>
      </c>
      <c r="D36" s="74" t="e">
        <f t="shared" si="1"/>
        <v>#DIV/0!</v>
      </c>
      <c r="E36" s="74" t="e">
        <f>data3!B31*$B$6/E$6</f>
        <v>#DIV/0!</v>
      </c>
      <c r="F36" s="74" t="e">
        <f>data3!C31*$B$6/F$6</f>
        <v>#DIV/0!</v>
      </c>
      <c r="G36" s="74" t="e">
        <f>data3!D31*$B$6/G$6</f>
        <v>#DIV/0!</v>
      </c>
      <c r="H36" s="74" t="e">
        <f>data3!E31*$B$6/H$6</f>
        <v>#DIV/0!</v>
      </c>
      <c r="I36" s="74" t="e">
        <f>data3!F31*$B$6/I$6</f>
        <v>#DIV/0!</v>
      </c>
      <c r="J36" s="74" t="e">
        <f>data3!G31*$B$6/J$6</f>
        <v>#DIV/0!</v>
      </c>
      <c r="K36" s="74" t="e">
        <f>data3!H31*$B$6/K$6</f>
        <v>#DIV/0!</v>
      </c>
      <c r="L36" s="74" t="e">
        <f>data3!I31*$B$6/L$6</f>
        <v>#DIV/0!</v>
      </c>
      <c r="M36" s="74" t="e">
        <f>data3!J31*$B$6/M$6</f>
        <v>#DIV/0!</v>
      </c>
      <c r="N36" s="74" t="e">
        <f>data3!K31*$B$6/N$6</f>
        <v>#DIV/0!</v>
      </c>
      <c r="O36" s="74" t="e">
        <f>data3!L31*$B$6/O$6</f>
        <v>#DIV/0!</v>
      </c>
      <c r="P36" s="74" t="e">
        <f>data3!M31*$B$6/P$6</f>
        <v>#DIV/0!</v>
      </c>
      <c r="Q36" s="74" t="e">
        <f>data3!N31*$B$6/Q$6</f>
        <v>#DIV/0!</v>
      </c>
      <c r="R36" s="74" t="e">
        <f>data3!O31*$B$6/R$6</f>
        <v>#DIV/0!</v>
      </c>
      <c r="S36" s="74" t="e">
        <f>data3!P31*$B$6/S$6</f>
        <v>#DIV/0!</v>
      </c>
      <c r="T36" s="74" t="e">
        <f>data3!Q31*$B$6/T$6</f>
        <v>#DIV/0!</v>
      </c>
      <c r="U36" s="74" t="e">
        <f>data3!R31*$B$6/U$6</f>
        <v>#DIV/0!</v>
      </c>
      <c r="V36" s="74" t="e">
        <f>data3!S31*$B$6/V$6</f>
        <v>#DIV/0!</v>
      </c>
      <c r="W36" s="74" t="e">
        <f>data3!T31*$B$6/W$6</f>
        <v>#DIV/0!</v>
      </c>
      <c r="X36" s="74" t="e">
        <f>data3!U31*$B$6/X$6</f>
        <v>#DIV/0!</v>
      </c>
      <c r="Y36" s="74" t="e">
        <f>data3!V31*$B$6/Y$6</f>
        <v>#DIV/0!</v>
      </c>
      <c r="Z36" s="74" t="e">
        <f>data3!W31*$B$6/Z$6</f>
        <v>#DIV/0!</v>
      </c>
      <c r="AA36" s="74" t="e">
        <f>data3!X31*$B$6/AA$6</f>
        <v>#DIV/0!</v>
      </c>
      <c r="AB36" s="74" t="e">
        <f>data3!Y31*$B$6/AB$6</f>
        <v>#DIV/0!</v>
      </c>
      <c r="AC36" s="74" t="e">
        <f>data3!Z31*$B$6/AC$6</f>
        <v>#DIV/0!</v>
      </c>
      <c r="AD36" s="74" t="e">
        <f>data3!AA31*$B$6/AD$6</f>
        <v>#DIV/0!</v>
      </c>
      <c r="AE36" s="74" t="e">
        <f>data3!AB31*$B$6/AE$6</f>
        <v>#DIV/0!</v>
      </c>
      <c r="AF36" s="74" t="e">
        <f>data3!AC31*$B$6/AF$6</f>
        <v>#DIV/0!</v>
      </c>
      <c r="AG36" s="74" t="e">
        <f>data3!AD31*$B$6/AG$6</f>
        <v>#DIV/0!</v>
      </c>
      <c r="AH36" s="74" t="e">
        <f>data3!AE31*$B$6/AH$6</f>
        <v>#DIV/0!</v>
      </c>
      <c r="AI36" s="74" t="e">
        <f>data3!AF31*$B$6/AI$6</f>
        <v>#DIV/0!</v>
      </c>
      <c r="AJ36" s="74" t="e">
        <f>data3!AG31*$B$6/AJ$6</f>
        <v>#DIV/0!</v>
      </c>
    </row>
    <row r="37" spans="1:36">
      <c r="A37" s="29">
        <f>data0!A32</f>
        <v>0</v>
      </c>
      <c r="B37" s="74" t="e">
        <f>AVERAGE(data3!B32:AG32)</f>
        <v>#DIV/0!</v>
      </c>
      <c r="C37" s="74" t="e">
        <f t="shared" si="0"/>
        <v>#DIV/0!</v>
      </c>
      <c r="D37" s="74" t="e">
        <f t="shared" si="1"/>
        <v>#DIV/0!</v>
      </c>
      <c r="E37" s="74" t="e">
        <f>data3!B32*$B$6/E$6</f>
        <v>#DIV/0!</v>
      </c>
      <c r="F37" s="74" t="e">
        <f>data3!C32*$B$6/F$6</f>
        <v>#DIV/0!</v>
      </c>
      <c r="G37" s="74" t="e">
        <f>data3!D32*$B$6/G$6</f>
        <v>#DIV/0!</v>
      </c>
      <c r="H37" s="74" t="e">
        <f>data3!E32*$B$6/H$6</f>
        <v>#DIV/0!</v>
      </c>
      <c r="I37" s="74" t="e">
        <f>data3!F32*$B$6/I$6</f>
        <v>#DIV/0!</v>
      </c>
      <c r="J37" s="74" t="e">
        <f>data3!G32*$B$6/J$6</f>
        <v>#DIV/0!</v>
      </c>
      <c r="K37" s="74" t="e">
        <f>data3!H32*$B$6/K$6</f>
        <v>#DIV/0!</v>
      </c>
      <c r="L37" s="74" t="e">
        <f>data3!I32*$B$6/L$6</f>
        <v>#DIV/0!</v>
      </c>
      <c r="M37" s="74" t="e">
        <f>data3!J32*$B$6/M$6</f>
        <v>#DIV/0!</v>
      </c>
      <c r="N37" s="74" t="e">
        <f>data3!K32*$B$6/N$6</f>
        <v>#DIV/0!</v>
      </c>
      <c r="O37" s="74" t="e">
        <f>data3!L32*$B$6/O$6</f>
        <v>#DIV/0!</v>
      </c>
      <c r="P37" s="74" t="e">
        <f>data3!M32*$B$6/P$6</f>
        <v>#DIV/0!</v>
      </c>
      <c r="Q37" s="74" t="e">
        <f>data3!N32*$B$6/Q$6</f>
        <v>#DIV/0!</v>
      </c>
      <c r="R37" s="74" t="e">
        <f>data3!O32*$B$6/R$6</f>
        <v>#DIV/0!</v>
      </c>
      <c r="S37" s="74" t="e">
        <f>data3!P32*$B$6/S$6</f>
        <v>#DIV/0!</v>
      </c>
      <c r="T37" s="74" t="e">
        <f>data3!Q32*$B$6/T$6</f>
        <v>#DIV/0!</v>
      </c>
      <c r="U37" s="74" t="e">
        <f>data3!R32*$B$6/U$6</f>
        <v>#DIV/0!</v>
      </c>
      <c r="V37" s="74" t="e">
        <f>data3!S32*$B$6/V$6</f>
        <v>#DIV/0!</v>
      </c>
      <c r="W37" s="74" t="e">
        <f>data3!T32*$B$6/W$6</f>
        <v>#DIV/0!</v>
      </c>
      <c r="X37" s="74" t="e">
        <f>data3!U32*$B$6/X$6</f>
        <v>#DIV/0!</v>
      </c>
      <c r="Y37" s="74" t="e">
        <f>data3!V32*$B$6/Y$6</f>
        <v>#DIV/0!</v>
      </c>
      <c r="Z37" s="74" t="e">
        <f>data3!W32*$B$6/Z$6</f>
        <v>#DIV/0!</v>
      </c>
      <c r="AA37" s="74" t="e">
        <f>data3!X32*$B$6/AA$6</f>
        <v>#DIV/0!</v>
      </c>
      <c r="AB37" s="74" t="e">
        <f>data3!Y32*$B$6/AB$6</f>
        <v>#DIV/0!</v>
      </c>
      <c r="AC37" s="74" t="e">
        <f>data3!Z32*$B$6/AC$6</f>
        <v>#DIV/0!</v>
      </c>
      <c r="AD37" s="74" t="e">
        <f>data3!AA32*$B$6/AD$6</f>
        <v>#DIV/0!</v>
      </c>
      <c r="AE37" s="74" t="e">
        <f>data3!AB32*$B$6/AE$6</f>
        <v>#DIV/0!</v>
      </c>
      <c r="AF37" s="74" t="e">
        <f>data3!AC32*$B$6/AF$6</f>
        <v>#DIV/0!</v>
      </c>
      <c r="AG37" s="74" t="e">
        <f>data3!AD32*$B$6/AG$6</f>
        <v>#DIV/0!</v>
      </c>
      <c r="AH37" s="74" t="e">
        <f>data3!AE32*$B$6/AH$6</f>
        <v>#DIV/0!</v>
      </c>
      <c r="AI37" s="74" t="e">
        <f>data3!AF32*$B$6/AI$6</f>
        <v>#DIV/0!</v>
      </c>
      <c r="AJ37" s="74" t="e">
        <f>data3!AG32*$B$6/AJ$6</f>
        <v>#DIV/0!</v>
      </c>
    </row>
    <row r="38" spans="1:36">
      <c r="A38" s="29">
        <f>data0!A33</f>
        <v>3</v>
      </c>
      <c r="B38" s="74" t="e">
        <f>AVERAGE(data3!B33:AG33)</f>
        <v>#DIV/0!</v>
      </c>
      <c r="C38" s="74" t="e">
        <f t="shared" si="0"/>
        <v>#DIV/0!</v>
      </c>
      <c r="D38" s="74" t="e">
        <f t="shared" si="1"/>
        <v>#DIV/0!</v>
      </c>
      <c r="E38" s="74" t="e">
        <f>data3!B33*$B$6/E$6</f>
        <v>#DIV/0!</v>
      </c>
      <c r="F38" s="74" t="e">
        <f>data3!C33*$B$6/F$6</f>
        <v>#DIV/0!</v>
      </c>
      <c r="G38" s="74" t="e">
        <f>data3!D33*$B$6/G$6</f>
        <v>#DIV/0!</v>
      </c>
      <c r="H38" s="74" t="e">
        <f>data3!E33*$B$6/H$6</f>
        <v>#DIV/0!</v>
      </c>
      <c r="I38" s="74" t="e">
        <f>data3!F33*$B$6/I$6</f>
        <v>#DIV/0!</v>
      </c>
      <c r="J38" s="74" t="e">
        <f>data3!G33*$B$6/J$6</f>
        <v>#DIV/0!</v>
      </c>
      <c r="K38" s="74" t="e">
        <f>data3!H33*$B$6/K$6</f>
        <v>#DIV/0!</v>
      </c>
      <c r="L38" s="74" t="e">
        <f>data3!I33*$B$6/L$6</f>
        <v>#DIV/0!</v>
      </c>
      <c r="M38" s="74" t="e">
        <f>data3!J33*$B$6/M$6</f>
        <v>#DIV/0!</v>
      </c>
      <c r="N38" s="74" t="e">
        <f>data3!K33*$B$6/N$6</f>
        <v>#DIV/0!</v>
      </c>
      <c r="O38" s="74" t="e">
        <f>data3!L33*$B$6/O$6</f>
        <v>#DIV/0!</v>
      </c>
      <c r="P38" s="74" t="e">
        <f>data3!M33*$B$6/P$6</f>
        <v>#DIV/0!</v>
      </c>
      <c r="Q38" s="74" t="e">
        <f>data3!N33*$B$6/Q$6</f>
        <v>#DIV/0!</v>
      </c>
      <c r="R38" s="74" t="e">
        <f>data3!O33*$B$6/R$6</f>
        <v>#DIV/0!</v>
      </c>
      <c r="S38" s="74" t="e">
        <f>data3!P33*$B$6/S$6</f>
        <v>#DIV/0!</v>
      </c>
      <c r="T38" s="74" t="e">
        <f>data3!Q33*$B$6/T$6</f>
        <v>#DIV/0!</v>
      </c>
      <c r="U38" s="74" t="e">
        <f>data3!R33*$B$6/U$6</f>
        <v>#DIV/0!</v>
      </c>
      <c r="V38" s="74" t="e">
        <f>data3!S33*$B$6/V$6</f>
        <v>#DIV/0!</v>
      </c>
      <c r="W38" s="74" t="e">
        <f>data3!T33*$B$6/W$6</f>
        <v>#DIV/0!</v>
      </c>
      <c r="X38" s="74" t="e">
        <f>data3!U33*$B$6/X$6</f>
        <v>#DIV/0!</v>
      </c>
      <c r="Y38" s="74" t="e">
        <f>data3!V33*$B$6/Y$6</f>
        <v>#DIV/0!</v>
      </c>
      <c r="Z38" s="74" t="e">
        <f>data3!W33*$B$6/Z$6</f>
        <v>#DIV/0!</v>
      </c>
      <c r="AA38" s="74" t="e">
        <f>data3!X33*$B$6/AA$6</f>
        <v>#DIV/0!</v>
      </c>
      <c r="AB38" s="74" t="e">
        <f>data3!Y33*$B$6/AB$6</f>
        <v>#DIV/0!</v>
      </c>
      <c r="AC38" s="74" t="e">
        <f>data3!Z33*$B$6/AC$6</f>
        <v>#DIV/0!</v>
      </c>
      <c r="AD38" s="74" t="e">
        <f>data3!AA33*$B$6/AD$6</f>
        <v>#DIV/0!</v>
      </c>
      <c r="AE38" s="74" t="e">
        <f>data3!AB33*$B$6/AE$6</f>
        <v>#DIV/0!</v>
      </c>
      <c r="AF38" s="74" t="e">
        <f>data3!AC33*$B$6/AF$6</f>
        <v>#DIV/0!</v>
      </c>
      <c r="AG38" s="74" t="e">
        <f>data3!AD33*$B$6/AG$6</f>
        <v>#DIV/0!</v>
      </c>
      <c r="AH38" s="74" t="e">
        <f>data3!AE33*$B$6/AH$6</f>
        <v>#DIV/0!</v>
      </c>
      <c r="AI38" s="74" t="e">
        <f>data3!AF33*$B$6/AI$6</f>
        <v>#DIV/0!</v>
      </c>
      <c r="AJ38" s="74" t="e">
        <f>data3!AG33*$B$6/AJ$6</f>
        <v>#DIV/0!</v>
      </c>
    </row>
    <row r="39" spans="1:36">
      <c r="A39" s="29">
        <f>data0!A34</f>
        <v>6</v>
      </c>
      <c r="B39" s="74" t="e">
        <f>AVERAGE(data3!B34:AG34)</f>
        <v>#DIV/0!</v>
      </c>
      <c r="C39" s="74" t="e">
        <f t="shared" si="0"/>
        <v>#DIV/0!</v>
      </c>
      <c r="D39" s="74" t="e">
        <f t="shared" si="1"/>
        <v>#DIV/0!</v>
      </c>
      <c r="E39" s="74" t="e">
        <f>data3!B34*$B$6/E$6</f>
        <v>#DIV/0!</v>
      </c>
      <c r="F39" s="74" t="e">
        <f>data3!C34*$B$6/F$6</f>
        <v>#DIV/0!</v>
      </c>
      <c r="G39" s="74" t="e">
        <f>data3!D34*$B$6/G$6</f>
        <v>#DIV/0!</v>
      </c>
      <c r="H39" s="74" t="e">
        <f>data3!E34*$B$6/H$6</f>
        <v>#DIV/0!</v>
      </c>
      <c r="I39" s="74" t="e">
        <f>data3!F34*$B$6/I$6</f>
        <v>#DIV/0!</v>
      </c>
      <c r="J39" s="74" t="e">
        <f>data3!G34*$B$6/J$6</f>
        <v>#DIV/0!</v>
      </c>
      <c r="K39" s="74" t="e">
        <f>data3!H34*$B$6/K$6</f>
        <v>#DIV/0!</v>
      </c>
      <c r="L39" s="74" t="e">
        <f>data3!I34*$B$6/L$6</f>
        <v>#DIV/0!</v>
      </c>
      <c r="M39" s="74" t="e">
        <f>data3!J34*$B$6/M$6</f>
        <v>#DIV/0!</v>
      </c>
      <c r="N39" s="74" t="e">
        <f>data3!K34*$B$6/N$6</f>
        <v>#DIV/0!</v>
      </c>
      <c r="O39" s="74" t="e">
        <f>data3!L34*$B$6/O$6</f>
        <v>#DIV/0!</v>
      </c>
      <c r="P39" s="74" t="e">
        <f>data3!M34*$B$6/P$6</f>
        <v>#DIV/0!</v>
      </c>
      <c r="Q39" s="74" t="e">
        <f>data3!N34*$B$6/Q$6</f>
        <v>#DIV/0!</v>
      </c>
      <c r="R39" s="74" t="e">
        <f>data3!O34*$B$6/R$6</f>
        <v>#DIV/0!</v>
      </c>
      <c r="S39" s="74" t="e">
        <f>data3!P34*$B$6/S$6</f>
        <v>#DIV/0!</v>
      </c>
      <c r="T39" s="74" t="e">
        <f>data3!Q34*$B$6/T$6</f>
        <v>#DIV/0!</v>
      </c>
      <c r="U39" s="74" t="e">
        <f>data3!R34*$B$6/U$6</f>
        <v>#DIV/0!</v>
      </c>
      <c r="V39" s="74" t="e">
        <f>data3!S34*$B$6/V$6</f>
        <v>#DIV/0!</v>
      </c>
      <c r="W39" s="74" t="e">
        <f>data3!T34*$B$6/W$6</f>
        <v>#DIV/0!</v>
      </c>
      <c r="X39" s="74" t="e">
        <f>data3!U34*$B$6/X$6</f>
        <v>#DIV/0!</v>
      </c>
      <c r="Y39" s="74" t="e">
        <f>data3!V34*$B$6/Y$6</f>
        <v>#DIV/0!</v>
      </c>
      <c r="Z39" s="74" t="e">
        <f>data3!W34*$B$6/Z$6</f>
        <v>#DIV/0!</v>
      </c>
      <c r="AA39" s="74" t="e">
        <f>data3!X34*$B$6/AA$6</f>
        <v>#DIV/0!</v>
      </c>
      <c r="AB39" s="74" t="e">
        <f>data3!Y34*$B$6/AB$6</f>
        <v>#DIV/0!</v>
      </c>
      <c r="AC39" s="74" t="e">
        <f>data3!Z34*$B$6/AC$6</f>
        <v>#DIV/0!</v>
      </c>
      <c r="AD39" s="74" t="e">
        <f>data3!AA34*$B$6/AD$6</f>
        <v>#DIV/0!</v>
      </c>
      <c r="AE39" s="74" t="e">
        <f>data3!AB34*$B$6/AE$6</f>
        <v>#DIV/0!</v>
      </c>
      <c r="AF39" s="74" t="e">
        <f>data3!AC34*$B$6/AF$6</f>
        <v>#DIV/0!</v>
      </c>
      <c r="AG39" s="74" t="e">
        <f>data3!AD34*$B$6/AG$6</f>
        <v>#DIV/0!</v>
      </c>
      <c r="AH39" s="74" t="e">
        <f>data3!AE34*$B$6/AH$6</f>
        <v>#DIV/0!</v>
      </c>
      <c r="AI39" s="74" t="e">
        <f>data3!AF34*$B$6/AI$6</f>
        <v>#DIV/0!</v>
      </c>
      <c r="AJ39" s="74" t="e">
        <f>data3!AG34*$B$6/AJ$6</f>
        <v>#DIV/0!</v>
      </c>
    </row>
    <row r="40" spans="1:36">
      <c r="A40" s="29">
        <f>data0!A35</f>
        <v>9</v>
      </c>
      <c r="B40" s="74" t="e">
        <f>AVERAGE(data3!B35:AG35)</f>
        <v>#DIV/0!</v>
      </c>
      <c r="C40" s="74" t="e">
        <f t="shared" si="0"/>
        <v>#DIV/0!</v>
      </c>
      <c r="D40" s="74" t="e">
        <f t="shared" si="1"/>
        <v>#DIV/0!</v>
      </c>
      <c r="E40" s="74" t="e">
        <f>data3!B35*$B$6/E$6</f>
        <v>#DIV/0!</v>
      </c>
      <c r="F40" s="74" t="e">
        <f>data3!C35*$B$6/F$6</f>
        <v>#DIV/0!</v>
      </c>
      <c r="G40" s="74" t="e">
        <f>data3!D35*$B$6/G$6</f>
        <v>#DIV/0!</v>
      </c>
      <c r="H40" s="74" t="e">
        <f>data3!E35*$B$6/H$6</f>
        <v>#DIV/0!</v>
      </c>
      <c r="I40" s="74" t="e">
        <f>data3!F35*$B$6/I$6</f>
        <v>#DIV/0!</v>
      </c>
      <c r="J40" s="74" t="e">
        <f>data3!G35*$B$6/J$6</f>
        <v>#DIV/0!</v>
      </c>
      <c r="K40" s="74" t="e">
        <f>data3!H35*$B$6/K$6</f>
        <v>#DIV/0!</v>
      </c>
      <c r="L40" s="74" t="e">
        <f>data3!I35*$B$6/L$6</f>
        <v>#DIV/0!</v>
      </c>
      <c r="M40" s="74" t="e">
        <f>data3!J35*$B$6/M$6</f>
        <v>#DIV/0!</v>
      </c>
      <c r="N40" s="74" t="e">
        <f>data3!K35*$B$6/N$6</f>
        <v>#DIV/0!</v>
      </c>
      <c r="O40" s="74" t="e">
        <f>data3!L35*$B$6/O$6</f>
        <v>#DIV/0!</v>
      </c>
      <c r="P40" s="74" t="e">
        <f>data3!M35*$B$6/P$6</f>
        <v>#DIV/0!</v>
      </c>
      <c r="Q40" s="74" t="e">
        <f>data3!N35*$B$6/Q$6</f>
        <v>#DIV/0!</v>
      </c>
      <c r="R40" s="74" t="e">
        <f>data3!O35*$B$6/R$6</f>
        <v>#DIV/0!</v>
      </c>
      <c r="S40" s="74" t="e">
        <f>data3!P35*$B$6/S$6</f>
        <v>#DIV/0!</v>
      </c>
      <c r="T40" s="74" t="e">
        <f>data3!Q35*$B$6/T$6</f>
        <v>#DIV/0!</v>
      </c>
      <c r="U40" s="74" t="e">
        <f>data3!R35*$B$6/U$6</f>
        <v>#DIV/0!</v>
      </c>
      <c r="V40" s="74" t="e">
        <f>data3!S35*$B$6/V$6</f>
        <v>#DIV/0!</v>
      </c>
      <c r="W40" s="74" t="e">
        <f>data3!T35*$B$6/W$6</f>
        <v>#DIV/0!</v>
      </c>
      <c r="X40" s="74" t="e">
        <f>data3!U35*$B$6/X$6</f>
        <v>#DIV/0!</v>
      </c>
      <c r="Y40" s="74" t="e">
        <f>data3!V35*$B$6/Y$6</f>
        <v>#DIV/0!</v>
      </c>
      <c r="Z40" s="74" t="e">
        <f>data3!W35*$B$6/Z$6</f>
        <v>#DIV/0!</v>
      </c>
      <c r="AA40" s="74" t="e">
        <f>data3!X35*$B$6/AA$6</f>
        <v>#DIV/0!</v>
      </c>
      <c r="AB40" s="74" t="e">
        <f>data3!Y35*$B$6/AB$6</f>
        <v>#DIV/0!</v>
      </c>
      <c r="AC40" s="74" t="e">
        <f>data3!Z35*$B$6/AC$6</f>
        <v>#DIV/0!</v>
      </c>
      <c r="AD40" s="74" t="e">
        <f>data3!AA35*$B$6/AD$6</f>
        <v>#DIV/0!</v>
      </c>
      <c r="AE40" s="74" t="e">
        <f>data3!AB35*$B$6/AE$6</f>
        <v>#DIV/0!</v>
      </c>
      <c r="AF40" s="74" t="e">
        <f>data3!AC35*$B$6/AF$6</f>
        <v>#DIV/0!</v>
      </c>
      <c r="AG40" s="74" t="e">
        <f>data3!AD35*$B$6/AG$6</f>
        <v>#DIV/0!</v>
      </c>
      <c r="AH40" s="74" t="e">
        <f>data3!AE35*$B$6/AH$6</f>
        <v>#DIV/0!</v>
      </c>
      <c r="AI40" s="74" t="e">
        <f>data3!AF35*$B$6/AI$6</f>
        <v>#DIV/0!</v>
      </c>
      <c r="AJ40" s="74" t="e">
        <f>data3!AG35*$B$6/AJ$6</f>
        <v>#DIV/0!</v>
      </c>
    </row>
    <row r="41" spans="1:36">
      <c r="A41" s="29">
        <f>data0!A36</f>
        <v>12</v>
      </c>
      <c r="B41" s="74" t="e">
        <f>AVERAGE(data3!B36:AG36)</f>
        <v>#DIV/0!</v>
      </c>
      <c r="C41" s="74" t="e">
        <f t="shared" si="0"/>
        <v>#DIV/0!</v>
      </c>
      <c r="D41" s="74" t="e">
        <f t="shared" si="1"/>
        <v>#DIV/0!</v>
      </c>
      <c r="E41" s="74" t="e">
        <f>data3!B36*$B$6/E$6</f>
        <v>#DIV/0!</v>
      </c>
      <c r="F41" s="74" t="e">
        <f>data3!C36*$B$6/F$6</f>
        <v>#DIV/0!</v>
      </c>
      <c r="G41" s="74" t="e">
        <f>data3!D36*$B$6/G$6</f>
        <v>#DIV/0!</v>
      </c>
      <c r="H41" s="74" t="e">
        <f>data3!E36*$B$6/H$6</f>
        <v>#DIV/0!</v>
      </c>
      <c r="I41" s="74" t="e">
        <f>data3!F36*$B$6/I$6</f>
        <v>#DIV/0!</v>
      </c>
      <c r="J41" s="74" t="e">
        <f>data3!G36*$B$6/J$6</f>
        <v>#DIV/0!</v>
      </c>
      <c r="K41" s="74" t="e">
        <f>data3!H36*$B$6/K$6</f>
        <v>#DIV/0!</v>
      </c>
      <c r="L41" s="74" t="e">
        <f>data3!I36*$B$6/L$6</f>
        <v>#DIV/0!</v>
      </c>
      <c r="M41" s="74" t="e">
        <f>data3!J36*$B$6/M$6</f>
        <v>#DIV/0!</v>
      </c>
      <c r="N41" s="74" t="e">
        <f>data3!K36*$B$6/N$6</f>
        <v>#DIV/0!</v>
      </c>
      <c r="O41" s="74" t="e">
        <f>data3!L36*$B$6/O$6</f>
        <v>#DIV/0!</v>
      </c>
      <c r="P41" s="74" t="e">
        <f>data3!M36*$B$6/P$6</f>
        <v>#DIV/0!</v>
      </c>
      <c r="Q41" s="74" t="e">
        <f>data3!N36*$B$6/Q$6</f>
        <v>#DIV/0!</v>
      </c>
      <c r="R41" s="74" t="e">
        <f>data3!O36*$B$6/R$6</f>
        <v>#DIV/0!</v>
      </c>
      <c r="S41" s="74" t="e">
        <f>data3!P36*$B$6/S$6</f>
        <v>#DIV/0!</v>
      </c>
      <c r="T41" s="74" t="e">
        <f>data3!Q36*$B$6/T$6</f>
        <v>#DIV/0!</v>
      </c>
      <c r="U41" s="74" t="e">
        <f>data3!R36*$B$6/U$6</f>
        <v>#DIV/0!</v>
      </c>
      <c r="V41" s="74" t="e">
        <f>data3!S36*$B$6/V$6</f>
        <v>#DIV/0!</v>
      </c>
      <c r="W41" s="74" t="e">
        <f>data3!T36*$B$6/W$6</f>
        <v>#DIV/0!</v>
      </c>
      <c r="X41" s="74" t="e">
        <f>data3!U36*$B$6/X$6</f>
        <v>#DIV/0!</v>
      </c>
      <c r="Y41" s="74" t="e">
        <f>data3!V36*$B$6/Y$6</f>
        <v>#DIV/0!</v>
      </c>
      <c r="Z41" s="74" t="e">
        <f>data3!W36*$B$6/Z$6</f>
        <v>#DIV/0!</v>
      </c>
      <c r="AA41" s="74" t="e">
        <f>data3!X36*$B$6/AA$6</f>
        <v>#DIV/0!</v>
      </c>
      <c r="AB41" s="74" t="e">
        <f>data3!Y36*$B$6/AB$6</f>
        <v>#DIV/0!</v>
      </c>
      <c r="AC41" s="74" t="e">
        <f>data3!Z36*$B$6/AC$6</f>
        <v>#DIV/0!</v>
      </c>
      <c r="AD41" s="74" t="e">
        <f>data3!AA36*$B$6/AD$6</f>
        <v>#DIV/0!</v>
      </c>
      <c r="AE41" s="74" t="e">
        <f>data3!AB36*$B$6/AE$6</f>
        <v>#DIV/0!</v>
      </c>
      <c r="AF41" s="74" t="e">
        <f>data3!AC36*$B$6/AF$6</f>
        <v>#DIV/0!</v>
      </c>
      <c r="AG41" s="74" t="e">
        <f>data3!AD36*$B$6/AG$6</f>
        <v>#DIV/0!</v>
      </c>
      <c r="AH41" s="74" t="e">
        <f>data3!AE36*$B$6/AH$6</f>
        <v>#DIV/0!</v>
      </c>
      <c r="AI41" s="74" t="e">
        <f>data3!AF36*$B$6/AI$6</f>
        <v>#DIV/0!</v>
      </c>
      <c r="AJ41" s="74" t="e">
        <f>data3!AG36*$B$6/AJ$6</f>
        <v>#DIV/0!</v>
      </c>
    </row>
    <row r="42" spans="1:36">
      <c r="A42" s="29">
        <f>data0!A37</f>
        <v>15</v>
      </c>
      <c r="B42" s="74" t="e">
        <f>AVERAGE(data3!B37:AG37)</f>
        <v>#DIV/0!</v>
      </c>
      <c r="C42" s="74" t="e">
        <f t="shared" si="0"/>
        <v>#DIV/0!</v>
      </c>
      <c r="D42" s="74" t="e">
        <f t="shared" si="1"/>
        <v>#DIV/0!</v>
      </c>
      <c r="E42" s="74" t="e">
        <f>data3!B37*$B$6/E$6</f>
        <v>#DIV/0!</v>
      </c>
      <c r="F42" s="74" t="e">
        <f>data3!C37*$B$6/F$6</f>
        <v>#DIV/0!</v>
      </c>
      <c r="G42" s="74" t="e">
        <f>data3!D37*$B$6/G$6</f>
        <v>#DIV/0!</v>
      </c>
      <c r="H42" s="74" t="e">
        <f>data3!E37*$B$6/H$6</f>
        <v>#DIV/0!</v>
      </c>
      <c r="I42" s="74" t="e">
        <f>data3!F37*$B$6/I$6</f>
        <v>#DIV/0!</v>
      </c>
      <c r="J42" s="74" t="e">
        <f>data3!G37*$B$6/J$6</f>
        <v>#DIV/0!</v>
      </c>
      <c r="K42" s="74" t="e">
        <f>data3!H37*$B$6/K$6</f>
        <v>#DIV/0!</v>
      </c>
      <c r="L42" s="74" t="e">
        <f>data3!I37*$B$6/L$6</f>
        <v>#DIV/0!</v>
      </c>
      <c r="M42" s="74" t="e">
        <f>data3!J37*$B$6/M$6</f>
        <v>#DIV/0!</v>
      </c>
      <c r="N42" s="74" t="e">
        <f>data3!K37*$B$6/N$6</f>
        <v>#DIV/0!</v>
      </c>
      <c r="O42" s="74" t="e">
        <f>data3!L37*$B$6/O$6</f>
        <v>#DIV/0!</v>
      </c>
      <c r="P42" s="74" t="e">
        <f>data3!M37*$B$6/P$6</f>
        <v>#DIV/0!</v>
      </c>
      <c r="Q42" s="74" t="e">
        <f>data3!N37*$B$6/Q$6</f>
        <v>#DIV/0!</v>
      </c>
      <c r="R42" s="74" t="e">
        <f>data3!O37*$B$6/R$6</f>
        <v>#DIV/0!</v>
      </c>
      <c r="S42" s="74" t="e">
        <f>data3!P37*$B$6/S$6</f>
        <v>#DIV/0!</v>
      </c>
      <c r="T42" s="74" t="e">
        <f>data3!Q37*$B$6/T$6</f>
        <v>#DIV/0!</v>
      </c>
      <c r="U42" s="74" t="e">
        <f>data3!R37*$B$6/U$6</f>
        <v>#DIV/0!</v>
      </c>
      <c r="V42" s="74" t="e">
        <f>data3!S37*$B$6/V$6</f>
        <v>#DIV/0!</v>
      </c>
      <c r="W42" s="74" t="e">
        <f>data3!T37*$B$6/W$6</f>
        <v>#DIV/0!</v>
      </c>
      <c r="X42" s="74" t="e">
        <f>data3!U37*$B$6/X$6</f>
        <v>#DIV/0!</v>
      </c>
      <c r="Y42" s="74" t="e">
        <f>data3!V37*$B$6/Y$6</f>
        <v>#DIV/0!</v>
      </c>
      <c r="Z42" s="74" t="e">
        <f>data3!W37*$B$6/Z$6</f>
        <v>#DIV/0!</v>
      </c>
      <c r="AA42" s="74" t="e">
        <f>data3!X37*$B$6/AA$6</f>
        <v>#DIV/0!</v>
      </c>
      <c r="AB42" s="74" t="e">
        <f>data3!Y37*$B$6/AB$6</f>
        <v>#DIV/0!</v>
      </c>
      <c r="AC42" s="74" t="e">
        <f>data3!Z37*$B$6/AC$6</f>
        <v>#DIV/0!</v>
      </c>
      <c r="AD42" s="74" t="e">
        <f>data3!AA37*$B$6/AD$6</f>
        <v>#DIV/0!</v>
      </c>
      <c r="AE42" s="74" t="e">
        <f>data3!AB37*$B$6/AE$6</f>
        <v>#DIV/0!</v>
      </c>
      <c r="AF42" s="74" t="e">
        <f>data3!AC37*$B$6/AF$6</f>
        <v>#DIV/0!</v>
      </c>
      <c r="AG42" s="74" t="e">
        <f>data3!AD37*$B$6/AG$6</f>
        <v>#DIV/0!</v>
      </c>
      <c r="AH42" s="74" t="e">
        <f>data3!AE37*$B$6/AH$6</f>
        <v>#DIV/0!</v>
      </c>
      <c r="AI42" s="74" t="e">
        <f>data3!AF37*$B$6/AI$6</f>
        <v>#DIV/0!</v>
      </c>
      <c r="AJ42" s="74" t="e">
        <f>data3!AG37*$B$6/AJ$6</f>
        <v>#DIV/0!</v>
      </c>
    </row>
    <row r="43" spans="1:36">
      <c r="A43" s="29">
        <f>data0!A38</f>
        <v>18</v>
      </c>
      <c r="B43" s="74" t="e">
        <f>AVERAGE(data3!B38:AG38)</f>
        <v>#DIV/0!</v>
      </c>
      <c r="C43" s="74" t="e">
        <f t="shared" si="0"/>
        <v>#DIV/0!</v>
      </c>
      <c r="D43" s="74" t="e">
        <f t="shared" si="1"/>
        <v>#DIV/0!</v>
      </c>
      <c r="E43" s="74" t="e">
        <f>data3!B38*$B$6/E$6</f>
        <v>#DIV/0!</v>
      </c>
      <c r="F43" s="74" t="e">
        <f>data3!C38*$B$6/F$6</f>
        <v>#DIV/0!</v>
      </c>
      <c r="G43" s="74" t="e">
        <f>data3!D38*$B$6/G$6</f>
        <v>#DIV/0!</v>
      </c>
      <c r="H43" s="74" t="e">
        <f>data3!E38*$B$6/H$6</f>
        <v>#DIV/0!</v>
      </c>
      <c r="I43" s="74" t="e">
        <f>data3!F38*$B$6/I$6</f>
        <v>#DIV/0!</v>
      </c>
      <c r="J43" s="74" t="e">
        <f>data3!G38*$B$6/J$6</f>
        <v>#DIV/0!</v>
      </c>
      <c r="K43" s="74" t="e">
        <f>data3!H38*$B$6/K$6</f>
        <v>#DIV/0!</v>
      </c>
      <c r="L43" s="74" t="e">
        <f>data3!I38*$B$6/L$6</f>
        <v>#DIV/0!</v>
      </c>
      <c r="M43" s="74" t="e">
        <f>data3!J38*$B$6/M$6</f>
        <v>#DIV/0!</v>
      </c>
      <c r="N43" s="74" t="e">
        <f>data3!K38*$B$6/N$6</f>
        <v>#DIV/0!</v>
      </c>
      <c r="O43" s="74" t="e">
        <f>data3!L38*$B$6/O$6</f>
        <v>#DIV/0!</v>
      </c>
      <c r="P43" s="74" t="e">
        <f>data3!M38*$B$6/P$6</f>
        <v>#DIV/0!</v>
      </c>
      <c r="Q43" s="74" t="e">
        <f>data3!N38*$B$6/Q$6</f>
        <v>#DIV/0!</v>
      </c>
      <c r="R43" s="74" t="e">
        <f>data3!O38*$B$6/R$6</f>
        <v>#DIV/0!</v>
      </c>
      <c r="S43" s="74" t="e">
        <f>data3!P38*$B$6/S$6</f>
        <v>#DIV/0!</v>
      </c>
      <c r="T43" s="74" t="e">
        <f>data3!Q38*$B$6/T$6</f>
        <v>#DIV/0!</v>
      </c>
      <c r="U43" s="74" t="e">
        <f>data3!R38*$B$6/U$6</f>
        <v>#DIV/0!</v>
      </c>
      <c r="V43" s="74" t="e">
        <f>data3!S38*$B$6/V$6</f>
        <v>#DIV/0!</v>
      </c>
      <c r="W43" s="74" t="e">
        <f>data3!T38*$B$6/W$6</f>
        <v>#DIV/0!</v>
      </c>
      <c r="X43" s="74" t="e">
        <f>data3!U38*$B$6/X$6</f>
        <v>#DIV/0!</v>
      </c>
      <c r="Y43" s="74" t="e">
        <f>data3!V38*$B$6/Y$6</f>
        <v>#DIV/0!</v>
      </c>
      <c r="Z43" s="74" t="e">
        <f>data3!W38*$B$6/Z$6</f>
        <v>#DIV/0!</v>
      </c>
      <c r="AA43" s="74" t="e">
        <f>data3!X38*$B$6/AA$6</f>
        <v>#DIV/0!</v>
      </c>
      <c r="AB43" s="74" t="e">
        <f>data3!Y38*$B$6/AB$6</f>
        <v>#DIV/0!</v>
      </c>
      <c r="AC43" s="74" t="e">
        <f>data3!Z38*$B$6/AC$6</f>
        <v>#DIV/0!</v>
      </c>
      <c r="AD43" s="74" t="e">
        <f>data3!AA38*$B$6/AD$6</f>
        <v>#DIV/0!</v>
      </c>
      <c r="AE43" s="74" t="e">
        <f>data3!AB38*$B$6/AE$6</f>
        <v>#DIV/0!</v>
      </c>
      <c r="AF43" s="74" t="e">
        <f>data3!AC38*$B$6/AF$6</f>
        <v>#DIV/0!</v>
      </c>
      <c r="AG43" s="74" t="e">
        <f>data3!AD38*$B$6/AG$6</f>
        <v>#DIV/0!</v>
      </c>
      <c r="AH43" s="74" t="e">
        <f>data3!AE38*$B$6/AH$6</f>
        <v>#DIV/0!</v>
      </c>
      <c r="AI43" s="74" t="e">
        <f>data3!AF38*$B$6/AI$6</f>
        <v>#DIV/0!</v>
      </c>
      <c r="AJ43" s="74" t="e">
        <f>data3!AG38*$B$6/AJ$6</f>
        <v>#DIV/0!</v>
      </c>
    </row>
    <row r="44" spans="1:36">
      <c r="A44" s="29">
        <f>data0!A39</f>
        <v>21</v>
      </c>
      <c r="B44" s="74" t="e">
        <f>AVERAGE(data3!B39:AG39)</f>
        <v>#DIV/0!</v>
      </c>
      <c r="C44" s="74" t="e">
        <f t="shared" si="0"/>
        <v>#DIV/0!</v>
      </c>
      <c r="D44" s="74" t="e">
        <f t="shared" si="1"/>
        <v>#DIV/0!</v>
      </c>
      <c r="E44" s="74" t="e">
        <f>data3!B39*$B$6/E$6</f>
        <v>#DIV/0!</v>
      </c>
      <c r="F44" s="74" t="e">
        <f>data3!C39*$B$6/F$6</f>
        <v>#DIV/0!</v>
      </c>
      <c r="G44" s="74" t="e">
        <f>data3!D39*$B$6/G$6</f>
        <v>#DIV/0!</v>
      </c>
      <c r="H44" s="74" t="e">
        <f>data3!E39*$B$6/H$6</f>
        <v>#DIV/0!</v>
      </c>
      <c r="I44" s="74" t="e">
        <f>data3!F39*$B$6/I$6</f>
        <v>#DIV/0!</v>
      </c>
      <c r="J44" s="74" t="e">
        <f>data3!G39*$B$6/J$6</f>
        <v>#DIV/0!</v>
      </c>
      <c r="K44" s="74" t="e">
        <f>data3!H39*$B$6/K$6</f>
        <v>#DIV/0!</v>
      </c>
      <c r="L44" s="74" t="e">
        <f>data3!I39*$B$6/L$6</f>
        <v>#DIV/0!</v>
      </c>
      <c r="M44" s="74" t="e">
        <f>data3!J39*$B$6/M$6</f>
        <v>#DIV/0!</v>
      </c>
      <c r="N44" s="74" t="e">
        <f>data3!K39*$B$6/N$6</f>
        <v>#DIV/0!</v>
      </c>
      <c r="O44" s="74" t="e">
        <f>data3!L39*$B$6/O$6</f>
        <v>#DIV/0!</v>
      </c>
      <c r="P44" s="74" t="e">
        <f>data3!M39*$B$6/P$6</f>
        <v>#DIV/0!</v>
      </c>
      <c r="Q44" s="74" t="e">
        <f>data3!N39*$B$6/Q$6</f>
        <v>#DIV/0!</v>
      </c>
      <c r="R44" s="74" t="e">
        <f>data3!O39*$B$6/R$6</f>
        <v>#DIV/0!</v>
      </c>
      <c r="S44" s="74" t="e">
        <f>data3!P39*$B$6/S$6</f>
        <v>#DIV/0!</v>
      </c>
      <c r="T44" s="74" t="e">
        <f>data3!Q39*$B$6/T$6</f>
        <v>#DIV/0!</v>
      </c>
      <c r="U44" s="74" t="e">
        <f>data3!R39*$B$6/U$6</f>
        <v>#DIV/0!</v>
      </c>
      <c r="V44" s="74" t="e">
        <f>data3!S39*$B$6/V$6</f>
        <v>#DIV/0!</v>
      </c>
      <c r="W44" s="74" t="e">
        <f>data3!T39*$B$6/W$6</f>
        <v>#DIV/0!</v>
      </c>
      <c r="X44" s="74" t="e">
        <f>data3!U39*$B$6/X$6</f>
        <v>#DIV/0!</v>
      </c>
      <c r="Y44" s="74" t="e">
        <f>data3!V39*$B$6/Y$6</f>
        <v>#DIV/0!</v>
      </c>
      <c r="Z44" s="74" t="e">
        <f>data3!W39*$B$6/Z$6</f>
        <v>#DIV/0!</v>
      </c>
      <c r="AA44" s="74" t="e">
        <f>data3!X39*$B$6/AA$6</f>
        <v>#DIV/0!</v>
      </c>
      <c r="AB44" s="74" t="e">
        <f>data3!Y39*$B$6/AB$6</f>
        <v>#DIV/0!</v>
      </c>
      <c r="AC44" s="74" t="e">
        <f>data3!Z39*$B$6/AC$6</f>
        <v>#DIV/0!</v>
      </c>
      <c r="AD44" s="74" t="e">
        <f>data3!AA39*$B$6/AD$6</f>
        <v>#DIV/0!</v>
      </c>
      <c r="AE44" s="74" t="e">
        <f>data3!AB39*$B$6/AE$6</f>
        <v>#DIV/0!</v>
      </c>
      <c r="AF44" s="74" t="e">
        <f>data3!AC39*$B$6/AF$6</f>
        <v>#DIV/0!</v>
      </c>
      <c r="AG44" s="74" t="e">
        <f>data3!AD39*$B$6/AG$6</f>
        <v>#DIV/0!</v>
      </c>
      <c r="AH44" s="74" t="e">
        <f>data3!AE39*$B$6/AH$6</f>
        <v>#DIV/0!</v>
      </c>
      <c r="AI44" s="74" t="e">
        <f>data3!AF39*$B$6/AI$6</f>
        <v>#DIV/0!</v>
      </c>
      <c r="AJ44" s="74" t="e">
        <f>data3!AG39*$B$6/AJ$6</f>
        <v>#DIV/0!</v>
      </c>
    </row>
    <row r="45" spans="1:36">
      <c r="A45" s="29">
        <f>data0!A40</f>
        <v>24</v>
      </c>
      <c r="B45" s="74" t="e">
        <f>AVERAGE(data3!B40:AG40)</f>
        <v>#DIV/0!</v>
      </c>
      <c r="C45" s="74" t="e">
        <f t="shared" si="0"/>
        <v>#DIV/0!</v>
      </c>
      <c r="D45" s="74" t="e">
        <f t="shared" si="1"/>
        <v>#DIV/0!</v>
      </c>
      <c r="E45" s="74" t="e">
        <f>data3!B40*$B$6/E$6</f>
        <v>#DIV/0!</v>
      </c>
      <c r="F45" s="74" t="e">
        <f>data3!C40*$B$6/F$6</f>
        <v>#DIV/0!</v>
      </c>
      <c r="G45" s="74" t="e">
        <f>data3!D40*$B$6/G$6</f>
        <v>#DIV/0!</v>
      </c>
      <c r="H45" s="74" t="e">
        <f>data3!E40*$B$6/H$6</f>
        <v>#DIV/0!</v>
      </c>
      <c r="I45" s="74" t="e">
        <f>data3!F40*$B$6/I$6</f>
        <v>#DIV/0!</v>
      </c>
      <c r="J45" s="74" t="e">
        <f>data3!G40*$B$6/J$6</f>
        <v>#DIV/0!</v>
      </c>
      <c r="K45" s="74" t="e">
        <f>data3!H40*$B$6/K$6</f>
        <v>#DIV/0!</v>
      </c>
      <c r="L45" s="74" t="e">
        <f>data3!I40*$B$6/L$6</f>
        <v>#DIV/0!</v>
      </c>
      <c r="M45" s="74" t="e">
        <f>data3!J40*$B$6/M$6</f>
        <v>#DIV/0!</v>
      </c>
      <c r="N45" s="74" t="e">
        <f>data3!K40*$B$6/N$6</f>
        <v>#DIV/0!</v>
      </c>
      <c r="O45" s="74" t="e">
        <f>data3!L40*$B$6/O$6</f>
        <v>#DIV/0!</v>
      </c>
      <c r="P45" s="74" t="e">
        <f>data3!M40*$B$6/P$6</f>
        <v>#DIV/0!</v>
      </c>
      <c r="Q45" s="74" t="e">
        <f>data3!N40*$B$6/Q$6</f>
        <v>#DIV/0!</v>
      </c>
      <c r="R45" s="74" t="e">
        <f>data3!O40*$B$6/R$6</f>
        <v>#DIV/0!</v>
      </c>
      <c r="S45" s="74" t="e">
        <f>data3!P40*$B$6/S$6</f>
        <v>#DIV/0!</v>
      </c>
      <c r="T45" s="74" t="e">
        <f>data3!Q40*$B$6/T$6</f>
        <v>#DIV/0!</v>
      </c>
      <c r="U45" s="74" t="e">
        <f>data3!R40*$B$6/U$6</f>
        <v>#DIV/0!</v>
      </c>
      <c r="V45" s="74" t="e">
        <f>data3!S40*$B$6/V$6</f>
        <v>#DIV/0!</v>
      </c>
      <c r="W45" s="74" t="e">
        <f>data3!T40*$B$6/W$6</f>
        <v>#DIV/0!</v>
      </c>
      <c r="X45" s="74" t="e">
        <f>data3!U40*$B$6/X$6</f>
        <v>#DIV/0!</v>
      </c>
      <c r="Y45" s="74" t="e">
        <f>data3!V40*$B$6/Y$6</f>
        <v>#DIV/0!</v>
      </c>
      <c r="Z45" s="74" t="e">
        <f>data3!W40*$B$6/Z$6</f>
        <v>#DIV/0!</v>
      </c>
      <c r="AA45" s="74" t="e">
        <f>data3!X40*$B$6/AA$6</f>
        <v>#DIV/0!</v>
      </c>
      <c r="AB45" s="74" t="e">
        <f>data3!Y40*$B$6/AB$6</f>
        <v>#DIV/0!</v>
      </c>
      <c r="AC45" s="74" t="e">
        <f>data3!Z40*$B$6/AC$6</f>
        <v>#DIV/0!</v>
      </c>
      <c r="AD45" s="74" t="e">
        <f>data3!AA40*$B$6/AD$6</f>
        <v>#DIV/0!</v>
      </c>
      <c r="AE45" s="74" t="e">
        <f>data3!AB40*$B$6/AE$6</f>
        <v>#DIV/0!</v>
      </c>
      <c r="AF45" s="74" t="e">
        <f>data3!AC40*$B$6/AF$6</f>
        <v>#DIV/0!</v>
      </c>
      <c r="AG45" s="74" t="e">
        <f>data3!AD40*$B$6/AG$6</f>
        <v>#DIV/0!</v>
      </c>
      <c r="AH45" s="74" t="e">
        <f>data3!AE40*$B$6/AH$6</f>
        <v>#DIV/0!</v>
      </c>
      <c r="AI45" s="74" t="e">
        <f>data3!AF40*$B$6/AI$6</f>
        <v>#DIV/0!</v>
      </c>
      <c r="AJ45" s="74" t="e">
        <f>data3!AG40*$B$6/AJ$6</f>
        <v>#DIV/0!</v>
      </c>
    </row>
    <row r="46" spans="1:36">
      <c r="A46" s="29">
        <f>data0!A41</f>
        <v>27</v>
      </c>
      <c r="B46" s="74" t="e">
        <f>AVERAGE(data3!B41:AG41)</f>
        <v>#DIV/0!</v>
      </c>
      <c r="C46" s="74" t="e">
        <f t="shared" si="0"/>
        <v>#DIV/0!</v>
      </c>
      <c r="D46" s="74" t="e">
        <f t="shared" si="1"/>
        <v>#DIV/0!</v>
      </c>
      <c r="E46" s="74" t="e">
        <f>data3!B41*$B$6/E$6</f>
        <v>#DIV/0!</v>
      </c>
      <c r="F46" s="74" t="e">
        <f>data3!C41*$B$6/F$6</f>
        <v>#DIV/0!</v>
      </c>
      <c r="G46" s="74" t="e">
        <f>data3!D41*$B$6/G$6</f>
        <v>#DIV/0!</v>
      </c>
      <c r="H46" s="74" t="e">
        <f>data3!E41*$B$6/H$6</f>
        <v>#DIV/0!</v>
      </c>
      <c r="I46" s="74" t="e">
        <f>data3!F41*$B$6/I$6</f>
        <v>#DIV/0!</v>
      </c>
      <c r="J46" s="74" t="e">
        <f>data3!G41*$B$6/J$6</f>
        <v>#DIV/0!</v>
      </c>
      <c r="K46" s="74" t="e">
        <f>data3!H41*$B$6/K$6</f>
        <v>#DIV/0!</v>
      </c>
      <c r="L46" s="74" t="e">
        <f>data3!I41*$B$6/L$6</f>
        <v>#DIV/0!</v>
      </c>
      <c r="M46" s="74" t="e">
        <f>data3!J41*$B$6/M$6</f>
        <v>#DIV/0!</v>
      </c>
      <c r="N46" s="74" t="e">
        <f>data3!K41*$B$6/N$6</f>
        <v>#DIV/0!</v>
      </c>
      <c r="O46" s="74" t="e">
        <f>data3!L41*$B$6/O$6</f>
        <v>#DIV/0!</v>
      </c>
      <c r="P46" s="74" t="e">
        <f>data3!M41*$B$6/P$6</f>
        <v>#DIV/0!</v>
      </c>
      <c r="Q46" s="74" t="e">
        <f>data3!N41*$B$6/Q$6</f>
        <v>#DIV/0!</v>
      </c>
      <c r="R46" s="74" t="e">
        <f>data3!O41*$B$6/R$6</f>
        <v>#DIV/0!</v>
      </c>
      <c r="S46" s="74" t="e">
        <f>data3!P41*$B$6/S$6</f>
        <v>#DIV/0!</v>
      </c>
      <c r="T46" s="74" t="e">
        <f>data3!Q41*$B$6/T$6</f>
        <v>#DIV/0!</v>
      </c>
      <c r="U46" s="74" t="e">
        <f>data3!R41*$B$6/U$6</f>
        <v>#DIV/0!</v>
      </c>
      <c r="V46" s="74" t="e">
        <f>data3!S41*$B$6/V$6</f>
        <v>#DIV/0!</v>
      </c>
      <c r="W46" s="74" t="e">
        <f>data3!T41*$B$6/W$6</f>
        <v>#DIV/0!</v>
      </c>
      <c r="X46" s="74" t="e">
        <f>data3!U41*$B$6/X$6</f>
        <v>#DIV/0!</v>
      </c>
      <c r="Y46" s="74" t="e">
        <f>data3!V41*$B$6/Y$6</f>
        <v>#DIV/0!</v>
      </c>
      <c r="Z46" s="74" t="e">
        <f>data3!W41*$B$6/Z$6</f>
        <v>#DIV/0!</v>
      </c>
      <c r="AA46" s="74" t="e">
        <f>data3!X41*$B$6/AA$6</f>
        <v>#DIV/0!</v>
      </c>
      <c r="AB46" s="74" t="e">
        <f>data3!Y41*$B$6/AB$6</f>
        <v>#DIV/0!</v>
      </c>
      <c r="AC46" s="74" t="e">
        <f>data3!Z41*$B$6/AC$6</f>
        <v>#DIV/0!</v>
      </c>
      <c r="AD46" s="74" t="e">
        <f>data3!AA41*$B$6/AD$6</f>
        <v>#DIV/0!</v>
      </c>
      <c r="AE46" s="74" t="e">
        <f>data3!AB41*$B$6/AE$6</f>
        <v>#DIV/0!</v>
      </c>
      <c r="AF46" s="74" t="e">
        <f>data3!AC41*$B$6/AF$6</f>
        <v>#DIV/0!</v>
      </c>
      <c r="AG46" s="74" t="e">
        <f>data3!AD41*$B$6/AG$6</f>
        <v>#DIV/0!</v>
      </c>
      <c r="AH46" s="74" t="e">
        <f>data3!AE41*$B$6/AH$6</f>
        <v>#DIV/0!</v>
      </c>
      <c r="AI46" s="74" t="e">
        <f>data3!AF41*$B$6/AI$6</f>
        <v>#DIV/0!</v>
      </c>
      <c r="AJ46" s="74" t="e">
        <f>data3!AG41*$B$6/AJ$6</f>
        <v>#DIV/0!</v>
      </c>
    </row>
    <row r="47" spans="1:36">
      <c r="A47" s="29">
        <f>data0!A42</f>
        <v>30</v>
      </c>
      <c r="B47" s="74" t="e">
        <f>AVERAGE(data3!B42:AG42)</f>
        <v>#DIV/0!</v>
      </c>
      <c r="C47" s="74" t="e">
        <f t="shared" si="0"/>
        <v>#DIV/0!</v>
      </c>
      <c r="D47" s="74" t="e">
        <f t="shared" si="1"/>
        <v>#DIV/0!</v>
      </c>
      <c r="E47" s="74" t="e">
        <f>data3!B42*$B$6/E$6</f>
        <v>#DIV/0!</v>
      </c>
      <c r="F47" s="74" t="e">
        <f>data3!C42*$B$6/F$6</f>
        <v>#DIV/0!</v>
      </c>
      <c r="G47" s="74" t="e">
        <f>data3!D42*$B$6/G$6</f>
        <v>#DIV/0!</v>
      </c>
      <c r="H47" s="74" t="e">
        <f>data3!E42*$B$6/H$6</f>
        <v>#DIV/0!</v>
      </c>
      <c r="I47" s="74" t="e">
        <f>data3!F42*$B$6/I$6</f>
        <v>#DIV/0!</v>
      </c>
      <c r="J47" s="74" t="e">
        <f>data3!G42*$B$6/J$6</f>
        <v>#DIV/0!</v>
      </c>
      <c r="K47" s="74" t="e">
        <f>data3!H42*$B$6/K$6</f>
        <v>#DIV/0!</v>
      </c>
      <c r="L47" s="74" t="e">
        <f>data3!I42*$B$6/L$6</f>
        <v>#DIV/0!</v>
      </c>
      <c r="M47" s="74" t="e">
        <f>data3!J42*$B$6/M$6</f>
        <v>#DIV/0!</v>
      </c>
      <c r="N47" s="74" t="e">
        <f>data3!K42*$B$6/N$6</f>
        <v>#DIV/0!</v>
      </c>
      <c r="O47" s="74" t="e">
        <f>data3!L42*$B$6/O$6</f>
        <v>#DIV/0!</v>
      </c>
      <c r="P47" s="74" t="e">
        <f>data3!M42*$B$6/P$6</f>
        <v>#DIV/0!</v>
      </c>
      <c r="Q47" s="74" t="e">
        <f>data3!N42*$B$6/Q$6</f>
        <v>#DIV/0!</v>
      </c>
      <c r="R47" s="74" t="e">
        <f>data3!O42*$B$6/R$6</f>
        <v>#DIV/0!</v>
      </c>
      <c r="S47" s="74" t="e">
        <f>data3!P42*$B$6/S$6</f>
        <v>#DIV/0!</v>
      </c>
      <c r="T47" s="74" t="e">
        <f>data3!Q42*$B$6/T$6</f>
        <v>#DIV/0!</v>
      </c>
      <c r="U47" s="74" t="e">
        <f>data3!R42*$B$6/U$6</f>
        <v>#DIV/0!</v>
      </c>
      <c r="V47" s="74" t="e">
        <f>data3!S42*$B$6/V$6</f>
        <v>#DIV/0!</v>
      </c>
      <c r="W47" s="74" t="e">
        <f>data3!T42*$B$6/W$6</f>
        <v>#DIV/0!</v>
      </c>
      <c r="X47" s="74" t="e">
        <f>data3!U42*$B$6/X$6</f>
        <v>#DIV/0!</v>
      </c>
      <c r="Y47" s="74" t="e">
        <f>data3!V42*$B$6/Y$6</f>
        <v>#DIV/0!</v>
      </c>
      <c r="Z47" s="74" t="e">
        <f>data3!W42*$B$6/Z$6</f>
        <v>#DIV/0!</v>
      </c>
      <c r="AA47" s="74" t="e">
        <f>data3!X42*$B$6/AA$6</f>
        <v>#DIV/0!</v>
      </c>
      <c r="AB47" s="74" t="e">
        <f>data3!Y42*$B$6/AB$6</f>
        <v>#DIV/0!</v>
      </c>
      <c r="AC47" s="74" t="e">
        <f>data3!Z42*$B$6/AC$6</f>
        <v>#DIV/0!</v>
      </c>
      <c r="AD47" s="74" t="e">
        <f>data3!AA42*$B$6/AD$6</f>
        <v>#DIV/0!</v>
      </c>
      <c r="AE47" s="74" t="e">
        <f>data3!AB42*$B$6/AE$6</f>
        <v>#DIV/0!</v>
      </c>
      <c r="AF47" s="74" t="e">
        <f>data3!AC42*$B$6/AF$6</f>
        <v>#DIV/0!</v>
      </c>
      <c r="AG47" s="74" t="e">
        <f>data3!AD42*$B$6/AG$6</f>
        <v>#DIV/0!</v>
      </c>
      <c r="AH47" s="74" t="e">
        <f>data3!AE42*$B$6/AH$6</f>
        <v>#DIV/0!</v>
      </c>
      <c r="AI47" s="74" t="e">
        <f>data3!AF42*$B$6/AI$6</f>
        <v>#DIV/0!</v>
      </c>
      <c r="AJ47" s="74" t="e">
        <f>data3!AG42*$B$6/AJ$6</f>
        <v>#DIV/0!</v>
      </c>
    </row>
    <row r="48" spans="1:36">
      <c r="A48" s="29">
        <f>data0!A43</f>
        <v>33</v>
      </c>
      <c r="B48" s="74" t="e">
        <f>AVERAGE(data3!B43:AG43)</f>
        <v>#DIV/0!</v>
      </c>
      <c r="C48" s="74" t="e">
        <f t="shared" si="0"/>
        <v>#DIV/0!</v>
      </c>
      <c r="D48" s="74" t="e">
        <f t="shared" si="1"/>
        <v>#DIV/0!</v>
      </c>
      <c r="E48" s="74" t="e">
        <f>data3!B43*$B$6/E$6</f>
        <v>#DIV/0!</v>
      </c>
      <c r="F48" s="74" t="e">
        <f>data3!C43*$B$6/F$6</f>
        <v>#DIV/0!</v>
      </c>
      <c r="G48" s="74" t="e">
        <f>data3!D43*$B$6/G$6</f>
        <v>#DIV/0!</v>
      </c>
      <c r="H48" s="74" t="e">
        <f>data3!E43*$B$6/H$6</f>
        <v>#DIV/0!</v>
      </c>
      <c r="I48" s="74" t="e">
        <f>data3!F43*$B$6/I$6</f>
        <v>#DIV/0!</v>
      </c>
      <c r="J48" s="74" t="e">
        <f>data3!G43*$B$6/J$6</f>
        <v>#DIV/0!</v>
      </c>
      <c r="K48" s="74" t="e">
        <f>data3!H43*$B$6/K$6</f>
        <v>#DIV/0!</v>
      </c>
      <c r="L48" s="74" t="e">
        <f>data3!I43*$B$6/L$6</f>
        <v>#DIV/0!</v>
      </c>
      <c r="M48" s="74" t="e">
        <f>data3!J43*$B$6/M$6</f>
        <v>#DIV/0!</v>
      </c>
      <c r="N48" s="74" t="e">
        <f>data3!K43*$B$6/N$6</f>
        <v>#DIV/0!</v>
      </c>
      <c r="O48" s="74" t="e">
        <f>data3!L43*$B$6/O$6</f>
        <v>#DIV/0!</v>
      </c>
      <c r="P48" s="74" t="e">
        <f>data3!M43*$B$6/P$6</f>
        <v>#DIV/0!</v>
      </c>
      <c r="Q48" s="74" t="e">
        <f>data3!N43*$B$6/Q$6</f>
        <v>#DIV/0!</v>
      </c>
      <c r="R48" s="74" t="e">
        <f>data3!O43*$B$6/R$6</f>
        <v>#DIV/0!</v>
      </c>
      <c r="S48" s="74" t="e">
        <f>data3!P43*$B$6/S$6</f>
        <v>#DIV/0!</v>
      </c>
      <c r="T48" s="74" t="e">
        <f>data3!Q43*$B$6/T$6</f>
        <v>#DIV/0!</v>
      </c>
      <c r="U48" s="74" t="e">
        <f>data3!R43*$B$6/U$6</f>
        <v>#DIV/0!</v>
      </c>
      <c r="V48" s="74" t="e">
        <f>data3!S43*$B$6/V$6</f>
        <v>#DIV/0!</v>
      </c>
      <c r="W48" s="74" t="e">
        <f>data3!T43*$B$6/W$6</f>
        <v>#DIV/0!</v>
      </c>
      <c r="X48" s="74" t="e">
        <f>data3!U43*$B$6/X$6</f>
        <v>#DIV/0!</v>
      </c>
      <c r="Y48" s="74" t="e">
        <f>data3!V43*$B$6/Y$6</f>
        <v>#DIV/0!</v>
      </c>
      <c r="Z48" s="74" t="e">
        <f>data3!W43*$B$6/Z$6</f>
        <v>#DIV/0!</v>
      </c>
      <c r="AA48" s="74" t="e">
        <f>data3!X43*$B$6/AA$6</f>
        <v>#DIV/0!</v>
      </c>
      <c r="AB48" s="74" t="e">
        <f>data3!Y43*$B$6/AB$6</f>
        <v>#DIV/0!</v>
      </c>
      <c r="AC48" s="74" t="e">
        <f>data3!Z43*$B$6/AC$6</f>
        <v>#DIV/0!</v>
      </c>
      <c r="AD48" s="74" t="e">
        <f>data3!AA43*$B$6/AD$6</f>
        <v>#DIV/0!</v>
      </c>
      <c r="AE48" s="74" t="e">
        <f>data3!AB43*$B$6/AE$6</f>
        <v>#DIV/0!</v>
      </c>
      <c r="AF48" s="74" t="e">
        <f>data3!AC43*$B$6/AF$6</f>
        <v>#DIV/0!</v>
      </c>
      <c r="AG48" s="74" t="e">
        <f>data3!AD43*$B$6/AG$6</f>
        <v>#DIV/0!</v>
      </c>
      <c r="AH48" s="74" t="e">
        <f>data3!AE43*$B$6/AH$6</f>
        <v>#DIV/0!</v>
      </c>
      <c r="AI48" s="74" t="e">
        <f>data3!AF43*$B$6/AI$6</f>
        <v>#DIV/0!</v>
      </c>
      <c r="AJ48" s="74" t="e">
        <f>data3!AG43*$B$6/AJ$6</f>
        <v>#DIV/0!</v>
      </c>
    </row>
    <row r="49" spans="1:36">
      <c r="A49" s="29">
        <f>data0!A44</f>
        <v>36</v>
      </c>
      <c r="B49" s="74" t="e">
        <f>AVERAGE(data3!B44:AG44)</f>
        <v>#DIV/0!</v>
      </c>
      <c r="C49" s="74" t="e">
        <f t="shared" si="0"/>
        <v>#DIV/0!</v>
      </c>
      <c r="D49" s="74" t="e">
        <f t="shared" si="1"/>
        <v>#DIV/0!</v>
      </c>
      <c r="E49" s="74" t="e">
        <f>data3!B44*$B$6/E$6</f>
        <v>#DIV/0!</v>
      </c>
      <c r="F49" s="74" t="e">
        <f>data3!C44*$B$6/F$6</f>
        <v>#DIV/0!</v>
      </c>
      <c r="G49" s="74" t="e">
        <f>data3!D44*$B$6/G$6</f>
        <v>#DIV/0!</v>
      </c>
      <c r="H49" s="74" t="e">
        <f>data3!E44*$B$6/H$6</f>
        <v>#DIV/0!</v>
      </c>
      <c r="I49" s="74" t="e">
        <f>data3!F44*$B$6/I$6</f>
        <v>#DIV/0!</v>
      </c>
      <c r="J49" s="74" t="e">
        <f>data3!G44*$B$6/J$6</f>
        <v>#DIV/0!</v>
      </c>
      <c r="K49" s="74" t="e">
        <f>data3!H44*$B$6/K$6</f>
        <v>#DIV/0!</v>
      </c>
      <c r="L49" s="74" t="e">
        <f>data3!I44*$B$6/L$6</f>
        <v>#DIV/0!</v>
      </c>
      <c r="M49" s="74" t="e">
        <f>data3!J44*$B$6/M$6</f>
        <v>#DIV/0!</v>
      </c>
      <c r="N49" s="74" t="e">
        <f>data3!K44*$B$6/N$6</f>
        <v>#DIV/0!</v>
      </c>
      <c r="O49" s="74" t="e">
        <f>data3!L44*$B$6/O$6</f>
        <v>#DIV/0!</v>
      </c>
      <c r="P49" s="74" t="e">
        <f>data3!M44*$B$6/P$6</f>
        <v>#DIV/0!</v>
      </c>
      <c r="Q49" s="74" t="e">
        <f>data3!N44*$B$6/Q$6</f>
        <v>#DIV/0!</v>
      </c>
      <c r="R49" s="74" t="e">
        <f>data3!O44*$B$6/R$6</f>
        <v>#DIV/0!</v>
      </c>
      <c r="S49" s="74" t="e">
        <f>data3!P44*$B$6/S$6</f>
        <v>#DIV/0!</v>
      </c>
      <c r="T49" s="74" t="e">
        <f>data3!Q44*$B$6/T$6</f>
        <v>#DIV/0!</v>
      </c>
      <c r="U49" s="74" t="e">
        <f>data3!R44*$B$6/U$6</f>
        <v>#DIV/0!</v>
      </c>
      <c r="V49" s="74" t="e">
        <f>data3!S44*$B$6/V$6</f>
        <v>#DIV/0!</v>
      </c>
      <c r="W49" s="74" t="e">
        <f>data3!T44*$B$6/W$6</f>
        <v>#DIV/0!</v>
      </c>
      <c r="X49" s="74" t="e">
        <f>data3!U44*$B$6/X$6</f>
        <v>#DIV/0!</v>
      </c>
      <c r="Y49" s="74" t="e">
        <f>data3!V44*$B$6/Y$6</f>
        <v>#DIV/0!</v>
      </c>
      <c r="Z49" s="74" t="e">
        <f>data3!W44*$B$6/Z$6</f>
        <v>#DIV/0!</v>
      </c>
      <c r="AA49" s="74" t="e">
        <f>data3!X44*$B$6/AA$6</f>
        <v>#DIV/0!</v>
      </c>
      <c r="AB49" s="74" t="e">
        <f>data3!Y44*$B$6/AB$6</f>
        <v>#DIV/0!</v>
      </c>
      <c r="AC49" s="74" t="e">
        <f>data3!Z44*$B$6/AC$6</f>
        <v>#DIV/0!</v>
      </c>
      <c r="AD49" s="74" t="e">
        <f>data3!AA44*$B$6/AD$6</f>
        <v>#DIV/0!</v>
      </c>
      <c r="AE49" s="74" t="e">
        <f>data3!AB44*$B$6/AE$6</f>
        <v>#DIV/0!</v>
      </c>
      <c r="AF49" s="74" t="e">
        <f>data3!AC44*$B$6/AF$6</f>
        <v>#DIV/0!</v>
      </c>
      <c r="AG49" s="74" t="e">
        <f>data3!AD44*$B$6/AG$6</f>
        <v>#DIV/0!</v>
      </c>
      <c r="AH49" s="74" t="e">
        <f>data3!AE44*$B$6/AH$6</f>
        <v>#DIV/0!</v>
      </c>
      <c r="AI49" s="74" t="e">
        <f>data3!AF44*$B$6/AI$6</f>
        <v>#DIV/0!</v>
      </c>
      <c r="AJ49" s="74" t="e">
        <f>data3!AG44*$B$6/AJ$6</f>
        <v>#DIV/0!</v>
      </c>
    </row>
    <row r="50" spans="1:36">
      <c r="A50" s="29">
        <f>data0!A45</f>
        <v>39</v>
      </c>
      <c r="B50" s="74" t="e">
        <f>AVERAGE(data3!B45:AG45)</f>
        <v>#DIV/0!</v>
      </c>
      <c r="C50" s="74" t="e">
        <f t="shared" si="0"/>
        <v>#DIV/0!</v>
      </c>
      <c r="D50" s="74" t="e">
        <f t="shared" si="1"/>
        <v>#DIV/0!</v>
      </c>
      <c r="E50" s="74" t="e">
        <f>data3!B45*$B$6/E$6</f>
        <v>#DIV/0!</v>
      </c>
      <c r="F50" s="74" t="e">
        <f>data3!C45*$B$6/F$6</f>
        <v>#DIV/0!</v>
      </c>
      <c r="G50" s="74" t="e">
        <f>data3!D45*$B$6/G$6</f>
        <v>#DIV/0!</v>
      </c>
      <c r="H50" s="74" t="e">
        <f>data3!E45*$B$6/H$6</f>
        <v>#DIV/0!</v>
      </c>
      <c r="I50" s="74" t="e">
        <f>data3!F45*$B$6/I$6</f>
        <v>#DIV/0!</v>
      </c>
      <c r="J50" s="74" t="e">
        <f>data3!G45*$B$6/J$6</f>
        <v>#DIV/0!</v>
      </c>
      <c r="K50" s="74" t="e">
        <f>data3!H45*$B$6/K$6</f>
        <v>#DIV/0!</v>
      </c>
      <c r="L50" s="74" t="e">
        <f>data3!I45*$B$6/L$6</f>
        <v>#DIV/0!</v>
      </c>
      <c r="M50" s="74" t="e">
        <f>data3!J45*$B$6/M$6</f>
        <v>#DIV/0!</v>
      </c>
      <c r="N50" s="74" t="e">
        <f>data3!K45*$B$6/N$6</f>
        <v>#DIV/0!</v>
      </c>
      <c r="O50" s="74" t="e">
        <f>data3!L45*$B$6/O$6</f>
        <v>#DIV/0!</v>
      </c>
      <c r="P50" s="74" t="e">
        <f>data3!M45*$B$6/P$6</f>
        <v>#DIV/0!</v>
      </c>
      <c r="Q50" s="74" t="e">
        <f>data3!N45*$B$6/Q$6</f>
        <v>#DIV/0!</v>
      </c>
      <c r="R50" s="74" t="e">
        <f>data3!O45*$B$6/R$6</f>
        <v>#DIV/0!</v>
      </c>
      <c r="S50" s="74" t="e">
        <f>data3!P45*$B$6/S$6</f>
        <v>#DIV/0!</v>
      </c>
      <c r="T50" s="74" t="e">
        <f>data3!Q45*$B$6/T$6</f>
        <v>#DIV/0!</v>
      </c>
      <c r="U50" s="74" t="e">
        <f>data3!R45*$B$6/U$6</f>
        <v>#DIV/0!</v>
      </c>
      <c r="V50" s="74" t="e">
        <f>data3!S45*$B$6/V$6</f>
        <v>#DIV/0!</v>
      </c>
      <c r="W50" s="74" t="e">
        <f>data3!T45*$B$6/W$6</f>
        <v>#DIV/0!</v>
      </c>
      <c r="X50" s="74" t="e">
        <f>data3!U45*$B$6/X$6</f>
        <v>#DIV/0!</v>
      </c>
      <c r="Y50" s="74" t="e">
        <f>data3!V45*$B$6/Y$6</f>
        <v>#DIV/0!</v>
      </c>
      <c r="Z50" s="74" t="e">
        <f>data3!W45*$B$6/Z$6</f>
        <v>#DIV/0!</v>
      </c>
      <c r="AA50" s="74" t="e">
        <f>data3!X45*$B$6/AA$6</f>
        <v>#DIV/0!</v>
      </c>
      <c r="AB50" s="74" t="e">
        <f>data3!Y45*$B$6/AB$6</f>
        <v>#DIV/0!</v>
      </c>
      <c r="AC50" s="74" t="e">
        <f>data3!Z45*$B$6/AC$6</f>
        <v>#DIV/0!</v>
      </c>
      <c r="AD50" s="74" t="e">
        <f>data3!AA45*$B$6/AD$6</f>
        <v>#DIV/0!</v>
      </c>
      <c r="AE50" s="74" t="e">
        <f>data3!AB45*$B$6/AE$6</f>
        <v>#DIV/0!</v>
      </c>
      <c r="AF50" s="74" t="e">
        <f>data3!AC45*$B$6/AF$6</f>
        <v>#DIV/0!</v>
      </c>
      <c r="AG50" s="74" t="e">
        <f>data3!AD45*$B$6/AG$6</f>
        <v>#DIV/0!</v>
      </c>
      <c r="AH50" s="74" t="e">
        <f>data3!AE45*$B$6/AH$6</f>
        <v>#DIV/0!</v>
      </c>
      <c r="AI50" s="74" t="e">
        <f>data3!AF45*$B$6/AI$6</f>
        <v>#DIV/0!</v>
      </c>
      <c r="AJ50" s="74" t="e">
        <f>data3!AG45*$B$6/AJ$6</f>
        <v>#DIV/0!</v>
      </c>
    </row>
    <row r="51" spans="1:36">
      <c r="A51" s="29">
        <f>data0!A46</f>
        <v>42</v>
      </c>
      <c r="B51" s="74" t="e">
        <f>AVERAGE(data3!B46:AG46)</f>
        <v>#DIV/0!</v>
      </c>
      <c r="C51" s="74" t="e">
        <f t="shared" si="0"/>
        <v>#DIV/0!</v>
      </c>
      <c r="D51" s="74" t="e">
        <f t="shared" si="1"/>
        <v>#DIV/0!</v>
      </c>
      <c r="E51" s="74" t="e">
        <f>data3!B46*$B$6/E$6</f>
        <v>#DIV/0!</v>
      </c>
      <c r="F51" s="74" t="e">
        <f>data3!C46*$B$6/F$6</f>
        <v>#DIV/0!</v>
      </c>
      <c r="G51" s="74" t="e">
        <f>data3!D46*$B$6/G$6</f>
        <v>#DIV/0!</v>
      </c>
      <c r="H51" s="74" t="e">
        <f>data3!E46*$B$6/H$6</f>
        <v>#DIV/0!</v>
      </c>
      <c r="I51" s="74" t="e">
        <f>data3!F46*$B$6/I$6</f>
        <v>#DIV/0!</v>
      </c>
      <c r="J51" s="74" t="e">
        <f>data3!G46*$B$6/J$6</f>
        <v>#DIV/0!</v>
      </c>
      <c r="K51" s="74" t="e">
        <f>data3!H46*$B$6/K$6</f>
        <v>#DIV/0!</v>
      </c>
      <c r="L51" s="74" t="e">
        <f>data3!I46*$B$6/L$6</f>
        <v>#DIV/0!</v>
      </c>
      <c r="M51" s="74" t="e">
        <f>data3!J46*$B$6/M$6</f>
        <v>#DIV/0!</v>
      </c>
      <c r="N51" s="74" t="e">
        <f>data3!K46*$B$6/N$6</f>
        <v>#DIV/0!</v>
      </c>
      <c r="O51" s="74" t="e">
        <f>data3!L46*$B$6/O$6</f>
        <v>#DIV/0!</v>
      </c>
      <c r="P51" s="74" t="e">
        <f>data3!M46*$B$6/P$6</f>
        <v>#DIV/0!</v>
      </c>
      <c r="Q51" s="74" t="e">
        <f>data3!N46*$B$6/Q$6</f>
        <v>#DIV/0!</v>
      </c>
      <c r="R51" s="74" t="e">
        <f>data3!O46*$B$6/R$6</f>
        <v>#DIV/0!</v>
      </c>
      <c r="S51" s="74" t="e">
        <f>data3!P46*$B$6/S$6</f>
        <v>#DIV/0!</v>
      </c>
      <c r="T51" s="74" t="e">
        <f>data3!Q46*$B$6/T$6</f>
        <v>#DIV/0!</v>
      </c>
      <c r="U51" s="74" t="e">
        <f>data3!R46*$B$6/U$6</f>
        <v>#DIV/0!</v>
      </c>
      <c r="V51" s="74" t="e">
        <f>data3!S46*$B$6/V$6</f>
        <v>#DIV/0!</v>
      </c>
      <c r="W51" s="74" t="e">
        <f>data3!T46*$B$6/W$6</f>
        <v>#DIV/0!</v>
      </c>
      <c r="X51" s="74" t="e">
        <f>data3!U46*$B$6/X$6</f>
        <v>#DIV/0!</v>
      </c>
      <c r="Y51" s="74" t="e">
        <f>data3!V46*$B$6/Y$6</f>
        <v>#DIV/0!</v>
      </c>
      <c r="Z51" s="74" t="e">
        <f>data3!W46*$B$6/Z$6</f>
        <v>#DIV/0!</v>
      </c>
      <c r="AA51" s="74" t="e">
        <f>data3!X46*$B$6/AA$6</f>
        <v>#DIV/0!</v>
      </c>
      <c r="AB51" s="74" t="e">
        <f>data3!Y46*$B$6/AB$6</f>
        <v>#DIV/0!</v>
      </c>
      <c r="AC51" s="74" t="e">
        <f>data3!Z46*$B$6/AC$6</f>
        <v>#DIV/0!</v>
      </c>
      <c r="AD51" s="74" t="e">
        <f>data3!AA46*$B$6/AD$6</f>
        <v>#DIV/0!</v>
      </c>
      <c r="AE51" s="74" t="e">
        <f>data3!AB46*$B$6/AE$6</f>
        <v>#DIV/0!</v>
      </c>
      <c r="AF51" s="74" t="e">
        <f>data3!AC46*$B$6/AF$6</f>
        <v>#DIV/0!</v>
      </c>
      <c r="AG51" s="74" t="e">
        <f>data3!AD46*$B$6/AG$6</f>
        <v>#DIV/0!</v>
      </c>
      <c r="AH51" s="74" t="e">
        <f>data3!AE46*$B$6/AH$6</f>
        <v>#DIV/0!</v>
      </c>
      <c r="AI51" s="74" t="e">
        <f>data3!AF46*$B$6/AI$6</f>
        <v>#DIV/0!</v>
      </c>
      <c r="AJ51" s="74" t="e">
        <f>data3!AG46*$B$6/AJ$6</f>
        <v>#DIV/0!</v>
      </c>
    </row>
    <row r="52" spans="1:36">
      <c r="A52" s="29">
        <f>data0!A47</f>
        <v>45</v>
      </c>
      <c r="B52" s="74" t="e">
        <f>AVERAGE(data3!B47:AG47)</f>
        <v>#DIV/0!</v>
      </c>
      <c r="C52" s="74" t="e">
        <f t="shared" si="0"/>
        <v>#DIV/0!</v>
      </c>
      <c r="D52" s="74" t="e">
        <f t="shared" si="1"/>
        <v>#DIV/0!</v>
      </c>
      <c r="E52" s="74" t="e">
        <f>data3!B47*$B$6/E$6</f>
        <v>#DIV/0!</v>
      </c>
      <c r="F52" s="74" t="e">
        <f>data3!C47*$B$6/F$6</f>
        <v>#DIV/0!</v>
      </c>
      <c r="G52" s="74" t="e">
        <f>data3!D47*$B$6/G$6</f>
        <v>#DIV/0!</v>
      </c>
      <c r="H52" s="74" t="e">
        <f>data3!E47*$B$6/H$6</f>
        <v>#DIV/0!</v>
      </c>
      <c r="I52" s="74" t="e">
        <f>data3!F47*$B$6/I$6</f>
        <v>#DIV/0!</v>
      </c>
      <c r="J52" s="74" t="e">
        <f>data3!G47*$B$6/J$6</f>
        <v>#DIV/0!</v>
      </c>
      <c r="K52" s="74" t="e">
        <f>data3!H47*$B$6/K$6</f>
        <v>#DIV/0!</v>
      </c>
      <c r="L52" s="74" t="e">
        <f>data3!I47*$B$6/L$6</f>
        <v>#DIV/0!</v>
      </c>
      <c r="M52" s="74" t="e">
        <f>data3!J47*$B$6/M$6</f>
        <v>#DIV/0!</v>
      </c>
      <c r="N52" s="74" t="e">
        <f>data3!K47*$B$6/N$6</f>
        <v>#DIV/0!</v>
      </c>
      <c r="O52" s="74" t="e">
        <f>data3!L47*$B$6/O$6</f>
        <v>#DIV/0!</v>
      </c>
      <c r="P52" s="74" t="e">
        <f>data3!M47*$B$6/P$6</f>
        <v>#DIV/0!</v>
      </c>
      <c r="Q52" s="74" t="e">
        <f>data3!N47*$B$6/Q$6</f>
        <v>#DIV/0!</v>
      </c>
      <c r="R52" s="74" t="e">
        <f>data3!O47*$B$6/R$6</f>
        <v>#DIV/0!</v>
      </c>
      <c r="S52" s="74" t="e">
        <f>data3!P47*$B$6/S$6</f>
        <v>#DIV/0!</v>
      </c>
      <c r="T52" s="74" t="e">
        <f>data3!Q47*$B$6/T$6</f>
        <v>#DIV/0!</v>
      </c>
      <c r="U52" s="74" t="e">
        <f>data3!R47*$B$6/U$6</f>
        <v>#DIV/0!</v>
      </c>
      <c r="V52" s="74" t="e">
        <f>data3!S47*$B$6/V$6</f>
        <v>#DIV/0!</v>
      </c>
      <c r="W52" s="74" t="e">
        <f>data3!T47*$B$6/W$6</f>
        <v>#DIV/0!</v>
      </c>
      <c r="X52" s="74" t="e">
        <f>data3!U47*$B$6/X$6</f>
        <v>#DIV/0!</v>
      </c>
      <c r="Y52" s="74" t="e">
        <f>data3!V47*$B$6/Y$6</f>
        <v>#DIV/0!</v>
      </c>
      <c r="Z52" s="74" t="e">
        <f>data3!W47*$B$6/Z$6</f>
        <v>#DIV/0!</v>
      </c>
      <c r="AA52" s="74" t="e">
        <f>data3!X47*$B$6/AA$6</f>
        <v>#DIV/0!</v>
      </c>
      <c r="AB52" s="74" t="e">
        <f>data3!Y47*$B$6/AB$6</f>
        <v>#DIV/0!</v>
      </c>
      <c r="AC52" s="74" t="e">
        <f>data3!Z47*$B$6/AC$6</f>
        <v>#DIV/0!</v>
      </c>
      <c r="AD52" s="74" t="e">
        <f>data3!AA47*$B$6/AD$6</f>
        <v>#DIV/0!</v>
      </c>
      <c r="AE52" s="74" t="e">
        <f>data3!AB47*$B$6/AE$6</f>
        <v>#DIV/0!</v>
      </c>
      <c r="AF52" s="74" t="e">
        <f>data3!AC47*$B$6/AF$6</f>
        <v>#DIV/0!</v>
      </c>
      <c r="AG52" s="74" t="e">
        <f>data3!AD47*$B$6/AG$6</f>
        <v>#DIV/0!</v>
      </c>
      <c r="AH52" s="74" t="e">
        <f>data3!AE47*$B$6/AH$6</f>
        <v>#DIV/0!</v>
      </c>
      <c r="AI52" s="74" t="e">
        <f>data3!AF47*$B$6/AI$6</f>
        <v>#DIV/0!</v>
      </c>
      <c r="AJ52" s="74" t="e">
        <f>data3!AG47*$B$6/AJ$6</f>
        <v>#DIV/0!</v>
      </c>
    </row>
    <row r="53" spans="1:36">
      <c r="A53" s="29">
        <f>data0!A48</f>
        <v>48</v>
      </c>
      <c r="B53" s="74" t="e">
        <f>AVERAGE(data3!B48:AG48)</f>
        <v>#DIV/0!</v>
      </c>
      <c r="C53" s="74" t="e">
        <f t="shared" si="0"/>
        <v>#DIV/0!</v>
      </c>
      <c r="D53" s="74" t="e">
        <f t="shared" si="1"/>
        <v>#DIV/0!</v>
      </c>
      <c r="E53" s="74" t="e">
        <f>data3!B48*$B$6/E$6</f>
        <v>#DIV/0!</v>
      </c>
      <c r="F53" s="74" t="e">
        <f>data3!C48*$B$6/F$6</f>
        <v>#DIV/0!</v>
      </c>
      <c r="G53" s="74" t="e">
        <f>data3!D48*$B$6/G$6</f>
        <v>#DIV/0!</v>
      </c>
      <c r="H53" s="74" t="e">
        <f>data3!E48*$B$6/H$6</f>
        <v>#DIV/0!</v>
      </c>
      <c r="I53" s="74" t="e">
        <f>data3!F48*$B$6/I$6</f>
        <v>#DIV/0!</v>
      </c>
      <c r="J53" s="74" t="e">
        <f>data3!G48*$B$6/J$6</f>
        <v>#DIV/0!</v>
      </c>
      <c r="K53" s="74" t="e">
        <f>data3!H48*$B$6/K$6</f>
        <v>#DIV/0!</v>
      </c>
      <c r="L53" s="74" t="e">
        <f>data3!I48*$B$6/L$6</f>
        <v>#DIV/0!</v>
      </c>
      <c r="M53" s="74" t="e">
        <f>data3!J48*$B$6/M$6</f>
        <v>#DIV/0!</v>
      </c>
      <c r="N53" s="74" t="e">
        <f>data3!K48*$B$6/N$6</f>
        <v>#DIV/0!</v>
      </c>
      <c r="O53" s="74" t="e">
        <f>data3!L48*$B$6/O$6</f>
        <v>#DIV/0!</v>
      </c>
      <c r="P53" s="74" t="e">
        <f>data3!M48*$B$6/P$6</f>
        <v>#DIV/0!</v>
      </c>
      <c r="Q53" s="74" t="e">
        <f>data3!N48*$B$6/Q$6</f>
        <v>#DIV/0!</v>
      </c>
      <c r="R53" s="74" t="e">
        <f>data3!O48*$B$6/R$6</f>
        <v>#DIV/0!</v>
      </c>
      <c r="S53" s="74" t="e">
        <f>data3!P48*$B$6/S$6</f>
        <v>#DIV/0!</v>
      </c>
      <c r="T53" s="74" t="e">
        <f>data3!Q48*$B$6/T$6</f>
        <v>#DIV/0!</v>
      </c>
      <c r="U53" s="74" t="e">
        <f>data3!R48*$B$6/U$6</f>
        <v>#DIV/0!</v>
      </c>
      <c r="V53" s="74" t="e">
        <f>data3!S48*$B$6/V$6</f>
        <v>#DIV/0!</v>
      </c>
      <c r="W53" s="74" t="e">
        <f>data3!T48*$B$6/W$6</f>
        <v>#DIV/0!</v>
      </c>
      <c r="X53" s="74" t="e">
        <f>data3!U48*$B$6/X$6</f>
        <v>#DIV/0!</v>
      </c>
      <c r="Y53" s="74" t="e">
        <f>data3!V48*$B$6/Y$6</f>
        <v>#DIV/0!</v>
      </c>
      <c r="Z53" s="74" t="e">
        <f>data3!W48*$B$6/Z$6</f>
        <v>#DIV/0!</v>
      </c>
      <c r="AA53" s="74" t="e">
        <f>data3!X48*$B$6/AA$6</f>
        <v>#DIV/0!</v>
      </c>
      <c r="AB53" s="74" t="e">
        <f>data3!Y48*$B$6/AB$6</f>
        <v>#DIV/0!</v>
      </c>
      <c r="AC53" s="74" t="e">
        <f>data3!Z48*$B$6/AC$6</f>
        <v>#DIV/0!</v>
      </c>
      <c r="AD53" s="74" t="e">
        <f>data3!AA48*$B$6/AD$6</f>
        <v>#DIV/0!</v>
      </c>
      <c r="AE53" s="74" t="e">
        <f>data3!AB48*$B$6/AE$6</f>
        <v>#DIV/0!</v>
      </c>
      <c r="AF53" s="74" t="e">
        <f>data3!AC48*$B$6/AF$6</f>
        <v>#DIV/0!</v>
      </c>
      <c r="AG53" s="74" t="e">
        <f>data3!AD48*$B$6/AG$6</f>
        <v>#DIV/0!</v>
      </c>
      <c r="AH53" s="74" t="e">
        <f>data3!AE48*$B$6/AH$6</f>
        <v>#DIV/0!</v>
      </c>
      <c r="AI53" s="74" t="e">
        <f>data3!AF48*$B$6/AI$6</f>
        <v>#DIV/0!</v>
      </c>
      <c r="AJ53" s="74" t="e">
        <f>data3!AG48*$B$6/AJ$6</f>
        <v>#DIV/0!</v>
      </c>
    </row>
    <row r="54" spans="1:36">
      <c r="A54" s="29">
        <f>data0!A49</f>
        <v>51</v>
      </c>
      <c r="B54" s="74" t="e">
        <f>AVERAGE(data3!B49:AG49)</f>
        <v>#DIV/0!</v>
      </c>
      <c r="C54" s="74" t="e">
        <f t="shared" si="0"/>
        <v>#DIV/0!</v>
      </c>
      <c r="D54" s="74" t="e">
        <f t="shared" si="1"/>
        <v>#DIV/0!</v>
      </c>
      <c r="E54" s="74" t="e">
        <f>data3!B49*$B$6/E$6</f>
        <v>#DIV/0!</v>
      </c>
      <c r="F54" s="74" t="e">
        <f>data3!C49*$B$6/F$6</f>
        <v>#DIV/0!</v>
      </c>
      <c r="G54" s="74" t="e">
        <f>data3!D49*$B$6/G$6</f>
        <v>#DIV/0!</v>
      </c>
      <c r="H54" s="74" t="e">
        <f>data3!E49*$B$6/H$6</f>
        <v>#DIV/0!</v>
      </c>
      <c r="I54" s="74" t="e">
        <f>data3!F49*$B$6/I$6</f>
        <v>#DIV/0!</v>
      </c>
      <c r="J54" s="74" t="e">
        <f>data3!G49*$B$6/J$6</f>
        <v>#DIV/0!</v>
      </c>
      <c r="K54" s="74" t="e">
        <f>data3!H49*$B$6/K$6</f>
        <v>#DIV/0!</v>
      </c>
      <c r="L54" s="74" t="e">
        <f>data3!I49*$B$6/L$6</f>
        <v>#DIV/0!</v>
      </c>
      <c r="M54" s="74" t="e">
        <f>data3!J49*$B$6/M$6</f>
        <v>#DIV/0!</v>
      </c>
      <c r="N54" s="74" t="e">
        <f>data3!K49*$B$6/N$6</f>
        <v>#DIV/0!</v>
      </c>
      <c r="O54" s="74" t="e">
        <f>data3!L49*$B$6/O$6</f>
        <v>#DIV/0!</v>
      </c>
      <c r="P54" s="74" t="e">
        <f>data3!M49*$B$6/P$6</f>
        <v>#DIV/0!</v>
      </c>
      <c r="Q54" s="74" t="e">
        <f>data3!N49*$B$6/Q$6</f>
        <v>#DIV/0!</v>
      </c>
      <c r="R54" s="74" t="e">
        <f>data3!O49*$B$6/R$6</f>
        <v>#DIV/0!</v>
      </c>
      <c r="S54" s="74" t="e">
        <f>data3!P49*$B$6/S$6</f>
        <v>#DIV/0!</v>
      </c>
      <c r="T54" s="74" t="e">
        <f>data3!Q49*$B$6/T$6</f>
        <v>#DIV/0!</v>
      </c>
      <c r="U54" s="74" t="e">
        <f>data3!R49*$B$6/U$6</f>
        <v>#DIV/0!</v>
      </c>
      <c r="V54" s="74" t="e">
        <f>data3!S49*$B$6/V$6</f>
        <v>#DIV/0!</v>
      </c>
      <c r="W54" s="74" t="e">
        <f>data3!T49*$B$6/W$6</f>
        <v>#DIV/0!</v>
      </c>
      <c r="X54" s="74" t="e">
        <f>data3!U49*$B$6/X$6</f>
        <v>#DIV/0!</v>
      </c>
      <c r="Y54" s="74" t="e">
        <f>data3!V49*$B$6/Y$6</f>
        <v>#DIV/0!</v>
      </c>
      <c r="Z54" s="74" t="e">
        <f>data3!W49*$B$6/Z$6</f>
        <v>#DIV/0!</v>
      </c>
      <c r="AA54" s="74" t="e">
        <f>data3!X49*$B$6/AA$6</f>
        <v>#DIV/0!</v>
      </c>
      <c r="AB54" s="74" t="e">
        <f>data3!Y49*$B$6/AB$6</f>
        <v>#DIV/0!</v>
      </c>
      <c r="AC54" s="74" t="e">
        <f>data3!Z49*$B$6/AC$6</f>
        <v>#DIV/0!</v>
      </c>
      <c r="AD54" s="74" t="e">
        <f>data3!AA49*$B$6/AD$6</f>
        <v>#DIV/0!</v>
      </c>
      <c r="AE54" s="74" t="e">
        <f>data3!AB49*$B$6/AE$6</f>
        <v>#DIV/0!</v>
      </c>
      <c r="AF54" s="74" t="e">
        <f>data3!AC49*$B$6/AF$6</f>
        <v>#DIV/0!</v>
      </c>
      <c r="AG54" s="74" t="e">
        <f>data3!AD49*$B$6/AG$6</f>
        <v>#DIV/0!</v>
      </c>
      <c r="AH54" s="74" t="e">
        <f>data3!AE49*$B$6/AH$6</f>
        <v>#DIV/0!</v>
      </c>
      <c r="AI54" s="74" t="e">
        <f>data3!AF49*$B$6/AI$6</f>
        <v>#DIV/0!</v>
      </c>
      <c r="AJ54" s="74" t="e">
        <f>data3!AG49*$B$6/AJ$6</f>
        <v>#DIV/0!</v>
      </c>
    </row>
    <row r="55" spans="1:36">
      <c r="A55" s="29">
        <f>data0!A50</f>
        <v>54</v>
      </c>
      <c r="B55" s="74" t="e">
        <f>AVERAGE(data3!B50:AG50)</f>
        <v>#DIV/0!</v>
      </c>
      <c r="C55" s="74" t="e">
        <f t="shared" si="0"/>
        <v>#DIV/0!</v>
      </c>
      <c r="D55" s="74" t="e">
        <f t="shared" si="1"/>
        <v>#DIV/0!</v>
      </c>
      <c r="E55" s="74" t="e">
        <f>data3!B50*$B$6/E$6</f>
        <v>#DIV/0!</v>
      </c>
      <c r="F55" s="74" t="e">
        <f>data3!C50*$B$6/F$6</f>
        <v>#DIV/0!</v>
      </c>
      <c r="G55" s="74" t="e">
        <f>data3!D50*$B$6/G$6</f>
        <v>#DIV/0!</v>
      </c>
      <c r="H55" s="74" t="e">
        <f>data3!E50*$B$6/H$6</f>
        <v>#DIV/0!</v>
      </c>
      <c r="I55" s="74" t="e">
        <f>data3!F50*$B$6/I$6</f>
        <v>#DIV/0!</v>
      </c>
      <c r="J55" s="74" t="e">
        <f>data3!G50*$B$6/J$6</f>
        <v>#DIV/0!</v>
      </c>
      <c r="K55" s="74" t="e">
        <f>data3!H50*$B$6/K$6</f>
        <v>#DIV/0!</v>
      </c>
      <c r="L55" s="74" t="e">
        <f>data3!I50*$B$6/L$6</f>
        <v>#DIV/0!</v>
      </c>
      <c r="M55" s="74" t="e">
        <f>data3!J50*$B$6/M$6</f>
        <v>#DIV/0!</v>
      </c>
      <c r="N55" s="74" t="e">
        <f>data3!K50*$B$6/N$6</f>
        <v>#DIV/0!</v>
      </c>
      <c r="O55" s="74" t="e">
        <f>data3!L50*$B$6/O$6</f>
        <v>#DIV/0!</v>
      </c>
      <c r="P55" s="74" t="e">
        <f>data3!M50*$B$6/P$6</f>
        <v>#DIV/0!</v>
      </c>
      <c r="Q55" s="74" t="e">
        <f>data3!N50*$B$6/Q$6</f>
        <v>#DIV/0!</v>
      </c>
      <c r="R55" s="74" t="e">
        <f>data3!O50*$B$6/R$6</f>
        <v>#DIV/0!</v>
      </c>
      <c r="S55" s="74" t="e">
        <f>data3!P50*$B$6/S$6</f>
        <v>#DIV/0!</v>
      </c>
      <c r="T55" s="74" t="e">
        <f>data3!Q50*$B$6/T$6</f>
        <v>#DIV/0!</v>
      </c>
      <c r="U55" s="74" t="e">
        <f>data3!R50*$B$6/U$6</f>
        <v>#DIV/0!</v>
      </c>
      <c r="V55" s="74" t="e">
        <f>data3!S50*$B$6/V$6</f>
        <v>#DIV/0!</v>
      </c>
      <c r="W55" s="74" t="e">
        <f>data3!T50*$B$6/W$6</f>
        <v>#DIV/0!</v>
      </c>
      <c r="X55" s="74" t="e">
        <f>data3!U50*$B$6/X$6</f>
        <v>#DIV/0!</v>
      </c>
      <c r="Y55" s="74" t="e">
        <f>data3!V50*$B$6/Y$6</f>
        <v>#DIV/0!</v>
      </c>
      <c r="Z55" s="74" t="e">
        <f>data3!W50*$B$6/Z$6</f>
        <v>#DIV/0!</v>
      </c>
      <c r="AA55" s="74" t="e">
        <f>data3!X50*$B$6/AA$6</f>
        <v>#DIV/0!</v>
      </c>
      <c r="AB55" s="74" t="e">
        <f>data3!Y50*$B$6/AB$6</f>
        <v>#DIV/0!</v>
      </c>
      <c r="AC55" s="74" t="e">
        <f>data3!Z50*$B$6/AC$6</f>
        <v>#DIV/0!</v>
      </c>
      <c r="AD55" s="74" t="e">
        <f>data3!AA50*$B$6/AD$6</f>
        <v>#DIV/0!</v>
      </c>
      <c r="AE55" s="74" t="e">
        <f>data3!AB50*$B$6/AE$6</f>
        <v>#DIV/0!</v>
      </c>
      <c r="AF55" s="74" t="e">
        <f>data3!AC50*$B$6/AF$6</f>
        <v>#DIV/0!</v>
      </c>
      <c r="AG55" s="74" t="e">
        <f>data3!AD50*$B$6/AG$6</f>
        <v>#DIV/0!</v>
      </c>
      <c r="AH55" s="74" t="e">
        <f>data3!AE50*$B$6/AH$6</f>
        <v>#DIV/0!</v>
      </c>
      <c r="AI55" s="74" t="e">
        <f>data3!AF50*$B$6/AI$6</f>
        <v>#DIV/0!</v>
      </c>
      <c r="AJ55" s="74" t="e">
        <f>data3!AG50*$B$6/AJ$6</f>
        <v>#DIV/0!</v>
      </c>
    </row>
    <row r="56" spans="1:36">
      <c r="A56" s="29">
        <f>data0!A51</f>
        <v>57</v>
      </c>
      <c r="B56" s="74" t="e">
        <f>AVERAGE(data3!B51:AG51)</f>
        <v>#DIV/0!</v>
      </c>
      <c r="C56" s="74" t="e">
        <f t="shared" si="0"/>
        <v>#DIV/0!</v>
      </c>
      <c r="D56" s="74" t="e">
        <f t="shared" si="1"/>
        <v>#DIV/0!</v>
      </c>
      <c r="E56" s="74" t="e">
        <f>data3!B51*$B$6/E$6</f>
        <v>#DIV/0!</v>
      </c>
      <c r="F56" s="74" t="e">
        <f>data3!C51*$B$6/F$6</f>
        <v>#DIV/0!</v>
      </c>
      <c r="G56" s="74" t="e">
        <f>data3!D51*$B$6/G$6</f>
        <v>#DIV/0!</v>
      </c>
      <c r="H56" s="74" t="e">
        <f>data3!E51*$B$6/H$6</f>
        <v>#DIV/0!</v>
      </c>
      <c r="I56" s="74" t="e">
        <f>data3!F51*$B$6/I$6</f>
        <v>#DIV/0!</v>
      </c>
      <c r="J56" s="74" t="e">
        <f>data3!G51*$B$6/J$6</f>
        <v>#DIV/0!</v>
      </c>
      <c r="K56" s="74" t="e">
        <f>data3!H51*$B$6/K$6</f>
        <v>#DIV/0!</v>
      </c>
      <c r="L56" s="74" t="e">
        <f>data3!I51*$B$6/L$6</f>
        <v>#DIV/0!</v>
      </c>
      <c r="M56" s="74" t="e">
        <f>data3!J51*$B$6/M$6</f>
        <v>#DIV/0!</v>
      </c>
      <c r="N56" s="74" t="e">
        <f>data3!K51*$B$6/N$6</f>
        <v>#DIV/0!</v>
      </c>
      <c r="O56" s="74" t="e">
        <f>data3!L51*$B$6/O$6</f>
        <v>#DIV/0!</v>
      </c>
      <c r="P56" s="74" t="e">
        <f>data3!M51*$B$6/P$6</f>
        <v>#DIV/0!</v>
      </c>
      <c r="Q56" s="74" t="e">
        <f>data3!N51*$B$6/Q$6</f>
        <v>#DIV/0!</v>
      </c>
      <c r="R56" s="74" t="e">
        <f>data3!O51*$B$6/R$6</f>
        <v>#DIV/0!</v>
      </c>
      <c r="S56" s="74" t="e">
        <f>data3!P51*$B$6/S$6</f>
        <v>#DIV/0!</v>
      </c>
      <c r="T56" s="74" t="e">
        <f>data3!Q51*$B$6/T$6</f>
        <v>#DIV/0!</v>
      </c>
      <c r="U56" s="74" t="e">
        <f>data3!R51*$B$6/U$6</f>
        <v>#DIV/0!</v>
      </c>
      <c r="V56" s="74" t="e">
        <f>data3!S51*$B$6/V$6</f>
        <v>#DIV/0!</v>
      </c>
      <c r="W56" s="74" t="e">
        <f>data3!T51*$B$6/W$6</f>
        <v>#DIV/0!</v>
      </c>
      <c r="X56" s="74" t="e">
        <f>data3!U51*$B$6/X$6</f>
        <v>#DIV/0!</v>
      </c>
      <c r="Y56" s="74" t="e">
        <f>data3!V51*$B$6/Y$6</f>
        <v>#DIV/0!</v>
      </c>
      <c r="Z56" s="74" t="e">
        <f>data3!W51*$B$6/Z$6</f>
        <v>#DIV/0!</v>
      </c>
      <c r="AA56" s="74" t="e">
        <f>data3!X51*$B$6/AA$6</f>
        <v>#DIV/0!</v>
      </c>
      <c r="AB56" s="74" t="e">
        <f>data3!Y51*$B$6/AB$6</f>
        <v>#DIV/0!</v>
      </c>
      <c r="AC56" s="74" t="e">
        <f>data3!Z51*$B$6/AC$6</f>
        <v>#DIV/0!</v>
      </c>
      <c r="AD56" s="74" t="e">
        <f>data3!AA51*$B$6/AD$6</f>
        <v>#DIV/0!</v>
      </c>
      <c r="AE56" s="74" t="e">
        <f>data3!AB51*$B$6/AE$6</f>
        <v>#DIV/0!</v>
      </c>
      <c r="AF56" s="74" t="e">
        <f>data3!AC51*$B$6/AF$6</f>
        <v>#DIV/0!</v>
      </c>
      <c r="AG56" s="74" t="e">
        <f>data3!AD51*$B$6/AG$6</f>
        <v>#DIV/0!</v>
      </c>
      <c r="AH56" s="74" t="e">
        <f>data3!AE51*$B$6/AH$6</f>
        <v>#DIV/0!</v>
      </c>
      <c r="AI56" s="74" t="e">
        <f>data3!AF51*$B$6/AI$6</f>
        <v>#DIV/0!</v>
      </c>
      <c r="AJ56" s="74" t="e">
        <f>data3!AG51*$B$6/AJ$6</f>
        <v>#DIV/0!</v>
      </c>
    </row>
    <row r="57" spans="1:36">
      <c r="A57" s="29">
        <f>data0!A52</f>
        <v>60</v>
      </c>
      <c r="B57" s="74" t="e">
        <f>AVERAGE(data3!B52:AG52)</f>
        <v>#DIV/0!</v>
      </c>
      <c r="C57" s="74" t="e">
        <f t="shared" si="0"/>
        <v>#DIV/0!</v>
      </c>
      <c r="D57" s="74" t="e">
        <f t="shared" si="1"/>
        <v>#DIV/0!</v>
      </c>
      <c r="E57" s="74" t="e">
        <f>data3!B52*$B$6/E$6</f>
        <v>#DIV/0!</v>
      </c>
      <c r="F57" s="74" t="e">
        <f>data3!C52*$B$6/F$6</f>
        <v>#DIV/0!</v>
      </c>
      <c r="G57" s="74" t="e">
        <f>data3!D52*$B$6/G$6</f>
        <v>#DIV/0!</v>
      </c>
      <c r="H57" s="74" t="e">
        <f>data3!E52*$B$6/H$6</f>
        <v>#DIV/0!</v>
      </c>
      <c r="I57" s="74" t="e">
        <f>data3!F52*$B$6/I$6</f>
        <v>#DIV/0!</v>
      </c>
      <c r="J57" s="74" t="e">
        <f>data3!G52*$B$6/J$6</f>
        <v>#DIV/0!</v>
      </c>
      <c r="K57" s="74" t="e">
        <f>data3!H52*$B$6/K$6</f>
        <v>#DIV/0!</v>
      </c>
      <c r="L57" s="74" t="e">
        <f>data3!I52*$B$6/L$6</f>
        <v>#DIV/0!</v>
      </c>
      <c r="M57" s="74" t="e">
        <f>data3!J52*$B$6/M$6</f>
        <v>#DIV/0!</v>
      </c>
      <c r="N57" s="74" t="e">
        <f>data3!K52*$B$6/N$6</f>
        <v>#DIV/0!</v>
      </c>
      <c r="O57" s="74" t="e">
        <f>data3!L52*$B$6/O$6</f>
        <v>#DIV/0!</v>
      </c>
      <c r="P57" s="74" t="e">
        <f>data3!M52*$B$6/P$6</f>
        <v>#DIV/0!</v>
      </c>
      <c r="Q57" s="74" t="e">
        <f>data3!N52*$B$6/Q$6</f>
        <v>#DIV/0!</v>
      </c>
      <c r="R57" s="74" t="e">
        <f>data3!O52*$B$6/R$6</f>
        <v>#DIV/0!</v>
      </c>
      <c r="S57" s="74" t="e">
        <f>data3!P52*$B$6/S$6</f>
        <v>#DIV/0!</v>
      </c>
      <c r="T57" s="74" t="e">
        <f>data3!Q52*$B$6/T$6</f>
        <v>#DIV/0!</v>
      </c>
      <c r="U57" s="74" t="e">
        <f>data3!R52*$B$6/U$6</f>
        <v>#DIV/0!</v>
      </c>
      <c r="V57" s="74" t="e">
        <f>data3!S52*$B$6/V$6</f>
        <v>#DIV/0!</v>
      </c>
      <c r="W57" s="74" t="e">
        <f>data3!T52*$B$6/W$6</f>
        <v>#DIV/0!</v>
      </c>
      <c r="X57" s="74" t="e">
        <f>data3!U52*$B$6/X$6</f>
        <v>#DIV/0!</v>
      </c>
      <c r="Y57" s="74" t="e">
        <f>data3!V52*$B$6/Y$6</f>
        <v>#DIV/0!</v>
      </c>
      <c r="Z57" s="74" t="e">
        <f>data3!W52*$B$6/Z$6</f>
        <v>#DIV/0!</v>
      </c>
      <c r="AA57" s="74" t="e">
        <f>data3!X52*$B$6/AA$6</f>
        <v>#DIV/0!</v>
      </c>
      <c r="AB57" s="74" t="e">
        <f>data3!Y52*$B$6/AB$6</f>
        <v>#DIV/0!</v>
      </c>
      <c r="AC57" s="74" t="e">
        <f>data3!Z52*$B$6/AC$6</f>
        <v>#DIV/0!</v>
      </c>
      <c r="AD57" s="74" t="e">
        <f>data3!AA52*$B$6/AD$6</f>
        <v>#DIV/0!</v>
      </c>
      <c r="AE57" s="74" t="e">
        <f>data3!AB52*$B$6/AE$6</f>
        <v>#DIV/0!</v>
      </c>
      <c r="AF57" s="74" t="e">
        <f>data3!AC52*$B$6/AF$6</f>
        <v>#DIV/0!</v>
      </c>
      <c r="AG57" s="74" t="e">
        <f>data3!AD52*$B$6/AG$6</f>
        <v>#DIV/0!</v>
      </c>
      <c r="AH57" s="74" t="e">
        <f>data3!AE52*$B$6/AH$6</f>
        <v>#DIV/0!</v>
      </c>
      <c r="AI57" s="74" t="e">
        <f>data3!AF52*$B$6/AI$6</f>
        <v>#DIV/0!</v>
      </c>
      <c r="AJ57" s="74" t="e">
        <f>data3!AG52*$B$6/AJ$6</f>
        <v>#DIV/0!</v>
      </c>
    </row>
    <row r="58" spans="1:36">
      <c r="A58" s="29">
        <f>data0!A53</f>
        <v>63</v>
      </c>
      <c r="B58" s="74" t="e">
        <f>AVERAGE(data3!B53:AG53)</f>
        <v>#DIV/0!</v>
      </c>
      <c r="C58" s="74" t="e">
        <f t="shared" si="0"/>
        <v>#DIV/0!</v>
      </c>
      <c r="D58" s="74" t="e">
        <f t="shared" si="1"/>
        <v>#DIV/0!</v>
      </c>
      <c r="E58" s="74" t="e">
        <f>data3!B53*$B$6/E$6</f>
        <v>#DIV/0!</v>
      </c>
      <c r="F58" s="74" t="e">
        <f>data3!C53*$B$6/F$6</f>
        <v>#DIV/0!</v>
      </c>
      <c r="G58" s="74" t="e">
        <f>data3!D53*$B$6/G$6</f>
        <v>#DIV/0!</v>
      </c>
      <c r="H58" s="74" t="e">
        <f>data3!E53*$B$6/H$6</f>
        <v>#DIV/0!</v>
      </c>
      <c r="I58" s="74" t="e">
        <f>data3!F53*$B$6/I$6</f>
        <v>#DIV/0!</v>
      </c>
      <c r="J58" s="74" t="e">
        <f>data3!G53*$B$6/J$6</f>
        <v>#DIV/0!</v>
      </c>
      <c r="K58" s="74" t="e">
        <f>data3!H53*$B$6/K$6</f>
        <v>#DIV/0!</v>
      </c>
      <c r="L58" s="74" t="e">
        <f>data3!I53*$B$6/L$6</f>
        <v>#DIV/0!</v>
      </c>
      <c r="M58" s="74" t="e">
        <f>data3!J53*$B$6/M$6</f>
        <v>#DIV/0!</v>
      </c>
      <c r="N58" s="74" t="e">
        <f>data3!K53*$B$6/N$6</f>
        <v>#DIV/0!</v>
      </c>
      <c r="O58" s="74" t="e">
        <f>data3!L53*$B$6/O$6</f>
        <v>#DIV/0!</v>
      </c>
      <c r="P58" s="74" t="e">
        <f>data3!M53*$B$6/P$6</f>
        <v>#DIV/0!</v>
      </c>
      <c r="Q58" s="74" t="e">
        <f>data3!N53*$B$6/Q$6</f>
        <v>#DIV/0!</v>
      </c>
      <c r="R58" s="74" t="e">
        <f>data3!O53*$B$6/R$6</f>
        <v>#DIV/0!</v>
      </c>
      <c r="S58" s="74" t="e">
        <f>data3!P53*$B$6/S$6</f>
        <v>#DIV/0!</v>
      </c>
      <c r="T58" s="74" t="e">
        <f>data3!Q53*$B$6/T$6</f>
        <v>#DIV/0!</v>
      </c>
      <c r="U58" s="74" t="e">
        <f>data3!R53*$B$6/U$6</f>
        <v>#DIV/0!</v>
      </c>
      <c r="V58" s="74" t="e">
        <f>data3!S53*$B$6/V$6</f>
        <v>#DIV/0!</v>
      </c>
      <c r="W58" s="74" t="e">
        <f>data3!T53*$B$6/W$6</f>
        <v>#DIV/0!</v>
      </c>
      <c r="X58" s="74" t="e">
        <f>data3!U53*$B$6/X$6</f>
        <v>#DIV/0!</v>
      </c>
      <c r="Y58" s="74" t="e">
        <f>data3!V53*$B$6/Y$6</f>
        <v>#DIV/0!</v>
      </c>
      <c r="Z58" s="74" t="e">
        <f>data3!W53*$B$6/Z$6</f>
        <v>#DIV/0!</v>
      </c>
      <c r="AA58" s="74" t="e">
        <f>data3!X53*$B$6/AA$6</f>
        <v>#DIV/0!</v>
      </c>
      <c r="AB58" s="74" t="e">
        <f>data3!Y53*$B$6/AB$6</f>
        <v>#DIV/0!</v>
      </c>
      <c r="AC58" s="74" t="e">
        <f>data3!Z53*$B$6/AC$6</f>
        <v>#DIV/0!</v>
      </c>
      <c r="AD58" s="74" t="e">
        <f>data3!AA53*$B$6/AD$6</f>
        <v>#DIV/0!</v>
      </c>
      <c r="AE58" s="74" t="e">
        <f>data3!AB53*$B$6/AE$6</f>
        <v>#DIV/0!</v>
      </c>
      <c r="AF58" s="74" t="e">
        <f>data3!AC53*$B$6/AF$6</f>
        <v>#DIV/0!</v>
      </c>
      <c r="AG58" s="74" t="e">
        <f>data3!AD53*$B$6/AG$6</f>
        <v>#DIV/0!</v>
      </c>
      <c r="AH58" s="74" t="e">
        <f>data3!AE53*$B$6/AH$6</f>
        <v>#DIV/0!</v>
      </c>
      <c r="AI58" s="74" t="e">
        <f>data3!AF53*$B$6/AI$6</f>
        <v>#DIV/0!</v>
      </c>
      <c r="AJ58" s="74" t="e">
        <f>data3!AG53*$B$6/AJ$6</f>
        <v>#DIV/0!</v>
      </c>
    </row>
    <row r="59" spans="1:36">
      <c r="A59" s="29">
        <f>data0!A54</f>
        <v>66</v>
      </c>
      <c r="B59" s="74" t="e">
        <f>AVERAGE(data3!B54:AG54)</f>
        <v>#DIV/0!</v>
      </c>
      <c r="C59" s="74" t="e">
        <f t="shared" si="0"/>
        <v>#DIV/0!</v>
      </c>
      <c r="D59" s="74" t="e">
        <f t="shared" si="1"/>
        <v>#DIV/0!</v>
      </c>
      <c r="E59" s="74" t="e">
        <f>data3!B54*$B$6/E$6</f>
        <v>#DIV/0!</v>
      </c>
      <c r="F59" s="74" t="e">
        <f>data3!C54*$B$6/F$6</f>
        <v>#DIV/0!</v>
      </c>
      <c r="G59" s="74" t="e">
        <f>data3!D54*$B$6/G$6</f>
        <v>#DIV/0!</v>
      </c>
      <c r="H59" s="74" t="e">
        <f>data3!E54*$B$6/H$6</f>
        <v>#DIV/0!</v>
      </c>
      <c r="I59" s="74" t="e">
        <f>data3!F54*$B$6/I$6</f>
        <v>#DIV/0!</v>
      </c>
      <c r="J59" s="74" t="e">
        <f>data3!G54*$B$6/J$6</f>
        <v>#DIV/0!</v>
      </c>
      <c r="K59" s="74" t="e">
        <f>data3!H54*$B$6/K$6</f>
        <v>#DIV/0!</v>
      </c>
      <c r="L59" s="74" t="e">
        <f>data3!I54*$B$6/L$6</f>
        <v>#DIV/0!</v>
      </c>
      <c r="M59" s="74" t="e">
        <f>data3!J54*$B$6/M$6</f>
        <v>#DIV/0!</v>
      </c>
      <c r="N59" s="74" t="e">
        <f>data3!K54*$B$6/N$6</f>
        <v>#DIV/0!</v>
      </c>
      <c r="O59" s="74" t="e">
        <f>data3!L54*$B$6/O$6</f>
        <v>#DIV/0!</v>
      </c>
      <c r="P59" s="74" t="e">
        <f>data3!M54*$B$6/P$6</f>
        <v>#DIV/0!</v>
      </c>
      <c r="Q59" s="74" t="e">
        <f>data3!N54*$B$6/Q$6</f>
        <v>#DIV/0!</v>
      </c>
      <c r="R59" s="74" t="e">
        <f>data3!O54*$B$6/R$6</f>
        <v>#DIV/0!</v>
      </c>
      <c r="S59" s="74" t="e">
        <f>data3!P54*$B$6/S$6</f>
        <v>#DIV/0!</v>
      </c>
      <c r="T59" s="74" t="e">
        <f>data3!Q54*$B$6/T$6</f>
        <v>#DIV/0!</v>
      </c>
      <c r="U59" s="74" t="e">
        <f>data3!R54*$B$6/U$6</f>
        <v>#DIV/0!</v>
      </c>
      <c r="V59" s="74" t="e">
        <f>data3!S54*$B$6/V$6</f>
        <v>#DIV/0!</v>
      </c>
      <c r="W59" s="74" t="e">
        <f>data3!T54*$B$6/W$6</f>
        <v>#DIV/0!</v>
      </c>
      <c r="X59" s="74" t="e">
        <f>data3!U54*$B$6/X$6</f>
        <v>#DIV/0!</v>
      </c>
      <c r="Y59" s="74" t="e">
        <f>data3!V54*$B$6/Y$6</f>
        <v>#DIV/0!</v>
      </c>
      <c r="Z59" s="74" t="e">
        <f>data3!W54*$B$6/Z$6</f>
        <v>#DIV/0!</v>
      </c>
      <c r="AA59" s="74" t="e">
        <f>data3!X54*$B$6/AA$6</f>
        <v>#DIV/0!</v>
      </c>
      <c r="AB59" s="74" t="e">
        <f>data3!Y54*$B$6/AB$6</f>
        <v>#DIV/0!</v>
      </c>
      <c r="AC59" s="74" t="e">
        <f>data3!Z54*$B$6/AC$6</f>
        <v>#DIV/0!</v>
      </c>
      <c r="AD59" s="74" t="e">
        <f>data3!AA54*$B$6/AD$6</f>
        <v>#DIV/0!</v>
      </c>
      <c r="AE59" s="74" t="e">
        <f>data3!AB54*$B$6/AE$6</f>
        <v>#DIV/0!</v>
      </c>
      <c r="AF59" s="74" t="e">
        <f>data3!AC54*$B$6/AF$6</f>
        <v>#DIV/0!</v>
      </c>
      <c r="AG59" s="74" t="e">
        <f>data3!AD54*$B$6/AG$6</f>
        <v>#DIV/0!</v>
      </c>
      <c r="AH59" s="74" t="e">
        <f>data3!AE54*$B$6/AH$6</f>
        <v>#DIV/0!</v>
      </c>
      <c r="AI59" s="74" t="e">
        <f>data3!AF54*$B$6/AI$6</f>
        <v>#DIV/0!</v>
      </c>
      <c r="AJ59" s="74" t="e">
        <f>data3!AG54*$B$6/AJ$6</f>
        <v>#DIV/0!</v>
      </c>
    </row>
    <row r="60" spans="1:36">
      <c r="A60" s="29">
        <f>data0!A55</f>
        <v>69</v>
      </c>
      <c r="B60" s="74" t="e">
        <f>AVERAGE(data3!B55:AG55)</f>
        <v>#DIV/0!</v>
      </c>
      <c r="C60" s="74" t="e">
        <f t="shared" si="0"/>
        <v>#DIV/0!</v>
      </c>
      <c r="D60" s="74" t="e">
        <f t="shared" si="1"/>
        <v>#DIV/0!</v>
      </c>
      <c r="E60" s="74" t="e">
        <f>data3!B55*$B$6/E$6</f>
        <v>#DIV/0!</v>
      </c>
      <c r="F60" s="74" t="e">
        <f>data3!C55*$B$6/F$6</f>
        <v>#DIV/0!</v>
      </c>
      <c r="G60" s="74" t="e">
        <f>data3!D55*$B$6/G$6</f>
        <v>#DIV/0!</v>
      </c>
      <c r="H60" s="74" t="e">
        <f>data3!E55*$B$6/H$6</f>
        <v>#DIV/0!</v>
      </c>
      <c r="I60" s="74" t="e">
        <f>data3!F55*$B$6/I$6</f>
        <v>#DIV/0!</v>
      </c>
      <c r="J60" s="74" t="e">
        <f>data3!G55*$B$6/J$6</f>
        <v>#DIV/0!</v>
      </c>
      <c r="K60" s="74" t="e">
        <f>data3!H55*$B$6/K$6</f>
        <v>#DIV/0!</v>
      </c>
      <c r="L60" s="74" t="e">
        <f>data3!I55*$B$6/L$6</f>
        <v>#DIV/0!</v>
      </c>
      <c r="M60" s="74" t="e">
        <f>data3!J55*$B$6/M$6</f>
        <v>#DIV/0!</v>
      </c>
      <c r="N60" s="74" t="e">
        <f>data3!K55*$B$6/N$6</f>
        <v>#DIV/0!</v>
      </c>
      <c r="O60" s="74" t="e">
        <f>data3!L55*$B$6/O$6</f>
        <v>#DIV/0!</v>
      </c>
      <c r="P60" s="74" t="e">
        <f>data3!M55*$B$6/P$6</f>
        <v>#DIV/0!</v>
      </c>
      <c r="Q60" s="74" t="e">
        <f>data3!N55*$B$6/Q$6</f>
        <v>#DIV/0!</v>
      </c>
      <c r="R60" s="74" t="e">
        <f>data3!O55*$B$6/R$6</f>
        <v>#DIV/0!</v>
      </c>
      <c r="S60" s="74" t="e">
        <f>data3!P55*$B$6/S$6</f>
        <v>#DIV/0!</v>
      </c>
      <c r="T60" s="74" t="e">
        <f>data3!Q55*$B$6/T$6</f>
        <v>#DIV/0!</v>
      </c>
      <c r="U60" s="74" t="e">
        <f>data3!R55*$B$6/U$6</f>
        <v>#DIV/0!</v>
      </c>
      <c r="V60" s="74" t="e">
        <f>data3!S55*$B$6/V$6</f>
        <v>#DIV/0!</v>
      </c>
      <c r="W60" s="74" t="e">
        <f>data3!T55*$B$6/W$6</f>
        <v>#DIV/0!</v>
      </c>
      <c r="X60" s="74" t="e">
        <f>data3!U55*$B$6/X$6</f>
        <v>#DIV/0!</v>
      </c>
      <c r="Y60" s="74" t="e">
        <f>data3!V55*$B$6/Y$6</f>
        <v>#DIV/0!</v>
      </c>
      <c r="Z60" s="74" t="e">
        <f>data3!W55*$B$6/Z$6</f>
        <v>#DIV/0!</v>
      </c>
      <c r="AA60" s="74" t="e">
        <f>data3!X55*$B$6/AA$6</f>
        <v>#DIV/0!</v>
      </c>
      <c r="AB60" s="74" t="e">
        <f>data3!Y55*$B$6/AB$6</f>
        <v>#DIV/0!</v>
      </c>
      <c r="AC60" s="74" t="e">
        <f>data3!Z55*$B$6/AC$6</f>
        <v>#DIV/0!</v>
      </c>
      <c r="AD60" s="74" t="e">
        <f>data3!AA55*$B$6/AD$6</f>
        <v>#DIV/0!</v>
      </c>
      <c r="AE60" s="74" t="e">
        <f>data3!AB55*$B$6/AE$6</f>
        <v>#DIV/0!</v>
      </c>
      <c r="AF60" s="74" t="e">
        <f>data3!AC55*$B$6/AF$6</f>
        <v>#DIV/0!</v>
      </c>
      <c r="AG60" s="74" t="e">
        <f>data3!AD55*$B$6/AG$6</f>
        <v>#DIV/0!</v>
      </c>
      <c r="AH60" s="74" t="e">
        <f>data3!AE55*$B$6/AH$6</f>
        <v>#DIV/0!</v>
      </c>
      <c r="AI60" s="74" t="e">
        <f>data3!AF55*$B$6/AI$6</f>
        <v>#DIV/0!</v>
      </c>
      <c r="AJ60" s="74" t="e">
        <f>data3!AG55*$B$6/AJ$6</f>
        <v>#DIV/0!</v>
      </c>
    </row>
    <row r="61" spans="1:36">
      <c r="A61" s="29">
        <f>data0!A56</f>
        <v>72</v>
      </c>
      <c r="B61" s="74" t="e">
        <f>AVERAGE(data3!B56:AG56)</f>
        <v>#DIV/0!</v>
      </c>
      <c r="C61" s="74" t="e">
        <f t="shared" si="0"/>
        <v>#DIV/0!</v>
      </c>
      <c r="D61" s="74" t="e">
        <f t="shared" si="1"/>
        <v>#DIV/0!</v>
      </c>
      <c r="E61" s="74" t="e">
        <f>data3!B56*$B$6/E$6</f>
        <v>#DIV/0!</v>
      </c>
      <c r="F61" s="74" t="e">
        <f>data3!C56*$B$6/F$6</f>
        <v>#DIV/0!</v>
      </c>
      <c r="G61" s="74" t="e">
        <f>data3!D56*$B$6/G$6</f>
        <v>#DIV/0!</v>
      </c>
      <c r="H61" s="74" t="e">
        <f>data3!E56*$B$6/H$6</f>
        <v>#DIV/0!</v>
      </c>
      <c r="I61" s="74" t="e">
        <f>data3!F56*$B$6/I$6</f>
        <v>#DIV/0!</v>
      </c>
      <c r="J61" s="74" t="e">
        <f>data3!G56*$B$6/J$6</f>
        <v>#DIV/0!</v>
      </c>
      <c r="K61" s="74" t="e">
        <f>data3!H56*$B$6/K$6</f>
        <v>#DIV/0!</v>
      </c>
      <c r="L61" s="74" t="e">
        <f>data3!I56*$B$6/L$6</f>
        <v>#DIV/0!</v>
      </c>
      <c r="M61" s="74" t="e">
        <f>data3!J56*$B$6/M$6</f>
        <v>#DIV/0!</v>
      </c>
      <c r="N61" s="74" t="e">
        <f>data3!K56*$B$6/N$6</f>
        <v>#DIV/0!</v>
      </c>
      <c r="O61" s="74" t="e">
        <f>data3!L56*$B$6/O$6</f>
        <v>#DIV/0!</v>
      </c>
      <c r="P61" s="74" t="e">
        <f>data3!M56*$B$6/P$6</f>
        <v>#DIV/0!</v>
      </c>
      <c r="Q61" s="74" t="e">
        <f>data3!N56*$B$6/Q$6</f>
        <v>#DIV/0!</v>
      </c>
      <c r="R61" s="74" t="e">
        <f>data3!O56*$B$6/R$6</f>
        <v>#DIV/0!</v>
      </c>
      <c r="S61" s="74" t="e">
        <f>data3!P56*$B$6/S$6</f>
        <v>#DIV/0!</v>
      </c>
      <c r="T61" s="74" t="e">
        <f>data3!Q56*$B$6/T$6</f>
        <v>#DIV/0!</v>
      </c>
      <c r="U61" s="74" t="e">
        <f>data3!R56*$B$6/U$6</f>
        <v>#DIV/0!</v>
      </c>
      <c r="V61" s="74" t="e">
        <f>data3!S56*$B$6/V$6</f>
        <v>#DIV/0!</v>
      </c>
      <c r="W61" s="74" t="e">
        <f>data3!T56*$B$6/W$6</f>
        <v>#DIV/0!</v>
      </c>
      <c r="X61" s="74" t="e">
        <f>data3!U56*$B$6/X$6</f>
        <v>#DIV/0!</v>
      </c>
      <c r="Y61" s="74" t="e">
        <f>data3!V56*$B$6/Y$6</f>
        <v>#DIV/0!</v>
      </c>
      <c r="Z61" s="74" t="e">
        <f>data3!W56*$B$6/Z$6</f>
        <v>#DIV/0!</v>
      </c>
      <c r="AA61" s="74" t="e">
        <f>data3!X56*$B$6/AA$6</f>
        <v>#DIV/0!</v>
      </c>
      <c r="AB61" s="74" t="e">
        <f>data3!Y56*$B$6/AB$6</f>
        <v>#DIV/0!</v>
      </c>
      <c r="AC61" s="74" t="e">
        <f>data3!Z56*$B$6/AC$6</f>
        <v>#DIV/0!</v>
      </c>
      <c r="AD61" s="74" t="e">
        <f>data3!AA56*$B$6/AD$6</f>
        <v>#DIV/0!</v>
      </c>
      <c r="AE61" s="74" t="e">
        <f>data3!AB56*$B$6/AE$6</f>
        <v>#DIV/0!</v>
      </c>
      <c r="AF61" s="74" t="e">
        <f>data3!AC56*$B$6/AF$6</f>
        <v>#DIV/0!</v>
      </c>
      <c r="AG61" s="74" t="e">
        <f>data3!AD56*$B$6/AG$6</f>
        <v>#DIV/0!</v>
      </c>
      <c r="AH61" s="74" t="e">
        <f>data3!AE56*$B$6/AH$6</f>
        <v>#DIV/0!</v>
      </c>
      <c r="AI61" s="74" t="e">
        <f>data3!AF56*$B$6/AI$6</f>
        <v>#DIV/0!</v>
      </c>
      <c r="AJ61" s="74" t="e">
        <f>data3!AG56*$B$6/AJ$6</f>
        <v>#DIV/0!</v>
      </c>
    </row>
    <row r="62" spans="1:36">
      <c r="A62" s="29">
        <f>data0!A57</f>
        <v>75</v>
      </c>
      <c r="B62" s="74" t="e">
        <f>AVERAGE(data3!B57:AG57)</f>
        <v>#DIV/0!</v>
      </c>
      <c r="C62" s="74" t="e">
        <f t="shared" si="0"/>
        <v>#DIV/0!</v>
      </c>
      <c r="D62" s="74" t="e">
        <f t="shared" si="1"/>
        <v>#DIV/0!</v>
      </c>
      <c r="E62" s="74" t="e">
        <f>data3!B57*$B$6/E$6</f>
        <v>#DIV/0!</v>
      </c>
      <c r="F62" s="74" t="e">
        <f>data3!C57*$B$6/F$6</f>
        <v>#DIV/0!</v>
      </c>
      <c r="G62" s="74" t="e">
        <f>data3!D57*$B$6/G$6</f>
        <v>#DIV/0!</v>
      </c>
      <c r="H62" s="74" t="e">
        <f>data3!E57*$B$6/H$6</f>
        <v>#DIV/0!</v>
      </c>
      <c r="I62" s="74" t="e">
        <f>data3!F57*$B$6/I$6</f>
        <v>#DIV/0!</v>
      </c>
      <c r="J62" s="74" t="e">
        <f>data3!G57*$B$6/J$6</f>
        <v>#DIV/0!</v>
      </c>
      <c r="K62" s="74" t="e">
        <f>data3!H57*$B$6/K$6</f>
        <v>#DIV/0!</v>
      </c>
      <c r="L62" s="74" t="e">
        <f>data3!I57*$B$6/L$6</f>
        <v>#DIV/0!</v>
      </c>
      <c r="M62" s="74" t="e">
        <f>data3!J57*$B$6/M$6</f>
        <v>#DIV/0!</v>
      </c>
      <c r="N62" s="74" t="e">
        <f>data3!K57*$B$6/N$6</f>
        <v>#DIV/0!</v>
      </c>
      <c r="O62" s="74" t="e">
        <f>data3!L57*$B$6/O$6</f>
        <v>#DIV/0!</v>
      </c>
      <c r="P62" s="74" t="e">
        <f>data3!M57*$B$6/P$6</f>
        <v>#DIV/0!</v>
      </c>
      <c r="Q62" s="74" t="e">
        <f>data3!N57*$B$6/Q$6</f>
        <v>#DIV/0!</v>
      </c>
      <c r="R62" s="74" t="e">
        <f>data3!O57*$B$6/R$6</f>
        <v>#DIV/0!</v>
      </c>
      <c r="S62" s="74" t="e">
        <f>data3!P57*$B$6/S$6</f>
        <v>#DIV/0!</v>
      </c>
      <c r="T62" s="74" t="e">
        <f>data3!Q57*$B$6/T$6</f>
        <v>#DIV/0!</v>
      </c>
      <c r="U62" s="74" t="e">
        <f>data3!R57*$B$6/U$6</f>
        <v>#DIV/0!</v>
      </c>
      <c r="V62" s="74" t="e">
        <f>data3!S57*$B$6/V$6</f>
        <v>#DIV/0!</v>
      </c>
      <c r="W62" s="74" t="e">
        <f>data3!T57*$B$6/W$6</f>
        <v>#DIV/0!</v>
      </c>
      <c r="X62" s="74" t="e">
        <f>data3!U57*$B$6/X$6</f>
        <v>#DIV/0!</v>
      </c>
      <c r="Y62" s="74" t="e">
        <f>data3!V57*$B$6/Y$6</f>
        <v>#DIV/0!</v>
      </c>
      <c r="Z62" s="74" t="e">
        <f>data3!W57*$B$6/Z$6</f>
        <v>#DIV/0!</v>
      </c>
      <c r="AA62" s="74" t="e">
        <f>data3!X57*$B$6/AA$6</f>
        <v>#DIV/0!</v>
      </c>
      <c r="AB62" s="74" t="e">
        <f>data3!Y57*$B$6/AB$6</f>
        <v>#DIV/0!</v>
      </c>
      <c r="AC62" s="74" t="e">
        <f>data3!Z57*$B$6/AC$6</f>
        <v>#DIV/0!</v>
      </c>
      <c r="AD62" s="74" t="e">
        <f>data3!AA57*$B$6/AD$6</f>
        <v>#DIV/0!</v>
      </c>
      <c r="AE62" s="74" t="e">
        <f>data3!AB57*$B$6/AE$6</f>
        <v>#DIV/0!</v>
      </c>
      <c r="AF62" s="74" t="e">
        <f>data3!AC57*$B$6/AF$6</f>
        <v>#DIV/0!</v>
      </c>
      <c r="AG62" s="74" t="e">
        <f>data3!AD57*$B$6/AG$6</f>
        <v>#DIV/0!</v>
      </c>
      <c r="AH62" s="74" t="e">
        <f>data3!AE57*$B$6/AH$6</f>
        <v>#DIV/0!</v>
      </c>
      <c r="AI62" s="74" t="e">
        <f>data3!AF57*$B$6/AI$6</f>
        <v>#DIV/0!</v>
      </c>
      <c r="AJ62" s="74" t="e">
        <f>data3!AG57*$B$6/AJ$6</f>
        <v>#DIV/0!</v>
      </c>
    </row>
    <row r="63" spans="1:36">
      <c r="A63" s="29">
        <f>data0!A58</f>
        <v>78</v>
      </c>
      <c r="B63" s="74" t="e">
        <f>AVERAGE(data3!B58:AG58)</f>
        <v>#DIV/0!</v>
      </c>
      <c r="C63" s="74" t="e">
        <f t="shared" si="0"/>
        <v>#DIV/0!</v>
      </c>
      <c r="D63" s="74" t="e">
        <f t="shared" si="1"/>
        <v>#DIV/0!</v>
      </c>
      <c r="E63" s="74" t="e">
        <f>data3!B58*$B$6/E$6</f>
        <v>#DIV/0!</v>
      </c>
      <c r="F63" s="74" t="e">
        <f>data3!C58*$B$6/F$6</f>
        <v>#DIV/0!</v>
      </c>
      <c r="G63" s="74" t="e">
        <f>data3!D58*$B$6/G$6</f>
        <v>#DIV/0!</v>
      </c>
      <c r="H63" s="74" t="e">
        <f>data3!E58*$B$6/H$6</f>
        <v>#DIV/0!</v>
      </c>
      <c r="I63" s="74" t="e">
        <f>data3!F58*$B$6/I$6</f>
        <v>#DIV/0!</v>
      </c>
      <c r="J63" s="74" t="e">
        <f>data3!G58*$B$6/J$6</f>
        <v>#DIV/0!</v>
      </c>
      <c r="K63" s="74" t="e">
        <f>data3!H58*$B$6/K$6</f>
        <v>#DIV/0!</v>
      </c>
      <c r="L63" s="74" t="e">
        <f>data3!I58*$B$6/L$6</f>
        <v>#DIV/0!</v>
      </c>
      <c r="M63" s="74" t="e">
        <f>data3!J58*$B$6/M$6</f>
        <v>#DIV/0!</v>
      </c>
      <c r="N63" s="74" t="e">
        <f>data3!K58*$B$6/N$6</f>
        <v>#DIV/0!</v>
      </c>
      <c r="O63" s="74" t="e">
        <f>data3!L58*$B$6/O$6</f>
        <v>#DIV/0!</v>
      </c>
      <c r="P63" s="74" t="e">
        <f>data3!M58*$B$6/P$6</f>
        <v>#DIV/0!</v>
      </c>
      <c r="Q63" s="74" t="e">
        <f>data3!N58*$B$6/Q$6</f>
        <v>#DIV/0!</v>
      </c>
      <c r="R63" s="74" t="e">
        <f>data3!O58*$B$6/R$6</f>
        <v>#DIV/0!</v>
      </c>
      <c r="S63" s="74" t="e">
        <f>data3!P58*$B$6/S$6</f>
        <v>#DIV/0!</v>
      </c>
      <c r="T63" s="74" t="e">
        <f>data3!Q58*$B$6/T$6</f>
        <v>#DIV/0!</v>
      </c>
      <c r="U63" s="74" t="e">
        <f>data3!R58*$B$6/U$6</f>
        <v>#DIV/0!</v>
      </c>
      <c r="V63" s="74" t="e">
        <f>data3!S58*$B$6/V$6</f>
        <v>#DIV/0!</v>
      </c>
      <c r="W63" s="74" t="e">
        <f>data3!T58*$B$6/W$6</f>
        <v>#DIV/0!</v>
      </c>
      <c r="X63" s="74" t="e">
        <f>data3!U58*$B$6/X$6</f>
        <v>#DIV/0!</v>
      </c>
      <c r="Y63" s="74" t="e">
        <f>data3!V58*$B$6/Y$6</f>
        <v>#DIV/0!</v>
      </c>
      <c r="Z63" s="74" t="e">
        <f>data3!W58*$B$6/Z$6</f>
        <v>#DIV/0!</v>
      </c>
      <c r="AA63" s="74" t="e">
        <f>data3!X58*$B$6/AA$6</f>
        <v>#DIV/0!</v>
      </c>
      <c r="AB63" s="74" t="e">
        <f>data3!Y58*$B$6/AB$6</f>
        <v>#DIV/0!</v>
      </c>
      <c r="AC63" s="74" t="e">
        <f>data3!Z58*$B$6/AC$6</f>
        <v>#DIV/0!</v>
      </c>
      <c r="AD63" s="74" t="e">
        <f>data3!AA58*$B$6/AD$6</f>
        <v>#DIV/0!</v>
      </c>
      <c r="AE63" s="74" t="e">
        <f>data3!AB58*$B$6/AE$6</f>
        <v>#DIV/0!</v>
      </c>
      <c r="AF63" s="74" t="e">
        <f>data3!AC58*$B$6/AF$6</f>
        <v>#DIV/0!</v>
      </c>
      <c r="AG63" s="74" t="e">
        <f>data3!AD58*$B$6/AG$6</f>
        <v>#DIV/0!</v>
      </c>
      <c r="AH63" s="74" t="e">
        <f>data3!AE58*$B$6/AH$6</f>
        <v>#DIV/0!</v>
      </c>
      <c r="AI63" s="74" t="e">
        <f>data3!AF58*$B$6/AI$6</f>
        <v>#DIV/0!</v>
      </c>
      <c r="AJ63" s="74" t="e">
        <f>data3!AG58*$B$6/AJ$6</f>
        <v>#DIV/0!</v>
      </c>
    </row>
    <row r="64" spans="1:36">
      <c r="A64" s="29">
        <f>data0!A59</f>
        <v>81</v>
      </c>
      <c r="B64" s="74" t="e">
        <f>AVERAGE(data3!B59:AG59)</f>
        <v>#DIV/0!</v>
      </c>
      <c r="C64" s="74" t="e">
        <f t="shared" si="0"/>
        <v>#DIV/0!</v>
      </c>
      <c r="D64" s="74" t="e">
        <f t="shared" si="1"/>
        <v>#DIV/0!</v>
      </c>
      <c r="E64" s="74" t="e">
        <f>data3!B59*$B$6/E$6</f>
        <v>#DIV/0!</v>
      </c>
      <c r="F64" s="74" t="e">
        <f>data3!C59*$B$6/F$6</f>
        <v>#DIV/0!</v>
      </c>
      <c r="G64" s="74" t="e">
        <f>data3!D59*$B$6/G$6</f>
        <v>#DIV/0!</v>
      </c>
      <c r="H64" s="74" t="e">
        <f>data3!E59*$B$6/H$6</f>
        <v>#DIV/0!</v>
      </c>
      <c r="I64" s="74" t="e">
        <f>data3!F59*$B$6/I$6</f>
        <v>#DIV/0!</v>
      </c>
      <c r="J64" s="74" t="e">
        <f>data3!G59*$B$6/J$6</f>
        <v>#DIV/0!</v>
      </c>
      <c r="K64" s="74" t="e">
        <f>data3!H59*$B$6/K$6</f>
        <v>#DIV/0!</v>
      </c>
      <c r="L64" s="74" t="e">
        <f>data3!I59*$B$6/L$6</f>
        <v>#DIV/0!</v>
      </c>
      <c r="M64" s="74" t="e">
        <f>data3!J59*$B$6/M$6</f>
        <v>#DIV/0!</v>
      </c>
      <c r="N64" s="74" t="e">
        <f>data3!K59*$B$6/N$6</f>
        <v>#DIV/0!</v>
      </c>
      <c r="O64" s="74" t="e">
        <f>data3!L59*$B$6/O$6</f>
        <v>#DIV/0!</v>
      </c>
      <c r="P64" s="74" t="e">
        <f>data3!M59*$B$6/P$6</f>
        <v>#DIV/0!</v>
      </c>
      <c r="Q64" s="74" t="e">
        <f>data3!N59*$B$6/Q$6</f>
        <v>#DIV/0!</v>
      </c>
      <c r="R64" s="74" t="e">
        <f>data3!O59*$B$6/R$6</f>
        <v>#DIV/0!</v>
      </c>
      <c r="S64" s="74" t="e">
        <f>data3!P59*$B$6/S$6</f>
        <v>#DIV/0!</v>
      </c>
      <c r="T64" s="74" t="e">
        <f>data3!Q59*$B$6/T$6</f>
        <v>#DIV/0!</v>
      </c>
      <c r="U64" s="74" t="e">
        <f>data3!R59*$B$6/U$6</f>
        <v>#DIV/0!</v>
      </c>
      <c r="V64" s="74" t="e">
        <f>data3!S59*$B$6/V$6</f>
        <v>#DIV/0!</v>
      </c>
      <c r="W64" s="74" t="e">
        <f>data3!T59*$B$6/W$6</f>
        <v>#DIV/0!</v>
      </c>
      <c r="X64" s="74" t="e">
        <f>data3!U59*$B$6/X$6</f>
        <v>#DIV/0!</v>
      </c>
      <c r="Y64" s="74" t="e">
        <f>data3!V59*$B$6/Y$6</f>
        <v>#DIV/0!</v>
      </c>
      <c r="Z64" s="74" t="e">
        <f>data3!W59*$B$6/Z$6</f>
        <v>#DIV/0!</v>
      </c>
      <c r="AA64" s="74" t="e">
        <f>data3!X59*$B$6/AA$6</f>
        <v>#DIV/0!</v>
      </c>
      <c r="AB64" s="74" t="e">
        <f>data3!Y59*$B$6/AB$6</f>
        <v>#DIV/0!</v>
      </c>
      <c r="AC64" s="74" t="e">
        <f>data3!Z59*$B$6/AC$6</f>
        <v>#DIV/0!</v>
      </c>
      <c r="AD64" s="74" t="e">
        <f>data3!AA59*$B$6/AD$6</f>
        <v>#DIV/0!</v>
      </c>
      <c r="AE64" s="74" t="e">
        <f>data3!AB59*$B$6/AE$6</f>
        <v>#DIV/0!</v>
      </c>
      <c r="AF64" s="74" t="e">
        <f>data3!AC59*$B$6/AF$6</f>
        <v>#DIV/0!</v>
      </c>
      <c r="AG64" s="74" t="e">
        <f>data3!AD59*$B$6/AG$6</f>
        <v>#DIV/0!</v>
      </c>
      <c r="AH64" s="74" t="e">
        <f>data3!AE59*$B$6/AH$6</f>
        <v>#DIV/0!</v>
      </c>
      <c r="AI64" s="74" t="e">
        <f>data3!AF59*$B$6/AI$6</f>
        <v>#DIV/0!</v>
      </c>
      <c r="AJ64" s="74" t="e">
        <f>data3!AG59*$B$6/AJ$6</f>
        <v>#DIV/0!</v>
      </c>
    </row>
    <row r="65" spans="1:36">
      <c r="A65" s="29">
        <f>data0!A60</f>
        <v>84</v>
      </c>
      <c r="B65" s="74" t="e">
        <f>AVERAGE(data3!B60:AG60)</f>
        <v>#DIV/0!</v>
      </c>
      <c r="C65" s="74" t="e">
        <f t="shared" si="0"/>
        <v>#DIV/0!</v>
      </c>
      <c r="D65" s="74" t="e">
        <f t="shared" si="1"/>
        <v>#DIV/0!</v>
      </c>
      <c r="E65" s="74" t="e">
        <f>data3!B60*$B$6/E$6</f>
        <v>#DIV/0!</v>
      </c>
      <c r="F65" s="74" t="e">
        <f>data3!C60*$B$6/F$6</f>
        <v>#DIV/0!</v>
      </c>
      <c r="G65" s="74" t="e">
        <f>data3!D60*$B$6/G$6</f>
        <v>#DIV/0!</v>
      </c>
      <c r="H65" s="74" t="e">
        <f>data3!E60*$B$6/H$6</f>
        <v>#DIV/0!</v>
      </c>
      <c r="I65" s="74" t="e">
        <f>data3!F60*$B$6/I$6</f>
        <v>#DIV/0!</v>
      </c>
      <c r="J65" s="74" t="e">
        <f>data3!G60*$B$6/J$6</f>
        <v>#DIV/0!</v>
      </c>
      <c r="K65" s="74" t="e">
        <f>data3!H60*$B$6/K$6</f>
        <v>#DIV/0!</v>
      </c>
      <c r="L65" s="74" t="e">
        <f>data3!I60*$B$6/L$6</f>
        <v>#DIV/0!</v>
      </c>
      <c r="M65" s="74" t="e">
        <f>data3!J60*$B$6/M$6</f>
        <v>#DIV/0!</v>
      </c>
      <c r="N65" s="74" t="e">
        <f>data3!K60*$B$6/N$6</f>
        <v>#DIV/0!</v>
      </c>
      <c r="O65" s="74" t="e">
        <f>data3!L60*$B$6/O$6</f>
        <v>#DIV/0!</v>
      </c>
      <c r="P65" s="74" t="e">
        <f>data3!M60*$B$6/P$6</f>
        <v>#DIV/0!</v>
      </c>
      <c r="Q65" s="74" t="e">
        <f>data3!N60*$B$6/Q$6</f>
        <v>#DIV/0!</v>
      </c>
      <c r="R65" s="74" t="e">
        <f>data3!O60*$B$6/R$6</f>
        <v>#DIV/0!</v>
      </c>
      <c r="S65" s="74" t="e">
        <f>data3!P60*$B$6/S$6</f>
        <v>#DIV/0!</v>
      </c>
      <c r="T65" s="74" t="e">
        <f>data3!Q60*$B$6/T$6</f>
        <v>#DIV/0!</v>
      </c>
      <c r="U65" s="74" t="e">
        <f>data3!R60*$B$6/U$6</f>
        <v>#DIV/0!</v>
      </c>
      <c r="V65" s="74" t="e">
        <f>data3!S60*$B$6/V$6</f>
        <v>#DIV/0!</v>
      </c>
      <c r="W65" s="74" t="e">
        <f>data3!T60*$B$6/W$6</f>
        <v>#DIV/0!</v>
      </c>
      <c r="X65" s="74" t="e">
        <f>data3!U60*$B$6/X$6</f>
        <v>#DIV/0!</v>
      </c>
      <c r="Y65" s="74" t="e">
        <f>data3!V60*$B$6/Y$6</f>
        <v>#DIV/0!</v>
      </c>
      <c r="Z65" s="74" t="e">
        <f>data3!W60*$B$6/Z$6</f>
        <v>#DIV/0!</v>
      </c>
      <c r="AA65" s="74" t="e">
        <f>data3!X60*$B$6/AA$6</f>
        <v>#DIV/0!</v>
      </c>
      <c r="AB65" s="74" t="e">
        <f>data3!Y60*$B$6/AB$6</f>
        <v>#DIV/0!</v>
      </c>
      <c r="AC65" s="74" t="e">
        <f>data3!Z60*$B$6/AC$6</f>
        <v>#DIV/0!</v>
      </c>
      <c r="AD65" s="74" t="e">
        <f>data3!AA60*$B$6/AD$6</f>
        <v>#DIV/0!</v>
      </c>
      <c r="AE65" s="74" t="e">
        <f>data3!AB60*$B$6/AE$6</f>
        <v>#DIV/0!</v>
      </c>
      <c r="AF65" s="74" t="e">
        <f>data3!AC60*$B$6/AF$6</f>
        <v>#DIV/0!</v>
      </c>
      <c r="AG65" s="74" t="e">
        <f>data3!AD60*$B$6/AG$6</f>
        <v>#DIV/0!</v>
      </c>
      <c r="AH65" s="74" t="e">
        <f>data3!AE60*$B$6/AH$6</f>
        <v>#DIV/0!</v>
      </c>
      <c r="AI65" s="74" t="e">
        <f>data3!AF60*$B$6/AI$6</f>
        <v>#DIV/0!</v>
      </c>
      <c r="AJ65" s="74" t="e">
        <f>data3!AG60*$B$6/AJ$6</f>
        <v>#DIV/0!</v>
      </c>
    </row>
    <row r="66" spans="1:36">
      <c r="A66" s="29">
        <f>data0!A61</f>
        <v>87</v>
      </c>
      <c r="B66" s="74" t="e">
        <f>AVERAGE(data3!B61:AG61)</f>
        <v>#DIV/0!</v>
      </c>
      <c r="C66" s="74" t="e">
        <f t="shared" si="0"/>
        <v>#DIV/0!</v>
      </c>
      <c r="D66" s="74" t="e">
        <f t="shared" si="1"/>
        <v>#DIV/0!</v>
      </c>
      <c r="E66" s="74" t="e">
        <f>data3!B61*$B$6/E$6</f>
        <v>#DIV/0!</v>
      </c>
      <c r="F66" s="74" t="e">
        <f>data3!C61*$B$6/F$6</f>
        <v>#DIV/0!</v>
      </c>
      <c r="G66" s="74" t="e">
        <f>data3!D61*$B$6/G$6</f>
        <v>#DIV/0!</v>
      </c>
      <c r="H66" s="74" t="e">
        <f>data3!E61*$B$6/H$6</f>
        <v>#DIV/0!</v>
      </c>
      <c r="I66" s="74" t="e">
        <f>data3!F61*$B$6/I$6</f>
        <v>#DIV/0!</v>
      </c>
      <c r="J66" s="74" t="e">
        <f>data3!G61*$B$6/J$6</f>
        <v>#DIV/0!</v>
      </c>
      <c r="K66" s="74" t="e">
        <f>data3!H61*$B$6/K$6</f>
        <v>#DIV/0!</v>
      </c>
      <c r="L66" s="74" t="e">
        <f>data3!I61*$B$6/L$6</f>
        <v>#DIV/0!</v>
      </c>
      <c r="M66" s="74" t="e">
        <f>data3!J61*$B$6/M$6</f>
        <v>#DIV/0!</v>
      </c>
      <c r="N66" s="74" t="e">
        <f>data3!K61*$B$6/N$6</f>
        <v>#DIV/0!</v>
      </c>
      <c r="O66" s="74" t="e">
        <f>data3!L61*$B$6/O$6</f>
        <v>#DIV/0!</v>
      </c>
      <c r="P66" s="74" t="e">
        <f>data3!M61*$B$6/P$6</f>
        <v>#DIV/0!</v>
      </c>
      <c r="Q66" s="74" t="e">
        <f>data3!N61*$B$6/Q$6</f>
        <v>#DIV/0!</v>
      </c>
      <c r="R66" s="74" t="e">
        <f>data3!O61*$B$6/R$6</f>
        <v>#DIV/0!</v>
      </c>
      <c r="S66" s="74" t="e">
        <f>data3!P61*$B$6/S$6</f>
        <v>#DIV/0!</v>
      </c>
      <c r="T66" s="74" t="e">
        <f>data3!Q61*$B$6/T$6</f>
        <v>#DIV/0!</v>
      </c>
      <c r="U66" s="74" t="e">
        <f>data3!R61*$B$6/U$6</f>
        <v>#DIV/0!</v>
      </c>
      <c r="V66" s="74" t="e">
        <f>data3!S61*$B$6/V$6</f>
        <v>#DIV/0!</v>
      </c>
      <c r="W66" s="74" t="e">
        <f>data3!T61*$B$6/W$6</f>
        <v>#DIV/0!</v>
      </c>
      <c r="X66" s="74" t="e">
        <f>data3!U61*$B$6/X$6</f>
        <v>#DIV/0!</v>
      </c>
      <c r="Y66" s="74" t="e">
        <f>data3!V61*$B$6/Y$6</f>
        <v>#DIV/0!</v>
      </c>
      <c r="Z66" s="74" t="e">
        <f>data3!W61*$B$6/Z$6</f>
        <v>#DIV/0!</v>
      </c>
      <c r="AA66" s="74" t="e">
        <f>data3!X61*$B$6/AA$6</f>
        <v>#DIV/0!</v>
      </c>
      <c r="AB66" s="74" t="e">
        <f>data3!Y61*$B$6/AB$6</f>
        <v>#DIV/0!</v>
      </c>
      <c r="AC66" s="74" t="e">
        <f>data3!Z61*$B$6/AC$6</f>
        <v>#DIV/0!</v>
      </c>
      <c r="AD66" s="74" t="e">
        <f>data3!AA61*$B$6/AD$6</f>
        <v>#DIV/0!</v>
      </c>
      <c r="AE66" s="74" t="e">
        <f>data3!AB61*$B$6/AE$6</f>
        <v>#DIV/0!</v>
      </c>
      <c r="AF66" s="74" t="e">
        <f>data3!AC61*$B$6/AF$6</f>
        <v>#DIV/0!</v>
      </c>
      <c r="AG66" s="74" t="e">
        <f>data3!AD61*$B$6/AG$6</f>
        <v>#DIV/0!</v>
      </c>
      <c r="AH66" s="74" t="e">
        <f>data3!AE61*$B$6/AH$6</f>
        <v>#DIV/0!</v>
      </c>
      <c r="AI66" s="74" t="e">
        <f>data3!AF61*$B$6/AI$6</f>
        <v>#DIV/0!</v>
      </c>
      <c r="AJ66" s="74" t="e">
        <f>data3!AG61*$B$6/AJ$6</f>
        <v>#DIV/0!</v>
      </c>
    </row>
    <row r="67" spans="1:36">
      <c r="A67" s="29">
        <f>data0!A62</f>
        <v>90</v>
      </c>
      <c r="B67" s="74" t="e">
        <f>AVERAGE(data3!B62:AG62)</f>
        <v>#DIV/0!</v>
      </c>
      <c r="C67" s="74" t="e">
        <f t="shared" si="0"/>
        <v>#DIV/0!</v>
      </c>
      <c r="D67" s="74" t="e">
        <f t="shared" si="1"/>
        <v>#DIV/0!</v>
      </c>
      <c r="E67" s="74" t="e">
        <f>data3!B62*$B$6/E$6</f>
        <v>#DIV/0!</v>
      </c>
      <c r="F67" s="74" t="e">
        <f>data3!C62*$B$6/F$6</f>
        <v>#DIV/0!</v>
      </c>
      <c r="G67" s="74" t="e">
        <f>data3!D62*$B$6/G$6</f>
        <v>#DIV/0!</v>
      </c>
      <c r="H67" s="74" t="e">
        <f>data3!E62*$B$6/H$6</f>
        <v>#DIV/0!</v>
      </c>
      <c r="I67" s="74" t="e">
        <f>data3!F62*$B$6/I$6</f>
        <v>#DIV/0!</v>
      </c>
      <c r="J67" s="74" t="e">
        <f>data3!G62*$B$6/J$6</f>
        <v>#DIV/0!</v>
      </c>
      <c r="K67" s="74" t="e">
        <f>data3!H62*$B$6/K$6</f>
        <v>#DIV/0!</v>
      </c>
      <c r="L67" s="74" t="e">
        <f>data3!I62*$B$6/L$6</f>
        <v>#DIV/0!</v>
      </c>
      <c r="M67" s="74" t="e">
        <f>data3!J62*$B$6/M$6</f>
        <v>#DIV/0!</v>
      </c>
      <c r="N67" s="74" t="e">
        <f>data3!K62*$B$6/N$6</f>
        <v>#DIV/0!</v>
      </c>
      <c r="O67" s="74" t="e">
        <f>data3!L62*$B$6/O$6</f>
        <v>#DIV/0!</v>
      </c>
      <c r="P67" s="74" t="e">
        <f>data3!M62*$B$6/P$6</f>
        <v>#DIV/0!</v>
      </c>
      <c r="Q67" s="74" t="e">
        <f>data3!N62*$B$6/Q$6</f>
        <v>#DIV/0!</v>
      </c>
      <c r="R67" s="74" t="e">
        <f>data3!O62*$B$6/R$6</f>
        <v>#DIV/0!</v>
      </c>
      <c r="S67" s="74" t="e">
        <f>data3!P62*$B$6/S$6</f>
        <v>#DIV/0!</v>
      </c>
      <c r="T67" s="74" t="e">
        <f>data3!Q62*$B$6/T$6</f>
        <v>#DIV/0!</v>
      </c>
      <c r="U67" s="74" t="e">
        <f>data3!R62*$B$6/U$6</f>
        <v>#DIV/0!</v>
      </c>
      <c r="V67" s="74" t="e">
        <f>data3!S62*$B$6/V$6</f>
        <v>#DIV/0!</v>
      </c>
      <c r="W67" s="74" t="e">
        <f>data3!T62*$B$6/W$6</f>
        <v>#DIV/0!</v>
      </c>
      <c r="X67" s="74" t="e">
        <f>data3!U62*$B$6/X$6</f>
        <v>#DIV/0!</v>
      </c>
      <c r="Y67" s="74" t="e">
        <f>data3!V62*$B$6/Y$6</f>
        <v>#DIV/0!</v>
      </c>
      <c r="Z67" s="74" t="e">
        <f>data3!W62*$B$6/Z$6</f>
        <v>#DIV/0!</v>
      </c>
      <c r="AA67" s="74" t="e">
        <f>data3!X62*$B$6/AA$6</f>
        <v>#DIV/0!</v>
      </c>
      <c r="AB67" s="74" t="e">
        <f>data3!Y62*$B$6/AB$6</f>
        <v>#DIV/0!</v>
      </c>
      <c r="AC67" s="74" t="e">
        <f>data3!Z62*$B$6/AC$6</f>
        <v>#DIV/0!</v>
      </c>
      <c r="AD67" s="74" t="e">
        <f>data3!AA62*$B$6/AD$6</f>
        <v>#DIV/0!</v>
      </c>
      <c r="AE67" s="74" t="e">
        <f>data3!AB62*$B$6/AE$6</f>
        <v>#DIV/0!</v>
      </c>
      <c r="AF67" s="74" t="e">
        <f>data3!AC62*$B$6/AF$6</f>
        <v>#DIV/0!</v>
      </c>
      <c r="AG67" s="74" t="e">
        <f>data3!AD62*$B$6/AG$6</f>
        <v>#DIV/0!</v>
      </c>
      <c r="AH67" s="74" t="e">
        <f>data3!AE62*$B$6/AH$6</f>
        <v>#DIV/0!</v>
      </c>
      <c r="AI67" s="74" t="e">
        <f>data3!AF62*$B$6/AI$6</f>
        <v>#DIV/0!</v>
      </c>
      <c r="AJ67" s="74" t="e">
        <f>data3!AG62*$B$6/AJ$6</f>
        <v>#DIV/0!</v>
      </c>
    </row>
    <row r="68" spans="1:36">
      <c r="B68" s="74"/>
      <c r="C68" s="74"/>
      <c r="D68" s="74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>
      <c r="B69" s="74"/>
      <c r="C69" s="74"/>
      <c r="D69" s="74"/>
      <c r="E69" s="1" t="e">
        <f>MAX(E70:E130)</f>
        <v>#DIV/0!</v>
      </c>
      <c r="F69" s="1" t="e">
        <f t="shared" ref="F69:I69" si="2">MAX(F70:F130)</f>
        <v>#DIV/0!</v>
      </c>
      <c r="G69" s="1" t="e">
        <f t="shared" si="2"/>
        <v>#DIV/0!</v>
      </c>
      <c r="H69" s="1" t="e">
        <f t="shared" si="2"/>
        <v>#DIV/0!</v>
      </c>
      <c r="I69" s="1" t="e">
        <f t="shared" si="2"/>
        <v>#DIV/0!</v>
      </c>
      <c r="J69" s="1" t="e">
        <f t="shared" ref="J69:AJ69" si="3">MAX(J70:J130)</f>
        <v>#DIV/0!</v>
      </c>
      <c r="K69" s="1" t="e">
        <f t="shared" si="3"/>
        <v>#DIV/0!</v>
      </c>
      <c r="L69" s="1" t="e">
        <f t="shared" si="3"/>
        <v>#DIV/0!</v>
      </c>
      <c r="M69" s="1" t="e">
        <f t="shared" si="3"/>
        <v>#DIV/0!</v>
      </c>
      <c r="N69" s="1" t="e">
        <f t="shared" si="3"/>
        <v>#DIV/0!</v>
      </c>
      <c r="O69" s="1" t="e">
        <f t="shared" si="3"/>
        <v>#DIV/0!</v>
      </c>
      <c r="P69" s="1" t="e">
        <f t="shared" si="3"/>
        <v>#DIV/0!</v>
      </c>
      <c r="Q69" s="1" t="e">
        <f t="shared" si="3"/>
        <v>#DIV/0!</v>
      </c>
      <c r="R69" s="1" t="e">
        <f t="shared" si="3"/>
        <v>#DIV/0!</v>
      </c>
      <c r="S69" s="1" t="e">
        <f t="shared" si="3"/>
        <v>#DIV/0!</v>
      </c>
      <c r="T69" s="1" t="e">
        <f t="shared" si="3"/>
        <v>#DIV/0!</v>
      </c>
      <c r="U69" s="1" t="e">
        <f t="shared" si="3"/>
        <v>#DIV/0!</v>
      </c>
      <c r="V69" s="1" t="e">
        <f t="shared" si="3"/>
        <v>#DIV/0!</v>
      </c>
      <c r="W69" s="1" t="e">
        <f t="shared" si="3"/>
        <v>#DIV/0!</v>
      </c>
      <c r="X69" s="1" t="e">
        <f t="shared" si="3"/>
        <v>#DIV/0!</v>
      </c>
      <c r="Y69" s="1" t="e">
        <f t="shared" si="3"/>
        <v>#DIV/0!</v>
      </c>
      <c r="Z69" s="1" t="e">
        <f t="shared" si="3"/>
        <v>#DIV/0!</v>
      </c>
      <c r="AA69" s="1" t="e">
        <f t="shared" si="3"/>
        <v>#DIV/0!</v>
      </c>
      <c r="AB69" s="1" t="e">
        <f t="shared" si="3"/>
        <v>#DIV/0!</v>
      </c>
      <c r="AC69" s="1" t="e">
        <f t="shared" si="3"/>
        <v>#DIV/0!</v>
      </c>
      <c r="AD69" s="1" t="e">
        <f t="shared" si="3"/>
        <v>#DIV/0!</v>
      </c>
      <c r="AE69" s="1" t="e">
        <f t="shared" si="3"/>
        <v>#DIV/0!</v>
      </c>
      <c r="AF69" s="1" t="e">
        <f t="shared" si="3"/>
        <v>#DIV/0!</v>
      </c>
      <c r="AG69" s="1" t="e">
        <f t="shared" si="3"/>
        <v>#DIV/0!</v>
      </c>
      <c r="AH69" s="1" t="e">
        <f t="shared" si="3"/>
        <v>#DIV/0!</v>
      </c>
      <c r="AI69" s="1" t="e">
        <f t="shared" si="3"/>
        <v>#DIV/0!</v>
      </c>
      <c r="AJ69" s="1" t="e">
        <f t="shared" si="3"/>
        <v>#DIV/0!</v>
      </c>
    </row>
    <row r="70" spans="1:36">
      <c r="A70" s="29">
        <f t="shared" ref="A70:A101" si="4">A7</f>
        <v>-90</v>
      </c>
      <c r="B70" s="74"/>
      <c r="C70" s="74"/>
      <c r="D70" s="74"/>
      <c r="E70" s="1" t="e">
        <f t="shared" ref="E70:I79" si="5">(E7-$B7)/$B$4</f>
        <v>#DIV/0!</v>
      </c>
      <c r="F70" s="1" t="e">
        <f t="shared" si="5"/>
        <v>#DIV/0!</v>
      </c>
      <c r="G70" s="1" t="e">
        <f t="shared" si="5"/>
        <v>#DIV/0!</v>
      </c>
      <c r="H70" s="1" t="e">
        <f t="shared" si="5"/>
        <v>#DIV/0!</v>
      </c>
      <c r="I70" s="1" t="e">
        <f t="shared" si="5"/>
        <v>#DIV/0!</v>
      </c>
      <c r="J70" s="1" t="e">
        <f t="shared" ref="J70:AJ70" si="6">(J7-$B7)/$B$4</f>
        <v>#DIV/0!</v>
      </c>
      <c r="K70" s="1" t="e">
        <f t="shared" si="6"/>
        <v>#DIV/0!</v>
      </c>
      <c r="L70" s="1" t="e">
        <f t="shared" si="6"/>
        <v>#DIV/0!</v>
      </c>
      <c r="M70" s="1" t="e">
        <f t="shared" si="6"/>
        <v>#DIV/0!</v>
      </c>
      <c r="N70" s="1" t="e">
        <f t="shared" si="6"/>
        <v>#DIV/0!</v>
      </c>
      <c r="O70" s="1" t="e">
        <f t="shared" si="6"/>
        <v>#DIV/0!</v>
      </c>
      <c r="P70" s="1" t="e">
        <f t="shared" si="6"/>
        <v>#DIV/0!</v>
      </c>
      <c r="Q70" s="1" t="e">
        <f t="shared" si="6"/>
        <v>#DIV/0!</v>
      </c>
      <c r="R70" s="1" t="e">
        <f t="shared" si="6"/>
        <v>#DIV/0!</v>
      </c>
      <c r="S70" s="1" t="e">
        <f t="shared" si="6"/>
        <v>#DIV/0!</v>
      </c>
      <c r="T70" s="1" t="e">
        <f t="shared" si="6"/>
        <v>#DIV/0!</v>
      </c>
      <c r="U70" s="1" t="e">
        <f t="shared" si="6"/>
        <v>#DIV/0!</v>
      </c>
      <c r="V70" s="1" t="e">
        <f t="shared" si="6"/>
        <v>#DIV/0!</v>
      </c>
      <c r="W70" s="1" t="e">
        <f t="shared" si="6"/>
        <v>#DIV/0!</v>
      </c>
      <c r="X70" s="1" t="e">
        <f t="shared" si="6"/>
        <v>#DIV/0!</v>
      </c>
      <c r="Y70" s="1" t="e">
        <f t="shared" si="6"/>
        <v>#DIV/0!</v>
      </c>
      <c r="Z70" s="1" t="e">
        <f t="shared" si="6"/>
        <v>#DIV/0!</v>
      </c>
      <c r="AA70" s="1" t="e">
        <f t="shared" si="6"/>
        <v>#DIV/0!</v>
      </c>
      <c r="AB70" s="1" t="e">
        <f t="shared" si="6"/>
        <v>#DIV/0!</v>
      </c>
      <c r="AC70" s="1" t="e">
        <f t="shared" si="6"/>
        <v>#DIV/0!</v>
      </c>
      <c r="AD70" s="1" t="e">
        <f t="shared" si="6"/>
        <v>#DIV/0!</v>
      </c>
      <c r="AE70" s="1" t="e">
        <f t="shared" si="6"/>
        <v>#DIV/0!</v>
      </c>
      <c r="AF70" s="1" t="e">
        <f t="shared" si="6"/>
        <v>#DIV/0!</v>
      </c>
      <c r="AG70" s="1" t="e">
        <f t="shared" si="6"/>
        <v>#DIV/0!</v>
      </c>
      <c r="AH70" s="1" t="e">
        <f t="shared" si="6"/>
        <v>#DIV/0!</v>
      </c>
      <c r="AI70" s="1" t="e">
        <f t="shared" si="6"/>
        <v>#DIV/0!</v>
      </c>
      <c r="AJ70" s="1" t="e">
        <f t="shared" si="6"/>
        <v>#DIV/0!</v>
      </c>
    </row>
    <row r="71" spans="1:36">
      <c r="A71" s="29">
        <f t="shared" si="4"/>
        <v>-87</v>
      </c>
      <c r="B71" s="74"/>
      <c r="C71" s="74"/>
      <c r="D71" s="74"/>
      <c r="E71" s="1" t="e">
        <f t="shared" si="5"/>
        <v>#DIV/0!</v>
      </c>
      <c r="F71" s="1" t="e">
        <f t="shared" si="5"/>
        <v>#DIV/0!</v>
      </c>
      <c r="G71" s="1" t="e">
        <f t="shared" si="5"/>
        <v>#DIV/0!</v>
      </c>
      <c r="H71" s="1" t="e">
        <f t="shared" si="5"/>
        <v>#DIV/0!</v>
      </c>
      <c r="I71" s="1" t="e">
        <f t="shared" si="5"/>
        <v>#DIV/0!</v>
      </c>
      <c r="J71" s="1" t="e">
        <f t="shared" ref="J71:AJ71" si="7">(J8-$B8)/$B$4</f>
        <v>#DIV/0!</v>
      </c>
      <c r="K71" s="1" t="e">
        <f t="shared" si="7"/>
        <v>#DIV/0!</v>
      </c>
      <c r="L71" s="1" t="e">
        <f t="shared" si="7"/>
        <v>#DIV/0!</v>
      </c>
      <c r="M71" s="1" t="e">
        <f t="shared" si="7"/>
        <v>#DIV/0!</v>
      </c>
      <c r="N71" s="1" t="e">
        <f t="shared" si="7"/>
        <v>#DIV/0!</v>
      </c>
      <c r="O71" s="1" t="e">
        <f t="shared" si="7"/>
        <v>#DIV/0!</v>
      </c>
      <c r="P71" s="1" t="e">
        <f t="shared" si="7"/>
        <v>#DIV/0!</v>
      </c>
      <c r="Q71" s="1" t="e">
        <f t="shared" si="7"/>
        <v>#DIV/0!</v>
      </c>
      <c r="R71" s="1" t="e">
        <f t="shared" si="7"/>
        <v>#DIV/0!</v>
      </c>
      <c r="S71" s="1" t="e">
        <f t="shared" si="7"/>
        <v>#DIV/0!</v>
      </c>
      <c r="T71" s="1" t="e">
        <f t="shared" si="7"/>
        <v>#DIV/0!</v>
      </c>
      <c r="U71" s="1" t="e">
        <f t="shared" si="7"/>
        <v>#DIV/0!</v>
      </c>
      <c r="V71" s="1" t="e">
        <f t="shared" si="7"/>
        <v>#DIV/0!</v>
      </c>
      <c r="W71" s="1" t="e">
        <f t="shared" si="7"/>
        <v>#DIV/0!</v>
      </c>
      <c r="X71" s="1" t="e">
        <f t="shared" si="7"/>
        <v>#DIV/0!</v>
      </c>
      <c r="Y71" s="1" t="e">
        <f t="shared" si="7"/>
        <v>#DIV/0!</v>
      </c>
      <c r="Z71" s="1" t="e">
        <f t="shared" si="7"/>
        <v>#DIV/0!</v>
      </c>
      <c r="AA71" s="1" t="e">
        <f t="shared" si="7"/>
        <v>#DIV/0!</v>
      </c>
      <c r="AB71" s="1" t="e">
        <f t="shared" si="7"/>
        <v>#DIV/0!</v>
      </c>
      <c r="AC71" s="1" t="e">
        <f t="shared" si="7"/>
        <v>#DIV/0!</v>
      </c>
      <c r="AD71" s="1" t="e">
        <f t="shared" si="7"/>
        <v>#DIV/0!</v>
      </c>
      <c r="AE71" s="1" t="e">
        <f t="shared" si="7"/>
        <v>#DIV/0!</v>
      </c>
      <c r="AF71" s="1" t="e">
        <f t="shared" si="7"/>
        <v>#DIV/0!</v>
      </c>
      <c r="AG71" s="1" t="e">
        <f t="shared" si="7"/>
        <v>#DIV/0!</v>
      </c>
      <c r="AH71" s="1" t="e">
        <f t="shared" si="7"/>
        <v>#DIV/0!</v>
      </c>
      <c r="AI71" s="1" t="e">
        <f t="shared" si="7"/>
        <v>#DIV/0!</v>
      </c>
      <c r="AJ71" s="1" t="e">
        <f t="shared" si="7"/>
        <v>#DIV/0!</v>
      </c>
    </row>
    <row r="72" spans="1:36">
      <c r="A72" s="29">
        <f t="shared" si="4"/>
        <v>-84</v>
      </c>
      <c r="B72" s="74"/>
      <c r="C72" s="74"/>
      <c r="D72" s="74"/>
      <c r="E72" s="1" t="e">
        <f t="shared" si="5"/>
        <v>#DIV/0!</v>
      </c>
      <c r="F72" s="1" t="e">
        <f t="shared" si="5"/>
        <v>#DIV/0!</v>
      </c>
      <c r="G72" s="1" t="e">
        <f t="shared" si="5"/>
        <v>#DIV/0!</v>
      </c>
      <c r="H72" s="1" t="e">
        <f t="shared" si="5"/>
        <v>#DIV/0!</v>
      </c>
      <c r="I72" s="1" t="e">
        <f t="shared" si="5"/>
        <v>#DIV/0!</v>
      </c>
      <c r="J72" s="1" t="e">
        <f t="shared" ref="J72:AJ72" si="8">(J9-$B9)/$B$4</f>
        <v>#DIV/0!</v>
      </c>
      <c r="K72" s="1" t="e">
        <f t="shared" si="8"/>
        <v>#DIV/0!</v>
      </c>
      <c r="L72" s="1" t="e">
        <f t="shared" si="8"/>
        <v>#DIV/0!</v>
      </c>
      <c r="M72" s="1" t="e">
        <f t="shared" si="8"/>
        <v>#DIV/0!</v>
      </c>
      <c r="N72" s="1" t="e">
        <f t="shared" si="8"/>
        <v>#DIV/0!</v>
      </c>
      <c r="O72" s="1" t="e">
        <f t="shared" si="8"/>
        <v>#DIV/0!</v>
      </c>
      <c r="P72" s="1" t="e">
        <f t="shared" si="8"/>
        <v>#DIV/0!</v>
      </c>
      <c r="Q72" s="1" t="e">
        <f t="shared" si="8"/>
        <v>#DIV/0!</v>
      </c>
      <c r="R72" s="1" t="e">
        <f t="shared" si="8"/>
        <v>#DIV/0!</v>
      </c>
      <c r="S72" s="1" t="e">
        <f t="shared" si="8"/>
        <v>#DIV/0!</v>
      </c>
      <c r="T72" s="1" t="e">
        <f t="shared" si="8"/>
        <v>#DIV/0!</v>
      </c>
      <c r="U72" s="1" t="e">
        <f t="shared" si="8"/>
        <v>#DIV/0!</v>
      </c>
      <c r="V72" s="1" t="e">
        <f t="shared" si="8"/>
        <v>#DIV/0!</v>
      </c>
      <c r="W72" s="1" t="e">
        <f t="shared" si="8"/>
        <v>#DIV/0!</v>
      </c>
      <c r="X72" s="1" t="e">
        <f t="shared" si="8"/>
        <v>#DIV/0!</v>
      </c>
      <c r="Y72" s="1" t="e">
        <f t="shared" si="8"/>
        <v>#DIV/0!</v>
      </c>
      <c r="Z72" s="1" t="e">
        <f t="shared" si="8"/>
        <v>#DIV/0!</v>
      </c>
      <c r="AA72" s="1" t="e">
        <f t="shared" si="8"/>
        <v>#DIV/0!</v>
      </c>
      <c r="AB72" s="1" t="e">
        <f t="shared" si="8"/>
        <v>#DIV/0!</v>
      </c>
      <c r="AC72" s="1" t="e">
        <f t="shared" si="8"/>
        <v>#DIV/0!</v>
      </c>
      <c r="AD72" s="1" t="e">
        <f t="shared" si="8"/>
        <v>#DIV/0!</v>
      </c>
      <c r="AE72" s="1" t="e">
        <f t="shared" si="8"/>
        <v>#DIV/0!</v>
      </c>
      <c r="AF72" s="1" t="e">
        <f t="shared" si="8"/>
        <v>#DIV/0!</v>
      </c>
      <c r="AG72" s="1" t="e">
        <f t="shared" si="8"/>
        <v>#DIV/0!</v>
      </c>
      <c r="AH72" s="1" t="e">
        <f t="shared" si="8"/>
        <v>#DIV/0!</v>
      </c>
      <c r="AI72" s="1" t="e">
        <f t="shared" si="8"/>
        <v>#DIV/0!</v>
      </c>
      <c r="AJ72" s="1" t="e">
        <f t="shared" si="8"/>
        <v>#DIV/0!</v>
      </c>
    </row>
    <row r="73" spans="1:36">
      <c r="A73" s="29">
        <f t="shared" si="4"/>
        <v>-81</v>
      </c>
      <c r="B73" s="74"/>
      <c r="C73" s="74"/>
      <c r="D73" s="74"/>
      <c r="E73" s="1" t="e">
        <f t="shared" si="5"/>
        <v>#DIV/0!</v>
      </c>
      <c r="F73" s="1" t="e">
        <f t="shared" si="5"/>
        <v>#DIV/0!</v>
      </c>
      <c r="G73" s="1" t="e">
        <f t="shared" si="5"/>
        <v>#DIV/0!</v>
      </c>
      <c r="H73" s="1" t="e">
        <f t="shared" si="5"/>
        <v>#DIV/0!</v>
      </c>
      <c r="I73" s="1" t="e">
        <f t="shared" si="5"/>
        <v>#DIV/0!</v>
      </c>
      <c r="J73" s="1" t="e">
        <f t="shared" ref="J73:AJ73" si="9">(J10-$B10)/$B$4</f>
        <v>#DIV/0!</v>
      </c>
      <c r="K73" s="1" t="e">
        <f t="shared" si="9"/>
        <v>#DIV/0!</v>
      </c>
      <c r="L73" s="1" t="e">
        <f t="shared" si="9"/>
        <v>#DIV/0!</v>
      </c>
      <c r="M73" s="1" t="e">
        <f t="shared" si="9"/>
        <v>#DIV/0!</v>
      </c>
      <c r="N73" s="1" t="e">
        <f t="shared" si="9"/>
        <v>#DIV/0!</v>
      </c>
      <c r="O73" s="1" t="e">
        <f t="shared" si="9"/>
        <v>#DIV/0!</v>
      </c>
      <c r="P73" s="1" t="e">
        <f t="shared" si="9"/>
        <v>#DIV/0!</v>
      </c>
      <c r="Q73" s="1" t="e">
        <f t="shared" si="9"/>
        <v>#DIV/0!</v>
      </c>
      <c r="R73" s="1" t="e">
        <f t="shared" si="9"/>
        <v>#DIV/0!</v>
      </c>
      <c r="S73" s="1" t="e">
        <f t="shared" si="9"/>
        <v>#DIV/0!</v>
      </c>
      <c r="T73" s="1" t="e">
        <f t="shared" si="9"/>
        <v>#DIV/0!</v>
      </c>
      <c r="U73" s="1" t="e">
        <f t="shared" si="9"/>
        <v>#DIV/0!</v>
      </c>
      <c r="V73" s="1" t="e">
        <f t="shared" si="9"/>
        <v>#DIV/0!</v>
      </c>
      <c r="W73" s="1" t="e">
        <f t="shared" si="9"/>
        <v>#DIV/0!</v>
      </c>
      <c r="X73" s="1" t="e">
        <f t="shared" si="9"/>
        <v>#DIV/0!</v>
      </c>
      <c r="Y73" s="1" t="e">
        <f t="shared" si="9"/>
        <v>#DIV/0!</v>
      </c>
      <c r="Z73" s="1" t="e">
        <f t="shared" si="9"/>
        <v>#DIV/0!</v>
      </c>
      <c r="AA73" s="1" t="e">
        <f t="shared" si="9"/>
        <v>#DIV/0!</v>
      </c>
      <c r="AB73" s="1" t="e">
        <f t="shared" si="9"/>
        <v>#DIV/0!</v>
      </c>
      <c r="AC73" s="1" t="e">
        <f t="shared" si="9"/>
        <v>#DIV/0!</v>
      </c>
      <c r="AD73" s="1" t="e">
        <f t="shared" si="9"/>
        <v>#DIV/0!</v>
      </c>
      <c r="AE73" s="1" t="e">
        <f t="shared" si="9"/>
        <v>#DIV/0!</v>
      </c>
      <c r="AF73" s="1" t="e">
        <f t="shared" si="9"/>
        <v>#DIV/0!</v>
      </c>
      <c r="AG73" s="1" t="e">
        <f t="shared" si="9"/>
        <v>#DIV/0!</v>
      </c>
      <c r="AH73" s="1" t="e">
        <f t="shared" si="9"/>
        <v>#DIV/0!</v>
      </c>
      <c r="AI73" s="1" t="e">
        <f t="shared" si="9"/>
        <v>#DIV/0!</v>
      </c>
      <c r="AJ73" s="1" t="e">
        <f t="shared" si="9"/>
        <v>#DIV/0!</v>
      </c>
    </row>
    <row r="74" spans="1:36">
      <c r="A74" s="29">
        <f t="shared" si="4"/>
        <v>-78</v>
      </c>
      <c r="B74" s="74"/>
      <c r="C74" s="74"/>
      <c r="D74" s="74"/>
      <c r="E74" s="1" t="e">
        <f t="shared" si="5"/>
        <v>#DIV/0!</v>
      </c>
      <c r="F74" s="1" t="e">
        <f t="shared" si="5"/>
        <v>#DIV/0!</v>
      </c>
      <c r="G74" s="1" t="e">
        <f t="shared" si="5"/>
        <v>#DIV/0!</v>
      </c>
      <c r="H74" s="1" t="e">
        <f t="shared" si="5"/>
        <v>#DIV/0!</v>
      </c>
      <c r="I74" s="1" t="e">
        <f t="shared" si="5"/>
        <v>#DIV/0!</v>
      </c>
      <c r="J74" s="1" t="e">
        <f t="shared" ref="J74:AJ74" si="10">(J11-$B11)/$B$4</f>
        <v>#DIV/0!</v>
      </c>
      <c r="K74" s="1" t="e">
        <f t="shared" si="10"/>
        <v>#DIV/0!</v>
      </c>
      <c r="L74" s="1" t="e">
        <f t="shared" si="10"/>
        <v>#DIV/0!</v>
      </c>
      <c r="M74" s="1" t="e">
        <f t="shared" si="10"/>
        <v>#DIV/0!</v>
      </c>
      <c r="N74" s="1" t="e">
        <f t="shared" si="10"/>
        <v>#DIV/0!</v>
      </c>
      <c r="O74" s="1" t="e">
        <f t="shared" si="10"/>
        <v>#DIV/0!</v>
      </c>
      <c r="P74" s="1" t="e">
        <f t="shared" si="10"/>
        <v>#DIV/0!</v>
      </c>
      <c r="Q74" s="1" t="e">
        <f t="shared" si="10"/>
        <v>#DIV/0!</v>
      </c>
      <c r="R74" s="1" t="e">
        <f t="shared" si="10"/>
        <v>#DIV/0!</v>
      </c>
      <c r="S74" s="1" t="e">
        <f t="shared" si="10"/>
        <v>#DIV/0!</v>
      </c>
      <c r="T74" s="1" t="e">
        <f t="shared" si="10"/>
        <v>#DIV/0!</v>
      </c>
      <c r="U74" s="1" t="e">
        <f t="shared" si="10"/>
        <v>#DIV/0!</v>
      </c>
      <c r="V74" s="1" t="e">
        <f t="shared" si="10"/>
        <v>#DIV/0!</v>
      </c>
      <c r="W74" s="1" t="e">
        <f t="shared" si="10"/>
        <v>#DIV/0!</v>
      </c>
      <c r="X74" s="1" t="e">
        <f t="shared" si="10"/>
        <v>#DIV/0!</v>
      </c>
      <c r="Y74" s="1" t="e">
        <f t="shared" si="10"/>
        <v>#DIV/0!</v>
      </c>
      <c r="Z74" s="1" t="e">
        <f t="shared" si="10"/>
        <v>#DIV/0!</v>
      </c>
      <c r="AA74" s="1" t="e">
        <f t="shared" si="10"/>
        <v>#DIV/0!</v>
      </c>
      <c r="AB74" s="1" t="e">
        <f t="shared" si="10"/>
        <v>#DIV/0!</v>
      </c>
      <c r="AC74" s="1" t="e">
        <f t="shared" si="10"/>
        <v>#DIV/0!</v>
      </c>
      <c r="AD74" s="1" t="e">
        <f t="shared" si="10"/>
        <v>#DIV/0!</v>
      </c>
      <c r="AE74" s="1" t="e">
        <f t="shared" si="10"/>
        <v>#DIV/0!</v>
      </c>
      <c r="AF74" s="1" t="e">
        <f t="shared" si="10"/>
        <v>#DIV/0!</v>
      </c>
      <c r="AG74" s="1" t="e">
        <f t="shared" si="10"/>
        <v>#DIV/0!</v>
      </c>
      <c r="AH74" s="1" t="e">
        <f t="shared" si="10"/>
        <v>#DIV/0!</v>
      </c>
      <c r="AI74" s="1" t="e">
        <f t="shared" si="10"/>
        <v>#DIV/0!</v>
      </c>
      <c r="AJ74" s="1" t="e">
        <f t="shared" si="10"/>
        <v>#DIV/0!</v>
      </c>
    </row>
    <row r="75" spans="1:36">
      <c r="A75" s="29">
        <f t="shared" si="4"/>
        <v>-75</v>
      </c>
      <c r="B75" s="74"/>
      <c r="C75" s="74"/>
      <c r="D75" s="74"/>
      <c r="E75" s="1" t="e">
        <f t="shared" si="5"/>
        <v>#DIV/0!</v>
      </c>
      <c r="F75" s="1" t="e">
        <f t="shared" si="5"/>
        <v>#DIV/0!</v>
      </c>
      <c r="G75" s="1" t="e">
        <f t="shared" si="5"/>
        <v>#DIV/0!</v>
      </c>
      <c r="H75" s="1" t="e">
        <f t="shared" si="5"/>
        <v>#DIV/0!</v>
      </c>
      <c r="I75" s="1" t="e">
        <f t="shared" si="5"/>
        <v>#DIV/0!</v>
      </c>
      <c r="J75" s="1" t="e">
        <f t="shared" ref="J75:AJ75" si="11">(J12-$B12)/$B$4</f>
        <v>#DIV/0!</v>
      </c>
      <c r="K75" s="1" t="e">
        <f t="shared" si="11"/>
        <v>#DIV/0!</v>
      </c>
      <c r="L75" s="1" t="e">
        <f t="shared" si="11"/>
        <v>#DIV/0!</v>
      </c>
      <c r="M75" s="1" t="e">
        <f t="shared" si="11"/>
        <v>#DIV/0!</v>
      </c>
      <c r="N75" s="1" t="e">
        <f t="shared" si="11"/>
        <v>#DIV/0!</v>
      </c>
      <c r="O75" s="1" t="e">
        <f t="shared" si="11"/>
        <v>#DIV/0!</v>
      </c>
      <c r="P75" s="1" t="e">
        <f t="shared" si="11"/>
        <v>#DIV/0!</v>
      </c>
      <c r="Q75" s="1" t="e">
        <f t="shared" si="11"/>
        <v>#DIV/0!</v>
      </c>
      <c r="R75" s="1" t="e">
        <f t="shared" si="11"/>
        <v>#DIV/0!</v>
      </c>
      <c r="S75" s="1" t="e">
        <f t="shared" si="11"/>
        <v>#DIV/0!</v>
      </c>
      <c r="T75" s="1" t="e">
        <f t="shared" si="11"/>
        <v>#DIV/0!</v>
      </c>
      <c r="U75" s="1" t="e">
        <f t="shared" si="11"/>
        <v>#DIV/0!</v>
      </c>
      <c r="V75" s="1" t="e">
        <f t="shared" si="11"/>
        <v>#DIV/0!</v>
      </c>
      <c r="W75" s="1" t="e">
        <f t="shared" si="11"/>
        <v>#DIV/0!</v>
      </c>
      <c r="X75" s="1" t="e">
        <f t="shared" si="11"/>
        <v>#DIV/0!</v>
      </c>
      <c r="Y75" s="1" t="e">
        <f t="shared" si="11"/>
        <v>#DIV/0!</v>
      </c>
      <c r="Z75" s="1" t="e">
        <f t="shared" si="11"/>
        <v>#DIV/0!</v>
      </c>
      <c r="AA75" s="1" t="e">
        <f t="shared" si="11"/>
        <v>#DIV/0!</v>
      </c>
      <c r="AB75" s="1" t="e">
        <f t="shared" si="11"/>
        <v>#DIV/0!</v>
      </c>
      <c r="AC75" s="1" t="e">
        <f t="shared" si="11"/>
        <v>#DIV/0!</v>
      </c>
      <c r="AD75" s="1" t="e">
        <f t="shared" si="11"/>
        <v>#DIV/0!</v>
      </c>
      <c r="AE75" s="1" t="e">
        <f t="shared" si="11"/>
        <v>#DIV/0!</v>
      </c>
      <c r="AF75" s="1" t="e">
        <f t="shared" si="11"/>
        <v>#DIV/0!</v>
      </c>
      <c r="AG75" s="1" t="e">
        <f t="shared" si="11"/>
        <v>#DIV/0!</v>
      </c>
      <c r="AH75" s="1" t="e">
        <f t="shared" si="11"/>
        <v>#DIV/0!</v>
      </c>
      <c r="AI75" s="1" t="e">
        <f t="shared" si="11"/>
        <v>#DIV/0!</v>
      </c>
      <c r="AJ75" s="1" t="e">
        <f t="shared" si="11"/>
        <v>#DIV/0!</v>
      </c>
    </row>
    <row r="76" spans="1:36">
      <c r="A76" s="29">
        <f t="shared" si="4"/>
        <v>-72</v>
      </c>
      <c r="B76" s="74"/>
      <c r="C76" s="74"/>
      <c r="D76" s="74"/>
      <c r="E76" s="1" t="e">
        <f t="shared" si="5"/>
        <v>#DIV/0!</v>
      </c>
      <c r="F76" s="1" t="e">
        <f t="shared" si="5"/>
        <v>#DIV/0!</v>
      </c>
      <c r="G76" s="1" t="e">
        <f t="shared" si="5"/>
        <v>#DIV/0!</v>
      </c>
      <c r="H76" s="1" t="e">
        <f t="shared" si="5"/>
        <v>#DIV/0!</v>
      </c>
      <c r="I76" s="1" t="e">
        <f t="shared" si="5"/>
        <v>#DIV/0!</v>
      </c>
      <c r="J76" s="1" t="e">
        <f t="shared" ref="J76:AJ76" si="12">(J13-$B13)/$B$4</f>
        <v>#DIV/0!</v>
      </c>
      <c r="K76" s="1" t="e">
        <f t="shared" si="12"/>
        <v>#DIV/0!</v>
      </c>
      <c r="L76" s="1" t="e">
        <f t="shared" si="12"/>
        <v>#DIV/0!</v>
      </c>
      <c r="M76" s="1" t="e">
        <f t="shared" si="12"/>
        <v>#DIV/0!</v>
      </c>
      <c r="N76" s="1" t="e">
        <f t="shared" si="12"/>
        <v>#DIV/0!</v>
      </c>
      <c r="O76" s="1" t="e">
        <f t="shared" si="12"/>
        <v>#DIV/0!</v>
      </c>
      <c r="P76" s="1" t="e">
        <f t="shared" si="12"/>
        <v>#DIV/0!</v>
      </c>
      <c r="Q76" s="1" t="e">
        <f t="shared" si="12"/>
        <v>#DIV/0!</v>
      </c>
      <c r="R76" s="1" t="e">
        <f t="shared" si="12"/>
        <v>#DIV/0!</v>
      </c>
      <c r="S76" s="1" t="e">
        <f t="shared" si="12"/>
        <v>#DIV/0!</v>
      </c>
      <c r="T76" s="1" t="e">
        <f t="shared" si="12"/>
        <v>#DIV/0!</v>
      </c>
      <c r="U76" s="1" t="e">
        <f t="shared" si="12"/>
        <v>#DIV/0!</v>
      </c>
      <c r="V76" s="1" t="e">
        <f t="shared" si="12"/>
        <v>#DIV/0!</v>
      </c>
      <c r="W76" s="1" t="e">
        <f t="shared" si="12"/>
        <v>#DIV/0!</v>
      </c>
      <c r="X76" s="1" t="e">
        <f t="shared" si="12"/>
        <v>#DIV/0!</v>
      </c>
      <c r="Y76" s="1" t="e">
        <f t="shared" si="12"/>
        <v>#DIV/0!</v>
      </c>
      <c r="Z76" s="1" t="e">
        <f t="shared" si="12"/>
        <v>#DIV/0!</v>
      </c>
      <c r="AA76" s="1" t="e">
        <f t="shared" si="12"/>
        <v>#DIV/0!</v>
      </c>
      <c r="AB76" s="1" t="e">
        <f t="shared" si="12"/>
        <v>#DIV/0!</v>
      </c>
      <c r="AC76" s="1" t="e">
        <f t="shared" si="12"/>
        <v>#DIV/0!</v>
      </c>
      <c r="AD76" s="1" t="e">
        <f t="shared" si="12"/>
        <v>#DIV/0!</v>
      </c>
      <c r="AE76" s="1" t="e">
        <f t="shared" si="12"/>
        <v>#DIV/0!</v>
      </c>
      <c r="AF76" s="1" t="e">
        <f t="shared" si="12"/>
        <v>#DIV/0!</v>
      </c>
      <c r="AG76" s="1" t="e">
        <f t="shared" si="12"/>
        <v>#DIV/0!</v>
      </c>
      <c r="AH76" s="1" t="e">
        <f t="shared" si="12"/>
        <v>#DIV/0!</v>
      </c>
      <c r="AI76" s="1" t="e">
        <f t="shared" si="12"/>
        <v>#DIV/0!</v>
      </c>
      <c r="AJ76" s="1" t="e">
        <f t="shared" si="12"/>
        <v>#DIV/0!</v>
      </c>
    </row>
    <row r="77" spans="1:36">
      <c r="A77" s="29">
        <f t="shared" si="4"/>
        <v>-69</v>
      </c>
      <c r="B77" s="74"/>
      <c r="C77" s="74"/>
      <c r="D77" s="74"/>
      <c r="E77" s="1" t="e">
        <f t="shared" si="5"/>
        <v>#DIV/0!</v>
      </c>
      <c r="F77" s="1" t="e">
        <f t="shared" si="5"/>
        <v>#DIV/0!</v>
      </c>
      <c r="G77" s="1" t="e">
        <f t="shared" si="5"/>
        <v>#DIV/0!</v>
      </c>
      <c r="H77" s="1" t="e">
        <f t="shared" si="5"/>
        <v>#DIV/0!</v>
      </c>
      <c r="I77" s="1" t="e">
        <f t="shared" si="5"/>
        <v>#DIV/0!</v>
      </c>
      <c r="J77" s="1" t="e">
        <f t="shared" ref="J77:AJ77" si="13">(J14-$B14)/$B$4</f>
        <v>#DIV/0!</v>
      </c>
      <c r="K77" s="1" t="e">
        <f t="shared" si="13"/>
        <v>#DIV/0!</v>
      </c>
      <c r="L77" s="1" t="e">
        <f t="shared" si="13"/>
        <v>#DIV/0!</v>
      </c>
      <c r="M77" s="1" t="e">
        <f t="shared" si="13"/>
        <v>#DIV/0!</v>
      </c>
      <c r="N77" s="1" t="e">
        <f t="shared" si="13"/>
        <v>#DIV/0!</v>
      </c>
      <c r="O77" s="1" t="e">
        <f t="shared" si="13"/>
        <v>#DIV/0!</v>
      </c>
      <c r="P77" s="1" t="e">
        <f t="shared" si="13"/>
        <v>#DIV/0!</v>
      </c>
      <c r="Q77" s="1" t="e">
        <f t="shared" si="13"/>
        <v>#DIV/0!</v>
      </c>
      <c r="R77" s="1" t="e">
        <f t="shared" si="13"/>
        <v>#DIV/0!</v>
      </c>
      <c r="S77" s="1" t="e">
        <f t="shared" si="13"/>
        <v>#DIV/0!</v>
      </c>
      <c r="T77" s="1" t="e">
        <f t="shared" si="13"/>
        <v>#DIV/0!</v>
      </c>
      <c r="U77" s="1" t="e">
        <f t="shared" si="13"/>
        <v>#DIV/0!</v>
      </c>
      <c r="V77" s="1" t="e">
        <f t="shared" si="13"/>
        <v>#DIV/0!</v>
      </c>
      <c r="W77" s="1" t="e">
        <f t="shared" si="13"/>
        <v>#DIV/0!</v>
      </c>
      <c r="X77" s="1" t="e">
        <f t="shared" si="13"/>
        <v>#DIV/0!</v>
      </c>
      <c r="Y77" s="1" t="e">
        <f t="shared" si="13"/>
        <v>#DIV/0!</v>
      </c>
      <c r="Z77" s="1" t="e">
        <f t="shared" si="13"/>
        <v>#DIV/0!</v>
      </c>
      <c r="AA77" s="1" t="e">
        <f t="shared" si="13"/>
        <v>#DIV/0!</v>
      </c>
      <c r="AB77" s="1" t="e">
        <f t="shared" si="13"/>
        <v>#DIV/0!</v>
      </c>
      <c r="AC77" s="1" t="e">
        <f t="shared" si="13"/>
        <v>#DIV/0!</v>
      </c>
      <c r="AD77" s="1" t="e">
        <f t="shared" si="13"/>
        <v>#DIV/0!</v>
      </c>
      <c r="AE77" s="1" t="e">
        <f t="shared" si="13"/>
        <v>#DIV/0!</v>
      </c>
      <c r="AF77" s="1" t="e">
        <f t="shared" si="13"/>
        <v>#DIV/0!</v>
      </c>
      <c r="AG77" s="1" t="e">
        <f t="shared" si="13"/>
        <v>#DIV/0!</v>
      </c>
      <c r="AH77" s="1" t="e">
        <f t="shared" si="13"/>
        <v>#DIV/0!</v>
      </c>
      <c r="AI77" s="1" t="e">
        <f t="shared" si="13"/>
        <v>#DIV/0!</v>
      </c>
      <c r="AJ77" s="1" t="e">
        <f t="shared" si="13"/>
        <v>#DIV/0!</v>
      </c>
    </row>
    <row r="78" spans="1:36">
      <c r="A78" s="29">
        <f t="shared" si="4"/>
        <v>-66</v>
      </c>
      <c r="B78" s="74"/>
      <c r="C78" s="74"/>
      <c r="D78" s="74"/>
      <c r="E78" s="1" t="e">
        <f t="shared" si="5"/>
        <v>#DIV/0!</v>
      </c>
      <c r="F78" s="1" t="e">
        <f t="shared" si="5"/>
        <v>#DIV/0!</v>
      </c>
      <c r="G78" s="1" t="e">
        <f t="shared" si="5"/>
        <v>#DIV/0!</v>
      </c>
      <c r="H78" s="1" t="e">
        <f t="shared" si="5"/>
        <v>#DIV/0!</v>
      </c>
      <c r="I78" s="1" t="e">
        <f t="shared" si="5"/>
        <v>#DIV/0!</v>
      </c>
      <c r="J78" s="1" t="e">
        <f t="shared" ref="J78:AJ78" si="14">(J15-$B15)/$B$4</f>
        <v>#DIV/0!</v>
      </c>
      <c r="K78" s="1" t="e">
        <f t="shared" si="14"/>
        <v>#DIV/0!</v>
      </c>
      <c r="L78" s="1" t="e">
        <f t="shared" si="14"/>
        <v>#DIV/0!</v>
      </c>
      <c r="M78" s="1" t="e">
        <f t="shared" si="14"/>
        <v>#DIV/0!</v>
      </c>
      <c r="N78" s="1" t="e">
        <f t="shared" si="14"/>
        <v>#DIV/0!</v>
      </c>
      <c r="O78" s="1" t="e">
        <f t="shared" si="14"/>
        <v>#DIV/0!</v>
      </c>
      <c r="P78" s="1" t="e">
        <f t="shared" si="14"/>
        <v>#DIV/0!</v>
      </c>
      <c r="Q78" s="1" t="e">
        <f t="shared" si="14"/>
        <v>#DIV/0!</v>
      </c>
      <c r="R78" s="1" t="e">
        <f t="shared" si="14"/>
        <v>#DIV/0!</v>
      </c>
      <c r="S78" s="1" t="e">
        <f t="shared" si="14"/>
        <v>#DIV/0!</v>
      </c>
      <c r="T78" s="1" t="e">
        <f t="shared" si="14"/>
        <v>#DIV/0!</v>
      </c>
      <c r="U78" s="1" t="e">
        <f t="shared" si="14"/>
        <v>#DIV/0!</v>
      </c>
      <c r="V78" s="1" t="e">
        <f t="shared" si="14"/>
        <v>#DIV/0!</v>
      </c>
      <c r="W78" s="1" t="e">
        <f t="shared" si="14"/>
        <v>#DIV/0!</v>
      </c>
      <c r="X78" s="1" t="e">
        <f t="shared" si="14"/>
        <v>#DIV/0!</v>
      </c>
      <c r="Y78" s="1" t="e">
        <f t="shared" si="14"/>
        <v>#DIV/0!</v>
      </c>
      <c r="Z78" s="1" t="e">
        <f t="shared" si="14"/>
        <v>#DIV/0!</v>
      </c>
      <c r="AA78" s="1" t="e">
        <f t="shared" si="14"/>
        <v>#DIV/0!</v>
      </c>
      <c r="AB78" s="1" t="e">
        <f t="shared" si="14"/>
        <v>#DIV/0!</v>
      </c>
      <c r="AC78" s="1" t="e">
        <f t="shared" si="14"/>
        <v>#DIV/0!</v>
      </c>
      <c r="AD78" s="1" t="e">
        <f t="shared" si="14"/>
        <v>#DIV/0!</v>
      </c>
      <c r="AE78" s="1" t="e">
        <f t="shared" si="14"/>
        <v>#DIV/0!</v>
      </c>
      <c r="AF78" s="1" t="e">
        <f t="shared" si="14"/>
        <v>#DIV/0!</v>
      </c>
      <c r="AG78" s="1" t="e">
        <f t="shared" si="14"/>
        <v>#DIV/0!</v>
      </c>
      <c r="AH78" s="1" t="e">
        <f t="shared" si="14"/>
        <v>#DIV/0!</v>
      </c>
      <c r="AI78" s="1" t="e">
        <f t="shared" si="14"/>
        <v>#DIV/0!</v>
      </c>
      <c r="AJ78" s="1" t="e">
        <f t="shared" si="14"/>
        <v>#DIV/0!</v>
      </c>
    </row>
    <row r="79" spans="1:36">
      <c r="A79" s="29">
        <f t="shared" si="4"/>
        <v>-63</v>
      </c>
      <c r="B79" s="74"/>
      <c r="C79" s="74"/>
      <c r="D79" s="74"/>
      <c r="E79" s="1" t="e">
        <f t="shared" si="5"/>
        <v>#DIV/0!</v>
      </c>
      <c r="F79" s="1" t="e">
        <f t="shared" si="5"/>
        <v>#DIV/0!</v>
      </c>
      <c r="G79" s="1" t="e">
        <f t="shared" si="5"/>
        <v>#DIV/0!</v>
      </c>
      <c r="H79" s="1" t="e">
        <f t="shared" si="5"/>
        <v>#DIV/0!</v>
      </c>
      <c r="I79" s="1" t="e">
        <f t="shared" si="5"/>
        <v>#DIV/0!</v>
      </c>
      <c r="J79" s="1" t="e">
        <f t="shared" ref="J79:AJ79" si="15">(J16-$B16)/$B$4</f>
        <v>#DIV/0!</v>
      </c>
      <c r="K79" s="1" t="e">
        <f t="shared" si="15"/>
        <v>#DIV/0!</v>
      </c>
      <c r="L79" s="1" t="e">
        <f t="shared" si="15"/>
        <v>#DIV/0!</v>
      </c>
      <c r="M79" s="1" t="e">
        <f t="shared" si="15"/>
        <v>#DIV/0!</v>
      </c>
      <c r="N79" s="1" t="e">
        <f t="shared" si="15"/>
        <v>#DIV/0!</v>
      </c>
      <c r="O79" s="1" t="e">
        <f t="shared" si="15"/>
        <v>#DIV/0!</v>
      </c>
      <c r="P79" s="1" t="e">
        <f t="shared" si="15"/>
        <v>#DIV/0!</v>
      </c>
      <c r="Q79" s="1" t="e">
        <f t="shared" si="15"/>
        <v>#DIV/0!</v>
      </c>
      <c r="R79" s="1" t="e">
        <f t="shared" si="15"/>
        <v>#DIV/0!</v>
      </c>
      <c r="S79" s="1" t="e">
        <f t="shared" si="15"/>
        <v>#DIV/0!</v>
      </c>
      <c r="T79" s="1" t="e">
        <f t="shared" si="15"/>
        <v>#DIV/0!</v>
      </c>
      <c r="U79" s="1" t="e">
        <f t="shared" si="15"/>
        <v>#DIV/0!</v>
      </c>
      <c r="V79" s="1" t="e">
        <f t="shared" si="15"/>
        <v>#DIV/0!</v>
      </c>
      <c r="W79" s="1" t="e">
        <f t="shared" si="15"/>
        <v>#DIV/0!</v>
      </c>
      <c r="X79" s="1" t="e">
        <f t="shared" si="15"/>
        <v>#DIV/0!</v>
      </c>
      <c r="Y79" s="1" t="e">
        <f t="shared" si="15"/>
        <v>#DIV/0!</v>
      </c>
      <c r="Z79" s="1" t="e">
        <f t="shared" si="15"/>
        <v>#DIV/0!</v>
      </c>
      <c r="AA79" s="1" t="e">
        <f t="shared" si="15"/>
        <v>#DIV/0!</v>
      </c>
      <c r="AB79" s="1" t="e">
        <f t="shared" si="15"/>
        <v>#DIV/0!</v>
      </c>
      <c r="AC79" s="1" t="e">
        <f t="shared" si="15"/>
        <v>#DIV/0!</v>
      </c>
      <c r="AD79" s="1" t="e">
        <f t="shared" si="15"/>
        <v>#DIV/0!</v>
      </c>
      <c r="AE79" s="1" t="e">
        <f t="shared" si="15"/>
        <v>#DIV/0!</v>
      </c>
      <c r="AF79" s="1" t="e">
        <f t="shared" si="15"/>
        <v>#DIV/0!</v>
      </c>
      <c r="AG79" s="1" t="e">
        <f t="shared" si="15"/>
        <v>#DIV/0!</v>
      </c>
      <c r="AH79" s="1" t="e">
        <f t="shared" si="15"/>
        <v>#DIV/0!</v>
      </c>
      <c r="AI79" s="1" t="e">
        <f t="shared" si="15"/>
        <v>#DIV/0!</v>
      </c>
      <c r="AJ79" s="1" t="e">
        <f t="shared" si="15"/>
        <v>#DIV/0!</v>
      </c>
    </row>
    <row r="80" spans="1:36">
      <c r="A80" s="29">
        <f t="shared" si="4"/>
        <v>-60</v>
      </c>
      <c r="B80" s="74"/>
      <c r="C80" s="74"/>
      <c r="D80" s="74"/>
      <c r="E80" s="1" t="e">
        <f t="shared" ref="E80:I89" si="16">(E17-$B17)/$B$4</f>
        <v>#DIV/0!</v>
      </c>
      <c r="F80" s="1" t="e">
        <f t="shared" si="16"/>
        <v>#DIV/0!</v>
      </c>
      <c r="G80" s="1" t="e">
        <f t="shared" si="16"/>
        <v>#DIV/0!</v>
      </c>
      <c r="H80" s="1" t="e">
        <f t="shared" si="16"/>
        <v>#DIV/0!</v>
      </c>
      <c r="I80" s="1" t="e">
        <f t="shared" si="16"/>
        <v>#DIV/0!</v>
      </c>
      <c r="J80" s="1" t="e">
        <f t="shared" ref="J80:AJ80" si="17">(J17-$B17)/$B$4</f>
        <v>#DIV/0!</v>
      </c>
      <c r="K80" s="1" t="e">
        <f t="shared" si="17"/>
        <v>#DIV/0!</v>
      </c>
      <c r="L80" s="1" t="e">
        <f t="shared" si="17"/>
        <v>#DIV/0!</v>
      </c>
      <c r="M80" s="1" t="e">
        <f t="shared" si="17"/>
        <v>#DIV/0!</v>
      </c>
      <c r="N80" s="1" t="e">
        <f t="shared" si="17"/>
        <v>#DIV/0!</v>
      </c>
      <c r="O80" s="1" t="e">
        <f t="shared" si="17"/>
        <v>#DIV/0!</v>
      </c>
      <c r="P80" s="1" t="e">
        <f t="shared" si="17"/>
        <v>#DIV/0!</v>
      </c>
      <c r="Q80" s="1" t="e">
        <f t="shared" si="17"/>
        <v>#DIV/0!</v>
      </c>
      <c r="R80" s="1" t="e">
        <f t="shared" si="17"/>
        <v>#DIV/0!</v>
      </c>
      <c r="S80" s="1" t="e">
        <f t="shared" si="17"/>
        <v>#DIV/0!</v>
      </c>
      <c r="T80" s="1" t="e">
        <f t="shared" si="17"/>
        <v>#DIV/0!</v>
      </c>
      <c r="U80" s="1" t="e">
        <f t="shared" si="17"/>
        <v>#DIV/0!</v>
      </c>
      <c r="V80" s="1" t="e">
        <f t="shared" si="17"/>
        <v>#DIV/0!</v>
      </c>
      <c r="W80" s="1" t="e">
        <f t="shared" si="17"/>
        <v>#DIV/0!</v>
      </c>
      <c r="X80" s="1" t="e">
        <f t="shared" si="17"/>
        <v>#DIV/0!</v>
      </c>
      <c r="Y80" s="1" t="e">
        <f t="shared" si="17"/>
        <v>#DIV/0!</v>
      </c>
      <c r="Z80" s="1" t="e">
        <f t="shared" si="17"/>
        <v>#DIV/0!</v>
      </c>
      <c r="AA80" s="1" t="e">
        <f t="shared" si="17"/>
        <v>#DIV/0!</v>
      </c>
      <c r="AB80" s="1" t="e">
        <f t="shared" si="17"/>
        <v>#DIV/0!</v>
      </c>
      <c r="AC80" s="1" t="e">
        <f t="shared" si="17"/>
        <v>#DIV/0!</v>
      </c>
      <c r="AD80" s="1" t="e">
        <f t="shared" si="17"/>
        <v>#DIV/0!</v>
      </c>
      <c r="AE80" s="1" t="e">
        <f t="shared" si="17"/>
        <v>#DIV/0!</v>
      </c>
      <c r="AF80" s="1" t="e">
        <f t="shared" si="17"/>
        <v>#DIV/0!</v>
      </c>
      <c r="AG80" s="1" t="e">
        <f t="shared" si="17"/>
        <v>#DIV/0!</v>
      </c>
      <c r="AH80" s="1" t="e">
        <f t="shared" si="17"/>
        <v>#DIV/0!</v>
      </c>
      <c r="AI80" s="1" t="e">
        <f t="shared" si="17"/>
        <v>#DIV/0!</v>
      </c>
      <c r="AJ80" s="1" t="e">
        <f t="shared" si="17"/>
        <v>#DIV/0!</v>
      </c>
    </row>
    <row r="81" spans="1:36">
      <c r="A81" s="29">
        <f t="shared" si="4"/>
        <v>-57</v>
      </c>
      <c r="B81" s="74"/>
      <c r="C81" s="74"/>
      <c r="D81" s="74"/>
      <c r="E81" s="1" t="e">
        <f t="shared" si="16"/>
        <v>#DIV/0!</v>
      </c>
      <c r="F81" s="1" t="e">
        <f t="shared" si="16"/>
        <v>#DIV/0!</v>
      </c>
      <c r="G81" s="1" t="e">
        <f t="shared" si="16"/>
        <v>#DIV/0!</v>
      </c>
      <c r="H81" s="1" t="e">
        <f t="shared" si="16"/>
        <v>#DIV/0!</v>
      </c>
      <c r="I81" s="1" t="e">
        <f t="shared" si="16"/>
        <v>#DIV/0!</v>
      </c>
      <c r="J81" s="1" t="e">
        <f t="shared" ref="J81:AJ81" si="18">(J18-$B18)/$B$4</f>
        <v>#DIV/0!</v>
      </c>
      <c r="K81" s="1" t="e">
        <f t="shared" si="18"/>
        <v>#DIV/0!</v>
      </c>
      <c r="L81" s="1" t="e">
        <f t="shared" si="18"/>
        <v>#DIV/0!</v>
      </c>
      <c r="M81" s="1" t="e">
        <f t="shared" si="18"/>
        <v>#DIV/0!</v>
      </c>
      <c r="N81" s="1" t="e">
        <f t="shared" si="18"/>
        <v>#DIV/0!</v>
      </c>
      <c r="O81" s="1" t="e">
        <f t="shared" si="18"/>
        <v>#DIV/0!</v>
      </c>
      <c r="P81" s="1" t="e">
        <f t="shared" si="18"/>
        <v>#DIV/0!</v>
      </c>
      <c r="Q81" s="1" t="e">
        <f t="shared" si="18"/>
        <v>#DIV/0!</v>
      </c>
      <c r="R81" s="1" t="e">
        <f t="shared" si="18"/>
        <v>#DIV/0!</v>
      </c>
      <c r="S81" s="1" t="e">
        <f t="shared" si="18"/>
        <v>#DIV/0!</v>
      </c>
      <c r="T81" s="1" t="e">
        <f t="shared" si="18"/>
        <v>#DIV/0!</v>
      </c>
      <c r="U81" s="1" t="e">
        <f t="shared" si="18"/>
        <v>#DIV/0!</v>
      </c>
      <c r="V81" s="1" t="e">
        <f t="shared" si="18"/>
        <v>#DIV/0!</v>
      </c>
      <c r="W81" s="1" t="e">
        <f t="shared" si="18"/>
        <v>#DIV/0!</v>
      </c>
      <c r="X81" s="1" t="e">
        <f t="shared" si="18"/>
        <v>#DIV/0!</v>
      </c>
      <c r="Y81" s="1" t="e">
        <f t="shared" si="18"/>
        <v>#DIV/0!</v>
      </c>
      <c r="Z81" s="1" t="e">
        <f t="shared" si="18"/>
        <v>#DIV/0!</v>
      </c>
      <c r="AA81" s="1" t="e">
        <f t="shared" si="18"/>
        <v>#DIV/0!</v>
      </c>
      <c r="AB81" s="1" t="e">
        <f t="shared" si="18"/>
        <v>#DIV/0!</v>
      </c>
      <c r="AC81" s="1" t="e">
        <f t="shared" si="18"/>
        <v>#DIV/0!</v>
      </c>
      <c r="AD81" s="1" t="e">
        <f t="shared" si="18"/>
        <v>#DIV/0!</v>
      </c>
      <c r="AE81" s="1" t="e">
        <f t="shared" si="18"/>
        <v>#DIV/0!</v>
      </c>
      <c r="AF81" s="1" t="e">
        <f t="shared" si="18"/>
        <v>#DIV/0!</v>
      </c>
      <c r="AG81" s="1" t="e">
        <f t="shared" si="18"/>
        <v>#DIV/0!</v>
      </c>
      <c r="AH81" s="1" t="e">
        <f t="shared" si="18"/>
        <v>#DIV/0!</v>
      </c>
      <c r="AI81" s="1" t="e">
        <f t="shared" si="18"/>
        <v>#DIV/0!</v>
      </c>
      <c r="AJ81" s="1" t="e">
        <f t="shared" si="18"/>
        <v>#DIV/0!</v>
      </c>
    </row>
    <row r="82" spans="1:36">
      <c r="A82" s="29">
        <f t="shared" si="4"/>
        <v>-54</v>
      </c>
      <c r="B82" s="74"/>
      <c r="C82" s="74"/>
      <c r="D82" s="74"/>
      <c r="E82" s="1" t="e">
        <f t="shared" si="16"/>
        <v>#DIV/0!</v>
      </c>
      <c r="F82" s="1" t="e">
        <f t="shared" si="16"/>
        <v>#DIV/0!</v>
      </c>
      <c r="G82" s="1" t="e">
        <f t="shared" si="16"/>
        <v>#DIV/0!</v>
      </c>
      <c r="H82" s="1" t="e">
        <f t="shared" si="16"/>
        <v>#DIV/0!</v>
      </c>
      <c r="I82" s="1" t="e">
        <f t="shared" si="16"/>
        <v>#DIV/0!</v>
      </c>
      <c r="J82" s="1" t="e">
        <f t="shared" ref="J82:AJ82" si="19">(J19-$B19)/$B$4</f>
        <v>#DIV/0!</v>
      </c>
      <c r="K82" s="1" t="e">
        <f t="shared" si="19"/>
        <v>#DIV/0!</v>
      </c>
      <c r="L82" s="1" t="e">
        <f t="shared" si="19"/>
        <v>#DIV/0!</v>
      </c>
      <c r="M82" s="1" t="e">
        <f t="shared" si="19"/>
        <v>#DIV/0!</v>
      </c>
      <c r="N82" s="1" t="e">
        <f t="shared" si="19"/>
        <v>#DIV/0!</v>
      </c>
      <c r="O82" s="1" t="e">
        <f t="shared" si="19"/>
        <v>#DIV/0!</v>
      </c>
      <c r="P82" s="1" t="e">
        <f t="shared" si="19"/>
        <v>#DIV/0!</v>
      </c>
      <c r="Q82" s="1" t="e">
        <f t="shared" si="19"/>
        <v>#DIV/0!</v>
      </c>
      <c r="R82" s="1" t="e">
        <f t="shared" si="19"/>
        <v>#DIV/0!</v>
      </c>
      <c r="S82" s="1" t="e">
        <f t="shared" si="19"/>
        <v>#DIV/0!</v>
      </c>
      <c r="T82" s="1" t="e">
        <f t="shared" si="19"/>
        <v>#DIV/0!</v>
      </c>
      <c r="U82" s="1" t="e">
        <f t="shared" si="19"/>
        <v>#DIV/0!</v>
      </c>
      <c r="V82" s="1" t="e">
        <f t="shared" si="19"/>
        <v>#DIV/0!</v>
      </c>
      <c r="W82" s="1" t="e">
        <f t="shared" si="19"/>
        <v>#DIV/0!</v>
      </c>
      <c r="X82" s="1" t="e">
        <f t="shared" si="19"/>
        <v>#DIV/0!</v>
      </c>
      <c r="Y82" s="1" t="e">
        <f t="shared" si="19"/>
        <v>#DIV/0!</v>
      </c>
      <c r="Z82" s="1" t="e">
        <f t="shared" si="19"/>
        <v>#DIV/0!</v>
      </c>
      <c r="AA82" s="1" t="e">
        <f t="shared" si="19"/>
        <v>#DIV/0!</v>
      </c>
      <c r="AB82" s="1" t="e">
        <f t="shared" si="19"/>
        <v>#DIV/0!</v>
      </c>
      <c r="AC82" s="1" t="e">
        <f t="shared" si="19"/>
        <v>#DIV/0!</v>
      </c>
      <c r="AD82" s="1" t="e">
        <f t="shared" si="19"/>
        <v>#DIV/0!</v>
      </c>
      <c r="AE82" s="1" t="e">
        <f t="shared" si="19"/>
        <v>#DIV/0!</v>
      </c>
      <c r="AF82" s="1" t="e">
        <f t="shared" si="19"/>
        <v>#DIV/0!</v>
      </c>
      <c r="AG82" s="1" t="e">
        <f t="shared" si="19"/>
        <v>#DIV/0!</v>
      </c>
      <c r="AH82" s="1" t="e">
        <f t="shared" si="19"/>
        <v>#DIV/0!</v>
      </c>
      <c r="AI82" s="1" t="e">
        <f t="shared" si="19"/>
        <v>#DIV/0!</v>
      </c>
      <c r="AJ82" s="1" t="e">
        <f t="shared" si="19"/>
        <v>#DIV/0!</v>
      </c>
    </row>
    <row r="83" spans="1:36">
      <c r="A83" s="29">
        <f t="shared" si="4"/>
        <v>-51</v>
      </c>
      <c r="B83" s="74"/>
      <c r="C83" s="74"/>
      <c r="D83" s="74"/>
      <c r="E83" s="1" t="e">
        <f t="shared" si="16"/>
        <v>#DIV/0!</v>
      </c>
      <c r="F83" s="1" t="e">
        <f t="shared" si="16"/>
        <v>#DIV/0!</v>
      </c>
      <c r="G83" s="1" t="e">
        <f t="shared" si="16"/>
        <v>#DIV/0!</v>
      </c>
      <c r="H83" s="1" t="e">
        <f t="shared" si="16"/>
        <v>#DIV/0!</v>
      </c>
      <c r="I83" s="1" t="e">
        <f t="shared" si="16"/>
        <v>#DIV/0!</v>
      </c>
      <c r="J83" s="1" t="e">
        <f t="shared" ref="J83:AJ83" si="20">(J20-$B20)/$B$4</f>
        <v>#DIV/0!</v>
      </c>
      <c r="K83" s="1" t="e">
        <f t="shared" si="20"/>
        <v>#DIV/0!</v>
      </c>
      <c r="L83" s="1" t="e">
        <f t="shared" si="20"/>
        <v>#DIV/0!</v>
      </c>
      <c r="M83" s="1" t="e">
        <f t="shared" si="20"/>
        <v>#DIV/0!</v>
      </c>
      <c r="N83" s="1" t="e">
        <f t="shared" si="20"/>
        <v>#DIV/0!</v>
      </c>
      <c r="O83" s="1" t="e">
        <f t="shared" si="20"/>
        <v>#DIV/0!</v>
      </c>
      <c r="P83" s="1" t="e">
        <f t="shared" si="20"/>
        <v>#DIV/0!</v>
      </c>
      <c r="Q83" s="1" t="e">
        <f t="shared" si="20"/>
        <v>#DIV/0!</v>
      </c>
      <c r="R83" s="1" t="e">
        <f t="shared" si="20"/>
        <v>#DIV/0!</v>
      </c>
      <c r="S83" s="1" t="e">
        <f t="shared" si="20"/>
        <v>#DIV/0!</v>
      </c>
      <c r="T83" s="1" t="e">
        <f t="shared" si="20"/>
        <v>#DIV/0!</v>
      </c>
      <c r="U83" s="1" t="e">
        <f t="shared" si="20"/>
        <v>#DIV/0!</v>
      </c>
      <c r="V83" s="1" t="e">
        <f t="shared" si="20"/>
        <v>#DIV/0!</v>
      </c>
      <c r="W83" s="1" t="e">
        <f t="shared" si="20"/>
        <v>#DIV/0!</v>
      </c>
      <c r="X83" s="1" t="e">
        <f t="shared" si="20"/>
        <v>#DIV/0!</v>
      </c>
      <c r="Y83" s="1" t="e">
        <f t="shared" si="20"/>
        <v>#DIV/0!</v>
      </c>
      <c r="Z83" s="1" t="e">
        <f t="shared" si="20"/>
        <v>#DIV/0!</v>
      </c>
      <c r="AA83" s="1" t="e">
        <f t="shared" si="20"/>
        <v>#DIV/0!</v>
      </c>
      <c r="AB83" s="1" t="e">
        <f t="shared" si="20"/>
        <v>#DIV/0!</v>
      </c>
      <c r="AC83" s="1" t="e">
        <f t="shared" si="20"/>
        <v>#DIV/0!</v>
      </c>
      <c r="AD83" s="1" t="e">
        <f t="shared" si="20"/>
        <v>#DIV/0!</v>
      </c>
      <c r="AE83" s="1" t="e">
        <f t="shared" si="20"/>
        <v>#DIV/0!</v>
      </c>
      <c r="AF83" s="1" t="e">
        <f t="shared" si="20"/>
        <v>#DIV/0!</v>
      </c>
      <c r="AG83" s="1" t="e">
        <f t="shared" si="20"/>
        <v>#DIV/0!</v>
      </c>
      <c r="AH83" s="1" t="e">
        <f t="shared" si="20"/>
        <v>#DIV/0!</v>
      </c>
      <c r="AI83" s="1" t="e">
        <f t="shared" si="20"/>
        <v>#DIV/0!</v>
      </c>
      <c r="AJ83" s="1" t="e">
        <f t="shared" si="20"/>
        <v>#DIV/0!</v>
      </c>
    </row>
    <row r="84" spans="1:36">
      <c r="A84" s="29">
        <f t="shared" si="4"/>
        <v>-48</v>
      </c>
      <c r="B84" s="74"/>
      <c r="C84" s="74"/>
      <c r="D84" s="74"/>
      <c r="E84" s="1" t="e">
        <f t="shared" si="16"/>
        <v>#DIV/0!</v>
      </c>
      <c r="F84" s="1" t="e">
        <f t="shared" si="16"/>
        <v>#DIV/0!</v>
      </c>
      <c r="G84" s="1" t="e">
        <f t="shared" si="16"/>
        <v>#DIV/0!</v>
      </c>
      <c r="H84" s="1" t="e">
        <f t="shared" si="16"/>
        <v>#DIV/0!</v>
      </c>
      <c r="I84" s="1" t="e">
        <f t="shared" si="16"/>
        <v>#DIV/0!</v>
      </c>
      <c r="J84" s="1" t="e">
        <f t="shared" ref="J84:AJ84" si="21">(J21-$B21)/$B$4</f>
        <v>#DIV/0!</v>
      </c>
      <c r="K84" s="1" t="e">
        <f t="shared" si="21"/>
        <v>#DIV/0!</v>
      </c>
      <c r="L84" s="1" t="e">
        <f t="shared" si="21"/>
        <v>#DIV/0!</v>
      </c>
      <c r="M84" s="1" t="e">
        <f t="shared" si="21"/>
        <v>#DIV/0!</v>
      </c>
      <c r="N84" s="1" t="e">
        <f t="shared" si="21"/>
        <v>#DIV/0!</v>
      </c>
      <c r="O84" s="1" t="e">
        <f t="shared" si="21"/>
        <v>#DIV/0!</v>
      </c>
      <c r="P84" s="1" t="e">
        <f t="shared" si="21"/>
        <v>#DIV/0!</v>
      </c>
      <c r="Q84" s="1" t="e">
        <f t="shared" si="21"/>
        <v>#DIV/0!</v>
      </c>
      <c r="R84" s="1" t="e">
        <f t="shared" si="21"/>
        <v>#DIV/0!</v>
      </c>
      <c r="S84" s="1" t="e">
        <f t="shared" si="21"/>
        <v>#DIV/0!</v>
      </c>
      <c r="T84" s="1" t="e">
        <f t="shared" si="21"/>
        <v>#DIV/0!</v>
      </c>
      <c r="U84" s="1" t="e">
        <f t="shared" si="21"/>
        <v>#DIV/0!</v>
      </c>
      <c r="V84" s="1" t="e">
        <f t="shared" si="21"/>
        <v>#DIV/0!</v>
      </c>
      <c r="W84" s="1" t="e">
        <f t="shared" si="21"/>
        <v>#DIV/0!</v>
      </c>
      <c r="X84" s="1" t="e">
        <f t="shared" si="21"/>
        <v>#DIV/0!</v>
      </c>
      <c r="Y84" s="1" t="e">
        <f t="shared" si="21"/>
        <v>#DIV/0!</v>
      </c>
      <c r="Z84" s="1" t="e">
        <f t="shared" si="21"/>
        <v>#DIV/0!</v>
      </c>
      <c r="AA84" s="1" t="e">
        <f t="shared" si="21"/>
        <v>#DIV/0!</v>
      </c>
      <c r="AB84" s="1" t="e">
        <f t="shared" si="21"/>
        <v>#DIV/0!</v>
      </c>
      <c r="AC84" s="1" t="e">
        <f t="shared" si="21"/>
        <v>#DIV/0!</v>
      </c>
      <c r="AD84" s="1" t="e">
        <f t="shared" si="21"/>
        <v>#DIV/0!</v>
      </c>
      <c r="AE84" s="1" t="e">
        <f t="shared" si="21"/>
        <v>#DIV/0!</v>
      </c>
      <c r="AF84" s="1" t="e">
        <f t="shared" si="21"/>
        <v>#DIV/0!</v>
      </c>
      <c r="AG84" s="1" t="e">
        <f t="shared" si="21"/>
        <v>#DIV/0!</v>
      </c>
      <c r="AH84" s="1" t="e">
        <f t="shared" si="21"/>
        <v>#DIV/0!</v>
      </c>
      <c r="AI84" s="1" t="e">
        <f t="shared" si="21"/>
        <v>#DIV/0!</v>
      </c>
      <c r="AJ84" s="1" t="e">
        <f t="shared" si="21"/>
        <v>#DIV/0!</v>
      </c>
    </row>
    <row r="85" spans="1:36">
      <c r="A85" s="29">
        <f t="shared" si="4"/>
        <v>-45</v>
      </c>
      <c r="B85" s="74"/>
      <c r="C85" s="74"/>
      <c r="D85" s="74"/>
      <c r="E85" s="1" t="e">
        <f t="shared" si="16"/>
        <v>#DIV/0!</v>
      </c>
      <c r="F85" s="1" t="e">
        <f t="shared" si="16"/>
        <v>#DIV/0!</v>
      </c>
      <c r="G85" s="1" t="e">
        <f t="shared" si="16"/>
        <v>#DIV/0!</v>
      </c>
      <c r="H85" s="1" t="e">
        <f t="shared" si="16"/>
        <v>#DIV/0!</v>
      </c>
      <c r="I85" s="1" t="e">
        <f t="shared" si="16"/>
        <v>#DIV/0!</v>
      </c>
      <c r="J85" s="1" t="e">
        <f t="shared" ref="J85:AJ85" si="22">(J22-$B22)/$B$4</f>
        <v>#DIV/0!</v>
      </c>
      <c r="K85" s="1" t="e">
        <f t="shared" si="22"/>
        <v>#DIV/0!</v>
      </c>
      <c r="L85" s="1" t="e">
        <f t="shared" si="22"/>
        <v>#DIV/0!</v>
      </c>
      <c r="M85" s="1" t="e">
        <f t="shared" si="22"/>
        <v>#DIV/0!</v>
      </c>
      <c r="N85" s="1" t="e">
        <f t="shared" si="22"/>
        <v>#DIV/0!</v>
      </c>
      <c r="O85" s="1" t="e">
        <f t="shared" si="22"/>
        <v>#DIV/0!</v>
      </c>
      <c r="P85" s="1" t="e">
        <f t="shared" si="22"/>
        <v>#DIV/0!</v>
      </c>
      <c r="Q85" s="1" t="e">
        <f t="shared" si="22"/>
        <v>#DIV/0!</v>
      </c>
      <c r="R85" s="1" t="e">
        <f t="shared" si="22"/>
        <v>#DIV/0!</v>
      </c>
      <c r="S85" s="1" t="e">
        <f t="shared" si="22"/>
        <v>#DIV/0!</v>
      </c>
      <c r="T85" s="1" t="e">
        <f t="shared" si="22"/>
        <v>#DIV/0!</v>
      </c>
      <c r="U85" s="1" t="e">
        <f t="shared" si="22"/>
        <v>#DIV/0!</v>
      </c>
      <c r="V85" s="1" t="e">
        <f t="shared" si="22"/>
        <v>#DIV/0!</v>
      </c>
      <c r="W85" s="1" t="e">
        <f t="shared" si="22"/>
        <v>#DIV/0!</v>
      </c>
      <c r="X85" s="1" t="e">
        <f t="shared" si="22"/>
        <v>#DIV/0!</v>
      </c>
      <c r="Y85" s="1" t="e">
        <f t="shared" si="22"/>
        <v>#DIV/0!</v>
      </c>
      <c r="Z85" s="1" t="e">
        <f t="shared" si="22"/>
        <v>#DIV/0!</v>
      </c>
      <c r="AA85" s="1" t="e">
        <f t="shared" si="22"/>
        <v>#DIV/0!</v>
      </c>
      <c r="AB85" s="1" t="e">
        <f t="shared" si="22"/>
        <v>#DIV/0!</v>
      </c>
      <c r="AC85" s="1" t="e">
        <f t="shared" si="22"/>
        <v>#DIV/0!</v>
      </c>
      <c r="AD85" s="1" t="e">
        <f t="shared" si="22"/>
        <v>#DIV/0!</v>
      </c>
      <c r="AE85" s="1" t="e">
        <f t="shared" si="22"/>
        <v>#DIV/0!</v>
      </c>
      <c r="AF85" s="1" t="e">
        <f t="shared" si="22"/>
        <v>#DIV/0!</v>
      </c>
      <c r="AG85" s="1" t="e">
        <f t="shared" si="22"/>
        <v>#DIV/0!</v>
      </c>
      <c r="AH85" s="1" t="e">
        <f t="shared" si="22"/>
        <v>#DIV/0!</v>
      </c>
      <c r="AI85" s="1" t="e">
        <f t="shared" si="22"/>
        <v>#DIV/0!</v>
      </c>
      <c r="AJ85" s="1" t="e">
        <f t="shared" si="22"/>
        <v>#DIV/0!</v>
      </c>
    </row>
    <row r="86" spans="1:36">
      <c r="A86" s="29">
        <f t="shared" si="4"/>
        <v>-42</v>
      </c>
      <c r="B86" s="74"/>
      <c r="C86" s="74"/>
      <c r="D86" s="74"/>
      <c r="E86" s="1" t="e">
        <f t="shared" si="16"/>
        <v>#DIV/0!</v>
      </c>
      <c r="F86" s="1" t="e">
        <f t="shared" si="16"/>
        <v>#DIV/0!</v>
      </c>
      <c r="G86" s="1" t="e">
        <f t="shared" si="16"/>
        <v>#DIV/0!</v>
      </c>
      <c r="H86" s="1" t="e">
        <f t="shared" si="16"/>
        <v>#DIV/0!</v>
      </c>
      <c r="I86" s="1" t="e">
        <f t="shared" si="16"/>
        <v>#DIV/0!</v>
      </c>
      <c r="J86" s="1" t="e">
        <f t="shared" ref="J86:AJ86" si="23">(J23-$B23)/$B$4</f>
        <v>#DIV/0!</v>
      </c>
      <c r="K86" s="1" t="e">
        <f t="shared" si="23"/>
        <v>#DIV/0!</v>
      </c>
      <c r="L86" s="1" t="e">
        <f t="shared" si="23"/>
        <v>#DIV/0!</v>
      </c>
      <c r="M86" s="1" t="e">
        <f t="shared" si="23"/>
        <v>#DIV/0!</v>
      </c>
      <c r="N86" s="1" t="e">
        <f t="shared" si="23"/>
        <v>#DIV/0!</v>
      </c>
      <c r="O86" s="1" t="e">
        <f t="shared" si="23"/>
        <v>#DIV/0!</v>
      </c>
      <c r="P86" s="1" t="e">
        <f t="shared" si="23"/>
        <v>#DIV/0!</v>
      </c>
      <c r="Q86" s="1" t="e">
        <f t="shared" si="23"/>
        <v>#DIV/0!</v>
      </c>
      <c r="R86" s="1" t="e">
        <f t="shared" si="23"/>
        <v>#DIV/0!</v>
      </c>
      <c r="S86" s="1" t="e">
        <f t="shared" si="23"/>
        <v>#DIV/0!</v>
      </c>
      <c r="T86" s="1" t="e">
        <f t="shared" si="23"/>
        <v>#DIV/0!</v>
      </c>
      <c r="U86" s="1" t="e">
        <f t="shared" si="23"/>
        <v>#DIV/0!</v>
      </c>
      <c r="V86" s="1" t="e">
        <f t="shared" si="23"/>
        <v>#DIV/0!</v>
      </c>
      <c r="W86" s="1" t="e">
        <f t="shared" si="23"/>
        <v>#DIV/0!</v>
      </c>
      <c r="X86" s="1" t="e">
        <f t="shared" si="23"/>
        <v>#DIV/0!</v>
      </c>
      <c r="Y86" s="1" t="e">
        <f t="shared" si="23"/>
        <v>#DIV/0!</v>
      </c>
      <c r="Z86" s="1" t="e">
        <f t="shared" si="23"/>
        <v>#DIV/0!</v>
      </c>
      <c r="AA86" s="1" t="e">
        <f t="shared" si="23"/>
        <v>#DIV/0!</v>
      </c>
      <c r="AB86" s="1" t="e">
        <f t="shared" si="23"/>
        <v>#DIV/0!</v>
      </c>
      <c r="AC86" s="1" t="e">
        <f t="shared" si="23"/>
        <v>#DIV/0!</v>
      </c>
      <c r="AD86" s="1" t="e">
        <f t="shared" si="23"/>
        <v>#DIV/0!</v>
      </c>
      <c r="AE86" s="1" t="e">
        <f t="shared" si="23"/>
        <v>#DIV/0!</v>
      </c>
      <c r="AF86" s="1" t="e">
        <f t="shared" si="23"/>
        <v>#DIV/0!</v>
      </c>
      <c r="AG86" s="1" t="e">
        <f t="shared" si="23"/>
        <v>#DIV/0!</v>
      </c>
      <c r="AH86" s="1" t="e">
        <f t="shared" si="23"/>
        <v>#DIV/0!</v>
      </c>
      <c r="AI86" s="1" t="e">
        <f t="shared" si="23"/>
        <v>#DIV/0!</v>
      </c>
      <c r="AJ86" s="1" t="e">
        <f t="shared" si="23"/>
        <v>#DIV/0!</v>
      </c>
    </row>
    <row r="87" spans="1:36">
      <c r="A87" s="29">
        <f t="shared" si="4"/>
        <v>-39</v>
      </c>
      <c r="B87" s="74"/>
      <c r="C87" s="74"/>
      <c r="D87" s="74"/>
      <c r="E87" s="1" t="e">
        <f t="shared" si="16"/>
        <v>#DIV/0!</v>
      </c>
      <c r="F87" s="1" t="e">
        <f t="shared" si="16"/>
        <v>#DIV/0!</v>
      </c>
      <c r="G87" s="1" t="e">
        <f t="shared" si="16"/>
        <v>#DIV/0!</v>
      </c>
      <c r="H87" s="1" t="e">
        <f t="shared" si="16"/>
        <v>#DIV/0!</v>
      </c>
      <c r="I87" s="1" t="e">
        <f t="shared" si="16"/>
        <v>#DIV/0!</v>
      </c>
      <c r="J87" s="1" t="e">
        <f t="shared" ref="J87:AJ87" si="24">(J24-$B24)/$B$4</f>
        <v>#DIV/0!</v>
      </c>
      <c r="K87" s="1" t="e">
        <f t="shared" si="24"/>
        <v>#DIV/0!</v>
      </c>
      <c r="L87" s="1" t="e">
        <f t="shared" si="24"/>
        <v>#DIV/0!</v>
      </c>
      <c r="M87" s="1" t="e">
        <f t="shared" si="24"/>
        <v>#DIV/0!</v>
      </c>
      <c r="N87" s="1" t="e">
        <f t="shared" si="24"/>
        <v>#DIV/0!</v>
      </c>
      <c r="O87" s="1" t="e">
        <f t="shared" si="24"/>
        <v>#DIV/0!</v>
      </c>
      <c r="P87" s="1" t="e">
        <f t="shared" si="24"/>
        <v>#DIV/0!</v>
      </c>
      <c r="Q87" s="1" t="e">
        <f t="shared" si="24"/>
        <v>#DIV/0!</v>
      </c>
      <c r="R87" s="1" t="e">
        <f t="shared" si="24"/>
        <v>#DIV/0!</v>
      </c>
      <c r="S87" s="1" t="e">
        <f t="shared" si="24"/>
        <v>#DIV/0!</v>
      </c>
      <c r="T87" s="1" t="e">
        <f t="shared" si="24"/>
        <v>#DIV/0!</v>
      </c>
      <c r="U87" s="1" t="e">
        <f t="shared" si="24"/>
        <v>#DIV/0!</v>
      </c>
      <c r="V87" s="1" t="e">
        <f t="shared" si="24"/>
        <v>#DIV/0!</v>
      </c>
      <c r="W87" s="1" t="e">
        <f t="shared" si="24"/>
        <v>#DIV/0!</v>
      </c>
      <c r="X87" s="1" t="e">
        <f t="shared" si="24"/>
        <v>#DIV/0!</v>
      </c>
      <c r="Y87" s="1" t="e">
        <f t="shared" si="24"/>
        <v>#DIV/0!</v>
      </c>
      <c r="Z87" s="1" t="e">
        <f t="shared" si="24"/>
        <v>#DIV/0!</v>
      </c>
      <c r="AA87" s="1" t="e">
        <f t="shared" si="24"/>
        <v>#DIV/0!</v>
      </c>
      <c r="AB87" s="1" t="e">
        <f t="shared" si="24"/>
        <v>#DIV/0!</v>
      </c>
      <c r="AC87" s="1" t="e">
        <f t="shared" si="24"/>
        <v>#DIV/0!</v>
      </c>
      <c r="AD87" s="1" t="e">
        <f t="shared" si="24"/>
        <v>#DIV/0!</v>
      </c>
      <c r="AE87" s="1" t="e">
        <f t="shared" si="24"/>
        <v>#DIV/0!</v>
      </c>
      <c r="AF87" s="1" t="e">
        <f t="shared" si="24"/>
        <v>#DIV/0!</v>
      </c>
      <c r="AG87" s="1" t="e">
        <f t="shared" si="24"/>
        <v>#DIV/0!</v>
      </c>
      <c r="AH87" s="1" t="e">
        <f t="shared" si="24"/>
        <v>#DIV/0!</v>
      </c>
      <c r="AI87" s="1" t="e">
        <f t="shared" si="24"/>
        <v>#DIV/0!</v>
      </c>
      <c r="AJ87" s="1" t="e">
        <f t="shared" si="24"/>
        <v>#DIV/0!</v>
      </c>
    </row>
    <row r="88" spans="1:36">
      <c r="A88" s="29">
        <f t="shared" si="4"/>
        <v>-36</v>
      </c>
      <c r="B88" s="74"/>
      <c r="C88" s="74"/>
      <c r="D88" s="74"/>
      <c r="E88" s="1" t="e">
        <f t="shared" si="16"/>
        <v>#DIV/0!</v>
      </c>
      <c r="F88" s="1" t="e">
        <f t="shared" si="16"/>
        <v>#DIV/0!</v>
      </c>
      <c r="G88" s="1" t="e">
        <f t="shared" si="16"/>
        <v>#DIV/0!</v>
      </c>
      <c r="H88" s="1" t="e">
        <f t="shared" si="16"/>
        <v>#DIV/0!</v>
      </c>
      <c r="I88" s="1" t="e">
        <f t="shared" si="16"/>
        <v>#DIV/0!</v>
      </c>
      <c r="J88" s="1" t="e">
        <f t="shared" ref="J88:AJ88" si="25">(J25-$B25)/$B$4</f>
        <v>#DIV/0!</v>
      </c>
      <c r="K88" s="1" t="e">
        <f t="shared" si="25"/>
        <v>#DIV/0!</v>
      </c>
      <c r="L88" s="1" t="e">
        <f t="shared" si="25"/>
        <v>#DIV/0!</v>
      </c>
      <c r="M88" s="1" t="e">
        <f t="shared" si="25"/>
        <v>#DIV/0!</v>
      </c>
      <c r="N88" s="1" t="e">
        <f t="shared" si="25"/>
        <v>#DIV/0!</v>
      </c>
      <c r="O88" s="1" t="e">
        <f t="shared" si="25"/>
        <v>#DIV/0!</v>
      </c>
      <c r="P88" s="1" t="e">
        <f t="shared" si="25"/>
        <v>#DIV/0!</v>
      </c>
      <c r="Q88" s="1" t="e">
        <f t="shared" si="25"/>
        <v>#DIV/0!</v>
      </c>
      <c r="R88" s="1" t="e">
        <f t="shared" si="25"/>
        <v>#DIV/0!</v>
      </c>
      <c r="S88" s="1" t="e">
        <f t="shared" si="25"/>
        <v>#DIV/0!</v>
      </c>
      <c r="T88" s="1" t="e">
        <f t="shared" si="25"/>
        <v>#DIV/0!</v>
      </c>
      <c r="U88" s="1" t="e">
        <f t="shared" si="25"/>
        <v>#DIV/0!</v>
      </c>
      <c r="V88" s="1" t="e">
        <f t="shared" si="25"/>
        <v>#DIV/0!</v>
      </c>
      <c r="W88" s="1" t="e">
        <f t="shared" si="25"/>
        <v>#DIV/0!</v>
      </c>
      <c r="X88" s="1" t="e">
        <f t="shared" si="25"/>
        <v>#DIV/0!</v>
      </c>
      <c r="Y88" s="1" t="e">
        <f t="shared" si="25"/>
        <v>#DIV/0!</v>
      </c>
      <c r="Z88" s="1" t="e">
        <f t="shared" si="25"/>
        <v>#DIV/0!</v>
      </c>
      <c r="AA88" s="1" t="e">
        <f t="shared" si="25"/>
        <v>#DIV/0!</v>
      </c>
      <c r="AB88" s="1" t="e">
        <f t="shared" si="25"/>
        <v>#DIV/0!</v>
      </c>
      <c r="AC88" s="1" t="e">
        <f t="shared" si="25"/>
        <v>#DIV/0!</v>
      </c>
      <c r="AD88" s="1" t="e">
        <f t="shared" si="25"/>
        <v>#DIV/0!</v>
      </c>
      <c r="AE88" s="1" t="e">
        <f t="shared" si="25"/>
        <v>#DIV/0!</v>
      </c>
      <c r="AF88" s="1" t="e">
        <f t="shared" si="25"/>
        <v>#DIV/0!</v>
      </c>
      <c r="AG88" s="1" t="e">
        <f t="shared" si="25"/>
        <v>#DIV/0!</v>
      </c>
      <c r="AH88" s="1" t="e">
        <f t="shared" si="25"/>
        <v>#DIV/0!</v>
      </c>
      <c r="AI88" s="1" t="e">
        <f t="shared" si="25"/>
        <v>#DIV/0!</v>
      </c>
      <c r="AJ88" s="1" t="e">
        <f t="shared" si="25"/>
        <v>#DIV/0!</v>
      </c>
    </row>
    <row r="89" spans="1:36">
      <c r="A89" s="29">
        <f t="shared" si="4"/>
        <v>-33</v>
      </c>
      <c r="B89" s="74"/>
      <c r="C89" s="74"/>
      <c r="D89" s="74"/>
      <c r="E89" s="1" t="e">
        <f t="shared" si="16"/>
        <v>#DIV/0!</v>
      </c>
      <c r="F89" s="1" t="e">
        <f t="shared" si="16"/>
        <v>#DIV/0!</v>
      </c>
      <c r="G89" s="1" t="e">
        <f t="shared" si="16"/>
        <v>#DIV/0!</v>
      </c>
      <c r="H89" s="1" t="e">
        <f t="shared" si="16"/>
        <v>#DIV/0!</v>
      </c>
      <c r="I89" s="1" t="e">
        <f t="shared" si="16"/>
        <v>#DIV/0!</v>
      </c>
      <c r="J89" s="1" t="e">
        <f t="shared" ref="J89:AJ89" si="26">(J26-$B26)/$B$4</f>
        <v>#DIV/0!</v>
      </c>
      <c r="K89" s="1" t="e">
        <f t="shared" si="26"/>
        <v>#DIV/0!</v>
      </c>
      <c r="L89" s="1" t="e">
        <f t="shared" si="26"/>
        <v>#DIV/0!</v>
      </c>
      <c r="M89" s="1" t="e">
        <f t="shared" si="26"/>
        <v>#DIV/0!</v>
      </c>
      <c r="N89" s="1" t="e">
        <f t="shared" si="26"/>
        <v>#DIV/0!</v>
      </c>
      <c r="O89" s="1" t="e">
        <f t="shared" si="26"/>
        <v>#DIV/0!</v>
      </c>
      <c r="P89" s="1" t="e">
        <f t="shared" si="26"/>
        <v>#DIV/0!</v>
      </c>
      <c r="Q89" s="1" t="e">
        <f t="shared" si="26"/>
        <v>#DIV/0!</v>
      </c>
      <c r="R89" s="1" t="e">
        <f t="shared" si="26"/>
        <v>#DIV/0!</v>
      </c>
      <c r="S89" s="1" t="e">
        <f t="shared" si="26"/>
        <v>#DIV/0!</v>
      </c>
      <c r="T89" s="1" t="e">
        <f t="shared" si="26"/>
        <v>#DIV/0!</v>
      </c>
      <c r="U89" s="1" t="e">
        <f t="shared" si="26"/>
        <v>#DIV/0!</v>
      </c>
      <c r="V89" s="1" t="e">
        <f t="shared" si="26"/>
        <v>#DIV/0!</v>
      </c>
      <c r="W89" s="1" t="e">
        <f t="shared" si="26"/>
        <v>#DIV/0!</v>
      </c>
      <c r="X89" s="1" t="e">
        <f t="shared" si="26"/>
        <v>#DIV/0!</v>
      </c>
      <c r="Y89" s="1" t="e">
        <f t="shared" si="26"/>
        <v>#DIV/0!</v>
      </c>
      <c r="Z89" s="1" t="e">
        <f t="shared" si="26"/>
        <v>#DIV/0!</v>
      </c>
      <c r="AA89" s="1" t="e">
        <f t="shared" si="26"/>
        <v>#DIV/0!</v>
      </c>
      <c r="AB89" s="1" t="e">
        <f t="shared" si="26"/>
        <v>#DIV/0!</v>
      </c>
      <c r="AC89" s="1" t="e">
        <f t="shared" si="26"/>
        <v>#DIV/0!</v>
      </c>
      <c r="AD89" s="1" t="e">
        <f t="shared" si="26"/>
        <v>#DIV/0!</v>
      </c>
      <c r="AE89" s="1" t="e">
        <f t="shared" si="26"/>
        <v>#DIV/0!</v>
      </c>
      <c r="AF89" s="1" t="e">
        <f t="shared" si="26"/>
        <v>#DIV/0!</v>
      </c>
      <c r="AG89" s="1" t="e">
        <f t="shared" si="26"/>
        <v>#DIV/0!</v>
      </c>
      <c r="AH89" s="1" t="e">
        <f t="shared" si="26"/>
        <v>#DIV/0!</v>
      </c>
      <c r="AI89" s="1" t="e">
        <f t="shared" si="26"/>
        <v>#DIV/0!</v>
      </c>
      <c r="AJ89" s="1" t="e">
        <f t="shared" si="26"/>
        <v>#DIV/0!</v>
      </c>
    </row>
    <row r="90" spans="1:36">
      <c r="A90" s="29">
        <f t="shared" si="4"/>
        <v>-30</v>
      </c>
      <c r="B90" s="74"/>
      <c r="C90" s="74"/>
      <c r="D90" s="74"/>
      <c r="E90" s="1" t="e">
        <f t="shared" ref="E90:I99" si="27">(E27-$B27)/$B$4</f>
        <v>#DIV/0!</v>
      </c>
      <c r="F90" s="1" t="e">
        <f t="shared" si="27"/>
        <v>#DIV/0!</v>
      </c>
      <c r="G90" s="1" t="e">
        <f t="shared" si="27"/>
        <v>#DIV/0!</v>
      </c>
      <c r="H90" s="1" t="e">
        <f t="shared" si="27"/>
        <v>#DIV/0!</v>
      </c>
      <c r="I90" s="1" t="e">
        <f t="shared" si="27"/>
        <v>#DIV/0!</v>
      </c>
      <c r="J90" s="1" t="e">
        <f t="shared" ref="J90:AJ90" si="28">(J27-$B27)/$B$4</f>
        <v>#DIV/0!</v>
      </c>
      <c r="K90" s="1" t="e">
        <f t="shared" si="28"/>
        <v>#DIV/0!</v>
      </c>
      <c r="L90" s="1" t="e">
        <f t="shared" si="28"/>
        <v>#DIV/0!</v>
      </c>
      <c r="M90" s="1" t="e">
        <f t="shared" si="28"/>
        <v>#DIV/0!</v>
      </c>
      <c r="N90" s="1" t="e">
        <f t="shared" si="28"/>
        <v>#DIV/0!</v>
      </c>
      <c r="O90" s="1" t="e">
        <f t="shared" si="28"/>
        <v>#DIV/0!</v>
      </c>
      <c r="P90" s="1" t="e">
        <f t="shared" si="28"/>
        <v>#DIV/0!</v>
      </c>
      <c r="Q90" s="1" t="e">
        <f t="shared" si="28"/>
        <v>#DIV/0!</v>
      </c>
      <c r="R90" s="1" t="e">
        <f t="shared" si="28"/>
        <v>#DIV/0!</v>
      </c>
      <c r="S90" s="1" t="e">
        <f t="shared" si="28"/>
        <v>#DIV/0!</v>
      </c>
      <c r="T90" s="1" t="e">
        <f t="shared" si="28"/>
        <v>#DIV/0!</v>
      </c>
      <c r="U90" s="1" t="e">
        <f t="shared" si="28"/>
        <v>#DIV/0!</v>
      </c>
      <c r="V90" s="1" t="e">
        <f t="shared" si="28"/>
        <v>#DIV/0!</v>
      </c>
      <c r="W90" s="1" t="e">
        <f t="shared" si="28"/>
        <v>#DIV/0!</v>
      </c>
      <c r="X90" s="1" t="e">
        <f t="shared" si="28"/>
        <v>#DIV/0!</v>
      </c>
      <c r="Y90" s="1" t="e">
        <f t="shared" si="28"/>
        <v>#DIV/0!</v>
      </c>
      <c r="Z90" s="1" t="e">
        <f t="shared" si="28"/>
        <v>#DIV/0!</v>
      </c>
      <c r="AA90" s="1" t="e">
        <f t="shared" si="28"/>
        <v>#DIV/0!</v>
      </c>
      <c r="AB90" s="1" t="e">
        <f t="shared" si="28"/>
        <v>#DIV/0!</v>
      </c>
      <c r="AC90" s="1" t="e">
        <f t="shared" si="28"/>
        <v>#DIV/0!</v>
      </c>
      <c r="AD90" s="1" t="e">
        <f t="shared" si="28"/>
        <v>#DIV/0!</v>
      </c>
      <c r="AE90" s="1" t="e">
        <f t="shared" si="28"/>
        <v>#DIV/0!</v>
      </c>
      <c r="AF90" s="1" t="e">
        <f t="shared" si="28"/>
        <v>#DIV/0!</v>
      </c>
      <c r="AG90" s="1" t="e">
        <f t="shared" si="28"/>
        <v>#DIV/0!</v>
      </c>
      <c r="AH90" s="1" t="e">
        <f t="shared" si="28"/>
        <v>#DIV/0!</v>
      </c>
      <c r="AI90" s="1" t="e">
        <f t="shared" si="28"/>
        <v>#DIV/0!</v>
      </c>
      <c r="AJ90" s="1" t="e">
        <f t="shared" si="28"/>
        <v>#DIV/0!</v>
      </c>
    </row>
    <row r="91" spans="1:36">
      <c r="A91" s="29">
        <f t="shared" si="4"/>
        <v>-27</v>
      </c>
      <c r="B91" s="74"/>
      <c r="C91" s="74"/>
      <c r="D91" s="74"/>
      <c r="E91" s="1" t="e">
        <f t="shared" si="27"/>
        <v>#DIV/0!</v>
      </c>
      <c r="F91" s="1" t="e">
        <f t="shared" si="27"/>
        <v>#DIV/0!</v>
      </c>
      <c r="G91" s="1" t="e">
        <f t="shared" si="27"/>
        <v>#DIV/0!</v>
      </c>
      <c r="H91" s="1" t="e">
        <f t="shared" si="27"/>
        <v>#DIV/0!</v>
      </c>
      <c r="I91" s="1" t="e">
        <f t="shared" si="27"/>
        <v>#DIV/0!</v>
      </c>
      <c r="J91" s="1" t="e">
        <f t="shared" ref="J91:AJ91" si="29">(J28-$B28)/$B$4</f>
        <v>#DIV/0!</v>
      </c>
      <c r="K91" s="1" t="e">
        <f t="shared" si="29"/>
        <v>#DIV/0!</v>
      </c>
      <c r="L91" s="1" t="e">
        <f t="shared" si="29"/>
        <v>#DIV/0!</v>
      </c>
      <c r="M91" s="1" t="e">
        <f t="shared" si="29"/>
        <v>#DIV/0!</v>
      </c>
      <c r="N91" s="1" t="e">
        <f t="shared" si="29"/>
        <v>#DIV/0!</v>
      </c>
      <c r="O91" s="1" t="e">
        <f t="shared" si="29"/>
        <v>#DIV/0!</v>
      </c>
      <c r="P91" s="1" t="e">
        <f t="shared" si="29"/>
        <v>#DIV/0!</v>
      </c>
      <c r="Q91" s="1" t="e">
        <f t="shared" si="29"/>
        <v>#DIV/0!</v>
      </c>
      <c r="R91" s="1" t="e">
        <f t="shared" si="29"/>
        <v>#DIV/0!</v>
      </c>
      <c r="S91" s="1" t="e">
        <f t="shared" si="29"/>
        <v>#DIV/0!</v>
      </c>
      <c r="T91" s="1" t="e">
        <f t="shared" si="29"/>
        <v>#DIV/0!</v>
      </c>
      <c r="U91" s="1" t="e">
        <f t="shared" si="29"/>
        <v>#DIV/0!</v>
      </c>
      <c r="V91" s="1" t="e">
        <f t="shared" si="29"/>
        <v>#DIV/0!</v>
      </c>
      <c r="W91" s="1" t="e">
        <f t="shared" si="29"/>
        <v>#DIV/0!</v>
      </c>
      <c r="X91" s="1" t="e">
        <f t="shared" si="29"/>
        <v>#DIV/0!</v>
      </c>
      <c r="Y91" s="1" t="e">
        <f t="shared" si="29"/>
        <v>#DIV/0!</v>
      </c>
      <c r="Z91" s="1" t="e">
        <f t="shared" si="29"/>
        <v>#DIV/0!</v>
      </c>
      <c r="AA91" s="1" t="e">
        <f t="shared" si="29"/>
        <v>#DIV/0!</v>
      </c>
      <c r="AB91" s="1" t="e">
        <f t="shared" si="29"/>
        <v>#DIV/0!</v>
      </c>
      <c r="AC91" s="1" t="e">
        <f t="shared" si="29"/>
        <v>#DIV/0!</v>
      </c>
      <c r="AD91" s="1" t="e">
        <f t="shared" si="29"/>
        <v>#DIV/0!</v>
      </c>
      <c r="AE91" s="1" t="e">
        <f t="shared" si="29"/>
        <v>#DIV/0!</v>
      </c>
      <c r="AF91" s="1" t="e">
        <f t="shared" si="29"/>
        <v>#DIV/0!</v>
      </c>
      <c r="AG91" s="1" t="e">
        <f t="shared" si="29"/>
        <v>#DIV/0!</v>
      </c>
      <c r="AH91" s="1" t="e">
        <f t="shared" si="29"/>
        <v>#DIV/0!</v>
      </c>
      <c r="AI91" s="1" t="e">
        <f t="shared" si="29"/>
        <v>#DIV/0!</v>
      </c>
      <c r="AJ91" s="1" t="e">
        <f t="shared" si="29"/>
        <v>#DIV/0!</v>
      </c>
    </row>
    <row r="92" spans="1:36">
      <c r="A92" s="29">
        <f t="shared" si="4"/>
        <v>-24</v>
      </c>
      <c r="B92" s="74"/>
      <c r="C92" s="74"/>
      <c r="D92" s="74"/>
      <c r="E92" s="1" t="e">
        <f t="shared" si="27"/>
        <v>#DIV/0!</v>
      </c>
      <c r="F92" s="1" t="e">
        <f t="shared" si="27"/>
        <v>#DIV/0!</v>
      </c>
      <c r="G92" s="1" t="e">
        <f t="shared" si="27"/>
        <v>#DIV/0!</v>
      </c>
      <c r="H92" s="1" t="e">
        <f t="shared" si="27"/>
        <v>#DIV/0!</v>
      </c>
      <c r="I92" s="1" t="e">
        <f t="shared" si="27"/>
        <v>#DIV/0!</v>
      </c>
      <c r="J92" s="1" t="e">
        <f t="shared" ref="J92:AJ92" si="30">(J29-$B29)/$B$4</f>
        <v>#DIV/0!</v>
      </c>
      <c r="K92" s="1" t="e">
        <f t="shared" si="30"/>
        <v>#DIV/0!</v>
      </c>
      <c r="L92" s="1" t="e">
        <f t="shared" si="30"/>
        <v>#DIV/0!</v>
      </c>
      <c r="M92" s="1" t="e">
        <f t="shared" si="30"/>
        <v>#DIV/0!</v>
      </c>
      <c r="N92" s="1" t="e">
        <f t="shared" si="30"/>
        <v>#DIV/0!</v>
      </c>
      <c r="O92" s="1" t="e">
        <f t="shared" si="30"/>
        <v>#DIV/0!</v>
      </c>
      <c r="P92" s="1" t="e">
        <f t="shared" si="30"/>
        <v>#DIV/0!</v>
      </c>
      <c r="Q92" s="1" t="e">
        <f t="shared" si="30"/>
        <v>#DIV/0!</v>
      </c>
      <c r="R92" s="1" t="e">
        <f t="shared" si="30"/>
        <v>#DIV/0!</v>
      </c>
      <c r="S92" s="1" t="e">
        <f t="shared" si="30"/>
        <v>#DIV/0!</v>
      </c>
      <c r="T92" s="1" t="e">
        <f t="shared" si="30"/>
        <v>#DIV/0!</v>
      </c>
      <c r="U92" s="1" t="e">
        <f t="shared" si="30"/>
        <v>#DIV/0!</v>
      </c>
      <c r="V92" s="1" t="e">
        <f t="shared" si="30"/>
        <v>#DIV/0!</v>
      </c>
      <c r="W92" s="1" t="e">
        <f t="shared" si="30"/>
        <v>#DIV/0!</v>
      </c>
      <c r="X92" s="1" t="e">
        <f t="shared" si="30"/>
        <v>#DIV/0!</v>
      </c>
      <c r="Y92" s="1" t="e">
        <f t="shared" si="30"/>
        <v>#DIV/0!</v>
      </c>
      <c r="Z92" s="1" t="e">
        <f t="shared" si="30"/>
        <v>#DIV/0!</v>
      </c>
      <c r="AA92" s="1" t="e">
        <f t="shared" si="30"/>
        <v>#DIV/0!</v>
      </c>
      <c r="AB92" s="1" t="e">
        <f t="shared" si="30"/>
        <v>#DIV/0!</v>
      </c>
      <c r="AC92" s="1" t="e">
        <f t="shared" si="30"/>
        <v>#DIV/0!</v>
      </c>
      <c r="AD92" s="1" t="e">
        <f t="shared" si="30"/>
        <v>#DIV/0!</v>
      </c>
      <c r="AE92" s="1" t="e">
        <f t="shared" si="30"/>
        <v>#DIV/0!</v>
      </c>
      <c r="AF92" s="1" t="e">
        <f t="shared" si="30"/>
        <v>#DIV/0!</v>
      </c>
      <c r="AG92" s="1" t="e">
        <f t="shared" si="30"/>
        <v>#DIV/0!</v>
      </c>
      <c r="AH92" s="1" t="e">
        <f t="shared" si="30"/>
        <v>#DIV/0!</v>
      </c>
      <c r="AI92" s="1" t="e">
        <f t="shared" si="30"/>
        <v>#DIV/0!</v>
      </c>
      <c r="AJ92" s="1" t="e">
        <f t="shared" si="30"/>
        <v>#DIV/0!</v>
      </c>
    </row>
    <row r="93" spans="1:36">
      <c r="A93" s="29">
        <f t="shared" si="4"/>
        <v>-21</v>
      </c>
      <c r="B93" s="74"/>
      <c r="C93" s="74"/>
      <c r="D93" s="74"/>
      <c r="E93" s="1" t="e">
        <f t="shared" si="27"/>
        <v>#DIV/0!</v>
      </c>
      <c r="F93" s="1" t="e">
        <f t="shared" si="27"/>
        <v>#DIV/0!</v>
      </c>
      <c r="G93" s="1" t="e">
        <f t="shared" si="27"/>
        <v>#DIV/0!</v>
      </c>
      <c r="H93" s="1" t="e">
        <f t="shared" si="27"/>
        <v>#DIV/0!</v>
      </c>
      <c r="I93" s="1" t="e">
        <f t="shared" si="27"/>
        <v>#DIV/0!</v>
      </c>
      <c r="J93" s="1" t="e">
        <f t="shared" ref="J93:AJ93" si="31">(J30-$B30)/$B$4</f>
        <v>#DIV/0!</v>
      </c>
      <c r="K93" s="1" t="e">
        <f t="shared" si="31"/>
        <v>#DIV/0!</v>
      </c>
      <c r="L93" s="1" t="e">
        <f t="shared" si="31"/>
        <v>#DIV/0!</v>
      </c>
      <c r="M93" s="1" t="e">
        <f t="shared" si="31"/>
        <v>#DIV/0!</v>
      </c>
      <c r="N93" s="1" t="e">
        <f t="shared" si="31"/>
        <v>#DIV/0!</v>
      </c>
      <c r="O93" s="1" t="e">
        <f t="shared" si="31"/>
        <v>#DIV/0!</v>
      </c>
      <c r="P93" s="1" t="e">
        <f t="shared" si="31"/>
        <v>#DIV/0!</v>
      </c>
      <c r="Q93" s="1" t="e">
        <f t="shared" si="31"/>
        <v>#DIV/0!</v>
      </c>
      <c r="R93" s="1" t="e">
        <f t="shared" si="31"/>
        <v>#DIV/0!</v>
      </c>
      <c r="S93" s="1" t="e">
        <f t="shared" si="31"/>
        <v>#DIV/0!</v>
      </c>
      <c r="T93" s="1" t="e">
        <f t="shared" si="31"/>
        <v>#DIV/0!</v>
      </c>
      <c r="U93" s="1" t="e">
        <f t="shared" si="31"/>
        <v>#DIV/0!</v>
      </c>
      <c r="V93" s="1" t="e">
        <f t="shared" si="31"/>
        <v>#DIV/0!</v>
      </c>
      <c r="W93" s="1" t="e">
        <f t="shared" si="31"/>
        <v>#DIV/0!</v>
      </c>
      <c r="X93" s="1" t="e">
        <f t="shared" si="31"/>
        <v>#DIV/0!</v>
      </c>
      <c r="Y93" s="1" t="e">
        <f t="shared" si="31"/>
        <v>#DIV/0!</v>
      </c>
      <c r="Z93" s="1" t="e">
        <f t="shared" si="31"/>
        <v>#DIV/0!</v>
      </c>
      <c r="AA93" s="1" t="e">
        <f t="shared" si="31"/>
        <v>#DIV/0!</v>
      </c>
      <c r="AB93" s="1" t="e">
        <f t="shared" si="31"/>
        <v>#DIV/0!</v>
      </c>
      <c r="AC93" s="1" t="e">
        <f t="shared" si="31"/>
        <v>#DIV/0!</v>
      </c>
      <c r="AD93" s="1" t="e">
        <f t="shared" si="31"/>
        <v>#DIV/0!</v>
      </c>
      <c r="AE93" s="1" t="e">
        <f t="shared" si="31"/>
        <v>#DIV/0!</v>
      </c>
      <c r="AF93" s="1" t="e">
        <f t="shared" si="31"/>
        <v>#DIV/0!</v>
      </c>
      <c r="AG93" s="1" t="e">
        <f t="shared" si="31"/>
        <v>#DIV/0!</v>
      </c>
      <c r="AH93" s="1" t="e">
        <f t="shared" si="31"/>
        <v>#DIV/0!</v>
      </c>
      <c r="AI93" s="1" t="e">
        <f t="shared" si="31"/>
        <v>#DIV/0!</v>
      </c>
      <c r="AJ93" s="1" t="e">
        <f t="shared" si="31"/>
        <v>#DIV/0!</v>
      </c>
    </row>
    <row r="94" spans="1:36">
      <c r="A94" s="29">
        <f t="shared" si="4"/>
        <v>-18</v>
      </c>
      <c r="B94" s="74"/>
      <c r="C94" s="74"/>
      <c r="D94" s="74"/>
      <c r="E94" s="1" t="e">
        <f t="shared" si="27"/>
        <v>#DIV/0!</v>
      </c>
      <c r="F94" s="1" t="e">
        <f t="shared" si="27"/>
        <v>#DIV/0!</v>
      </c>
      <c r="G94" s="1" t="e">
        <f t="shared" si="27"/>
        <v>#DIV/0!</v>
      </c>
      <c r="H94" s="1" t="e">
        <f t="shared" si="27"/>
        <v>#DIV/0!</v>
      </c>
      <c r="I94" s="1" t="e">
        <f t="shared" si="27"/>
        <v>#DIV/0!</v>
      </c>
      <c r="J94" s="1" t="e">
        <f t="shared" ref="J94:AJ94" si="32">(J31-$B31)/$B$4</f>
        <v>#DIV/0!</v>
      </c>
      <c r="K94" s="1" t="e">
        <f t="shared" si="32"/>
        <v>#DIV/0!</v>
      </c>
      <c r="L94" s="1" t="e">
        <f t="shared" si="32"/>
        <v>#DIV/0!</v>
      </c>
      <c r="M94" s="1" t="e">
        <f t="shared" si="32"/>
        <v>#DIV/0!</v>
      </c>
      <c r="N94" s="1" t="e">
        <f t="shared" si="32"/>
        <v>#DIV/0!</v>
      </c>
      <c r="O94" s="1" t="e">
        <f t="shared" si="32"/>
        <v>#DIV/0!</v>
      </c>
      <c r="P94" s="1" t="e">
        <f t="shared" si="32"/>
        <v>#DIV/0!</v>
      </c>
      <c r="Q94" s="1" t="e">
        <f t="shared" si="32"/>
        <v>#DIV/0!</v>
      </c>
      <c r="R94" s="1" t="e">
        <f t="shared" si="32"/>
        <v>#DIV/0!</v>
      </c>
      <c r="S94" s="1" t="e">
        <f t="shared" si="32"/>
        <v>#DIV/0!</v>
      </c>
      <c r="T94" s="1" t="e">
        <f t="shared" si="32"/>
        <v>#DIV/0!</v>
      </c>
      <c r="U94" s="1" t="e">
        <f t="shared" si="32"/>
        <v>#DIV/0!</v>
      </c>
      <c r="V94" s="1" t="e">
        <f t="shared" si="32"/>
        <v>#DIV/0!</v>
      </c>
      <c r="W94" s="1" t="e">
        <f t="shared" si="32"/>
        <v>#DIV/0!</v>
      </c>
      <c r="X94" s="1" t="e">
        <f t="shared" si="32"/>
        <v>#DIV/0!</v>
      </c>
      <c r="Y94" s="1" t="e">
        <f t="shared" si="32"/>
        <v>#DIV/0!</v>
      </c>
      <c r="Z94" s="1" t="e">
        <f t="shared" si="32"/>
        <v>#DIV/0!</v>
      </c>
      <c r="AA94" s="1" t="e">
        <f t="shared" si="32"/>
        <v>#DIV/0!</v>
      </c>
      <c r="AB94" s="1" t="e">
        <f t="shared" si="32"/>
        <v>#DIV/0!</v>
      </c>
      <c r="AC94" s="1" t="e">
        <f t="shared" si="32"/>
        <v>#DIV/0!</v>
      </c>
      <c r="AD94" s="1" t="e">
        <f t="shared" si="32"/>
        <v>#DIV/0!</v>
      </c>
      <c r="AE94" s="1" t="e">
        <f t="shared" si="32"/>
        <v>#DIV/0!</v>
      </c>
      <c r="AF94" s="1" t="e">
        <f t="shared" si="32"/>
        <v>#DIV/0!</v>
      </c>
      <c r="AG94" s="1" t="e">
        <f t="shared" si="32"/>
        <v>#DIV/0!</v>
      </c>
      <c r="AH94" s="1" t="e">
        <f t="shared" si="32"/>
        <v>#DIV/0!</v>
      </c>
      <c r="AI94" s="1" t="e">
        <f t="shared" si="32"/>
        <v>#DIV/0!</v>
      </c>
      <c r="AJ94" s="1" t="e">
        <f t="shared" si="32"/>
        <v>#DIV/0!</v>
      </c>
    </row>
    <row r="95" spans="1:36">
      <c r="A95" s="29">
        <f t="shared" si="4"/>
        <v>-15</v>
      </c>
      <c r="B95" s="74"/>
      <c r="C95" s="74"/>
      <c r="D95" s="74"/>
      <c r="E95" s="1" t="e">
        <f t="shared" si="27"/>
        <v>#DIV/0!</v>
      </c>
      <c r="F95" s="1" t="e">
        <f t="shared" si="27"/>
        <v>#DIV/0!</v>
      </c>
      <c r="G95" s="1" t="e">
        <f t="shared" si="27"/>
        <v>#DIV/0!</v>
      </c>
      <c r="H95" s="1" t="e">
        <f t="shared" si="27"/>
        <v>#DIV/0!</v>
      </c>
      <c r="I95" s="1" t="e">
        <f t="shared" si="27"/>
        <v>#DIV/0!</v>
      </c>
      <c r="J95" s="1" t="e">
        <f t="shared" ref="J95:AJ95" si="33">(J32-$B32)/$B$4</f>
        <v>#DIV/0!</v>
      </c>
      <c r="K95" s="1" t="e">
        <f t="shared" si="33"/>
        <v>#DIV/0!</v>
      </c>
      <c r="L95" s="1" t="e">
        <f t="shared" si="33"/>
        <v>#DIV/0!</v>
      </c>
      <c r="M95" s="1" t="e">
        <f t="shared" si="33"/>
        <v>#DIV/0!</v>
      </c>
      <c r="N95" s="1" t="e">
        <f t="shared" si="33"/>
        <v>#DIV/0!</v>
      </c>
      <c r="O95" s="1" t="e">
        <f t="shared" si="33"/>
        <v>#DIV/0!</v>
      </c>
      <c r="P95" s="1" t="e">
        <f t="shared" si="33"/>
        <v>#DIV/0!</v>
      </c>
      <c r="Q95" s="1" t="e">
        <f t="shared" si="33"/>
        <v>#DIV/0!</v>
      </c>
      <c r="R95" s="1" t="e">
        <f t="shared" si="33"/>
        <v>#DIV/0!</v>
      </c>
      <c r="S95" s="1" t="e">
        <f t="shared" si="33"/>
        <v>#DIV/0!</v>
      </c>
      <c r="T95" s="1" t="e">
        <f t="shared" si="33"/>
        <v>#DIV/0!</v>
      </c>
      <c r="U95" s="1" t="e">
        <f t="shared" si="33"/>
        <v>#DIV/0!</v>
      </c>
      <c r="V95" s="1" t="e">
        <f t="shared" si="33"/>
        <v>#DIV/0!</v>
      </c>
      <c r="W95" s="1" t="e">
        <f t="shared" si="33"/>
        <v>#DIV/0!</v>
      </c>
      <c r="X95" s="1" t="e">
        <f t="shared" si="33"/>
        <v>#DIV/0!</v>
      </c>
      <c r="Y95" s="1" t="e">
        <f t="shared" si="33"/>
        <v>#DIV/0!</v>
      </c>
      <c r="Z95" s="1" t="e">
        <f t="shared" si="33"/>
        <v>#DIV/0!</v>
      </c>
      <c r="AA95" s="1" t="e">
        <f t="shared" si="33"/>
        <v>#DIV/0!</v>
      </c>
      <c r="AB95" s="1" t="e">
        <f t="shared" si="33"/>
        <v>#DIV/0!</v>
      </c>
      <c r="AC95" s="1" t="e">
        <f t="shared" si="33"/>
        <v>#DIV/0!</v>
      </c>
      <c r="AD95" s="1" t="e">
        <f t="shared" si="33"/>
        <v>#DIV/0!</v>
      </c>
      <c r="AE95" s="1" t="e">
        <f t="shared" si="33"/>
        <v>#DIV/0!</v>
      </c>
      <c r="AF95" s="1" t="e">
        <f t="shared" si="33"/>
        <v>#DIV/0!</v>
      </c>
      <c r="AG95" s="1" t="e">
        <f t="shared" si="33"/>
        <v>#DIV/0!</v>
      </c>
      <c r="AH95" s="1" t="e">
        <f t="shared" si="33"/>
        <v>#DIV/0!</v>
      </c>
      <c r="AI95" s="1" t="e">
        <f t="shared" si="33"/>
        <v>#DIV/0!</v>
      </c>
      <c r="AJ95" s="1" t="e">
        <f t="shared" si="33"/>
        <v>#DIV/0!</v>
      </c>
    </row>
    <row r="96" spans="1:36">
      <c r="A96" s="29">
        <f t="shared" si="4"/>
        <v>-12</v>
      </c>
      <c r="B96" s="74"/>
      <c r="C96" s="74"/>
      <c r="D96" s="74"/>
      <c r="E96" s="1" t="e">
        <f t="shared" si="27"/>
        <v>#DIV/0!</v>
      </c>
      <c r="F96" s="1" t="e">
        <f t="shared" si="27"/>
        <v>#DIV/0!</v>
      </c>
      <c r="G96" s="1" t="e">
        <f t="shared" si="27"/>
        <v>#DIV/0!</v>
      </c>
      <c r="H96" s="1" t="e">
        <f t="shared" si="27"/>
        <v>#DIV/0!</v>
      </c>
      <c r="I96" s="1" t="e">
        <f t="shared" si="27"/>
        <v>#DIV/0!</v>
      </c>
      <c r="J96" s="1" t="e">
        <f t="shared" ref="J96:AJ96" si="34">(J33-$B33)/$B$4</f>
        <v>#DIV/0!</v>
      </c>
      <c r="K96" s="1" t="e">
        <f t="shared" si="34"/>
        <v>#DIV/0!</v>
      </c>
      <c r="L96" s="1" t="e">
        <f t="shared" si="34"/>
        <v>#DIV/0!</v>
      </c>
      <c r="M96" s="1" t="e">
        <f t="shared" si="34"/>
        <v>#DIV/0!</v>
      </c>
      <c r="N96" s="1" t="e">
        <f t="shared" si="34"/>
        <v>#DIV/0!</v>
      </c>
      <c r="O96" s="1" t="e">
        <f t="shared" si="34"/>
        <v>#DIV/0!</v>
      </c>
      <c r="P96" s="1" t="e">
        <f t="shared" si="34"/>
        <v>#DIV/0!</v>
      </c>
      <c r="Q96" s="1" t="e">
        <f t="shared" si="34"/>
        <v>#DIV/0!</v>
      </c>
      <c r="R96" s="1" t="e">
        <f t="shared" si="34"/>
        <v>#DIV/0!</v>
      </c>
      <c r="S96" s="1" t="e">
        <f t="shared" si="34"/>
        <v>#DIV/0!</v>
      </c>
      <c r="T96" s="1" t="e">
        <f t="shared" si="34"/>
        <v>#DIV/0!</v>
      </c>
      <c r="U96" s="1" t="e">
        <f t="shared" si="34"/>
        <v>#DIV/0!</v>
      </c>
      <c r="V96" s="1" t="e">
        <f t="shared" si="34"/>
        <v>#DIV/0!</v>
      </c>
      <c r="W96" s="1" t="e">
        <f t="shared" si="34"/>
        <v>#DIV/0!</v>
      </c>
      <c r="X96" s="1" t="e">
        <f t="shared" si="34"/>
        <v>#DIV/0!</v>
      </c>
      <c r="Y96" s="1" t="e">
        <f t="shared" si="34"/>
        <v>#DIV/0!</v>
      </c>
      <c r="Z96" s="1" t="e">
        <f t="shared" si="34"/>
        <v>#DIV/0!</v>
      </c>
      <c r="AA96" s="1" t="e">
        <f t="shared" si="34"/>
        <v>#DIV/0!</v>
      </c>
      <c r="AB96" s="1" t="e">
        <f t="shared" si="34"/>
        <v>#DIV/0!</v>
      </c>
      <c r="AC96" s="1" t="e">
        <f t="shared" si="34"/>
        <v>#DIV/0!</v>
      </c>
      <c r="AD96" s="1" t="e">
        <f t="shared" si="34"/>
        <v>#DIV/0!</v>
      </c>
      <c r="AE96" s="1" t="e">
        <f t="shared" si="34"/>
        <v>#DIV/0!</v>
      </c>
      <c r="AF96" s="1" t="e">
        <f t="shared" si="34"/>
        <v>#DIV/0!</v>
      </c>
      <c r="AG96" s="1" t="e">
        <f t="shared" si="34"/>
        <v>#DIV/0!</v>
      </c>
      <c r="AH96" s="1" t="e">
        <f t="shared" si="34"/>
        <v>#DIV/0!</v>
      </c>
      <c r="AI96" s="1" t="e">
        <f t="shared" si="34"/>
        <v>#DIV/0!</v>
      </c>
      <c r="AJ96" s="1" t="e">
        <f t="shared" si="34"/>
        <v>#DIV/0!</v>
      </c>
    </row>
    <row r="97" spans="1:36">
      <c r="A97" s="29">
        <f t="shared" si="4"/>
        <v>-9</v>
      </c>
      <c r="B97" s="74"/>
      <c r="C97" s="74"/>
      <c r="D97" s="74"/>
      <c r="E97" s="1" t="e">
        <f t="shared" si="27"/>
        <v>#DIV/0!</v>
      </c>
      <c r="F97" s="1" t="e">
        <f t="shared" si="27"/>
        <v>#DIV/0!</v>
      </c>
      <c r="G97" s="1" t="e">
        <f t="shared" si="27"/>
        <v>#DIV/0!</v>
      </c>
      <c r="H97" s="1" t="e">
        <f t="shared" si="27"/>
        <v>#DIV/0!</v>
      </c>
      <c r="I97" s="1" t="e">
        <f t="shared" si="27"/>
        <v>#DIV/0!</v>
      </c>
      <c r="J97" s="1" t="e">
        <f t="shared" ref="J97:AJ97" si="35">(J34-$B34)/$B$4</f>
        <v>#DIV/0!</v>
      </c>
      <c r="K97" s="1" t="e">
        <f t="shared" si="35"/>
        <v>#DIV/0!</v>
      </c>
      <c r="L97" s="1" t="e">
        <f t="shared" si="35"/>
        <v>#DIV/0!</v>
      </c>
      <c r="M97" s="1" t="e">
        <f t="shared" si="35"/>
        <v>#DIV/0!</v>
      </c>
      <c r="N97" s="1" t="e">
        <f t="shared" si="35"/>
        <v>#DIV/0!</v>
      </c>
      <c r="O97" s="1" t="e">
        <f t="shared" si="35"/>
        <v>#DIV/0!</v>
      </c>
      <c r="P97" s="1" t="e">
        <f t="shared" si="35"/>
        <v>#DIV/0!</v>
      </c>
      <c r="Q97" s="1" t="e">
        <f t="shared" si="35"/>
        <v>#DIV/0!</v>
      </c>
      <c r="R97" s="1" t="e">
        <f t="shared" si="35"/>
        <v>#DIV/0!</v>
      </c>
      <c r="S97" s="1" t="e">
        <f t="shared" si="35"/>
        <v>#DIV/0!</v>
      </c>
      <c r="T97" s="1" t="e">
        <f t="shared" si="35"/>
        <v>#DIV/0!</v>
      </c>
      <c r="U97" s="1" t="e">
        <f t="shared" si="35"/>
        <v>#DIV/0!</v>
      </c>
      <c r="V97" s="1" t="e">
        <f t="shared" si="35"/>
        <v>#DIV/0!</v>
      </c>
      <c r="W97" s="1" t="e">
        <f t="shared" si="35"/>
        <v>#DIV/0!</v>
      </c>
      <c r="X97" s="1" t="e">
        <f t="shared" si="35"/>
        <v>#DIV/0!</v>
      </c>
      <c r="Y97" s="1" t="e">
        <f t="shared" si="35"/>
        <v>#DIV/0!</v>
      </c>
      <c r="Z97" s="1" t="e">
        <f t="shared" si="35"/>
        <v>#DIV/0!</v>
      </c>
      <c r="AA97" s="1" t="e">
        <f t="shared" si="35"/>
        <v>#DIV/0!</v>
      </c>
      <c r="AB97" s="1" t="e">
        <f t="shared" si="35"/>
        <v>#DIV/0!</v>
      </c>
      <c r="AC97" s="1" t="e">
        <f t="shared" si="35"/>
        <v>#DIV/0!</v>
      </c>
      <c r="AD97" s="1" t="e">
        <f t="shared" si="35"/>
        <v>#DIV/0!</v>
      </c>
      <c r="AE97" s="1" t="e">
        <f t="shared" si="35"/>
        <v>#DIV/0!</v>
      </c>
      <c r="AF97" s="1" t="e">
        <f t="shared" si="35"/>
        <v>#DIV/0!</v>
      </c>
      <c r="AG97" s="1" t="e">
        <f t="shared" si="35"/>
        <v>#DIV/0!</v>
      </c>
      <c r="AH97" s="1" t="e">
        <f t="shared" si="35"/>
        <v>#DIV/0!</v>
      </c>
      <c r="AI97" s="1" t="e">
        <f t="shared" si="35"/>
        <v>#DIV/0!</v>
      </c>
      <c r="AJ97" s="1" t="e">
        <f t="shared" si="35"/>
        <v>#DIV/0!</v>
      </c>
    </row>
    <row r="98" spans="1:36">
      <c r="A98" s="29">
        <f t="shared" si="4"/>
        <v>-6</v>
      </c>
      <c r="B98" s="74"/>
      <c r="C98" s="74"/>
      <c r="D98" s="74"/>
      <c r="E98" s="1" t="e">
        <f t="shared" si="27"/>
        <v>#DIV/0!</v>
      </c>
      <c r="F98" s="1" t="e">
        <f t="shared" si="27"/>
        <v>#DIV/0!</v>
      </c>
      <c r="G98" s="1" t="e">
        <f t="shared" si="27"/>
        <v>#DIV/0!</v>
      </c>
      <c r="H98" s="1" t="e">
        <f t="shared" si="27"/>
        <v>#DIV/0!</v>
      </c>
      <c r="I98" s="1" t="e">
        <f t="shared" si="27"/>
        <v>#DIV/0!</v>
      </c>
      <c r="J98" s="1" t="e">
        <f t="shared" ref="J98:AJ98" si="36">(J35-$B35)/$B$4</f>
        <v>#DIV/0!</v>
      </c>
      <c r="K98" s="1" t="e">
        <f t="shared" si="36"/>
        <v>#DIV/0!</v>
      </c>
      <c r="L98" s="1" t="e">
        <f t="shared" si="36"/>
        <v>#DIV/0!</v>
      </c>
      <c r="M98" s="1" t="e">
        <f t="shared" si="36"/>
        <v>#DIV/0!</v>
      </c>
      <c r="N98" s="1" t="e">
        <f t="shared" si="36"/>
        <v>#DIV/0!</v>
      </c>
      <c r="O98" s="1" t="e">
        <f t="shared" si="36"/>
        <v>#DIV/0!</v>
      </c>
      <c r="P98" s="1" t="e">
        <f t="shared" si="36"/>
        <v>#DIV/0!</v>
      </c>
      <c r="Q98" s="1" t="e">
        <f t="shared" si="36"/>
        <v>#DIV/0!</v>
      </c>
      <c r="R98" s="1" t="e">
        <f t="shared" si="36"/>
        <v>#DIV/0!</v>
      </c>
      <c r="S98" s="1" t="e">
        <f t="shared" si="36"/>
        <v>#DIV/0!</v>
      </c>
      <c r="T98" s="1" t="e">
        <f t="shared" si="36"/>
        <v>#DIV/0!</v>
      </c>
      <c r="U98" s="1" t="e">
        <f t="shared" si="36"/>
        <v>#DIV/0!</v>
      </c>
      <c r="V98" s="1" t="e">
        <f t="shared" si="36"/>
        <v>#DIV/0!</v>
      </c>
      <c r="W98" s="1" t="e">
        <f t="shared" si="36"/>
        <v>#DIV/0!</v>
      </c>
      <c r="X98" s="1" t="e">
        <f t="shared" si="36"/>
        <v>#DIV/0!</v>
      </c>
      <c r="Y98" s="1" t="e">
        <f t="shared" si="36"/>
        <v>#DIV/0!</v>
      </c>
      <c r="Z98" s="1" t="e">
        <f t="shared" si="36"/>
        <v>#DIV/0!</v>
      </c>
      <c r="AA98" s="1" t="e">
        <f t="shared" si="36"/>
        <v>#DIV/0!</v>
      </c>
      <c r="AB98" s="1" t="e">
        <f t="shared" si="36"/>
        <v>#DIV/0!</v>
      </c>
      <c r="AC98" s="1" t="e">
        <f t="shared" si="36"/>
        <v>#DIV/0!</v>
      </c>
      <c r="AD98" s="1" t="e">
        <f t="shared" si="36"/>
        <v>#DIV/0!</v>
      </c>
      <c r="AE98" s="1" t="e">
        <f t="shared" si="36"/>
        <v>#DIV/0!</v>
      </c>
      <c r="AF98" s="1" t="e">
        <f t="shared" si="36"/>
        <v>#DIV/0!</v>
      </c>
      <c r="AG98" s="1" t="e">
        <f t="shared" si="36"/>
        <v>#DIV/0!</v>
      </c>
      <c r="AH98" s="1" t="e">
        <f t="shared" si="36"/>
        <v>#DIV/0!</v>
      </c>
      <c r="AI98" s="1" t="e">
        <f t="shared" si="36"/>
        <v>#DIV/0!</v>
      </c>
      <c r="AJ98" s="1" t="e">
        <f t="shared" si="36"/>
        <v>#DIV/0!</v>
      </c>
    </row>
    <row r="99" spans="1:36">
      <c r="A99" s="29">
        <f t="shared" si="4"/>
        <v>-3</v>
      </c>
      <c r="B99" s="74"/>
      <c r="C99" s="74"/>
      <c r="D99" s="74"/>
      <c r="E99" s="1" t="e">
        <f t="shared" si="27"/>
        <v>#DIV/0!</v>
      </c>
      <c r="F99" s="1" t="e">
        <f t="shared" si="27"/>
        <v>#DIV/0!</v>
      </c>
      <c r="G99" s="1" t="e">
        <f t="shared" si="27"/>
        <v>#DIV/0!</v>
      </c>
      <c r="H99" s="1" t="e">
        <f t="shared" si="27"/>
        <v>#DIV/0!</v>
      </c>
      <c r="I99" s="1" t="e">
        <f t="shared" si="27"/>
        <v>#DIV/0!</v>
      </c>
      <c r="J99" s="1" t="e">
        <f t="shared" ref="J99:AJ99" si="37">(J36-$B36)/$B$4</f>
        <v>#DIV/0!</v>
      </c>
      <c r="K99" s="1" t="e">
        <f t="shared" si="37"/>
        <v>#DIV/0!</v>
      </c>
      <c r="L99" s="1" t="e">
        <f t="shared" si="37"/>
        <v>#DIV/0!</v>
      </c>
      <c r="M99" s="1" t="e">
        <f t="shared" si="37"/>
        <v>#DIV/0!</v>
      </c>
      <c r="N99" s="1" t="e">
        <f t="shared" si="37"/>
        <v>#DIV/0!</v>
      </c>
      <c r="O99" s="1" t="e">
        <f t="shared" si="37"/>
        <v>#DIV/0!</v>
      </c>
      <c r="P99" s="1" t="e">
        <f t="shared" si="37"/>
        <v>#DIV/0!</v>
      </c>
      <c r="Q99" s="1" t="e">
        <f t="shared" si="37"/>
        <v>#DIV/0!</v>
      </c>
      <c r="R99" s="1" t="e">
        <f t="shared" si="37"/>
        <v>#DIV/0!</v>
      </c>
      <c r="S99" s="1" t="e">
        <f t="shared" si="37"/>
        <v>#DIV/0!</v>
      </c>
      <c r="T99" s="1" t="e">
        <f t="shared" si="37"/>
        <v>#DIV/0!</v>
      </c>
      <c r="U99" s="1" t="e">
        <f t="shared" si="37"/>
        <v>#DIV/0!</v>
      </c>
      <c r="V99" s="1" t="e">
        <f t="shared" si="37"/>
        <v>#DIV/0!</v>
      </c>
      <c r="W99" s="1" t="e">
        <f t="shared" si="37"/>
        <v>#DIV/0!</v>
      </c>
      <c r="X99" s="1" t="e">
        <f t="shared" si="37"/>
        <v>#DIV/0!</v>
      </c>
      <c r="Y99" s="1" t="e">
        <f t="shared" si="37"/>
        <v>#DIV/0!</v>
      </c>
      <c r="Z99" s="1" t="e">
        <f t="shared" si="37"/>
        <v>#DIV/0!</v>
      </c>
      <c r="AA99" s="1" t="e">
        <f t="shared" si="37"/>
        <v>#DIV/0!</v>
      </c>
      <c r="AB99" s="1" t="e">
        <f t="shared" si="37"/>
        <v>#DIV/0!</v>
      </c>
      <c r="AC99" s="1" t="e">
        <f t="shared" si="37"/>
        <v>#DIV/0!</v>
      </c>
      <c r="AD99" s="1" t="e">
        <f t="shared" si="37"/>
        <v>#DIV/0!</v>
      </c>
      <c r="AE99" s="1" t="e">
        <f t="shared" si="37"/>
        <v>#DIV/0!</v>
      </c>
      <c r="AF99" s="1" t="e">
        <f t="shared" si="37"/>
        <v>#DIV/0!</v>
      </c>
      <c r="AG99" s="1" t="e">
        <f t="shared" si="37"/>
        <v>#DIV/0!</v>
      </c>
      <c r="AH99" s="1" t="e">
        <f t="shared" si="37"/>
        <v>#DIV/0!</v>
      </c>
      <c r="AI99" s="1" t="e">
        <f t="shared" si="37"/>
        <v>#DIV/0!</v>
      </c>
      <c r="AJ99" s="1" t="e">
        <f t="shared" si="37"/>
        <v>#DIV/0!</v>
      </c>
    </row>
    <row r="100" spans="1:36">
      <c r="A100" s="29">
        <f t="shared" si="4"/>
        <v>0</v>
      </c>
      <c r="B100" s="74"/>
      <c r="C100" s="74"/>
      <c r="D100" s="74"/>
      <c r="E100" s="1" t="e">
        <f t="shared" ref="E100:I109" si="38">(E37-$B37)/$B$4</f>
        <v>#DIV/0!</v>
      </c>
      <c r="F100" s="1" t="e">
        <f t="shared" si="38"/>
        <v>#DIV/0!</v>
      </c>
      <c r="G100" s="1" t="e">
        <f t="shared" si="38"/>
        <v>#DIV/0!</v>
      </c>
      <c r="H100" s="1" t="e">
        <f t="shared" si="38"/>
        <v>#DIV/0!</v>
      </c>
      <c r="I100" s="1" t="e">
        <f t="shared" si="38"/>
        <v>#DIV/0!</v>
      </c>
      <c r="J100" s="1" t="e">
        <f t="shared" ref="J100:AJ100" si="39">(J37-$B37)/$B$4</f>
        <v>#DIV/0!</v>
      </c>
      <c r="K100" s="1" t="e">
        <f t="shared" si="39"/>
        <v>#DIV/0!</v>
      </c>
      <c r="L100" s="1" t="e">
        <f t="shared" si="39"/>
        <v>#DIV/0!</v>
      </c>
      <c r="M100" s="1" t="e">
        <f t="shared" si="39"/>
        <v>#DIV/0!</v>
      </c>
      <c r="N100" s="1" t="e">
        <f t="shared" si="39"/>
        <v>#DIV/0!</v>
      </c>
      <c r="O100" s="1" t="e">
        <f t="shared" si="39"/>
        <v>#DIV/0!</v>
      </c>
      <c r="P100" s="1" t="e">
        <f t="shared" si="39"/>
        <v>#DIV/0!</v>
      </c>
      <c r="Q100" s="1" t="e">
        <f t="shared" si="39"/>
        <v>#DIV/0!</v>
      </c>
      <c r="R100" s="1" t="e">
        <f t="shared" si="39"/>
        <v>#DIV/0!</v>
      </c>
      <c r="S100" s="1" t="e">
        <f t="shared" si="39"/>
        <v>#DIV/0!</v>
      </c>
      <c r="T100" s="1" t="e">
        <f t="shared" si="39"/>
        <v>#DIV/0!</v>
      </c>
      <c r="U100" s="1" t="e">
        <f t="shared" si="39"/>
        <v>#DIV/0!</v>
      </c>
      <c r="V100" s="1" t="e">
        <f t="shared" si="39"/>
        <v>#DIV/0!</v>
      </c>
      <c r="W100" s="1" t="e">
        <f t="shared" si="39"/>
        <v>#DIV/0!</v>
      </c>
      <c r="X100" s="1" t="e">
        <f t="shared" si="39"/>
        <v>#DIV/0!</v>
      </c>
      <c r="Y100" s="1" t="e">
        <f t="shared" si="39"/>
        <v>#DIV/0!</v>
      </c>
      <c r="Z100" s="1" t="e">
        <f t="shared" si="39"/>
        <v>#DIV/0!</v>
      </c>
      <c r="AA100" s="1" t="e">
        <f t="shared" si="39"/>
        <v>#DIV/0!</v>
      </c>
      <c r="AB100" s="1" t="e">
        <f t="shared" si="39"/>
        <v>#DIV/0!</v>
      </c>
      <c r="AC100" s="1" t="e">
        <f t="shared" si="39"/>
        <v>#DIV/0!</v>
      </c>
      <c r="AD100" s="1" t="e">
        <f t="shared" si="39"/>
        <v>#DIV/0!</v>
      </c>
      <c r="AE100" s="1" t="e">
        <f t="shared" si="39"/>
        <v>#DIV/0!</v>
      </c>
      <c r="AF100" s="1" t="e">
        <f t="shared" si="39"/>
        <v>#DIV/0!</v>
      </c>
      <c r="AG100" s="1" t="e">
        <f t="shared" si="39"/>
        <v>#DIV/0!</v>
      </c>
      <c r="AH100" s="1" t="e">
        <f t="shared" si="39"/>
        <v>#DIV/0!</v>
      </c>
      <c r="AI100" s="1" t="e">
        <f t="shared" si="39"/>
        <v>#DIV/0!</v>
      </c>
      <c r="AJ100" s="1" t="e">
        <f t="shared" si="39"/>
        <v>#DIV/0!</v>
      </c>
    </row>
    <row r="101" spans="1:36">
      <c r="A101" s="29">
        <f t="shared" si="4"/>
        <v>3</v>
      </c>
      <c r="B101" s="74"/>
      <c r="C101" s="74"/>
      <c r="D101" s="74"/>
      <c r="E101" s="1" t="e">
        <f t="shared" si="38"/>
        <v>#DIV/0!</v>
      </c>
      <c r="F101" s="1" t="e">
        <f t="shared" si="38"/>
        <v>#DIV/0!</v>
      </c>
      <c r="G101" s="1" t="e">
        <f t="shared" si="38"/>
        <v>#DIV/0!</v>
      </c>
      <c r="H101" s="1" t="e">
        <f t="shared" si="38"/>
        <v>#DIV/0!</v>
      </c>
      <c r="I101" s="1" t="e">
        <f t="shared" si="38"/>
        <v>#DIV/0!</v>
      </c>
      <c r="J101" s="1" t="e">
        <f t="shared" ref="J101:AJ101" si="40">(J38-$B38)/$B$4</f>
        <v>#DIV/0!</v>
      </c>
      <c r="K101" s="1" t="e">
        <f t="shared" si="40"/>
        <v>#DIV/0!</v>
      </c>
      <c r="L101" s="1" t="e">
        <f t="shared" si="40"/>
        <v>#DIV/0!</v>
      </c>
      <c r="M101" s="1" t="e">
        <f t="shared" si="40"/>
        <v>#DIV/0!</v>
      </c>
      <c r="N101" s="1" t="e">
        <f t="shared" si="40"/>
        <v>#DIV/0!</v>
      </c>
      <c r="O101" s="1" t="e">
        <f t="shared" si="40"/>
        <v>#DIV/0!</v>
      </c>
      <c r="P101" s="1" t="e">
        <f t="shared" si="40"/>
        <v>#DIV/0!</v>
      </c>
      <c r="Q101" s="1" t="e">
        <f t="shared" si="40"/>
        <v>#DIV/0!</v>
      </c>
      <c r="R101" s="1" t="e">
        <f t="shared" si="40"/>
        <v>#DIV/0!</v>
      </c>
      <c r="S101" s="1" t="e">
        <f t="shared" si="40"/>
        <v>#DIV/0!</v>
      </c>
      <c r="T101" s="1" t="e">
        <f t="shared" si="40"/>
        <v>#DIV/0!</v>
      </c>
      <c r="U101" s="1" t="e">
        <f t="shared" si="40"/>
        <v>#DIV/0!</v>
      </c>
      <c r="V101" s="1" t="e">
        <f t="shared" si="40"/>
        <v>#DIV/0!</v>
      </c>
      <c r="W101" s="1" t="e">
        <f t="shared" si="40"/>
        <v>#DIV/0!</v>
      </c>
      <c r="X101" s="1" t="e">
        <f t="shared" si="40"/>
        <v>#DIV/0!</v>
      </c>
      <c r="Y101" s="1" t="e">
        <f t="shared" si="40"/>
        <v>#DIV/0!</v>
      </c>
      <c r="Z101" s="1" t="e">
        <f t="shared" si="40"/>
        <v>#DIV/0!</v>
      </c>
      <c r="AA101" s="1" t="e">
        <f t="shared" si="40"/>
        <v>#DIV/0!</v>
      </c>
      <c r="AB101" s="1" t="e">
        <f t="shared" si="40"/>
        <v>#DIV/0!</v>
      </c>
      <c r="AC101" s="1" t="e">
        <f t="shared" si="40"/>
        <v>#DIV/0!</v>
      </c>
      <c r="AD101" s="1" t="e">
        <f t="shared" si="40"/>
        <v>#DIV/0!</v>
      </c>
      <c r="AE101" s="1" t="e">
        <f t="shared" si="40"/>
        <v>#DIV/0!</v>
      </c>
      <c r="AF101" s="1" t="e">
        <f t="shared" si="40"/>
        <v>#DIV/0!</v>
      </c>
      <c r="AG101" s="1" t="e">
        <f t="shared" si="40"/>
        <v>#DIV/0!</v>
      </c>
      <c r="AH101" s="1" t="e">
        <f t="shared" si="40"/>
        <v>#DIV/0!</v>
      </c>
      <c r="AI101" s="1" t="e">
        <f t="shared" si="40"/>
        <v>#DIV/0!</v>
      </c>
      <c r="AJ101" s="1" t="e">
        <f t="shared" si="40"/>
        <v>#DIV/0!</v>
      </c>
    </row>
    <row r="102" spans="1:36">
      <c r="A102" s="29">
        <f t="shared" ref="A102:A130" si="41">A39</f>
        <v>6</v>
      </c>
      <c r="B102" s="74"/>
      <c r="C102" s="74"/>
      <c r="D102" s="74"/>
      <c r="E102" s="1" t="e">
        <f t="shared" si="38"/>
        <v>#DIV/0!</v>
      </c>
      <c r="F102" s="1" t="e">
        <f t="shared" si="38"/>
        <v>#DIV/0!</v>
      </c>
      <c r="G102" s="1" t="e">
        <f t="shared" si="38"/>
        <v>#DIV/0!</v>
      </c>
      <c r="H102" s="1" t="e">
        <f t="shared" si="38"/>
        <v>#DIV/0!</v>
      </c>
      <c r="I102" s="1" t="e">
        <f t="shared" si="38"/>
        <v>#DIV/0!</v>
      </c>
      <c r="J102" s="1" t="e">
        <f t="shared" ref="J102:AJ102" si="42">(J39-$B39)/$B$4</f>
        <v>#DIV/0!</v>
      </c>
      <c r="K102" s="1" t="e">
        <f t="shared" si="42"/>
        <v>#DIV/0!</v>
      </c>
      <c r="L102" s="1" t="e">
        <f t="shared" si="42"/>
        <v>#DIV/0!</v>
      </c>
      <c r="M102" s="1" t="e">
        <f t="shared" si="42"/>
        <v>#DIV/0!</v>
      </c>
      <c r="N102" s="1" t="e">
        <f t="shared" si="42"/>
        <v>#DIV/0!</v>
      </c>
      <c r="O102" s="1" t="e">
        <f t="shared" si="42"/>
        <v>#DIV/0!</v>
      </c>
      <c r="P102" s="1" t="e">
        <f t="shared" si="42"/>
        <v>#DIV/0!</v>
      </c>
      <c r="Q102" s="1" t="e">
        <f t="shared" si="42"/>
        <v>#DIV/0!</v>
      </c>
      <c r="R102" s="1" t="e">
        <f t="shared" si="42"/>
        <v>#DIV/0!</v>
      </c>
      <c r="S102" s="1" t="e">
        <f t="shared" si="42"/>
        <v>#DIV/0!</v>
      </c>
      <c r="T102" s="1" t="e">
        <f t="shared" si="42"/>
        <v>#DIV/0!</v>
      </c>
      <c r="U102" s="1" t="e">
        <f t="shared" si="42"/>
        <v>#DIV/0!</v>
      </c>
      <c r="V102" s="1" t="e">
        <f t="shared" si="42"/>
        <v>#DIV/0!</v>
      </c>
      <c r="W102" s="1" t="e">
        <f t="shared" si="42"/>
        <v>#DIV/0!</v>
      </c>
      <c r="X102" s="1" t="e">
        <f t="shared" si="42"/>
        <v>#DIV/0!</v>
      </c>
      <c r="Y102" s="1" t="e">
        <f t="shared" si="42"/>
        <v>#DIV/0!</v>
      </c>
      <c r="Z102" s="1" t="e">
        <f t="shared" si="42"/>
        <v>#DIV/0!</v>
      </c>
      <c r="AA102" s="1" t="e">
        <f t="shared" si="42"/>
        <v>#DIV/0!</v>
      </c>
      <c r="AB102" s="1" t="e">
        <f t="shared" si="42"/>
        <v>#DIV/0!</v>
      </c>
      <c r="AC102" s="1" t="e">
        <f t="shared" si="42"/>
        <v>#DIV/0!</v>
      </c>
      <c r="AD102" s="1" t="e">
        <f t="shared" si="42"/>
        <v>#DIV/0!</v>
      </c>
      <c r="AE102" s="1" t="e">
        <f t="shared" si="42"/>
        <v>#DIV/0!</v>
      </c>
      <c r="AF102" s="1" t="e">
        <f t="shared" si="42"/>
        <v>#DIV/0!</v>
      </c>
      <c r="AG102" s="1" t="e">
        <f t="shared" si="42"/>
        <v>#DIV/0!</v>
      </c>
      <c r="AH102" s="1" t="e">
        <f t="shared" si="42"/>
        <v>#DIV/0!</v>
      </c>
      <c r="AI102" s="1" t="e">
        <f t="shared" si="42"/>
        <v>#DIV/0!</v>
      </c>
      <c r="AJ102" s="1" t="e">
        <f t="shared" si="42"/>
        <v>#DIV/0!</v>
      </c>
    </row>
    <row r="103" spans="1:36">
      <c r="A103" s="29">
        <f t="shared" si="41"/>
        <v>9</v>
      </c>
      <c r="B103" s="74"/>
      <c r="C103" s="74"/>
      <c r="D103" s="74"/>
      <c r="E103" s="1" t="e">
        <f t="shared" si="38"/>
        <v>#DIV/0!</v>
      </c>
      <c r="F103" s="1" t="e">
        <f t="shared" si="38"/>
        <v>#DIV/0!</v>
      </c>
      <c r="G103" s="1" t="e">
        <f t="shared" si="38"/>
        <v>#DIV/0!</v>
      </c>
      <c r="H103" s="1" t="e">
        <f t="shared" si="38"/>
        <v>#DIV/0!</v>
      </c>
      <c r="I103" s="1" t="e">
        <f t="shared" si="38"/>
        <v>#DIV/0!</v>
      </c>
      <c r="J103" s="1" t="e">
        <f t="shared" ref="J103:AJ103" si="43">(J40-$B40)/$B$4</f>
        <v>#DIV/0!</v>
      </c>
      <c r="K103" s="1" t="e">
        <f t="shared" si="43"/>
        <v>#DIV/0!</v>
      </c>
      <c r="L103" s="1" t="e">
        <f t="shared" si="43"/>
        <v>#DIV/0!</v>
      </c>
      <c r="M103" s="1" t="e">
        <f t="shared" si="43"/>
        <v>#DIV/0!</v>
      </c>
      <c r="N103" s="1" t="e">
        <f t="shared" si="43"/>
        <v>#DIV/0!</v>
      </c>
      <c r="O103" s="1" t="e">
        <f t="shared" si="43"/>
        <v>#DIV/0!</v>
      </c>
      <c r="P103" s="1" t="e">
        <f t="shared" si="43"/>
        <v>#DIV/0!</v>
      </c>
      <c r="Q103" s="1" t="e">
        <f t="shared" si="43"/>
        <v>#DIV/0!</v>
      </c>
      <c r="R103" s="1" t="e">
        <f t="shared" si="43"/>
        <v>#DIV/0!</v>
      </c>
      <c r="S103" s="1" t="e">
        <f t="shared" si="43"/>
        <v>#DIV/0!</v>
      </c>
      <c r="T103" s="1" t="e">
        <f t="shared" si="43"/>
        <v>#DIV/0!</v>
      </c>
      <c r="U103" s="1" t="e">
        <f t="shared" si="43"/>
        <v>#DIV/0!</v>
      </c>
      <c r="V103" s="1" t="e">
        <f t="shared" si="43"/>
        <v>#DIV/0!</v>
      </c>
      <c r="W103" s="1" t="e">
        <f t="shared" si="43"/>
        <v>#DIV/0!</v>
      </c>
      <c r="X103" s="1" t="e">
        <f t="shared" si="43"/>
        <v>#DIV/0!</v>
      </c>
      <c r="Y103" s="1" t="e">
        <f t="shared" si="43"/>
        <v>#DIV/0!</v>
      </c>
      <c r="Z103" s="1" t="e">
        <f t="shared" si="43"/>
        <v>#DIV/0!</v>
      </c>
      <c r="AA103" s="1" t="e">
        <f t="shared" si="43"/>
        <v>#DIV/0!</v>
      </c>
      <c r="AB103" s="1" t="e">
        <f t="shared" si="43"/>
        <v>#DIV/0!</v>
      </c>
      <c r="AC103" s="1" t="e">
        <f t="shared" si="43"/>
        <v>#DIV/0!</v>
      </c>
      <c r="AD103" s="1" t="e">
        <f t="shared" si="43"/>
        <v>#DIV/0!</v>
      </c>
      <c r="AE103" s="1" t="e">
        <f t="shared" si="43"/>
        <v>#DIV/0!</v>
      </c>
      <c r="AF103" s="1" t="e">
        <f t="shared" si="43"/>
        <v>#DIV/0!</v>
      </c>
      <c r="AG103" s="1" t="e">
        <f t="shared" si="43"/>
        <v>#DIV/0!</v>
      </c>
      <c r="AH103" s="1" t="e">
        <f t="shared" si="43"/>
        <v>#DIV/0!</v>
      </c>
      <c r="AI103" s="1" t="e">
        <f t="shared" si="43"/>
        <v>#DIV/0!</v>
      </c>
      <c r="AJ103" s="1" t="e">
        <f t="shared" si="43"/>
        <v>#DIV/0!</v>
      </c>
    </row>
    <row r="104" spans="1:36">
      <c r="A104" s="29">
        <f t="shared" si="41"/>
        <v>12</v>
      </c>
      <c r="B104" s="74"/>
      <c r="C104" s="74"/>
      <c r="D104" s="74"/>
      <c r="E104" s="1" t="e">
        <f t="shared" si="38"/>
        <v>#DIV/0!</v>
      </c>
      <c r="F104" s="1" t="e">
        <f t="shared" si="38"/>
        <v>#DIV/0!</v>
      </c>
      <c r="G104" s="1" t="e">
        <f t="shared" si="38"/>
        <v>#DIV/0!</v>
      </c>
      <c r="H104" s="1" t="e">
        <f t="shared" si="38"/>
        <v>#DIV/0!</v>
      </c>
      <c r="I104" s="1" t="e">
        <f t="shared" si="38"/>
        <v>#DIV/0!</v>
      </c>
      <c r="J104" s="1" t="e">
        <f t="shared" ref="J104:AJ104" si="44">(J41-$B41)/$B$4</f>
        <v>#DIV/0!</v>
      </c>
      <c r="K104" s="1" t="e">
        <f t="shared" si="44"/>
        <v>#DIV/0!</v>
      </c>
      <c r="L104" s="1" t="e">
        <f t="shared" si="44"/>
        <v>#DIV/0!</v>
      </c>
      <c r="M104" s="1" t="e">
        <f t="shared" si="44"/>
        <v>#DIV/0!</v>
      </c>
      <c r="N104" s="1" t="e">
        <f t="shared" si="44"/>
        <v>#DIV/0!</v>
      </c>
      <c r="O104" s="1" t="e">
        <f t="shared" si="44"/>
        <v>#DIV/0!</v>
      </c>
      <c r="P104" s="1" t="e">
        <f t="shared" si="44"/>
        <v>#DIV/0!</v>
      </c>
      <c r="Q104" s="1" t="e">
        <f t="shared" si="44"/>
        <v>#DIV/0!</v>
      </c>
      <c r="R104" s="1" t="e">
        <f t="shared" si="44"/>
        <v>#DIV/0!</v>
      </c>
      <c r="S104" s="1" t="e">
        <f t="shared" si="44"/>
        <v>#DIV/0!</v>
      </c>
      <c r="T104" s="1" t="e">
        <f t="shared" si="44"/>
        <v>#DIV/0!</v>
      </c>
      <c r="U104" s="1" t="e">
        <f t="shared" si="44"/>
        <v>#DIV/0!</v>
      </c>
      <c r="V104" s="1" t="e">
        <f t="shared" si="44"/>
        <v>#DIV/0!</v>
      </c>
      <c r="W104" s="1" t="e">
        <f t="shared" si="44"/>
        <v>#DIV/0!</v>
      </c>
      <c r="X104" s="1" t="e">
        <f t="shared" si="44"/>
        <v>#DIV/0!</v>
      </c>
      <c r="Y104" s="1" t="e">
        <f t="shared" si="44"/>
        <v>#DIV/0!</v>
      </c>
      <c r="Z104" s="1" t="e">
        <f t="shared" si="44"/>
        <v>#DIV/0!</v>
      </c>
      <c r="AA104" s="1" t="e">
        <f t="shared" si="44"/>
        <v>#DIV/0!</v>
      </c>
      <c r="AB104" s="1" t="e">
        <f t="shared" si="44"/>
        <v>#DIV/0!</v>
      </c>
      <c r="AC104" s="1" t="e">
        <f t="shared" si="44"/>
        <v>#DIV/0!</v>
      </c>
      <c r="AD104" s="1" t="e">
        <f t="shared" si="44"/>
        <v>#DIV/0!</v>
      </c>
      <c r="AE104" s="1" t="e">
        <f t="shared" si="44"/>
        <v>#DIV/0!</v>
      </c>
      <c r="AF104" s="1" t="e">
        <f t="shared" si="44"/>
        <v>#DIV/0!</v>
      </c>
      <c r="AG104" s="1" t="e">
        <f t="shared" si="44"/>
        <v>#DIV/0!</v>
      </c>
      <c r="AH104" s="1" t="e">
        <f t="shared" si="44"/>
        <v>#DIV/0!</v>
      </c>
      <c r="AI104" s="1" t="e">
        <f t="shared" si="44"/>
        <v>#DIV/0!</v>
      </c>
      <c r="AJ104" s="1" t="e">
        <f t="shared" si="44"/>
        <v>#DIV/0!</v>
      </c>
    </row>
    <row r="105" spans="1:36">
      <c r="A105" s="29">
        <f t="shared" si="41"/>
        <v>15</v>
      </c>
      <c r="B105" s="74"/>
      <c r="C105" s="74"/>
      <c r="D105" s="74"/>
      <c r="E105" s="1" t="e">
        <f t="shared" si="38"/>
        <v>#DIV/0!</v>
      </c>
      <c r="F105" s="1" t="e">
        <f t="shared" si="38"/>
        <v>#DIV/0!</v>
      </c>
      <c r="G105" s="1" t="e">
        <f t="shared" si="38"/>
        <v>#DIV/0!</v>
      </c>
      <c r="H105" s="1" t="e">
        <f t="shared" si="38"/>
        <v>#DIV/0!</v>
      </c>
      <c r="I105" s="1" t="e">
        <f t="shared" si="38"/>
        <v>#DIV/0!</v>
      </c>
      <c r="J105" s="1" t="e">
        <f t="shared" ref="J105:AJ105" si="45">(J42-$B42)/$B$4</f>
        <v>#DIV/0!</v>
      </c>
      <c r="K105" s="1" t="e">
        <f t="shared" si="45"/>
        <v>#DIV/0!</v>
      </c>
      <c r="L105" s="1" t="e">
        <f t="shared" si="45"/>
        <v>#DIV/0!</v>
      </c>
      <c r="M105" s="1" t="e">
        <f t="shared" si="45"/>
        <v>#DIV/0!</v>
      </c>
      <c r="N105" s="1" t="e">
        <f t="shared" si="45"/>
        <v>#DIV/0!</v>
      </c>
      <c r="O105" s="1" t="e">
        <f t="shared" si="45"/>
        <v>#DIV/0!</v>
      </c>
      <c r="P105" s="1" t="e">
        <f t="shared" si="45"/>
        <v>#DIV/0!</v>
      </c>
      <c r="Q105" s="1" t="e">
        <f t="shared" si="45"/>
        <v>#DIV/0!</v>
      </c>
      <c r="R105" s="1" t="e">
        <f t="shared" si="45"/>
        <v>#DIV/0!</v>
      </c>
      <c r="S105" s="1" t="e">
        <f t="shared" si="45"/>
        <v>#DIV/0!</v>
      </c>
      <c r="T105" s="1" t="e">
        <f t="shared" si="45"/>
        <v>#DIV/0!</v>
      </c>
      <c r="U105" s="1" t="e">
        <f t="shared" si="45"/>
        <v>#DIV/0!</v>
      </c>
      <c r="V105" s="1" t="e">
        <f t="shared" si="45"/>
        <v>#DIV/0!</v>
      </c>
      <c r="W105" s="1" t="e">
        <f t="shared" si="45"/>
        <v>#DIV/0!</v>
      </c>
      <c r="X105" s="1" t="e">
        <f t="shared" si="45"/>
        <v>#DIV/0!</v>
      </c>
      <c r="Y105" s="1" t="e">
        <f t="shared" si="45"/>
        <v>#DIV/0!</v>
      </c>
      <c r="Z105" s="1" t="e">
        <f t="shared" si="45"/>
        <v>#DIV/0!</v>
      </c>
      <c r="AA105" s="1" t="e">
        <f t="shared" si="45"/>
        <v>#DIV/0!</v>
      </c>
      <c r="AB105" s="1" t="e">
        <f t="shared" si="45"/>
        <v>#DIV/0!</v>
      </c>
      <c r="AC105" s="1" t="e">
        <f t="shared" si="45"/>
        <v>#DIV/0!</v>
      </c>
      <c r="AD105" s="1" t="e">
        <f t="shared" si="45"/>
        <v>#DIV/0!</v>
      </c>
      <c r="AE105" s="1" t="e">
        <f t="shared" si="45"/>
        <v>#DIV/0!</v>
      </c>
      <c r="AF105" s="1" t="e">
        <f t="shared" si="45"/>
        <v>#DIV/0!</v>
      </c>
      <c r="AG105" s="1" t="e">
        <f t="shared" si="45"/>
        <v>#DIV/0!</v>
      </c>
      <c r="AH105" s="1" t="e">
        <f t="shared" si="45"/>
        <v>#DIV/0!</v>
      </c>
      <c r="AI105" s="1" t="e">
        <f t="shared" si="45"/>
        <v>#DIV/0!</v>
      </c>
      <c r="AJ105" s="1" t="e">
        <f t="shared" si="45"/>
        <v>#DIV/0!</v>
      </c>
    </row>
    <row r="106" spans="1:36">
      <c r="A106" s="29">
        <f t="shared" si="41"/>
        <v>18</v>
      </c>
      <c r="B106" s="74"/>
      <c r="C106" s="74"/>
      <c r="D106" s="74"/>
      <c r="E106" s="1" t="e">
        <f t="shared" si="38"/>
        <v>#DIV/0!</v>
      </c>
      <c r="F106" s="1" t="e">
        <f t="shared" si="38"/>
        <v>#DIV/0!</v>
      </c>
      <c r="G106" s="1" t="e">
        <f t="shared" si="38"/>
        <v>#DIV/0!</v>
      </c>
      <c r="H106" s="1" t="e">
        <f t="shared" si="38"/>
        <v>#DIV/0!</v>
      </c>
      <c r="I106" s="1" t="e">
        <f t="shared" si="38"/>
        <v>#DIV/0!</v>
      </c>
      <c r="J106" s="1" t="e">
        <f t="shared" ref="J106:AJ106" si="46">(J43-$B43)/$B$4</f>
        <v>#DIV/0!</v>
      </c>
      <c r="K106" s="1" t="e">
        <f t="shared" si="46"/>
        <v>#DIV/0!</v>
      </c>
      <c r="L106" s="1" t="e">
        <f t="shared" si="46"/>
        <v>#DIV/0!</v>
      </c>
      <c r="M106" s="1" t="e">
        <f t="shared" si="46"/>
        <v>#DIV/0!</v>
      </c>
      <c r="N106" s="1" t="e">
        <f t="shared" si="46"/>
        <v>#DIV/0!</v>
      </c>
      <c r="O106" s="1" t="e">
        <f t="shared" si="46"/>
        <v>#DIV/0!</v>
      </c>
      <c r="P106" s="1" t="e">
        <f t="shared" si="46"/>
        <v>#DIV/0!</v>
      </c>
      <c r="Q106" s="1" t="e">
        <f t="shared" si="46"/>
        <v>#DIV/0!</v>
      </c>
      <c r="R106" s="1" t="e">
        <f t="shared" si="46"/>
        <v>#DIV/0!</v>
      </c>
      <c r="S106" s="1" t="e">
        <f t="shared" si="46"/>
        <v>#DIV/0!</v>
      </c>
      <c r="T106" s="1" t="e">
        <f t="shared" si="46"/>
        <v>#DIV/0!</v>
      </c>
      <c r="U106" s="1" t="e">
        <f t="shared" si="46"/>
        <v>#DIV/0!</v>
      </c>
      <c r="V106" s="1" t="e">
        <f t="shared" si="46"/>
        <v>#DIV/0!</v>
      </c>
      <c r="W106" s="1" t="e">
        <f t="shared" si="46"/>
        <v>#DIV/0!</v>
      </c>
      <c r="X106" s="1" t="e">
        <f t="shared" si="46"/>
        <v>#DIV/0!</v>
      </c>
      <c r="Y106" s="1" t="e">
        <f t="shared" si="46"/>
        <v>#DIV/0!</v>
      </c>
      <c r="Z106" s="1" t="e">
        <f t="shared" si="46"/>
        <v>#DIV/0!</v>
      </c>
      <c r="AA106" s="1" t="e">
        <f t="shared" si="46"/>
        <v>#DIV/0!</v>
      </c>
      <c r="AB106" s="1" t="e">
        <f t="shared" si="46"/>
        <v>#DIV/0!</v>
      </c>
      <c r="AC106" s="1" t="e">
        <f t="shared" si="46"/>
        <v>#DIV/0!</v>
      </c>
      <c r="AD106" s="1" t="e">
        <f t="shared" si="46"/>
        <v>#DIV/0!</v>
      </c>
      <c r="AE106" s="1" t="e">
        <f t="shared" si="46"/>
        <v>#DIV/0!</v>
      </c>
      <c r="AF106" s="1" t="e">
        <f t="shared" si="46"/>
        <v>#DIV/0!</v>
      </c>
      <c r="AG106" s="1" t="e">
        <f t="shared" si="46"/>
        <v>#DIV/0!</v>
      </c>
      <c r="AH106" s="1" t="e">
        <f t="shared" si="46"/>
        <v>#DIV/0!</v>
      </c>
      <c r="AI106" s="1" t="e">
        <f t="shared" si="46"/>
        <v>#DIV/0!</v>
      </c>
      <c r="AJ106" s="1" t="e">
        <f t="shared" si="46"/>
        <v>#DIV/0!</v>
      </c>
    </row>
    <row r="107" spans="1:36">
      <c r="A107" s="29">
        <f t="shared" si="41"/>
        <v>21</v>
      </c>
      <c r="B107" s="74"/>
      <c r="C107" s="74"/>
      <c r="D107" s="74"/>
      <c r="E107" s="1" t="e">
        <f t="shared" si="38"/>
        <v>#DIV/0!</v>
      </c>
      <c r="F107" s="1" t="e">
        <f t="shared" si="38"/>
        <v>#DIV/0!</v>
      </c>
      <c r="G107" s="1" t="e">
        <f t="shared" si="38"/>
        <v>#DIV/0!</v>
      </c>
      <c r="H107" s="1" t="e">
        <f t="shared" si="38"/>
        <v>#DIV/0!</v>
      </c>
      <c r="I107" s="1" t="e">
        <f t="shared" si="38"/>
        <v>#DIV/0!</v>
      </c>
      <c r="J107" s="1" t="e">
        <f t="shared" ref="J107:AJ107" si="47">(J44-$B44)/$B$4</f>
        <v>#DIV/0!</v>
      </c>
      <c r="K107" s="1" t="e">
        <f t="shared" si="47"/>
        <v>#DIV/0!</v>
      </c>
      <c r="L107" s="1" t="e">
        <f t="shared" si="47"/>
        <v>#DIV/0!</v>
      </c>
      <c r="M107" s="1" t="e">
        <f t="shared" si="47"/>
        <v>#DIV/0!</v>
      </c>
      <c r="N107" s="1" t="e">
        <f t="shared" si="47"/>
        <v>#DIV/0!</v>
      </c>
      <c r="O107" s="1" t="e">
        <f t="shared" si="47"/>
        <v>#DIV/0!</v>
      </c>
      <c r="P107" s="1" t="e">
        <f t="shared" si="47"/>
        <v>#DIV/0!</v>
      </c>
      <c r="Q107" s="1" t="e">
        <f t="shared" si="47"/>
        <v>#DIV/0!</v>
      </c>
      <c r="R107" s="1" t="e">
        <f t="shared" si="47"/>
        <v>#DIV/0!</v>
      </c>
      <c r="S107" s="1" t="e">
        <f t="shared" si="47"/>
        <v>#DIV/0!</v>
      </c>
      <c r="T107" s="1" t="e">
        <f t="shared" si="47"/>
        <v>#DIV/0!</v>
      </c>
      <c r="U107" s="1" t="e">
        <f t="shared" si="47"/>
        <v>#DIV/0!</v>
      </c>
      <c r="V107" s="1" t="e">
        <f t="shared" si="47"/>
        <v>#DIV/0!</v>
      </c>
      <c r="W107" s="1" t="e">
        <f t="shared" si="47"/>
        <v>#DIV/0!</v>
      </c>
      <c r="X107" s="1" t="e">
        <f t="shared" si="47"/>
        <v>#DIV/0!</v>
      </c>
      <c r="Y107" s="1" t="e">
        <f t="shared" si="47"/>
        <v>#DIV/0!</v>
      </c>
      <c r="Z107" s="1" t="e">
        <f t="shared" si="47"/>
        <v>#DIV/0!</v>
      </c>
      <c r="AA107" s="1" t="e">
        <f t="shared" si="47"/>
        <v>#DIV/0!</v>
      </c>
      <c r="AB107" s="1" t="e">
        <f t="shared" si="47"/>
        <v>#DIV/0!</v>
      </c>
      <c r="AC107" s="1" t="e">
        <f t="shared" si="47"/>
        <v>#DIV/0!</v>
      </c>
      <c r="AD107" s="1" t="e">
        <f t="shared" si="47"/>
        <v>#DIV/0!</v>
      </c>
      <c r="AE107" s="1" t="e">
        <f t="shared" si="47"/>
        <v>#DIV/0!</v>
      </c>
      <c r="AF107" s="1" t="e">
        <f t="shared" si="47"/>
        <v>#DIV/0!</v>
      </c>
      <c r="AG107" s="1" t="e">
        <f t="shared" si="47"/>
        <v>#DIV/0!</v>
      </c>
      <c r="AH107" s="1" t="e">
        <f t="shared" si="47"/>
        <v>#DIV/0!</v>
      </c>
      <c r="AI107" s="1" t="e">
        <f t="shared" si="47"/>
        <v>#DIV/0!</v>
      </c>
      <c r="AJ107" s="1" t="e">
        <f t="shared" si="47"/>
        <v>#DIV/0!</v>
      </c>
    </row>
    <row r="108" spans="1:36">
      <c r="A108" s="29">
        <f t="shared" si="41"/>
        <v>24</v>
      </c>
      <c r="B108" s="74"/>
      <c r="C108" s="74"/>
      <c r="D108" s="74"/>
      <c r="E108" s="1" t="e">
        <f t="shared" si="38"/>
        <v>#DIV/0!</v>
      </c>
      <c r="F108" s="1" t="e">
        <f t="shared" si="38"/>
        <v>#DIV/0!</v>
      </c>
      <c r="G108" s="1" t="e">
        <f t="shared" si="38"/>
        <v>#DIV/0!</v>
      </c>
      <c r="H108" s="1" t="e">
        <f t="shared" si="38"/>
        <v>#DIV/0!</v>
      </c>
      <c r="I108" s="1" t="e">
        <f t="shared" si="38"/>
        <v>#DIV/0!</v>
      </c>
      <c r="J108" s="1" t="e">
        <f t="shared" ref="J108:AJ108" si="48">(J45-$B45)/$B$4</f>
        <v>#DIV/0!</v>
      </c>
      <c r="K108" s="1" t="e">
        <f t="shared" si="48"/>
        <v>#DIV/0!</v>
      </c>
      <c r="L108" s="1" t="e">
        <f t="shared" si="48"/>
        <v>#DIV/0!</v>
      </c>
      <c r="M108" s="1" t="e">
        <f t="shared" si="48"/>
        <v>#DIV/0!</v>
      </c>
      <c r="N108" s="1" t="e">
        <f t="shared" si="48"/>
        <v>#DIV/0!</v>
      </c>
      <c r="O108" s="1" t="e">
        <f t="shared" si="48"/>
        <v>#DIV/0!</v>
      </c>
      <c r="P108" s="1" t="e">
        <f t="shared" si="48"/>
        <v>#DIV/0!</v>
      </c>
      <c r="Q108" s="1" t="e">
        <f t="shared" si="48"/>
        <v>#DIV/0!</v>
      </c>
      <c r="R108" s="1" t="e">
        <f t="shared" si="48"/>
        <v>#DIV/0!</v>
      </c>
      <c r="S108" s="1" t="e">
        <f t="shared" si="48"/>
        <v>#DIV/0!</v>
      </c>
      <c r="T108" s="1" t="e">
        <f t="shared" si="48"/>
        <v>#DIV/0!</v>
      </c>
      <c r="U108" s="1" t="e">
        <f t="shared" si="48"/>
        <v>#DIV/0!</v>
      </c>
      <c r="V108" s="1" t="e">
        <f t="shared" si="48"/>
        <v>#DIV/0!</v>
      </c>
      <c r="W108" s="1" t="e">
        <f t="shared" si="48"/>
        <v>#DIV/0!</v>
      </c>
      <c r="X108" s="1" t="e">
        <f t="shared" si="48"/>
        <v>#DIV/0!</v>
      </c>
      <c r="Y108" s="1" t="e">
        <f t="shared" si="48"/>
        <v>#DIV/0!</v>
      </c>
      <c r="Z108" s="1" t="e">
        <f t="shared" si="48"/>
        <v>#DIV/0!</v>
      </c>
      <c r="AA108" s="1" t="e">
        <f t="shared" si="48"/>
        <v>#DIV/0!</v>
      </c>
      <c r="AB108" s="1" t="e">
        <f t="shared" si="48"/>
        <v>#DIV/0!</v>
      </c>
      <c r="AC108" s="1" t="e">
        <f t="shared" si="48"/>
        <v>#DIV/0!</v>
      </c>
      <c r="AD108" s="1" t="e">
        <f t="shared" si="48"/>
        <v>#DIV/0!</v>
      </c>
      <c r="AE108" s="1" t="e">
        <f t="shared" si="48"/>
        <v>#DIV/0!</v>
      </c>
      <c r="AF108" s="1" t="e">
        <f t="shared" si="48"/>
        <v>#DIV/0!</v>
      </c>
      <c r="AG108" s="1" t="e">
        <f t="shared" si="48"/>
        <v>#DIV/0!</v>
      </c>
      <c r="AH108" s="1" t="e">
        <f t="shared" si="48"/>
        <v>#DIV/0!</v>
      </c>
      <c r="AI108" s="1" t="e">
        <f t="shared" si="48"/>
        <v>#DIV/0!</v>
      </c>
      <c r="AJ108" s="1" t="e">
        <f t="shared" si="48"/>
        <v>#DIV/0!</v>
      </c>
    </row>
    <row r="109" spans="1:36">
      <c r="A109" s="29">
        <f t="shared" si="41"/>
        <v>27</v>
      </c>
      <c r="B109" s="74"/>
      <c r="C109" s="74"/>
      <c r="D109" s="74"/>
      <c r="E109" s="1" t="e">
        <f t="shared" si="38"/>
        <v>#DIV/0!</v>
      </c>
      <c r="F109" s="1" t="e">
        <f t="shared" si="38"/>
        <v>#DIV/0!</v>
      </c>
      <c r="G109" s="1" t="e">
        <f t="shared" si="38"/>
        <v>#DIV/0!</v>
      </c>
      <c r="H109" s="1" t="e">
        <f t="shared" si="38"/>
        <v>#DIV/0!</v>
      </c>
      <c r="I109" s="1" t="e">
        <f t="shared" si="38"/>
        <v>#DIV/0!</v>
      </c>
      <c r="J109" s="1" t="e">
        <f t="shared" ref="J109:AJ109" si="49">(J46-$B46)/$B$4</f>
        <v>#DIV/0!</v>
      </c>
      <c r="K109" s="1" t="e">
        <f t="shared" si="49"/>
        <v>#DIV/0!</v>
      </c>
      <c r="L109" s="1" t="e">
        <f t="shared" si="49"/>
        <v>#DIV/0!</v>
      </c>
      <c r="M109" s="1" t="e">
        <f t="shared" si="49"/>
        <v>#DIV/0!</v>
      </c>
      <c r="N109" s="1" t="e">
        <f t="shared" si="49"/>
        <v>#DIV/0!</v>
      </c>
      <c r="O109" s="1" t="e">
        <f t="shared" si="49"/>
        <v>#DIV/0!</v>
      </c>
      <c r="P109" s="1" t="e">
        <f t="shared" si="49"/>
        <v>#DIV/0!</v>
      </c>
      <c r="Q109" s="1" t="e">
        <f t="shared" si="49"/>
        <v>#DIV/0!</v>
      </c>
      <c r="R109" s="1" t="e">
        <f t="shared" si="49"/>
        <v>#DIV/0!</v>
      </c>
      <c r="S109" s="1" t="e">
        <f t="shared" si="49"/>
        <v>#DIV/0!</v>
      </c>
      <c r="T109" s="1" t="e">
        <f t="shared" si="49"/>
        <v>#DIV/0!</v>
      </c>
      <c r="U109" s="1" t="e">
        <f t="shared" si="49"/>
        <v>#DIV/0!</v>
      </c>
      <c r="V109" s="1" t="e">
        <f t="shared" si="49"/>
        <v>#DIV/0!</v>
      </c>
      <c r="W109" s="1" t="e">
        <f t="shared" si="49"/>
        <v>#DIV/0!</v>
      </c>
      <c r="X109" s="1" t="e">
        <f t="shared" si="49"/>
        <v>#DIV/0!</v>
      </c>
      <c r="Y109" s="1" t="e">
        <f t="shared" si="49"/>
        <v>#DIV/0!</v>
      </c>
      <c r="Z109" s="1" t="e">
        <f t="shared" si="49"/>
        <v>#DIV/0!</v>
      </c>
      <c r="AA109" s="1" t="e">
        <f t="shared" si="49"/>
        <v>#DIV/0!</v>
      </c>
      <c r="AB109" s="1" t="e">
        <f t="shared" si="49"/>
        <v>#DIV/0!</v>
      </c>
      <c r="AC109" s="1" t="e">
        <f t="shared" si="49"/>
        <v>#DIV/0!</v>
      </c>
      <c r="AD109" s="1" t="e">
        <f t="shared" si="49"/>
        <v>#DIV/0!</v>
      </c>
      <c r="AE109" s="1" t="e">
        <f t="shared" si="49"/>
        <v>#DIV/0!</v>
      </c>
      <c r="AF109" s="1" t="e">
        <f t="shared" si="49"/>
        <v>#DIV/0!</v>
      </c>
      <c r="AG109" s="1" t="e">
        <f t="shared" si="49"/>
        <v>#DIV/0!</v>
      </c>
      <c r="AH109" s="1" t="e">
        <f t="shared" si="49"/>
        <v>#DIV/0!</v>
      </c>
      <c r="AI109" s="1" t="e">
        <f t="shared" si="49"/>
        <v>#DIV/0!</v>
      </c>
      <c r="AJ109" s="1" t="e">
        <f t="shared" si="49"/>
        <v>#DIV/0!</v>
      </c>
    </row>
    <row r="110" spans="1:36">
      <c r="A110" s="29">
        <f t="shared" si="41"/>
        <v>30</v>
      </c>
      <c r="B110" s="74"/>
      <c r="C110" s="74"/>
      <c r="D110" s="74"/>
      <c r="E110" s="1" t="e">
        <f t="shared" ref="E110:I119" si="50">(E47-$B47)/$B$4</f>
        <v>#DIV/0!</v>
      </c>
      <c r="F110" s="1" t="e">
        <f t="shared" si="50"/>
        <v>#DIV/0!</v>
      </c>
      <c r="G110" s="1" t="e">
        <f t="shared" si="50"/>
        <v>#DIV/0!</v>
      </c>
      <c r="H110" s="1" t="e">
        <f t="shared" si="50"/>
        <v>#DIV/0!</v>
      </c>
      <c r="I110" s="1" t="e">
        <f t="shared" si="50"/>
        <v>#DIV/0!</v>
      </c>
      <c r="J110" s="1" t="e">
        <f t="shared" ref="J110:AJ110" si="51">(J47-$B47)/$B$4</f>
        <v>#DIV/0!</v>
      </c>
      <c r="K110" s="1" t="e">
        <f t="shared" si="51"/>
        <v>#DIV/0!</v>
      </c>
      <c r="L110" s="1" t="e">
        <f t="shared" si="51"/>
        <v>#DIV/0!</v>
      </c>
      <c r="M110" s="1" t="e">
        <f t="shared" si="51"/>
        <v>#DIV/0!</v>
      </c>
      <c r="N110" s="1" t="e">
        <f t="shared" si="51"/>
        <v>#DIV/0!</v>
      </c>
      <c r="O110" s="1" t="e">
        <f t="shared" si="51"/>
        <v>#DIV/0!</v>
      </c>
      <c r="P110" s="1" t="e">
        <f t="shared" si="51"/>
        <v>#DIV/0!</v>
      </c>
      <c r="Q110" s="1" t="e">
        <f t="shared" si="51"/>
        <v>#DIV/0!</v>
      </c>
      <c r="R110" s="1" t="e">
        <f t="shared" si="51"/>
        <v>#DIV/0!</v>
      </c>
      <c r="S110" s="1" t="e">
        <f t="shared" si="51"/>
        <v>#DIV/0!</v>
      </c>
      <c r="T110" s="1" t="e">
        <f t="shared" si="51"/>
        <v>#DIV/0!</v>
      </c>
      <c r="U110" s="1" t="e">
        <f t="shared" si="51"/>
        <v>#DIV/0!</v>
      </c>
      <c r="V110" s="1" t="e">
        <f t="shared" si="51"/>
        <v>#DIV/0!</v>
      </c>
      <c r="W110" s="1" t="e">
        <f t="shared" si="51"/>
        <v>#DIV/0!</v>
      </c>
      <c r="X110" s="1" t="e">
        <f t="shared" si="51"/>
        <v>#DIV/0!</v>
      </c>
      <c r="Y110" s="1" t="e">
        <f t="shared" si="51"/>
        <v>#DIV/0!</v>
      </c>
      <c r="Z110" s="1" t="e">
        <f t="shared" si="51"/>
        <v>#DIV/0!</v>
      </c>
      <c r="AA110" s="1" t="e">
        <f t="shared" si="51"/>
        <v>#DIV/0!</v>
      </c>
      <c r="AB110" s="1" t="e">
        <f t="shared" si="51"/>
        <v>#DIV/0!</v>
      </c>
      <c r="AC110" s="1" t="e">
        <f t="shared" si="51"/>
        <v>#DIV/0!</v>
      </c>
      <c r="AD110" s="1" t="e">
        <f t="shared" si="51"/>
        <v>#DIV/0!</v>
      </c>
      <c r="AE110" s="1" t="e">
        <f t="shared" si="51"/>
        <v>#DIV/0!</v>
      </c>
      <c r="AF110" s="1" t="e">
        <f t="shared" si="51"/>
        <v>#DIV/0!</v>
      </c>
      <c r="AG110" s="1" t="e">
        <f t="shared" si="51"/>
        <v>#DIV/0!</v>
      </c>
      <c r="AH110" s="1" t="e">
        <f t="shared" si="51"/>
        <v>#DIV/0!</v>
      </c>
      <c r="AI110" s="1" t="e">
        <f t="shared" si="51"/>
        <v>#DIV/0!</v>
      </c>
      <c r="AJ110" s="1" t="e">
        <f t="shared" si="51"/>
        <v>#DIV/0!</v>
      </c>
    </row>
    <row r="111" spans="1:36">
      <c r="A111" s="29">
        <f t="shared" si="41"/>
        <v>33</v>
      </c>
      <c r="B111" s="74"/>
      <c r="C111" s="74"/>
      <c r="D111" s="74"/>
      <c r="E111" s="1" t="e">
        <f t="shared" si="50"/>
        <v>#DIV/0!</v>
      </c>
      <c r="F111" s="1" t="e">
        <f t="shared" si="50"/>
        <v>#DIV/0!</v>
      </c>
      <c r="G111" s="1" t="e">
        <f t="shared" si="50"/>
        <v>#DIV/0!</v>
      </c>
      <c r="H111" s="1" t="e">
        <f t="shared" si="50"/>
        <v>#DIV/0!</v>
      </c>
      <c r="I111" s="1" t="e">
        <f t="shared" si="50"/>
        <v>#DIV/0!</v>
      </c>
      <c r="J111" s="1" t="e">
        <f t="shared" ref="J111:AJ111" si="52">(J48-$B48)/$B$4</f>
        <v>#DIV/0!</v>
      </c>
      <c r="K111" s="1" t="e">
        <f t="shared" si="52"/>
        <v>#DIV/0!</v>
      </c>
      <c r="L111" s="1" t="e">
        <f t="shared" si="52"/>
        <v>#DIV/0!</v>
      </c>
      <c r="M111" s="1" t="e">
        <f t="shared" si="52"/>
        <v>#DIV/0!</v>
      </c>
      <c r="N111" s="1" t="e">
        <f t="shared" si="52"/>
        <v>#DIV/0!</v>
      </c>
      <c r="O111" s="1" t="e">
        <f t="shared" si="52"/>
        <v>#DIV/0!</v>
      </c>
      <c r="P111" s="1" t="e">
        <f t="shared" si="52"/>
        <v>#DIV/0!</v>
      </c>
      <c r="Q111" s="1" t="e">
        <f t="shared" si="52"/>
        <v>#DIV/0!</v>
      </c>
      <c r="R111" s="1" t="e">
        <f t="shared" si="52"/>
        <v>#DIV/0!</v>
      </c>
      <c r="S111" s="1" t="e">
        <f t="shared" si="52"/>
        <v>#DIV/0!</v>
      </c>
      <c r="T111" s="1" t="e">
        <f t="shared" si="52"/>
        <v>#DIV/0!</v>
      </c>
      <c r="U111" s="1" t="e">
        <f t="shared" si="52"/>
        <v>#DIV/0!</v>
      </c>
      <c r="V111" s="1" t="e">
        <f t="shared" si="52"/>
        <v>#DIV/0!</v>
      </c>
      <c r="W111" s="1" t="e">
        <f t="shared" si="52"/>
        <v>#DIV/0!</v>
      </c>
      <c r="X111" s="1" t="e">
        <f t="shared" si="52"/>
        <v>#DIV/0!</v>
      </c>
      <c r="Y111" s="1" t="e">
        <f t="shared" si="52"/>
        <v>#DIV/0!</v>
      </c>
      <c r="Z111" s="1" t="e">
        <f t="shared" si="52"/>
        <v>#DIV/0!</v>
      </c>
      <c r="AA111" s="1" t="e">
        <f t="shared" si="52"/>
        <v>#DIV/0!</v>
      </c>
      <c r="AB111" s="1" t="e">
        <f t="shared" si="52"/>
        <v>#DIV/0!</v>
      </c>
      <c r="AC111" s="1" t="e">
        <f t="shared" si="52"/>
        <v>#DIV/0!</v>
      </c>
      <c r="AD111" s="1" t="e">
        <f t="shared" si="52"/>
        <v>#DIV/0!</v>
      </c>
      <c r="AE111" s="1" t="e">
        <f t="shared" si="52"/>
        <v>#DIV/0!</v>
      </c>
      <c r="AF111" s="1" t="e">
        <f t="shared" si="52"/>
        <v>#DIV/0!</v>
      </c>
      <c r="AG111" s="1" t="e">
        <f t="shared" si="52"/>
        <v>#DIV/0!</v>
      </c>
      <c r="AH111" s="1" t="e">
        <f t="shared" si="52"/>
        <v>#DIV/0!</v>
      </c>
      <c r="AI111" s="1" t="e">
        <f t="shared" si="52"/>
        <v>#DIV/0!</v>
      </c>
      <c r="AJ111" s="1" t="e">
        <f t="shared" si="52"/>
        <v>#DIV/0!</v>
      </c>
    </row>
    <row r="112" spans="1:36">
      <c r="A112" s="29">
        <f t="shared" si="41"/>
        <v>36</v>
      </c>
      <c r="B112" s="74"/>
      <c r="C112" s="74"/>
      <c r="D112" s="74"/>
      <c r="E112" s="1" t="e">
        <f t="shared" si="50"/>
        <v>#DIV/0!</v>
      </c>
      <c r="F112" s="1" t="e">
        <f t="shared" si="50"/>
        <v>#DIV/0!</v>
      </c>
      <c r="G112" s="1" t="e">
        <f t="shared" si="50"/>
        <v>#DIV/0!</v>
      </c>
      <c r="H112" s="1" t="e">
        <f t="shared" si="50"/>
        <v>#DIV/0!</v>
      </c>
      <c r="I112" s="1" t="e">
        <f t="shared" si="50"/>
        <v>#DIV/0!</v>
      </c>
      <c r="J112" s="1" t="e">
        <f t="shared" ref="J112:AJ112" si="53">(J49-$B49)/$B$4</f>
        <v>#DIV/0!</v>
      </c>
      <c r="K112" s="1" t="e">
        <f t="shared" si="53"/>
        <v>#DIV/0!</v>
      </c>
      <c r="L112" s="1" t="e">
        <f t="shared" si="53"/>
        <v>#DIV/0!</v>
      </c>
      <c r="M112" s="1" t="e">
        <f t="shared" si="53"/>
        <v>#DIV/0!</v>
      </c>
      <c r="N112" s="1" t="e">
        <f t="shared" si="53"/>
        <v>#DIV/0!</v>
      </c>
      <c r="O112" s="1" t="e">
        <f t="shared" si="53"/>
        <v>#DIV/0!</v>
      </c>
      <c r="P112" s="1" t="e">
        <f t="shared" si="53"/>
        <v>#DIV/0!</v>
      </c>
      <c r="Q112" s="1" t="e">
        <f t="shared" si="53"/>
        <v>#DIV/0!</v>
      </c>
      <c r="R112" s="1" t="e">
        <f t="shared" si="53"/>
        <v>#DIV/0!</v>
      </c>
      <c r="S112" s="1" t="e">
        <f t="shared" si="53"/>
        <v>#DIV/0!</v>
      </c>
      <c r="T112" s="1" t="e">
        <f t="shared" si="53"/>
        <v>#DIV/0!</v>
      </c>
      <c r="U112" s="1" t="e">
        <f t="shared" si="53"/>
        <v>#DIV/0!</v>
      </c>
      <c r="V112" s="1" t="e">
        <f t="shared" si="53"/>
        <v>#DIV/0!</v>
      </c>
      <c r="W112" s="1" t="e">
        <f t="shared" si="53"/>
        <v>#DIV/0!</v>
      </c>
      <c r="X112" s="1" t="e">
        <f t="shared" si="53"/>
        <v>#DIV/0!</v>
      </c>
      <c r="Y112" s="1" t="e">
        <f t="shared" si="53"/>
        <v>#DIV/0!</v>
      </c>
      <c r="Z112" s="1" t="e">
        <f t="shared" si="53"/>
        <v>#DIV/0!</v>
      </c>
      <c r="AA112" s="1" t="e">
        <f t="shared" si="53"/>
        <v>#DIV/0!</v>
      </c>
      <c r="AB112" s="1" t="e">
        <f t="shared" si="53"/>
        <v>#DIV/0!</v>
      </c>
      <c r="AC112" s="1" t="e">
        <f t="shared" si="53"/>
        <v>#DIV/0!</v>
      </c>
      <c r="AD112" s="1" t="e">
        <f t="shared" si="53"/>
        <v>#DIV/0!</v>
      </c>
      <c r="AE112" s="1" t="e">
        <f t="shared" si="53"/>
        <v>#DIV/0!</v>
      </c>
      <c r="AF112" s="1" t="e">
        <f t="shared" si="53"/>
        <v>#DIV/0!</v>
      </c>
      <c r="AG112" s="1" t="e">
        <f t="shared" si="53"/>
        <v>#DIV/0!</v>
      </c>
      <c r="AH112" s="1" t="e">
        <f t="shared" si="53"/>
        <v>#DIV/0!</v>
      </c>
      <c r="AI112" s="1" t="e">
        <f t="shared" si="53"/>
        <v>#DIV/0!</v>
      </c>
      <c r="AJ112" s="1" t="e">
        <f t="shared" si="53"/>
        <v>#DIV/0!</v>
      </c>
    </row>
    <row r="113" spans="1:36">
      <c r="A113" s="29">
        <f t="shared" si="41"/>
        <v>39</v>
      </c>
      <c r="B113" s="74"/>
      <c r="C113" s="74"/>
      <c r="D113" s="74"/>
      <c r="E113" s="1" t="e">
        <f t="shared" si="50"/>
        <v>#DIV/0!</v>
      </c>
      <c r="F113" s="1" t="e">
        <f t="shared" si="50"/>
        <v>#DIV/0!</v>
      </c>
      <c r="G113" s="1" t="e">
        <f t="shared" si="50"/>
        <v>#DIV/0!</v>
      </c>
      <c r="H113" s="1" t="e">
        <f t="shared" si="50"/>
        <v>#DIV/0!</v>
      </c>
      <c r="I113" s="1" t="e">
        <f t="shared" si="50"/>
        <v>#DIV/0!</v>
      </c>
      <c r="J113" s="1" t="e">
        <f t="shared" ref="J113:AJ113" si="54">(J50-$B50)/$B$4</f>
        <v>#DIV/0!</v>
      </c>
      <c r="K113" s="1" t="e">
        <f t="shared" si="54"/>
        <v>#DIV/0!</v>
      </c>
      <c r="L113" s="1" t="e">
        <f t="shared" si="54"/>
        <v>#DIV/0!</v>
      </c>
      <c r="M113" s="1" t="e">
        <f t="shared" si="54"/>
        <v>#DIV/0!</v>
      </c>
      <c r="N113" s="1" t="e">
        <f t="shared" si="54"/>
        <v>#DIV/0!</v>
      </c>
      <c r="O113" s="1" t="e">
        <f t="shared" si="54"/>
        <v>#DIV/0!</v>
      </c>
      <c r="P113" s="1" t="e">
        <f t="shared" si="54"/>
        <v>#DIV/0!</v>
      </c>
      <c r="Q113" s="1" t="e">
        <f t="shared" si="54"/>
        <v>#DIV/0!</v>
      </c>
      <c r="R113" s="1" t="e">
        <f t="shared" si="54"/>
        <v>#DIV/0!</v>
      </c>
      <c r="S113" s="1" t="e">
        <f t="shared" si="54"/>
        <v>#DIV/0!</v>
      </c>
      <c r="T113" s="1" t="e">
        <f t="shared" si="54"/>
        <v>#DIV/0!</v>
      </c>
      <c r="U113" s="1" t="e">
        <f t="shared" si="54"/>
        <v>#DIV/0!</v>
      </c>
      <c r="V113" s="1" t="e">
        <f t="shared" si="54"/>
        <v>#DIV/0!</v>
      </c>
      <c r="W113" s="1" t="e">
        <f t="shared" si="54"/>
        <v>#DIV/0!</v>
      </c>
      <c r="X113" s="1" t="e">
        <f t="shared" si="54"/>
        <v>#DIV/0!</v>
      </c>
      <c r="Y113" s="1" t="e">
        <f t="shared" si="54"/>
        <v>#DIV/0!</v>
      </c>
      <c r="Z113" s="1" t="e">
        <f t="shared" si="54"/>
        <v>#DIV/0!</v>
      </c>
      <c r="AA113" s="1" t="e">
        <f t="shared" si="54"/>
        <v>#DIV/0!</v>
      </c>
      <c r="AB113" s="1" t="e">
        <f t="shared" si="54"/>
        <v>#DIV/0!</v>
      </c>
      <c r="AC113" s="1" t="e">
        <f t="shared" si="54"/>
        <v>#DIV/0!</v>
      </c>
      <c r="AD113" s="1" t="e">
        <f t="shared" si="54"/>
        <v>#DIV/0!</v>
      </c>
      <c r="AE113" s="1" t="e">
        <f t="shared" si="54"/>
        <v>#DIV/0!</v>
      </c>
      <c r="AF113" s="1" t="e">
        <f t="shared" si="54"/>
        <v>#DIV/0!</v>
      </c>
      <c r="AG113" s="1" t="e">
        <f t="shared" si="54"/>
        <v>#DIV/0!</v>
      </c>
      <c r="AH113" s="1" t="e">
        <f t="shared" si="54"/>
        <v>#DIV/0!</v>
      </c>
      <c r="AI113" s="1" t="e">
        <f t="shared" si="54"/>
        <v>#DIV/0!</v>
      </c>
      <c r="AJ113" s="1" t="e">
        <f t="shared" si="54"/>
        <v>#DIV/0!</v>
      </c>
    </row>
    <row r="114" spans="1:36">
      <c r="A114" s="29">
        <f t="shared" si="41"/>
        <v>42</v>
      </c>
      <c r="B114" s="74"/>
      <c r="C114" s="74"/>
      <c r="D114" s="74"/>
      <c r="E114" s="1" t="e">
        <f t="shared" si="50"/>
        <v>#DIV/0!</v>
      </c>
      <c r="F114" s="1" t="e">
        <f t="shared" si="50"/>
        <v>#DIV/0!</v>
      </c>
      <c r="G114" s="1" t="e">
        <f t="shared" si="50"/>
        <v>#DIV/0!</v>
      </c>
      <c r="H114" s="1" t="e">
        <f t="shared" si="50"/>
        <v>#DIV/0!</v>
      </c>
      <c r="I114" s="1" t="e">
        <f t="shared" si="50"/>
        <v>#DIV/0!</v>
      </c>
      <c r="J114" s="1" t="e">
        <f t="shared" ref="J114:AJ114" si="55">(J51-$B51)/$B$4</f>
        <v>#DIV/0!</v>
      </c>
      <c r="K114" s="1" t="e">
        <f t="shared" si="55"/>
        <v>#DIV/0!</v>
      </c>
      <c r="L114" s="1" t="e">
        <f t="shared" si="55"/>
        <v>#DIV/0!</v>
      </c>
      <c r="M114" s="1" t="e">
        <f t="shared" si="55"/>
        <v>#DIV/0!</v>
      </c>
      <c r="N114" s="1" t="e">
        <f t="shared" si="55"/>
        <v>#DIV/0!</v>
      </c>
      <c r="O114" s="1" t="e">
        <f t="shared" si="55"/>
        <v>#DIV/0!</v>
      </c>
      <c r="P114" s="1" t="e">
        <f t="shared" si="55"/>
        <v>#DIV/0!</v>
      </c>
      <c r="Q114" s="1" t="e">
        <f t="shared" si="55"/>
        <v>#DIV/0!</v>
      </c>
      <c r="R114" s="1" t="e">
        <f t="shared" si="55"/>
        <v>#DIV/0!</v>
      </c>
      <c r="S114" s="1" t="e">
        <f t="shared" si="55"/>
        <v>#DIV/0!</v>
      </c>
      <c r="T114" s="1" t="e">
        <f t="shared" si="55"/>
        <v>#DIV/0!</v>
      </c>
      <c r="U114" s="1" t="e">
        <f t="shared" si="55"/>
        <v>#DIV/0!</v>
      </c>
      <c r="V114" s="1" t="e">
        <f t="shared" si="55"/>
        <v>#DIV/0!</v>
      </c>
      <c r="W114" s="1" t="e">
        <f t="shared" si="55"/>
        <v>#DIV/0!</v>
      </c>
      <c r="X114" s="1" t="e">
        <f t="shared" si="55"/>
        <v>#DIV/0!</v>
      </c>
      <c r="Y114" s="1" t="e">
        <f t="shared" si="55"/>
        <v>#DIV/0!</v>
      </c>
      <c r="Z114" s="1" t="e">
        <f t="shared" si="55"/>
        <v>#DIV/0!</v>
      </c>
      <c r="AA114" s="1" t="e">
        <f t="shared" si="55"/>
        <v>#DIV/0!</v>
      </c>
      <c r="AB114" s="1" t="e">
        <f t="shared" si="55"/>
        <v>#DIV/0!</v>
      </c>
      <c r="AC114" s="1" t="e">
        <f t="shared" si="55"/>
        <v>#DIV/0!</v>
      </c>
      <c r="AD114" s="1" t="e">
        <f t="shared" si="55"/>
        <v>#DIV/0!</v>
      </c>
      <c r="AE114" s="1" t="e">
        <f t="shared" si="55"/>
        <v>#DIV/0!</v>
      </c>
      <c r="AF114" s="1" t="e">
        <f t="shared" si="55"/>
        <v>#DIV/0!</v>
      </c>
      <c r="AG114" s="1" t="e">
        <f t="shared" si="55"/>
        <v>#DIV/0!</v>
      </c>
      <c r="AH114" s="1" t="e">
        <f t="shared" si="55"/>
        <v>#DIV/0!</v>
      </c>
      <c r="AI114" s="1" t="e">
        <f t="shared" si="55"/>
        <v>#DIV/0!</v>
      </c>
      <c r="AJ114" s="1" t="e">
        <f t="shared" si="55"/>
        <v>#DIV/0!</v>
      </c>
    </row>
    <row r="115" spans="1:36">
      <c r="A115" s="29">
        <f t="shared" si="41"/>
        <v>45</v>
      </c>
      <c r="B115" s="74"/>
      <c r="C115" s="74"/>
      <c r="D115" s="74"/>
      <c r="E115" s="1" t="e">
        <f t="shared" si="50"/>
        <v>#DIV/0!</v>
      </c>
      <c r="F115" s="1" t="e">
        <f t="shared" si="50"/>
        <v>#DIV/0!</v>
      </c>
      <c r="G115" s="1" t="e">
        <f t="shared" si="50"/>
        <v>#DIV/0!</v>
      </c>
      <c r="H115" s="1" t="e">
        <f t="shared" si="50"/>
        <v>#DIV/0!</v>
      </c>
      <c r="I115" s="1" t="e">
        <f t="shared" si="50"/>
        <v>#DIV/0!</v>
      </c>
      <c r="J115" s="1" t="e">
        <f t="shared" ref="J115:AJ115" si="56">(J52-$B52)/$B$4</f>
        <v>#DIV/0!</v>
      </c>
      <c r="K115" s="1" t="e">
        <f t="shared" si="56"/>
        <v>#DIV/0!</v>
      </c>
      <c r="L115" s="1" t="e">
        <f t="shared" si="56"/>
        <v>#DIV/0!</v>
      </c>
      <c r="M115" s="1" t="e">
        <f t="shared" si="56"/>
        <v>#DIV/0!</v>
      </c>
      <c r="N115" s="1" t="e">
        <f t="shared" si="56"/>
        <v>#DIV/0!</v>
      </c>
      <c r="O115" s="1" t="e">
        <f t="shared" si="56"/>
        <v>#DIV/0!</v>
      </c>
      <c r="P115" s="1" t="e">
        <f t="shared" si="56"/>
        <v>#DIV/0!</v>
      </c>
      <c r="Q115" s="1" t="e">
        <f t="shared" si="56"/>
        <v>#DIV/0!</v>
      </c>
      <c r="R115" s="1" t="e">
        <f t="shared" si="56"/>
        <v>#DIV/0!</v>
      </c>
      <c r="S115" s="1" t="e">
        <f t="shared" si="56"/>
        <v>#DIV/0!</v>
      </c>
      <c r="T115" s="1" t="e">
        <f t="shared" si="56"/>
        <v>#DIV/0!</v>
      </c>
      <c r="U115" s="1" t="e">
        <f t="shared" si="56"/>
        <v>#DIV/0!</v>
      </c>
      <c r="V115" s="1" t="e">
        <f t="shared" si="56"/>
        <v>#DIV/0!</v>
      </c>
      <c r="W115" s="1" t="e">
        <f t="shared" si="56"/>
        <v>#DIV/0!</v>
      </c>
      <c r="X115" s="1" t="e">
        <f t="shared" si="56"/>
        <v>#DIV/0!</v>
      </c>
      <c r="Y115" s="1" t="e">
        <f t="shared" si="56"/>
        <v>#DIV/0!</v>
      </c>
      <c r="Z115" s="1" t="e">
        <f t="shared" si="56"/>
        <v>#DIV/0!</v>
      </c>
      <c r="AA115" s="1" t="e">
        <f t="shared" si="56"/>
        <v>#DIV/0!</v>
      </c>
      <c r="AB115" s="1" t="e">
        <f t="shared" si="56"/>
        <v>#DIV/0!</v>
      </c>
      <c r="AC115" s="1" t="e">
        <f t="shared" si="56"/>
        <v>#DIV/0!</v>
      </c>
      <c r="AD115" s="1" t="e">
        <f t="shared" si="56"/>
        <v>#DIV/0!</v>
      </c>
      <c r="AE115" s="1" t="e">
        <f t="shared" si="56"/>
        <v>#DIV/0!</v>
      </c>
      <c r="AF115" s="1" t="e">
        <f t="shared" si="56"/>
        <v>#DIV/0!</v>
      </c>
      <c r="AG115" s="1" t="e">
        <f t="shared" si="56"/>
        <v>#DIV/0!</v>
      </c>
      <c r="AH115" s="1" t="e">
        <f t="shared" si="56"/>
        <v>#DIV/0!</v>
      </c>
      <c r="AI115" s="1" t="e">
        <f t="shared" si="56"/>
        <v>#DIV/0!</v>
      </c>
      <c r="AJ115" s="1" t="e">
        <f t="shared" si="56"/>
        <v>#DIV/0!</v>
      </c>
    </row>
    <row r="116" spans="1:36">
      <c r="A116" s="29">
        <f t="shared" si="41"/>
        <v>48</v>
      </c>
      <c r="B116" s="74"/>
      <c r="C116" s="74"/>
      <c r="D116" s="74"/>
      <c r="E116" s="1" t="e">
        <f t="shared" si="50"/>
        <v>#DIV/0!</v>
      </c>
      <c r="F116" s="1" t="e">
        <f t="shared" si="50"/>
        <v>#DIV/0!</v>
      </c>
      <c r="G116" s="1" t="e">
        <f t="shared" si="50"/>
        <v>#DIV/0!</v>
      </c>
      <c r="H116" s="1" t="e">
        <f t="shared" si="50"/>
        <v>#DIV/0!</v>
      </c>
      <c r="I116" s="1" t="e">
        <f t="shared" si="50"/>
        <v>#DIV/0!</v>
      </c>
      <c r="J116" s="1" t="e">
        <f t="shared" ref="J116:AJ116" si="57">(J53-$B53)/$B$4</f>
        <v>#DIV/0!</v>
      </c>
      <c r="K116" s="1" t="e">
        <f t="shared" si="57"/>
        <v>#DIV/0!</v>
      </c>
      <c r="L116" s="1" t="e">
        <f t="shared" si="57"/>
        <v>#DIV/0!</v>
      </c>
      <c r="M116" s="1" t="e">
        <f t="shared" si="57"/>
        <v>#DIV/0!</v>
      </c>
      <c r="N116" s="1" t="e">
        <f t="shared" si="57"/>
        <v>#DIV/0!</v>
      </c>
      <c r="O116" s="1" t="e">
        <f t="shared" si="57"/>
        <v>#DIV/0!</v>
      </c>
      <c r="P116" s="1" t="e">
        <f t="shared" si="57"/>
        <v>#DIV/0!</v>
      </c>
      <c r="Q116" s="1" t="e">
        <f t="shared" si="57"/>
        <v>#DIV/0!</v>
      </c>
      <c r="R116" s="1" t="e">
        <f t="shared" si="57"/>
        <v>#DIV/0!</v>
      </c>
      <c r="S116" s="1" t="e">
        <f t="shared" si="57"/>
        <v>#DIV/0!</v>
      </c>
      <c r="T116" s="1" t="e">
        <f t="shared" si="57"/>
        <v>#DIV/0!</v>
      </c>
      <c r="U116" s="1" t="e">
        <f t="shared" si="57"/>
        <v>#DIV/0!</v>
      </c>
      <c r="V116" s="1" t="e">
        <f t="shared" si="57"/>
        <v>#DIV/0!</v>
      </c>
      <c r="W116" s="1" t="e">
        <f t="shared" si="57"/>
        <v>#DIV/0!</v>
      </c>
      <c r="X116" s="1" t="e">
        <f t="shared" si="57"/>
        <v>#DIV/0!</v>
      </c>
      <c r="Y116" s="1" t="e">
        <f t="shared" si="57"/>
        <v>#DIV/0!</v>
      </c>
      <c r="Z116" s="1" t="e">
        <f t="shared" si="57"/>
        <v>#DIV/0!</v>
      </c>
      <c r="AA116" s="1" t="e">
        <f t="shared" si="57"/>
        <v>#DIV/0!</v>
      </c>
      <c r="AB116" s="1" t="e">
        <f t="shared" si="57"/>
        <v>#DIV/0!</v>
      </c>
      <c r="AC116" s="1" t="e">
        <f t="shared" si="57"/>
        <v>#DIV/0!</v>
      </c>
      <c r="AD116" s="1" t="e">
        <f t="shared" si="57"/>
        <v>#DIV/0!</v>
      </c>
      <c r="AE116" s="1" t="e">
        <f t="shared" si="57"/>
        <v>#DIV/0!</v>
      </c>
      <c r="AF116" s="1" t="e">
        <f t="shared" si="57"/>
        <v>#DIV/0!</v>
      </c>
      <c r="AG116" s="1" t="e">
        <f t="shared" si="57"/>
        <v>#DIV/0!</v>
      </c>
      <c r="AH116" s="1" t="e">
        <f t="shared" si="57"/>
        <v>#DIV/0!</v>
      </c>
      <c r="AI116" s="1" t="e">
        <f t="shared" si="57"/>
        <v>#DIV/0!</v>
      </c>
      <c r="AJ116" s="1" t="e">
        <f t="shared" si="57"/>
        <v>#DIV/0!</v>
      </c>
    </row>
    <row r="117" spans="1:36">
      <c r="A117" s="29">
        <f t="shared" si="41"/>
        <v>51</v>
      </c>
      <c r="B117" s="74"/>
      <c r="C117" s="74"/>
      <c r="D117" s="74"/>
      <c r="E117" s="1" t="e">
        <f t="shared" si="50"/>
        <v>#DIV/0!</v>
      </c>
      <c r="F117" s="1" t="e">
        <f t="shared" si="50"/>
        <v>#DIV/0!</v>
      </c>
      <c r="G117" s="1" t="e">
        <f t="shared" si="50"/>
        <v>#DIV/0!</v>
      </c>
      <c r="H117" s="1" t="e">
        <f t="shared" si="50"/>
        <v>#DIV/0!</v>
      </c>
      <c r="I117" s="1" t="e">
        <f t="shared" si="50"/>
        <v>#DIV/0!</v>
      </c>
      <c r="J117" s="1" t="e">
        <f t="shared" ref="J117:AJ117" si="58">(J54-$B54)/$B$4</f>
        <v>#DIV/0!</v>
      </c>
      <c r="K117" s="1" t="e">
        <f t="shared" si="58"/>
        <v>#DIV/0!</v>
      </c>
      <c r="L117" s="1" t="e">
        <f t="shared" si="58"/>
        <v>#DIV/0!</v>
      </c>
      <c r="M117" s="1" t="e">
        <f t="shared" si="58"/>
        <v>#DIV/0!</v>
      </c>
      <c r="N117" s="1" t="e">
        <f t="shared" si="58"/>
        <v>#DIV/0!</v>
      </c>
      <c r="O117" s="1" t="e">
        <f t="shared" si="58"/>
        <v>#DIV/0!</v>
      </c>
      <c r="P117" s="1" t="e">
        <f t="shared" si="58"/>
        <v>#DIV/0!</v>
      </c>
      <c r="Q117" s="1" t="e">
        <f t="shared" si="58"/>
        <v>#DIV/0!</v>
      </c>
      <c r="R117" s="1" t="e">
        <f t="shared" si="58"/>
        <v>#DIV/0!</v>
      </c>
      <c r="S117" s="1" t="e">
        <f t="shared" si="58"/>
        <v>#DIV/0!</v>
      </c>
      <c r="T117" s="1" t="e">
        <f t="shared" si="58"/>
        <v>#DIV/0!</v>
      </c>
      <c r="U117" s="1" t="e">
        <f t="shared" si="58"/>
        <v>#DIV/0!</v>
      </c>
      <c r="V117" s="1" t="e">
        <f t="shared" si="58"/>
        <v>#DIV/0!</v>
      </c>
      <c r="W117" s="1" t="e">
        <f t="shared" si="58"/>
        <v>#DIV/0!</v>
      </c>
      <c r="X117" s="1" t="e">
        <f t="shared" si="58"/>
        <v>#DIV/0!</v>
      </c>
      <c r="Y117" s="1" t="e">
        <f t="shared" si="58"/>
        <v>#DIV/0!</v>
      </c>
      <c r="Z117" s="1" t="e">
        <f t="shared" si="58"/>
        <v>#DIV/0!</v>
      </c>
      <c r="AA117" s="1" t="e">
        <f t="shared" si="58"/>
        <v>#DIV/0!</v>
      </c>
      <c r="AB117" s="1" t="e">
        <f t="shared" si="58"/>
        <v>#DIV/0!</v>
      </c>
      <c r="AC117" s="1" t="e">
        <f t="shared" si="58"/>
        <v>#DIV/0!</v>
      </c>
      <c r="AD117" s="1" t="e">
        <f t="shared" si="58"/>
        <v>#DIV/0!</v>
      </c>
      <c r="AE117" s="1" t="e">
        <f t="shared" si="58"/>
        <v>#DIV/0!</v>
      </c>
      <c r="AF117" s="1" t="e">
        <f t="shared" si="58"/>
        <v>#DIV/0!</v>
      </c>
      <c r="AG117" s="1" t="e">
        <f t="shared" si="58"/>
        <v>#DIV/0!</v>
      </c>
      <c r="AH117" s="1" t="e">
        <f t="shared" si="58"/>
        <v>#DIV/0!</v>
      </c>
      <c r="AI117" s="1" t="e">
        <f t="shared" si="58"/>
        <v>#DIV/0!</v>
      </c>
      <c r="AJ117" s="1" t="e">
        <f t="shared" si="58"/>
        <v>#DIV/0!</v>
      </c>
    </row>
    <row r="118" spans="1:36">
      <c r="A118" s="29">
        <f t="shared" si="41"/>
        <v>54</v>
      </c>
      <c r="B118" s="74"/>
      <c r="C118" s="74"/>
      <c r="D118" s="74"/>
      <c r="E118" s="1" t="e">
        <f t="shared" si="50"/>
        <v>#DIV/0!</v>
      </c>
      <c r="F118" s="1" t="e">
        <f t="shared" si="50"/>
        <v>#DIV/0!</v>
      </c>
      <c r="G118" s="1" t="e">
        <f t="shared" si="50"/>
        <v>#DIV/0!</v>
      </c>
      <c r="H118" s="1" t="e">
        <f t="shared" si="50"/>
        <v>#DIV/0!</v>
      </c>
      <c r="I118" s="1" t="e">
        <f t="shared" si="50"/>
        <v>#DIV/0!</v>
      </c>
      <c r="J118" s="1" t="e">
        <f t="shared" ref="J118:AJ118" si="59">(J55-$B55)/$B$4</f>
        <v>#DIV/0!</v>
      </c>
      <c r="K118" s="1" t="e">
        <f t="shared" si="59"/>
        <v>#DIV/0!</v>
      </c>
      <c r="L118" s="1" t="e">
        <f t="shared" si="59"/>
        <v>#DIV/0!</v>
      </c>
      <c r="M118" s="1" t="e">
        <f t="shared" si="59"/>
        <v>#DIV/0!</v>
      </c>
      <c r="N118" s="1" t="e">
        <f t="shared" si="59"/>
        <v>#DIV/0!</v>
      </c>
      <c r="O118" s="1" t="e">
        <f t="shared" si="59"/>
        <v>#DIV/0!</v>
      </c>
      <c r="P118" s="1" t="e">
        <f t="shared" si="59"/>
        <v>#DIV/0!</v>
      </c>
      <c r="Q118" s="1" t="e">
        <f t="shared" si="59"/>
        <v>#DIV/0!</v>
      </c>
      <c r="R118" s="1" t="e">
        <f t="shared" si="59"/>
        <v>#DIV/0!</v>
      </c>
      <c r="S118" s="1" t="e">
        <f t="shared" si="59"/>
        <v>#DIV/0!</v>
      </c>
      <c r="T118" s="1" t="e">
        <f t="shared" si="59"/>
        <v>#DIV/0!</v>
      </c>
      <c r="U118" s="1" t="e">
        <f t="shared" si="59"/>
        <v>#DIV/0!</v>
      </c>
      <c r="V118" s="1" t="e">
        <f t="shared" si="59"/>
        <v>#DIV/0!</v>
      </c>
      <c r="W118" s="1" t="e">
        <f t="shared" si="59"/>
        <v>#DIV/0!</v>
      </c>
      <c r="X118" s="1" t="e">
        <f t="shared" si="59"/>
        <v>#DIV/0!</v>
      </c>
      <c r="Y118" s="1" t="e">
        <f t="shared" si="59"/>
        <v>#DIV/0!</v>
      </c>
      <c r="Z118" s="1" t="e">
        <f t="shared" si="59"/>
        <v>#DIV/0!</v>
      </c>
      <c r="AA118" s="1" t="e">
        <f t="shared" si="59"/>
        <v>#DIV/0!</v>
      </c>
      <c r="AB118" s="1" t="e">
        <f t="shared" si="59"/>
        <v>#DIV/0!</v>
      </c>
      <c r="AC118" s="1" t="e">
        <f t="shared" si="59"/>
        <v>#DIV/0!</v>
      </c>
      <c r="AD118" s="1" t="e">
        <f t="shared" si="59"/>
        <v>#DIV/0!</v>
      </c>
      <c r="AE118" s="1" t="e">
        <f t="shared" si="59"/>
        <v>#DIV/0!</v>
      </c>
      <c r="AF118" s="1" t="e">
        <f t="shared" si="59"/>
        <v>#DIV/0!</v>
      </c>
      <c r="AG118" s="1" t="e">
        <f t="shared" si="59"/>
        <v>#DIV/0!</v>
      </c>
      <c r="AH118" s="1" t="e">
        <f t="shared" si="59"/>
        <v>#DIV/0!</v>
      </c>
      <c r="AI118" s="1" t="e">
        <f t="shared" si="59"/>
        <v>#DIV/0!</v>
      </c>
      <c r="AJ118" s="1" t="e">
        <f t="shared" si="59"/>
        <v>#DIV/0!</v>
      </c>
    </row>
    <row r="119" spans="1:36">
      <c r="A119" s="29">
        <f t="shared" si="41"/>
        <v>57</v>
      </c>
      <c r="B119" s="74"/>
      <c r="C119" s="74"/>
      <c r="D119" s="74"/>
      <c r="E119" s="1" t="e">
        <f t="shared" si="50"/>
        <v>#DIV/0!</v>
      </c>
      <c r="F119" s="1" t="e">
        <f t="shared" si="50"/>
        <v>#DIV/0!</v>
      </c>
      <c r="G119" s="1" t="e">
        <f t="shared" si="50"/>
        <v>#DIV/0!</v>
      </c>
      <c r="H119" s="1" t="e">
        <f t="shared" si="50"/>
        <v>#DIV/0!</v>
      </c>
      <c r="I119" s="1" t="e">
        <f t="shared" si="50"/>
        <v>#DIV/0!</v>
      </c>
      <c r="J119" s="1" t="e">
        <f t="shared" ref="J119:AJ119" si="60">(J56-$B56)/$B$4</f>
        <v>#DIV/0!</v>
      </c>
      <c r="K119" s="1" t="e">
        <f t="shared" si="60"/>
        <v>#DIV/0!</v>
      </c>
      <c r="L119" s="1" t="e">
        <f t="shared" si="60"/>
        <v>#DIV/0!</v>
      </c>
      <c r="M119" s="1" t="e">
        <f t="shared" si="60"/>
        <v>#DIV/0!</v>
      </c>
      <c r="N119" s="1" t="e">
        <f t="shared" si="60"/>
        <v>#DIV/0!</v>
      </c>
      <c r="O119" s="1" t="e">
        <f t="shared" si="60"/>
        <v>#DIV/0!</v>
      </c>
      <c r="P119" s="1" t="e">
        <f t="shared" si="60"/>
        <v>#DIV/0!</v>
      </c>
      <c r="Q119" s="1" t="e">
        <f t="shared" si="60"/>
        <v>#DIV/0!</v>
      </c>
      <c r="R119" s="1" t="e">
        <f t="shared" si="60"/>
        <v>#DIV/0!</v>
      </c>
      <c r="S119" s="1" t="e">
        <f t="shared" si="60"/>
        <v>#DIV/0!</v>
      </c>
      <c r="T119" s="1" t="e">
        <f t="shared" si="60"/>
        <v>#DIV/0!</v>
      </c>
      <c r="U119" s="1" t="e">
        <f t="shared" si="60"/>
        <v>#DIV/0!</v>
      </c>
      <c r="V119" s="1" t="e">
        <f t="shared" si="60"/>
        <v>#DIV/0!</v>
      </c>
      <c r="W119" s="1" t="e">
        <f t="shared" si="60"/>
        <v>#DIV/0!</v>
      </c>
      <c r="X119" s="1" t="e">
        <f t="shared" si="60"/>
        <v>#DIV/0!</v>
      </c>
      <c r="Y119" s="1" t="e">
        <f t="shared" si="60"/>
        <v>#DIV/0!</v>
      </c>
      <c r="Z119" s="1" t="e">
        <f t="shared" si="60"/>
        <v>#DIV/0!</v>
      </c>
      <c r="AA119" s="1" t="e">
        <f t="shared" si="60"/>
        <v>#DIV/0!</v>
      </c>
      <c r="AB119" s="1" t="e">
        <f t="shared" si="60"/>
        <v>#DIV/0!</v>
      </c>
      <c r="AC119" s="1" t="e">
        <f t="shared" si="60"/>
        <v>#DIV/0!</v>
      </c>
      <c r="AD119" s="1" t="e">
        <f t="shared" si="60"/>
        <v>#DIV/0!</v>
      </c>
      <c r="AE119" s="1" t="e">
        <f t="shared" si="60"/>
        <v>#DIV/0!</v>
      </c>
      <c r="AF119" s="1" t="e">
        <f t="shared" si="60"/>
        <v>#DIV/0!</v>
      </c>
      <c r="AG119" s="1" t="e">
        <f t="shared" si="60"/>
        <v>#DIV/0!</v>
      </c>
      <c r="AH119" s="1" t="e">
        <f t="shared" si="60"/>
        <v>#DIV/0!</v>
      </c>
      <c r="AI119" s="1" t="e">
        <f t="shared" si="60"/>
        <v>#DIV/0!</v>
      </c>
      <c r="AJ119" s="1" t="e">
        <f t="shared" si="60"/>
        <v>#DIV/0!</v>
      </c>
    </row>
    <row r="120" spans="1:36">
      <c r="A120" s="29">
        <f t="shared" si="41"/>
        <v>60</v>
      </c>
      <c r="B120" s="74"/>
      <c r="C120" s="74"/>
      <c r="D120" s="74"/>
      <c r="E120" s="1" t="e">
        <f t="shared" ref="E120:I129" si="61">(E57-$B57)/$B$4</f>
        <v>#DIV/0!</v>
      </c>
      <c r="F120" s="1" t="e">
        <f t="shared" si="61"/>
        <v>#DIV/0!</v>
      </c>
      <c r="G120" s="1" t="e">
        <f t="shared" si="61"/>
        <v>#DIV/0!</v>
      </c>
      <c r="H120" s="1" t="e">
        <f t="shared" si="61"/>
        <v>#DIV/0!</v>
      </c>
      <c r="I120" s="1" t="e">
        <f t="shared" si="61"/>
        <v>#DIV/0!</v>
      </c>
      <c r="J120" s="1" t="e">
        <f t="shared" ref="J120:AJ120" si="62">(J57-$B57)/$B$4</f>
        <v>#DIV/0!</v>
      </c>
      <c r="K120" s="1" t="e">
        <f t="shared" si="62"/>
        <v>#DIV/0!</v>
      </c>
      <c r="L120" s="1" t="e">
        <f t="shared" si="62"/>
        <v>#DIV/0!</v>
      </c>
      <c r="M120" s="1" t="e">
        <f t="shared" si="62"/>
        <v>#DIV/0!</v>
      </c>
      <c r="N120" s="1" t="e">
        <f t="shared" si="62"/>
        <v>#DIV/0!</v>
      </c>
      <c r="O120" s="1" t="e">
        <f t="shared" si="62"/>
        <v>#DIV/0!</v>
      </c>
      <c r="P120" s="1" t="e">
        <f t="shared" si="62"/>
        <v>#DIV/0!</v>
      </c>
      <c r="Q120" s="1" t="e">
        <f t="shared" si="62"/>
        <v>#DIV/0!</v>
      </c>
      <c r="R120" s="1" t="e">
        <f t="shared" si="62"/>
        <v>#DIV/0!</v>
      </c>
      <c r="S120" s="1" t="e">
        <f t="shared" si="62"/>
        <v>#DIV/0!</v>
      </c>
      <c r="T120" s="1" t="e">
        <f t="shared" si="62"/>
        <v>#DIV/0!</v>
      </c>
      <c r="U120" s="1" t="e">
        <f t="shared" si="62"/>
        <v>#DIV/0!</v>
      </c>
      <c r="V120" s="1" t="e">
        <f t="shared" si="62"/>
        <v>#DIV/0!</v>
      </c>
      <c r="W120" s="1" t="e">
        <f t="shared" si="62"/>
        <v>#DIV/0!</v>
      </c>
      <c r="X120" s="1" t="e">
        <f t="shared" si="62"/>
        <v>#DIV/0!</v>
      </c>
      <c r="Y120" s="1" t="e">
        <f t="shared" si="62"/>
        <v>#DIV/0!</v>
      </c>
      <c r="Z120" s="1" t="e">
        <f t="shared" si="62"/>
        <v>#DIV/0!</v>
      </c>
      <c r="AA120" s="1" t="e">
        <f t="shared" si="62"/>
        <v>#DIV/0!</v>
      </c>
      <c r="AB120" s="1" t="e">
        <f t="shared" si="62"/>
        <v>#DIV/0!</v>
      </c>
      <c r="AC120" s="1" t="e">
        <f t="shared" si="62"/>
        <v>#DIV/0!</v>
      </c>
      <c r="AD120" s="1" t="e">
        <f t="shared" si="62"/>
        <v>#DIV/0!</v>
      </c>
      <c r="AE120" s="1" t="e">
        <f t="shared" si="62"/>
        <v>#DIV/0!</v>
      </c>
      <c r="AF120" s="1" t="e">
        <f t="shared" si="62"/>
        <v>#DIV/0!</v>
      </c>
      <c r="AG120" s="1" t="e">
        <f t="shared" si="62"/>
        <v>#DIV/0!</v>
      </c>
      <c r="AH120" s="1" t="e">
        <f t="shared" si="62"/>
        <v>#DIV/0!</v>
      </c>
      <c r="AI120" s="1" t="e">
        <f t="shared" si="62"/>
        <v>#DIV/0!</v>
      </c>
      <c r="AJ120" s="1" t="e">
        <f t="shared" si="62"/>
        <v>#DIV/0!</v>
      </c>
    </row>
    <row r="121" spans="1:36">
      <c r="A121" s="29">
        <f t="shared" si="41"/>
        <v>63</v>
      </c>
      <c r="B121" s="74"/>
      <c r="C121" s="74"/>
      <c r="D121" s="74"/>
      <c r="E121" s="1" t="e">
        <f t="shared" si="61"/>
        <v>#DIV/0!</v>
      </c>
      <c r="F121" s="1" t="e">
        <f t="shared" si="61"/>
        <v>#DIV/0!</v>
      </c>
      <c r="G121" s="1" t="e">
        <f t="shared" si="61"/>
        <v>#DIV/0!</v>
      </c>
      <c r="H121" s="1" t="e">
        <f t="shared" si="61"/>
        <v>#DIV/0!</v>
      </c>
      <c r="I121" s="1" t="e">
        <f t="shared" si="61"/>
        <v>#DIV/0!</v>
      </c>
      <c r="J121" s="1" t="e">
        <f t="shared" ref="J121:AJ121" si="63">(J58-$B58)/$B$4</f>
        <v>#DIV/0!</v>
      </c>
      <c r="K121" s="1" t="e">
        <f t="shared" si="63"/>
        <v>#DIV/0!</v>
      </c>
      <c r="L121" s="1" t="e">
        <f t="shared" si="63"/>
        <v>#DIV/0!</v>
      </c>
      <c r="M121" s="1" t="e">
        <f t="shared" si="63"/>
        <v>#DIV/0!</v>
      </c>
      <c r="N121" s="1" t="e">
        <f t="shared" si="63"/>
        <v>#DIV/0!</v>
      </c>
      <c r="O121" s="1" t="e">
        <f t="shared" si="63"/>
        <v>#DIV/0!</v>
      </c>
      <c r="P121" s="1" t="e">
        <f t="shared" si="63"/>
        <v>#DIV/0!</v>
      </c>
      <c r="Q121" s="1" t="e">
        <f t="shared" si="63"/>
        <v>#DIV/0!</v>
      </c>
      <c r="R121" s="1" t="e">
        <f t="shared" si="63"/>
        <v>#DIV/0!</v>
      </c>
      <c r="S121" s="1" t="e">
        <f t="shared" si="63"/>
        <v>#DIV/0!</v>
      </c>
      <c r="T121" s="1" t="e">
        <f t="shared" si="63"/>
        <v>#DIV/0!</v>
      </c>
      <c r="U121" s="1" t="e">
        <f t="shared" si="63"/>
        <v>#DIV/0!</v>
      </c>
      <c r="V121" s="1" t="e">
        <f t="shared" si="63"/>
        <v>#DIV/0!</v>
      </c>
      <c r="W121" s="1" t="e">
        <f t="shared" si="63"/>
        <v>#DIV/0!</v>
      </c>
      <c r="X121" s="1" t="e">
        <f t="shared" si="63"/>
        <v>#DIV/0!</v>
      </c>
      <c r="Y121" s="1" t="e">
        <f t="shared" si="63"/>
        <v>#DIV/0!</v>
      </c>
      <c r="Z121" s="1" t="e">
        <f t="shared" si="63"/>
        <v>#DIV/0!</v>
      </c>
      <c r="AA121" s="1" t="e">
        <f t="shared" si="63"/>
        <v>#DIV/0!</v>
      </c>
      <c r="AB121" s="1" t="e">
        <f t="shared" si="63"/>
        <v>#DIV/0!</v>
      </c>
      <c r="AC121" s="1" t="e">
        <f t="shared" si="63"/>
        <v>#DIV/0!</v>
      </c>
      <c r="AD121" s="1" t="e">
        <f t="shared" si="63"/>
        <v>#DIV/0!</v>
      </c>
      <c r="AE121" s="1" t="e">
        <f t="shared" si="63"/>
        <v>#DIV/0!</v>
      </c>
      <c r="AF121" s="1" t="e">
        <f t="shared" si="63"/>
        <v>#DIV/0!</v>
      </c>
      <c r="AG121" s="1" t="e">
        <f t="shared" si="63"/>
        <v>#DIV/0!</v>
      </c>
      <c r="AH121" s="1" t="e">
        <f t="shared" si="63"/>
        <v>#DIV/0!</v>
      </c>
      <c r="AI121" s="1" t="e">
        <f t="shared" si="63"/>
        <v>#DIV/0!</v>
      </c>
      <c r="AJ121" s="1" t="e">
        <f t="shared" si="63"/>
        <v>#DIV/0!</v>
      </c>
    </row>
    <row r="122" spans="1:36">
      <c r="A122" s="29">
        <f t="shared" si="41"/>
        <v>66</v>
      </c>
      <c r="B122" s="74"/>
      <c r="C122" s="74"/>
      <c r="D122" s="74"/>
      <c r="E122" s="1" t="e">
        <f t="shared" si="61"/>
        <v>#DIV/0!</v>
      </c>
      <c r="F122" s="1" t="e">
        <f t="shared" si="61"/>
        <v>#DIV/0!</v>
      </c>
      <c r="G122" s="1" t="e">
        <f t="shared" si="61"/>
        <v>#DIV/0!</v>
      </c>
      <c r="H122" s="1" t="e">
        <f t="shared" si="61"/>
        <v>#DIV/0!</v>
      </c>
      <c r="I122" s="1" t="e">
        <f t="shared" si="61"/>
        <v>#DIV/0!</v>
      </c>
      <c r="J122" s="1" t="e">
        <f t="shared" ref="J122:AJ122" si="64">(J59-$B59)/$B$4</f>
        <v>#DIV/0!</v>
      </c>
      <c r="K122" s="1" t="e">
        <f t="shared" si="64"/>
        <v>#DIV/0!</v>
      </c>
      <c r="L122" s="1" t="e">
        <f t="shared" si="64"/>
        <v>#DIV/0!</v>
      </c>
      <c r="M122" s="1" t="e">
        <f t="shared" si="64"/>
        <v>#DIV/0!</v>
      </c>
      <c r="N122" s="1" t="e">
        <f t="shared" si="64"/>
        <v>#DIV/0!</v>
      </c>
      <c r="O122" s="1" t="e">
        <f t="shared" si="64"/>
        <v>#DIV/0!</v>
      </c>
      <c r="P122" s="1" t="e">
        <f t="shared" si="64"/>
        <v>#DIV/0!</v>
      </c>
      <c r="Q122" s="1" t="e">
        <f t="shared" si="64"/>
        <v>#DIV/0!</v>
      </c>
      <c r="R122" s="1" t="e">
        <f t="shared" si="64"/>
        <v>#DIV/0!</v>
      </c>
      <c r="S122" s="1" t="e">
        <f t="shared" si="64"/>
        <v>#DIV/0!</v>
      </c>
      <c r="T122" s="1" t="e">
        <f t="shared" si="64"/>
        <v>#DIV/0!</v>
      </c>
      <c r="U122" s="1" t="e">
        <f t="shared" si="64"/>
        <v>#DIV/0!</v>
      </c>
      <c r="V122" s="1" t="e">
        <f t="shared" si="64"/>
        <v>#DIV/0!</v>
      </c>
      <c r="W122" s="1" t="e">
        <f t="shared" si="64"/>
        <v>#DIV/0!</v>
      </c>
      <c r="X122" s="1" t="e">
        <f t="shared" si="64"/>
        <v>#DIV/0!</v>
      </c>
      <c r="Y122" s="1" t="e">
        <f t="shared" si="64"/>
        <v>#DIV/0!</v>
      </c>
      <c r="Z122" s="1" t="e">
        <f t="shared" si="64"/>
        <v>#DIV/0!</v>
      </c>
      <c r="AA122" s="1" t="e">
        <f t="shared" si="64"/>
        <v>#DIV/0!</v>
      </c>
      <c r="AB122" s="1" t="e">
        <f t="shared" si="64"/>
        <v>#DIV/0!</v>
      </c>
      <c r="AC122" s="1" t="e">
        <f t="shared" si="64"/>
        <v>#DIV/0!</v>
      </c>
      <c r="AD122" s="1" t="e">
        <f t="shared" si="64"/>
        <v>#DIV/0!</v>
      </c>
      <c r="AE122" s="1" t="e">
        <f t="shared" si="64"/>
        <v>#DIV/0!</v>
      </c>
      <c r="AF122" s="1" t="e">
        <f t="shared" si="64"/>
        <v>#DIV/0!</v>
      </c>
      <c r="AG122" s="1" t="e">
        <f t="shared" si="64"/>
        <v>#DIV/0!</v>
      </c>
      <c r="AH122" s="1" t="e">
        <f t="shared" si="64"/>
        <v>#DIV/0!</v>
      </c>
      <c r="AI122" s="1" t="e">
        <f t="shared" si="64"/>
        <v>#DIV/0!</v>
      </c>
      <c r="AJ122" s="1" t="e">
        <f t="shared" si="64"/>
        <v>#DIV/0!</v>
      </c>
    </row>
    <row r="123" spans="1:36">
      <c r="A123" s="29">
        <f t="shared" si="41"/>
        <v>69</v>
      </c>
      <c r="B123" s="74"/>
      <c r="C123" s="74"/>
      <c r="D123" s="74"/>
      <c r="E123" s="1" t="e">
        <f t="shared" si="61"/>
        <v>#DIV/0!</v>
      </c>
      <c r="F123" s="1" t="e">
        <f t="shared" si="61"/>
        <v>#DIV/0!</v>
      </c>
      <c r="G123" s="1" t="e">
        <f t="shared" si="61"/>
        <v>#DIV/0!</v>
      </c>
      <c r="H123" s="1" t="e">
        <f t="shared" si="61"/>
        <v>#DIV/0!</v>
      </c>
      <c r="I123" s="1" t="e">
        <f t="shared" si="61"/>
        <v>#DIV/0!</v>
      </c>
      <c r="J123" s="1" t="e">
        <f t="shared" ref="J123:AJ123" si="65">(J60-$B60)/$B$4</f>
        <v>#DIV/0!</v>
      </c>
      <c r="K123" s="1" t="e">
        <f t="shared" si="65"/>
        <v>#DIV/0!</v>
      </c>
      <c r="L123" s="1" t="e">
        <f t="shared" si="65"/>
        <v>#DIV/0!</v>
      </c>
      <c r="M123" s="1" t="e">
        <f t="shared" si="65"/>
        <v>#DIV/0!</v>
      </c>
      <c r="N123" s="1" t="e">
        <f t="shared" si="65"/>
        <v>#DIV/0!</v>
      </c>
      <c r="O123" s="1" t="e">
        <f t="shared" si="65"/>
        <v>#DIV/0!</v>
      </c>
      <c r="P123" s="1" t="e">
        <f t="shared" si="65"/>
        <v>#DIV/0!</v>
      </c>
      <c r="Q123" s="1" t="e">
        <f t="shared" si="65"/>
        <v>#DIV/0!</v>
      </c>
      <c r="R123" s="1" t="e">
        <f t="shared" si="65"/>
        <v>#DIV/0!</v>
      </c>
      <c r="S123" s="1" t="e">
        <f t="shared" si="65"/>
        <v>#DIV/0!</v>
      </c>
      <c r="T123" s="1" t="e">
        <f t="shared" si="65"/>
        <v>#DIV/0!</v>
      </c>
      <c r="U123" s="1" t="e">
        <f t="shared" si="65"/>
        <v>#DIV/0!</v>
      </c>
      <c r="V123" s="1" t="e">
        <f t="shared" si="65"/>
        <v>#DIV/0!</v>
      </c>
      <c r="W123" s="1" t="e">
        <f t="shared" si="65"/>
        <v>#DIV/0!</v>
      </c>
      <c r="X123" s="1" t="e">
        <f t="shared" si="65"/>
        <v>#DIV/0!</v>
      </c>
      <c r="Y123" s="1" t="e">
        <f t="shared" si="65"/>
        <v>#DIV/0!</v>
      </c>
      <c r="Z123" s="1" t="e">
        <f t="shared" si="65"/>
        <v>#DIV/0!</v>
      </c>
      <c r="AA123" s="1" t="e">
        <f t="shared" si="65"/>
        <v>#DIV/0!</v>
      </c>
      <c r="AB123" s="1" t="e">
        <f t="shared" si="65"/>
        <v>#DIV/0!</v>
      </c>
      <c r="AC123" s="1" t="e">
        <f t="shared" si="65"/>
        <v>#DIV/0!</v>
      </c>
      <c r="AD123" s="1" t="e">
        <f t="shared" si="65"/>
        <v>#DIV/0!</v>
      </c>
      <c r="AE123" s="1" t="e">
        <f t="shared" si="65"/>
        <v>#DIV/0!</v>
      </c>
      <c r="AF123" s="1" t="e">
        <f t="shared" si="65"/>
        <v>#DIV/0!</v>
      </c>
      <c r="AG123" s="1" t="e">
        <f t="shared" si="65"/>
        <v>#DIV/0!</v>
      </c>
      <c r="AH123" s="1" t="e">
        <f t="shared" si="65"/>
        <v>#DIV/0!</v>
      </c>
      <c r="AI123" s="1" t="e">
        <f t="shared" si="65"/>
        <v>#DIV/0!</v>
      </c>
      <c r="AJ123" s="1" t="e">
        <f t="shared" si="65"/>
        <v>#DIV/0!</v>
      </c>
    </row>
    <row r="124" spans="1:36">
      <c r="A124" s="29">
        <f t="shared" si="41"/>
        <v>72</v>
      </c>
      <c r="B124" s="74"/>
      <c r="C124" s="74"/>
      <c r="D124" s="74"/>
      <c r="E124" s="1" t="e">
        <f t="shared" si="61"/>
        <v>#DIV/0!</v>
      </c>
      <c r="F124" s="1" t="e">
        <f t="shared" si="61"/>
        <v>#DIV/0!</v>
      </c>
      <c r="G124" s="1" t="e">
        <f t="shared" si="61"/>
        <v>#DIV/0!</v>
      </c>
      <c r="H124" s="1" t="e">
        <f t="shared" si="61"/>
        <v>#DIV/0!</v>
      </c>
      <c r="I124" s="1" t="e">
        <f t="shared" si="61"/>
        <v>#DIV/0!</v>
      </c>
      <c r="J124" s="1" t="e">
        <f t="shared" ref="J124:AJ124" si="66">(J61-$B61)/$B$4</f>
        <v>#DIV/0!</v>
      </c>
      <c r="K124" s="1" t="e">
        <f t="shared" si="66"/>
        <v>#DIV/0!</v>
      </c>
      <c r="L124" s="1" t="e">
        <f t="shared" si="66"/>
        <v>#DIV/0!</v>
      </c>
      <c r="M124" s="1" t="e">
        <f t="shared" si="66"/>
        <v>#DIV/0!</v>
      </c>
      <c r="N124" s="1" t="e">
        <f t="shared" si="66"/>
        <v>#DIV/0!</v>
      </c>
      <c r="O124" s="1" t="e">
        <f t="shared" si="66"/>
        <v>#DIV/0!</v>
      </c>
      <c r="P124" s="1" t="e">
        <f t="shared" si="66"/>
        <v>#DIV/0!</v>
      </c>
      <c r="Q124" s="1" t="e">
        <f t="shared" si="66"/>
        <v>#DIV/0!</v>
      </c>
      <c r="R124" s="1" t="e">
        <f t="shared" si="66"/>
        <v>#DIV/0!</v>
      </c>
      <c r="S124" s="1" t="e">
        <f t="shared" si="66"/>
        <v>#DIV/0!</v>
      </c>
      <c r="T124" s="1" t="e">
        <f t="shared" si="66"/>
        <v>#DIV/0!</v>
      </c>
      <c r="U124" s="1" t="e">
        <f t="shared" si="66"/>
        <v>#DIV/0!</v>
      </c>
      <c r="V124" s="1" t="e">
        <f t="shared" si="66"/>
        <v>#DIV/0!</v>
      </c>
      <c r="W124" s="1" t="e">
        <f t="shared" si="66"/>
        <v>#DIV/0!</v>
      </c>
      <c r="X124" s="1" t="e">
        <f t="shared" si="66"/>
        <v>#DIV/0!</v>
      </c>
      <c r="Y124" s="1" t="e">
        <f t="shared" si="66"/>
        <v>#DIV/0!</v>
      </c>
      <c r="Z124" s="1" t="e">
        <f t="shared" si="66"/>
        <v>#DIV/0!</v>
      </c>
      <c r="AA124" s="1" t="e">
        <f t="shared" si="66"/>
        <v>#DIV/0!</v>
      </c>
      <c r="AB124" s="1" t="e">
        <f t="shared" si="66"/>
        <v>#DIV/0!</v>
      </c>
      <c r="AC124" s="1" t="e">
        <f t="shared" si="66"/>
        <v>#DIV/0!</v>
      </c>
      <c r="AD124" s="1" t="e">
        <f t="shared" si="66"/>
        <v>#DIV/0!</v>
      </c>
      <c r="AE124" s="1" t="e">
        <f t="shared" si="66"/>
        <v>#DIV/0!</v>
      </c>
      <c r="AF124" s="1" t="e">
        <f t="shared" si="66"/>
        <v>#DIV/0!</v>
      </c>
      <c r="AG124" s="1" t="e">
        <f t="shared" si="66"/>
        <v>#DIV/0!</v>
      </c>
      <c r="AH124" s="1" t="e">
        <f t="shared" si="66"/>
        <v>#DIV/0!</v>
      </c>
      <c r="AI124" s="1" t="e">
        <f t="shared" si="66"/>
        <v>#DIV/0!</v>
      </c>
      <c r="AJ124" s="1" t="e">
        <f t="shared" si="66"/>
        <v>#DIV/0!</v>
      </c>
    </row>
    <row r="125" spans="1:36">
      <c r="A125" s="29">
        <f t="shared" si="41"/>
        <v>75</v>
      </c>
      <c r="B125" s="74"/>
      <c r="C125" s="74"/>
      <c r="D125" s="74"/>
      <c r="E125" s="1" t="e">
        <f t="shared" si="61"/>
        <v>#DIV/0!</v>
      </c>
      <c r="F125" s="1" t="e">
        <f t="shared" si="61"/>
        <v>#DIV/0!</v>
      </c>
      <c r="G125" s="1" t="e">
        <f t="shared" si="61"/>
        <v>#DIV/0!</v>
      </c>
      <c r="H125" s="1" t="e">
        <f t="shared" si="61"/>
        <v>#DIV/0!</v>
      </c>
      <c r="I125" s="1" t="e">
        <f t="shared" si="61"/>
        <v>#DIV/0!</v>
      </c>
      <c r="J125" s="1" t="e">
        <f t="shared" ref="J125:AJ125" si="67">(J62-$B62)/$B$4</f>
        <v>#DIV/0!</v>
      </c>
      <c r="K125" s="1" t="e">
        <f t="shared" si="67"/>
        <v>#DIV/0!</v>
      </c>
      <c r="L125" s="1" t="e">
        <f t="shared" si="67"/>
        <v>#DIV/0!</v>
      </c>
      <c r="M125" s="1" t="e">
        <f t="shared" si="67"/>
        <v>#DIV/0!</v>
      </c>
      <c r="N125" s="1" t="e">
        <f t="shared" si="67"/>
        <v>#DIV/0!</v>
      </c>
      <c r="O125" s="1" t="e">
        <f t="shared" si="67"/>
        <v>#DIV/0!</v>
      </c>
      <c r="P125" s="1" t="e">
        <f t="shared" si="67"/>
        <v>#DIV/0!</v>
      </c>
      <c r="Q125" s="1" t="e">
        <f t="shared" si="67"/>
        <v>#DIV/0!</v>
      </c>
      <c r="R125" s="1" t="e">
        <f t="shared" si="67"/>
        <v>#DIV/0!</v>
      </c>
      <c r="S125" s="1" t="e">
        <f t="shared" si="67"/>
        <v>#DIV/0!</v>
      </c>
      <c r="T125" s="1" t="e">
        <f t="shared" si="67"/>
        <v>#DIV/0!</v>
      </c>
      <c r="U125" s="1" t="e">
        <f t="shared" si="67"/>
        <v>#DIV/0!</v>
      </c>
      <c r="V125" s="1" t="e">
        <f t="shared" si="67"/>
        <v>#DIV/0!</v>
      </c>
      <c r="W125" s="1" t="e">
        <f t="shared" si="67"/>
        <v>#DIV/0!</v>
      </c>
      <c r="X125" s="1" t="e">
        <f t="shared" si="67"/>
        <v>#DIV/0!</v>
      </c>
      <c r="Y125" s="1" t="e">
        <f t="shared" si="67"/>
        <v>#DIV/0!</v>
      </c>
      <c r="Z125" s="1" t="e">
        <f t="shared" si="67"/>
        <v>#DIV/0!</v>
      </c>
      <c r="AA125" s="1" t="e">
        <f t="shared" si="67"/>
        <v>#DIV/0!</v>
      </c>
      <c r="AB125" s="1" t="e">
        <f t="shared" si="67"/>
        <v>#DIV/0!</v>
      </c>
      <c r="AC125" s="1" t="e">
        <f t="shared" si="67"/>
        <v>#DIV/0!</v>
      </c>
      <c r="AD125" s="1" t="e">
        <f t="shared" si="67"/>
        <v>#DIV/0!</v>
      </c>
      <c r="AE125" s="1" t="e">
        <f t="shared" si="67"/>
        <v>#DIV/0!</v>
      </c>
      <c r="AF125" s="1" t="e">
        <f t="shared" si="67"/>
        <v>#DIV/0!</v>
      </c>
      <c r="AG125" s="1" t="e">
        <f t="shared" si="67"/>
        <v>#DIV/0!</v>
      </c>
      <c r="AH125" s="1" t="e">
        <f t="shared" si="67"/>
        <v>#DIV/0!</v>
      </c>
      <c r="AI125" s="1" t="e">
        <f t="shared" si="67"/>
        <v>#DIV/0!</v>
      </c>
      <c r="AJ125" s="1" t="e">
        <f t="shared" si="67"/>
        <v>#DIV/0!</v>
      </c>
    </row>
    <row r="126" spans="1:36">
      <c r="A126" s="29">
        <f t="shared" si="41"/>
        <v>78</v>
      </c>
      <c r="B126" s="74"/>
      <c r="C126" s="74"/>
      <c r="D126" s="74"/>
      <c r="E126" s="1" t="e">
        <f t="shared" si="61"/>
        <v>#DIV/0!</v>
      </c>
      <c r="F126" s="1" t="e">
        <f t="shared" si="61"/>
        <v>#DIV/0!</v>
      </c>
      <c r="G126" s="1" t="e">
        <f t="shared" si="61"/>
        <v>#DIV/0!</v>
      </c>
      <c r="H126" s="1" t="e">
        <f t="shared" si="61"/>
        <v>#DIV/0!</v>
      </c>
      <c r="I126" s="1" t="e">
        <f t="shared" si="61"/>
        <v>#DIV/0!</v>
      </c>
      <c r="J126" s="1" t="e">
        <f t="shared" ref="J126:AJ126" si="68">(J63-$B63)/$B$4</f>
        <v>#DIV/0!</v>
      </c>
      <c r="K126" s="1" t="e">
        <f t="shared" si="68"/>
        <v>#DIV/0!</v>
      </c>
      <c r="L126" s="1" t="e">
        <f t="shared" si="68"/>
        <v>#DIV/0!</v>
      </c>
      <c r="M126" s="1" t="e">
        <f t="shared" si="68"/>
        <v>#DIV/0!</v>
      </c>
      <c r="N126" s="1" t="e">
        <f t="shared" si="68"/>
        <v>#DIV/0!</v>
      </c>
      <c r="O126" s="1" t="e">
        <f t="shared" si="68"/>
        <v>#DIV/0!</v>
      </c>
      <c r="P126" s="1" t="e">
        <f t="shared" si="68"/>
        <v>#DIV/0!</v>
      </c>
      <c r="Q126" s="1" t="e">
        <f t="shared" si="68"/>
        <v>#DIV/0!</v>
      </c>
      <c r="R126" s="1" t="e">
        <f t="shared" si="68"/>
        <v>#DIV/0!</v>
      </c>
      <c r="S126" s="1" t="e">
        <f t="shared" si="68"/>
        <v>#DIV/0!</v>
      </c>
      <c r="T126" s="1" t="e">
        <f t="shared" si="68"/>
        <v>#DIV/0!</v>
      </c>
      <c r="U126" s="1" t="e">
        <f t="shared" si="68"/>
        <v>#DIV/0!</v>
      </c>
      <c r="V126" s="1" t="e">
        <f t="shared" si="68"/>
        <v>#DIV/0!</v>
      </c>
      <c r="W126" s="1" t="e">
        <f t="shared" si="68"/>
        <v>#DIV/0!</v>
      </c>
      <c r="X126" s="1" t="e">
        <f t="shared" si="68"/>
        <v>#DIV/0!</v>
      </c>
      <c r="Y126" s="1" t="e">
        <f t="shared" si="68"/>
        <v>#DIV/0!</v>
      </c>
      <c r="Z126" s="1" t="e">
        <f t="shared" si="68"/>
        <v>#DIV/0!</v>
      </c>
      <c r="AA126" s="1" t="e">
        <f t="shared" si="68"/>
        <v>#DIV/0!</v>
      </c>
      <c r="AB126" s="1" t="e">
        <f t="shared" si="68"/>
        <v>#DIV/0!</v>
      </c>
      <c r="AC126" s="1" t="e">
        <f t="shared" si="68"/>
        <v>#DIV/0!</v>
      </c>
      <c r="AD126" s="1" t="e">
        <f t="shared" si="68"/>
        <v>#DIV/0!</v>
      </c>
      <c r="AE126" s="1" t="e">
        <f t="shared" si="68"/>
        <v>#DIV/0!</v>
      </c>
      <c r="AF126" s="1" t="e">
        <f t="shared" si="68"/>
        <v>#DIV/0!</v>
      </c>
      <c r="AG126" s="1" t="e">
        <f t="shared" si="68"/>
        <v>#DIV/0!</v>
      </c>
      <c r="AH126" s="1" t="e">
        <f t="shared" si="68"/>
        <v>#DIV/0!</v>
      </c>
      <c r="AI126" s="1" t="e">
        <f t="shared" si="68"/>
        <v>#DIV/0!</v>
      </c>
      <c r="AJ126" s="1" t="e">
        <f t="shared" si="68"/>
        <v>#DIV/0!</v>
      </c>
    </row>
    <row r="127" spans="1:36">
      <c r="A127" s="29">
        <f t="shared" si="41"/>
        <v>81</v>
      </c>
      <c r="B127" s="74"/>
      <c r="C127" s="74"/>
      <c r="D127" s="74"/>
      <c r="E127" s="1" t="e">
        <f t="shared" si="61"/>
        <v>#DIV/0!</v>
      </c>
      <c r="F127" s="1" t="e">
        <f t="shared" si="61"/>
        <v>#DIV/0!</v>
      </c>
      <c r="G127" s="1" t="e">
        <f t="shared" si="61"/>
        <v>#DIV/0!</v>
      </c>
      <c r="H127" s="1" t="e">
        <f t="shared" si="61"/>
        <v>#DIV/0!</v>
      </c>
      <c r="I127" s="1" t="e">
        <f t="shared" si="61"/>
        <v>#DIV/0!</v>
      </c>
      <c r="J127" s="1" t="e">
        <f t="shared" ref="J127:AJ127" si="69">(J64-$B64)/$B$4</f>
        <v>#DIV/0!</v>
      </c>
      <c r="K127" s="1" t="e">
        <f t="shared" si="69"/>
        <v>#DIV/0!</v>
      </c>
      <c r="L127" s="1" t="e">
        <f t="shared" si="69"/>
        <v>#DIV/0!</v>
      </c>
      <c r="M127" s="1" t="e">
        <f t="shared" si="69"/>
        <v>#DIV/0!</v>
      </c>
      <c r="N127" s="1" t="e">
        <f t="shared" si="69"/>
        <v>#DIV/0!</v>
      </c>
      <c r="O127" s="1" t="e">
        <f t="shared" si="69"/>
        <v>#DIV/0!</v>
      </c>
      <c r="P127" s="1" t="e">
        <f t="shared" si="69"/>
        <v>#DIV/0!</v>
      </c>
      <c r="Q127" s="1" t="e">
        <f t="shared" si="69"/>
        <v>#DIV/0!</v>
      </c>
      <c r="R127" s="1" t="e">
        <f t="shared" si="69"/>
        <v>#DIV/0!</v>
      </c>
      <c r="S127" s="1" t="e">
        <f t="shared" si="69"/>
        <v>#DIV/0!</v>
      </c>
      <c r="T127" s="1" t="e">
        <f t="shared" si="69"/>
        <v>#DIV/0!</v>
      </c>
      <c r="U127" s="1" t="e">
        <f t="shared" si="69"/>
        <v>#DIV/0!</v>
      </c>
      <c r="V127" s="1" t="e">
        <f t="shared" si="69"/>
        <v>#DIV/0!</v>
      </c>
      <c r="W127" s="1" t="e">
        <f t="shared" si="69"/>
        <v>#DIV/0!</v>
      </c>
      <c r="X127" s="1" t="e">
        <f t="shared" si="69"/>
        <v>#DIV/0!</v>
      </c>
      <c r="Y127" s="1" t="e">
        <f t="shared" si="69"/>
        <v>#DIV/0!</v>
      </c>
      <c r="Z127" s="1" t="e">
        <f t="shared" si="69"/>
        <v>#DIV/0!</v>
      </c>
      <c r="AA127" s="1" t="e">
        <f t="shared" si="69"/>
        <v>#DIV/0!</v>
      </c>
      <c r="AB127" s="1" t="e">
        <f t="shared" si="69"/>
        <v>#DIV/0!</v>
      </c>
      <c r="AC127" s="1" t="e">
        <f t="shared" si="69"/>
        <v>#DIV/0!</v>
      </c>
      <c r="AD127" s="1" t="e">
        <f t="shared" si="69"/>
        <v>#DIV/0!</v>
      </c>
      <c r="AE127" s="1" t="e">
        <f t="shared" si="69"/>
        <v>#DIV/0!</v>
      </c>
      <c r="AF127" s="1" t="e">
        <f t="shared" si="69"/>
        <v>#DIV/0!</v>
      </c>
      <c r="AG127" s="1" t="e">
        <f t="shared" si="69"/>
        <v>#DIV/0!</v>
      </c>
      <c r="AH127" s="1" t="e">
        <f t="shared" si="69"/>
        <v>#DIV/0!</v>
      </c>
      <c r="AI127" s="1" t="e">
        <f t="shared" si="69"/>
        <v>#DIV/0!</v>
      </c>
      <c r="AJ127" s="1" t="e">
        <f t="shared" si="69"/>
        <v>#DIV/0!</v>
      </c>
    </row>
    <row r="128" spans="1:36">
      <c r="A128" s="29">
        <f t="shared" si="41"/>
        <v>84</v>
      </c>
      <c r="B128" s="74"/>
      <c r="C128" s="74"/>
      <c r="D128" s="74"/>
      <c r="E128" s="1" t="e">
        <f t="shared" si="61"/>
        <v>#DIV/0!</v>
      </c>
      <c r="F128" s="1" t="e">
        <f t="shared" si="61"/>
        <v>#DIV/0!</v>
      </c>
      <c r="G128" s="1" t="e">
        <f t="shared" si="61"/>
        <v>#DIV/0!</v>
      </c>
      <c r="H128" s="1" t="e">
        <f t="shared" si="61"/>
        <v>#DIV/0!</v>
      </c>
      <c r="I128" s="1" t="e">
        <f t="shared" si="61"/>
        <v>#DIV/0!</v>
      </c>
      <c r="J128" s="1" t="e">
        <f t="shared" ref="J128:AJ128" si="70">(J65-$B65)/$B$4</f>
        <v>#DIV/0!</v>
      </c>
      <c r="K128" s="1" t="e">
        <f t="shared" si="70"/>
        <v>#DIV/0!</v>
      </c>
      <c r="L128" s="1" t="e">
        <f t="shared" si="70"/>
        <v>#DIV/0!</v>
      </c>
      <c r="M128" s="1" t="e">
        <f t="shared" si="70"/>
        <v>#DIV/0!</v>
      </c>
      <c r="N128" s="1" t="e">
        <f t="shared" si="70"/>
        <v>#DIV/0!</v>
      </c>
      <c r="O128" s="1" t="e">
        <f t="shared" si="70"/>
        <v>#DIV/0!</v>
      </c>
      <c r="P128" s="1" t="e">
        <f t="shared" si="70"/>
        <v>#DIV/0!</v>
      </c>
      <c r="Q128" s="1" t="e">
        <f t="shared" si="70"/>
        <v>#DIV/0!</v>
      </c>
      <c r="R128" s="1" t="e">
        <f t="shared" si="70"/>
        <v>#DIV/0!</v>
      </c>
      <c r="S128" s="1" t="e">
        <f t="shared" si="70"/>
        <v>#DIV/0!</v>
      </c>
      <c r="T128" s="1" t="e">
        <f t="shared" si="70"/>
        <v>#DIV/0!</v>
      </c>
      <c r="U128" s="1" t="e">
        <f t="shared" si="70"/>
        <v>#DIV/0!</v>
      </c>
      <c r="V128" s="1" t="e">
        <f t="shared" si="70"/>
        <v>#DIV/0!</v>
      </c>
      <c r="W128" s="1" t="e">
        <f t="shared" si="70"/>
        <v>#DIV/0!</v>
      </c>
      <c r="X128" s="1" t="e">
        <f t="shared" si="70"/>
        <v>#DIV/0!</v>
      </c>
      <c r="Y128" s="1" t="e">
        <f t="shared" si="70"/>
        <v>#DIV/0!</v>
      </c>
      <c r="Z128" s="1" t="e">
        <f t="shared" si="70"/>
        <v>#DIV/0!</v>
      </c>
      <c r="AA128" s="1" t="e">
        <f t="shared" si="70"/>
        <v>#DIV/0!</v>
      </c>
      <c r="AB128" s="1" t="e">
        <f t="shared" si="70"/>
        <v>#DIV/0!</v>
      </c>
      <c r="AC128" s="1" t="e">
        <f t="shared" si="70"/>
        <v>#DIV/0!</v>
      </c>
      <c r="AD128" s="1" t="e">
        <f t="shared" si="70"/>
        <v>#DIV/0!</v>
      </c>
      <c r="AE128" s="1" t="e">
        <f t="shared" si="70"/>
        <v>#DIV/0!</v>
      </c>
      <c r="AF128" s="1" t="e">
        <f t="shared" si="70"/>
        <v>#DIV/0!</v>
      </c>
      <c r="AG128" s="1" t="e">
        <f t="shared" si="70"/>
        <v>#DIV/0!</v>
      </c>
      <c r="AH128" s="1" t="e">
        <f t="shared" si="70"/>
        <v>#DIV/0!</v>
      </c>
      <c r="AI128" s="1" t="e">
        <f t="shared" si="70"/>
        <v>#DIV/0!</v>
      </c>
      <c r="AJ128" s="1" t="e">
        <f t="shared" si="70"/>
        <v>#DIV/0!</v>
      </c>
    </row>
    <row r="129" spans="1:36">
      <c r="A129" s="29">
        <f t="shared" si="41"/>
        <v>87</v>
      </c>
      <c r="B129" s="74"/>
      <c r="C129" s="74"/>
      <c r="D129" s="74"/>
      <c r="E129" s="1" t="e">
        <f t="shared" si="61"/>
        <v>#DIV/0!</v>
      </c>
      <c r="F129" s="1" t="e">
        <f t="shared" si="61"/>
        <v>#DIV/0!</v>
      </c>
      <c r="G129" s="1" t="e">
        <f t="shared" si="61"/>
        <v>#DIV/0!</v>
      </c>
      <c r="H129" s="1" t="e">
        <f t="shared" si="61"/>
        <v>#DIV/0!</v>
      </c>
      <c r="I129" s="1" t="e">
        <f t="shared" si="61"/>
        <v>#DIV/0!</v>
      </c>
      <c r="J129" s="1" t="e">
        <f t="shared" ref="J129:AJ129" si="71">(J66-$B66)/$B$4</f>
        <v>#DIV/0!</v>
      </c>
      <c r="K129" s="1" t="e">
        <f t="shared" si="71"/>
        <v>#DIV/0!</v>
      </c>
      <c r="L129" s="1" t="e">
        <f t="shared" si="71"/>
        <v>#DIV/0!</v>
      </c>
      <c r="M129" s="1" t="e">
        <f t="shared" si="71"/>
        <v>#DIV/0!</v>
      </c>
      <c r="N129" s="1" t="e">
        <f t="shared" si="71"/>
        <v>#DIV/0!</v>
      </c>
      <c r="O129" s="1" t="e">
        <f t="shared" si="71"/>
        <v>#DIV/0!</v>
      </c>
      <c r="P129" s="1" t="e">
        <f t="shared" si="71"/>
        <v>#DIV/0!</v>
      </c>
      <c r="Q129" s="1" t="e">
        <f t="shared" si="71"/>
        <v>#DIV/0!</v>
      </c>
      <c r="R129" s="1" t="e">
        <f t="shared" si="71"/>
        <v>#DIV/0!</v>
      </c>
      <c r="S129" s="1" t="e">
        <f t="shared" si="71"/>
        <v>#DIV/0!</v>
      </c>
      <c r="T129" s="1" t="e">
        <f t="shared" si="71"/>
        <v>#DIV/0!</v>
      </c>
      <c r="U129" s="1" t="e">
        <f t="shared" si="71"/>
        <v>#DIV/0!</v>
      </c>
      <c r="V129" s="1" t="e">
        <f t="shared" si="71"/>
        <v>#DIV/0!</v>
      </c>
      <c r="W129" s="1" t="e">
        <f t="shared" si="71"/>
        <v>#DIV/0!</v>
      </c>
      <c r="X129" s="1" t="e">
        <f t="shared" si="71"/>
        <v>#DIV/0!</v>
      </c>
      <c r="Y129" s="1" t="e">
        <f t="shared" si="71"/>
        <v>#DIV/0!</v>
      </c>
      <c r="Z129" s="1" t="e">
        <f t="shared" si="71"/>
        <v>#DIV/0!</v>
      </c>
      <c r="AA129" s="1" t="e">
        <f t="shared" si="71"/>
        <v>#DIV/0!</v>
      </c>
      <c r="AB129" s="1" t="e">
        <f t="shared" si="71"/>
        <v>#DIV/0!</v>
      </c>
      <c r="AC129" s="1" t="e">
        <f t="shared" si="71"/>
        <v>#DIV/0!</v>
      </c>
      <c r="AD129" s="1" t="e">
        <f t="shared" si="71"/>
        <v>#DIV/0!</v>
      </c>
      <c r="AE129" s="1" t="e">
        <f t="shared" si="71"/>
        <v>#DIV/0!</v>
      </c>
      <c r="AF129" s="1" t="e">
        <f t="shared" si="71"/>
        <v>#DIV/0!</v>
      </c>
      <c r="AG129" s="1" t="e">
        <f t="shared" si="71"/>
        <v>#DIV/0!</v>
      </c>
      <c r="AH129" s="1" t="e">
        <f t="shared" si="71"/>
        <v>#DIV/0!</v>
      </c>
      <c r="AI129" s="1" t="e">
        <f t="shared" si="71"/>
        <v>#DIV/0!</v>
      </c>
      <c r="AJ129" s="1" t="e">
        <f t="shared" si="71"/>
        <v>#DIV/0!</v>
      </c>
    </row>
    <row r="130" spans="1:36">
      <c r="A130" s="29">
        <f t="shared" si="41"/>
        <v>90</v>
      </c>
      <c r="B130" s="74"/>
      <c r="C130" s="74"/>
      <c r="D130" s="74"/>
      <c r="E130" s="1" t="e">
        <f t="shared" ref="E130:I130" si="72">(E67-$B67)/$B$4</f>
        <v>#DIV/0!</v>
      </c>
      <c r="F130" s="1" t="e">
        <f t="shared" si="72"/>
        <v>#DIV/0!</v>
      </c>
      <c r="G130" s="1" t="e">
        <f t="shared" si="72"/>
        <v>#DIV/0!</v>
      </c>
      <c r="H130" s="1" t="e">
        <f t="shared" si="72"/>
        <v>#DIV/0!</v>
      </c>
      <c r="I130" s="1" t="e">
        <f t="shared" si="72"/>
        <v>#DIV/0!</v>
      </c>
      <c r="J130" s="1" t="e">
        <f t="shared" ref="J130:AJ130" si="73">(J67-$B67)/$B$4</f>
        <v>#DIV/0!</v>
      </c>
      <c r="K130" s="1" t="e">
        <f t="shared" si="73"/>
        <v>#DIV/0!</v>
      </c>
      <c r="L130" s="1" t="e">
        <f t="shared" si="73"/>
        <v>#DIV/0!</v>
      </c>
      <c r="M130" s="1" t="e">
        <f t="shared" si="73"/>
        <v>#DIV/0!</v>
      </c>
      <c r="N130" s="1" t="e">
        <f t="shared" si="73"/>
        <v>#DIV/0!</v>
      </c>
      <c r="O130" s="1" t="e">
        <f t="shared" si="73"/>
        <v>#DIV/0!</v>
      </c>
      <c r="P130" s="1" t="e">
        <f t="shared" si="73"/>
        <v>#DIV/0!</v>
      </c>
      <c r="Q130" s="1" t="e">
        <f t="shared" si="73"/>
        <v>#DIV/0!</v>
      </c>
      <c r="R130" s="1" t="e">
        <f t="shared" si="73"/>
        <v>#DIV/0!</v>
      </c>
      <c r="S130" s="1" t="e">
        <f t="shared" si="73"/>
        <v>#DIV/0!</v>
      </c>
      <c r="T130" s="1" t="e">
        <f t="shared" si="73"/>
        <v>#DIV/0!</v>
      </c>
      <c r="U130" s="1" t="e">
        <f t="shared" si="73"/>
        <v>#DIV/0!</v>
      </c>
      <c r="V130" s="1" t="e">
        <f t="shared" si="73"/>
        <v>#DIV/0!</v>
      </c>
      <c r="W130" s="1" t="e">
        <f t="shared" si="73"/>
        <v>#DIV/0!</v>
      </c>
      <c r="X130" s="1" t="e">
        <f t="shared" si="73"/>
        <v>#DIV/0!</v>
      </c>
      <c r="Y130" s="1" t="e">
        <f t="shared" si="73"/>
        <v>#DIV/0!</v>
      </c>
      <c r="Z130" s="1" t="e">
        <f t="shared" si="73"/>
        <v>#DIV/0!</v>
      </c>
      <c r="AA130" s="1" t="e">
        <f t="shared" si="73"/>
        <v>#DIV/0!</v>
      </c>
      <c r="AB130" s="1" t="e">
        <f t="shared" si="73"/>
        <v>#DIV/0!</v>
      </c>
      <c r="AC130" s="1" t="e">
        <f t="shared" si="73"/>
        <v>#DIV/0!</v>
      </c>
      <c r="AD130" s="1" t="e">
        <f t="shared" si="73"/>
        <v>#DIV/0!</v>
      </c>
      <c r="AE130" s="1" t="e">
        <f t="shared" si="73"/>
        <v>#DIV/0!</v>
      </c>
      <c r="AF130" s="1" t="e">
        <f t="shared" si="73"/>
        <v>#DIV/0!</v>
      </c>
      <c r="AG130" s="1" t="e">
        <f t="shared" si="73"/>
        <v>#DIV/0!</v>
      </c>
      <c r="AH130" s="1" t="e">
        <f t="shared" si="73"/>
        <v>#DIV/0!</v>
      </c>
      <c r="AI130" s="1" t="e">
        <f t="shared" si="73"/>
        <v>#DIV/0!</v>
      </c>
      <c r="AJ130" s="1" t="e">
        <f t="shared" si="73"/>
        <v>#DIV/0!</v>
      </c>
    </row>
    <row r="131" spans="1:36">
      <c r="B131" s="74"/>
      <c r="C131" s="74"/>
      <c r="D131" s="74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>
      <c r="B132" s="74"/>
      <c r="C132" s="74"/>
      <c r="D132" s="74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>
      <c r="B133" s="74"/>
      <c r="C133" s="74"/>
      <c r="D133" s="74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>
      <c r="B134" s="74"/>
      <c r="C134" s="74"/>
      <c r="D134" s="74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>
      <c r="B135" s="74"/>
      <c r="C135" s="74"/>
      <c r="D135" s="74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>
      <c r="B136" s="74"/>
      <c r="C136" s="74"/>
      <c r="D136" s="74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>
      <c r="B137" s="74"/>
      <c r="C137" s="74"/>
      <c r="D137" s="74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>
      <c r="B138" s="74"/>
      <c r="C138" s="74"/>
      <c r="D138" s="74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>
      <c r="B139" s="74"/>
      <c r="C139" s="74"/>
      <c r="D139" s="74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>
      <c r="B140" s="74"/>
      <c r="C140" s="74"/>
      <c r="D140" s="74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>
      <c r="B141" s="74"/>
      <c r="C141" s="74"/>
      <c r="D141" s="74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>
      <c r="B142" s="74"/>
      <c r="C142" s="74"/>
      <c r="D142" s="74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>
      <c r="B143" s="74"/>
      <c r="C143" s="74"/>
      <c r="D143" s="74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>
      <c r="B144" s="74"/>
      <c r="C144" s="74"/>
      <c r="D144" s="74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2:36">
      <c r="B145" s="74"/>
      <c r="C145" s="74"/>
      <c r="D145" s="74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2:36">
      <c r="B146" s="74"/>
      <c r="C146" s="74"/>
      <c r="D146" s="74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2:36">
      <c r="B147" s="74"/>
      <c r="C147" s="74"/>
      <c r="D147" s="74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2:36">
      <c r="B148" s="74"/>
      <c r="C148" s="74"/>
      <c r="D148" s="74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2:36">
      <c r="B149" s="74"/>
      <c r="C149" s="74"/>
      <c r="D149" s="74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2:36">
      <c r="B150" s="74"/>
      <c r="C150" s="74"/>
      <c r="D150" s="74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2:36">
      <c r="B151" s="74"/>
      <c r="C151" s="74"/>
      <c r="D151" s="74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2:36">
      <c r="B152" s="74"/>
      <c r="C152" s="74"/>
      <c r="D152" s="74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2:36">
      <c r="B153" s="74"/>
      <c r="C153" s="74"/>
      <c r="D153" s="74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2:36">
      <c r="B154" s="74"/>
      <c r="C154" s="74"/>
      <c r="D154" s="74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2:36">
      <c r="B155" s="74"/>
      <c r="C155" s="74"/>
      <c r="D155" s="74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2:36">
      <c r="B156" s="74"/>
      <c r="C156" s="74"/>
      <c r="D156" s="74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2:36">
      <c r="B157" s="74"/>
      <c r="C157" s="74"/>
      <c r="D157" s="74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2:36">
      <c r="B158" s="74"/>
      <c r="C158" s="74"/>
      <c r="D158" s="74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2:36">
      <c r="B159" s="74"/>
      <c r="C159" s="74"/>
      <c r="D159" s="74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2:36">
      <c r="B160" s="74"/>
      <c r="C160" s="74"/>
      <c r="D160" s="74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2:36">
      <c r="B161" s="74"/>
      <c r="C161" s="74"/>
      <c r="D161" s="74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2:36">
      <c r="B162" s="74"/>
      <c r="C162" s="74"/>
      <c r="D162" s="74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2:36">
      <c r="B163" s="74"/>
      <c r="C163" s="74"/>
      <c r="D163" s="74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2:36">
      <c r="B164" s="74"/>
      <c r="C164" s="74"/>
      <c r="D164" s="74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2:36">
      <c r="B165" s="74"/>
      <c r="C165" s="74"/>
      <c r="D165" s="74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2:36">
      <c r="B166" s="74"/>
      <c r="C166" s="74"/>
      <c r="D166" s="74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2:36">
      <c r="B167" s="74"/>
      <c r="C167" s="74"/>
      <c r="D167" s="74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2:36">
      <c r="B168" s="74"/>
      <c r="C168" s="74"/>
      <c r="D168" s="74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2:36">
      <c r="B169" s="74"/>
      <c r="C169" s="74"/>
      <c r="D169" s="74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2:36">
      <c r="B170" s="74"/>
      <c r="C170" s="74"/>
      <c r="D170" s="74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2:36">
      <c r="B171" s="74"/>
      <c r="C171" s="74"/>
      <c r="D171" s="74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2:36">
      <c r="B172" s="74"/>
      <c r="C172" s="74"/>
      <c r="D172" s="74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2:36">
      <c r="B173" s="74"/>
      <c r="C173" s="74"/>
      <c r="D173" s="74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2:36">
      <c r="B174" s="74"/>
      <c r="C174" s="74"/>
      <c r="D174" s="74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2:36">
      <c r="B175" s="74"/>
      <c r="C175" s="74"/>
      <c r="D175" s="74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2:36">
      <c r="B176" s="74"/>
      <c r="C176" s="74"/>
      <c r="D176" s="74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2:36">
      <c r="B177" s="74"/>
      <c r="C177" s="74"/>
      <c r="D177" s="74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2:36">
      <c r="B178" s="74"/>
      <c r="C178" s="74"/>
      <c r="D178" s="74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2:36">
      <c r="B179" s="74"/>
      <c r="C179" s="74"/>
      <c r="D179" s="74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2:36">
      <c r="B180" s="74"/>
      <c r="C180" s="74"/>
      <c r="D180" s="74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2:36">
      <c r="B181" s="74"/>
      <c r="C181" s="74"/>
      <c r="D181" s="74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2:36">
      <c r="B182" s="74"/>
      <c r="C182" s="74"/>
      <c r="D182" s="74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2:36">
      <c r="B183" s="74"/>
      <c r="C183" s="74"/>
      <c r="D183" s="74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2:36">
      <c r="B184" s="74"/>
      <c r="C184" s="74"/>
      <c r="D184" s="74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2:36">
      <c r="B185" s="74"/>
      <c r="C185" s="74"/>
      <c r="D185" s="74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2:36">
      <c r="B186" s="74"/>
      <c r="C186" s="74"/>
      <c r="D186" s="74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2:36">
      <c r="B187" s="74"/>
      <c r="C187" s="74"/>
      <c r="D187" s="74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</row>
  </sheetData>
  <conditionalFormatting sqref="E7:AJ187">
    <cfRule type="top10" dxfId="2" priority="3" percent="1" rank="10"/>
  </conditionalFormatting>
  <conditionalFormatting sqref="E6:AJ6">
    <cfRule type="top10" dxfId="1" priority="2" percent="1" rank="10"/>
  </conditionalFormatting>
  <conditionalFormatting sqref="E68:AJ130">
    <cfRule type="top10" dxfId="0" priority="1" percent="1" rank="10"/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AL182"/>
  <sheetViews>
    <sheetView zoomScale="80" zoomScaleNormal="80" workbookViewId="0">
      <pane xSplit="10410" ySplit="7200" topLeftCell="A59" activePane="topRight"/>
      <selection activeCell="G2" sqref="G2:G62"/>
      <selection pane="topRight" activeCell="B2" sqref="B2:AG182"/>
      <selection pane="bottomLeft" activeCell="J70" sqref="J70"/>
      <selection pane="bottomRight" activeCell="R158" sqref="R158"/>
    </sheetView>
  </sheetViews>
  <sheetFormatPr defaultRowHeight="15"/>
  <cols>
    <col min="1" max="1" width="5.5703125" bestFit="1" customWidth="1"/>
    <col min="2" max="2" width="7.140625" style="5" customWidth="1"/>
    <col min="3" max="33" width="7.140625" customWidth="1"/>
    <col min="37" max="37" width="5.5703125" bestFit="1" customWidth="1"/>
  </cols>
  <sheetData>
    <row r="1" spans="1:38">
      <c r="A1">
        <v>3</v>
      </c>
      <c r="B1" s="1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v>-90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J2" s="1"/>
      <c r="AL2" s="1"/>
    </row>
    <row r="3" spans="1:38">
      <c r="A3">
        <f>A2+A$1</f>
        <v>-87</v>
      </c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J3" s="1"/>
      <c r="AL3" s="1"/>
    </row>
    <row r="4" spans="1:38">
      <c r="A4">
        <f t="shared" ref="A4:A62" si="1">A3+A$1</f>
        <v>-84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J4" s="1"/>
      <c r="AL4" s="1"/>
    </row>
    <row r="5" spans="1:38">
      <c r="A5">
        <f t="shared" si="1"/>
        <v>-81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J5" s="1"/>
      <c r="AL5" s="1"/>
    </row>
    <row r="6" spans="1:38">
      <c r="A6">
        <f t="shared" si="1"/>
        <v>-78</v>
      </c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J6" s="1"/>
      <c r="AL6" s="1"/>
    </row>
    <row r="7" spans="1:38">
      <c r="A7">
        <f t="shared" si="1"/>
        <v>-75</v>
      </c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J7" s="1"/>
      <c r="AL7" s="1"/>
    </row>
    <row r="8" spans="1:38">
      <c r="A8">
        <f t="shared" si="1"/>
        <v>-72</v>
      </c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J8" s="1"/>
      <c r="AL8" s="1"/>
    </row>
    <row r="9" spans="1:38">
      <c r="A9">
        <f t="shared" si="1"/>
        <v>-69</v>
      </c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J9" s="1"/>
      <c r="AL9" s="1"/>
    </row>
    <row r="10" spans="1:38">
      <c r="A10">
        <f t="shared" si="1"/>
        <v>-66</v>
      </c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71"/>
      <c r="AE10" s="71"/>
      <c r="AF10" s="71"/>
      <c r="AG10" s="71"/>
      <c r="AJ10" s="1"/>
      <c r="AL10" s="1"/>
    </row>
    <row r="11" spans="1:38">
      <c r="A11">
        <f t="shared" si="1"/>
        <v>-63</v>
      </c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J11" s="1"/>
      <c r="AL11" s="1"/>
    </row>
    <row r="12" spans="1:38">
      <c r="A12">
        <f t="shared" si="1"/>
        <v>-60</v>
      </c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J12" s="1"/>
      <c r="AL12" s="1"/>
    </row>
    <row r="13" spans="1:38">
      <c r="A13">
        <f t="shared" si="1"/>
        <v>-57</v>
      </c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J13" s="1"/>
      <c r="AL13" s="1"/>
    </row>
    <row r="14" spans="1:38">
      <c r="A14">
        <f t="shared" si="1"/>
        <v>-54</v>
      </c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J14" s="1"/>
      <c r="AL14" s="1"/>
    </row>
    <row r="15" spans="1:38">
      <c r="A15">
        <f t="shared" si="1"/>
        <v>-51</v>
      </c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J15" s="1"/>
      <c r="AL15" s="1"/>
    </row>
    <row r="16" spans="1:38">
      <c r="A16">
        <f t="shared" si="1"/>
        <v>-48</v>
      </c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J16" s="1"/>
      <c r="AL16" s="1"/>
    </row>
    <row r="17" spans="1:38">
      <c r="A17">
        <f t="shared" si="1"/>
        <v>-45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J17" s="1"/>
      <c r="AL17" s="1"/>
    </row>
    <row r="18" spans="1:38">
      <c r="A18">
        <f t="shared" si="1"/>
        <v>-42</v>
      </c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J18" s="1"/>
      <c r="AL18" s="1"/>
    </row>
    <row r="19" spans="1:38">
      <c r="A19">
        <f t="shared" si="1"/>
        <v>-39</v>
      </c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J19" s="1"/>
      <c r="AL19" s="1"/>
    </row>
    <row r="20" spans="1:38">
      <c r="A20">
        <f t="shared" si="1"/>
        <v>-36</v>
      </c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J20" s="1"/>
      <c r="AL20" s="1"/>
    </row>
    <row r="21" spans="1:38">
      <c r="A21">
        <f t="shared" si="1"/>
        <v>-33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J21" s="1"/>
      <c r="AL21" s="1"/>
    </row>
    <row r="22" spans="1:38">
      <c r="A22">
        <f t="shared" si="1"/>
        <v>-30</v>
      </c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J22" s="1"/>
      <c r="AL22" s="1"/>
    </row>
    <row r="23" spans="1:38">
      <c r="A23">
        <f t="shared" si="1"/>
        <v>-27</v>
      </c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J23" s="1"/>
      <c r="AL23" s="1"/>
    </row>
    <row r="24" spans="1:38">
      <c r="A24">
        <f t="shared" si="1"/>
        <v>-24</v>
      </c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J24" s="1"/>
      <c r="AL24" s="1"/>
    </row>
    <row r="25" spans="1:38">
      <c r="A25">
        <f t="shared" si="1"/>
        <v>-21</v>
      </c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J25" s="1"/>
      <c r="AL25" s="1"/>
    </row>
    <row r="26" spans="1:38">
      <c r="A26">
        <f t="shared" si="1"/>
        <v>-18</v>
      </c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J26" s="1"/>
      <c r="AL26" s="1"/>
    </row>
    <row r="27" spans="1:38">
      <c r="A27">
        <f t="shared" si="1"/>
        <v>-15</v>
      </c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J27" s="1"/>
      <c r="AL27" s="1"/>
    </row>
    <row r="28" spans="1:38">
      <c r="A28">
        <f t="shared" si="1"/>
        <v>-12</v>
      </c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J28" s="1"/>
      <c r="AL28" s="1"/>
    </row>
    <row r="29" spans="1:38">
      <c r="A29">
        <f t="shared" si="1"/>
        <v>-9</v>
      </c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J29" s="1"/>
      <c r="AL29" s="1"/>
    </row>
    <row r="30" spans="1:38">
      <c r="A30">
        <f t="shared" si="1"/>
        <v>-6</v>
      </c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J30" s="1"/>
      <c r="AL30" s="1"/>
    </row>
    <row r="31" spans="1:38">
      <c r="A31">
        <f t="shared" si="1"/>
        <v>-3</v>
      </c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J31" s="1"/>
      <c r="AL31" s="1"/>
    </row>
    <row r="32" spans="1:38">
      <c r="A32">
        <f t="shared" si="1"/>
        <v>0</v>
      </c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J32" s="1"/>
      <c r="AL32" s="1"/>
    </row>
    <row r="33" spans="1:38">
      <c r="A33">
        <f t="shared" si="1"/>
        <v>3</v>
      </c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J33" s="1"/>
      <c r="AL33" s="1"/>
    </row>
    <row r="34" spans="1:38">
      <c r="A34">
        <f t="shared" si="1"/>
        <v>6</v>
      </c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J34" s="1"/>
      <c r="AL34" s="1"/>
    </row>
    <row r="35" spans="1:38">
      <c r="A35">
        <f t="shared" si="1"/>
        <v>9</v>
      </c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J35" s="1"/>
      <c r="AL35" s="1"/>
    </row>
    <row r="36" spans="1:38">
      <c r="A36">
        <f t="shared" si="1"/>
        <v>12</v>
      </c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J36" s="1"/>
      <c r="AL36" s="1"/>
    </row>
    <row r="37" spans="1:38">
      <c r="A37">
        <f t="shared" si="1"/>
        <v>15</v>
      </c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J37" s="1"/>
      <c r="AL37" s="1"/>
    </row>
    <row r="38" spans="1:38">
      <c r="A38">
        <f t="shared" si="1"/>
        <v>18</v>
      </c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J38" s="1"/>
      <c r="AL38" s="1"/>
    </row>
    <row r="39" spans="1:38">
      <c r="A39" s="29">
        <f t="shared" si="1"/>
        <v>21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J39" s="1"/>
      <c r="AL39" s="1"/>
    </row>
    <row r="40" spans="1:38">
      <c r="A40" s="29">
        <f t="shared" si="1"/>
        <v>24</v>
      </c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J40" s="1"/>
      <c r="AL40" s="1"/>
    </row>
    <row r="41" spans="1:38">
      <c r="A41" s="29">
        <f t="shared" si="1"/>
        <v>27</v>
      </c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J41" s="1"/>
      <c r="AL41" s="1"/>
    </row>
    <row r="42" spans="1:38">
      <c r="A42" s="29">
        <f t="shared" si="1"/>
        <v>30</v>
      </c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J42" s="1"/>
      <c r="AL42" s="1"/>
    </row>
    <row r="43" spans="1:38">
      <c r="A43" s="29">
        <f t="shared" si="1"/>
        <v>33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J43" s="1"/>
      <c r="AL43" s="1"/>
    </row>
    <row r="44" spans="1:38">
      <c r="A44" s="29">
        <f t="shared" si="1"/>
        <v>36</v>
      </c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J44" s="1"/>
      <c r="AL44" s="1"/>
    </row>
    <row r="45" spans="1:38">
      <c r="A45" s="29">
        <f t="shared" si="1"/>
        <v>39</v>
      </c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J45" s="1"/>
      <c r="AL45" s="1"/>
    </row>
    <row r="46" spans="1:38">
      <c r="A46" s="29">
        <f t="shared" si="1"/>
        <v>42</v>
      </c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J46" s="1"/>
      <c r="AL46" s="1"/>
    </row>
    <row r="47" spans="1:38">
      <c r="A47" s="29">
        <f t="shared" si="1"/>
        <v>45</v>
      </c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J47" s="1"/>
      <c r="AL47" s="1"/>
    </row>
    <row r="48" spans="1:38">
      <c r="A48" s="29">
        <f t="shared" si="1"/>
        <v>48</v>
      </c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J48" s="1"/>
      <c r="AL48" s="1"/>
    </row>
    <row r="49" spans="1:38">
      <c r="A49" s="29">
        <f t="shared" si="1"/>
        <v>51</v>
      </c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J49" s="1"/>
      <c r="AL49" s="1"/>
    </row>
    <row r="50" spans="1:38">
      <c r="A50" s="29">
        <f t="shared" si="1"/>
        <v>54</v>
      </c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J50" s="1"/>
      <c r="AL50" s="1"/>
    </row>
    <row r="51" spans="1:38">
      <c r="A51" s="29">
        <f t="shared" si="1"/>
        <v>57</v>
      </c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J51" s="1"/>
      <c r="AL51" s="1"/>
    </row>
    <row r="52" spans="1:38">
      <c r="A52" s="29">
        <f t="shared" si="1"/>
        <v>60</v>
      </c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J52" s="1"/>
      <c r="AL52" s="1"/>
    </row>
    <row r="53" spans="1:38">
      <c r="A53" s="29">
        <f t="shared" si="1"/>
        <v>63</v>
      </c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J53" s="1"/>
      <c r="AL53" s="1"/>
    </row>
    <row r="54" spans="1:38">
      <c r="A54" s="29">
        <f t="shared" si="1"/>
        <v>66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J54" s="1"/>
      <c r="AL54" s="1"/>
    </row>
    <row r="55" spans="1:38">
      <c r="A55" s="29">
        <f t="shared" si="1"/>
        <v>69</v>
      </c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J55" s="1"/>
      <c r="AL55" s="1"/>
    </row>
    <row r="56" spans="1:38">
      <c r="A56" s="29">
        <f t="shared" si="1"/>
        <v>72</v>
      </c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J56" s="1"/>
      <c r="AL56" s="1"/>
    </row>
    <row r="57" spans="1:38">
      <c r="A57" s="29">
        <f t="shared" si="1"/>
        <v>75</v>
      </c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J57" s="1"/>
      <c r="AL57" s="1"/>
    </row>
    <row r="58" spans="1:38">
      <c r="A58" s="29">
        <f t="shared" si="1"/>
        <v>78</v>
      </c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J58" s="1"/>
      <c r="AL58" s="1"/>
    </row>
    <row r="59" spans="1:38">
      <c r="A59" s="29">
        <f t="shared" si="1"/>
        <v>81</v>
      </c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J59" s="1"/>
      <c r="AL59" s="1"/>
    </row>
    <row r="60" spans="1:38">
      <c r="A60" s="29">
        <f t="shared" si="1"/>
        <v>84</v>
      </c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J60" s="1"/>
      <c r="AL60" s="1"/>
    </row>
    <row r="61" spans="1:38">
      <c r="A61" s="29">
        <f t="shared" si="1"/>
        <v>87</v>
      </c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J61" s="1"/>
      <c r="AL61" s="1"/>
    </row>
    <row r="62" spans="1:38">
      <c r="A62" s="29">
        <f t="shared" si="1"/>
        <v>90</v>
      </c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  <c r="AJ62" s="1"/>
      <c r="AL62" s="1"/>
    </row>
    <row r="63" spans="1:38">
      <c r="A63" s="29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J63" s="1"/>
      <c r="AL63" s="1"/>
    </row>
    <row r="64" spans="1:38">
      <c r="A64" s="29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J64" s="1"/>
      <c r="AL64" s="1"/>
    </row>
    <row r="65" spans="1:38">
      <c r="A65" s="29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  <c r="AJ65" s="1"/>
      <c r="AL65" s="1"/>
    </row>
    <row r="66" spans="1:38">
      <c r="A66" s="29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J66" s="1"/>
      <c r="AL66" s="1"/>
    </row>
    <row r="67" spans="1:38">
      <c r="A67" s="29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  <c r="AJ67" s="1"/>
      <c r="AL67" s="1"/>
    </row>
    <row r="68" spans="1:38">
      <c r="A68" s="29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J68" s="1"/>
      <c r="AL68" s="1"/>
    </row>
    <row r="69" spans="1:38">
      <c r="A69" s="29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  <c r="AJ69" s="1"/>
      <c r="AL69" s="1"/>
    </row>
    <row r="70" spans="1:38">
      <c r="A70" s="29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J70" s="1"/>
      <c r="AL70" s="1"/>
    </row>
    <row r="71" spans="1:38">
      <c r="A71" s="29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J71" s="1"/>
      <c r="AL71" s="1"/>
    </row>
    <row r="72" spans="1:38">
      <c r="A72" s="29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  <c r="AJ72" s="1"/>
      <c r="AL72" s="1"/>
    </row>
    <row r="73" spans="1:38">
      <c r="A73" s="29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J73" s="1"/>
      <c r="AL73" s="1"/>
    </row>
    <row r="74" spans="1:38">
      <c r="A74" s="29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  <c r="AJ74" s="1"/>
      <c r="AL74" s="1"/>
    </row>
    <row r="75" spans="1:38">
      <c r="A75" s="29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  <c r="AJ75" s="1"/>
      <c r="AL75" s="1"/>
    </row>
    <row r="76" spans="1:38">
      <c r="A76" s="29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71"/>
      <c r="AE76" s="71"/>
      <c r="AF76" s="71"/>
      <c r="AG76" s="71"/>
      <c r="AJ76" s="1"/>
      <c r="AL76" s="1"/>
    </row>
    <row r="77" spans="1:38">
      <c r="A77" s="29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J77" s="1"/>
      <c r="AL77" s="1"/>
    </row>
    <row r="78" spans="1:38">
      <c r="A78" s="29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1"/>
      <c r="AE78" s="71"/>
      <c r="AF78" s="71"/>
      <c r="AG78" s="71"/>
      <c r="AJ78" s="1"/>
      <c r="AL78" s="1"/>
    </row>
    <row r="79" spans="1:38">
      <c r="A79" s="29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  <c r="AG79" s="71"/>
      <c r="AJ79" s="1"/>
      <c r="AL79" s="1"/>
    </row>
    <row r="80" spans="1:38">
      <c r="A80" s="29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/>
      <c r="AC80" s="71"/>
      <c r="AD80" s="71"/>
      <c r="AE80" s="71"/>
      <c r="AF80" s="71"/>
      <c r="AG80" s="71"/>
      <c r="AJ80" s="1"/>
      <c r="AL80" s="1"/>
    </row>
    <row r="81" spans="1:38">
      <c r="A81" s="29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  <c r="AD81" s="71"/>
      <c r="AE81" s="71"/>
      <c r="AF81" s="71"/>
      <c r="AG81" s="71"/>
      <c r="AJ81" s="1"/>
      <c r="AL81" s="1"/>
    </row>
    <row r="82" spans="1:38">
      <c r="A82" s="29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  <c r="AD82" s="71"/>
      <c r="AE82" s="71"/>
      <c r="AF82" s="71"/>
      <c r="AG82" s="71"/>
      <c r="AJ82" s="1"/>
      <c r="AL82" s="1"/>
    </row>
    <row r="83" spans="1:38">
      <c r="A83" s="29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  <c r="AJ83" s="1"/>
      <c r="AL83" s="1"/>
    </row>
    <row r="84" spans="1:38">
      <c r="A84" s="29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  <c r="AJ84" s="1"/>
      <c r="AL84" s="1"/>
    </row>
    <row r="85" spans="1:38">
      <c r="A85" s="29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J85" s="1"/>
      <c r="AL85" s="1"/>
    </row>
    <row r="86" spans="1:38">
      <c r="A86" s="29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J86" s="1"/>
      <c r="AL86" s="1"/>
    </row>
    <row r="87" spans="1:38">
      <c r="A87" s="29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  <c r="AJ87" s="1"/>
      <c r="AL87" s="1"/>
    </row>
    <row r="88" spans="1:38">
      <c r="A88" s="29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J88" s="1"/>
      <c r="AL88" s="1"/>
    </row>
    <row r="89" spans="1:38">
      <c r="A89" s="29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1"/>
      <c r="AE89" s="71"/>
      <c r="AF89" s="71"/>
      <c r="AG89" s="71"/>
      <c r="AJ89" s="1"/>
      <c r="AL89" s="1"/>
    </row>
    <row r="90" spans="1:38">
      <c r="A90" s="29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  <c r="AJ90" s="1"/>
      <c r="AL90" s="1"/>
    </row>
    <row r="91" spans="1:38">
      <c r="A91" s="29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J91" s="1"/>
      <c r="AL91" s="1"/>
    </row>
    <row r="92" spans="1:38">
      <c r="A92" s="29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J92" s="1"/>
      <c r="AL92" s="1"/>
    </row>
    <row r="93" spans="1:38">
      <c r="A93" s="29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J93" s="1"/>
      <c r="AL93" s="1"/>
    </row>
    <row r="94" spans="1:38">
      <c r="A94" s="29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J94" s="1"/>
      <c r="AL94" s="1"/>
    </row>
    <row r="95" spans="1:38">
      <c r="A95" s="29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J95" s="1"/>
      <c r="AL95" s="1"/>
    </row>
    <row r="96" spans="1:38">
      <c r="A96" s="29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J96" s="1"/>
      <c r="AL96" s="1"/>
    </row>
    <row r="97" spans="1:38">
      <c r="A97" s="29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J97" s="1"/>
      <c r="AL97" s="1"/>
    </row>
    <row r="98" spans="1:38">
      <c r="A98" s="29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J98" s="1"/>
      <c r="AL98" s="1"/>
    </row>
    <row r="99" spans="1:38">
      <c r="A99" s="29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J99" s="1"/>
      <c r="AL99" s="1"/>
    </row>
    <row r="100" spans="1:38">
      <c r="A100" s="29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J100" s="1"/>
      <c r="AL100" s="1"/>
    </row>
    <row r="101" spans="1:38">
      <c r="A101" s="29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J101" s="1"/>
      <c r="AL101" s="1"/>
    </row>
    <row r="102" spans="1:38">
      <c r="A102" s="29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J102" s="1"/>
      <c r="AL102" s="1"/>
    </row>
    <row r="103" spans="1:38">
      <c r="A103" s="29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J103" s="1"/>
      <c r="AL103" s="1"/>
    </row>
    <row r="104" spans="1:38">
      <c r="A104" s="29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  <c r="AB104" s="71"/>
      <c r="AC104" s="71"/>
      <c r="AD104" s="71"/>
      <c r="AE104" s="71"/>
      <c r="AF104" s="71"/>
      <c r="AG104" s="71"/>
      <c r="AJ104" s="1"/>
      <c r="AL104" s="1"/>
    </row>
    <row r="105" spans="1:38">
      <c r="A105" s="29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  <c r="AB105" s="71"/>
      <c r="AC105" s="71"/>
      <c r="AD105" s="71"/>
      <c r="AE105" s="71"/>
      <c r="AF105" s="71"/>
      <c r="AG105" s="71"/>
      <c r="AJ105" s="1"/>
      <c r="AL105" s="1"/>
    </row>
    <row r="106" spans="1:38">
      <c r="A106" s="29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  <c r="AB106" s="71"/>
      <c r="AC106" s="71"/>
      <c r="AD106" s="71"/>
      <c r="AE106" s="71"/>
      <c r="AF106" s="71"/>
      <c r="AG106" s="71"/>
      <c r="AJ106" s="1"/>
      <c r="AL106" s="1"/>
    </row>
    <row r="107" spans="1:38">
      <c r="A107" s="29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  <c r="AB107" s="71"/>
      <c r="AC107" s="71"/>
      <c r="AD107" s="71"/>
      <c r="AE107" s="71"/>
      <c r="AF107" s="71"/>
      <c r="AG107" s="71"/>
      <c r="AJ107" s="1"/>
      <c r="AL107" s="1"/>
    </row>
    <row r="108" spans="1:38">
      <c r="A108" s="29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  <c r="AB108" s="71"/>
      <c r="AC108" s="71"/>
      <c r="AD108" s="71"/>
      <c r="AE108" s="71"/>
      <c r="AF108" s="71"/>
      <c r="AG108" s="71"/>
      <c r="AJ108" s="1"/>
      <c r="AL108" s="1"/>
    </row>
    <row r="109" spans="1:38">
      <c r="A109" s="29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  <c r="AB109" s="71"/>
      <c r="AC109" s="71"/>
      <c r="AD109" s="71"/>
      <c r="AE109" s="71"/>
      <c r="AF109" s="71"/>
      <c r="AG109" s="71"/>
      <c r="AJ109" s="1"/>
      <c r="AL109" s="1"/>
    </row>
    <row r="110" spans="1:38">
      <c r="A110" s="29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J110" s="1"/>
      <c r="AL110" s="1"/>
    </row>
    <row r="111" spans="1:38">
      <c r="A111" s="29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  <c r="AA111" s="71"/>
      <c r="AB111" s="71"/>
      <c r="AC111" s="71"/>
      <c r="AD111" s="71"/>
      <c r="AE111" s="71"/>
      <c r="AF111" s="71"/>
      <c r="AG111" s="71"/>
      <c r="AJ111" s="1"/>
      <c r="AL111" s="1"/>
    </row>
    <row r="112" spans="1:38">
      <c r="A112" s="29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  <c r="AA112" s="71"/>
      <c r="AB112" s="71"/>
      <c r="AC112" s="71"/>
      <c r="AD112" s="71"/>
      <c r="AE112" s="71"/>
      <c r="AF112" s="71"/>
      <c r="AG112" s="71"/>
      <c r="AJ112" s="1"/>
      <c r="AL112" s="1"/>
    </row>
    <row r="113" spans="1:38">
      <c r="A113" s="29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  <c r="AA113" s="71"/>
      <c r="AB113" s="71"/>
      <c r="AC113" s="71"/>
      <c r="AD113" s="71"/>
      <c r="AE113" s="71"/>
      <c r="AF113" s="71"/>
      <c r="AG113" s="71"/>
      <c r="AJ113" s="1"/>
      <c r="AL113" s="1"/>
    </row>
    <row r="114" spans="1:38">
      <c r="A114" s="29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71"/>
      <c r="AC114" s="71"/>
      <c r="AD114" s="71"/>
      <c r="AE114" s="71"/>
      <c r="AF114" s="71"/>
      <c r="AG114" s="71"/>
      <c r="AJ114" s="1"/>
      <c r="AL114" s="1"/>
    </row>
    <row r="115" spans="1:38">
      <c r="A115" s="29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71"/>
      <c r="AC115" s="71"/>
      <c r="AD115" s="71"/>
      <c r="AE115" s="71"/>
      <c r="AF115" s="71"/>
      <c r="AG115" s="71"/>
      <c r="AJ115" s="1"/>
      <c r="AL115" s="1"/>
    </row>
    <row r="116" spans="1:38">
      <c r="A116" s="29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  <c r="AA116" s="71"/>
      <c r="AB116" s="71"/>
      <c r="AC116" s="71"/>
      <c r="AD116" s="71"/>
      <c r="AE116" s="71"/>
      <c r="AF116" s="71"/>
      <c r="AG116" s="71"/>
      <c r="AJ116" s="1"/>
      <c r="AL116" s="1"/>
    </row>
    <row r="117" spans="1:38">
      <c r="A117" s="29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  <c r="AA117" s="71"/>
      <c r="AB117" s="71"/>
      <c r="AC117" s="71"/>
      <c r="AD117" s="71"/>
      <c r="AE117" s="71"/>
      <c r="AF117" s="71"/>
      <c r="AG117" s="71"/>
      <c r="AJ117" s="1"/>
      <c r="AL117" s="1"/>
    </row>
    <row r="118" spans="1:38">
      <c r="A118" s="29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  <c r="AA118" s="71"/>
      <c r="AB118" s="71"/>
      <c r="AC118" s="71"/>
      <c r="AD118" s="71"/>
      <c r="AE118" s="71"/>
      <c r="AF118" s="71"/>
      <c r="AG118" s="71"/>
      <c r="AJ118" s="1"/>
      <c r="AL118" s="1"/>
    </row>
    <row r="119" spans="1:38">
      <c r="A119" s="29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71"/>
      <c r="AC119" s="71"/>
      <c r="AD119" s="71"/>
      <c r="AE119" s="71"/>
      <c r="AF119" s="71"/>
      <c r="AG119" s="71"/>
      <c r="AJ119" s="1"/>
      <c r="AL119" s="1"/>
    </row>
    <row r="120" spans="1:38">
      <c r="A120" s="29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  <c r="AA120" s="71"/>
      <c r="AB120" s="71"/>
      <c r="AC120" s="71"/>
      <c r="AD120" s="71"/>
      <c r="AE120" s="71"/>
      <c r="AF120" s="71"/>
      <c r="AG120" s="71"/>
      <c r="AJ120" s="1"/>
      <c r="AL120" s="1"/>
    </row>
    <row r="121" spans="1:38">
      <c r="A121" s="29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J121" s="1"/>
      <c r="AL121" s="1"/>
    </row>
    <row r="122" spans="1:38">
      <c r="A122" s="29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  <c r="AA122" s="71"/>
      <c r="AB122" s="71"/>
      <c r="AC122" s="71"/>
      <c r="AD122" s="71"/>
      <c r="AE122" s="71"/>
      <c r="AF122" s="71"/>
      <c r="AG122" s="71"/>
      <c r="AJ122" s="1"/>
      <c r="AL122" s="1"/>
    </row>
    <row r="123" spans="1:38">
      <c r="A123" s="29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  <c r="AA123" s="71"/>
      <c r="AB123" s="71"/>
      <c r="AC123" s="71"/>
      <c r="AD123" s="71"/>
      <c r="AE123" s="71"/>
      <c r="AF123" s="71"/>
      <c r="AG123" s="71"/>
      <c r="AJ123" s="1"/>
      <c r="AL123" s="1"/>
    </row>
    <row r="124" spans="1:38">
      <c r="A124" s="29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  <c r="AA124" s="71"/>
      <c r="AB124" s="71"/>
      <c r="AC124" s="71"/>
      <c r="AD124" s="71"/>
      <c r="AE124" s="71"/>
      <c r="AF124" s="71"/>
      <c r="AG124" s="71"/>
      <c r="AJ124" s="1"/>
      <c r="AL124" s="1"/>
    </row>
    <row r="125" spans="1:38">
      <c r="A125" s="29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  <c r="AA125" s="71"/>
      <c r="AB125" s="71"/>
      <c r="AC125" s="71"/>
      <c r="AD125" s="71"/>
      <c r="AE125" s="71"/>
      <c r="AF125" s="71"/>
      <c r="AG125" s="71"/>
      <c r="AJ125" s="1"/>
      <c r="AL125" s="1"/>
    </row>
    <row r="126" spans="1:38">
      <c r="A126" s="29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  <c r="AA126" s="71"/>
      <c r="AB126" s="71"/>
      <c r="AC126" s="71"/>
      <c r="AD126" s="71"/>
      <c r="AE126" s="71"/>
      <c r="AF126" s="71"/>
      <c r="AG126" s="71"/>
      <c r="AJ126" s="1"/>
      <c r="AL126" s="1"/>
    </row>
    <row r="127" spans="1:38">
      <c r="A127" s="29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  <c r="AA127" s="71"/>
      <c r="AB127" s="71"/>
      <c r="AC127" s="71"/>
      <c r="AD127" s="71"/>
      <c r="AE127" s="71"/>
      <c r="AF127" s="71"/>
      <c r="AG127" s="71"/>
      <c r="AJ127" s="1"/>
      <c r="AL127" s="1"/>
    </row>
    <row r="128" spans="1:38">
      <c r="A128" s="29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  <c r="AA128" s="71"/>
      <c r="AB128" s="71"/>
      <c r="AC128" s="71"/>
      <c r="AD128" s="71"/>
      <c r="AE128" s="71"/>
      <c r="AF128" s="71"/>
      <c r="AG128" s="71"/>
      <c r="AJ128" s="1"/>
      <c r="AL128" s="1"/>
    </row>
    <row r="129" spans="1:38">
      <c r="A129" s="29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  <c r="AA129" s="71"/>
      <c r="AB129" s="71"/>
      <c r="AC129" s="71"/>
      <c r="AD129" s="71"/>
      <c r="AE129" s="71"/>
      <c r="AF129" s="71"/>
      <c r="AG129" s="71"/>
      <c r="AJ129" s="1"/>
      <c r="AL129" s="1"/>
    </row>
    <row r="130" spans="1:38">
      <c r="A130" s="29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1"/>
      <c r="AE130" s="71"/>
      <c r="AF130" s="71"/>
      <c r="AG130" s="71"/>
      <c r="AJ130" s="1"/>
      <c r="AL130" s="1"/>
    </row>
    <row r="131" spans="1:38">
      <c r="A131" s="29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  <c r="AD131" s="71"/>
      <c r="AE131" s="71"/>
      <c r="AF131" s="71"/>
      <c r="AG131" s="71"/>
      <c r="AJ131" s="1"/>
      <c r="AL131" s="1"/>
    </row>
    <row r="132" spans="1:38">
      <c r="A132" s="29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J132" s="1"/>
      <c r="AL132" s="1"/>
    </row>
    <row r="133" spans="1:38">
      <c r="A133" s="29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  <c r="AA133" s="71"/>
      <c r="AB133" s="71"/>
      <c r="AC133" s="71"/>
      <c r="AD133" s="71"/>
      <c r="AE133" s="71"/>
      <c r="AF133" s="71"/>
      <c r="AG133" s="71"/>
      <c r="AJ133" s="1"/>
      <c r="AL133" s="1"/>
    </row>
    <row r="134" spans="1:38">
      <c r="A134" s="29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  <c r="AA134" s="71"/>
      <c r="AB134" s="71"/>
      <c r="AC134" s="71"/>
      <c r="AD134" s="71"/>
      <c r="AE134" s="71"/>
      <c r="AF134" s="71"/>
      <c r="AG134" s="71"/>
      <c r="AJ134" s="1"/>
      <c r="AL134" s="1"/>
    </row>
    <row r="135" spans="1:38">
      <c r="A135" s="29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  <c r="AA135" s="71"/>
      <c r="AB135" s="71"/>
      <c r="AC135" s="71"/>
      <c r="AD135" s="71"/>
      <c r="AE135" s="71"/>
      <c r="AF135" s="71"/>
      <c r="AG135" s="71"/>
      <c r="AJ135" s="1"/>
      <c r="AL135" s="1"/>
    </row>
    <row r="136" spans="1:38">
      <c r="A136" s="29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  <c r="AD136" s="71"/>
      <c r="AE136" s="71"/>
      <c r="AF136" s="71"/>
      <c r="AG136" s="71"/>
      <c r="AJ136" s="1"/>
      <c r="AL136" s="1"/>
    </row>
    <row r="137" spans="1:38">
      <c r="A137" s="29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  <c r="AA137" s="71"/>
      <c r="AB137" s="71"/>
      <c r="AC137" s="71"/>
      <c r="AD137" s="71"/>
      <c r="AE137" s="71"/>
      <c r="AF137" s="71"/>
      <c r="AG137" s="71"/>
      <c r="AJ137" s="1"/>
      <c r="AL137" s="1"/>
    </row>
    <row r="138" spans="1:38">
      <c r="A138" s="29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1"/>
      <c r="AE138" s="71"/>
      <c r="AF138" s="71"/>
      <c r="AG138" s="71"/>
      <c r="AJ138" s="1"/>
      <c r="AL138" s="1"/>
    </row>
    <row r="139" spans="1:38">
      <c r="A139" s="29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  <c r="AA139" s="71"/>
      <c r="AB139" s="71"/>
      <c r="AC139" s="71"/>
      <c r="AD139" s="71"/>
      <c r="AE139" s="71"/>
      <c r="AF139" s="71"/>
      <c r="AG139" s="71"/>
      <c r="AJ139" s="1"/>
      <c r="AL139" s="1"/>
    </row>
    <row r="140" spans="1:38">
      <c r="A140" s="29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1"/>
      <c r="AE140" s="71"/>
      <c r="AF140" s="71"/>
      <c r="AG140" s="71"/>
      <c r="AJ140" s="1"/>
      <c r="AL140" s="1"/>
    </row>
    <row r="141" spans="1:38">
      <c r="A141" s="29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J141" s="1"/>
      <c r="AL141" s="1"/>
    </row>
    <row r="142" spans="1:38">
      <c r="A142" s="29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J142" s="1"/>
      <c r="AL142" s="1"/>
    </row>
    <row r="143" spans="1:38">
      <c r="A143" s="29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J143" s="1"/>
      <c r="AL143" s="1"/>
    </row>
    <row r="144" spans="1:38">
      <c r="A144" s="29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J144" s="1"/>
      <c r="AL144" s="1"/>
    </row>
    <row r="145" spans="1:38">
      <c r="A145" s="29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J145" s="1"/>
      <c r="AL145" s="1"/>
    </row>
    <row r="146" spans="1:38">
      <c r="A146" s="29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J146" s="1"/>
      <c r="AL146" s="1"/>
    </row>
    <row r="147" spans="1:38">
      <c r="A147" s="29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J147" s="1"/>
      <c r="AL147" s="1"/>
    </row>
    <row r="148" spans="1:38">
      <c r="A148" s="29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J148" s="1"/>
      <c r="AL148" s="1"/>
    </row>
    <row r="149" spans="1:38">
      <c r="A149" s="29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J149" s="1"/>
      <c r="AL149" s="1"/>
    </row>
    <row r="150" spans="1:38">
      <c r="A150" s="29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J150" s="1"/>
      <c r="AL150" s="1"/>
    </row>
    <row r="151" spans="1:38">
      <c r="A151" s="29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J151" s="1"/>
      <c r="AL151" s="1"/>
    </row>
    <row r="152" spans="1:38">
      <c r="A152" s="29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J152" s="1"/>
      <c r="AL152" s="1"/>
    </row>
    <row r="153" spans="1:38">
      <c r="A153" s="29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J153" s="1"/>
      <c r="AL153" s="1"/>
    </row>
    <row r="154" spans="1:38">
      <c r="A154" s="29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J154" s="1"/>
      <c r="AL154" s="1"/>
    </row>
    <row r="155" spans="1:38">
      <c r="A155" s="29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1"/>
      <c r="AE155" s="71"/>
      <c r="AF155" s="71"/>
      <c r="AG155" s="71"/>
      <c r="AJ155" s="1"/>
      <c r="AL155" s="1"/>
    </row>
    <row r="156" spans="1:38">
      <c r="A156" s="29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1"/>
      <c r="AE156" s="71"/>
      <c r="AF156" s="71"/>
      <c r="AG156" s="71"/>
      <c r="AJ156" s="1"/>
      <c r="AL156" s="1"/>
    </row>
    <row r="157" spans="1:38">
      <c r="A157" s="29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  <c r="AD157" s="71"/>
      <c r="AE157" s="71"/>
      <c r="AF157" s="71"/>
      <c r="AG157" s="71"/>
      <c r="AJ157" s="1"/>
      <c r="AL157" s="1"/>
    </row>
    <row r="158" spans="1:38">
      <c r="A158" s="29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1"/>
      <c r="AE158" s="71"/>
      <c r="AF158" s="71"/>
      <c r="AG158" s="71"/>
      <c r="AJ158" s="1"/>
      <c r="AL158" s="1"/>
    </row>
    <row r="159" spans="1:38">
      <c r="A159" s="29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  <c r="AD159" s="71"/>
      <c r="AE159" s="71"/>
      <c r="AF159" s="71"/>
      <c r="AG159" s="71"/>
      <c r="AJ159" s="1"/>
      <c r="AL159" s="1"/>
    </row>
    <row r="160" spans="1:38">
      <c r="A160" s="29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  <c r="AD160" s="71"/>
      <c r="AE160" s="71"/>
      <c r="AF160" s="71"/>
      <c r="AG160" s="71"/>
      <c r="AJ160" s="1"/>
      <c r="AL160" s="1"/>
    </row>
    <row r="161" spans="1:38">
      <c r="A161" s="29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1"/>
      <c r="AE161" s="71"/>
      <c r="AF161" s="71"/>
      <c r="AG161" s="71"/>
      <c r="AJ161" s="1"/>
      <c r="AL161" s="1"/>
    </row>
    <row r="162" spans="1:38">
      <c r="A162" s="29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1"/>
      <c r="AE162" s="71"/>
      <c r="AF162" s="71"/>
      <c r="AG162" s="71"/>
      <c r="AJ162" s="1"/>
      <c r="AL162" s="1"/>
    </row>
    <row r="163" spans="1:38">
      <c r="A163" s="29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  <c r="AD163" s="71"/>
      <c r="AE163" s="71"/>
      <c r="AF163" s="71"/>
      <c r="AG163" s="71"/>
      <c r="AJ163" s="1"/>
      <c r="AL163" s="1"/>
    </row>
    <row r="164" spans="1:38">
      <c r="A164" s="29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  <c r="AD164" s="71"/>
      <c r="AE164" s="71"/>
      <c r="AF164" s="71"/>
      <c r="AG164" s="71"/>
      <c r="AH164" s="5"/>
      <c r="AI164" s="4"/>
    </row>
    <row r="165" spans="1:38">
      <c r="A165" s="29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5"/>
      <c r="AI165" s="4"/>
    </row>
    <row r="166" spans="1:38">
      <c r="A166" s="29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1"/>
      <c r="AE166" s="71"/>
      <c r="AF166" s="71"/>
      <c r="AG166" s="71"/>
      <c r="AH166" s="5"/>
      <c r="AI166" s="4"/>
    </row>
    <row r="167" spans="1:38">
      <c r="A167" s="29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  <c r="AD167" s="71"/>
      <c r="AE167" s="71"/>
      <c r="AF167" s="71"/>
      <c r="AG167" s="71"/>
      <c r="AH167" s="5"/>
      <c r="AI167" s="4"/>
    </row>
    <row r="168" spans="1:38">
      <c r="A168" s="29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  <c r="AD168" s="71"/>
      <c r="AE168" s="71"/>
      <c r="AF168" s="71"/>
      <c r="AG168" s="71"/>
      <c r="AH168" s="5"/>
      <c r="AI168" s="4"/>
    </row>
    <row r="169" spans="1:38">
      <c r="A169" s="29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1"/>
      <c r="AE169" s="71"/>
      <c r="AF169" s="71"/>
      <c r="AG169" s="71"/>
    </row>
    <row r="170" spans="1:38">
      <c r="A170" s="29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  <c r="AA170" s="71"/>
      <c r="AB170" s="71"/>
      <c r="AC170" s="71"/>
      <c r="AD170" s="71"/>
      <c r="AE170" s="71"/>
      <c r="AF170" s="71"/>
      <c r="AG170" s="71"/>
    </row>
    <row r="171" spans="1:38">
      <c r="A171" s="29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1"/>
      <c r="AE171" s="71"/>
      <c r="AF171" s="71"/>
      <c r="AG171" s="71"/>
    </row>
    <row r="172" spans="1:38">
      <c r="A172" s="29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1"/>
      <c r="AE172" s="71"/>
      <c r="AF172" s="71"/>
      <c r="AG172" s="71"/>
    </row>
    <row r="173" spans="1:38">
      <c r="A173" s="29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 s="71"/>
      <c r="AB173" s="71"/>
      <c r="AC173" s="71"/>
      <c r="AD173" s="71"/>
      <c r="AE173" s="71"/>
      <c r="AF173" s="71"/>
      <c r="AG173" s="71"/>
    </row>
    <row r="174" spans="1:38">
      <c r="A174" s="29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  <c r="AA174" s="71"/>
      <c r="AB174" s="71"/>
      <c r="AC174" s="71"/>
      <c r="AD174" s="71"/>
      <c r="AE174" s="71"/>
      <c r="AF174" s="71"/>
      <c r="AG174" s="71"/>
    </row>
    <row r="175" spans="1:38">
      <c r="A175" s="29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  <c r="AA175" s="71"/>
      <c r="AB175" s="71"/>
      <c r="AC175" s="71"/>
      <c r="AD175" s="71"/>
      <c r="AE175" s="71"/>
      <c r="AF175" s="71"/>
      <c r="AG175" s="71"/>
    </row>
    <row r="176" spans="1:38">
      <c r="A176" s="29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</row>
    <row r="177" spans="1:33">
      <c r="A177" s="29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 s="71"/>
      <c r="AB177" s="71"/>
      <c r="AC177" s="71"/>
      <c r="AD177" s="71"/>
      <c r="AE177" s="71"/>
      <c r="AF177" s="71"/>
      <c r="AG177" s="71"/>
    </row>
    <row r="178" spans="1:33">
      <c r="A178" s="29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  <c r="AD178" s="71"/>
      <c r="AE178" s="71"/>
      <c r="AF178" s="71"/>
      <c r="AG178" s="71"/>
    </row>
    <row r="179" spans="1:33">
      <c r="A179" s="29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  <c r="AA179" s="71"/>
      <c r="AB179" s="71"/>
      <c r="AC179" s="71"/>
      <c r="AD179" s="71"/>
      <c r="AE179" s="71"/>
      <c r="AF179" s="71"/>
      <c r="AG179" s="71"/>
    </row>
    <row r="180" spans="1:33">
      <c r="A180" s="29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71"/>
      <c r="AC180" s="71"/>
      <c r="AD180" s="71"/>
      <c r="AE180" s="71"/>
      <c r="AF180" s="71"/>
      <c r="AG180" s="71"/>
    </row>
    <row r="181" spans="1:33">
      <c r="A181" s="29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  <c r="AD181" s="71"/>
      <c r="AE181" s="71"/>
      <c r="AF181" s="71"/>
      <c r="AG181" s="71"/>
    </row>
    <row r="182" spans="1:33">
      <c r="A182" s="29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 s="71"/>
      <c r="AC182" s="71"/>
      <c r="AD182" s="71"/>
      <c r="AE182" s="71"/>
      <c r="AF182" s="71"/>
      <c r="AG182" s="71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AL182"/>
  <sheetViews>
    <sheetView zoomScale="80" zoomScaleNormal="80" workbookViewId="0">
      <pane xSplit="10410" ySplit="5220" activePane="bottomRight"/>
      <selection activeCell="G2" sqref="G2:G62"/>
      <selection pane="topRight" activeCell="W2" sqref="W2:W62"/>
      <selection pane="bottomLeft" activeCell="A21" sqref="A21"/>
      <selection pane="bottomRight" activeCell="B2" sqref="B2:AG182"/>
    </sheetView>
  </sheetViews>
  <sheetFormatPr defaultRowHeight="15"/>
  <cols>
    <col min="1" max="1" width="5.5703125" bestFit="1" customWidth="1"/>
    <col min="2" max="2" width="7.140625" style="27" customWidth="1"/>
    <col min="3" max="33" width="7.140625" customWidth="1"/>
    <col min="37" max="37" width="5.5703125" bestFit="1" customWidth="1"/>
  </cols>
  <sheetData>
    <row r="1" spans="1:38">
      <c r="B1" s="1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J2" s="1"/>
      <c r="AL2" s="1"/>
    </row>
    <row r="3" spans="1:38">
      <c r="A3">
        <f>data0!A3</f>
        <v>-87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J3" s="1"/>
      <c r="AL3" s="1"/>
    </row>
    <row r="4" spans="1:38">
      <c r="A4">
        <f>data0!A4</f>
        <v>-84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J4" s="1"/>
      <c r="AL4" s="1"/>
    </row>
    <row r="5" spans="1:38">
      <c r="A5">
        <f>data0!A5</f>
        <v>-81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J5" s="1"/>
      <c r="AL5" s="1"/>
    </row>
    <row r="6" spans="1:38">
      <c r="A6">
        <f>data0!A6</f>
        <v>-78</v>
      </c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J6" s="1"/>
      <c r="AL6" s="1"/>
    </row>
    <row r="7" spans="1:38">
      <c r="A7">
        <f>data0!A7</f>
        <v>-75</v>
      </c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J7" s="1"/>
      <c r="AL7" s="1"/>
    </row>
    <row r="8" spans="1:38">
      <c r="A8">
        <f>data0!A8</f>
        <v>-72</v>
      </c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J8" s="1"/>
      <c r="AL8" s="1"/>
    </row>
    <row r="9" spans="1:38">
      <c r="A9">
        <f>data0!A9</f>
        <v>-69</v>
      </c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J9" s="1"/>
      <c r="AL9" s="1"/>
    </row>
    <row r="10" spans="1:38">
      <c r="A10">
        <f>data0!A10</f>
        <v>-66</v>
      </c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J10" s="1"/>
      <c r="AL10" s="1"/>
    </row>
    <row r="11" spans="1:38">
      <c r="A11">
        <f>data0!A11</f>
        <v>-63</v>
      </c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J11" s="1"/>
      <c r="AL11" s="1"/>
    </row>
    <row r="12" spans="1:38">
      <c r="A12">
        <f>data0!A12</f>
        <v>-60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  <c r="AJ12" s="1"/>
      <c r="AL12" s="1"/>
    </row>
    <row r="13" spans="1:38">
      <c r="A13">
        <f>data0!A13</f>
        <v>-57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J13" s="1"/>
      <c r="AL13" s="1"/>
    </row>
    <row r="14" spans="1:38">
      <c r="A14">
        <f>data0!A14</f>
        <v>-54</v>
      </c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J14" s="1"/>
      <c r="AL14" s="1"/>
    </row>
    <row r="15" spans="1:38">
      <c r="A15">
        <f>data0!A15</f>
        <v>-51</v>
      </c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J15" s="1"/>
      <c r="AL15" s="1"/>
    </row>
    <row r="16" spans="1:38">
      <c r="A16">
        <f>data0!A16</f>
        <v>-48</v>
      </c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72"/>
      <c r="AJ16" s="1"/>
      <c r="AL16" s="1"/>
    </row>
    <row r="17" spans="1:38">
      <c r="A17">
        <f>data0!A17</f>
        <v>-45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J17" s="1"/>
      <c r="AL17" s="1"/>
    </row>
    <row r="18" spans="1:38">
      <c r="A18">
        <f>data0!A18</f>
        <v>-42</v>
      </c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J18" s="1"/>
      <c r="AL18" s="1"/>
    </row>
    <row r="19" spans="1:38">
      <c r="A19">
        <f>data0!A19</f>
        <v>-39</v>
      </c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J19" s="1"/>
      <c r="AL19" s="1"/>
    </row>
    <row r="20" spans="1:38">
      <c r="A20">
        <f>data0!A20</f>
        <v>-36</v>
      </c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J20" s="1"/>
      <c r="AL20" s="1"/>
    </row>
    <row r="21" spans="1:38">
      <c r="A21">
        <f>data0!A21</f>
        <v>-33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  <c r="AG21" s="72"/>
      <c r="AJ21" s="1"/>
      <c r="AL21" s="1"/>
    </row>
    <row r="22" spans="1:38">
      <c r="A22">
        <f>data0!A22</f>
        <v>-30</v>
      </c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J22" s="1"/>
      <c r="AL22" s="1"/>
    </row>
    <row r="23" spans="1:38">
      <c r="A23">
        <f>data0!A23</f>
        <v>-27</v>
      </c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J23" s="1"/>
      <c r="AL23" s="1"/>
    </row>
    <row r="24" spans="1:38">
      <c r="A24">
        <f>data0!A24</f>
        <v>-24</v>
      </c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J24" s="1"/>
      <c r="AL24" s="1"/>
    </row>
    <row r="25" spans="1:38">
      <c r="A25">
        <f>data0!A25</f>
        <v>-21</v>
      </c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J25" s="1"/>
      <c r="AL25" s="1"/>
    </row>
    <row r="26" spans="1:38">
      <c r="A26">
        <f>data0!A26</f>
        <v>-18</v>
      </c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J26" s="1"/>
      <c r="AL26" s="1"/>
    </row>
    <row r="27" spans="1:38">
      <c r="A27">
        <f>data0!A27</f>
        <v>-15</v>
      </c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J27" s="1"/>
      <c r="AL27" s="1"/>
    </row>
    <row r="28" spans="1:38">
      <c r="A28">
        <f>data0!A28</f>
        <v>-12</v>
      </c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J28" s="1"/>
      <c r="AL28" s="1"/>
    </row>
    <row r="29" spans="1:38">
      <c r="A29">
        <f>data0!A29</f>
        <v>-9</v>
      </c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J29" s="1"/>
      <c r="AL29" s="1"/>
    </row>
    <row r="30" spans="1:38">
      <c r="A30">
        <f>data0!A30</f>
        <v>-6</v>
      </c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J30" s="1"/>
      <c r="AL30" s="1"/>
    </row>
    <row r="31" spans="1:38">
      <c r="A31">
        <f>data0!A31</f>
        <v>-3</v>
      </c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J31" s="1"/>
      <c r="AL31" s="1"/>
    </row>
    <row r="32" spans="1:38">
      <c r="A32">
        <f>data0!A32</f>
        <v>0</v>
      </c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J32" s="1"/>
      <c r="AL32" s="1"/>
    </row>
    <row r="33" spans="1:38">
      <c r="A33">
        <f>data0!A33</f>
        <v>3</v>
      </c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J33" s="1"/>
      <c r="AL33" s="1"/>
    </row>
    <row r="34" spans="1:38">
      <c r="A34">
        <f>data0!A34</f>
        <v>6</v>
      </c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J34" s="1"/>
      <c r="AL34" s="1"/>
    </row>
    <row r="35" spans="1:38">
      <c r="A35">
        <f>data0!A35</f>
        <v>9</v>
      </c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J35" s="1"/>
      <c r="AL35" s="1"/>
    </row>
    <row r="36" spans="1:38">
      <c r="A36">
        <f>data0!A36</f>
        <v>12</v>
      </c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J36" s="1"/>
      <c r="AL36" s="1"/>
    </row>
    <row r="37" spans="1:38">
      <c r="A37">
        <f>data0!A37</f>
        <v>15</v>
      </c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J37" s="1"/>
      <c r="AL37" s="1"/>
    </row>
    <row r="38" spans="1:38">
      <c r="A38">
        <f>data0!A38</f>
        <v>18</v>
      </c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J38" s="1"/>
      <c r="AL38" s="1"/>
    </row>
    <row r="39" spans="1:38">
      <c r="A39" s="29">
        <f>data0!A39</f>
        <v>21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J39" s="1"/>
      <c r="AL39" s="1"/>
    </row>
    <row r="40" spans="1:38">
      <c r="A40" s="29">
        <f>data0!A40</f>
        <v>24</v>
      </c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J40" s="1"/>
      <c r="AL40" s="1"/>
    </row>
    <row r="41" spans="1:38">
      <c r="A41" s="29">
        <f>data0!A41</f>
        <v>27</v>
      </c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J41" s="1"/>
      <c r="AL41" s="1"/>
    </row>
    <row r="42" spans="1:38">
      <c r="A42" s="29">
        <f>data0!A42</f>
        <v>30</v>
      </c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J42" s="1"/>
      <c r="AL42" s="1"/>
    </row>
    <row r="43" spans="1:38">
      <c r="A43" s="29">
        <f>data0!A43</f>
        <v>33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J43" s="1"/>
      <c r="AL43" s="1"/>
    </row>
    <row r="44" spans="1:38">
      <c r="A44" s="29">
        <f>data0!A44</f>
        <v>36</v>
      </c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J44" s="1"/>
      <c r="AL44" s="1"/>
    </row>
    <row r="45" spans="1:38">
      <c r="A45" s="29">
        <f>data0!A45</f>
        <v>39</v>
      </c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J45" s="1"/>
      <c r="AL45" s="1"/>
    </row>
    <row r="46" spans="1:38">
      <c r="A46" s="29">
        <f>data0!A46</f>
        <v>42</v>
      </c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J46" s="1"/>
      <c r="AL46" s="1"/>
    </row>
    <row r="47" spans="1:38">
      <c r="A47" s="29">
        <f>data0!A47</f>
        <v>45</v>
      </c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J47" s="1"/>
      <c r="AL47" s="1"/>
    </row>
    <row r="48" spans="1:38">
      <c r="A48" s="29">
        <f>data0!A48</f>
        <v>48</v>
      </c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J48" s="1"/>
      <c r="AL48" s="1"/>
    </row>
    <row r="49" spans="1:38">
      <c r="A49" s="29">
        <f>data0!A49</f>
        <v>51</v>
      </c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J49" s="1"/>
      <c r="AL49" s="1"/>
    </row>
    <row r="50" spans="1:38">
      <c r="A50" s="29">
        <f>data0!A50</f>
        <v>54</v>
      </c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J50" s="1"/>
      <c r="AL50" s="1"/>
    </row>
    <row r="51" spans="1:38">
      <c r="A51" s="29">
        <f>data0!A51</f>
        <v>57</v>
      </c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J51" s="1"/>
      <c r="AL51" s="1"/>
    </row>
    <row r="52" spans="1:38">
      <c r="A52" s="29">
        <f>data0!A52</f>
        <v>60</v>
      </c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J52" s="1"/>
      <c r="AL52" s="1"/>
    </row>
    <row r="53" spans="1:38">
      <c r="A53" s="29">
        <f>data0!A53</f>
        <v>63</v>
      </c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J53" s="1"/>
      <c r="AL53" s="1"/>
    </row>
    <row r="54" spans="1:38">
      <c r="A54" s="29">
        <f>data0!A54</f>
        <v>66</v>
      </c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J54" s="1"/>
      <c r="AL54" s="1"/>
    </row>
    <row r="55" spans="1:38">
      <c r="A55" s="29">
        <f>data0!A55</f>
        <v>69</v>
      </c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J55" s="1"/>
      <c r="AL55" s="1"/>
    </row>
    <row r="56" spans="1:38">
      <c r="A56" s="29">
        <f>data0!A56</f>
        <v>72</v>
      </c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  <c r="AG56" s="72"/>
      <c r="AJ56" s="1"/>
      <c r="AL56" s="1"/>
    </row>
    <row r="57" spans="1:38">
      <c r="A57" s="29">
        <f>data0!A57</f>
        <v>75</v>
      </c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J57" s="1"/>
      <c r="AL57" s="1"/>
    </row>
    <row r="58" spans="1:38">
      <c r="A58" s="29">
        <f>data0!A58</f>
        <v>78</v>
      </c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J58" s="1"/>
      <c r="AL58" s="1"/>
    </row>
    <row r="59" spans="1:38">
      <c r="A59" s="29">
        <f>data0!A59</f>
        <v>81</v>
      </c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J59" s="1"/>
      <c r="AL59" s="1"/>
    </row>
    <row r="60" spans="1:38">
      <c r="A60" s="29">
        <f>data0!A60</f>
        <v>84</v>
      </c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J60" s="1"/>
      <c r="AL60" s="1"/>
    </row>
    <row r="61" spans="1:38">
      <c r="A61" s="29">
        <f>data0!A61</f>
        <v>87</v>
      </c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J61" s="1"/>
      <c r="AL61" s="1"/>
    </row>
    <row r="62" spans="1:38">
      <c r="A62" s="29">
        <f>data0!A62</f>
        <v>90</v>
      </c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J62" s="1"/>
      <c r="AL62" s="1"/>
    </row>
    <row r="63" spans="1:38">
      <c r="A63" s="29">
        <f>data0!A63</f>
        <v>0</v>
      </c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J63" s="1"/>
      <c r="AL63" s="1"/>
    </row>
    <row r="64" spans="1:38">
      <c r="A64" s="29">
        <f>data0!A64</f>
        <v>0</v>
      </c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J64" s="1"/>
      <c r="AL64" s="1"/>
    </row>
    <row r="65" spans="1:38">
      <c r="A65" s="29">
        <f>data0!A65</f>
        <v>0</v>
      </c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J65" s="1"/>
      <c r="AL65" s="1"/>
    </row>
    <row r="66" spans="1:38">
      <c r="A66" s="29">
        <f>data0!A66</f>
        <v>0</v>
      </c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J66" s="1"/>
      <c r="AL66" s="1"/>
    </row>
    <row r="67" spans="1:38">
      <c r="A67" s="29">
        <f>data0!A67</f>
        <v>0</v>
      </c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J67" s="1"/>
      <c r="AL67" s="1"/>
    </row>
    <row r="68" spans="1:38">
      <c r="A68" s="29">
        <f>data0!A68</f>
        <v>0</v>
      </c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J68" s="1"/>
      <c r="AL68" s="1"/>
    </row>
    <row r="69" spans="1:38">
      <c r="A69" s="29">
        <f>data0!A69</f>
        <v>0</v>
      </c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J69" s="1"/>
      <c r="AL69" s="1"/>
    </row>
    <row r="70" spans="1:38">
      <c r="A70" s="29">
        <f>data0!A70</f>
        <v>0</v>
      </c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J70" s="1"/>
      <c r="AL70" s="1"/>
    </row>
    <row r="71" spans="1:38">
      <c r="A71" s="29">
        <f>data0!A71</f>
        <v>0</v>
      </c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J71" s="1"/>
      <c r="AL71" s="1"/>
    </row>
    <row r="72" spans="1:38">
      <c r="A72" s="29">
        <f>data0!A72</f>
        <v>0</v>
      </c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J72" s="1"/>
      <c r="AL72" s="1"/>
    </row>
    <row r="73" spans="1:38">
      <c r="A73" s="29">
        <f>data0!A73</f>
        <v>0</v>
      </c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J73" s="1"/>
      <c r="AL73" s="1"/>
    </row>
    <row r="74" spans="1:38">
      <c r="A74" s="29">
        <f>data0!A74</f>
        <v>0</v>
      </c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J74" s="1"/>
      <c r="AL74" s="1"/>
    </row>
    <row r="75" spans="1:38">
      <c r="A75" s="29">
        <f>data0!A75</f>
        <v>0</v>
      </c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J75" s="1"/>
      <c r="AL75" s="1"/>
    </row>
    <row r="76" spans="1:38">
      <c r="A76" s="29">
        <f>data0!A76</f>
        <v>0</v>
      </c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J76" s="1"/>
      <c r="AL76" s="1"/>
    </row>
    <row r="77" spans="1:38">
      <c r="A77" s="29">
        <f>data0!A77</f>
        <v>0</v>
      </c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J77" s="1"/>
      <c r="AL77" s="1"/>
    </row>
    <row r="78" spans="1:38">
      <c r="A78" s="29">
        <f>data0!A78</f>
        <v>0</v>
      </c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J78" s="1"/>
      <c r="AL78" s="1"/>
    </row>
    <row r="79" spans="1:38">
      <c r="A79" s="29">
        <f>data0!A79</f>
        <v>0</v>
      </c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J79" s="1"/>
      <c r="AL79" s="1"/>
    </row>
    <row r="80" spans="1:38">
      <c r="A80" s="29">
        <f>data0!A80</f>
        <v>0</v>
      </c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J80" s="1"/>
      <c r="AL80" s="1"/>
    </row>
    <row r="81" spans="1:38">
      <c r="A81" s="29">
        <f>data0!A81</f>
        <v>0</v>
      </c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J81" s="1"/>
      <c r="AL81" s="1"/>
    </row>
    <row r="82" spans="1:38">
      <c r="A82" s="29">
        <f>data0!A82</f>
        <v>0</v>
      </c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J82" s="1"/>
      <c r="AL82" s="1"/>
    </row>
    <row r="83" spans="1:38">
      <c r="A83" s="29">
        <f>data0!A83</f>
        <v>0</v>
      </c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J83" s="1"/>
      <c r="AL83" s="1"/>
    </row>
    <row r="84" spans="1:38">
      <c r="A84" s="29">
        <f>data0!A84</f>
        <v>0</v>
      </c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J84" s="1"/>
      <c r="AL84" s="1"/>
    </row>
    <row r="85" spans="1:38">
      <c r="A85" s="29">
        <f>data0!A85</f>
        <v>0</v>
      </c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J85" s="1"/>
      <c r="AL85" s="1"/>
    </row>
    <row r="86" spans="1:38">
      <c r="A86" s="29">
        <f>data0!A86</f>
        <v>0</v>
      </c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J86" s="1"/>
      <c r="AL86" s="1"/>
    </row>
    <row r="87" spans="1:38">
      <c r="A87" s="29">
        <f>data0!A87</f>
        <v>0</v>
      </c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J87" s="1"/>
      <c r="AL87" s="1"/>
    </row>
    <row r="88" spans="1:38">
      <c r="A88" s="29">
        <f>data0!A88</f>
        <v>0</v>
      </c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J88" s="1"/>
      <c r="AL88" s="1"/>
    </row>
    <row r="89" spans="1:38">
      <c r="A89" s="29">
        <f>data0!A89</f>
        <v>0</v>
      </c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J89" s="1"/>
      <c r="AL89" s="1"/>
    </row>
    <row r="90" spans="1:38">
      <c r="A90" s="29">
        <f>data0!A90</f>
        <v>0</v>
      </c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J90" s="1"/>
      <c r="AL90" s="1"/>
    </row>
    <row r="91" spans="1:38">
      <c r="A91" s="29">
        <f>data0!A91</f>
        <v>0</v>
      </c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J91" s="1"/>
      <c r="AL91" s="1"/>
    </row>
    <row r="92" spans="1:38">
      <c r="A92" s="29">
        <f>data0!A92</f>
        <v>0</v>
      </c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J92" s="1"/>
      <c r="AL92" s="1"/>
    </row>
    <row r="93" spans="1:38">
      <c r="A93" s="29">
        <f>data0!A93</f>
        <v>0</v>
      </c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J93" s="1"/>
      <c r="AL93" s="1"/>
    </row>
    <row r="94" spans="1:38">
      <c r="A94" s="29">
        <f>data0!A94</f>
        <v>0</v>
      </c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J94" s="1"/>
      <c r="AL94" s="1"/>
    </row>
    <row r="95" spans="1:38">
      <c r="A95" s="29">
        <f>data0!A95</f>
        <v>0</v>
      </c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J95" s="1"/>
      <c r="AL95" s="1"/>
    </row>
    <row r="96" spans="1:38">
      <c r="A96" s="29">
        <f>data0!A96</f>
        <v>0</v>
      </c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J96" s="1"/>
      <c r="AL96" s="1"/>
    </row>
    <row r="97" spans="1:38">
      <c r="A97" s="29">
        <f>data0!A97</f>
        <v>0</v>
      </c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J97" s="1"/>
      <c r="AL97" s="1"/>
    </row>
    <row r="98" spans="1:38">
      <c r="A98" s="29">
        <f>data0!A98</f>
        <v>0</v>
      </c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J98" s="1"/>
      <c r="AL98" s="1"/>
    </row>
    <row r="99" spans="1:38">
      <c r="A99" s="29">
        <f>data0!A99</f>
        <v>0</v>
      </c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J99" s="1"/>
      <c r="AL99" s="1"/>
    </row>
    <row r="100" spans="1:38">
      <c r="A100" s="29">
        <f>data0!A100</f>
        <v>0</v>
      </c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J100" s="1"/>
      <c r="AL100" s="1"/>
    </row>
    <row r="101" spans="1:38">
      <c r="A101" s="29">
        <f>data0!A101</f>
        <v>0</v>
      </c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J101" s="1"/>
      <c r="AL101" s="1"/>
    </row>
    <row r="102" spans="1:38">
      <c r="A102" s="29">
        <f>data0!A102</f>
        <v>0</v>
      </c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J102" s="1"/>
      <c r="AL102" s="1"/>
    </row>
    <row r="103" spans="1:38">
      <c r="A103" s="29">
        <f>data0!A103</f>
        <v>0</v>
      </c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J103" s="1"/>
      <c r="AL103" s="1"/>
    </row>
    <row r="104" spans="1:38">
      <c r="A104" s="29">
        <f>data0!A104</f>
        <v>0</v>
      </c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J104" s="1"/>
      <c r="AL104" s="1"/>
    </row>
    <row r="105" spans="1:38">
      <c r="A105" s="29">
        <f>data0!A105</f>
        <v>0</v>
      </c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J105" s="1"/>
      <c r="AL105" s="1"/>
    </row>
    <row r="106" spans="1:38">
      <c r="A106" s="29">
        <f>data0!A106</f>
        <v>0</v>
      </c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J106" s="1"/>
      <c r="AL106" s="1"/>
    </row>
    <row r="107" spans="1:38">
      <c r="A107" s="29">
        <f>data0!A107</f>
        <v>0</v>
      </c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J107" s="1"/>
      <c r="AL107" s="1"/>
    </row>
    <row r="108" spans="1:38">
      <c r="A108" s="29">
        <f>data0!A108</f>
        <v>0</v>
      </c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J108" s="1"/>
      <c r="AL108" s="1"/>
    </row>
    <row r="109" spans="1:38">
      <c r="A109" s="29">
        <f>data0!A109</f>
        <v>0</v>
      </c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J109" s="1"/>
      <c r="AL109" s="1"/>
    </row>
    <row r="110" spans="1:38">
      <c r="A110" s="29">
        <f>data0!A110</f>
        <v>0</v>
      </c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J110" s="1"/>
      <c r="AL110" s="1"/>
    </row>
    <row r="111" spans="1:38">
      <c r="A111" s="29">
        <f>data0!A111</f>
        <v>0</v>
      </c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J111" s="1"/>
      <c r="AL111" s="1"/>
    </row>
    <row r="112" spans="1:38">
      <c r="A112" s="29">
        <f>data0!A112</f>
        <v>0</v>
      </c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J112" s="1"/>
      <c r="AL112" s="1"/>
    </row>
    <row r="113" spans="1:38">
      <c r="A113" s="29">
        <f>data0!A113</f>
        <v>0</v>
      </c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J113" s="1"/>
      <c r="AL113" s="1"/>
    </row>
    <row r="114" spans="1:38">
      <c r="A114" s="29">
        <f>data0!A114</f>
        <v>0</v>
      </c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J114" s="1"/>
      <c r="AL114" s="1"/>
    </row>
    <row r="115" spans="1:38">
      <c r="A115" s="29">
        <f>data0!A115</f>
        <v>0</v>
      </c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J115" s="1"/>
      <c r="AL115" s="1"/>
    </row>
    <row r="116" spans="1:38">
      <c r="A116" s="29">
        <f>data0!A116</f>
        <v>0</v>
      </c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J116" s="1"/>
      <c r="AL116" s="1"/>
    </row>
    <row r="117" spans="1:38">
      <c r="A117" s="29">
        <f>data0!A117</f>
        <v>0</v>
      </c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J117" s="1"/>
      <c r="AL117" s="1"/>
    </row>
    <row r="118" spans="1:38">
      <c r="A118" s="29">
        <f>data0!A118</f>
        <v>0</v>
      </c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J118" s="1"/>
      <c r="AL118" s="1"/>
    </row>
    <row r="119" spans="1:38">
      <c r="A119" s="29">
        <f>data0!A119</f>
        <v>0</v>
      </c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J119" s="1"/>
      <c r="AL119" s="1"/>
    </row>
    <row r="120" spans="1:38">
      <c r="A120" s="29">
        <f>data0!A120</f>
        <v>0</v>
      </c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J120" s="1"/>
      <c r="AL120" s="1"/>
    </row>
    <row r="121" spans="1:38">
      <c r="A121" s="29">
        <f>data0!A121</f>
        <v>0</v>
      </c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J121" s="1"/>
      <c r="AL121" s="1"/>
    </row>
    <row r="122" spans="1:38">
      <c r="A122" s="29">
        <f>data0!A122</f>
        <v>0</v>
      </c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J122" s="1"/>
      <c r="AL122" s="1"/>
    </row>
    <row r="123" spans="1:38">
      <c r="A123" s="29">
        <f>data0!A123</f>
        <v>0</v>
      </c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J123" s="1"/>
      <c r="AL123" s="1"/>
    </row>
    <row r="124" spans="1:38">
      <c r="A124" s="29">
        <f>data0!A124</f>
        <v>0</v>
      </c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J124" s="1"/>
      <c r="AL124" s="1"/>
    </row>
    <row r="125" spans="1:38">
      <c r="A125" s="29">
        <f>data0!A125</f>
        <v>0</v>
      </c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J125" s="1"/>
      <c r="AL125" s="1"/>
    </row>
    <row r="126" spans="1:38">
      <c r="A126" s="29">
        <f>data0!A126</f>
        <v>0</v>
      </c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J126" s="1"/>
      <c r="AL126" s="1"/>
    </row>
    <row r="127" spans="1:38">
      <c r="A127" s="29">
        <f>data0!A127</f>
        <v>0</v>
      </c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J127" s="1"/>
      <c r="AL127" s="1"/>
    </row>
    <row r="128" spans="1:38">
      <c r="A128" s="29">
        <f>data0!A128</f>
        <v>0</v>
      </c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J128" s="1"/>
      <c r="AL128" s="1"/>
    </row>
    <row r="129" spans="1:38">
      <c r="A129" s="29">
        <f>data0!A129</f>
        <v>0</v>
      </c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J129" s="1"/>
      <c r="AL129" s="1"/>
    </row>
    <row r="130" spans="1:38">
      <c r="A130" s="29">
        <f>data0!A130</f>
        <v>0</v>
      </c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J130" s="1"/>
      <c r="AL130" s="1"/>
    </row>
    <row r="131" spans="1:38">
      <c r="A131" s="29">
        <f>data0!A131</f>
        <v>0</v>
      </c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J131" s="1"/>
      <c r="AL131" s="1"/>
    </row>
    <row r="132" spans="1:38">
      <c r="A132" s="29">
        <f>data0!A132</f>
        <v>0</v>
      </c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J132" s="1"/>
      <c r="AL132" s="1"/>
    </row>
    <row r="133" spans="1:38">
      <c r="A133" s="29">
        <f>data0!A133</f>
        <v>0</v>
      </c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J133" s="1"/>
      <c r="AL133" s="1"/>
    </row>
    <row r="134" spans="1:38">
      <c r="A134" s="29">
        <f>data0!A134</f>
        <v>0</v>
      </c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J134" s="1"/>
      <c r="AL134" s="1"/>
    </row>
    <row r="135" spans="1:38">
      <c r="A135" s="29">
        <f>data0!A135</f>
        <v>0</v>
      </c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J135" s="1"/>
      <c r="AL135" s="1"/>
    </row>
    <row r="136" spans="1:38">
      <c r="A136" s="29">
        <f>data0!A136</f>
        <v>0</v>
      </c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J136" s="1"/>
      <c r="AL136" s="1"/>
    </row>
    <row r="137" spans="1:38">
      <c r="A137" s="29">
        <f>data0!A137</f>
        <v>0</v>
      </c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J137" s="1"/>
      <c r="AL137" s="1"/>
    </row>
    <row r="138" spans="1:38">
      <c r="A138" s="29">
        <f>data0!A138</f>
        <v>0</v>
      </c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J138" s="1"/>
      <c r="AL138" s="1"/>
    </row>
    <row r="139" spans="1:38">
      <c r="A139" s="29">
        <f>data0!A139</f>
        <v>0</v>
      </c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J139" s="1"/>
      <c r="AL139" s="1"/>
    </row>
    <row r="140" spans="1:38">
      <c r="A140" s="29">
        <f>data0!A140</f>
        <v>0</v>
      </c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J140" s="1"/>
      <c r="AL140" s="1"/>
    </row>
    <row r="141" spans="1:38">
      <c r="A141" s="29">
        <f>data0!A141</f>
        <v>0</v>
      </c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J141" s="1"/>
      <c r="AL141" s="1"/>
    </row>
    <row r="142" spans="1:38">
      <c r="A142" s="29">
        <f>data0!A142</f>
        <v>0</v>
      </c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J142" s="1"/>
      <c r="AL142" s="1"/>
    </row>
    <row r="143" spans="1:38">
      <c r="A143" s="29">
        <f>data0!A143</f>
        <v>0</v>
      </c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J143" s="1"/>
      <c r="AL143" s="1"/>
    </row>
    <row r="144" spans="1:38">
      <c r="A144" s="29">
        <f>data0!A144</f>
        <v>0</v>
      </c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J144" s="1"/>
      <c r="AL144" s="1"/>
    </row>
    <row r="145" spans="1:38">
      <c r="A145" s="29">
        <f>data0!A145</f>
        <v>0</v>
      </c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J145" s="1"/>
      <c r="AL145" s="1"/>
    </row>
    <row r="146" spans="1:38">
      <c r="A146" s="29">
        <f>data0!A146</f>
        <v>0</v>
      </c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J146" s="1"/>
      <c r="AL146" s="1"/>
    </row>
    <row r="147" spans="1:38">
      <c r="A147" s="29">
        <f>data0!A147</f>
        <v>0</v>
      </c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J147" s="1"/>
      <c r="AL147" s="1"/>
    </row>
    <row r="148" spans="1:38">
      <c r="A148" s="29">
        <f>data0!A148</f>
        <v>0</v>
      </c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J148" s="1"/>
      <c r="AL148" s="1"/>
    </row>
    <row r="149" spans="1:38">
      <c r="A149" s="29">
        <f>data0!A149</f>
        <v>0</v>
      </c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J149" s="1"/>
      <c r="AL149" s="1"/>
    </row>
    <row r="150" spans="1:38">
      <c r="A150" s="29">
        <f>data0!A150</f>
        <v>0</v>
      </c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J150" s="1"/>
      <c r="AL150" s="1"/>
    </row>
    <row r="151" spans="1:38">
      <c r="A151" s="29">
        <f>data0!A151</f>
        <v>0</v>
      </c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J151" s="1"/>
      <c r="AL151" s="1"/>
    </row>
    <row r="152" spans="1:38">
      <c r="A152" s="29">
        <f>data0!A152</f>
        <v>0</v>
      </c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J152" s="1"/>
      <c r="AL152" s="1"/>
    </row>
    <row r="153" spans="1:38">
      <c r="A153" s="29">
        <f>data0!A153</f>
        <v>0</v>
      </c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J153" s="1"/>
      <c r="AL153" s="1"/>
    </row>
    <row r="154" spans="1:38">
      <c r="A154" s="29">
        <f>data0!A154</f>
        <v>0</v>
      </c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J154" s="1"/>
      <c r="AL154" s="1"/>
    </row>
    <row r="155" spans="1:38">
      <c r="A155" s="29">
        <f>data0!A155</f>
        <v>0</v>
      </c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J155" s="1"/>
      <c r="AL155" s="1"/>
    </row>
    <row r="156" spans="1:38">
      <c r="A156" s="29">
        <f>data0!A156</f>
        <v>0</v>
      </c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J156" s="1"/>
      <c r="AL156" s="1"/>
    </row>
    <row r="157" spans="1:38">
      <c r="A157" s="29">
        <f>data0!A157</f>
        <v>0</v>
      </c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J157" s="1"/>
      <c r="AL157" s="1"/>
    </row>
    <row r="158" spans="1:38">
      <c r="A158" s="29">
        <f>data0!A158</f>
        <v>0</v>
      </c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J158" s="1"/>
      <c r="AL158" s="1"/>
    </row>
    <row r="159" spans="1:38">
      <c r="A159" s="29">
        <f>data0!A159</f>
        <v>0</v>
      </c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J159" s="1"/>
      <c r="AL159" s="1"/>
    </row>
    <row r="160" spans="1:38">
      <c r="A160" s="29">
        <f>data0!A160</f>
        <v>0</v>
      </c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J160" s="1"/>
      <c r="AL160" s="1"/>
    </row>
    <row r="161" spans="1:38">
      <c r="A161" s="29">
        <f>data0!A161</f>
        <v>0</v>
      </c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J161" s="1"/>
      <c r="AL161" s="1"/>
    </row>
    <row r="162" spans="1:38">
      <c r="A162" s="29">
        <f>data0!A162</f>
        <v>0</v>
      </c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J162" s="1"/>
      <c r="AL162" s="1"/>
    </row>
    <row r="163" spans="1:38">
      <c r="A163" s="29">
        <f>data0!A163</f>
        <v>0</v>
      </c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J163" s="1"/>
      <c r="AL163" s="1"/>
    </row>
    <row r="164" spans="1:38">
      <c r="A164" s="29">
        <f>data0!A164</f>
        <v>0</v>
      </c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27"/>
      <c r="AI164" s="4"/>
    </row>
    <row r="165" spans="1:38">
      <c r="A165" s="29">
        <f>data0!A165</f>
        <v>0</v>
      </c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27"/>
      <c r="AI165" s="4"/>
    </row>
    <row r="166" spans="1:38">
      <c r="A166" s="29">
        <f>data0!A166</f>
        <v>0</v>
      </c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27"/>
      <c r="AI166" s="4"/>
    </row>
    <row r="167" spans="1:38">
      <c r="A167" s="29">
        <f>data0!A167</f>
        <v>0</v>
      </c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27"/>
      <c r="AI167" s="4"/>
    </row>
    <row r="168" spans="1:38">
      <c r="A168" s="29">
        <f>data0!A168</f>
        <v>0</v>
      </c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27"/>
      <c r="AI168" s="4"/>
    </row>
    <row r="169" spans="1:38">
      <c r="A169" s="29">
        <f>data0!A169</f>
        <v>0</v>
      </c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</row>
    <row r="170" spans="1:38">
      <c r="A170" s="29">
        <f>data0!A170</f>
        <v>0</v>
      </c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</row>
    <row r="171" spans="1:38">
      <c r="A171" s="29">
        <f>data0!A171</f>
        <v>0</v>
      </c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</row>
    <row r="172" spans="1:38">
      <c r="A172" s="29">
        <f>data0!A172</f>
        <v>0</v>
      </c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</row>
    <row r="173" spans="1:38">
      <c r="A173" s="29">
        <f>data0!A173</f>
        <v>0</v>
      </c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</row>
    <row r="174" spans="1:38">
      <c r="A174" s="29">
        <f>data0!A174</f>
        <v>0</v>
      </c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</row>
    <row r="175" spans="1:38">
      <c r="A175" s="29">
        <f>data0!A175</f>
        <v>0</v>
      </c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</row>
    <row r="176" spans="1:38">
      <c r="A176" s="29">
        <f>data0!A176</f>
        <v>0</v>
      </c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</row>
    <row r="177" spans="1:33">
      <c r="A177" s="29">
        <f>data0!A177</f>
        <v>0</v>
      </c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</row>
    <row r="178" spans="1:33">
      <c r="A178" s="29">
        <f>data0!A178</f>
        <v>0</v>
      </c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</row>
    <row r="179" spans="1:33">
      <c r="A179" s="29">
        <f>data0!A179</f>
        <v>0</v>
      </c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</row>
    <row r="180" spans="1:33">
      <c r="A180" s="29">
        <f>data0!A180</f>
        <v>0</v>
      </c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</row>
    <row r="181" spans="1:33">
      <c r="A181" s="29">
        <f>data0!A181</f>
        <v>0</v>
      </c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</row>
    <row r="182" spans="1:33">
      <c r="A182" s="29">
        <f>data0!A182</f>
        <v>0</v>
      </c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AL182"/>
  <sheetViews>
    <sheetView zoomScale="80" zoomScaleNormal="80" workbookViewId="0">
      <pane xSplit="10410" ySplit="5445" topLeftCell="A58" activePane="topRight"/>
      <selection activeCell="G2" sqref="G2:G62"/>
      <selection pane="topRight" activeCell="B2" sqref="B2:AG182"/>
      <selection pane="bottomLeft" activeCell="A182" sqref="A63:A182"/>
      <selection pane="bottomRight" activeCell="S65" sqref="S65"/>
    </sheetView>
  </sheetViews>
  <sheetFormatPr defaultRowHeight="15"/>
  <cols>
    <col min="1" max="1" width="5.5703125" bestFit="1" customWidth="1"/>
    <col min="2" max="2" width="7.140625" style="27" customWidth="1"/>
    <col min="3" max="33" width="7.140625" customWidth="1"/>
    <col min="37" max="37" width="5.5703125" bestFit="1" customWidth="1"/>
  </cols>
  <sheetData>
    <row r="1" spans="1:38">
      <c r="B1" s="1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J2" s="1"/>
      <c r="AL2" s="1"/>
    </row>
    <row r="3" spans="1:38">
      <c r="A3">
        <f>data0!A3</f>
        <v>-87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J3" s="1"/>
      <c r="AL3" s="1"/>
    </row>
    <row r="4" spans="1:38">
      <c r="A4">
        <f>data0!A4</f>
        <v>-84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J4" s="1"/>
      <c r="AL4" s="1"/>
    </row>
    <row r="5" spans="1:38">
      <c r="A5">
        <f>data0!A5</f>
        <v>-81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J5" s="1"/>
      <c r="AL5" s="1"/>
    </row>
    <row r="6" spans="1:38">
      <c r="A6">
        <f>data0!A6</f>
        <v>-78</v>
      </c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J6" s="1"/>
      <c r="AL6" s="1"/>
    </row>
    <row r="7" spans="1:38">
      <c r="A7">
        <f>data0!A7</f>
        <v>-75</v>
      </c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J7" s="1"/>
      <c r="AL7" s="1"/>
    </row>
    <row r="8" spans="1:38">
      <c r="A8">
        <f>data0!A8</f>
        <v>-72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J8" s="1"/>
      <c r="AL8" s="1"/>
    </row>
    <row r="9" spans="1:38">
      <c r="A9">
        <f>data0!A9</f>
        <v>-69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J9" s="1"/>
      <c r="AL9" s="1"/>
    </row>
    <row r="10" spans="1:38">
      <c r="A10">
        <f>data0!A10</f>
        <v>-66</v>
      </c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J10" s="1"/>
      <c r="AL10" s="1"/>
    </row>
    <row r="11" spans="1:38">
      <c r="A11">
        <f>data0!A11</f>
        <v>-63</v>
      </c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J11" s="1"/>
      <c r="AL11" s="1"/>
    </row>
    <row r="12" spans="1:38">
      <c r="A12">
        <f>data0!A12</f>
        <v>-60</v>
      </c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J12" s="1"/>
      <c r="AL12" s="1"/>
    </row>
    <row r="13" spans="1:38">
      <c r="A13">
        <f>data0!A13</f>
        <v>-57</v>
      </c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J13" s="1"/>
      <c r="AL13" s="1"/>
    </row>
    <row r="14" spans="1:38">
      <c r="A14">
        <f>data0!A14</f>
        <v>-54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J14" s="1"/>
      <c r="AL14" s="1"/>
    </row>
    <row r="15" spans="1:38">
      <c r="A15">
        <f>data0!A15</f>
        <v>-51</v>
      </c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J15" s="1"/>
      <c r="AL15" s="1"/>
    </row>
    <row r="16" spans="1:38">
      <c r="A16">
        <f>data0!A16</f>
        <v>-48</v>
      </c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J16" s="1"/>
      <c r="AL16" s="1"/>
    </row>
    <row r="17" spans="1:38">
      <c r="A17">
        <f>data0!A17</f>
        <v>-45</v>
      </c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J17" s="1"/>
      <c r="AL17" s="1"/>
    </row>
    <row r="18" spans="1:38">
      <c r="A18">
        <f>data0!A18</f>
        <v>-42</v>
      </c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J18" s="1"/>
      <c r="AL18" s="1"/>
    </row>
    <row r="19" spans="1:38">
      <c r="A19">
        <f>data0!A19</f>
        <v>-39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J19" s="1"/>
      <c r="AL19" s="1"/>
    </row>
    <row r="20" spans="1:38">
      <c r="A20">
        <f>data0!A20</f>
        <v>-36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J20" s="1"/>
      <c r="AL20" s="1"/>
    </row>
    <row r="21" spans="1:38">
      <c r="A21">
        <f>data0!A21</f>
        <v>-33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J21" s="1"/>
      <c r="AL21" s="1"/>
    </row>
    <row r="22" spans="1:38">
      <c r="A22">
        <f>data0!A22</f>
        <v>-30</v>
      </c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J22" s="1"/>
      <c r="AL22" s="1"/>
    </row>
    <row r="23" spans="1:38">
      <c r="A23">
        <f>data0!A23</f>
        <v>-27</v>
      </c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J23" s="1"/>
      <c r="AL23" s="1"/>
    </row>
    <row r="24" spans="1:38">
      <c r="A24">
        <f>data0!A24</f>
        <v>-24</v>
      </c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J24" s="1"/>
      <c r="AL24" s="1"/>
    </row>
    <row r="25" spans="1:38">
      <c r="A25">
        <f>data0!A25</f>
        <v>-21</v>
      </c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J25" s="1"/>
      <c r="AL25" s="1"/>
    </row>
    <row r="26" spans="1:38">
      <c r="A26">
        <f>data0!A26</f>
        <v>-18</v>
      </c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J26" s="1"/>
      <c r="AL26" s="1"/>
    </row>
    <row r="27" spans="1:38">
      <c r="A27">
        <f>data0!A27</f>
        <v>-15</v>
      </c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J27" s="1"/>
      <c r="AL27" s="1"/>
    </row>
    <row r="28" spans="1:38">
      <c r="A28">
        <f>data0!A28</f>
        <v>-12</v>
      </c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J28" s="1"/>
      <c r="AL28" s="1"/>
    </row>
    <row r="29" spans="1:38">
      <c r="A29">
        <f>data0!A29</f>
        <v>-9</v>
      </c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J29" s="1"/>
      <c r="AL29" s="1"/>
    </row>
    <row r="30" spans="1:38">
      <c r="A30">
        <f>data0!A30</f>
        <v>-6</v>
      </c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J30" s="1"/>
      <c r="AL30" s="1"/>
    </row>
    <row r="31" spans="1:38">
      <c r="A31">
        <f>data0!A31</f>
        <v>-3</v>
      </c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J31" s="1"/>
      <c r="AL31" s="1"/>
    </row>
    <row r="32" spans="1:38">
      <c r="A32">
        <f>data0!A32</f>
        <v>0</v>
      </c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J32" s="1"/>
      <c r="AL32" s="1"/>
    </row>
    <row r="33" spans="1:38">
      <c r="A33">
        <f>data0!A33</f>
        <v>3</v>
      </c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J33" s="1"/>
      <c r="AL33" s="1"/>
    </row>
    <row r="34" spans="1:38">
      <c r="A34">
        <f>data0!A34</f>
        <v>6</v>
      </c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J34" s="1"/>
      <c r="AL34" s="1"/>
    </row>
    <row r="35" spans="1:38">
      <c r="A35">
        <f>data0!A35</f>
        <v>9</v>
      </c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J35" s="1"/>
      <c r="AL35" s="1"/>
    </row>
    <row r="36" spans="1:38">
      <c r="A36">
        <f>data0!A36</f>
        <v>12</v>
      </c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J36" s="1"/>
      <c r="AL36" s="1"/>
    </row>
    <row r="37" spans="1:38">
      <c r="A37">
        <f>data0!A37</f>
        <v>15</v>
      </c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J37" s="1"/>
      <c r="AL37" s="1"/>
    </row>
    <row r="38" spans="1:38">
      <c r="A38">
        <f>data0!A38</f>
        <v>18</v>
      </c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J38" s="1"/>
      <c r="AL38" s="1"/>
    </row>
    <row r="39" spans="1:38">
      <c r="A39" s="29">
        <f>data0!A39</f>
        <v>21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J39" s="1"/>
      <c r="AL39" s="1"/>
    </row>
    <row r="40" spans="1:38">
      <c r="A40" s="29">
        <f>data0!A40</f>
        <v>24</v>
      </c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J40" s="1"/>
      <c r="AL40" s="1"/>
    </row>
    <row r="41" spans="1:38">
      <c r="A41" s="29">
        <f>data0!A41</f>
        <v>27</v>
      </c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J41" s="1"/>
      <c r="AL41" s="1"/>
    </row>
    <row r="42" spans="1:38">
      <c r="A42" s="29">
        <f>data0!A42</f>
        <v>30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J42" s="1"/>
      <c r="AL42" s="1"/>
    </row>
    <row r="43" spans="1:38">
      <c r="A43" s="29">
        <f>data0!A43</f>
        <v>33</v>
      </c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J43" s="1"/>
      <c r="AL43" s="1"/>
    </row>
    <row r="44" spans="1:38">
      <c r="A44" s="29">
        <f>data0!A44</f>
        <v>36</v>
      </c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J44" s="1"/>
      <c r="AL44" s="1"/>
    </row>
    <row r="45" spans="1:38">
      <c r="A45" s="29">
        <f>data0!A45</f>
        <v>39</v>
      </c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J45" s="1"/>
      <c r="AL45" s="1"/>
    </row>
    <row r="46" spans="1:38">
      <c r="A46" s="29">
        <f>data0!A46</f>
        <v>42</v>
      </c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J46" s="1"/>
      <c r="AL46" s="1"/>
    </row>
    <row r="47" spans="1:38">
      <c r="A47" s="29">
        <f>data0!A47</f>
        <v>45</v>
      </c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J47" s="1"/>
      <c r="AL47" s="1"/>
    </row>
    <row r="48" spans="1:38">
      <c r="A48" s="29">
        <f>data0!A48</f>
        <v>48</v>
      </c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J48" s="1"/>
      <c r="AL48" s="1"/>
    </row>
    <row r="49" spans="1:38">
      <c r="A49" s="29">
        <f>data0!A49</f>
        <v>51</v>
      </c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J49" s="1"/>
      <c r="AL49" s="1"/>
    </row>
    <row r="50" spans="1:38">
      <c r="A50" s="29">
        <f>data0!A50</f>
        <v>54</v>
      </c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J50" s="1"/>
      <c r="AL50" s="1"/>
    </row>
    <row r="51" spans="1:38">
      <c r="A51" s="29">
        <f>data0!A51</f>
        <v>57</v>
      </c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J51" s="1"/>
      <c r="AL51" s="1"/>
    </row>
    <row r="52" spans="1:38">
      <c r="A52" s="29">
        <f>data0!A52</f>
        <v>60</v>
      </c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J52" s="1"/>
      <c r="AL52" s="1"/>
    </row>
    <row r="53" spans="1:38">
      <c r="A53" s="29">
        <f>data0!A53</f>
        <v>63</v>
      </c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J53" s="1"/>
      <c r="AL53" s="1"/>
    </row>
    <row r="54" spans="1:38">
      <c r="A54" s="29">
        <f>data0!A54</f>
        <v>66</v>
      </c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J54" s="1"/>
      <c r="AL54" s="1"/>
    </row>
    <row r="55" spans="1:38">
      <c r="A55" s="29">
        <f>data0!A55</f>
        <v>69</v>
      </c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J55" s="1"/>
      <c r="AL55" s="1"/>
    </row>
    <row r="56" spans="1:38">
      <c r="A56" s="29">
        <f>data0!A56</f>
        <v>72</v>
      </c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J56" s="1"/>
      <c r="AL56" s="1"/>
    </row>
    <row r="57" spans="1:38">
      <c r="A57" s="29">
        <f>data0!A57</f>
        <v>75</v>
      </c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J57" s="1"/>
      <c r="AL57" s="1"/>
    </row>
    <row r="58" spans="1:38">
      <c r="A58" s="29">
        <f>data0!A58</f>
        <v>78</v>
      </c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J58" s="1"/>
      <c r="AL58" s="1"/>
    </row>
    <row r="59" spans="1:38">
      <c r="A59" s="29">
        <f>data0!A59</f>
        <v>81</v>
      </c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J59" s="1"/>
      <c r="AL59" s="1"/>
    </row>
    <row r="60" spans="1:38">
      <c r="A60" s="29">
        <f>data0!A60</f>
        <v>84</v>
      </c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J60" s="1"/>
      <c r="AL60" s="1"/>
    </row>
    <row r="61" spans="1:38">
      <c r="A61" s="29">
        <f>data0!A61</f>
        <v>87</v>
      </c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J61" s="1"/>
      <c r="AL61" s="1"/>
    </row>
    <row r="62" spans="1:38">
      <c r="A62" s="29">
        <f>data0!A62</f>
        <v>90</v>
      </c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J62" s="1"/>
      <c r="AL62" s="1"/>
    </row>
    <row r="63" spans="1:38">
      <c r="A63" s="29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J63" s="1"/>
      <c r="AL63" s="1"/>
    </row>
    <row r="64" spans="1:38">
      <c r="A64" s="29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J64" s="1"/>
      <c r="AL64" s="1"/>
    </row>
    <row r="65" spans="1:38">
      <c r="A65" s="29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J65" s="1"/>
      <c r="AL65" s="1"/>
    </row>
    <row r="66" spans="1:38">
      <c r="A66" s="29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J66" s="1"/>
      <c r="AL66" s="1"/>
    </row>
    <row r="67" spans="1:38">
      <c r="A67" s="29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J67" s="1"/>
      <c r="AL67" s="1"/>
    </row>
    <row r="68" spans="1:38">
      <c r="A68" s="29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J68" s="1"/>
      <c r="AL68" s="1"/>
    </row>
    <row r="69" spans="1:38">
      <c r="A69" s="29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J69" s="1"/>
      <c r="AL69" s="1"/>
    </row>
    <row r="70" spans="1:38">
      <c r="A70" s="29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J70" s="1"/>
      <c r="AL70" s="1"/>
    </row>
    <row r="71" spans="1:38">
      <c r="A71" s="29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J71" s="1"/>
      <c r="AL71" s="1"/>
    </row>
    <row r="72" spans="1:38">
      <c r="A72" s="29"/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J72" s="1"/>
      <c r="AL72" s="1"/>
    </row>
    <row r="73" spans="1:38">
      <c r="A73" s="29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J73" s="1"/>
      <c r="AL73" s="1"/>
    </row>
    <row r="74" spans="1:38">
      <c r="A74" s="29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J74" s="1"/>
      <c r="AL74" s="1"/>
    </row>
    <row r="75" spans="1:38">
      <c r="A75" s="29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J75" s="1"/>
      <c r="AL75" s="1"/>
    </row>
    <row r="76" spans="1:38">
      <c r="A76" s="29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J76" s="1"/>
      <c r="AL76" s="1"/>
    </row>
    <row r="77" spans="1:38">
      <c r="A77" s="29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J77" s="1"/>
      <c r="AL77" s="1"/>
    </row>
    <row r="78" spans="1:38">
      <c r="A78" s="29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J78" s="1"/>
      <c r="AL78" s="1"/>
    </row>
    <row r="79" spans="1:38">
      <c r="A79" s="29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J79" s="1"/>
      <c r="AL79" s="1"/>
    </row>
    <row r="80" spans="1:38">
      <c r="A80" s="29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J80" s="1"/>
      <c r="AL80" s="1"/>
    </row>
    <row r="81" spans="1:38">
      <c r="A81" s="29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J81" s="1"/>
      <c r="AL81" s="1"/>
    </row>
    <row r="82" spans="1:38">
      <c r="A82" s="29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J82" s="1"/>
      <c r="AL82" s="1"/>
    </row>
    <row r="83" spans="1:38">
      <c r="A83" s="29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J83" s="1"/>
      <c r="AL83" s="1"/>
    </row>
    <row r="84" spans="1:38">
      <c r="A84" s="29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J84" s="1"/>
      <c r="AL84" s="1"/>
    </row>
    <row r="85" spans="1:38">
      <c r="A85" s="29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J85" s="1"/>
      <c r="AL85" s="1"/>
    </row>
    <row r="86" spans="1:38">
      <c r="A86" s="29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J86" s="1"/>
      <c r="AL86" s="1"/>
    </row>
    <row r="87" spans="1:38">
      <c r="A87" s="29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J87" s="1"/>
      <c r="AL87" s="1"/>
    </row>
    <row r="88" spans="1:38">
      <c r="A88" s="29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J88" s="1"/>
      <c r="AL88" s="1"/>
    </row>
    <row r="89" spans="1:38">
      <c r="A89" s="29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J89" s="1"/>
      <c r="AL89" s="1"/>
    </row>
    <row r="90" spans="1:38">
      <c r="A90" s="29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J90" s="1"/>
      <c r="AL90" s="1"/>
    </row>
    <row r="91" spans="1:38">
      <c r="A91" s="29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J91" s="1"/>
      <c r="AL91" s="1"/>
    </row>
    <row r="92" spans="1:38">
      <c r="A92" s="29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J92" s="1"/>
      <c r="AL92" s="1"/>
    </row>
    <row r="93" spans="1:38">
      <c r="A93" s="29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J93" s="1"/>
      <c r="AL93" s="1"/>
    </row>
    <row r="94" spans="1:38">
      <c r="A94" s="29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J94" s="1"/>
      <c r="AL94" s="1"/>
    </row>
    <row r="95" spans="1:38">
      <c r="A95" s="29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J95" s="1"/>
      <c r="AL95" s="1"/>
    </row>
    <row r="96" spans="1:38">
      <c r="A96" s="29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J96" s="1"/>
      <c r="AL96" s="1"/>
    </row>
    <row r="97" spans="1:38">
      <c r="A97" s="29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J97" s="1"/>
      <c r="AL97" s="1"/>
    </row>
    <row r="98" spans="1:38">
      <c r="A98" s="29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J98" s="1"/>
      <c r="AL98" s="1"/>
    </row>
    <row r="99" spans="1:38">
      <c r="A99" s="29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J99" s="1"/>
      <c r="AL99" s="1"/>
    </row>
    <row r="100" spans="1:38">
      <c r="A100" s="29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J100" s="1"/>
      <c r="AL100" s="1"/>
    </row>
    <row r="101" spans="1:38">
      <c r="A101" s="29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J101" s="1"/>
      <c r="AL101" s="1"/>
    </row>
    <row r="102" spans="1:38">
      <c r="A102" s="29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J102" s="1"/>
      <c r="AL102" s="1"/>
    </row>
    <row r="103" spans="1:38">
      <c r="A103" s="29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J103" s="1"/>
      <c r="AL103" s="1"/>
    </row>
    <row r="104" spans="1:38">
      <c r="A104" s="29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J104" s="1"/>
      <c r="AL104" s="1"/>
    </row>
    <row r="105" spans="1:38">
      <c r="A105" s="29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J105" s="1"/>
      <c r="AL105" s="1"/>
    </row>
    <row r="106" spans="1:38">
      <c r="A106" s="29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J106" s="1"/>
      <c r="AL106" s="1"/>
    </row>
    <row r="107" spans="1:38">
      <c r="A107" s="29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J107" s="1"/>
      <c r="AL107" s="1"/>
    </row>
    <row r="108" spans="1:38">
      <c r="A108" s="29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J108" s="1"/>
      <c r="AL108" s="1"/>
    </row>
    <row r="109" spans="1:38">
      <c r="A109" s="29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J109" s="1"/>
      <c r="AL109" s="1"/>
    </row>
    <row r="110" spans="1:38">
      <c r="A110" s="29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J110" s="1"/>
      <c r="AL110" s="1"/>
    </row>
    <row r="111" spans="1:38">
      <c r="A111" s="29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J111" s="1"/>
      <c r="AL111" s="1"/>
    </row>
    <row r="112" spans="1:38">
      <c r="A112" s="29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J112" s="1"/>
      <c r="AL112" s="1"/>
    </row>
    <row r="113" spans="1:38">
      <c r="A113" s="29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J113" s="1"/>
      <c r="AL113" s="1"/>
    </row>
    <row r="114" spans="1:38">
      <c r="A114" s="29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J114" s="1"/>
      <c r="AL114" s="1"/>
    </row>
    <row r="115" spans="1:38">
      <c r="A115" s="29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J115" s="1"/>
      <c r="AL115" s="1"/>
    </row>
    <row r="116" spans="1:38">
      <c r="A116" s="29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J116" s="1"/>
      <c r="AL116" s="1"/>
    </row>
    <row r="117" spans="1:38">
      <c r="A117" s="29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J117" s="1"/>
      <c r="AL117" s="1"/>
    </row>
    <row r="118" spans="1:38">
      <c r="A118" s="29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J118" s="1"/>
      <c r="AL118" s="1"/>
    </row>
    <row r="119" spans="1:38">
      <c r="A119" s="29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J119" s="1"/>
      <c r="AL119" s="1"/>
    </row>
    <row r="120" spans="1:38">
      <c r="A120" s="29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J120" s="1"/>
      <c r="AL120" s="1"/>
    </row>
    <row r="121" spans="1:38">
      <c r="A121" s="29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J121" s="1"/>
      <c r="AL121" s="1"/>
    </row>
    <row r="122" spans="1:38">
      <c r="A122" s="29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J122" s="1"/>
      <c r="AL122" s="1"/>
    </row>
    <row r="123" spans="1:38">
      <c r="A123" s="29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J123" s="1"/>
      <c r="AL123" s="1"/>
    </row>
    <row r="124" spans="1:38">
      <c r="A124" s="29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J124" s="1"/>
      <c r="AL124" s="1"/>
    </row>
    <row r="125" spans="1:38">
      <c r="A125" s="29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J125" s="1"/>
      <c r="AL125" s="1"/>
    </row>
    <row r="126" spans="1:38">
      <c r="A126" s="29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J126" s="1"/>
      <c r="AL126" s="1"/>
    </row>
    <row r="127" spans="1:38">
      <c r="A127" s="29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J127" s="1"/>
      <c r="AL127" s="1"/>
    </row>
    <row r="128" spans="1:38">
      <c r="A128" s="29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J128" s="1"/>
      <c r="AL128" s="1"/>
    </row>
    <row r="129" spans="1:38">
      <c r="A129" s="29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J129" s="1"/>
      <c r="AL129" s="1"/>
    </row>
    <row r="130" spans="1:38">
      <c r="A130" s="29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J130" s="1"/>
      <c r="AL130" s="1"/>
    </row>
    <row r="131" spans="1:38">
      <c r="A131" s="29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J131" s="1"/>
      <c r="AL131" s="1"/>
    </row>
    <row r="132" spans="1:38">
      <c r="A132" s="29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J132" s="1"/>
      <c r="AL132" s="1"/>
    </row>
    <row r="133" spans="1:38">
      <c r="A133" s="29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J133" s="1"/>
      <c r="AL133" s="1"/>
    </row>
    <row r="134" spans="1:38">
      <c r="A134" s="29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J134" s="1"/>
      <c r="AL134" s="1"/>
    </row>
    <row r="135" spans="1:38">
      <c r="A135" s="29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J135" s="1"/>
      <c r="AL135" s="1"/>
    </row>
    <row r="136" spans="1:38">
      <c r="A136" s="29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J136" s="1"/>
      <c r="AL136" s="1"/>
    </row>
    <row r="137" spans="1:38">
      <c r="A137" s="29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J137" s="1"/>
      <c r="AL137" s="1"/>
    </row>
    <row r="138" spans="1:38">
      <c r="A138" s="29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J138" s="1"/>
      <c r="AL138" s="1"/>
    </row>
    <row r="139" spans="1:38">
      <c r="A139" s="29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J139" s="1"/>
      <c r="AL139" s="1"/>
    </row>
    <row r="140" spans="1:38">
      <c r="A140" s="29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J140" s="1"/>
      <c r="AL140" s="1"/>
    </row>
    <row r="141" spans="1:38">
      <c r="A141" s="29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J141" s="1"/>
      <c r="AL141" s="1"/>
    </row>
    <row r="142" spans="1:38">
      <c r="A142" s="29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J142" s="1"/>
      <c r="AL142" s="1"/>
    </row>
    <row r="143" spans="1:38">
      <c r="A143" s="29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J143" s="1"/>
      <c r="AL143" s="1"/>
    </row>
    <row r="144" spans="1:38">
      <c r="A144" s="29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J144" s="1"/>
      <c r="AL144" s="1"/>
    </row>
    <row r="145" spans="1:38">
      <c r="A145" s="29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J145" s="1"/>
      <c r="AL145" s="1"/>
    </row>
    <row r="146" spans="1:38">
      <c r="A146" s="29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J146" s="1"/>
      <c r="AL146" s="1"/>
    </row>
    <row r="147" spans="1:38">
      <c r="A147" s="29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J147" s="1"/>
      <c r="AL147" s="1"/>
    </row>
    <row r="148" spans="1:38">
      <c r="A148" s="29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J148" s="1"/>
      <c r="AL148" s="1"/>
    </row>
    <row r="149" spans="1:38">
      <c r="A149" s="29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J149" s="1"/>
      <c r="AL149" s="1"/>
    </row>
    <row r="150" spans="1:38">
      <c r="A150" s="29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J150" s="1"/>
      <c r="AL150" s="1"/>
    </row>
    <row r="151" spans="1:38">
      <c r="A151" s="29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J151" s="1"/>
      <c r="AL151" s="1"/>
    </row>
    <row r="152" spans="1:38">
      <c r="A152" s="29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J152" s="1"/>
      <c r="AL152" s="1"/>
    </row>
    <row r="153" spans="1:38">
      <c r="A153" s="29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J153" s="1"/>
      <c r="AL153" s="1"/>
    </row>
    <row r="154" spans="1:38">
      <c r="A154" s="29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J154" s="1"/>
      <c r="AL154" s="1"/>
    </row>
    <row r="155" spans="1:38">
      <c r="A155" s="29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J155" s="1"/>
      <c r="AL155" s="1"/>
    </row>
    <row r="156" spans="1:38">
      <c r="A156" s="29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J156" s="1"/>
      <c r="AL156" s="1"/>
    </row>
    <row r="157" spans="1:38">
      <c r="A157" s="29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J157" s="1"/>
      <c r="AL157" s="1"/>
    </row>
    <row r="158" spans="1:38">
      <c r="A158" s="29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J158" s="1"/>
      <c r="AL158" s="1"/>
    </row>
    <row r="159" spans="1:38">
      <c r="A159" s="29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J159" s="1"/>
      <c r="AL159" s="1"/>
    </row>
    <row r="160" spans="1:38">
      <c r="A160" s="29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J160" s="1"/>
      <c r="AL160" s="1"/>
    </row>
    <row r="161" spans="1:38">
      <c r="A161" s="29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J161" s="1"/>
      <c r="AL161" s="1"/>
    </row>
    <row r="162" spans="1:38">
      <c r="A162" s="29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J162" s="1"/>
      <c r="AL162" s="1"/>
    </row>
    <row r="163" spans="1:38">
      <c r="A163" s="29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J163" s="1"/>
      <c r="AL163" s="1"/>
    </row>
    <row r="164" spans="1:38">
      <c r="A164" s="29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27"/>
      <c r="AI164" s="4"/>
    </row>
    <row r="165" spans="1:38">
      <c r="A165" s="29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27"/>
      <c r="AI165" s="4"/>
    </row>
    <row r="166" spans="1:38">
      <c r="A166" s="29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27"/>
      <c r="AI166" s="4"/>
    </row>
    <row r="167" spans="1:38">
      <c r="A167" s="29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27"/>
      <c r="AI167" s="4"/>
    </row>
    <row r="168" spans="1:38">
      <c r="A168" s="29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27"/>
      <c r="AI168" s="4"/>
    </row>
    <row r="169" spans="1:38">
      <c r="A169" s="29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</row>
    <row r="170" spans="1:38">
      <c r="A170" s="29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</row>
    <row r="171" spans="1:38">
      <c r="A171" s="29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</row>
    <row r="172" spans="1:38">
      <c r="A172" s="29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</row>
    <row r="173" spans="1:38">
      <c r="A173" s="29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</row>
    <row r="174" spans="1:38">
      <c r="A174" s="29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</row>
    <row r="175" spans="1:38">
      <c r="A175" s="29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</row>
    <row r="176" spans="1:38">
      <c r="A176" s="29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</row>
    <row r="177" spans="1:33">
      <c r="A177" s="29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</row>
    <row r="178" spans="1:33">
      <c r="A178" s="29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</row>
    <row r="179" spans="1:33">
      <c r="A179" s="29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</row>
    <row r="180" spans="1:33">
      <c r="A180" s="29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</row>
    <row r="181" spans="1:33">
      <c r="A181" s="29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</row>
    <row r="182" spans="1:33">
      <c r="A182" s="29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AL182"/>
  <sheetViews>
    <sheetView zoomScale="80" zoomScaleNormal="80" workbookViewId="0">
      <pane xSplit="10410" ySplit="5160" activePane="bottomLeft"/>
      <selection activeCell="G2" sqref="G2:G62"/>
      <selection pane="topRight" activeCell="B2" sqref="B2:AG182"/>
      <selection pane="bottomLeft" activeCell="B2" sqref="B2:AG182"/>
      <selection pane="bottomRight" activeCell="U69" sqref="U69"/>
    </sheetView>
  </sheetViews>
  <sheetFormatPr defaultRowHeight="15"/>
  <cols>
    <col min="1" max="1" width="5.5703125" bestFit="1" customWidth="1"/>
    <col min="2" max="2" width="7.140625" style="27" customWidth="1"/>
    <col min="3" max="33" width="7.140625" customWidth="1"/>
    <col min="37" max="37" width="5.5703125" bestFit="1" customWidth="1"/>
  </cols>
  <sheetData>
    <row r="1" spans="1:38">
      <c r="B1" s="1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J2" s="1"/>
      <c r="AL2" s="1"/>
    </row>
    <row r="3" spans="1:38">
      <c r="A3">
        <f>data0!A3</f>
        <v>-87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J3" s="1"/>
      <c r="AL3" s="1"/>
    </row>
    <row r="4" spans="1:38">
      <c r="A4">
        <f>data0!A4</f>
        <v>-84</v>
      </c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J4" s="1"/>
      <c r="AL4" s="1"/>
    </row>
    <row r="5" spans="1:38">
      <c r="A5">
        <f>data0!A5</f>
        <v>-81</v>
      </c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J5" s="1"/>
      <c r="AL5" s="1"/>
    </row>
    <row r="6" spans="1:38">
      <c r="A6">
        <f>data0!A6</f>
        <v>-78</v>
      </c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J6" s="1"/>
      <c r="AL6" s="1"/>
    </row>
    <row r="7" spans="1:38">
      <c r="A7">
        <f>data0!A7</f>
        <v>-75</v>
      </c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J7" s="1"/>
      <c r="AL7" s="1"/>
    </row>
    <row r="8" spans="1:38">
      <c r="A8">
        <f>data0!A8</f>
        <v>-72</v>
      </c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J8" s="1"/>
      <c r="AL8" s="1"/>
    </row>
    <row r="9" spans="1:38">
      <c r="A9">
        <f>data0!A9</f>
        <v>-69</v>
      </c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J9" s="1"/>
      <c r="AL9" s="1"/>
    </row>
    <row r="10" spans="1:38">
      <c r="A10">
        <f>data0!A10</f>
        <v>-66</v>
      </c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J10" s="1"/>
      <c r="AL10" s="1"/>
    </row>
    <row r="11" spans="1:38">
      <c r="A11">
        <f>data0!A11</f>
        <v>-63</v>
      </c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J11" s="1"/>
      <c r="AL11" s="1"/>
    </row>
    <row r="12" spans="1:38">
      <c r="A12">
        <f>data0!A12</f>
        <v>-60</v>
      </c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J12" s="1"/>
      <c r="AL12" s="1"/>
    </row>
    <row r="13" spans="1:38">
      <c r="A13">
        <f>data0!A13</f>
        <v>-57</v>
      </c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J13" s="1"/>
      <c r="AL13" s="1"/>
    </row>
    <row r="14" spans="1:38">
      <c r="A14">
        <f>data0!A14</f>
        <v>-54</v>
      </c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J14" s="1"/>
      <c r="AL14" s="1"/>
    </row>
    <row r="15" spans="1:38">
      <c r="A15">
        <f>data0!A15</f>
        <v>-51</v>
      </c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J15" s="1"/>
      <c r="AL15" s="1"/>
    </row>
    <row r="16" spans="1:38">
      <c r="A16">
        <f>data0!A16</f>
        <v>-48</v>
      </c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J16" s="1"/>
      <c r="AL16" s="1"/>
    </row>
    <row r="17" spans="1:38">
      <c r="A17">
        <f>data0!A17</f>
        <v>-45</v>
      </c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J17" s="1"/>
      <c r="AL17" s="1"/>
    </row>
    <row r="18" spans="1:38">
      <c r="A18">
        <f>data0!A18</f>
        <v>-42</v>
      </c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J18" s="1"/>
      <c r="AL18" s="1"/>
    </row>
    <row r="19" spans="1:38">
      <c r="A19">
        <f>data0!A19</f>
        <v>-39</v>
      </c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J19" s="1"/>
      <c r="AL19" s="1"/>
    </row>
    <row r="20" spans="1:38">
      <c r="A20">
        <f>data0!A20</f>
        <v>-36</v>
      </c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J20" s="1"/>
      <c r="AL20" s="1"/>
    </row>
    <row r="21" spans="1:38">
      <c r="A21">
        <f>data0!A21</f>
        <v>-33</v>
      </c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J21" s="1"/>
      <c r="AL21" s="1"/>
    </row>
    <row r="22" spans="1:38">
      <c r="A22">
        <f>data0!A22</f>
        <v>-30</v>
      </c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J22" s="1"/>
      <c r="AL22" s="1"/>
    </row>
    <row r="23" spans="1:38">
      <c r="A23">
        <f>data0!A23</f>
        <v>-27</v>
      </c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J23" s="1"/>
      <c r="AL23" s="1"/>
    </row>
    <row r="24" spans="1:38">
      <c r="A24">
        <f>data0!A24</f>
        <v>-24</v>
      </c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J24" s="1"/>
      <c r="AL24" s="1"/>
    </row>
    <row r="25" spans="1:38">
      <c r="A25">
        <f>data0!A25</f>
        <v>-21</v>
      </c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J25" s="1"/>
      <c r="AL25" s="1"/>
    </row>
    <row r="26" spans="1:38">
      <c r="A26">
        <f>data0!A26</f>
        <v>-18</v>
      </c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J26" s="1"/>
      <c r="AL26" s="1"/>
    </row>
    <row r="27" spans="1:38">
      <c r="A27">
        <f>data0!A27</f>
        <v>-15</v>
      </c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J27" s="1"/>
      <c r="AL27" s="1"/>
    </row>
    <row r="28" spans="1:38">
      <c r="A28">
        <f>data0!A28</f>
        <v>-12</v>
      </c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J28" s="1"/>
      <c r="AL28" s="1"/>
    </row>
    <row r="29" spans="1:38">
      <c r="A29">
        <f>data0!A29</f>
        <v>-9</v>
      </c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J29" s="1"/>
      <c r="AL29" s="1"/>
    </row>
    <row r="30" spans="1:38">
      <c r="A30">
        <f>data0!A30</f>
        <v>-6</v>
      </c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J30" s="1"/>
      <c r="AL30" s="1"/>
    </row>
    <row r="31" spans="1:38">
      <c r="A31">
        <f>data0!A31</f>
        <v>-3</v>
      </c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J31" s="1"/>
      <c r="AL31" s="1"/>
    </row>
    <row r="32" spans="1:38">
      <c r="A32">
        <f>data0!A32</f>
        <v>0</v>
      </c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J32" s="1"/>
      <c r="AL32" s="1"/>
    </row>
    <row r="33" spans="1:38">
      <c r="A33">
        <f>data0!A33</f>
        <v>3</v>
      </c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J33" s="1"/>
      <c r="AL33" s="1"/>
    </row>
    <row r="34" spans="1:38">
      <c r="A34">
        <f>data0!A34</f>
        <v>6</v>
      </c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J34" s="1"/>
      <c r="AL34" s="1"/>
    </row>
    <row r="35" spans="1:38">
      <c r="A35">
        <f>data0!A35</f>
        <v>9</v>
      </c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J35" s="1"/>
      <c r="AL35" s="1"/>
    </row>
    <row r="36" spans="1:38">
      <c r="A36">
        <f>data0!A36</f>
        <v>12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J36" s="1"/>
      <c r="AL36" s="1"/>
    </row>
    <row r="37" spans="1:38">
      <c r="A37">
        <f>data0!A37</f>
        <v>15</v>
      </c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J37" s="1"/>
      <c r="AL37" s="1"/>
    </row>
    <row r="38" spans="1:38">
      <c r="A38">
        <f>data0!A38</f>
        <v>18</v>
      </c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J38" s="1"/>
      <c r="AL38" s="1"/>
    </row>
    <row r="39" spans="1:38">
      <c r="A39" s="29">
        <f>data0!A39</f>
        <v>21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J39" s="1"/>
      <c r="AL39" s="1"/>
    </row>
    <row r="40" spans="1:38">
      <c r="A40" s="29">
        <f>data0!A40</f>
        <v>24</v>
      </c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J40" s="1"/>
      <c r="AL40" s="1"/>
    </row>
    <row r="41" spans="1:38">
      <c r="A41" s="29">
        <f>data0!A41</f>
        <v>27</v>
      </c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J41" s="1"/>
      <c r="AL41" s="1"/>
    </row>
    <row r="42" spans="1:38">
      <c r="A42" s="29">
        <f>data0!A42</f>
        <v>30</v>
      </c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J42" s="1"/>
      <c r="AL42" s="1"/>
    </row>
    <row r="43" spans="1:38">
      <c r="A43" s="29">
        <f>data0!A43</f>
        <v>33</v>
      </c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J43" s="1"/>
      <c r="AL43" s="1"/>
    </row>
    <row r="44" spans="1:38">
      <c r="A44" s="29">
        <f>data0!A44</f>
        <v>36</v>
      </c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J44" s="1"/>
      <c r="AL44" s="1"/>
    </row>
    <row r="45" spans="1:38">
      <c r="A45" s="29">
        <f>data0!A45</f>
        <v>39</v>
      </c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J45" s="1"/>
      <c r="AL45" s="1"/>
    </row>
    <row r="46" spans="1:38">
      <c r="A46" s="29">
        <f>data0!A46</f>
        <v>42</v>
      </c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J46" s="1"/>
      <c r="AL46" s="1"/>
    </row>
    <row r="47" spans="1:38">
      <c r="A47" s="29">
        <f>data0!A47</f>
        <v>45</v>
      </c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J47" s="1"/>
      <c r="AL47" s="1"/>
    </row>
    <row r="48" spans="1:38">
      <c r="A48" s="29">
        <f>data0!A48</f>
        <v>48</v>
      </c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J48" s="1"/>
      <c r="AL48" s="1"/>
    </row>
    <row r="49" spans="1:38">
      <c r="A49" s="29">
        <f>data0!A49</f>
        <v>51</v>
      </c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J49" s="1"/>
      <c r="AL49" s="1"/>
    </row>
    <row r="50" spans="1:38">
      <c r="A50" s="29">
        <f>data0!A50</f>
        <v>54</v>
      </c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J50" s="1"/>
      <c r="AL50" s="1"/>
    </row>
    <row r="51" spans="1:38">
      <c r="A51" s="29">
        <f>data0!A51</f>
        <v>57</v>
      </c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J51" s="1"/>
      <c r="AL51" s="1"/>
    </row>
    <row r="52" spans="1:38">
      <c r="A52" s="29">
        <f>data0!A52</f>
        <v>60</v>
      </c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J52" s="1"/>
      <c r="AL52" s="1"/>
    </row>
    <row r="53" spans="1:38">
      <c r="A53" s="29">
        <f>data0!A53</f>
        <v>63</v>
      </c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J53" s="1"/>
      <c r="AL53" s="1"/>
    </row>
    <row r="54" spans="1:38">
      <c r="A54" s="29">
        <f>data0!A54</f>
        <v>66</v>
      </c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J54" s="1"/>
      <c r="AL54" s="1"/>
    </row>
    <row r="55" spans="1:38">
      <c r="A55" s="29">
        <f>data0!A55</f>
        <v>69</v>
      </c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J55" s="1"/>
      <c r="AL55" s="1"/>
    </row>
    <row r="56" spans="1:38">
      <c r="A56" s="29">
        <f>data0!A56</f>
        <v>72</v>
      </c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J56" s="1"/>
      <c r="AL56" s="1"/>
    </row>
    <row r="57" spans="1:38">
      <c r="A57" s="29">
        <f>data0!A57</f>
        <v>75</v>
      </c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J57" s="1"/>
      <c r="AL57" s="1"/>
    </row>
    <row r="58" spans="1:38">
      <c r="A58" s="29">
        <f>data0!A58</f>
        <v>78</v>
      </c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J58" s="1"/>
      <c r="AL58" s="1"/>
    </row>
    <row r="59" spans="1:38">
      <c r="A59" s="29">
        <f>data0!A59</f>
        <v>81</v>
      </c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J59" s="1"/>
      <c r="AL59" s="1"/>
    </row>
    <row r="60" spans="1:38">
      <c r="A60" s="29">
        <f>data0!A60</f>
        <v>84</v>
      </c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J60" s="1"/>
      <c r="AL60" s="1"/>
    </row>
    <row r="61" spans="1:38">
      <c r="A61" s="29">
        <f>data0!A61</f>
        <v>87</v>
      </c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J61" s="1"/>
      <c r="AL61" s="1"/>
    </row>
    <row r="62" spans="1:38">
      <c r="A62" s="29">
        <f>data0!A62</f>
        <v>90</v>
      </c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J62" s="1"/>
      <c r="AL62" s="1"/>
    </row>
    <row r="63" spans="1:38">
      <c r="A63" s="29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J63" s="1"/>
      <c r="AL63" s="1"/>
    </row>
    <row r="64" spans="1:38">
      <c r="A64" s="29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J64" s="1"/>
      <c r="AL64" s="1"/>
    </row>
    <row r="65" spans="1:38">
      <c r="A65" s="29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J65" s="1"/>
      <c r="AL65" s="1"/>
    </row>
    <row r="66" spans="1:38">
      <c r="A66" s="29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J66" s="1"/>
      <c r="AL66" s="1"/>
    </row>
    <row r="67" spans="1:38">
      <c r="A67" s="29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J67" s="1"/>
      <c r="AL67" s="1"/>
    </row>
    <row r="68" spans="1:38">
      <c r="A68" s="29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J68" s="1"/>
      <c r="AL68" s="1"/>
    </row>
    <row r="69" spans="1:38">
      <c r="A69" s="29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J69" s="1"/>
      <c r="AL69" s="1"/>
    </row>
    <row r="70" spans="1:38">
      <c r="A70" s="29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J70" s="1"/>
      <c r="AL70" s="1"/>
    </row>
    <row r="71" spans="1:38">
      <c r="A71" s="29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J71" s="1"/>
      <c r="AL71" s="1"/>
    </row>
    <row r="72" spans="1:38">
      <c r="A72" s="29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J72" s="1"/>
      <c r="AL72" s="1"/>
    </row>
    <row r="73" spans="1:38">
      <c r="A73" s="29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J73" s="1"/>
      <c r="AL73" s="1"/>
    </row>
    <row r="74" spans="1:38">
      <c r="A74" s="29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J74" s="1"/>
      <c r="AL74" s="1"/>
    </row>
    <row r="75" spans="1:38">
      <c r="A75" s="2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J75" s="1"/>
      <c r="AL75" s="1"/>
    </row>
    <row r="76" spans="1:38">
      <c r="A76" s="29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J76" s="1"/>
      <c r="AL76" s="1"/>
    </row>
    <row r="77" spans="1:38">
      <c r="A77" s="29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J77" s="1"/>
      <c r="AL77" s="1"/>
    </row>
    <row r="78" spans="1:38">
      <c r="A78" s="29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J78" s="1"/>
      <c r="AL78" s="1"/>
    </row>
    <row r="79" spans="1:38">
      <c r="A79" s="29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J79" s="1"/>
      <c r="AL79" s="1"/>
    </row>
    <row r="80" spans="1:38">
      <c r="A80" s="29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J80" s="1"/>
      <c r="AL80" s="1"/>
    </row>
    <row r="81" spans="1:38">
      <c r="A81" s="29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J81" s="1"/>
      <c r="AL81" s="1"/>
    </row>
    <row r="82" spans="1:38">
      <c r="A82" s="29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J82" s="1"/>
      <c r="AL82" s="1"/>
    </row>
    <row r="83" spans="1:38">
      <c r="A83" s="29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J83" s="1"/>
      <c r="AL83" s="1"/>
    </row>
    <row r="84" spans="1:38">
      <c r="A84" s="29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J84" s="1"/>
      <c r="AL84" s="1"/>
    </row>
    <row r="85" spans="1:38">
      <c r="A85" s="29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J85" s="1"/>
      <c r="AL85" s="1"/>
    </row>
    <row r="86" spans="1:38">
      <c r="A86" s="29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J86" s="1"/>
      <c r="AL86" s="1"/>
    </row>
    <row r="87" spans="1:38">
      <c r="A87" s="29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J87" s="1"/>
      <c r="AL87" s="1"/>
    </row>
    <row r="88" spans="1:38">
      <c r="A88" s="29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J88" s="1"/>
      <c r="AL88" s="1"/>
    </row>
    <row r="89" spans="1:38">
      <c r="A89" s="29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J89" s="1"/>
      <c r="AL89" s="1"/>
    </row>
    <row r="90" spans="1:38">
      <c r="A90" s="29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J90" s="1"/>
      <c r="AL90" s="1"/>
    </row>
    <row r="91" spans="1:38">
      <c r="A91" s="29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J91" s="1"/>
      <c r="AL91" s="1"/>
    </row>
    <row r="92" spans="1:38">
      <c r="A92" s="29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J92" s="1"/>
      <c r="AL92" s="1"/>
    </row>
    <row r="93" spans="1:38">
      <c r="A93" s="29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J93" s="1"/>
      <c r="AL93" s="1"/>
    </row>
    <row r="94" spans="1:38">
      <c r="A94" s="29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J94" s="1"/>
      <c r="AL94" s="1"/>
    </row>
    <row r="95" spans="1:38">
      <c r="A95" s="29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J95" s="1"/>
      <c r="AL95" s="1"/>
    </row>
    <row r="96" spans="1:38">
      <c r="A96" s="29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J96" s="1"/>
      <c r="AL96" s="1"/>
    </row>
    <row r="97" spans="1:38">
      <c r="A97" s="29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J97" s="1"/>
      <c r="AL97" s="1"/>
    </row>
    <row r="98" spans="1:38">
      <c r="A98" s="29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J98" s="1"/>
      <c r="AL98" s="1"/>
    </row>
    <row r="99" spans="1:38">
      <c r="A99" s="29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J99" s="1"/>
      <c r="AL99" s="1"/>
    </row>
    <row r="100" spans="1:38">
      <c r="A100" s="29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J100" s="1"/>
      <c r="AL100" s="1"/>
    </row>
    <row r="101" spans="1:38">
      <c r="A101" s="29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J101" s="1"/>
      <c r="AL101" s="1"/>
    </row>
    <row r="102" spans="1:38">
      <c r="A102" s="29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J102" s="1"/>
      <c r="AL102" s="1"/>
    </row>
    <row r="103" spans="1:38">
      <c r="A103" s="29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J103" s="1"/>
      <c r="AL103" s="1"/>
    </row>
    <row r="104" spans="1:38">
      <c r="A104" s="29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J104" s="1"/>
      <c r="AL104" s="1"/>
    </row>
    <row r="105" spans="1:38">
      <c r="A105" s="29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J105" s="1"/>
      <c r="AL105" s="1"/>
    </row>
    <row r="106" spans="1:38">
      <c r="A106" s="29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J106" s="1"/>
      <c r="AL106" s="1"/>
    </row>
    <row r="107" spans="1:38">
      <c r="A107" s="29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J107" s="1"/>
      <c r="AL107" s="1"/>
    </row>
    <row r="108" spans="1:38">
      <c r="A108" s="29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J108" s="1"/>
      <c r="AL108" s="1"/>
    </row>
    <row r="109" spans="1:38">
      <c r="A109" s="29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J109" s="1"/>
      <c r="AL109" s="1"/>
    </row>
    <row r="110" spans="1:38">
      <c r="A110" s="29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J110" s="1"/>
      <c r="AL110" s="1"/>
    </row>
    <row r="111" spans="1:38">
      <c r="A111" s="29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J111" s="1"/>
      <c r="AL111" s="1"/>
    </row>
    <row r="112" spans="1:38">
      <c r="A112" s="29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J112" s="1"/>
      <c r="AL112" s="1"/>
    </row>
    <row r="113" spans="1:38">
      <c r="A113" s="29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J113" s="1"/>
      <c r="AL113" s="1"/>
    </row>
    <row r="114" spans="1:38">
      <c r="A114" s="29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J114" s="1"/>
      <c r="AL114" s="1"/>
    </row>
    <row r="115" spans="1:38">
      <c r="A115" s="29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J115" s="1"/>
      <c r="AL115" s="1"/>
    </row>
    <row r="116" spans="1:38">
      <c r="A116" s="29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J116" s="1"/>
      <c r="AL116" s="1"/>
    </row>
    <row r="117" spans="1:38">
      <c r="A117" s="29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J117" s="1"/>
      <c r="AL117" s="1"/>
    </row>
    <row r="118" spans="1:38">
      <c r="A118" s="29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J118" s="1"/>
      <c r="AL118" s="1"/>
    </row>
    <row r="119" spans="1:38">
      <c r="A119" s="29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J119" s="1"/>
      <c r="AL119" s="1"/>
    </row>
    <row r="120" spans="1:38">
      <c r="A120" s="29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J120" s="1"/>
      <c r="AL120" s="1"/>
    </row>
    <row r="121" spans="1:38">
      <c r="A121" s="29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J121" s="1"/>
      <c r="AL121" s="1"/>
    </row>
    <row r="122" spans="1:38">
      <c r="A122" s="29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J122" s="1"/>
      <c r="AL122" s="1"/>
    </row>
    <row r="123" spans="1:38">
      <c r="A123" s="29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J123" s="1"/>
      <c r="AL123" s="1"/>
    </row>
    <row r="124" spans="1:38">
      <c r="A124" s="29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J124" s="1"/>
      <c r="AL124" s="1"/>
    </row>
    <row r="125" spans="1:38">
      <c r="A125" s="29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J125" s="1"/>
      <c r="AL125" s="1"/>
    </row>
    <row r="126" spans="1:38">
      <c r="A126" s="29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J126" s="1"/>
      <c r="AL126" s="1"/>
    </row>
    <row r="127" spans="1:38">
      <c r="A127" s="29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J127" s="1"/>
      <c r="AL127" s="1"/>
    </row>
    <row r="128" spans="1:38">
      <c r="A128" s="29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J128" s="1"/>
      <c r="AL128" s="1"/>
    </row>
    <row r="129" spans="1:38">
      <c r="A129" s="29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J129" s="1"/>
      <c r="AL129" s="1"/>
    </row>
    <row r="130" spans="1:38">
      <c r="A130" s="29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J130" s="1"/>
      <c r="AL130" s="1"/>
    </row>
    <row r="131" spans="1:38">
      <c r="A131" s="29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J131" s="1"/>
      <c r="AL131" s="1"/>
    </row>
    <row r="132" spans="1:38">
      <c r="A132" s="29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J132" s="1"/>
      <c r="AL132" s="1"/>
    </row>
    <row r="133" spans="1:38">
      <c r="A133" s="29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J133" s="1"/>
      <c r="AL133" s="1"/>
    </row>
    <row r="134" spans="1:38">
      <c r="A134" s="29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J134" s="1"/>
      <c r="AL134" s="1"/>
    </row>
    <row r="135" spans="1:38">
      <c r="A135" s="29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J135" s="1"/>
      <c r="AL135" s="1"/>
    </row>
    <row r="136" spans="1:38">
      <c r="A136" s="29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J136" s="1"/>
      <c r="AL136" s="1"/>
    </row>
    <row r="137" spans="1:38">
      <c r="A137" s="29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J137" s="1"/>
      <c r="AL137" s="1"/>
    </row>
    <row r="138" spans="1:38">
      <c r="A138" s="29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J138" s="1"/>
      <c r="AL138" s="1"/>
    </row>
    <row r="139" spans="1:38">
      <c r="A139" s="29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J139" s="1"/>
      <c r="AL139" s="1"/>
    </row>
    <row r="140" spans="1:38">
      <c r="A140" s="29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J140" s="1"/>
      <c r="AL140" s="1"/>
    </row>
    <row r="141" spans="1:38">
      <c r="A141" s="29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J141" s="1"/>
      <c r="AL141" s="1"/>
    </row>
    <row r="142" spans="1:38">
      <c r="A142" s="29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J142" s="1"/>
      <c r="AL142" s="1"/>
    </row>
    <row r="143" spans="1:38">
      <c r="A143" s="29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J143" s="1"/>
      <c r="AL143" s="1"/>
    </row>
    <row r="144" spans="1:38">
      <c r="A144" s="29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J144" s="1"/>
      <c r="AL144" s="1"/>
    </row>
    <row r="145" spans="1:38">
      <c r="A145" s="29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J145" s="1"/>
      <c r="AL145" s="1"/>
    </row>
    <row r="146" spans="1:38">
      <c r="A146" s="29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J146" s="1"/>
      <c r="AL146" s="1"/>
    </row>
    <row r="147" spans="1:38">
      <c r="A147" s="29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J147" s="1"/>
      <c r="AL147" s="1"/>
    </row>
    <row r="148" spans="1:38">
      <c r="A148" s="29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J148" s="1"/>
      <c r="AL148" s="1"/>
    </row>
    <row r="149" spans="1:38">
      <c r="A149" s="29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J149" s="1"/>
      <c r="AL149" s="1"/>
    </row>
    <row r="150" spans="1:38">
      <c r="A150" s="29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J150" s="1"/>
      <c r="AL150" s="1"/>
    </row>
    <row r="151" spans="1:38">
      <c r="A151" s="29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J151" s="1"/>
      <c r="AL151" s="1"/>
    </row>
    <row r="152" spans="1:38">
      <c r="A152" s="29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J152" s="1"/>
      <c r="AL152" s="1"/>
    </row>
    <row r="153" spans="1:38">
      <c r="A153" s="29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J153" s="1"/>
      <c r="AL153" s="1"/>
    </row>
    <row r="154" spans="1:38">
      <c r="A154" s="29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J154" s="1"/>
      <c r="AL154" s="1"/>
    </row>
    <row r="155" spans="1:38">
      <c r="A155" s="29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J155" s="1"/>
      <c r="AL155" s="1"/>
    </row>
    <row r="156" spans="1:38">
      <c r="A156" s="29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J156" s="1"/>
      <c r="AL156" s="1"/>
    </row>
    <row r="157" spans="1:38">
      <c r="A157" s="29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J157" s="1"/>
      <c r="AL157" s="1"/>
    </row>
    <row r="158" spans="1:38">
      <c r="A158" s="29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J158" s="1"/>
      <c r="AL158" s="1"/>
    </row>
    <row r="159" spans="1:38">
      <c r="A159" s="29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J159" s="1"/>
      <c r="AL159" s="1"/>
    </row>
    <row r="160" spans="1:38">
      <c r="A160" s="29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J160" s="1"/>
      <c r="AL160" s="1"/>
    </row>
    <row r="161" spans="1:38">
      <c r="A161" s="29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J161" s="1"/>
      <c r="AL161" s="1"/>
    </row>
    <row r="162" spans="1:38">
      <c r="A162" s="29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J162" s="1"/>
      <c r="AL162" s="1"/>
    </row>
    <row r="163" spans="1:38">
      <c r="A163" s="29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J163" s="1"/>
      <c r="AL163" s="1"/>
    </row>
    <row r="164" spans="1:38">
      <c r="A164" s="29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27"/>
      <c r="AI164" s="4"/>
    </row>
    <row r="165" spans="1:38">
      <c r="A165" s="29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27"/>
      <c r="AI165" s="4"/>
    </row>
    <row r="166" spans="1:38">
      <c r="A166" s="29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27"/>
      <c r="AI166" s="4"/>
    </row>
    <row r="167" spans="1:38">
      <c r="A167" s="29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27"/>
      <c r="AI167" s="4"/>
    </row>
    <row r="168" spans="1:38">
      <c r="A168" s="29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27"/>
      <c r="AI168" s="4"/>
    </row>
    <row r="169" spans="1:38">
      <c r="A169" s="29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</row>
    <row r="170" spans="1:38">
      <c r="A170" s="29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</row>
    <row r="171" spans="1:38">
      <c r="A171" s="29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</row>
    <row r="172" spans="1:38">
      <c r="A172" s="29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</row>
    <row r="173" spans="1:38">
      <c r="A173" s="29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</row>
    <row r="174" spans="1:38">
      <c r="A174" s="29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</row>
    <row r="175" spans="1:38">
      <c r="A175" s="29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</row>
    <row r="176" spans="1:38">
      <c r="A176" s="29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</row>
    <row r="177" spans="1:33">
      <c r="A177" s="29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</row>
    <row r="178" spans="1:33">
      <c r="A178" s="29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</row>
    <row r="179" spans="1:33">
      <c r="A179" s="29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</row>
    <row r="180" spans="1:33">
      <c r="A180" s="29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</row>
    <row r="181" spans="1:33">
      <c r="A181" s="29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</row>
    <row r="182" spans="1:33">
      <c r="A182" s="29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AG182"/>
  <sheetViews>
    <sheetView topLeftCell="A24" zoomScale="80" zoomScaleNormal="80" workbookViewId="0">
      <pane ySplit="8580" topLeftCell="A177"/>
      <selection activeCell="A50" sqref="A50:XFD50"/>
      <selection pane="bottomLeft" activeCell="J180" sqref="J180"/>
    </sheetView>
  </sheetViews>
  <sheetFormatPr defaultColWidth="7.140625" defaultRowHeight="15"/>
  <cols>
    <col min="1" max="1" width="4.140625" bestFit="1" customWidth="1"/>
    <col min="2" max="6" width="6.5703125" bestFit="1" customWidth="1"/>
    <col min="7" max="7" width="2.28515625" bestFit="1" customWidth="1"/>
    <col min="8" max="22" width="6.5703125" bestFit="1" customWidth="1"/>
    <col min="23" max="23" width="3.42578125" bestFit="1" customWidth="1"/>
    <col min="24" max="33" width="6.5703125" bestFit="1" customWidth="1"/>
  </cols>
  <sheetData>
    <row r="1" spans="1:33">
      <c r="B1" s="29">
        <f>data0!B1</f>
        <v>0</v>
      </c>
      <c r="C1" s="29">
        <f>data0!C1</f>
        <v>1</v>
      </c>
      <c r="D1" s="29">
        <f>data0!D1</f>
        <v>2</v>
      </c>
      <c r="E1" s="29">
        <f>data0!E1</f>
        <v>3</v>
      </c>
      <c r="F1" s="29">
        <f>data0!F1</f>
        <v>4</v>
      </c>
      <c r="G1" s="29">
        <f>data0!G1</f>
        <v>5</v>
      </c>
      <c r="H1" s="29">
        <f>data0!H1</f>
        <v>6</v>
      </c>
      <c r="I1" s="29">
        <f>data0!I1</f>
        <v>7</v>
      </c>
      <c r="J1" s="29">
        <f>data0!J1</f>
        <v>8</v>
      </c>
      <c r="K1" s="29">
        <f>data0!K1</f>
        <v>9</v>
      </c>
      <c r="L1" s="29">
        <f>data0!L1</f>
        <v>10</v>
      </c>
      <c r="M1" s="29">
        <f>data0!M1</f>
        <v>11</v>
      </c>
      <c r="N1" s="29">
        <f>data0!N1</f>
        <v>12</v>
      </c>
      <c r="O1" s="29">
        <f>data0!O1</f>
        <v>13</v>
      </c>
      <c r="P1" s="29">
        <f>data0!P1</f>
        <v>14</v>
      </c>
      <c r="Q1" s="29">
        <f>data0!Q1</f>
        <v>15</v>
      </c>
      <c r="R1" s="29">
        <f>data0!R1</f>
        <v>16</v>
      </c>
      <c r="S1" s="29">
        <f>data0!S1</f>
        <v>17</v>
      </c>
      <c r="T1" s="29">
        <f>data0!T1</f>
        <v>18</v>
      </c>
      <c r="U1" s="29">
        <f>data0!U1</f>
        <v>19</v>
      </c>
      <c r="V1" s="29">
        <f>data0!V1</f>
        <v>20</v>
      </c>
      <c r="W1" s="29">
        <f>data0!W1</f>
        <v>21</v>
      </c>
      <c r="X1" s="29">
        <f>data0!X1</f>
        <v>22</v>
      </c>
      <c r="Y1" s="29">
        <f>data0!Y1</f>
        <v>23</v>
      </c>
      <c r="Z1" s="29">
        <f>data0!Z1</f>
        <v>24</v>
      </c>
      <c r="AA1" s="29">
        <f>data0!AA1</f>
        <v>25</v>
      </c>
      <c r="AB1" s="29">
        <f>data0!AB1</f>
        <v>26</v>
      </c>
      <c r="AC1" s="29">
        <f>data0!AC1</f>
        <v>27</v>
      </c>
      <c r="AD1" s="29">
        <f>data0!AD1</f>
        <v>28</v>
      </c>
      <c r="AE1" s="29">
        <f>data0!AE1</f>
        <v>29</v>
      </c>
      <c r="AF1" s="29">
        <f>data0!AF1</f>
        <v>30</v>
      </c>
      <c r="AG1" s="29">
        <f>data0!AG1</f>
        <v>31</v>
      </c>
    </row>
    <row r="2" spans="1:33">
      <c r="A2" s="29">
        <f>data0!A2</f>
        <v>-90</v>
      </c>
      <c r="B2" s="28">
        <f>data0!B2/range*(2^resolution-1)</f>
        <v>0</v>
      </c>
      <c r="C2" s="28">
        <f>data0!C2/range*(2^resolution-1)</f>
        <v>0</v>
      </c>
      <c r="D2" s="28">
        <f>data0!D2/range*(2^resolution-1)</f>
        <v>0</v>
      </c>
      <c r="E2" s="28">
        <f>data0!E2/range*(2^resolution-1)</f>
        <v>0</v>
      </c>
      <c r="F2" s="28">
        <f>data0!F2/range*(2^resolution-1)</f>
        <v>0</v>
      </c>
      <c r="G2" s="28">
        <f>data0!G2/range*(2^resolution-1)</f>
        <v>0</v>
      </c>
      <c r="H2" s="28">
        <f>data0!H2/range*(2^resolution-1)</f>
        <v>0</v>
      </c>
      <c r="I2" s="28">
        <f>data0!I2/range*(2^resolution-1)</f>
        <v>0</v>
      </c>
      <c r="J2" s="28">
        <f>data0!J2/range*(2^resolution-1)</f>
        <v>0</v>
      </c>
      <c r="K2" s="28">
        <f>data0!K2/range*(2^resolution-1)</f>
        <v>0</v>
      </c>
      <c r="L2" s="28">
        <f>data0!L2/range*(2^resolution-1)</f>
        <v>0</v>
      </c>
      <c r="M2" s="28">
        <f>data0!M2/range*(2^resolution-1)</f>
        <v>0</v>
      </c>
      <c r="N2" s="28">
        <f>data0!N2/range*(2^resolution-1)</f>
        <v>0</v>
      </c>
      <c r="O2" s="28">
        <f>data0!O2/range*(2^resolution-1)</f>
        <v>0</v>
      </c>
      <c r="P2" s="28">
        <f>data0!P2/range*(2^resolution-1)</f>
        <v>0</v>
      </c>
      <c r="Q2" s="28">
        <f>data0!Q2/range*(2^resolution-1)</f>
        <v>0</v>
      </c>
      <c r="R2" s="28">
        <f>data0!R2/range*(2^resolution-1)</f>
        <v>0</v>
      </c>
      <c r="S2" s="28">
        <f>data0!S2/range*(2^resolution-1)</f>
        <v>0</v>
      </c>
      <c r="T2" s="28">
        <f>data0!T2/range*(2^resolution-1)</f>
        <v>0</v>
      </c>
      <c r="U2" s="28">
        <f>data0!U2/range*(2^resolution-1)</f>
        <v>0</v>
      </c>
      <c r="V2" s="28">
        <f>data0!V2/range*(2^resolution-1)</f>
        <v>0</v>
      </c>
      <c r="W2" s="28">
        <f>data0!W2/range*(2^resolution-1)</f>
        <v>0</v>
      </c>
      <c r="X2" s="28">
        <f>data0!X2/range*(2^resolution-1)</f>
        <v>0</v>
      </c>
      <c r="Y2" s="28">
        <f>data0!Y2/range*(2^resolution-1)</f>
        <v>0</v>
      </c>
      <c r="Z2" s="28">
        <f>data0!Z2/range*(2^resolution-1)</f>
        <v>0</v>
      </c>
      <c r="AA2" s="28">
        <f>data0!AA2/range*(2^resolution-1)</f>
        <v>0</v>
      </c>
      <c r="AB2" s="28">
        <f>data0!AB2/range*(2^resolution-1)</f>
        <v>0</v>
      </c>
      <c r="AC2" s="28">
        <f>data0!AC2/range*(2^resolution-1)</f>
        <v>0</v>
      </c>
      <c r="AD2" s="28">
        <f>data0!AD2/range*(2^resolution-1)</f>
        <v>0</v>
      </c>
      <c r="AE2" s="28">
        <f>data0!AE2/range*(2^resolution-1)</f>
        <v>0</v>
      </c>
      <c r="AF2" s="28">
        <f>data0!AF2/range*(2^resolution-1)</f>
        <v>0</v>
      </c>
      <c r="AG2" s="28">
        <f>data0!AG2/range*(2^resolution-1)</f>
        <v>0</v>
      </c>
    </row>
    <row r="3" spans="1:33">
      <c r="A3" s="29">
        <f>data0!A3</f>
        <v>-87</v>
      </c>
      <c r="B3" s="28">
        <f>data0!B3/range*(2^resolution-1)</f>
        <v>0</v>
      </c>
      <c r="C3" s="28">
        <f>data0!C3/range*(2^resolution-1)</f>
        <v>0</v>
      </c>
      <c r="D3" s="28">
        <f>data0!D3/range*(2^resolution-1)</f>
        <v>0</v>
      </c>
      <c r="E3" s="28">
        <f>data0!E3/range*(2^resolution-1)</f>
        <v>0</v>
      </c>
      <c r="F3" s="28">
        <f>data0!F3/range*(2^resolution-1)</f>
        <v>0</v>
      </c>
      <c r="G3" s="28">
        <f>data0!G3/range*(2^resolution-1)</f>
        <v>0</v>
      </c>
      <c r="H3" s="28">
        <f>data0!H3/range*(2^resolution-1)</f>
        <v>0</v>
      </c>
      <c r="I3" s="28">
        <f>data0!I3/range*(2^resolution-1)</f>
        <v>0</v>
      </c>
      <c r="J3" s="28">
        <f>data0!J3/range*(2^resolution-1)</f>
        <v>0</v>
      </c>
      <c r="K3" s="28">
        <f>data0!K3/range*(2^resolution-1)</f>
        <v>0</v>
      </c>
      <c r="L3" s="28">
        <f>data0!L3/range*(2^resolution-1)</f>
        <v>0</v>
      </c>
      <c r="M3" s="28">
        <f>data0!M3/range*(2^resolution-1)</f>
        <v>0</v>
      </c>
      <c r="N3" s="28">
        <f>data0!N3/range*(2^resolution-1)</f>
        <v>0</v>
      </c>
      <c r="O3" s="28">
        <f>data0!O3/range*(2^resolution-1)</f>
        <v>0</v>
      </c>
      <c r="P3" s="28">
        <f>data0!P3/range*(2^resolution-1)</f>
        <v>0</v>
      </c>
      <c r="Q3" s="28">
        <f>data0!Q3/range*(2^resolution-1)</f>
        <v>0</v>
      </c>
      <c r="R3" s="28">
        <f>data0!R3/range*(2^resolution-1)</f>
        <v>0</v>
      </c>
      <c r="S3" s="28">
        <f>data0!S3/range*(2^resolution-1)</f>
        <v>0</v>
      </c>
      <c r="T3" s="28">
        <f>data0!T3/range*(2^resolution-1)</f>
        <v>0</v>
      </c>
      <c r="U3" s="28">
        <f>data0!U3/range*(2^resolution-1)</f>
        <v>0</v>
      </c>
      <c r="V3" s="28">
        <f>data0!V3/range*(2^resolution-1)</f>
        <v>0</v>
      </c>
      <c r="W3" s="28">
        <f>data0!W3/range*(2^resolution-1)</f>
        <v>0</v>
      </c>
      <c r="X3" s="28">
        <f>data0!X3/range*(2^resolution-1)</f>
        <v>0</v>
      </c>
      <c r="Y3" s="28">
        <f>data0!Y3/range*(2^resolution-1)</f>
        <v>0</v>
      </c>
      <c r="Z3" s="28">
        <f>data0!Z3/range*(2^resolution-1)</f>
        <v>0</v>
      </c>
      <c r="AA3" s="28">
        <f>data0!AA3/range*(2^resolution-1)</f>
        <v>0</v>
      </c>
      <c r="AB3" s="28">
        <f>data0!AB3/range*(2^resolution-1)</f>
        <v>0</v>
      </c>
      <c r="AC3" s="28">
        <f>data0!AC3/range*(2^resolution-1)</f>
        <v>0</v>
      </c>
      <c r="AD3" s="28">
        <f>data0!AD3/range*(2^resolution-1)</f>
        <v>0</v>
      </c>
      <c r="AE3" s="28">
        <f>data0!AE3/range*(2^resolution-1)</f>
        <v>0</v>
      </c>
      <c r="AF3" s="28">
        <f>data0!AF3/range*(2^resolution-1)</f>
        <v>0</v>
      </c>
      <c r="AG3" s="28">
        <f>data0!AG3/range*(2^resolution-1)</f>
        <v>0</v>
      </c>
    </row>
    <row r="4" spans="1:33">
      <c r="A4" s="29">
        <f>data0!A4</f>
        <v>-84</v>
      </c>
      <c r="B4" s="28">
        <f>data0!B4/range*(2^resolution-1)</f>
        <v>0</v>
      </c>
      <c r="C4" s="28">
        <f>data0!C4/range*(2^resolution-1)</f>
        <v>0</v>
      </c>
      <c r="D4" s="28">
        <f>data0!D4/range*(2^resolution-1)</f>
        <v>0</v>
      </c>
      <c r="E4" s="28">
        <f>data0!E4/range*(2^resolution-1)</f>
        <v>0</v>
      </c>
      <c r="F4" s="28">
        <f>data0!F4/range*(2^resolution-1)</f>
        <v>0</v>
      </c>
      <c r="G4" s="28">
        <f>data0!G4/range*(2^resolution-1)</f>
        <v>0</v>
      </c>
      <c r="H4" s="28">
        <f>data0!H4/range*(2^resolution-1)</f>
        <v>0</v>
      </c>
      <c r="I4" s="28">
        <f>data0!I4/range*(2^resolution-1)</f>
        <v>0</v>
      </c>
      <c r="J4" s="28">
        <f>data0!J4/range*(2^resolution-1)</f>
        <v>0</v>
      </c>
      <c r="K4" s="28">
        <f>data0!K4/range*(2^resolution-1)</f>
        <v>0</v>
      </c>
      <c r="L4" s="28">
        <f>data0!L4/range*(2^resolution-1)</f>
        <v>0</v>
      </c>
      <c r="M4" s="28">
        <f>data0!M4/range*(2^resolution-1)</f>
        <v>0</v>
      </c>
      <c r="N4" s="28">
        <f>data0!N4/range*(2^resolution-1)</f>
        <v>0</v>
      </c>
      <c r="O4" s="28">
        <f>data0!O4/range*(2^resolution-1)</f>
        <v>0</v>
      </c>
      <c r="P4" s="28">
        <f>data0!P4/range*(2^resolution-1)</f>
        <v>0</v>
      </c>
      <c r="Q4" s="28">
        <f>data0!Q4/range*(2^resolution-1)</f>
        <v>0</v>
      </c>
      <c r="R4" s="28">
        <f>data0!R4/range*(2^resolution-1)</f>
        <v>0</v>
      </c>
      <c r="S4" s="28">
        <f>data0!S4/range*(2^resolution-1)</f>
        <v>0</v>
      </c>
      <c r="T4" s="28">
        <f>data0!T4/range*(2^resolution-1)</f>
        <v>0</v>
      </c>
      <c r="U4" s="28">
        <f>data0!U4/range*(2^resolution-1)</f>
        <v>0</v>
      </c>
      <c r="V4" s="28">
        <f>data0!V4/range*(2^resolution-1)</f>
        <v>0</v>
      </c>
      <c r="W4" s="28">
        <f>data0!W4/range*(2^resolution-1)</f>
        <v>0</v>
      </c>
      <c r="X4" s="28">
        <f>data0!X4/range*(2^resolution-1)</f>
        <v>0</v>
      </c>
      <c r="Y4" s="28">
        <f>data0!Y4/range*(2^resolution-1)</f>
        <v>0</v>
      </c>
      <c r="Z4" s="28">
        <f>data0!Z4/range*(2^resolution-1)</f>
        <v>0</v>
      </c>
      <c r="AA4" s="28">
        <f>data0!AA4/range*(2^resolution-1)</f>
        <v>0</v>
      </c>
      <c r="AB4" s="28">
        <f>data0!AB4/range*(2^resolution-1)</f>
        <v>0</v>
      </c>
      <c r="AC4" s="28">
        <f>data0!AC4/range*(2^resolution-1)</f>
        <v>0</v>
      </c>
      <c r="AD4" s="28">
        <f>data0!AD4/range*(2^resolution-1)</f>
        <v>0</v>
      </c>
      <c r="AE4" s="28">
        <f>data0!AE4/range*(2^resolution-1)</f>
        <v>0</v>
      </c>
      <c r="AF4" s="28">
        <f>data0!AF4/range*(2^resolution-1)</f>
        <v>0</v>
      </c>
      <c r="AG4" s="28">
        <f>data0!AG4/range*(2^resolution-1)</f>
        <v>0</v>
      </c>
    </row>
    <row r="5" spans="1:33">
      <c r="A5" s="29">
        <f>data0!A5</f>
        <v>-81</v>
      </c>
      <c r="B5" s="28">
        <f>data0!B5/range*(2^resolution-1)</f>
        <v>0</v>
      </c>
      <c r="C5" s="28">
        <f>data0!C5/range*(2^resolution-1)</f>
        <v>0</v>
      </c>
      <c r="D5" s="28">
        <f>data0!D5/range*(2^resolution-1)</f>
        <v>0</v>
      </c>
      <c r="E5" s="28">
        <f>data0!E5/range*(2^resolution-1)</f>
        <v>0</v>
      </c>
      <c r="F5" s="28">
        <f>data0!F5/range*(2^resolution-1)</f>
        <v>0</v>
      </c>
      <c r="G5" s="28">
        <f>data0!G5/range*(2^resolution-1)</f>
        <v>0</v>
      </c>
      <c r="H5" s="28">
        <f>data0!H5/range*(2^resolution-1)</f>
        <v>0</v>
      </c>
      <c r="I5" s="28">
        <f>data0!I5/range*(2^resolution-1)</f>
        <v>0</v>
      </c>
      <c r="J5" s="28">
        <f>data0!J5/range*(2^resolution-1)</f>
        <v>0</v>
      </c>
      <c r="K5" s="28">
        <f>data0!K5/range*(2^resolution-1)</f>
        <v>0</v>
      </c>
      <c r="L5" s="28">
        <f>data0!L5/range*(2^resolution-1)</f>
        <v>0</v>
      </c>
      <c r="M5" s="28">
        <f>data0!M5/range*(2^resolution-1)</f>
        <v>0</v>
      </c>
      <c r="N5" s="28">
        <f>data0!N5/range*(2^resolution-1)</f>
        <v>0</v>
      </c>
      <c r="O5" s="28">
        <f>data0!O5/range*(2^resolution-1)</f>
        <v>0</v>
      </c>
      <c r="P5" s="28">
        <f>data0!P5/range*(2^resolution-1)</f>
        <v>0</v>
      </c>
      <c r="Q5" s="28">
        <f>data0!Q5/range*(2^resolution-1)</f>
        <v>0</v>
      </c>
      <c r="R5" s="28">
        <f>data0!R5/range*(2^resolution-1)</f>
        <v>0</v>
      </c>
      <c r="S5" s="28">
        <f>data0!S5/range*(2^resolution-1)</f>
        <v>0</v>
      </c>
      <c r="T5" s="28">
        <f>data0!T5/range*(2^resolution-1)</f>
        <v>0</v>
      </c>
      <c r="U5" s="28">
        <f>data0!U5/range*(2^resolution-1)</f>
        <v>0</v>
      </c>
      <c r="V5" s="28">
        <f>data0!V5/range*(2^resolution-1)</f>
        <v>0</v>
      </c>
      <c r="W5" s="28">
        <f>data0!W5/range*(2^resolution-1)</f>
        <v>0</v>
      </c>
      <c r="X5" s="28">
        <f>data0!X5/range*(2^resolution-1)</f>
        <v>0</v>
      </c>
      <c r="Y5" s="28">
        <f>data0!Y5/range*(2^resolution-1)</f>
        <v>0</v>
      </c>
      <c r="Z5" s="28">
        <f>data0!Z5/range*(2^resolution-1)</f>
        <v>0</v>
      </c>
      <c r="AA5" s="28">
        <f>data0!AA5/range*(2^resolution-1)</f>
        <v>0</v>
      </c>
      <c r="AB5" s="28">
        <f>data0!AB5/range*(2^resolution-1)</f>
        <v>0</v>
      </c>
      <c r="AC5" s="28">
        <f>data0!AC5/range*(2^resolution-1)</f>
        <v>0</v>
      </c>
      <c r="AD5" s="28">
        <f>data0!AD5/range*(2^resolution-1)</f>
        <v>0</v>
      </c>
      <c r="AE5" s="28">
        <f>data0!AE5/range*(2^resolution-1)</f>
        <v>0</v>
      </c>
      <c r="AF5" s="28">
        <f>data0!AF5/range*(2^resolution-1)</f>
        <v>0</v>
      </c>
      <c r="AG5" s="28">
        <f>data0!AG5/range*(2^resolution-1)</f>
        <v>0</v>
      </c>
    </row>
    <row r="6" spans="1:33">
      <c r="A6" s="29">
        <f>data0!A6</f>
        <v>-78</v>
      </c>
      <c r="B6" s="28">
        <f>data0!B6/range*(2^resolution-1)</f>
        <v>0</v>
      </c>
      <c r="C6" s="28">
        <f>data0!C6/range*(2^resolution-1)</f>
        <v>0</v>
      </c>
      <c r="D6" s="28">
        <f>data0!D6/range*(2^resolution-1)</f>
        <v>0</v>
      </c>
      <c r="E6" s="28">
        <f>data0!E6/range*(2^resolution-1)</f>
        <v>0</v>
      </c>
      <c r="F6" s="28">
        <f>data0!F6/range*(2^resolution-1)</f>
        <v>0</v>
      </c>
      <c r="G6" s="28">
        <f>data0!G6/range*(2^resolution-1)</f>
        <v>0</v>
      </c>
      <c r="H6" s="28">
        <f>data0!H6/range*(2^resolution-1)</f>
        <v>0</v>
      </c>
      <c r="I6" s="28">
        <f>data0!I6/range*(2^resolution-1)</f>
        <v>0</v>
      </c>
      <c r="J6" s="28">
        <f>data0!J6/range*(2^resolution-1)</f>
        <v>0</v>
      </c>
      <c r="K6" s="28">
        <f>data0!K6/range*(2^resolution-1)</f>
        <v>0</v>
      </c>
      <c r="L6" s="28">
        <f>data0!L6/range*(2^resolution-1)</f>
        <v>0</v>
      </c>
      <c r="M6" s="28">
        <f>data0!M6/range*(2^resolution-1)</f>
        <v>0</v>
      </c>
      <c r="N6" s="28">
        <f>data0!N6/range*(2^resolution-1)</f>
        <v>0</v>
      </c>
      <c r="O6" s="28">
        <f>data0!O6/range*(2^resolution-1)</f>
        <v>0</v>
      </c>
      <c r="P6" s="28">
        <f>data0!P6/range*(2^resolution-1)</f>
        <v>0</v>
      </c>
      <c r="Q6" s="28">
        <f>data0!Q6/range*(2^resolution-1)</f>
        <v>0</v>
      </c>
      <c r="R6" s="28">
        <f>data0!R6/range*(2^resolution-1)</f>
        <v>0</v>
      </c>
      <c r="S6" s="28">
        <f>data0!S6/range*(2^resolution-1)</f>
        <v>0</v>
      </c>
      <c r="T6" s="28">
        <f>data0!T6/range*(2^resolution-1)</f>
        <v>0</v>
      </c>
      <c r="U6" s="28">
        <f>data0!U6/range*(2^resolution-1)</f>
        <v>0</v>
      </c>
      <c r="V6" s="28">
        <f>data0!V6/range*(2^resolution-1)</f>
        <v>0</v>
      </c>
      <c r="W6" s="28">
        <f>data0!W6/range*(2^resolution-1)</f>
        <v>0</v>
      </c>
      <c r="X6" s="28">
        <f>data0!X6/range*(2^resolution-1)</f>
        <v>0</v>
      </c>
      <c r="Y6" s="28">
        <f>data0!Y6/range*(2^resolution-1)</f>
        <v>0</v>
      </c>
      <c r="Z6" s="28">
        <f>data0!Z6/range*(2^resolution-1)</f>
        <v>0</v>
      </c>
      <c r="AA6" s="28">
        <f>data0!AA6/range*(2^resolution-1)</f>
        <v>0</v>
      </c>
      <c r="AB6" s="28">
        <f>data0!AB6/range*(2^resolution-1)</f>
        <v>0</v>
      </c>
      <c r="AC6" s="28">
        <f>data0!AC6/range*(2^resolution-1)</f>
        <v>0</v>
      </c>
      <c r="AD6" s="28">
        <f>data0!AD6/range*(2^resolution-1)</f>
        <v>0</v>
      </c>
      <c r="AE6" s="28">
        <f>data0!AE6/range*(2^resolution-1)</f>
        <v>0</v>
      </c>
      <c r="AF6" s="28">
        <f>data0!AF6/range*(2^resolution-1)</f>
        <v>0</v>
      </c>
      <c r="AG6" s="28">
        <f>data0!AG6/range*(2^resolution-1)</f>
        <v>0</v>
      </c>
    </row>
    <row r="7" spans="1:33">
      <c r="A7" s="29">
        <f>data0!A7</f>
        <v>-75</v>
      </c>
      <c r="B7" s="28">
        <f>data0!B7/range*(2^resolution-1)</f>
        <v>0</v>
      </c>
      <c r="C7" s="28">
        <f>data0!C7/range*(2^resolution-1)</f>
        <v>0</v>
      </c>
      <c r="D7" s="28">
        <f>data0!D7/range*(2^resolution-1)</f>
        <v>0</v>
      </c>
      <c r="E7" s="28">
        <f>data0!E7/range*(2^resolution-1)</f>
        <v>0</v>
      </c>
      <c r="F7" s="28">
        <f>data0!F7/range*(2^resolution-1)</f>
        <v>0</v>
      </c>
      <c r="G7" s="28">
        <f>data0!G7/range*(2^resolution-1)</f>
        <v>0</v>
      </c>
      <c r="H7" s="28">
        <f>data0!H7/range*(2^resolution-1)</f>
        <v>0</v>
      </c>
      <c r="I7" s="28">
        <f>data0!I7/range*(2^resolution-1)</f>
        <v>0</v>
      </c>
      <c r="J7" s="28">
        <f>data0!J7/range*(2^resolution-1)</f>
        <v>0</v>
      </c>
      <c r="K7" s="28">
        <f>data0!K7/range*(2^resolution-1)</f>
        <v>0</v>
      </c>
      <c r="L7" s="28">
        <f>data0!L7/range*(2^resolution-1)</f>
        <v>0</v>
      </c>
      <c r="M7" s="28">
        <f>data0!M7/range*(2^resolution-1)</f>
        <v>0</v>
      </c>
      <c r="N7" s="28">
        <f>data0!N7/range*(2^resolution-1)</f>
        <v>0</v>
      </c>
      <c r="O7" s="28">
        <f>data0!O7/range*(2^resolution-1)</f>
        <v>0</v>
      </c>
      <c r="P7" s="28">
        <f>data0!P7/range*(2^resolution-1)</f>
        <v>0</v>
      </c>
      <c r="Q7" s="28">
        <f>data0!Q7/range*(2^resolution-1)</f>
        <v>0</v>
      </c>
      <c r="R7" s="28">
        <f>data0!R7/range*(2^resolution-1)</f>
        <v>0</v>
      </c>
      <c r="S7" s="28">
        <f>data0!S7/range*(2^resolution-1)</f>
        <v>0</v>
      </c>
      <c r="T7" s="28">
        <f>data0!T7/range*(2^resolution-1)</f>
        <v>0</v>
      </c>
      <c r="U7" s="28">
        <f>data0!U7/range*(2^resolution-1)</f>
        <v>0</v>
      </c>
      <c r="V7" s="28">
        <f>data0!V7/range*(2^resolution-1)</f>
        <v>0</v>
      </c>
      <c r="W7" s="28">
        <f>data0!W7/range*(2^resolution-1)</f>
        <v>0</v>
      </c>
      <c r="X7" s="28">
        <f>data0!X7/range*(2^resolution-1)</f>
        <v>0</v>
      </c>
      <c r="Y7" s="28">
        <f>data0!Y7/range*(2^resolution-1)</f>
        <v>0</v>
      </c>
      <c r="Z7" s="28">
        <f>data0!Z7/range*(2^resolution-1)</f>
        <v>0</v>
      </c>
      <c r="AA7" s="28">
        <f>data0!AA7/range*(2^resolution-1)</f>
        <v>0</v>
      </c>
      <c r="AB7" s="28">
        <f>data0!AB7/range*(2^resolution-1)</f>
        <v>0</v>
      </c>
      <c r="AC7" s="28">
        <f>data0!AC7/range*(2^resolution-1)</f>
        <v>0</v>
      </c>
      <c r="AD7" s="28">
        <f>data0!AD7/range*(2^resolution-1)</f>
        <v>0</v>
      </c>
      <c r="AE7" s="28">
        <f>data0!AE7/range*(2^resolution-1)</f>
        <v>0</v>
      </c>
      <c r="AF7" s="28">
        <f>data0!AF7/range*(2^resolution-1)</f>
        <v>0</v>
      </c>
      <c r="AG7" s="28">
        <f>data0!AG7/range*(2^resolution-1)</f>
        <v>0</v>
      </c>
    </row>
    <row r="8" spans="1:33">
      <c r="A8" s="29">
        <f>data0!A8</f>
        <v>-72</v>
      </c>
      <c r="B8" s="28">
        <f>data0!B8/range*(2^resolution-1)</f>
        <v>0</v>
      </c>
      <c r="C8" s="28">
        <f>data0!C8/range*(2^resolution-1)</f>
        <v>0</v>
      </c>
      <c r="D8" s="28">
        <f>data0!D8/range*(2^resolution-1)</f>
        <v>0</v>
      </c>
      <c r="E8" s="28">
        <f>data0!E8/range*(2^resolution-1)</f>
        <v>0</v>
      </c>
      <c r="F8" s="28">
        <f>data0!F8/range*(2^resolution-1)</f>
        <v>0</v>
      </c>
      <c r="G8" s="28">
        <f>data0!G8/range*(2^resolution-1)</f>
        <v>0</v>
      </c>
      <c r="H8" s="28">
        <f>data0!H8/range*(2^resolution-1)</f>
        <v>0</v>
      </c>
      <c r="I8" s="28">
        <f>data0!I8/range*(2^resolution-1)</f>
        <v>0</v>
      </c>
      <c r="J8" s="28">
        <f>data0!J8/range*(2^resolution-1)</f>
        <v>0</v>
      </c>
      <c r="K8" s="28">
        <f>data0!K8/range*(2^resolution-1)</f>
        <v>0</v>
      </c>
      <c r="L8" s="28">
        <f>data0!L8/range*(2^resolution-1)</f>
        <v>0</v>
      </c>
      <c r="M8" s="28">
        <f>data0!M8/range*(2^resolution-1)</f>
        <v>0</v>
      </c>
      <c r="N8" s="28">
        <f>data0!N8/range*(2^resolution-1)</f>
        <v>0</v>
      </c>
      <c r="O8" s="28">
        <f>data0!O8/range*(2^resolution-1)</f>
        <v>0</v>
      </c>
      <c r="P8" s="28">
        <f>data0!P8/range*(2^resolution-1)</f>
        <v>0</v>
      </c>
      <c r="Q8" s="28">
        <f>data0!Q8/range*(2^resolution-1)</f>
        <v>0</v>
      </c>
      <c r="R8" s="28">
        <f>data0!R8/range*(2^resolution-1)</f>
        <v>0</v>
      </c>
      <c r="S8" s="28">
        <f>data0!S8/range*(2^resolution-1)</f>
        <v>0</v>
      </c>
      <c r="T8" s="28">
        <f>data0!T8/range*(2^resolution-1)</f>
        <v>0</v>
      </c>
      <c r="U8" s="28">
        <f>data0!U8/range*(2^resolution-1)</f>
        <v>0</v>
      </c>
      <c r="V8" s="28">
        <f>data0!V8/range*(2^resolution-1)</f>
        <v>0</v>
      </c>
      <c r="W8" s="28">
        <f>data0!W8/range*(2^resolution-1)</f>
        <v>0</v>
      </c>
      <c r="X8" s="28">
        <f>data0!X8/range*(2^resolution-1)</f>
        <v>0</v>
      </c>
      <c r="Y8" s="28">
        <f>data0!Y8/range*(2^resolution-1)</f>
        <v>0</v>
      </c>
      <c r="Z8" s="28">
        <f>data0!Z8/range*(2^resolution-1)</f>
        <v>0</v>
      </c>
      <c r="AA8" s="28">
        <f>data0!AA8/range*(2^resolution-1)</f>
        <v>0</v>
      </c>
      <c r="AB8" s="28">
        <f>data0!AB8/range*(2^resolution-1)</f>
        <v>0</v>
      </c>
      <c r="AC8" s="28">
        <f>data0!AC8/range*(2^resolution-1)</f>
        <v>0</v>
      </c>
      <c r="AD8" s="28">
        <f>data0!AD8/range*(2^resolution-1)</f>
        <v>0</v>
      </c>
      <c r="AE8" s="28">
        <f>data0!AE8/range*(2^resolution-1)</f>
        <v>0</v>
      </c>
      <c r="AF8" s="28">
        <f>data0!AF8/range*(2^resolution-1)</f>
        <v>0</v>
      </c>
      <c r="AG8" s="28">
        <f>data0!AG8/range*(2^resolution-1)</f>
        <v>0</v>
      </c>
    </row>
    <row r="9" spans="1:33">
      <c r="A9" s="29">
        <f>data0!A9</f>
        <v>-69</v>
      </c>
      <c r="B9" s="28">
        <f>data0!B9/range*(2^resolution-1)</f>
        <v>0</v>
      </c>
      <c r="C9" s="28">
        <f>data0!C9/range*(2^resolution-1)</f>
        <v>0</v>
      </c>
      <c r="D9" s="28">
        <f>data0!D9/range*(2^resolution-1)</f>
        <v>0</v>
      </c>
      <c r="E9" s="28">
        <f>data0!E9/range*(2^resolution-1)</f>
        <v>0</v>
      </c>
      <c r="F9" s="28">
        <f>data0!F9/range*(2^resolution-1)</f>
        <v>0</v>
      </c>
      <c r="G9" s="28">
        <f>data0!G9/range*(2^resolution-1)</f>
        <v>0</v>
      </c>
      <c r="H9" s="28">
        <f>data0!H9/range*(2^resolution-1)</f>
        <v>0</v>
      </c>
      <c r="I9" s="28">
        <f>data0!I9/range*(2^resolution-1)</f>
        <v>0</v>
      </c>
      <c r="J9" s="28">
        <f>data0!J9/range*(2^resolution-1)</f>
        <v>0</v>
      </c>
      <c r="K9" s="28">
        <f>data0!K9/range*(2^resolution-1)</f>
        <v>0</v>
      </c>
      <c r="L9" s="28">
        <f>data0!L9/range*(2^resolution-1)</f>
        <v>0</v>
      </c>
      <c r="M9" s="28">
        <f>data0!M9/range*(2^resolution-1)</f>
        <v>0</v>
      </c>
      <c r="N9" s="28">
        <f>data0!N9/range*(2^resolution-1)</f>
        <v>0</v>
      </c>
      <c r="O9" s="28">
        <f>data0!O9/range*(2^resolution-1)</f>
        <v>0</v>
      </c>
      <c r="P9" s="28">
        <f>data0!P9/range*(2^resolution-1)</f>
        <v>0</v>
      </c>
      <c r="Q9" s="28">
        <f>data0!Q9/range*(2^resolution-1)</f>
        <v>0</v>
      </c>
      <c r="R9" s="28">
        <f>data0!R9/range*(2^resolution-1)</f>
        <v>0</v>
      </c>
      <c r="S9" s="28">
        <f>data0!S9/range*(2^resolution-1)</f>
        <v>0</v>
      </c>
      <c r="T9" s="28">
        <f>data0!T9/range*(2^resolution-1)</f>
        <v>0</v>
      </c>
      <c r="U9" s="28">
        <f>data0!U9/range*(2^resolution-1)</f>
        <v>0</v>
      </c>
      <c r="V9" s="28">
        <f>data0!V9/range*(2^resolution-1)</f>
        <v>0</v>
      </c>
      <c r="W9" s="28">
        <f>data0!W9/range*(2^resolution-1)</f>
        <v>0</v>
      </c>
      <c r="X9" s="28">
        <f>data0!X9/range*(2^resolution-1)</f>
        <v>0</v>
      </c>
      <c r="Y9" s="28">
        <f>data0!Y9/range*(2^resolution-1)</f>
        <v>0</v>
      </c>
      <c r="Z9" s="28">
        <f>data0!Z9/range*(2^resolution-1)</f>
        <v>0</v>
      </c>
      <c r="AA9" s="28">
        <f>data0!AA9/range*(2^resolution-1)</f>
        <v>0</v>
      </c>
      <c r="AB9" s="28">
        <f>data0!AB9/range*(2^resolution-1)</f>
        <v>0</v>
      </c>
      <c r="AC9" s="28">
        <f>data0!AC9/range*(2^resolution-1)</f>
        <v>0</v>
      </c>
      <c r="AD9" s="28">
        <f>data0!AD9/range*(2^resolution-1)</f>
        <v>0</v>
      </c>
      <c r="AE9" s="28">
        <f>data0!AE9/range*(2^resolution-1)</f>
        <v>0</v>
      </c>
      <c r="AF9" s="28">
        <f>data0!AF9/range*(2^resolution-1)</f>
        <v>0</v>
      </c>
      <c r="AG9" s="28">
        <f>data0!AG9/range*(2^resolution-1)</f>
        <v>0</v>
      </c>
    </row>
    <row r="10" spans="1:33">
      <c r="A10" s="29">
        <f>data0!A10</f>
        <v>-66</v>
      </c>
      <c r="B10" s="28">
        <f>data0!B10/range*(2^resolution-1)</f>
        <v>0</v>
      </c>
      <c r="C10" s="28">
        <f>data0!C10/range*(2^resolution-1)</f>
        <v>0</v>
      </c>
      <c r="D10" s="28">
        <f>data0!D10/range*(2^resolution-1)</f>
        <v>0</v>
      </c>
      <c r="E10" s="28">
        <f>data0!E10/range*(2^resolution-1)</f>
        <v>0</v>
      </c>
      <c r="F10" s="28">
        <f>data0!F10/range*(2^resolution-1)</f>
        <v>0</v>
      </c>
      <c r="G10" s="28">
        <f>data0!G10/range*(2^resolution-1)</f>
        <v>0</v>
      </c>
      <c r="H10" s="28">
        <f>data0!H10/range*(2^resolution-1)</f>
        <v>0</v>
      </c>
      <c r="I10" s="28">
        <f>data0!I10/range*(2^resolution-1)</f>
        <v>0</v>
      </c>
      <c r="J10" s="28">
        <f>data0!J10/range*(2^resolution-1)</f>
        <v>0</v>
      </c>
      <c r="K10" s="28">
        <f>data0!K10/range*(2^resolution-1)</f>
        <v>0</v>
      </c>
      <c r="L10" s="28">
        <f>data0!L10/range*(2^resolution-1)</f>
        <v>0</v>
      </c>
      <c r="M10" s="28">
        <f>data0!M10/range*(2^resolution-1)</f>
        <v>0</v>
      </c>
      <c r="N10" s="28">
        <f>data0!N10/range*(2^resolution-1)</f>
        <v>0</v>
      </c>
      <c r="O10" s="28">
        <f>data0!O10/range*(2^resolution-1)</f>
        <v>0</v>
      </c>
      <c r="P10" s="28">
        <f>data0!P10/range*(2^resolution-1)</f>
        <v>0</v>
      </c>
      <c r="Q10" s="28">
        <f>data0!Q10/range*(2^resolution-1)</f>
        <v>0</v>
      </c>
      <c r="R10" s="28">
        <f>data0!R10/range*(2^resolution-1)</f>
        <v>0</v>
      </c>
      <c r="S10" s="28">
        <f>data0!S10/range*(2^resolution-1)</f>
        <v>0</v>
      </c>
      <c r="T10" s="28">
        <f>data0!T10/range*(2^resolution-1)</f>
        <v>0</v>
      </c>
      <c r="U10" s="28">
        <f>data0!U10/range*(2^resolution-1)</f>
        <v>0</v>
      </c>
      <c r="V10" s="28">
        <f>data0!V10/range*(2^resolution-1)</f>
        <v>0</v>
      </c>
      <c r="W10" s="28">
        <f>data0!W10/range*(2^resolution-1)</f>
        <v>0</v>
      </c>
      <c r="X10" s="28">
        <f>data0!X10/range*(2^resolution-1)</f>
        <v>0</v>
      </c>
      <c r="Y10" s="28">
        <f>data0!Y10/range*(2^resolution-1)</f>
        <v>0</v>
      </c>
      <c r="Z10" s="28">
        <f>data0!Z10/range*(2^resolution-1)</f>
        <v>0</v>
      </c>
      <c r="AA10" s="28">
        <f>data0!AA10/range*(2^resolution-1)</f>
        <v>0</v>
      </c>
      <c r="AB10" s="28">
        <f>data0!AB10/range*(2^resolution-1)</f>
        <v>0</v>
      </c>
      <c r="AC10" s="28">
        <f>data0!AC10/range*(2^resolution-1)</f>
        <v>0</v>
      </c>
      <c r="AD10" s="28">
        <f>data0!AD10/range*(2^resolution-1)</f>
        <v>0</v>
      </c>
      <c r="AE10" s="28">
        <f>data0!AE10/range*(2^resolution-1)</f>
        <v>0</v>
      </c>
      <c r="AF10" s="28">
        <f>data0!AF10/range*(2^resolution-1)</f>
        <v>0</v>
      </c>
      <c r="AG10" s="28">
        <f>data0!AG10/range*(2^resolution-1)</f>
        <v>0</v>
      </c>
    </row>
    <row r="11" spans="1:33">
      <c r="A11" s="29">
        <f>data0!A11</f>
        <v>-63</v>
      </c>
      <c r="B11" s="28">
        <f>data0!B11/range*(2^resolution-1)</f>
        <v>0</v>
      </c>
      <c r="C11" s="28">
        <f>data0!C11/range*(2^resolution-1)</f>
        <v>0</v>
      </c>
      <c r="D11" s="28">
        <f>data0!D11/range*(2^resolution-1)</f>
        <v>0</v>
      </c>
      <c r="E11" s="28">
        <f>data0!E11/range*(2^resolution-1)</f>
        <v>0</v>
      </c>
      <c r="F11" s="28">
        <f>data0!F11/range*(2^resolution-1)</f>
        <v>0</v>
      </c>
      <c r="G11" s="28">
        <f>data0!G11/range*(2^resolution-1)</f>
        <v>0</v>
      </c>
      <c r="H11" s="28">
        <f>data0!H11/range*(2^resolution-1)</f>
        <v>0</v>
      </c>
      <c r="I11" s="28">
        <f>data0!I11/range*(2^resolution-1)</f>
        <v>0</v>
      </c>
      <c r="J11" s="28">
        <f>data0!J11/range*(2^resolution-1)</f>
        <v>0</v>
      </c>
      <c r="K11" s="28">
        <f>data0!K11/range*(2^resolution-1)</f>
        <v>0</v>
      </c>
      <c r="L11" s="28">
        <f>data0!L11/range*(2^resolution-1)</f>
        <v>0</v>
      </c>
      <c r="M11" s="28">
        <f>data0!M11/range*(2^resolution-1)</f>
        <v>0</v>
      </c>
      <c r="N11" s="28">
        <f>data0!N11/range*(2^resolution-1)</f>
        <v>0</v>
      </c>
      <c r="O11" s="28">
        <f>data0!O11/range*(2^resolution-1)</f>
        <v>0</v>
      </c>
      <c r="P11" s="28">
        <f>data0!P11/range*(2^resolution-1)</f>
        <v>0</v>
      </c>
      <c r="Q11" s="28">
        <f>data0!Q11/range*(2^resolution-1)</f>
        <v>0</v>
      </c>
      <c r="R11" s="28">
        <f>data0!R11/range*(2^resolution-1)</f>
        <v>0</v>
      </c>
      <c r="S11" s="28">
        <f>data0!S11/range*(2^resolution-1)</f>
        <v>0</v>
      </c>
      <c r="T11" s="28">
        <f>data0!T11/range*(2^resolution-1)</f>
        <v>0</v>
      </c>
      <c r="U11" s="28">
        <f>data0!U11/range*(2^resolution-1)</f>
        <v>0</v>
      </c>
      <c r="V11" s="28">
        <f>data0!V11/range*(2^resolution-1)</f>
        <v>0</v>
      </c>
      <c r="W11" s="28">
        <f>data0!W11/range*(2^resolution-1)</f>
        <v>0</v>
      </c>
      <c r="X11" s="28">
        <f>data0!X11/range*(2^resolution-1)</f>
        <v>0</v>
      </c>
      <c r="Y11" s="28">
        <f>data0!Y11/range*(2^resolution-1)</f>
        <v>0</v>
      </c>
      <c r="Z11" s="28">
        <f>data0!Z11/range*(2^resolution-1)</f>
        <v>0</v>
      </c>
      <c r="AA11" s="28">
        <f>data0!AA11/range*(2^resolution-1)</f>
        <v>0</v>
      </c>
      <c r="AB11" s="28">
        <f>data0!AB11/range*(2^resolution-1)</f>
        <v>0</v>
      </c>
      <c r="AC11" s="28">
        <f>data0!AC11/range*(2^resolution-1)</f>
        <v>0</v>
      </c>
      <c r="AD11" s="28">
        <f>data0!AD11/range*(2^resolution-1)</f>
        <v>0</v>
      </c>
      <c r="AE11" s="28">
        <f>data0!AE11/range*(2^resolution-1)</f>
        <v>0</v>
      </c>
      <c r="AF11" s="28">
        <f>data0!AF11/range*(2^resolution-1)</f>
        <v>0</v>
      </c>
      <c r="AG11" s="28">
        <f>data0!AG11/range*(2^resolution-1)</f>
        <v>0</v>
      </c>
    </row>
    <row r="12" spans="1:33">
      <c r="A12" s="29">
        <f>data0!A12</f>
        <v>-60</v>
      </c>
      <c r="B12" s="28">
        <f>data0!B12/range*(2^resolution-1)</f>
        <v>0</v>
      </c>
      <c r="C12" s="28">
        <f>data0!C12/range*(2^resolution-1)</f>
        <v>0</v>
      </c>
      <c r="D12" s="28">
        <f>data0!D12/range*(2^resolution-1)</f>
        <v>0</v>
      </c>
      <c r="E12" s="28">
        <f>data0!E12/range*(2^resolution-1)</f>
        <v>0</v>
      </c>
      <c r="F12" s="28">
        <f>data0!F12/range*(2^resolution-1)</f>
        <v>0</v>
      </c>
      <c r="G12" s="28">
        <f>data0!G12/range*(2^resolution-1)</f>
        <v>0</v>
      </c>
      <c r="H12" s="28">
        <f>data0!H12/range*(2^resolution-1)</f>
        <v>0</v>
      </c>
      <c r="I12" s="28">
        <f>data0!I12/range*(2^resolution-1)</f>
        <v>0</v>
      </c>
      <c r="J12" s="28">
        <f>data0!J12/range*(2^resolution-1)</f>
        <v>0</v>
      </c>
      <c r="K12" s="28">
        <f>data0!K12/range*(2^resolution-1)</f>
        <v>0</v>
      </c>
      <c r="L12" s="28">
        <f>data0!L12/range*(2^resolution-1)</f>
        <v>0</v>
      </c>
      <c r="M12" s="28">
        <f>data0!M12/range*(2^resolution-1)</f>
        <v>0</v>
      </c>
      <c r="N12" s="28">
        <f>data0!N12/range*(2^resolution-1)</f>
        <v>0</v>
      </c>
      <c r="O12" s="28">
        <f>data0!O12/range*(2^resolution-1)</f>
        <v>0</v>
      </c>
      <c r="P12" s="28">
        <f>data0!P12/range*(2^resolution-1)</f>
        <v>0</v>
      </c>
      <c r="Q12" s="28">
        <f>data0!Q12/range*(2^resolution-1)</f>
        <v>0</v>
      </c>
      <c r="R12" s="28">
        <f>data0!R12/range*(2^resolution-1)</f>
        <v>0</v>
      </c>
      <c r="S12" s="28">
        <f>data0!S12/range*(2^resolution-1)</f>
        <v>0</v>
      </c>
      <c r="T12" s="28">
        <f>data0!T12/range*(2^resolution-1)</f>
        <v>0</v>
      </c>
      <c r="U12" s="28">
        <f>data0!U12/range*(2^resolution-1)</f>
        <v>0</v>
      </c>
      <c r="V12" s="28">
        <f>data0!V12/range*(2^resolution-1)</f>
        <v>0</v>
      </c>
      <c r="W12" s="28">
        <f>data0!W12/range*(2^resolution-1)</f>
        <v>0</v>
      </c>
      <c r="X12" s="28">
        <f>data0!X12/range*(2^resolution-1)</f>
        <v>0</v>
      </c>
      <c r="Y12" s="28">
        <f>data0!Y12/range*(2^resolution-1)</f>
        <v>0</v>
      </c>
      <c r="Z12" s="28">
        <f>data0!Z12/range*(2^resolution-1)</f>
        <v>0</v>
      </c>
      <c r="AA12" s="28">
        <f>data0!AA12/range*(2^resolution-1)</f>
        <v>0</v>
      </c>
      <c r="AB12" s="28">
        <f>data0!AB12/range*(2^resolution-1)</f>
        <v>0</v>
      </c>
      <c r="AC12" s="28">
        <f>data0!AC12/range*(2^resolution-1)</f>
        <v>0</v>
      </c>
      <c r="AD12" s="28">
        <f>data0!AD12/range*(2^resolution-1)</f>
        <v>0</v>
      </c>
      <c r="AE12" s="28">
        <f>data0!AE12/range*(2^resolution-1)</f>
        <v>0</v>
      </c>
      <c r="AF12" s="28">
        <f>data0!AF12/range*(2^resolution-1)</f>
        <v>0</v>
      </c>
      <c r="AG12" s="28">
        <f>data0!AG12/range*(2^resolution-1)</f>
        <v>0</v>
      </c>
    </row>
    <row r="13" spans="1:33">
      <c r="A13" s="29">
        <f>data0!A13</f>
        <v>-57</v>
      </c>
      <c r="B13" s="28">
        <f>data0!B13/range*(2^resolution-1)</f>
        <v>0</v>
      </c>
      <c r="C13" s="28">
        <f>data0!C13/range*(2^resolution-1)</f>
        <v>0</v>
      </c>
      <c r="D13" s="28">
        <f>data0!D13/range*(2^resolution-1)</f>
        <v>0</v>
      </c>
      <c r="E13" s="28">
        <f>data0!E13/range*(2^resolution-1)</f>
        <v>0</v>
      </c>
      <c r="F13" s="28">
        <f>data0!F13/range*(2^resolution-1)</f>
        <v>0</v>
      </c>
      <c r="G13" s="28">
        <f>data0!G13/range*(2^resolution-1)</f>
        <v>0</v>
      </c>
      <c r="H13" s="28">
        <f>data0!H13/range*(2^resolution-1)</f>
        <v>0</v>
      </c>
      <c r="I13" s="28">
        <f>data0!I13/range*(2^resolution-1)</f>
        <v>0</v>
      </c>
      <c r="J13" s="28">
        <f>data0!J13/range*(2^resolution-1)</f>
        <v>0</v>
      </c>
      <c r="K13" s="28">
        <f>data0!K13/range*(2^resolution-1)</f>
        <v>0</v>
      </c>
      <c r="L13" s="28">
        <f>data0!L13/range*(2^resolution-1)</f>
        <v>0</v>
      </c>
      <c r="M13" s="28">
        <f>data0!M13/range*(2^resolution-1)</f>
        <v>0</v>
      </c>
      <c r="N13" s="28">
        <f>data0!N13/range*(2^resolution-1)</f>
        <v>0</v>
      </c>
      <c r="O13" s="28">
        <f>data0!O13/range*(2^resolution-1)</f>
        <v>0</v>
      </c>
      <c r="P13" s="28">
        <f>data0!P13/range*(2^resolution-1)</f>
        <v>0</v>
      </c>
      <c r="Q13" s="28">
        <f>data0!Q13/range*(2^resolution-1)</f>
        <v>0</v>
      </c>
      <c r="R13" s="28">
        <f>data0!R13/range*(2^resolution-1)</f>
        <v>0</v>
      </c>
      <c r="S13" s="28">
        <f>data0!S13/range*(2^resolution-1)</f>
        <v>0</v>
      </c>
      <c r="T13" s="28">
        <f>data0!T13/range*(2^resolution-1)</f>
        <v>0</v>
      </c>
      <c r="U13" s="28">
        <f>data0!U13/range*(2^resolution-1)</f>
        <v>0</v>
      </c>
      <c r="V13" s="28">
        <f>data0!V13/range*(2^resolution-1)</f>
        <v>0</v>
      </c>
      <c r="W13" s="28">
        <f>data0!W13/range*(2^resolution-1)</f>
        <v>0</v>
      </c>
      <c r="X13" s="28">
        <f>data0!X13/range*(2^resolution-1)</f>
        <v>0</v>
      </c>
      <c r="Y13" s="28">
        <f>data0!Y13/range*(2^resolution-1)</f>
        <v>0</v>
      </c>
      <c r="Z13" s="28">
        <f>data0!Z13/range*(2^resolution-1)</f>
        <v>0</v>
      </c>
      <c r="AA13" s="28">
        <f>data0!AA13/range*(2^resolution-1)</f>
        <v>0</v>
      </c>
      <c r="AB13" s="28">
        <f>data0!AB13/range*(2^resolution-1)</f>
        <v>0</v>
      </c>
      <c r="AC13" s="28">
        <f>data0!AC13/range*(2^resolution-1)</f>
        <v>0</v>
      </c>
      <c r="AD13" s="28">
        <f>data0!AD13/range*(2^resolution-1)</f>
        <v>0</v>
      </c>
      <c r="AE13" s="28">
        <f>data0!AE13/range*(2^resolution-1)</f>
        <v>0</v>
      </c>
      <c r="AF13" s="28">
        <f>data0!AF13/range*(2^resolution-1)</f>
        <v>0</v>
      </c>
      <c r="AG13" s="28">
        <f>data0!AG13/range*(2^resolution-1)</f>
        <v>0</v>
      </c>
    </row>
    <row r="14" spans="1:33">
      <c r="A14" s="29">
        <f>data0!A14</f>
        <v>-54</v>
      </c>
      <c r="B14" s="28">
        <f>data0!B14/range*(2^resolution-1)</f>
        <v>0</v>
      </c>
      <c r="C14" s="28">
        <f>data0!C14/range*(2^resolution-1)</f>
        <v>0</v>
      </c>
      <c r="D14" s="28">
        <f>data0!D14/range*(2^resolution-1)</f>
        <v>0</v>
      </c>
      <c r="E14" s="28">
        <f>data0!E14/range*(2^resolution-1)</f>
        <v>0</v>
      </c>
      <c r="F14" s="28">
        <f>data0!F14/range*(2^resolution-1)</f>
        <v>0</v>
      </c>
      <c r="G14" s="28">
        <f>data0!G14/range*(2^resolution-1)</f>
        <v>0</v>
      </c>
      <c r="H14" s="28">
        <f>data0!H14/range*(2^resolution-1)</f>
        <v>0</v>
      </c>
      <c r="I14" s="28">
        <f>data0!I14/range*(2^resolution-1)</f>
        <v>0</v>
      </c>
      <c r="J14" s="28">
        <f>data0!J14/range*(2^resolution-1)</f>
        <v>0</v>
      </c>
      <c r="K14" s="28">
        <f>data0!K14/range*(2^resolution-1)</f>
        <v>0</v>
      </c>
      <c r="L14" s="28">
        <f>data0!L14/range*(2^resolution-1)</f>
        <v>0</v>
      </c>
      <c r="M14" s="28">
        <f>data0!M14/range*(2^resolution-1)</f>
        <v>0</v>
      </c>
      <c r="N14" s="28">
        <f>data0!N14/range*(2^resolution-1)</f>
        <v>0</v>
      </c>
      <c r="O14" s="28">
        <f>data0!O14/range*(2^resolution-1)</f>
        <v>0</v>
      </c>
      <c r="P14" s="28">
        <f>data0!P14/range*(2^resolution-1)</f>
        <v>0</v>
      </c>
      <c r="Q14" s="28">
        <f>data0!Q14/range*(2^resolution-1)</f>
        <v>0</v>
      </c>
      <c r="R14" s="28">
        <f>data0!R14/range*(2^resolution-1)</f>
        <v>0</v>
      </c>
      <c r="S14" s="28">
        <f>data0!S14/range*(2^resolution-1)</f>
        <v>0</v>
      </c>
      <c r="T14" s="28">
        <f>data0!T14/range*(2^resolution-1)</f>
        <v>0</v>
      </c>
      <c r="U14" s="28">
        <f>data0!U14/range*(2^resolution-1)</f>
        <v>0</v>
      </c>
      <c r="V14" s="28">
        <f>data0!V14/range*(2^resolution-1)</f>
        <v>0</v>
      </c>
      <c r="W14" s="28">
        <f>data0!W14/range*(2^resolution-1)</f>
        <v>0</v>
      </c>
      <c r="X14" s="28">
        <f>data0!X14/range*(2^resolution-1)</f>
        <v>0</v>
      </c>
      <c r="Y14" s="28">
        <f>data0!Y14/range*(2^resolution-1)</f>
        <v>0</v>
      </c>
      <c r="Z14" s="28">
        <f>data0!Z14/range*(2^resolution-1)</f>
        <v>0</v>
      </c>
      <c r="AA14" s="28">
        <f>data0!AA14/range*(2^resolution-1)</f>
        <v>0</v>
      </c>
      <c r="AB14" s="28">
        <f>data0!AB14/range*(2^resolution-1)</f>
        <v>0</v>
      </c>
      <c r="AC14" s="28">
        <f>data0!AC14/range*(2^resolution-1)</f>
        <v>0</v>
      </c>
      <c r="AD14" s="28">
        <f>data0!AD14/range*(2^resolution-1)</f>
        <v>0</v>
      </c>
      <c r="AE14" s="28">
        <f>data0!AE14/range*(2^resolution-1)</f>
        <v>0</v>
      </c>
      <c r="AF14" s="28">
        <f>data0!AF14/range*(2^resolution-1)</f>
        <v>0</v>
      </c>
      <c r="AG14" s="28">
        <f>data0!AG14/range*(2^resolution-1)</f>
        <v>0</v>
      </c>
    </row>
    <row r="15" spans="1:33">
      <c r="A15" s="29">
        <f>data0!A15</f>
        <v>-51</v>
      </c>
      <c r="B15" s="28">
        <f>data0!B15/range*(2^resolution-1)</f>
        <v>0</v>
      </c>
      <c r="C15" s="28">
        <f>data0!C15/range*(2^resolution-1)</f>
        <v>0</v>
      </c>
      <c r="D15" s="28">
        <f>data0!D15/range*(2^resolution-1)</f>
        <v>0</v>
      </c>
      <c r="E15" s="28">
        <f>data0!E15/range*(2^resolution-1)</f>
        <v>0</v>
      </c>
      <c r="F15" s="28">
        <f>data0!F15/range*(2^resolution-1)</f>
        <v>0</v>
      </c>
      <c r="G15" s="28">
        <f>data0!G15/range*(2^resolution-1)</f>
        <v>0</v>
      </c>
      <c r="H15" s="28">
        <f>data0!H15/range*(2^resolution-1)</f>
        <v>0</v>
      </c>
      <c r="I15" s="28">
        <f>data0!I15/range*(2^resolution-1)</f>
        <v>0</v>
      </c>
      <c r="J15" s="28">
        <f>data0!J15/range*(2^resolution-1)</f>
        <v>0</v>
      </c>
      <c r="K15" s="28">
        <f>data0!K15/range*(2^resolution-1)</f>
        <v>0</v>
      </c>
      <c r="L15" s="28">
        <f>data0!L15/range*(2^resolution-1)</f>
        <v>0</v>
      </c>
      <c r="M15" s="28">
        <f>data0!M15/range*(2^resolution-1)</f>
        <v>0</v>
      </c>
      <c r="N15" s="28">
        <f>data0!N15/range*(2^resolution-1)</f>
        <v>0</v>
      </c>
      <c r="O15" s="28">
        <f>data0!O15/range*(2^resolution-1)</f>
        <v>0</v>
      </c>
      <c r="P15" s="28">
        <f>data0!P15/range*(2^resolution-1)</f>
        <v>0</v>
      </c>
      <c r="Q15" s="28">
        <f>data0!Q15/range*(2^resolution-1)</f>
        <v>0</v>
      </c>
      <c r="R15" s="28">
        <f>data0!R15/range*(2^resolution-1)</f>
        <v>0</v>
      </c>
      <c r="S15" s="28">
        <f>data0!S15/range*(2^resolution-1)</f>
        <v>0</v>
      </c>
      <c r="T15" s="28">
        <f>data0!T15/range*(2^resolution-1)</f>
        <v>0</v>
      </c>
      <c r="U15" s="28">
        <f>data0!U15/range*(2^resolution-1)</f>
        <v>0</v>
      </c>
      <c r="V15" s="28">
        <f>data0!V15/range*(2^resolution-1)</f>
        <v>0</v>
      </c>
      <c r="W15" s="28">
        <f>data0!W15/range*(2^resolution-1)</f>
        <v>0</v>
      </c>
      <c r="X15" s="28">
        <f>data0!X15/range*(2^resolution-1)</f>
        <v>0</v>
      </c>
      <c r="Y15" s="28">
        <f>data0!Y15/range*(2^resolution-1)</f>
        <v>0</v>
      </c>
      <c r="Z15" s="28">
        <f>data0!Z15/range*(2^resolution-1)</f>
        <v>0</v>
      </c>
      <c r="AA15" s="28">
        <f>data0!AA15/range*(2^resolution-1)</f>
        <v>0</v>
      </c>
      <c r="AB15" s="28">
        <f>data0!AB15/range*(2^resolution-1)</f>
        <v>0</v>
      </c>
      <c r="AC15" s="28">
        <f>data0!AC15/range*(2^resolution-1)</f>
        <v>0</v>
      </c>
      <c r="AD15" s="28">
        <f>data0!AD15/range*(2^resolution-1)</f>
        <v>0</v>
      </c>
      <c r="AE15" s="28">
        <f>data0!AE15/range*(2^resolution-1)</f>
        <v>0</v>
      </c>
      <c r="AF15" s="28">
        <f>data0!AF15/range*(2^resolution-1)</f>
        <v>0</v>
      </c>
      <c r="AG15" s="28">
        <f>data0!AG15/range*(2^resolution-1)</f>
        <v>0</v>
      </c>
    </row>
    <row r="16" spans="1:33">
      <c r="A16" s="29">
        <f>data0!A16</f>
        <v>-48</v>
      </c>
      <c r="B16" s="28">
        <f>data0!B16/range*(2^resolution-1)</f>
        <v>0</v>
      </c>
      <c r="C16" s="28">
        <f>data0!C16/range*(2^resolution-1)</f>
        <v>0</v>
      </c>
      <c r="D16" s="28">
        <f>data0!D16/range*(2^resolution-1)</f>
        <v>0</v>
      </c>
      <c r="E16" s="28">
        <f>data0!E16/range*(2^resolution-1)</f>
        <v>0</v>
      </c>
      <c r="F16" s="28">
        <f>data0!F16/range*(2^resolution-1)</f>
        <v>0</v>
      </c>
      <c r="G16" s="28">
        <f>data0!G16/range*(2^resolution-1)</f>
        <v>0</v>
      </c>
      <c r="H16" s="28">
        <f>data0!H16/range*(2^resolution-1)</f>
        <v>0</v>
      </c>
      <c r="I16" s="28">
        <f>data0!I16/range*(2^resolution-1)</f>
        <v>0</v>
      </c>
      <c r="J16" s="28">
        <f>data0!J16/range*(2^resolution-1)</f>
        <v>0</v>
      </c>
      <c r="K16" s="28">
        <f>data0!K16/range*(2^resolution-1)</f>
        <v>0</v>
      </c>
      <c r="L16" s="28">
        <f>data0!L16/range*(2^resolution-1)</f>
        <v>0</v>
      </c>
      <c r="M16" s="28">
        <f>data0!M16/range*(2^resolution-1)</f>
        <v>0</v>
      </c>
      <c r="N16" s="28">
        <f>data0!N16/range*(2^resolution-1)</f>
        <v>0</v>
      </c>
      <c r="O16" s="28">
        <f>data0!O16/range*(2^resolution-1)</f>
        <v>0</v>
      </c>
      <c r="P16" s="28">
        <f>data0!P16/range*(2^resolution-1)</f>
        <v>0</v>
      </c>
      <c r="Q16" s="28">
        <f>data0!Q16/range*(2^resolution-1)</f>
        <v>0</v>
      </c>
      <c r="R16" s="28">
        <f>data0!R16/range*(2^resolution-1)</f>
        <v>0</v>
      </c>
      <c r="S16" s="28">
        <f>data0!S16/range*(2^resolution-1)</f>
        <v>0</v>
      </c>
      <c r="T16" s="28">
        <f>data0!T16/range*(2^resolution-1)</f>
        <v>0</v>
      </c>
      <c r="U16" s="28">
        <f>data0!U16/range*(2^resolution-1)</f>
        <v>0</v>
      </c>
      <c r="V16" s="28">
        <f>data0!V16/range*(2^resolution-1)</f>
        <v>0</v>
      </c>
      <c r="W16" s="28">
        <f>data0!W16/range*(2^resolution-1)</f>
        <v>0</v>
      </c>
      <c r="X16" s="28">
        <f>data0!X16/range*(2^resolution-1)</f>
        <v>0</v>
      </c>
      <c r="Y16" s="28">
        <f>data0!Y16/range*(2^resolution-1)</f>
        <v>0</v>
      </c>
      <c r="Z16" s="28">
        <f>data0!Z16/range*(2^resolution-1)</f>
        <v>0</v>
      </c>
      <c r="AA16" s="28">
        <f>data0!AA16/range*(2^resolution-1)</f>
        <v>0</v>
      </c>
      <c r="AB16" s="28">
        <f>data0!AB16/range*(2^resolution-1)</f>
        <v>0</v>
      </c>
      <c r="AC16" s="28">
        <f>data0!AC16/range*(2^resolution-1)</f>
        <v>0</v>
      </c>
      <c r="AD16" s="28">
        <f>data0!AD16/range*(2^resolution-1)</f>
        <v>0</v>
      </c>
      <c r="AE16" s="28">
        <f>data0!AE16/range*(2^resolution-1)</f>
        <v>0</v>
      </c>
      <c r="AF16" s="28">
        <f>data0!AF16/range*(2^resolution-1)</f>
        <v>0</v>
      </c>
      <c r="AG16" s="28">
        <f>data0!AG16/range*(2^resolution-1)</f>
        <v>0</v>
      </c>
    </row>
    <row r="17" spans="1:33">
      <c r="A17" s="29">
        <f>data0!A17</f>
        <v>-45</v>
      </c>
      <c r="B17" s="28">
        <f>data0!B17/range*(2^resolution-1)</f>
        <v>0</v>
      </c>
      <c r="C17" s="28">
        <f>data0!C17/range*(2^resolution-1)</f>
        <v>0</v>
      </c>
      <c r="D17" s="28">
        <f>data0!D17/range*(2^resolution-1)</f>
        <v>0</v>
      </c>
      <c r="E17" s="28">
        <f>data0!E17/range*(2^resolution-1)</f>
        <v>0</v>
      </c>
      <c r="F17" s="28">
        <f>data0!F17/range*(2^resolution-1)</f>
        <v>0</v>
      </c>
      <c r="G17" s="28">
        <f>data0!G17/range*(2^resolution-1)</f>
        <v>0</v>
      </c>
      <c r="H17" s="28">
        <f>data0!H17/range*(2^resolution-1)</f>
        <v>0</v>
      </c>
      <c r="I17" s="28">
        <f>data0!I17/range*(2^resolution-1)</f>
        <v>0</v>
      </c>
      <c r="J17" s="28">
        <f>data0!J17/range*(2^resolution-1)</f>
        <v>0</v>
      </c>
      <c r="K17" s="28">
        <f>data0!K17/range*(2^resolution-1)</f>
        <v>0</v>
      </c>
      <c r="L17" s="28">
        <f>data0!L17/range*(2^resolution-1)</f>
        <v>0</v>
      </c>
      <c r="M17" s="28">
        <f>data0!M17/range*(2^resolution-1)</f>
        <v>0</v>
      </c>
      <c r="N17" s="28">
        <f>data0!N17/range*(2^resolution-1)</f>
        <v>0</v>
      </c>
      <c r="O17" s="28">
        <f>data0!O17/range*(2^resolution-1)</f>
        <v>0</v>
      </c>
      <c r="P17" s="28">
        <f>data0!P17/range*(2^resolution-1)</f>
        <v>0</v>
      </c>
      <c r="Q17" s="28">
        <f>data0!Q17/range*(2^resolution-1)</f>
        <v>0</v>
      </c>
      <c r="R17" s="28">
        <f>data0!R17/range*(2^resolution-1)</f>
        <v>0</v>
      </c>
      <c r="S17" s="28">
        <f>data0!S17/range*(2^resolution-1)</f>
        <v>0</v>
      </c>
      <c r="T17" s="28">
        <f>data0!T17/range*(2^resolution-1)</f>
        <v>0</v>
      </c>
      <c r="U17" s="28">
        <f>data0!U17/range*(2^resolution-1)</f>
        <v>0</v>
      </c>
      <c r="V17" s="28">
        <f>data0!V17/range*(2^resolution-1)</f>
        <v>0</v>
      </c>
      <c r="W17" s="28">
        <f>data0!W17/range*(2^resolution-1)</f>
        <v>0</v>
      </c>
      <c r="X17" s="28">
        <f>data0!X17/range*(2^resolution-1)</f>
        <v>0</v>
      </c>
      <c r="Y17" s="28">
        <f>data0!Y17/range*(2^resolution-1)</f>
        <v>0</v>
      </c>
      <c r="Z17" s="28">
        <f>data0!Z17/range*(2^resolution-1)</f>
        <v>0</v>
      </c>
      <c r="AA17" s="28">
        <f>data0!AA17/range*(2^resolution-1)</f>
        <v>0</v>
      </c>
      <c r="AB17" s="28">
        <f>data0!AB17/range*(2^resolution-1)</f>
        <v>0</v>
      </c>
      <c r="AC17" s="28">
        <f>data0!AC17/range*(2^resolution-1)</f>
        <v>0</v>
      </c>
      <c r="AD17" s="28">
        <f>data0!AD17/range*(2^resolution-1)</f>
        <v>0</v>
      </c>
      <c r="AE17" s="28">
        <f>data0!AE17/range*(2^resolution-1)</f>
        <v>0</v>
      </c>
      <c r="AF17" s="28">
        <f>data0!AF17/range*(2^resolution-1)</f>
        <v>0</v>
      </c>
      <c r="AG17" s="28">
        <f>data0!AG17/range*(2^resolution-1)</f>
        <v>0</v>
      </c>
    </row>
    <row r="18" spans="1:33">
      <c r="A18" s="29">
        <f>data0!A18</f>
        <v>-42</v>
      </c>
      <c r="B18" s="28">
        <f>data0!B18/range*(2^resolution-1)</f>
        <v>0</v>
      </c>
      <c r="C18" s="28">
        <f>data0!C18/range*(2^resolution-1)</f>
        <v>0</v>
      </c>
      <c r="D18" s="28">
        <f>data0!D18/range*(2^resolution-1)</f>
        <v>0</v>
      </c>
      <c r="E18" s="28">
        <f>data0!E18/range*(2^resolution-1)</f>
        <v>0</v>
      </c>
      <c r="F18" s="28">
        <f>data0!F18/range*(2^resolution-1)</f>
        <v>0</v>
      </c>
      <c r="G18" s="28">
        <f>data0!G18/range*(2^resolution-1)</f>
        <v>0</v>
      </c>
      <c r="H18" s="28">
        <f>data0!H18/range*(2^resolution-1)</f>
        <v>0</v>
      </c>
      <c r="I18" s="28">
        <f>data0!I18/range*(2^resolution-1)</f>
        <v>0</v>
      </c>
      <c r="J18" s="28">
        <f>data0!J18/range*(2^resolution-1)</f>
        <v>0</v>
      </c>
      <c r="K18" s="28">
        <f>data0!K18/range*(2^resolution-1)</f>
        <v>0</v>
      </c>
      <c r="L18" s="28">
        <f>data0!L18/range*(2^resolution-1)</f>
        <v>0</v>
      </c>
      <c r="M18" s="28">
        <f>data0!M18/range*(2^resolution-1)</f>
        <v>0</v>
      </c>
      <c r="N18" s="28">
        <f>data0!N18/range*(2^resolution-1)</f>
        <v>0</v>
      </c>
      <c r="O18" s="28">
        <f>data0!O18/range*(2^resolution-1)</f>
        <v>0</v>
      </c>
      <c r="P18" s="28">
        <f>data0!P18/range*(2^resolution-1)</f>
        <v>0</v>
      </c>
      <c r="Q18" s="28">
        <f>data0!Q18/range*(2^resolution-1)</f>
        <v>0</v>
      </c>
      <c r="R18" s="28">
        <f>data0!R18/range*(2^resolution-1)</f>
        <v>0</v>
      </c>
      <c r="S18" s="28">
        <f>data0!S18/range*(2^resolution-1)</f>
        <v>0</v>
      </c>
      <c r="T18" s="28">
        <f>data0!T18/range*(2^resolution-1)</f>
        <v>0</v>
      </c>
      <c r="U18" s="28">
        <f>data0!U18/range*(2^resolution-1)</f>
        <v>0</v>
      </c>
      <c r="V18" s="28">
        <f>data0!V18/range*(2^resolution-1)</f>
        <v>0</v>
      </c>
      <c r="W18" s="28">
        <f>data0!W18/range*(2^resolution-1)</f>
        <v>0</v>
      </c>
      <c r="X18" s="28">
        <f>data0!X18/range*(2^resolution-1)</f>
        <v>0</v>
      </c>
      <c r="Y18" s="28">
        <f>data0!Y18/range*(2^resolution-1)</f>
        <v>0</v>
      </c>
      <c r="Z18" s="28">
        <f>data0!Z18/range*(2^resolution-1)</f>
        <v>0</v>
      </c>
      <c r="AA18" s="28">
        <f>data0!AA18/range*(2^resolution-1)</f>
        <v>0</v>
      </c>
      <c r="AB18" s="28">
        <f>data0!AB18/range*(2^resolution-1)</f>
        <v>0</v>
      </c>
      <c r="AC18" s="28">
        <f>data0!AC18/range*(2^resolution-1)</f>
        <v>0</v>
      </c>
      <c r="AD18" s="28">
        <f>data0!AD18/range*(2^resolution-1)</f>
        <v>0</v>
      </c>
      <c r="AE18" s="28">
        <f>data0!AE18/range*(2^resolution-1)</f>
        <v>0</v>
      </c>
      <c r="AF18" s="28">
        <f>data0!AF18/range*(2^resolution-1)</f>
        <v>0</v>
      </c>
      <c r="AG18" s="28">
        <f>data0!AG18/range*(2^resolution-1)</f>
        <v>0</v>
      </c>
    </row>
    <row r="19" spans="1:33">
      <c r="A19" s="29">
        <f>data0!A19</f>
        <v>-39</v>
      </c>
      <c r="B19" s="28">
        <f>data0!B19/range*(2^resolution-1)</f>
        <v>0</v>
      </c>
      <c r="C19" s="28">
        <f>data0!C19/range*(2^resolution-1)</f>
        <v>0</v>
      </c>
      <c r="D19" s="28">
        <f>data0!D19/range*(2^resolution-1)</f>
        <v>0</v>
      </c>
      <c r="E19" s="28">
        <f>data0!E19/range*(2^resolution-1)</f>
        <v>0</v>
      </c>
      <c r="F19" s="28">
        <f>data0!F19/range*(2^resolution-1)</f>
        <v>0</v>
      </c>
      <c r="G19" s="28">
        <f>data0!G19/range*(2^resolution-1)</f>
        <v>0</v>
      </c>
      <c r="H19" s="28">
        <f>data0!H19/range*(2^resolution-1)</f>
        <v>0</v>
      </c>
      <c r="I19" s="28">
        <f>data0!I19/range*(2^resolution-1)</f>
        <v>0</v>
      </c>
      <c r="J19" s="28">
        <f>data0!J19/range*(2^resolution-1)</f>
        <v>0</v>
      </c>
      <c r="K19" s="28">
        <f>data0!K19/range*(2^resolution-1)</f>
        <v>0</v>
      </c>
      <c r="L19" s="28">
        <f>data0!L19/range*(2^resolution-1)</f>
        <v>0</v>
      </c>
      <c r="M19" s="28">
        <f>data0!M19/range*(2^resolution-1)</f>
        <v>0</v>
      </c>
      <c r="N19" s="28">
        <f>data0!N19/range*(2^resolution-1)</f>
        <v>0</v>
      </c>
      <c r="O19" s="28">
        <f>data0!O19/range*(2^resolution-1)</f>
        <v>0</v>
      </c>
      <c r="P19" s="28">
        <f>data0!P19/range*(2^resolution-1)</f>
        <v>0</v>
      </c>
      <c r="Q19" s="28">
        <f>data0!Q19/range*(2^resolution-1)</f>
        <v>0</v>
      </c>
      <c r="R19" s="28">
        <f>data0!R19/range*(2^resolution-1)</f>
        <v>0</v>
      </c>
      <c r="S19" s="28">
        <f>data0!S19/range*(2^resolution-1)</f>
        <v>0</v>
      </c>
      <c r="T19" s="28">
        <f>data0!T19/range*(2^resolution-1)</f>
        <v>0</v>
      </c>
      <c r="U19" s="28">
        <f>data0!U19/range*(2^resolution-1)</f>
        <v>0</v>
      </c>
      <c r="V19" s="28">
        <f>data0!V19/range*(2^resolution-1)</f>
        <v>0</v>
      </c>
      <c r="W19" s="28">
        <f>data0!W19/range*(2^resolution-1)</f>
        <v>0</v>
      </c>
      <c r="X19" s="28">
        <f>data0!X19/range*(2^resolution-1)</f>
        <v>0</v>
      </c>
      <c r="Y19" s="28">
        <f>data0!Y19/range*(2^resolution-1)</f>
        <v>0</v>
      </c>
      <c r="Z19" s="28">
        <f>data0!Z19/range*(2^resolution-1)</f>
        <v>0</v>
      </c>
      <c r="AA19" s="28">
        <f>data0!AA19/range*(2^resolution-1)</f>
        <v>0</v>
      </c>
      <c r="AB19" s="28">
        <f>data0!AB19/range*(2^resolution-1)</f>
        <v>0</v>
      </c>
      <c r="AC19" s="28">
        <f>data0!AC19/range*(2^resolution-1)</f>
        <v>0</v>
      </c>
      <c r="AD19" s="28">
        <f>data0!AD19/range*(2^resolution-1)</f>
        <v>0</v>
      </c>
      <c r="AE19" s="28">
        <f>data0!AE19/range*(2^resolution-1)</f>
        <v>0</v>
      </c>
      <c r="AF19" s="28">
        <f>data0!AF19/range*(2^resolution-1)</f>
        <v>0</v>
      </c>
      <c r="AG19" s="28">
        <f>data0!AG19/range*(2^resolution-1)</f>
        <v>0</v>
      </c>
    </row>
    <row r="20" spans="1:33">
      <c r="A20" s="29">
        <f>data0!A20</f>
        <v>-36</v>
      </c>
      <c r="B20" s="28">
        <f>data0!B20/range*(2^resolution-1)</f>
        <v>0</v>
      </c>
      <c r="C20" s="28">
        <f>data0!C20/range*(2^resolution-1)</f>
        <v>0</v>
      </c>
      <c r="D20" s="28">
        <f>data0!D20/range*(2^resolution-1)</f>
        <v>0</v>
      </c>
      <c r="E20" s="28">
        <f>data0!E20/range*(2^resolution-1)</f>
        <v>0</v>
      </c>
      <c r="F20" s="28">
        <f>data0!F20/range*(2^resolution-1)</f>
        <v>0</v>
      </c>
      <c r="G20" s="28">
        <f>data0!G20/range*(2^resolution-1)</f>
        <v>0</v>
      </c>
      <c r="H20" s="28">
        <f>data0!H20/range*(2^resolution-1)</f>
        <v>0</v>
      </c>
      <c r="I20" s="28">
        <f>data0!I20/range*(2^resolution-1)</f>
        <v>0</v>
      </c>
      <c r="J20" s="28">
        <f>data0!J20/range*(2^resolution-1)</f>
        <v>0</v>
      </c>
      <c r="K20" s="28">
        <f>data0!K20/range*(2^resolution-1)</f>
        <v>0</v>
      </c>
      <c r="L20" s="28">
        <f>data0!L20/range*(2^resolution-1)</f>
        <v>0</v>
      </c>
      <c r="M20" s="28">
        <f>data0!M20/range*(2^resolution-1)</f>
        <v>0</v>
      </c>
      <c r="N20" s="28">
        <f>data0!N20/range*(2^resolution-1)</f>
        <v>0</v>
      </c>
      <c r="O20" s="28">
        <f>data0!O20/range*(2^resolution-1)</f>
        <v>0</v>
      </c>
      <c r="P20" s="28">
        <f>data0!P20/range*(2^resolution-1)</f>
        <v>0</v>
      </c>
      <c r="Q20" s="28">
        <f>data0!Q20/range*(2^resolution-1)</f>
        <v>0</v>
      </c>
      <c r="R20" s="28">
        <f>data0!R20/range*(2^resolution-1)</f>
        <v>0</v>
      </c>
      <c r="S20" s="28">
        <f>data0!S20/range*(2^resolution-1)</f>
        <v>0</v>
      </c>
      <c r="T20" s="28">
        <f>data0!T20/range*(2^resolution-1)</f>
        <v>0</v>
      </c>
      <c r="U20" s="28">
        <f>data0!U20/range*(2^resolution-1)</f>
        <v>0</v>
      </c>
      <c r="V20" s="28">
        <f>data0!V20/range*(2^resolution-1)</f>
        <v>0</v>
      </c>
      <c r="W20" s="28">
        <f>data0!W20/range*(2^resolution-1)</f>
        <v>0</v>
      </c>
      <c r="X20" s="28">
        <f>data0!X20/range*(2^resolution-1)</f>
        <v>0</v>
      </c>
      <c r="Y20" s="28">
        <f>data0!Y20/range*(2^resolution-1)</f>
        <v>0</v>
      </c>
      <c r="Z20" s="28">
        <f>data0!Z20/range*(2^resolution-1)</f>
        <v>0</v>
      </c>
      <c r="AA20" s="28">
        <f>data0!AA20/range*(2^resolution-1)</f>
        <v>0</v>
      </c>
      <c r="AB20" s="28">
        <f>data0!AB20/range*(2^resolution-1)</f>
        <v>0</v>
      </c>
      <c r="AC20" s="28">
        <f>data0!AC20/range*(2^resolution-1)</f>
        <v>0</v>
      </c>
      <c r="AD20" s="28">
        <f>data0!AD20/range*(2^resolution-1)</f>
        <v>0</v>
      </c>
      <c r="AE20" s="28">
        <f>data0!AE20/range*(2^resolution-1)</f>
        <v>0</v>
      </c>
      <c r="AF20" s="28">
        <f>data0!AF20/range*(2^resolution-1)</f>
        <v>0</v>
      </c>
      <c r="AG20" s="28">
        <f>data0!AG20/range*(2^resolution-1)</f>
        <v>0</v>
      </c>
    </row>
    <row r="21" spans="1:33">
      <c r="A21" s="29">
        <f>data0!A21</f>
        <v>-33</v>
      </c>
      <c r="B21" s="28">
        <f>data0!B21/range*(2^resolution-1)</f>
        <v>0</v>
      </c>
      <c r="C21" s="28">
        <f>data0!C21/range*(2^resolution-1)</f>
        <v>0</v>
      </c>
      <c r="D21" s="28">
        <f>data0!D21/range*(2^resolution-1)</f>
        <v>0</v>
      </c>
      <c r="E21" s="28">
        <f>data0!E21/range*(2^resolution-1)</f>
        <v>0</v>
      </c>
      <c r="F21" s="28">
        <f>data0!F21/range*(2^resolution-1)</f>
        <v>0</v>
      </c>
      <c r="G21" s="28">
        <f>data0!G21/range*(2^resolution-1)</f>
        <v>0</v>
      </c>
      <c r="H21" s="28">
        <f>data0!H21/range*(2^resolution-1)</f>
        <v>0</v>
      </c>
      <c r="I21" s="28">
        <f>data0!I21/range*(2^resolution-1)</f>
        <v>0</v>
      </c>
      <c r="J21" s="28">
        <f>data0!J21/range*(2^resolution-1)</f>
        <v>0</v>
      </c>
      <c r="K21" s="28">
        <f>data0!K21/range*(2^resolution-1)</f>
        <v>0</v>
      </c>
      <c r="L21" s="28">
        <f>data0!L21/range*(2^resolution-1)</f>
        <v>0</v>
      </c>
      <c r="M21" s="28">
        <f>data0!M21/range*(2^resolution-1)</f>
        <v>0</v>
      </c>
      <c r="N21" s="28">
        <f>data0!N21/range*(2^resolution-1)</f>
        <v>0</v>
      </c>
      <c r="O21" s="28">
        <f>data0!O21/range*(2^resolution-1)</f>
        <v>0</v>
      </c>
      <c r="P21" s="28">
        <f>data0!P21/range*(2^resolution-1)</f>
        <v>0</v>
      </c>
      <c r="Q21" s="28">
        <f>data0!Q21/range*(2^resolution-1)</f>
        <v>0</v>
      </c>
      <c r="R21" s="28">
        <f>data0!R21/range*(2^resolution-1)</f>
        <v>0</v>
      </c>
      <c r="S21" s="28">
        <f>data0!S21/range*(2^resolution-1)</f>
        <v>0</v>
      </c>
      <c r="T21" s="28">
        <f>data0!T21/range*(2^resolution-1)</f>
        <v>0</v>
      </c>
      <c r="U21" s="28">
        <f>data0!U21/range*(2^resolution-1)</f>
        <v>0</v>
      </c>
      <c r="V21" s="28">
        <f>data0!V21/range*(2^resolution-1)</f>
        <v>0</v>
      </c>
      <c r="W21" s="28">
        <f>data0!W21/range*(2^resolution-1)</f>
        <v>0</v>
      </c>
      <c r="X21" s="28">
        <f>data0!X21/range*(2^resolution-1)</f>
        <v>0</v>
      </c>
      <c r="Y21" s="28">
        <f>data0!Y21/range*(2^resolution-1)</f>
        <v>0</v>
      </c>
      <c r="Z21" s="28">
        <f>data0!Z21/range*(2^resolution-1)</f>
        <v>0</v>
      </c>
      <c r="AA21" s="28">
        <f>data0!AA21/range*(2^resolution-1)</f>
        <v>0</v>
      </c>
      <c r="AB21" s="28">
        <f>data0!AB21/range*(2^resolution-1)</f>
        <v>0</v>
      </c>
      <c r="AC21" s="28">
        <f>data0!AC21/range*(2^resolution-1)</f>
        <v>0</v>
      </c>
      <c r="AD21" s="28">
        <f>data0!AD21/range*(2^resolution-1)</f>
        <v>0</v>
      </c>
      <c r="AE21" s="28">
        <f>data0!AE21/range*(2^resolution-1)</f>
        <v>0</v>
      </c>
      <c r="AF21" s="28">
        <f>data0!AF21/range*(2^resolution-1)</f>
        <v>0</v>
      </c>
      <c r="AG21" s="28">
        <f>data0!AG21/range*(2^resolution-1)</f>
        <v>0</v>
      </c>
    </row>
    <row r="22" spans="1:33">
      <c r="A22" s="29">
        <f>data0!A22</f>
        <v>-30</v>
      </c>
      <c r="B22" s="28">
        <f>data0!B22/range*(2^resolution-1)</f>
        <v>0</v>
      </c>
      <c r="C22" s="28">
        <f>data0!C22/range*(2^resolution-1)</f>
        <v>0</v>
      </c>
      <c r="D22" s="28">
        <f>data0!D22/range*(2^resolution-1)</f>
        <v>0</v>
      </c>
      <c r="E22" s="28">
        <f>data0!E22/range*(2^resolution-1)</f>
        <v>0</v>
      </c>
      <c r="F22" s="28">
        <f>data0!F22/range*(2^resolution-1)</f>
        <v>0</v>
      </c>
      <c r="G22" s="28">
        <f>data0!G22/range*(2^resolution-1)</f>
        <v>0</v>
      </c>
      <c r="H22" s="28">
        <f>data0!H22/range*(2^resolution-1)</f>
        <v>0</v>
      </c>
      <c r="I22" s="28">
        <f>data0!I22/range*(2^resolution-1)</f>
        <v>0</v>
      </c>
      <c r="J22" s="28">
        <f>data0!J22/range*(2^resolution-1)</f>
        <v>0</v>
      </c>
      <c r="K22" s="28">
        <f>data0!K22/range*(2^resolution-1)</f>
        <v>0</v>
      </c>
      <c r="L22" s="28">
        <f>data0!L22/range*(2^resolution-1)</f>
        <v>0</v>
      </c>
      <c r="M22" s="28">
        <f>data0!M22/range*(2^resolution-1)</f>
        <v>0</v>
      </c>
      <c r="N22" s="28">
        <f>data0!N22/range*(2^resolution-1)</f>
        <v>0</v>
      </c>
      <c r="O22" s="28">
        <f>data0!O22/range*(2^resolution-1)</f>
        <v>0</v>
      </c>
      <c r="P22" s="28">
        <f>data0!P22/range*(2^resolution-1)</f>
        <v>0</v>
      </c>
      <c r="Q22" s="28">
        <f>data0!Q22/range*(2^resolution-1)</f>
        <v>0</v>
      </c>
      <c r="R22" s="28">
        <f>data0!R22/range*(2^resolution-1)</f>
        <v>0</v>
      </c>
      <c r="S22" s="28">
        <f>data0!S22/range*(2^resolution-1)</f>
        <v>0</v>
      </c>
      <c r="T22" s="28">
        <f>data0!T22/range*(2^resolution-1)</f>
        <v>0</v>
      </c>
      <c r="U22" s="28">
        <f>data0!U22/range*(2^resolution-1)</f>
        <v>0</v>
      </c>
      <c r="V22" s="28">
        <f>data0!V22/range*(2^resolution-1)</f>
        <v>0</v>
      </c>
      <c r="W22" s="28">
        <f>data0!W22/range*(2^resolution-1)</f>
        <v>0</v>
      </c>
      <c r="X22" s="28">
        <f>data0!X22/range*(2^resolution-1)</f>
        <v>0</v>
      </c>
      <c r="Y22" s="28">
        <f>data0!Y22/range*(2^resolution-1)</f>
        <v>0</v>
      </c>
      <c r="Z22" s="28">
        <f>data0!Z22/range*(2^resolution-1)</f>
        <v>0</v>
      </c>
      <c r="AA22" s="28">
        <f>data0!AA22/range*(2^resolution-1)</f>
        <v>0</v>
      </c>
      <c r="AB22" s="28">
        <f>data0!AB22/range*(2^resolution-1)</f>
        <v>0</v>
      </c>
      <c r="AC22" s="28">
        <f>data0!AC22/range*(2^resolution-1)</f>
        <v>0</v>
      </c>
      <c r="AD22" s="28">
        <f>data0!AD22/range*(2^resolution-1)</f>
        <v>0</v>
      </c>
      <c r="AE22" s="28">
        <f>data0!AE22/range*(2^resolution-1)</f>
        <v>0</v>
      </c>
      <c r="AF22" s="28">
        <f>data0!AF22/range*(2^resolution-1)</f>
        <v>0</v>
      </c>
      <c r="AG22" s="28">
        <f>data0!AG22/range*(2^resolution-1)</f>
        <v>0</v>
      </c>
    </row>
    <row r="23" spans="1:33">
      <c r="A23" s="29">
        <f>data0!A23</f>
        <v>-27</v>
      </c>
      <c r="B23" s="28">
        <f>data0!B23/range*(2^resolution-1)</f>
        <v>0</v>
      </c>
      <c r="C23" s="28">
        <f>data0!C23/range*(2^resolution-1)</f>
        <v>0</v>
      </c>
      <c r="D23" s="28">
        <f>data0!D23/range*(2^resolution-1)</f>
        <v>0</v>
      </c>
      <c r="E23" s="28">
        <f>data0!E23/range*(2^resolution-1)</f>
        <v>0</v>
      </c>
      <c r="F23" s="28">
        <f>data0!F23/range*(2^resolution-1)</f>
        <v>0</v>
      </c>
      <c r="G23" s="28">
        <f>data0!G23/range*(2^resolution-1)</f>
        <v>0</v>
      </c>
      <c r="H23" s="28">
        <f>data0!H23/range*(2^resolution-1)</f>
        <v>0</v>
      </c>
      <c r="I23" s="28">
        <f>data0!I23/range*(2^resolution-1)</f>
        <v>0</v>
      </c>
      <c r="J23" s="28">
        <f>data0!J23/range*(2^resolution-1)</f>
        <v>0</v>
      </c>
      <c r="K23" s="28">
        <f>data0!K23/range*(2^resolution-1)</f>
        <v>0</v>
      </c>
      <c r="L23" s="28">
        <f>data0!L23/range*(2^resolution-1)</f>
        <v>0</v>
      </c>
      <c r="M23" s="28">
        <f>data0!M23/range*(2^resolution-1)</f>
        <v>0</v>
      </c>
      <c r="N23" s="28">
        <f>data0!N23/range*(2^resolution-1)</f>
        <v>0</v>
      </c>
      <c r="O23" s="28">
        <f>data0!O23/range*(2^resolution-1)</f>
        <v>0</v>
      </c>
      <c r="P23" s="28">
        <f>data0!P23/range*(2^resolution-1)</f>
        <v>0</v>
      </c>
      <c r="Q23" s="28">
        <f>data0!Q23/range*(2^resolution-1)</f>
        <v>0</v>
      </c>
      <c r="R23" s="28">
        <f>data0!R23/range*(2^resolution-1)</f>
        <v>0</v>
      </c>
      <c r="S23" s="28">
        <f>data0!S23/range*(2^resolution-1)</f>
        <v>0</v>
      </c>
      <c r="T23" s="28">
        <f>data0!T23/range*(2^resolution-1)</f>
        <v>0</v>
      </c>
      <c r="U23" s="28">
        <f>data0!U23/range*(2^resolution-1)</f>
        <v>0</v>
      </c>
      <c r="V23" s="28">
        <f>data0!V23/range*(2^resolution-1)</f>
        <v>0</v>
      </c>
      <c r="W23" s="28">
        <f>data0!W23/range*(2^resolution-1)</f>
        <v>0</v>
      </c>
      <c r="X23" s="28">
        <f>data0!X23/range*(2^resolution-1)</f>
        <v>0</v>
      </c>
      <c r="Y23" s="28">
        <f>data0!Y23/range*(2^resolution-1)</f>
        <v>0</v>
      </c>
      <c r="Z23" s="28">
        <f>data0!Z23/range*(2^resolution-1)</f>
        <v>0</v>
      </c>
      <c r="AA23" s="28">
        <f>data0!AA23/range*(2^resolution-1)</f>
        <v>0</v>
      </c>
      <c r="AB23" s="28">
        <f>data0!AB23/range*(2^resolution-1)</f>
        <v>0</v>
      </c>
      <c r="AC23" s="28">
        <f>data0!AC23/range*(2^resolution-1)</f>
        <v>0</v>
      </c>
      <c r="AD23" s="28">
        <f>data0!AD23/range*(2^resolution-1)</f>
        <v>0</v>
      </c>
      <c r="AE23" s="28">
        <f>data0!AE23/range*(2^resolution-1)</f>
        <v>0</v>
      </c>
      <c r="AF23" s="28">
        <f>data0!AF23/range*(2^resolution-1)</f>
        <v>0</v>
      </c>
      <c r="AG23" s="28">
        <f>data0!AG23/range*(2^resolution-1)</f>
        <v>0</v>
      </c>
    </row>
    <row r="24" spans="1:33">
      <c r="A24" s="29">
        <f>data0!A24</f>
        <v>-24</v>
      </c>
      <c r="B24" s="28">
        <f>data0!B24/range*(2^resolution-1)</f>
        <v>0</v>
      </c>
      <c r="C24" s="28">
        <f>data0!C24/range*(2^resolution-1)</f>
        <v>0</v>
      </c>
      <c r="D24" s="28">
        <f>data0!D24/range*(2^resolution-1)</f>
        <v>0</v>
      </c>
      <c r="E24" s="28">
        <f>data0!E24/range*(2^resolution-1)</f>
        <v>0</v>
      </c>
      <c r="F24" s="28">
        <f>data0!F24/range*(2^resolution-1)</f>
        <v>0</v>
      </c>
      <c r="G24" s="28">
        <f>data0!G24/range*(2^resolution-1)</f>
        <v>0</v>
      </c>
      <c r="H24" s="28">
        <f>data0!H24/range*(2^resolution-1)</f>
        <v>0</v>
      </c>
      <c r="I24" s="28">
        <f>data0!I24/range*(2^resolution-1)</f>
        <v>0</v>
      </c>
      <c r="J24" s="28">
        <f>data0!J24/range*(2^resolution-1)</f>
        <v>0</v>
      </c>
      <c r="K24" s="28">
        <f>data0!K24/range*(2^resolution-1)</f>
        <v>0</v>
      </c>
      <c r="L24" s="28">
        <f>data0!L24/range*(2^resolution-1)</f>
        <v>0</v>
      </c>
      <c r="M24" s="28">
        <f>data0!M24/range*(2^resolution-1)</f>
        <v>0</v>
      </c>
      <c r="N24" s="28">
        <f>data0!N24/range*(2^resolution-1)</f>
        <v>0</v>
      </c>
      <c r="O24" s="28">
        <f>data0!O24/range*(2^resolution-1)</f>
        <v>0</v>
      </c>
      <c r="P24" s="28">
        <f>data0!P24/range*(2^resolution-1)</f>
        <v>0</v>
      </c>
      <c r="Q24" s="28">
        <f>data0!Q24/range*(2^resolution-1)</f>
        <v>0</v>
      </c>
      <c r="R24" s="28">
        <f>data0!R24/range*(2^resolution-1)</f>
        <v>0</v>
      </c>
      <c r="S24" s="28">
        <f>data0!S24/range*(2^resolution-1)</f>
        <v>0</v>
      </c>
      <c r="T24" s="28">
        <f>data0!T24/range*(2^resolution-1)</f>
        <v>0</v>
      </c>
      <c r="U24" s="28">
        <f>data0!U24/range*(2^resolution-1)</f>
        <v>0</v>
      </c>
      <c r="V24" s="28">
        <f>data0!V24/range*(2^resolution-1)</f>
        <v>0</v>
      </c>
      <c r="W24" s="28">
        <f>data0!W24/range*(2^resolution-1)</f>
        <v>0</v>
      </c>
      <c r="X24" s="28">
        <f>data0!X24/range*(2^resolution-1)</f>
        <v>0</v>
      </c>
      <c r="Y24" s="28">
        <f>data0!Y24/range*(2^resolution-1)</f>
        <v>0</v>
      </c>
      <c r="Z24" s="28">
        <f>data0!Z24/range*(2^resolution-1)</f>
        <v>0</v>
      </c>
      <c r="AA24" s="28">
        <f>data0!AA24/range*(2^resolution-1)</f>
        <v>0</v>
      </c>
      <c r="AB24" s="28">
        <f>data0!AB24/range*(2^resolution-1)</f>
        <v>0</v>
      </c>
      <c r="AC24" s="28">
        <f>data0!AC24/range*(2^resolution-1)</f>
        <v>0</v>
      </c>
      <c r="AD24" s="28">
        <f>data0!AD24/range*(2^resolution-1)</f>
        <v>0</v>
      </c>
      <c r="AE24" s="28">
        <f>data0!AE24/range*(2^resolution-1)</f>
        <v>0</v>
      </c>
      <c r="AF24" s="28">
        <f>data0!AF24/range*(2^resolution-1)</f>
        <v>0</v>
      </c>
      <c r="AG24" s="28">
        <f>data0!AG24/range*(2^resolution-1)</f>
        <v>0</v>
      </c>
    </row>
    <row r="25" spans="1:33">
      <c r="A25" s="29">
        <f>data0!A25</f>
        <v>-21</v>
      </c>
      <c r="B25" s="28">
        <f>data0!B25/range*(2^resolution-1)</f>
        <v>0</v>
      </c>
      <c r="C25" s="28">
        <f>data0!C25/range*(2^resolution-1)</f>
        <v>0</v>
      </c>
      <c r="D25" s="28">
        <f>data0!D25/range*(2^resolution-1)</f>
        <v>0</v>
      </c>
      <c r="E25" s="28">
        <f>data0!E25/range*(2^resolution-1)</f>
        <v>0</v>
      </c>
      <c r="F25" s="28">
        <f>data0!F25/range*(2^resolution-1)</f>
        <v>0</v>
      </c>
      <c r="G25" s="28">
        <f>data0!G25/range*(2^resolution-1)</f>
        <v>0</v>
      </c>
      <c r="H25" s="28">
        <f>data0!H25/range*(2^resolution-1)</f>
        <v>0</v>
      </c>
      <c r="I25" s="28">
        <f>data0!I25/range*(2^resolution-1)</f>
        <v>0</v>
      </c>
      <c r="J25" s="28">
        <f>data0!J25/range*(2^resolution-1)</f>
        <v>0</v>
      </c>
      <c r="K25" s="28">
        <f>data0!K25/range*(2^resolution-1)</f>
        <v>0</v>
      </c>
      <c r="L25" s="28">
        <f>data0!L25/range*(2^resolution-1)</f>
        <v>0</v>
      </c>
      <c r="M25" s="28">
        <f>data0!M25/range*(2^resolution-1)</f>
        <v>0</v>
      </c>
      <c r="N25" s="28">
        <f>data0!N25/range*(2^resolution-1)</f>
        <v>0</v>
      </c>
      <c r="O25" s="28">
        <f>data0!O25/range*(2^resolution-1)</f>
        <v>0</v>
      </c>
      <c r="P25" s="28">
        <f>data0!P25/range*(2^resolution-1)</f>
        <v>0</v>
      </c>
      <c r="Q25" s="28">
        <f>data0!Q25/range*(2^resolution-1)</f>
        <v>0</v>
      </c>
      <c r="R25" s="28">
        <f>data0!R25/range*(2^resolution-1)</f>
        <v>0</v>
      </c>
      <c r="S25" s="28">
        <f>data0!S25/range*(2^resolution-1)</f>
        <v>0</v>
      </c>
      <c r="T25" s="28">
        <f>data0!T25/range*(2^resolution-1)</f>
        <v>0</v>
      </c>
      <c r="U25" s="28">
        <f>data0!U25/range*(2^resolution-1)</f>
        <v>0</v>
      </c>
      <c r="V25" s="28">
        <f>data0!V25/range*(2^resolution-1)</f>
        <v>0</v>
      </c>
      <c r="W25" s="28">
        <f>data0!W25/range*(2^resolution-1)</f>
        <v>0</v>
      </c>
      <c r="X25" s="28">
        <f>data0!X25/range*(2^resolution-1)</f>
        <v>0</v>
      </c>
      <c r="Y25" s="28">
        <f>data0!Y25/range*(2^resolution-1)</f>
        <v>0</v>
      </c>
      <c r="Z25" s="28">
        <f>data0!Z25/range*(2^resolution-1)</f>
        <v>0</v>
      </c>
      <c r="AA25" s="28">
        <f>data0!AA25/range*(2^resolution-1)</f>
        <v>0</v>
      </c>
      <c r="AB25" s="28">
        <f>data0!AB25/range*(2^resolution-1)</f>
        <v>0</v>
      </c>
      <c r="AC25" s="28">
        <f>data0!AC25/range*(2^resolution-1)</f>
        <v>0</v>
      </c>
      <c r="AD25" s="28">
        <f>data0!AD25/range*(2^resolution-1)</f>
        <v>0</v>
      </c>
      <c r="AE25" s="28">
        <f>data0!AE25/range*(2^resolution-1)</f>
        <v>0</v>
      </c>
      <c r="AF25" s="28">
        <f>data0!AF25/range*(2^resolution-1)</f>
        <v>0</v>
      </c>
      <c r="AG25" s="28">
        <f>data0!AG25/range*(2^resolution-1)</f>
        <v>0</v>
      </c>
    </row>
    <row r="26" spans="1:33">
      <c r="A26" s="29">
        <f>data0!A26</f>
        <v>-18</v>
      </c>
      <c r="B26" s="28">
        <f>data0!B26/range*(2^resolution-1)</f>
        <v>0</v>
      </c>
      <c r="C26" s="28">
        <f>data0!C26/range*(2^resolution-1)</f>
        <v>0</v>
      </c>
      <c r="D26" s="28">
        <f>data0!D26/range*(2^resolution-1)</f>
        <v>0</v>
      </c>
      <c r="E26" s="28">
        <f>data0!E26/range*(2^resolution-1)</f>
        <v>0</v>
      </c>
      <c r="F26" s="28">
        <f>data0!F26/range*(2^resolution-1)</f>
        <v>0</v>
      </c>
      <c r="G26" s="28">
        <f>data0!G26/range*(2^resolution-1)</f>
        <v>0</v>
      </c>
      <c r="H26" s="28">
        <f>data0!H26/range*(2^resolution-1)</f>
        <v>0</v>
      </c>
      <c r="I26" s="28">
        <f>data0!I26/range*(2^resolution-1)</f>
        <v>0</v>
      </c>
      <c r="J26" s="28">
        <f>data0!J26/range*(2^resolution-1)</f>
        <v>0</v>
      </c>
      <c r="K26" s="28">
        <f>data0!K26/range*(2^resolution-1)</f>
        <v>0</v>
      </c>
      <c r="L26" s="28">
        <f>data0!L26/range*(2^resolution-1)</f>
        <v>0</v>
      </c>
      <c r="M26" s="28">
        <f>data0!M26/range*(2^resolution-1)</f>
        <v>0</v>
      </c>
      <c r="N26" s="28">
        <f>data0!N26/range*(2^resolution-1)</f>
        <v>0</v>
      </c>
      <c r="O26" s="28">
        <f>data0!O26/range*(2^resolution-1)</f>
        <v>0</v>
      </c>
      <c r="P26" s="28">
        <f>data0!P26/range*(2^resolution-1)</f>
        <v>0</v>
      </c>
      <c r="Q26" s="28">
        <f>data0!Q26/range*(2^resolution-1)</f>
        <v>0</v>
      </c>
      <c r="R26" s="28">
        <f>data0!R26/range*(2^resolution-1)</f>
        <v>0</v>
      </c>
      <c r="S26" s="28">
        <f>data0!S26/range*(2^resolution-1)</f>
        <v>0</v>
      </c>
      <c r="T26" s="28">
        <f>data0!T26/range*(2^resolution-1)</f>
        <v>0</v>
      </c>
      <c r="U26" s="28">
        <f>data0!U26/range*(2^resolution-1)</f>
        <v>0</v>
      </c>
      <c r="V26" s="28">
        <f>data0!V26/range*(2^resolution-1)</f>
        <v>0</v>
      </c>
      <c r="W26" s="28">
        <f>data0!W26/range*(2^resolution-1)</f>
        <v>0</v>
      </c>
      <c r="X26" s="28">
        <f>data0!X26/range*(2^resolution-1)</f>
        <v>0</v>
      </c>
      <c r="Y26" s="28">
        <f>data0!Y26/range*(2^resolution-1)</f>
        <v>0</v>
      </c>
      <c r="Z26" s="28">
        <f>data0!Z26/range*(2^resolution-1)</f>
        <v>0</v>
      </c>
      <c r="AA26" s="28">
        <f>data0!AA26/range*(2^resolution-1)</f>
        <v>0</v>
      </c>
      <c r="AB26" s="28">
        <f>data0!AB26/range*(2^resolution-1)</f>
        <v>0</v>
      </c>
      <c r="AC26" s="28">
        <f>data0!AC26/range*(2^resolution-1)</f>
        <v>0</v>
      </c>
      <c r="AD26" s="28">
        <f>data0!AD26/range*(2^resolution-1)</f>
        <v>0</v>
      </c>
      <c r="AE26" s="28">
        <f>data0!AE26/range*(2^resolution-1)</f>
        <v>0</v>
      </c>
      <c r="AF26" s="28">
        <f>data0!AF26/range*(2^resolution-1)</f>
        <v>0</v>
      </c>
      <c r="AG26" s="28">
        <f>data0!AG26/range*(2^resolution-1)</f>
        <v>0</v>
      </c>
    </row>
    <row r="27" spans="1:33">
      <c r="A27" s="29">
        <f>data0!A27</f>
        <v>-15</v>
      </c>
      <c r="B27" s="28">
        <f>data0!B27/range*(2^resolution-1)</f>
        <v>0</v>
      </c>
      <c r="C27" s="28">
        <f>data0!C27/range*(2^resolution-1)</f>
        <v>0</v>
      </c>
      <c r="D27" s="28">
        <f>data0!D27/range*(2^resolution-1)</f>
        <v>0</v>
      </c>
      <c r="E27" s="28">
        <f>data0!E27/range*(2^resolution-1)</f>
        <v>0</v>
      </c>
      <c r="F27" s="28">
        <f>data0!F27/range*(2^resolution-1)</f>
        <v>0</v>
      </c>
      <c r="G27" s="28">
        <f>data0!G27/range*(2^resolution-1)</f>
        <v>0</v>
      </c>
      <c r="H27" s="28">
        <f>data0!H27/range*(2^resolution-1)</f>
        <v>0</v>
      </c>
      <c r="I27" s="28">
        <f>data0!I27/range*(2^resolution-1)</f>
        <v>0</v>
      </c>
      <c r="J27" s="28">
        <f>data0!J27/range*(2^resolution-1)</f>
        <v>0</v>
      </c>
      <c r="K27" s="28">
        <f>data0!K27/range*(2^resolution-1)</f>
        <v>0</v>
      </c>
      <c r="L27" s="28">
        <f>data0!L27/range*(2^resolution-1)</f>
        <v>0</v>
      </c>
      <c r="M27" s="28">
        <f>data0!M27/range*(2^resolution-1)</f>
        <v>0</v>
      </c>
      <c r="N27" s="28">
        <f>data0!N27/range*(2^resolution-1)</f>
        <v>0</v>
      </c>
      <c r="O27" s="28">
        <f>data0!O27/range*(2^resolution-1)</f>
        <v>0</v>
      </c>
      <c r="P27" s="28">
        <f>data0!P27/range*(2^resolution-1)</f>
        <v>0</v>
      </c>
      <c r="Q27" s="28">
        <f>data0!Q27/range*(2^resolution-1)</f>
        <v>0</v>
      </c>
      <c r="R27" s="28">
        <f>data0!R27/range*(2^resolution-1)</f>
        <v>0</v>
      </c>
      <c r="S27" s="28">
        <f>data0!S27/range*(2^resolution-1)</f>
        <v>0</v>
      </c>
      <c r="T27" s="28">
        <f>data0!T27/range*(2^resolution-1)</f>
        <v>0</v>
      </c>
      <c r="U27" s="28">
        <f>data0!U27/range*(2^resolution-1)</f>
        <v>0</v>
      </c>
      <c r="V27" s="28">
        <f>data0!V27/range*(2^resolution-1)</f>
        <v>0</v>
      </c>
      <c r="W27" s="28">
        <f>data0!W27/range*(2^resolution-1)</f>
        <v>0</v>
      </c>
      <c r="X27" s="28">
        <f>data0!X27/range*(2^resolution-1)</f>
        <v>0</v>
      </c>
      <c r="Y27" s="28">
        <f>data0!Y27/range*(2^resolution-1)</f>
        <v>0</v>
      </c>
      <c r="Z27" s="28">
        <f>data0!Z27/range*(2^resolution-1)</f>
        <v>0</v>
      </c>
      <c r="AA27" s="28">
        <f>data0!AA27/range*(2^resolution-1)</f>
        <v>0</v>
      </c>
      <c r="AB27" s="28">
        <f>data0!AB27/range*(2^resolution-1)</f>
        <v>0</v>
      </c>
      <c r="AC27" s="28">
        <f>data0!AC27/range*(2^resolution-1)</f>
        <v>0</v>
      </c>
      <c r="AD27" s="28">
        <f>data0!AD27/range*(2^resolution-1)</f>
        <v>0</v>
      </c>
      <c r="AE27" s="28">
        <f>data0!AE27/range*(2^resolution-1)</f>
        <v>0</v>
      </c>
      <c r="AF27" s="28">
        <f>data0!AF27/range*(2^resolution-1)</f>
        <v>0</v>
      </c>
      <c r="AG27" s="28">
        <f>data0!AG27/range*(2^resolution-1)</f>
        <v>0</v>
      </c>
    </row>
    <row r="28" spans="1:33">
      <c r="A28" s="29">
        <f>data0!A28</f>
        <v>-12</v>
      </c>
      <c r="B28" s="28">
        <f>data0!B28/range*(2^resolution-1)</f>
        <v>0</v>
      </c>
      <c r="C28" s="28">
        <f>data0!C28/range*(2^resolution-1)</f>
        <v>0</v>
      </c>
      <c r="D28" s="28">
        <f>data0!D28/range*(2^resolution-1)</f>
        <v>0</v>
      </c>
      <c r="E28" s="28">
        <f>data0!E28/range*(2^resolution-1)</f>
        <v>0</v>
      </c>
      <c r="F28" s="28">
        <f>data0!F28/range*(2^resolution-1)</f>
        <v>0</v>
      </c>
      <c r="G28" s="28">
        <f>data0!G28/range*(2^resolution-1)</f>
        <v>0</v>
      </c>
      <c r="H28" s="28">
        <f>data0!H28/range*(2^resolution-1)</f>
        <v>0</v>
      </c>
      <c r="I28" s="28">
        <f>data0!I28/range*(2^resolution-1)</f>
        <v>0</v>
      </c>
      <c r="J28" s="28">
        <f>data0!J28/range*(2^resolution-1)</f>
        <v>0</v>
      </c>
      <c r="K28" s="28">
        <f>data0!K28/range*(2^resolution-1)</f>
        <v>0</v>
      </c>
      <c r="L28" s="28">
        <f>data0!L28/range*(2^resolution-1)</f>
        <v>0</v>
      </c>
      <c r="M28" s="28">
        <f>data0!M28/range*(2^resolution-1)</f>
        <v>0</v>
      </c>
      <c r="N28" s="28">
        <f>data0!N28/range*(2^resolution-1)</f>
        <v>0</v>
      </c>
      <c r="O28" s="28">
        <f>data0!O28/range*(2^resolution-1)</f>
        <v>0</v>
      </c>
      <c r="P28" s="28">
        <f>data0!P28/range*(2^resolution-1)</f>
        <v>0</v>
      </c>
      <c r="Q28" s="28">
        <f>data0!Q28/range*(2^resolution-1)</f>
        <v>0</v>
      </c>
      <c r="R28" s="28">
        <f>data0!R28/range*(2^resolution-1)</f>
        <v>0</v>
      </c>
      <c r="S28" s="28">
        <f>data0!S28/range*(2^resolution-1)</f>
        <v>0</v>
      </c>
      <c r="T28" s="28">
        <f>data0!T28/range*(2^resolution-1)</f>
        <v>0</v>
      </c>
      <c r="U28" s="28">
        <f>data0!U28/range*(2^resolution-1)</f>
        <v>0</v>
      </c>
      <c r="V28" s="28">
        <f>data0!V28/range*(2^resolution-1)</f>
        <v>0</v>
      </c>
      <c r="W28" s="28">
        <f>data0!W28/range*(2^resolution-1)</f>
        <v>0</v>
      </c>
      <c r="X28" s="28">
        <f>data0!X28/range*(2^resolution-1)</f>
        <v>0</v>
      </c>
      <c r="Y28" s="28">
        <f>data0!Y28/range*(2^resolution-1)</f>
        <v>0</v>
      </c>
      <c r="Z28" s="28">
        <f>data0!Z28/range*(2^resolution-1)</f>
        <v>0</v>
      </c>
      <c r="AA28" s="28">
        <f>data0!AA28/range*(2^resolution-1)</f>
        <v>0</v>
      </c>
      <c r="AB28" s="28">
        <f>data0!AB28/range*(2^resolution-1)</f>
        <v>0</v>
      </c>
      <c r="AC28" s="28">
        <f>data0!AC28/range*(2^resolution-1)</f>
        <v>0</v>
      </c>
      <c r="AD28" s="28">
        <f>data0!AD28/range*(2^resolution-1)</f>
        <v>0</v>
      </c>
      <c r="AE28" s="28">
        <f>data0!AE28/range*(2^resolution-1)</f>
        <v>0</v>
      </c>
      <c r="AF28" s="28">
        <f>data0!AF28/range*(2^resolution-1)</f>
        <v>0</v>
      </c>
      <c r="AG28" s="28">
        <f>data0!AG28/range*(2^resolution-1)</f>
        <v>0</v>
      </c>
    </row>
    <row r="29" spans="1:33">
      <c r="A29" s="29">
        <f>data0!A29</f>
        <v>-9</v>
      </c>
      <c r="B29" s="28">
        <f>data0!B29/range*(2^resolution-1)</f>
        <v>0</v>
      </c>
      <c r="C29" s="28">
        <f>data0!C29/range*(2^resolution-1)</f>
        <v>0</v>
      </c>
      <c r="D29" s="28">
        <f>data0!D29/range*(2^resolution-1)</f>
        <v>0</v>
      </c>
      <c r="E29" s="28">
        <f>data0!E29/range*(2^resolution-1)</f>
        <v>0</v>
      </c>
      <c r="F29" s="28">
        <f>data0!F29/range*(2^resolution-1)</f>
        <v>0</v>
      </c>
      <c r="G29" s="28">
        <f>data0!G29/range*(2^resolution-1)</f>
        <v>0</v>
      </c>
      <c r="H29" s="28">
        <f>data0!H29/range*(2^resolution-1)</f>
        <v>0</v>
      </c>
      <c r="I29" s="28">
        <f>data0!I29/range*(2^resolution-1)</f>
        <v>0</v>
      </c>
      <c r="J29" s="28">
        <f>data0!J29/range*(2^resolution-1)</f>
        <v>0</v>
      </c>
      <c r="K29" s="28">
        <f>data0!K29/range*(2^resolution-1)</f>
        <v>0</v>
      </c>
      <c r="L29" s="28">
        <f>data0!L29/range*(2^resolution-1)</f>
        <v>0</v>
      </c>
      <c r="M29" s="28">
        <f>data0!M29/range*(2^resolution-1)</f>
        <v>0</v>
      </c>
      <c r="N29" s="28">
        <f>data0!N29/range*(2^resolution-1)</f>
        <v>0</v>
      </c>
      <c r="O29" s="28">
        <f>data0!O29/range*(2^resolution-1)</f>
        <v>0</v>
      </c>
      <c r="P29" s="28">
        <f>data0!P29/range*(2^resolution-1)</f>
        <v>0</v>
      </c>
      <c r="Q29" s="28">
        <f>data0!Q29/range*(2^resolution-1)</f>
        <v>0</v>
      </c>
      <c r="R29" s="28">
        <f>data0!R29/range*(2^resolution-1)</f>
        <v>0</v>
      </c>
      <c r="S29" s="28">
        <f>data0!S29/range*(2^resolution-1)</f>
        <v>0</v>
      </c>
      <c r="T29" s="28">
        <f>data0!T29/range*(2^resolution-1)</f>
        <v>0</v>
      </c>
      <c r="U29" s="28">
        <f>data0!U29/range*(2^resolution-1)</f>
        <v>0</v>
      </c>
      <c r="V29" s="28">
        <f>data0!V29/range*(2^resolution-1)</f>
        <v>0</v>
      </c>
      <c r="W29" s="28">
        <f>data0!W29/range*(2^resolution-1)</f>
        <v>0</v>
      </c>
      <c r="X29" s="28">
        <f>data0!X29/range*(2^resolution-1)</f>
        <v>0</v>
      </c>
      <c r="Y29" s="28">
        <f>data0!Y29/range*(2^resolution-1)</f>
        <v>0</v>
      </c>
      <c r="Z29" s="28">
        <f>data0!Z29/range*(2^resolution-1)</f>
        <v>0</v>
      </c>
      <c r="AA29" s="28">
        <f>data0!AA29/range*(2^resolution-1)</f>
        <v>0</v>
      </c>
      <c r="AB29" s="28">
        <f>data0!AB29/range*(2^resolution-1)</f>
        <v>0</v>
      </c>
      <c r="AC29" s="28">
        <f>data0!AC29/range*(2^resolution-1)</f>
        <v>0</v>
      </c>
      <c r="AD29" s="28">
        <f>data0!AD29/range*(2^resolution-1)</f>
        <v>0</v>
      </c>
      <c r="AE29" s="28">
        <f>data0!AE29/range*(2^resolution-1)</f>
        <v>0</v>
      </c>
      <c r="AF29" s="28">
        <f>data0!AF29/range*(2^resolution-1)</f>
        <v>0</v>
      </c>
      <c r="AG29" s="28">
        <f>data0!AG29/range*(2^resolution-1)</f>
        <v>0</v>
      </c>
    </row>
    <row r="30" spans="1:33">
      <c r="A30" s="29">
        <f>data0!A30</f>
        <v>-6</v>
      </c>
      <c r="B30" s="28">
        <f>data0!B30/range*(2^resolution-1)</f>
        <v>0</v>
      </c>
      <c r="C30" s="28">
        <f>data0!C30/range*(2^resolution-1)</f>
        <v>0</v>
      </c>
      <c r="D30" s="28">
        <f>data0!D30/range*(2^resolution-1)</f>
        <v>0</v>
      </c>
      <c r="E30" s="28">
        <f>data0!E30/range*(2^resolution-1)</f>
        <v>0</v>
      </c>
      <c r="F30" s="28">
        <f>data0!F30/range*(2^resolution-1)</f>
        <v>0</v>
      </c>
      <c r="G30" s="28">
        <f>data0!G30/range*(2^resolution-1)</f>
        <v>0</v>
      </c>
      <c r="H30" s="28">
        <f>data0!H30/range*(2^resolution-1)</f>
        <v>0</v>
      </c>
      <c r="I30" s="28">
        <f>data0!I30/range*(2^resolution-1)</f>
        <v>0</v>
      </c>
      <c r="J30" s="28">
        <f>data0!J30/range*(2^resolution-1)</f>
        <v>0</v>
      </c>
      <c r="K30" s="28">
        <f>data0!K30/range*(2^resolution-1)</f>
        <v>0</v>
      </c>
      <c r="L30" s="28">
        <f>data0!L30/range*(2^resolution-1)</f>
        <v>0</v>
      </c>
      <c r="M30" s="28">
        <f>data0!M30/range*(2^resolution-1)</f>
        <v>0</v>
      </c>
      <c r="N30" s="28">
        <f>data0!N30/range*(2^resolution-1)</f>
        <v>0</v>
      </c>
      <c r="O30" s="28">
        <f>data0!O30/range*(2^resolution-1)</f>
        <v>0</v>
      </c>
      <c r="P30" s="28">
        <f>data0!P30/range*(2^resolution-1)</f>
        <v>0</v>
      </c>
      <c r="Q30" s="28">
        <f>data0!Q30/range*(2^resolution-1)</f>
        <v>0</v>
      </c>
      <c r="R30" s="28">
        <f>data0!R30/range*(2^resolution-1)</f>
        <v>0</v>
      </c>
      <c r="S30" s="28">
        <f>data0!S30/range*(2^resolution-1)</f>
        <v>0</v>
      </c>
      <c r="T30" s="28">
        <f>data0!T30/range*(2^resolution-1)</f>
        <v>0</v>
      </c>
      <c r="U30" s="28">
        <f>data0!U30/range*(2^resolution-1)</f>
        <v>0</v>
      </c>
      <c r="V30" s="28">
        <f>data0!V30/range*(2^resolution-1)</f>
        <v>0</v>
      </c>
      <c r="W30" s="28">
        <f>data0!W30/range*(2^resolution-1)</f>
        <v>0</v>
      </c>
      <c r="X30" s="28">
        <f>data0!X30/range*(2^resolution-1)</f>
        <v>0</v>
      </c>
      <c r="Y30" s="28">
        <f>data0!Y30/range*(2^resolution-1)</f>
        <v>0</v>
      </c>
      <c r="Z30" s="28">
        <f>data0!Z30/range*(2^resolution-1)</f>
        <v>0</v>
      </c>
      <c r="AA30" s="28">
        <f>data0!AA30/range*(2^resolution-1)</f>
        <v>0</v>
      </c>
      <c r="AB30" s="28">
        <f>data0!AB30/range*(2^resolution-1)</f>
        <v>0</v>
      </c>
      <c r="AC30" s="28">
        <f>data0!AC30/range*(2^resolution-1)</f>
        <v>0</v>
      </c>
      <c r="AD30" s="28">
        <f>data0!AD30/range*(2^resolution-1)</f>
        <v>0</v>
      </c>
      <c r="AE30" s="28">
        <f>data0!AE30/range*(2^resolution-1)</f>
        <v>0</v>
      </c>
      <c r="AF30" s="28">
        <f>data0!AF30/range*(2^resolution-1)</f>
        <v>0</v>
      </c>
      <c r="AG30" s="28">
        <f>data0!AG30/range*(2^resolution-1)</f>
        <v>0</v>
      </c>
    </row>
    <row r="31" spans="1:33">
      <c r="A31" s="29">
        <f>data0!A31</f>
        <v>-3</v>
      </c>
      <c r="B31" s="28">
        <f>data0!B31/range*(2^resolution-1)</f>
        <v>0</v>
      </c>
      <c r="C31" s="28">
        <f>data0!C31/range*(2^resolution-1)</f>
        <v>0</v>
      </c>
      <c r="D31" s="28">
        <f>data0!D31/range*(2^resolution-1)</f>
        <v>0</v>
      </c>
      <c r="E31" s="28">
        <f>data0!E31/range*(2^resolution-1)</f>
        <v>0</v>
      </c>
      <c r="F31" s="28">
        <f>data0!F31/range*(2^resolution-1)</f>
        <v>0</v>
      </c>
      <c r="G31" s="28">
        <f>data0!G31/range*(2^resolution-1)</f>
        <v>0</v>
      </c>
      <c r="H31" s="28">
        <f>data0!H31/range*(2^resolution-1)</f>
        <v>0</v>
      </c>
      <c r="I31" s="28">
        <f>data0!I31/range*(2^resolution-1)</f>
        <v>0</v>
      </c>
      <c r="J31" s="28">
        <f>data0!J31/range*(2^resolution-1)</f>
        <v>0</v>
      </c>
      <c r="K31" s="28">
        <f>data0!K31/range*(2^resolution-1)</f>
        <v>0</v>
      </c>
      <c r="L31" s="28">
        <f>data0!L31/range*(2^resolution-1)</f>
        <v>0</v>
      </c>
      <c r="M31" s="28">
        <f>data0!M31/range*(2^resolution-1)</f>
        <v>0</v>
      </c>
      <c r="N31" s="28">
        <f>data0!N31/range*(2^resolution-1)</f>
        <v>0</v>
      </c>
      <c r="O31" s="28">
        <f>data0!O31/range*(2^resolution-1)</f>
        <v>0</v>
      </c>
      <c r="P31" s="28">
        <f>data0!P31/range*(2^resolution-1)</f>
        <v>0</v>
      </c>
      <c r="Q31" s="28">
        <f>data0!Q31/range*(2^resolution-1)</f>
        <v>0</v>
      </c>
      <c r="R31" s="28">
        <f>data0!R31/range*(2^resolution-1)</f>
        <v>0</v>
      </c>
      <c r="S31" s="28">
        <f>data0!S31/range*(2^resolution-1)</f>
        <v>0</v>
      </c>
      <c r="T31" s="28">
        <f>data0!T31/range*(2^resolution-1)</f>
        <v>0</v>
      </c>
      <c r="U31" s="28">
        <f>data0!U31/range*(2^resolution-1)</f>
        <v>0</v>
      </c>
      <c r="V31" s="28">
        <f>data0!V31/range*(2^resolution-1)</f>
        <v>0</v>
      </c>
      <c r="W31" s="28">
        <f>data0!W31/range*(2^resolution-1)</f>
        <v>0</v>
      </c>
      <c r="X31" s="28">
        <f>data0!X31/range*(2^resolution-1)</f>
        <v>0</v>
      </c>
      <c r="Y31" s="28">
        <f>data0!Y31/range*(2^resolution-1)</f>
        <v>0</v>
      </c>
      <c r="Z31" s="28">
        <f>data0!Z31/range*(2^resolution-1)</f>
        <v>0</v>
      </c>
      <c r="AA31" s="28">
        <f>data0!AA31/range*(2^resolution-1)</f>
        <v>0</v>
      </c>
      <c r="AB31" s="28">
        <f>data0!AB31/range*(2^resolution-1)</f>
        <v>0</v>
      </c>
      <c r="AC31" s="28">
        <f>data0!AC31/range*(2^resolution-1)</f>
        <v>0</v>
      </c>
      <c r="AD31" s="28">
        <f>data0!AD31/range*(2^resolution-1)</f>
        <v>0</v>
      </c>
      <c r="AE31" s="28">
        <f>data0!AE31/range*(2^resolution-1)</f>
        <v>0</v>
      </c>
      <c r="AF31" s="28">
        <f>data0!AF31/range*(2^resolution-1)</f>
        <v>0</v>
      </c>
      <c r="AG31" s="28">
        <f>data0!AG31/range*(2^resolution-1)</f>
        <v>0</v>
      </c>
    </row>
    <row r="32" spans="1:33">
      <c r="A32" s="29">
        <f>data0!A32</f>
        <v>0</v>
      </c>
      <c r="B32" s="28">
        <f>data0!B32/range*(2^resolution-1)</f>
        <v>0</v>
      </c>
      <c r="C32" s="28">
        <f>data0!C32/range*(2^resolution-1)</f>
        <v>0</v>
      </c>
      <c r="D32" s="28">
        <f>data0!D32/range*(2^resolution-1)</f>
        <v>0</v>
      </c>
      <c r="E32" s="28">
        <f>data0!E32/range*(2^resolution-1)</f>
        <v>0</v>
      </c>
      <c r="F32" s="28">
        <f>data0!F32/range*(2^resolution-1)</f>
        <v>0</v>
      </c>
      <c r="G32" s="28">
        <f>data0!G32/range*(2^resolution-1)</f>
        <v>0</v>
      </c>
      <c r="H32" s="28">
        <f>data0!H32/range*(2^resolution-1)</f>
        <v>0</v>
      </c>
      <c r="I32" s="28">
        <f>data0!I32/range*(2^resolution-1)</f>
        <v>0</v>
      </c>
      <c r="J32" s="28">
        <f>data0!J32/range*(2^resolution-1)</f>
        <v>0</v>
      </c>
      <c r="K32" s="28">
        <f>data0!K32/range*(2^resolution-1)</f>
        <v>0</v>
      </c>
      <c r="L32" s="28">
        <f>data0!L32/range*(2^resolution-1)</f>
        <v>0</v>
      </c>
      <c r="M32" s="28">
        <f>data0!M32/range*(2^resolution-1)</f>
        <v>0</v>
      </c>
      <c r="N32" s="28">
        <f>data0!N32/range*(2^resolution-1)</f>
        <v>0</v>
      </c>
      <c r="O32" s="28">
        <f>data0!O32/range*(2^resolution-1)</f>
        <v>0</v>
      </c>
      <c r="P32" s="28">
        <f>data0!P32/range*(2^resolution-1)</f>
        <v>0</v>
      </c>
      <c r="Q32" s="28">
        <f>data0!Q32/range*(2^resolution-1)</f>
        <v>0</v>
      </c>
      <c r="R32" s="28">
        <f>data0!R32/range*(2^resolution-1)</f>
        <v>0</v>
      </c>
      <c r="S32" s="28">
        <f>data0!S32/range*(2^resolution-1)</f>
        <v>0</v>
      </c>
      <c r="T32" s="28">
        <f>data0!T32/range*(2^resolution-1)</f>
        <v>0</v>
      </c>
      <c r="U32" s="28">
        <f>data0!U32/range*(2^resolution-1)</f>
        <v>0</v>
      </c>
      <c r="V32" s="28">
        <f>data0!V32/range*(2^resolution-1)</f>
        <v>0</v>
      </c>
      <c r="W32" s="28">
        <f>data0!W32/range*(2^resolution-1)</f>
        <v>0</v>
      </c>
      <c r="X32" s="28">
        <f>data0!X32/range*(2^resolution-1)</f>
        <v>0</v>
      </c>
      <c r="Y32" s="28">
        <f>data0!Y32/range*(2^resolution-1)</f>
        <v>0</v>
      </c>
      <c r="Z32" s="28">
        <f>data0!Z32/range*(2^resolution-1)</f>
        <v>0</v>
      </c>
      <c r="AA32" s="28">
        <f>data0!AA32/range*(2^resolution-1)</f>
        <v>0</v>
      </c>
      <c r="AB32" s="28">
        <f>data0!AB32/range*(2^resolution-1)</f>
        <v>0</v>
      </c>
      <c r="AC32" s="28">
        <f>data0!AC32/range*(2^resolution-1)</f>
        <v>0</v>
      </c>
      <c r="AD32" s="28">
        <f>data0!AD32/range*(2^resolution-1)</f>
        <v>0</v>
      </c>
      <c r="AE32" s="28">
        <f>data0!AE32/range*(2^resolution-1)</f>
        <v>0</v>
      </c>
      <c r="AF32" s="28">
        <f>data0!AF32/range*(2^resolution-1)</f>
        <v>0</v>
      </c>
      <c r="AG32" s="28">
        <f>data0!AG32/range*(2^resolution-1)</f>
        <v>0</v>
      </c>
    </row>
    <row r="33" spans="1:33">
      <c r="A33" s="29">
        <f>data0!A33</f>
        <v>3</v>
      </c>
      <c r="B33" s="28">
        <f>data0!B33/range*(2^resolution-1)</f>
        <v>0</v>
      </c>
      <c r="C33" s="28">
        <f>data0!C33/range*(2^resolution-1)</f>
        <v>0</v>
      </c>
      <c r="D33" s="28">
        <f>data0!D33/range*(2^resolution-1)</f>
        <v>0</v>
      </c>
      <c r="E33" s="28">
        <f>data0!E33/range*(2^resolution-1)</f>
        <v>0</v>
      </c>
      <c r="F33" s="28">
        <f>data0!F33/range*(2^resolution-1)</f>
        <v>0</v>
      </c>
      <c r="G33" s="28">
        <f>data0!G33/range*(2^resolution-1)</f>
        <v>0</v>
      </c>
      <c r="H33" s="28">
        <f>data0!H33/range*(2^resolution-1)</f>
        <v>0</v>
      </c>
      <c r="I33" s="28">
        <f>data0!I33/range*(2^resolution-1)</f>
        <v>0</v>
      </c>
      <c r="J33" s="28">
        <f>data0!J33/range*(2^resolution-1)</f>
        <v>0</v>
      </c>
      <c r="K33" s="28">
        <f>data0!K33/range*(2^resolution-1)</f>
        <v>0</v>
      </c>
      <c r="L33" s="28">
        <f>data0!L33/range*(2^resolution-1)</f>
        <v>0</v>
      </c>
      <c r="M33" s="28">
        <f>data0!M33/range*(2^resolution-1)</f>
        <v>0</v>
      </c>
      <c r="N33" s="28">
        <f>data0!N33/range*(2^resolution-1)</f>
        <v>0</v>
      </c>
      <c r="O33" s="28">
        <f>data0!O33/range*(2^resolution-1)</f>
        <v>0</v>
      </c>
      <c r="P33" s="28">
        <f>data0!P33/range*(2^resolution-1)</f>
        <v>0</v>
      </c>
      <c r="Q33" s="28">
        <f>data0!Q33/range*(2^resolution-1)</f>
        <v>0</v>
      </c>
      <c r="R33" s="28">
        <f>data0!R33/range*(2^resolution-1)</f>
        <v>0</v>
      </c>
      <c r="S33" s="28">
        <f>data0!S33/range*(2^resolution-1)</f>
        <v>0</v>
      </c>
      <c r="T33" s="28">
        <f>data0!T33/range*(2^resolution-1)</f>
        <v>0</v>
      </c>
      <c r="U33" s="28">
        <f>data0!U33/range*(2^resolution-1)</f>
        <v>0</v>
      </c>
      <c r="V33" s="28">
        <f>data0!V33/range*(2^resolution-1)</f>
        <v>0</v>
      </c>
      <c r="W33" s="28">
        <f>data0!W33/range*(2^resolution-1)</f>
        <v>0</v>
      </c>
      <c r="X33" s="28">
        <f>data0!X33/range*(2^resolution-1)</f>
        <v>0</v>
      </c>
      <c r="Y33" s="28">
        <f>data0!Y33/range*(2^resolution-1)</f>
        <v>0</v>
      </c>
      <c r="Z33" s="28">
        <f>data0!Z33/range*(2^resolution-1)</f>
        <v>0</v>
      </c>
      <c r="AA33" s="28">
        <f>data0!AA33/range*(2^resolution-1)</f>
        <v>0</v>
      </c>
      <c r="AB33" s="28">
        <f>data0!AB33/range*(2^resolution-1)</f>
        <v>0</v>
      </c>
      <c r="AC33" s="28">
        <f>data0!AC33/range*(2^resolution-1)</f>
        <v>0</v>
      </c>
      <c r="AD33" s="28">
        <f>data0!AD33/range*(2^resolution-1)</f>
        <v>0</v>
      </c>
      <c r="AE33" s="28">
        <f>data0!AE33/range*(2^resolution-1)</f>
        <v>0</v>
      </c>
      <c r="AF33" s="28">
        <f>data0!AF33/range*(2^resolution-1)</f>
        <v>0</v>
      </c>
      <c r="AG33" s="28">
        <f>data0!AG33/range*(2^resolution-1)</f>
        <v>0</v>
      </c>
    </row>
    <row r="34" spans="1:33">
      <c r="A34" s="29">
        <f>data0!A34</f>
        <v>6</v>
      </c>
      <c r="B34" s="28">
        <f>data0!B34/range*(2^resolution-1)</f>
        <v>0</v>
      </c>
      <c r="C34" s="28">
        <f>data0!C34/range*(2^resolution-1)</f>
        <v>0</v>
      </c>
      <c r="D34" s="28">
        <f>data0!D34/range*(2^resolution-1)</f>
        <v>0</v>
      </c>
      <c r="E34" s="28">
        <f>data0!E34/range*(2^resolution-1)</f>
        <v>0</v>
      </c>
      <c r="F34" s="28">
        <f>data0!F34/range*(2^resolution-1)</f>
        <v>0</v>
      </c>
      <c r="G34" s="28">
        <f>data0!G34/range*(2^resolution-1)</f>
        <v>0</v>
      </c>
      <c r="H34" s="28">
        <f>data0!H34/range*(2^resolution-1)</f>
        <v>0</v>
      </c>
      <c r="I34" s="28">
        <f>data0!I34/range*(2^resolution-1)</f>
        <v>0</v>
      </c>
      <c r="J34" s="28">
        <f>data0!J34/range*(2^resolution-1)</f>
        <v>0</v>
      </c>
      <c r="K34" s="28">
        <f>data0!K34/range*(2^resolution-1)</f>
        <v>0</v>
      </c>
      <c r="L34" s="28">
        <f>data0!L34/range*(2^resolution-1)</f>
        <v>0</v>
      </c>
      <c r="M34" s="28">
        <f>data0!M34/range*(2^resolution-1)</f>
        <v>0</v>
      </c>
      <c r="N34" s="28">
        <f>data0!N34/range*(2^resolution-1)</f>
        <v>0</v>
      </c>
      <c r="O34" s="28">
        <f>data0!O34/range*(2^resolution-1)</f>
        <v>0</v>
      </c>
      <c r="P34" s="28">
        <f>data0!P34/range*(2^resolution-1)</f>
        <v>0</v>
      </c>
      <c r="Q34" s="28">
        <f>data0!Q34/range*(2^resolution-1)</f>
        <v>0</v>
      </c>
      <c r="R34" s="28">
        <f>data0!R34/range*(2^resolution-1)</f>
        <v>0</v>
      </c>
      <c r="S34" s="28">
        <f>data0!S34/range*(2^resolution-1)</f>
        <v>0</v>
      </c>
      <c r="T34" s="28">
        <f>data0!T34/range*(2^resolution-1)</f>
        <v>0</v>
      </c>
      <c r="U34" s="28">
        <f>data0!U34/range*(2^resolution-1)</f>
        <v>0</v>
      </c>
      <c r="V34" s="28">
        <f>data0!V34/range*(2^resolution-1)</f>
        <v>0</v>
      </c>
      <c r="W34" s="28">
        <f>data0!W34/range*(2^resolution-1)</f>
        <v>0</v>
      </c>
      <c r="X34" s="28">
        <f>data0!X34/range*(2^resolution-1)</f>
        <v>0</v>
      </c>
      <c r="Y34" s="28">
        <f>data0!Y34/range*(2^resolution-1)</f>
        <v>0</v>
      </c>
      <c r="Z34" s="28">
        <f>data0!Z34/range*(2^resolution-1)</f>
        <v>0</v>
      </c>
      <c r="AA34" s="28">
        <f>data0!AA34/range*(2^resolution-1)</f>
        <v>0</v>
      </c>
      <c r="AB34" s="28">
        <f>data0!AB34/range*(2^resolution-1)</f>
        <v>0</v>
      </c>
      <c r="AC34" s="28">
        <f>data0!AC34/range*(2^resolution-1)</f>
        <v>0</v>
      </c>
      <c r="AD34" s="28">
        <f>data0!AD34/range*(2^resolution-1)</f>
        <v>0</v>
      </c>
      <c r="AE34" s="28">
        <f>data0!AE34/range*(2^resolution-1)</f>
        <v>0</v>
      </c>
      <c r="AF34" s="28">
        <f>data0!AF34/range*(2^resolution-1)</f>
        <v>0</v>
      </c>
      <c r="AG34" s="28">
        <f>data0!AG34/range*(2^resolution-1)</f>
        <v>0</v>
      </c>
    </row>
    <row r="35" spans="1:33">
      <c r="A35" s="29">
        <f>data0!A35</f>
        <v>9</v>
      </c>
      <c r="B35" s="28">
        <f>data0!B35/range*(2^resolution-1)</f>
        <v>0</v>
      </c>
      <c r="C35" s="28">
        <f>data0!C35/range*(2^resolution-1)</f>
        <v>0</v>
      </c>
      <c r="D35" s="28">
        <f>data0!D35/range*(2^resolution-1)</f>
        <v>0</v>
      </c>
      <c r="E35" s="28">
        <f>data0!E35/range*(2^resolution-1)</f>
        <v>0</v>
      </c>
      <c r="F35" s="28">
        <f>data0!F35/range*(2^resolution-1)</f>
        <v>0</v>
      </c>
      <c r="G35" s="28">
        <f>data0!G35/range*(2^resolution-1)</f>
        <v>0</v>
      </c>
      <c r="H35" s="28">
        <f>data0!H35/range*(2^resolution-1)</f>
        <v>0</v>
      </c>
      <c r="I35" s="28">
        <f>data0!I35/range*(2^resolution-1)</f>
        <v>0</v>
      </c>
      <c r="J35" s="28">
        <f>data0!J35/range*(2^resolution-1)</f>
        <v>0</v>
      </c>
      <c r="K35" s="28">
        <f>data0!K35/range*(2^resolution-1)</f>
        <v>0</v>
      </c>
      <c r="L35" s="28">
        <f>data0!L35/range*(2^resolution-1)</f>
        <v>0</v>
      </c>
      <c r="M35" s="28">
        <f>data0!M35/range*(2^resolution-1)</f>
        <v>0</v>
      </c>
      <c r="N35" s="28">
        <f>data0!N35/range*(2^resolution-1)</f>
        <v>0</v>
      </c>
      <c r="O35" s="28">
        <f>data0!O35/range*(2^resolution-1)</f>
        <v>0</v>
      </c>
      <c r="P35" s="28">
        <f>data0!P35/range*(2^resolution-1)</f>
        <v>0</v>
      </c>
      <c r="Q35" s="28">
        <f>data0!Q35/range*(2^resolution-1)</f>
        <v>0</v>
      </c>
      <c r="R35" s="28">
        <f>data0!R35/range*(2^resolution-1)</f>
        <v>0</v>
      </c>
      <c r="S35" s="28">
        <f>data0!S35/range*(2^resolution-1)</f>
        <v>0</v>
      </c>
      <c r="T35" s="28">
        <f>data0!T35/range*(2^resolution-1)</f>
        <v>0</v>
      </c>
      <c r="U35" s="28">
        <f>data0!U35/range*(2^resolution-1)</f>
        <v>0</v>
      </c>
      <c r="V35" s="28">
        <f>data0!V35/range*(2^resolution-1)</f>
        <v>0</v>
      </c>
      <c r="W35" s="28">
        <f>data0!W35/range*(2^resolution-1)</f>
        <v>0</v>
      </c>
      <c r="X35" s="28">
        <f>data0!X35/range*(2^resolution-1)</f>
        <v>0</v>
      </c>
      <c r="Y35" s="28">
        <f>data0!Y35/range*(2^resolution-1)</f>
        <v>0</v>
      </c>
      <c r="Z35" s="28">
        <f>data0!Z35/range*(2^resolution-1)</f>
        <v>0</v>
      </c>
      <c r="AA35" s="28">
        <f>data0!AA35/range*(2^resolution-1)</f>
        <v>0</v>
      </c>
      <c r="AB35" s="28">
        <f>data0!AB35/range*(2^resolution-1)</f>
        <v>0</v>
      </c>
      <c r="AC35" s="28">
        <f>data0!AC35/range*(2^resolution-1)</f>
        <v>0</v>
      </c>
      <c r="AD35" s="28">
        <f>data0!AD35/range*(2^resolution-1)</f>
        <v>0</v>
      </c>
      <c r="AE35" s="28">
        <f>data0!AE35/range*(2^resolution-1)</f>
        <v>0</v>
      </c>
      <c r="AF35" s="28">
        <f>data0!AF35/range*(2^resolution-1)</f>
        <v>0</v>
      </c>
      <c r="AG35" s="28">
        <f>data0!AG35/range*(2^resolution-1)</f>
        <v>0</v>
      </c>
    </row>
    <row r="36" spans="1:33">
      <c r="A36" s="29">
        <f>data0!A36</f>
        <v>12</v>
      </c>
      <c r="B36" s="28">
        <f>data0!B36/range*(2^resolution-1)</f>
        <v>0</v>
      </c>
      <c r="C36" s="28">
        <f>data0!C36/range*(2^resolution-1)</f>
        <v>0</v>
      </c>
      <c r="D36" s="28">
        <f>data0!D36/range*(2^resolution-1)</f>
        <v>0</v>
      </c>
      <c r="E36" s="28">
        <f>data0!E36/range*(2^resolution-1)</f>
        <v>0</v>
      </c>
      <c r="F36" s="28">
        <f>data0!F36/range*(2^resolution-1)</f>
        <v>0</v>
      </c>
      <c r="G36" s="28">
        <f>data0!G36/range*(2^resolution-1)</f>
        <v>0</v>
      </c>
      <c r="H36" s="28">
        <f>data0!H36/range*(2^resolution-1)</f>
        <v>0</v>
      </c>
      <c r="I36" s="28">
        <f>data0!I36/range*(2^resolution-1)</f>
        <v>0</v>
      </c>
      <c r="J36" s="28">
        <f>data0!J36/range*(2^resolution-1)</f>
        <v>0</v>
      </c>
      <c r="K36" s="28">
        <f>data0!K36/range*(2^resolution-1)</f>
        <v>0</v>
      </c>
      <c r="L36" s="28">
        <f>data0!L36/range*(2^resolution-1)</f>
        <v>0</v>
      </c>
      <c r="M36" s="28">
        <f>data0!M36/range*(2^resolution-1)</f>
        <v>0</v>
      </c>
      <c r="N36" s="28">
        <f>data0!N36/range*(2^resolution-1)</f>
        <v>0</v>
      </c>
      <c r="O36" s="28">
        <f>data0!O36/range*(2^resolution-1)</f>
        <v>0</v>
      </c>
      <c r="P36" s="28">
        <f>data0!P36/range*(2^resolution-1)</f>
        <v>0</v>
      </c>
      <c r="Q36" s="28">
        <f>data0!Q36/range*(2^resolution-1)</f>
        <v>0</v>
      </c>
      <c r="R36" s="28">
        <f>data0!R36/range*(2^resolution-1)</f>
        <v>0</v>
      </c>
      <c r="S36" s="28">
        <f>data0!S36/range*(2^resolution-1)</f>
        <v>0</v>
      </c>
      <c r="T36" s="28">
        <f>data0!T36/range*(2^resolution-1)</f>
        <v>0</v>
      </c>
      <c r="U36" s="28">
        <f>data0!U36/range*(2^resolution-1)</f>
        <v>0</v>
      </c>
      <c r="V36" s="28">
        <f>data0!V36/range*(2^resolution-1)</f>
        <v>0</v>
      </c>
      <c r="W36" s="28">
        <f>data0!W36/range*(2^resolution-1)</f>
        <v>0</v>
      </c>
      <c r="X36" s="28">
        <f>data0!X36/range*(2^resolution-1)</f>
        <v>0</v>
      </c>
      <c r="Y36" s="28">
        <f>data0!Y36/range*(2^resolution-1)</f>
        <v>0</v>
      </c>
      <c r="Z36" s="28">
        <f>data0!Z36/range*(2^resolution-1)</f>
        <v>0</v>
      </c>
      <c r="AA36" s="28">
        <f>data0!AA36/range*(2^resolution-1)</f>
        <v>0</v>
      </c>
      <c r="AB36" s="28">
        <f>data0!AB36/range*(2^resolution-1)</f>
        <v>0</v>
      </c>
      <c r="AC36" s="28">
        <f>data0!AC36/range*(2^resolution-1)</f>
        <v>0</v>
      </c>
      <c r="AD36" s="28">
        <f>data0!AD36/range*(2^resolution-1)</f>
        <v>0</v>
      </c>
      <c r="AE36" s="28">
        <f>data0!AE36/range*(2^resolution-1)</f>
        <v>0</v>
      </c>
      <c r="AF36" s="28">
        <f>data0!AF36/range*(2^resolution-1)</f>
        <v>0</v>
      </c>
      <c r="AG36" s="28">
        <f>data0!AG36/range*(2^resolution-1)</f>
        <v>0</v>
      </c>
    </row>
    <row r="37" spans="1:33">
      <c r="A37" s="29">
        <f>data0!A37</f>
        <v>15</v>
      </c>
      <c r="B37" s="28">
        <f>data0!B37/range*(2^resolution-1)</f>
        <v>0</v>
      </c>
      <c r="C37" s="28">
        <f>data0!C37/range*(2^resolution-1)</f>
        <v>0</v>
      </c>
      <c r="D37" s="28">
        <f>data0!D37/range*(2^resolution-1)</f>
        <v>0</v>
      </c>
      <c r="E37" s="28">
        <f>data0!E37/range*(2^resolution-1)</f>
        <v>0</v>
      </c>
      <c r="F37" s="28">
        <f>data0!F37/range*(2^resolution-1)</f>
        <v>0</v>
      </c>
      <c r="G37" s="28">
        <f>data0!G37/range*(2^resolution-1)</f>
        <v>0</v>
      </c>
      <c r="H37" s="28">
        <f>data0!H37/range*(2^resolution-1)</f>
        <v>0</v>
      </c>
      <c r="I37" s="28">
        <f>data0!I37/range*(2^resolution-1)</f>
        <v>0</v>
      </c>
      <c r="J37" s="28">
        <f>data0!J37/range*(2^resolution-1)</f>
        <v>0</v>
      </c>
      <c r="K37" s="28">
        <f>data0!K37/range*(2^resolution-1)</f>
        <v>0</v>
      </c>
      <c r="L37" s="28">
        <f>data0!L37/range*(2^resolution-1)</f>
        <v>0</v>
      </c>
      <c r="M37" s="28">
        <f>data0!M37/range*(2^resolution-1)</f>
        <v>0</v>
      </c>
      <c r="N37" s="28">
        <f>data0!N37/range*(2^resolution-1)</f>
        <v>0</v>
      </c>
      <c r="O37" s="28">
        <f>data0!O37/range*(2^resolution-1)</f>
        <v>0</v>
      </c>
      <c r="P37" s="28">
        <f>data0!P37/range*(2^resolution-1)</f>
        <v>0</v>
      </c>
      <c r="Q37" s="28">
        <f>data0!Q37/range*(2^resolution-1)</f>
        <v>0</v>
      </c>
      <c r="R37" s="28">
        <f>data0!R37/range*(2^resolution-1)</f>
        <v>0</v>
      </c>
      <c r="S37" s="28">
        <f>data0!S37/range*(2^resolution-1)</f>
        <v>0</v>
      </c>
      <c r="T37" s="28">
        <f>data0!T37/range*(2^resolution-1)</f>
        <v>0</v>
      </c>
      <c r="U37" s="28">
        <f>data0!U37/range*(2^resolution-1)</f>
        <v>0</v>
      </c>
      <c r="V37" s="28">
        <f>data0!V37/range*(2^resolution-1)</f>
        <v>0</v>
      </c>
      <c r="W37" s="28">
        <f>data0!W37/range*(2^resolution-1)</f>
        <v>0</v>
      </c>
      <c r="X37" s="28">
        <f>data0!X37/range*(2^resolution-1)</f>
        <v>0</v>
      </c>
      <c r="Y37" s="28">
        <f>data0!Y37/range*(2^resolution-1)</f>
        <v>0</v>
      </c>
      <c r="Z37" s="28">
        <f>data0!Z37/range*(2^resolution-1)</f>
        <v>0</v>
      </c>
      <c r="AA37" s="28">
        <f>data0!AA37/range*(2^resolution-1)</f>
        <v>0</v>
      </c>
      <c r="AB37" s="28">
        <f>data0!AB37/range*(2^resolution-1)</f>
        <v>0</v>
      </c>
      <c r="AC37" s="28">
        <f>data0!AC37/range*(2^resolution-1)</f>
        <v>0</v>
      </c>
      <c r="AD37" s="28">
        <f>data0!AD37/range*(2^resolution-1)</f>
        <v>0</v>
      </c>
      <c r="AE37" s="28">
        <f>data0!AE37/range*(2^resolution-1)</f>
        <v>0</v>
      </c>
      <c r="AF37" s="28">
        <f>data0!AF37/range*(2^resolution-1)</f>
        <v>0</v>
      </c>
      <c r="AG37" s="28">
        <f>data0!AG37/range*(2^resolution-1)</f>
        <v>0</v>
      </c>
    </row>
    <row r="38" spans="1:33">
      <c r="A38" s="29">
        <f>data0!A38</f>
        <v>18</v>
      </c>
      <c r="B38" s="28">
        <f>data0!B38/range*(2^resolution-1)</f>
        <v>0</v>
      </c>
      <c r="C38" s="28">
        <f>data0!C38/range*(2^resolution-1)</f>
        <v>0</v>
      </c>
      <c r="D38" s="28">
        <f>data0!D38/range*(2^resolution-1)</f>
        <v>0</v>
      </c>
      <c r="E38" s="28">
        <f>data0!E38/range*(2^resolution-1)</f>
        <v>0</v>
      </c>
      <c r="F38" s="28">
        <f>data0!F38/range*(2^resolution-1)</f>
        <v>0</v>
      </c>
      <c r="G38" s="28">
        <f>data0!G38/range*(2^resolution-1)</f>
        <v>0</v>
      </c>
      <c r="H38" s="28">
        <f>data0!H38/range*(2^resolution-1)</f>
        <v>0</v>
      </c>
      <c r="I38" s="28">
        <f>data0!I38/range*(2^resolution-1)</f>
        <v>0</v>
      </c>
      <c r="J38" s="28">
        <f>data0!J38/range*(2^resolution-1)</f>
        <v>0</v>
      </c>
      <c r="K38" s="28">
        <f>data0!K38/range*(2^resolution-1)</f>
        <v>0</v>
      </c>
      <c r="L38" s="28">
        <f>data0!L38/range*(2^resolution-1)</f>
        <v>0</v>
      </c>
      <c r="M38" s="28">
        <f>data0!M38/range*(2^resolution-1)</f>
        <v>0</v>
      </c>
      <c r="N38" s="28">
        <f>data0!N38/range*(2^resolution-1)</f>
        <v>0</v>
      </c>
      <c r="O38" s="28">
        <f>data0!O38/range*(2^resolution-1)</f>
        <v>0</v>
      </c>
      <c r="P38" s="28">
        <f>data0!P38/range*(2^resolution-1)</f>
        <v>0</v>
      </c>
      <c r="Q38" s="28">
        <f>data0!Q38/range*(2^resolution-1)</f>
        <v>0</v>
      </c>
      <c r="R38" s="28">
        <f>data0!R38/range*(2^resolution-1)</f>
        <v>0</v>
      </c>
      <c r="S38" s="28">
        <f>data0!S38/range*(2^resolution-1)</f>
        <v>0</v>
      </c>
      <c r="T38" s="28">
        <f>data0!T38/range*(2^resolution-1)</f>
        <v>0</v>
      </c>
      <c r="U38" s="28">
        <f>data0!U38/range*(2^resolution-1)</f>
        <v>0</v>
      </c>
      <c r="V38" s="28">
        <f>data0!V38/range*(2^resolution-1)</f>
        <v>0</v>
      </c>
      <c r="W38" s="28">
        <f>data0!W38/range*(2^resolution-1)</f>
        <v>0</v>
      </c>
      <c r="X38" s="28">
        <f>data0!X38/range*(2^resolution-1)</f>
        <v>0</v>
      </c>
      <c r="Y38" s="28">
        <f>data0!Y38/range*(2^resolution-1)</f>
        <v>0</v>
      </c>
      <c r="Z38" s="28">
        <f>data0!Z38/range*(2^resolution-1)</f>
        <v>0</v>
      </c>
      <c r="AA38" s="28">
        <f>data0!AA38/range*(2^resolution-1)</f>
        <v>0</v>
      </c>
      <c r="AB38" s="28">
        <f>data0!AB38/range*(2^resolution-1)</f>
        <v>0</v>
      </c>
      <c r="AC38" s="28">
        <f>data0!AC38/range*(2^resolution-1)</f>
        <v>0</v>
      </c>
      <c r="AD38" s="28">
        <f>data0!AD38/range*(2^resolution-1)</f>
        <v>0</v>
      </c>
      <c r="AE38" s="28">
        <f>data0!AE38/range*(2^resolution-1)</f>
        <v>0</v>
      </c>
      <c r="AF38" s="28">
        <f>data0!AF38/range*(2^resolution-1)</f>
        <v>0</v>
      </c>
      <c r="AG38" s="28">
        <f>data0!AG38/range*(2^resolution-1)</f>
        <v>0</v>
      </c>
    </row>
    <row r="39" spans="1:33">
      <c r="A39" s="29">
        <f>data0!A39</f>
        <v>21</v>
      </c>
      <c r="B39" s="28">
        <f>data0!B39/range*(2^resolution-1)</f>
        <v>0</v>
      </c>
      <c r="C39" s="28">
        <f>data0!C39/range*(2^resolution-1)</f>
        <v>0</v>
      </c>
      <c r="D39" s="28">
        <f>data0!D39/range*(2^resolution-1)</f>
        <v>0</v>
      </c>
      <c r="E39" s="28">
        <f>data0!E39/range*(2^resolution-1)</f>
        <v>0</v>
      </c>
      <c r="F39" s="28">
        <f>data0!F39/range*(2^resolution-1)</f>
        <v>0</v>
      </c>
      <c r="G39" s="28">
        <f>data0!G39/range*(2^resolution-1)</f>
        <v>0</v>
      </c>
      <c r="H39" s="28">
        <f>data0!H39/range*(2^resolution-1)</f>
        <v>0</v>
      </c>
      <c r="I39" s="28">
        <f>data0!I39/range*(2^resolution-1)</f>
        <v>0</v>
      </c>
      <c r="J39" s="28">
        <f>data0!J39/range*(2^resolution-1)</f>
        <v>0</v>
      </c>
      <c r="K39" s="28">
        <f>data0!K39/range*(2^resolution-1)</f>
        <v>0</v>
      </c>
      <c r="L39" s="28">
        <f>data0!L39/range*(2^resolution-1)</f>
        <v>0</v>
      </c>
      <c r="M39" s="28">
        <f>data0!M39/range*(2^resolution-1)</f>
        <v>0</v>
      </c>
      <c r="N39" s="28">
        <f>data0!N39/range*(2^resolution-1)</f>
        <v>0</v>
      </c>
      <c r="O39" s="28">
        <f>data0!O39/range*(2^resolution-1)</f>
        <v>0</v>
      </c>
      <c r="P39" s="28">
        <f>data0!P39/range*(2^resolution-1)</f>
        <v>0</v>
      </c>
      <c r="Q39" s="28">
        <f>data0!Q39/range*(2^resolution-1)</f>
        <v>0</v>
      </c>
      <c r="R39" s="28">
        <f>data0!R39/range*(2^resolution-1)</f>
        <v>0</v>
      </c>
      <c r="S39" s="28">
        <f>data0!S39/range*(2^resolution-1)</f>
        <v>0</v>
      </c>
      <c r="T39" s="28">
        <f>data0!T39/range*(2^resolution-1)</f>
        <v>0</v>
      </c>
      <c r="U39" s="28">
        <f>data0!U39/range*(2^resolution-1)</f>
        <v>0</v>
      </c>
      <c r="V39" s="28">
        <f>data0!V39/range*(2^resolution-1)</f>
        <v>0</v>
      </c>
      <c r="W39" s="28">
        <f>data0!W39/range*(2^resolution-1)</f>
        <v>0</v>
      </c>
      <c r="X39" s="28">
        <f>data0!X39/range*(2^resolution-1)</f>
        <v>0</v>
      </c>
      <c r="Y39" s="28">
        <f>data0!Y39/range*(2^resolution-1)</f>
        <v>0</v>
      </c>
      <c r="Z39" s="28">
        <f>data0!Z39/range*(2^resolution-1)</f>
        <v>0</v>
      </c>
      <c r="AA39" s="28">
        <f>data0!AA39/range*(2^resolution-1)</f>
        <v>0</v>
      </c>
      <c r="AB39" s="28">
        <f>data0!AB39/range*(2^resolution-1)</f>
        <v>0</v>
      </c>
      <c r="AC39" s="28">
        <f>data0!AC39/range*(2^resolution-1)</f>
        <v>0</v>
      </c>
      <c r="AD39" s="28">
        <f>data0!AD39/range*(2^resolution-1)</f>
        <v>0</v>
      </c>
      <c r="AE39" s="28">
        <f>data0!AE39/range*(2^resolution-1)</f>
        <v>0</v>
      </c>
      <c r="AF39" s="28">
        <f>data0!AF39/range*(2^resolution-1)</f>
        <v>0</v>
      </c>
      <c r="AG39" s="28">
        <f>data0!AG39/range*(2^resolution-1)</f>
        <v>0</v>
      </c>
    </row>
    <row r="40" spans="1:33">
      <c r="A40" s="29">
        <f>data0!A40</f>
        <v>24</v>
      </c>
      <c r="B40" s="28">
        <f>data0!B40/range*(2^resolution-1)</f>
        <v>0</v>
      </c>
      <c r="C40" s="28">
        <f>data0!C40/range*(2^resolution-1)</f>
        <v>0</v>
      </c>
      <c r="D40" s="28">
        <f>data0!D40/range*(2^resolution-1)</f>
        <v>0</v>
      </c>
      <c r="E40" s="28">
        <f>data0!E40/range*(2^resolution-1)</f>
        <v>0</v>
      </c>
      <c r="F40" s="28">
        <f>data0!F40/range*(2^resolution-1)</f>
        <v>0</v>
      </c>
      <c r="G40" s="28">
        <f>data0!G40/range*(2^resolution-1)</f>
        <v>0</v>
      </c>
      <c r="H40" s="28">
        <f>data0!H40/range*(2^resolution-1)</f>
        <v>0</v>
      </c>
      <c r="I40" s="28">
        <f>data0!I40/range*(2^resolution-1)</f>
        <v>0</v>
      </c>
      <c r="J40" s="28">
        <f>data0!J40/range*(2^resolution-1)</f>
        <v>0</v>
      </c>
      <c r="K40" s="28">
        <f>data0!K40/range*(2^resolution-1)</f>
        <v>0</v>
      </c>
      <c r="L40" s="28">
        <f>data0!L40/range*(2^resolution-1)</f>
        <v>0</v>
      </c>
      <c r="M40" s="28">
        <f>data0!M40/range*(2^resolution-1)</f>
        <v>0</v>
      </c>
      <c r="N40" s="28">
        <f>data0!N40/range*(2^resolution-1)</f>
        <v>0</v>
      </c>
      <c r="O40" s="28">
        <f>data0!O40/range*(2^resolution-1)</f>
        <v>0</v>
      </c>
      <c r="P40" s="28">
        <f>data0!P40/range*(2^resolution-1)</f>
        <v>0</v>
      </c>
      <c r="Q40" s="28">
        <f>data0!Q40/range*(2^resolution-1)</f>
        <v>0</v>
      </c>
      <c r="R40" s="28">
        <f>data0!R40/range*(2^resolution-1)</f>
        <v>0</v>
      </c>
      <c r="S40" s="28">
        <f>data0!S40/range*(2^resolution-1)</f>
        <v>0</v>
      </c>
      <c r="T40" s="28">
        <f>data0!T40/range*(2^resolution-1)</f>
        <v>0</v>
      </c>
      <c r="U40" s="28">
        <f>data0!U40/range*(2^resolution-1)</f>
        <v>0</v>
      </c>
      <c r="V40" s="28">
        <f>data0!V40/range*(2^resolution-1)</f>
        <v>0</v>
      </c>
      <c r="W40" s="28">
        <f>data0!W40/range*(2^resolution-1)</f>
        <v>0</v>
      </c>
      <c r="X40" s="28">
        <f>data0!X40/range*(2^resolution-1)</f>
        <v>0</v>
      </c>
      <c r="Y40" s="28">
        <f>data0!Y40/range*(2^resolution-1)</f>
        <v>0</v>
      </c>
      <c r="Z40" s="28">
        <f>data0!Z40/range*(2^resolution-1)</f>
        <v>0</v>
      </c>
      <c r="AA40" s="28">
        <f>data0!AA40/range*(2^resolution-1)</f>
        <v>0</v>
      </c>
      <c r="AB40" s="28">
        <f>data0!AB40/range*(2^resolution-1)</f>
        <v>0</v>
      </c>
      <c r="AC40" s="28">
        <f>data0!AC40/range*(2^resolution-1)</f>
        <v>0</v>
      </c>
      <c r="AD40" s="28">
        <f>data0!AD40/range*(2^resolution-1)</f>
        <v>0</v>
      </c>
      <c r="AE40" s="28">
        <f>data0!AE40/range*(2^resolution-1)</f>
        <v>0</v>
      </c>
      <c r="AF40" s="28">
        <f>data0!AF40/range*(2^resolution-1)</f>
        <v>0</v>
      </c>
      <c r="AG40" s="28">
        <f>data0!AG40/range*(2^resolution-1)</f>
        <v>0</v>
      </c>
    </row>
    <row r="41" spans="1:33">
      <c r="A41" s="29">
        <f>data0!A41</f>
        <v>27</v>
      </c>
      <c r="B41" s="28">
        <f>data0!B41/range*(2^resolution-1)</f>
        <v>0</v>
      </c>
      <c r="C41" s="28">
        <f>data0!C41/range*(2^resolution-1)</f>
        <v>0</v>
      </c>
      <c r="D41" s="28">
        <f>data0!D41/range*(2^resolution-1)</f>
        <v>0</v>
      </c>
      <c r="E41" s="28">
        <f>data0!E41/range*(2^resolution-1)</f>
        <v>0</v>
      </c>
      <c r="F41" s="28">
        <f>data0!F41/range*(2^resolution-1)</f>
        <v>0</v>
      </c>
      <c r="G41" s="28">
        <f>data0!G41/range*(2^resolution-1)</f>
        <v>0</v>
      </c>
      <c r="H41" s="28">
        <f>data0!H41/range*(2^resolution-1)</f>
        <v>0</v>
      </c>
      <c r="I41" s="28">
        <f>data0!I41/range*(2^resolution-1)</f>
        <v>0</v>
      </c>
      <c r="J41" s="28">
        <f>data0!J41/range*(2^resolution-1)</f>
        <v>0</v>
      </c>
      <c r="K41" s="28">
        <f>data0!K41/range*(2^resolution-1)</f>
        <v>0</v>
      </c>
      <c r="L41" s="28">
        <f>data0!L41/range*(2^resolution-1)</f>
        <v>0</v>
      </c>
      <c r="M41" s="28">
        <f>data0!M41/range*(2^resolution-1)</f>
        <v>0</v>
      </c>
      <c r="N41" s="28">
        <f>data0!N41/range*(2^resolution-1)</f>
        <v>0</v>
      </c>
      <c r="O41" s="28">
        <f>data0!O41/range*(2^resolution-1)</f>
        <v>0</v>
      </c>
      <c r="P41" s="28">
        <f>data0!P41/range*(2^resolution-1)</f>
        <v>0</v>
      </c>
      <c r="Q41" s="28">
        <f>data0!Q41/range*(2^resolution-1)</f>
        <v>0</v>
      </c>
      <c r="R41" s="28">
        <f>data0!R41/range*(2^resolution-1)</f>
        <v>0</v>
      </c>
      <c r="S41" s="28">
        <f>data0!S41/range*(2^resolution-1)</f>
        <v>0</v>
      </c>
      <c r="T41" s="28">
        <f>data0!T41/range*(2^resolution-1)</f>
        <v>0</v>
      </c>
      <c r="U41" s="28">
        <f>data0!U41/range*(2^resolution-1)</f>
        <v>0</v>
      </c>
      <c r="V41" s="28">
        <f>data0!V41/range*(2^resolution-1)</f>
        <v>0</v>
      </c>
      <c r="W41" s="28">
        <f>data0!W41/range*(2^resolution-1)</f>
        <v>0</v>
      </c>
      <c r="X41" s="28">
        <f>data0!X41/range*(2^resolution-1)</f>
        <v>0</v>
      </c>
      <c r="Y41" s="28">
        <f>data0!Y41/range*(2^resolution-1)</f>
        <v>0</v>
      </c>
      <c r="Z41" s="28">
        <f>data0!Z41/range*(2^resolution-1)</f>
        <v>0</v>
      </c>
      <c r="AA41" s="28">
        <f>data0!AA41/range*(2^resolution-1)</f>
        <v>0</v>
      </c>
      <c r="AB41" s="28">
        <f>data0!AB41/range*(2^resolution-1)</f>
        <v>0</v>
      </c>
      <c r="AC41" s="28">
        <f>data0!AC41/range*(2^resolution-1)</f>
        <v>0</v>
      </c>
      <c r="AD41" s="28">
        <f>data0!AD41/range*(2^resolution-1)</f>
        <v>0</v>
      </c>
      <c r="AE41" s="28">
        <f>data0!AE41/range*(2^resolution-1)</f>
        <v>0</v>
      </c>
      <c r="AF41" s="28">
        <f>data0!AF41/range*(2^resolution-1)</f>
        <v>0</v>
      </c>
      <c r="AG41" s="28">
        <f>data0!AG41/range*(2^resolution-1)</f>
        <v>0</v>
      </c>
    </row>
    <row r="42" spans="1:33">
      <c r="A42" s="29">
        <f>data0!A42</f>
        <v>30</v>
      </c>
      <c r="B42" s="28">
        <f>data0!B42/range*(2^resolution-1)</f>
        <v>0</v>
      </c>
      <c r="C42" s="28">
        <f>data0!C42/range*(2^resolution-1)</f>
        <v>0</v>
      </c>
      <c r="D42" s="28">
        <f>data0!D42/range*(2^resolution-1)</f>
        <v>0</v>
      </c>
      <c r="E42" s="28">
        <f>data0!E42/range*(2^resolution-1)</f>
        <v>0</v>
      </c>
      <c r="F42" s="28">
        <f>data0!F42/range*(2^resolution-1)</f>
        <v>0</v>
      </c>
      <c r="G42" s="28">
        <f>data0!G42/range*(2^resolution-1)</f>
        <v>0</v>
      </c>
      <c r="H42" s="28">
        <f>data0!H42/range*(2^resolution-1)</f>
        <v>0</v>
      </c>
      <c r="I42" s="28">
        <f>data0!I42/range*(2^resolution-1)</f>
        <v>0</v>
      </c>
      <c r="J42" s="28">
        <f>data0!J42/range*(2^resolution-1)</f>
        <v>0</v>
      </c>
      <c r="K42" s="28">
        <f>data0!K42/range*(2^resolution-1)</f>
        <v>0</v>
      </c>
      <c r="L42" s="28">
        <f>data0!L42/range*(2^resolution-1)</f>
        <v>0</v>
      </c>
      <c r="M42" s="28">
        <f>data0!M42/range*(2^resolution-1)</f>
        <v>0</v>
      </c>
      <c r="N42" s="28">
        <f>data0!N42/range*(2^resolution-1)</f>
        <v>0</v>
      </c>
      <c r="O42" s="28">
        <f>data0!O42/range*(2^resolution-1)</f>
        <v>0</v>
      </c>
      <c r="P42" s="28">
        <f>data0!P42/range*(2^resolution-1)</f>
        <v>0</v>
      </c>
      <c r="Q42" s="28">
        <f>data0!Q42/range*(2^resolution-1)</f>
        <v>0</v>
      </c>
      <c r="R42" s="28">
        <f>data0!R42/range*(2^resolution-1)</f>
        <v>0</v>
      </c>
      <c r="S42" s="28">
        <f>data0!S42/range*(2^resolution-1)</f>
        <v>0</v>
      </c>
      <c r="T42" s="28">
        <f>data0!T42/range*(2^resolution-1)</f>
        <v>0</v>
      </c>
      <c r="U42" s="28">
        <f>data0!U42/range*(2^resolution-1)</f>
        <v>0</v>
      </c>
      <c r="V42" s="28">
        <f>data0!V42/range*(2^resolution-1)</f>
        <v>0</v>
      </c>
      <c r="W42" s="28">
        <f>data0!W42/range*(2^resolution-1)</f>
        <v>0</v>
      </c>
      <c r="X42" s="28">
        <f>data0!X42/range*(2^resolution-1)</f>
        <v>0</v>
      </c>
      <c r="Y42" s="28">
        <f>data0!Y42/range*(2^resolution-1)</f>
        <v>0</v>
      </c>
      <c r="Z42" s="28">
        <f>data0!Z42/range*(2^resolution-1)</f>
        <v>0</v>
      </c>
      <c r="AA42" s="28">
        <f>data0!AA42/range*(2^resolution-1)</f>
        <v>0</v>
      </c>
      <c r="AB42" s="28">
        <f>data0!AB42/range*(2^resolution-1)</f>
        <v>0</v>
      </c>
      <c r="AC42" s="28">
        <f>data0!AC42/range*(2^resolution-1)</f>
        <v>0</v>
      </c>
      <c r="AD42" s="28">
        <f>data0!AD42/range*(2^resolution-1)</f>
        <v>0</v>
      </c>
      <c r="AE42" s="28">
        <f>data0!AE42/range*(2^resolution-1)</f>
        <v>0</v>
      </c>
      <c r="AF42" s="28">
        <f>data0!AF42/range*(2^resolution-1)</f>
        <v>0</v>
      </c>
      <c r="AG42" s="28">
        <f>data0!AG42/range*(2^resolution-1)</f>
        <v>0</v>
      </c>
    </row>
    <row r="43" spans="1:33">
      <c r="A43" s="29">
        <f>data0!A43</f>
        <v>33</v>
      </c>
      <c r="B43" s="28">
        <f>data0!B43/range*(2^resolution-1)</f>
        <v>0</v>
      </c>
      <c r="C43" s="28">
        <f>data0!C43/range*(2^resolution-1)</f>
        <v>0</v>
      </c>
      <c r="D43" s="28">
        <f>data0!D43/range*(2^resolution-1)</f>
        <v>0</v>
      </c>
      <c r="E43" s="28">
        <f>data0!E43/range*(2^resolution-1)</f>
        <v>0</v>
      </c>
      <c r="F43" s="28">
        <f>data0!F43/range*(2^resolution-1)</f>
        <v>0</v>
      </c>
      <c r="G43" s="28">
        <f>data0!G43/range*(2^resolution-1)</f>
        <v>0</v>
      </c>
      <c r="H43" s="28">
        <f>data0!H43/range*(2^resolution-1)</f>
        <v>0</v>
      </c>
      <c r="I43" s="28">
        <f>data0!I43/range*(2^resolution-1)</f>
        <v>0</v>
      </c>
      <c r="J43" s="28">
        <f>data0!J43/range*(2^resolution-1)</f>
        <v>0</v>
      </c>
      <c r="K43" s="28">
        <f>data0!K43/range*(2^resolution-1)</f>
        <v>0</v>
      </c>
      <c r="L43" s="28">
        <f>data0!L43/range*(2^resolution-1)</f>
        <v>0</v>
      </c>
      <c r="M43" s="28">
        <f>data0!M43/range*(2^resolution-1)</f>
        <v>0</v>
      </c>
      <c r="N43" s="28">
        <f>data0!N43/range*(2^resolution-1)</f>
        <v>0</v>
      </c>
      <c r="O43" s="28">
        <f>data0!O43/range*(2^resolution-1)</f>
        <v>0</v>
      </c>
      <c r="P43" s="28">
        <f>data0!P43/range*(2^resolution-1)</f>
        <v>0</v>
      </c>
      <c r="Q43" s="28">
        <f>data0!Q43/range*(2^resolution-1)</f>
        <v>0</v>
      </c>
      <c r="R43" s="28">
        <f>data0!R43/range*(2^resolution-1)</f>
        <v>0</v>
      </c>
      <c r="S43" s="28">
        <f>data0!S43/range*(2^resolution-1)</f>
        <v>0</v>
      </c>
      <c r="T43" s="28">
        <f>data0!T43/range*(2^resolution-1)</f>
        <v>0</v>
      </c>
      <c r="U43" s="28">
        <f>data0!U43/range*(2^resolution-1)</f>
        <v>0</v>
      </c>
      <c r="V43" s="28">
        <f>data0!V43/range*(2^resolution-1)</f>
        <v>0</v>
      </c>
      <c r="W43" s="28">
        <f>data0!W43/range*(2^resolution-1)</f>
        <v>0</v>
      </c>
      <c r="X43" s="28">
        <f>data0!X43/range*(2^resolution-1)</f>
        <v>0</v>
      </c>
      <c r="Y43" s="28">
        <f>data0!Y43/range*(2^resolution-1)</f>
        <v>0</v>
      </c>
      <c r="Z43" s="28">
        <f>data0!Z43/range*(2^resolution-1)</f>
        <v>0</v>
      </c>
      <c r="AA43" s="28">
        <f>data0!AA43/range*(2^resolution-1)</f>
        <v>0</v>
      </c>
      <c r="AB43" s="28">
        <f>data0!AB43/range*(2^resolution-1)</f>
        <v>0</v>
      </c>
      <c r="AC43" s="28">
        <f>data0!AC43/range*(2^resolution-1)</f>
        <v>0</v>
      </c>
      <c r="AD43" s="28">
        <f>data0!AD43/range*(2^resolution-1)</f>
        <v>0</v>
      </c>
      <c r="AE43" s="28">
        <f>data0!AE43/range*(2^resolution-1)</f>
        <v>0</v>
      </c>
      <c r="AF43" s="28">
        <f>data0!AF43/range*(2^resolution-1)</f>
        <v>0</v>
      </c>
      <c r="AG43" s="28">
        <f>data0!AG43/range*(2^resolution-1)</f>
        <v>0</v>
      </c>
    </row>
    <row r="44" spans="1:33">
      <c r="A44" s="29">
        <f>data0!A44</f>
        <v>36</v>
      </c>
      <c r="B44" s="28">
        <f>data0!B44/range*(2^resolution-1)</f>
        <v>0</v>
      </c>
      <c r="C44" s="28">
        <f>data0!C44/range*(2^resolution-1)</f>
        <v>0</v>
      </c>
      <c r="D44" s="28">
        <f>data0!D44/range*(2^resolution-1)</f>
        <v>0</v>
      </c>
      <c r="E44" s="28">
        <f>data0!E44/range*(2^resolution-1)</f>
        <v>0</v>
      </c>
      <c r="F44" s="28">
        <f>data0!F44/range*(2^resolution-1)</f>
        <v>0</v>
      </c>
      <c r="G44" s="28">
        <f>data0!G44/range*(2^resolution-1)</f>
        <v>0</v>
      </c>
      <c r="H44" s="28">
        <f>data0!H44/range*(2^resolution-1)</f>
        <v>0</v>
      </c>
      <c r="I44" s="28">
        <f>data0!I44/range*(2^resolution-1)</f>
        <v>0</v>
      </c>
      <c r="J44" s="28">
        <f>data0!J44/range*(2^resolution-1)</f>
        <v>0</v>
      </c>
      <c r="K44" s="28">
        <f>data0!K44/range*(2^resolution-1)</f>
        <v>0</v>
      </c>
      <c r="L44" s="28">
        <f>data0!L44/range*(2^resolution-1)</f>
        <v>0</v>
      </c>
      <c r="M44" s="28">
        <f>data0!M44/range*(2^resolution-1)</f>
        <v>0</v>
      </c>
      <c r="N44" s="28">
        <f>data0!N44/range*(2^resolution-1)</f>
        <v>0</v>
      </c>
      <c r="O44" s="28">
        <f>data0!O44/range*(2^resolution-1)</f>
        <v>0</v>
      </c>
      <c r="P44" s="28">
        <f>data0!P44/range*(2^resolution-1)</f>
        <v>0</v>
      </c>
      <c r="Q44" s="28">
        <f>data0!Q44/range*(2^resolution-1)</f>
        <v>0</v>
      </c>
      <c r="R44" s="28">
        <f>data0!R44/range*(2^resolution-1)</f>
        <v>0</v>
      </c>
      <c r="S44" s="28">
        <f>data0!S44/range*(2^resolution-1)</f>
        <v>0</v>
      </c>
      <c r="T44" s="28">
        <f>data0!T44/range*(2^resolution-1)</f>
        <v>0</v>
      </c>
      <c r="U44" s="28">
        <f>data0!U44/range*(2^resolution-1)</f>
        <v>0</v>
      </c>
      <c r="V44" s="28">
        <f>data0!V44/range*(2^resolution-1)</f>
        <v>0</v>
      </c>
      <c r="W44" s="28">
        <f>data0!W44/range*(2^resolution-1)</f>
        <v>0</v>
      </c>
      <c r="X44" s="28">
        <f>data0!X44/range*(2^resolution-1)</f>
        <v>0</v>
      </c>
      <c r="Y44" s="28">
        <f>data0!Y44/range*(2^resolution-1)</f>
        <v>0</v>
      </c>
      <c r="Z44" s="28">
        <f>data0!Z44/range*(2^resolution-1)</f>
        <v>0</v>
      </c>
      <c r="AA44" s="28">
        <f>data0!AA44/range*(2^resolution-1)</f>
        <v>0</v>
      </c>
      <c r="AB44" s="28">
        <f>data0!AB44/range*(2^resolution-1)</f>
        <v>0</v>
      </c>
      <c r="AC44" s="28">
        <f>data0!AC44/range*(2^resolution-1)</f>
        <v>0</v>
      </c>
      <c r="AD44" s="28">
        <f>data0!AD44/range*(2^resolution-1)</f>
        <v>0</v>
      </c>
      <c r="AE44" s="28">
        <f>data0!AE44/range*(2^resolution-1)</f>
        <v>0</v>
      </c>
      <c r="AF44" s="28">
        <f>data0!AF44/range*(2^resolution-1)</f>
        <v>0</v>
      </c>
      <c r="AG44" s="28">
        <f>data0!AG44/range*(2^resolution-1)</f>
        <v>0</v>
      </c>
    </row>
    <row r="45" spans="1:33">
      <c r="A45" s="29">
        <f>data0!A45</f>
        <v>39</v>
      </c>
      <c r="B45" s="28">
        <f>data0!B45/range*(2^resolution-1)</f>
        <v>0</v>
      </c>
      <c r="C45" s="28">
        <f>data0!C45/range*(2^resolution-1)</f>
        <v>0</v>
      </c>
      <c r="D45" s="28">
        <f>data0!D45/range*(2^resolution-1)</f>
        <v>0</v>
      </c>
      <c r="E45" s="28">
        <f>data0!E45/range*(2^resolution-1)</f>
        <v>0</v>
      </c>
      <c r="F45" s="28">
        <f>data0!F45/range*(2^resolution-1)</f>
        <v>0</v>
      </c>
      <c r="G45" s="28">
        <f>data0!G45/range*(2^resolution-1)</f>
        <v>0</v>
      </c>
      <c r="H45" s="28">
        <f>data0!H45/range*(2^resolution-1)</f>
        <v>0</v>
      </c>
      <c r="I45" s="28">
        <f>data0!I45/range*(2^resolution-1)</f>
        <v>0</v>
      </c>
      <c r="J45" s="28">
        <f>data0!J45/range*(2^resolution-1)</f>
        <v>0</v>
      </c>
      <c r="K45" s="28">
        <f>data0!K45/range*(2^resolution-1)</f>
        <v>0</v>
      </c>
      <c r="L45" s="28">
        <f>data0!L45/range*(2^resolution-1)</f>
        <v>0</v>
      </c>
      <c r="M45" s="28">
        <f>data0!M45/range*(2^resolution-1)</f>
        <v>0</v>
      </c>
      <c r="N45" s="28">
        <f>data0!N45/range*(2^resolution-1)</f>
        <v>0</v>
      </c>
      <c r="O45" s="28">
        <f>data0!O45/range*(2^resolution-1)</f>
        <v>0</v>
      </c>
      <c r="P45" s="28">
        <f>data0!P45/range*(2^resolution-1)</f>
        <v>0</v>
      </c>
      <c r="Q45" s="28">
        <f>data0!Q45/range*(2^resolution-1)</f>
        <v>0</v>
      </c>
      <c r="R45" s="28">
        <f>data0!R45/range*(2^resolution-1)</f>
        <v>0</v>
      </c>
      <c r="S45" s="28">
        <f>data0!S45/range*(2^resolution-1)</f>
        <v>0</v>
      </c>
      <c r="T45" s="28">
        <f>data0!T45/range*(2^resolution-1)</f>
        <v>0</v>
      </c>
      <c r="U45" s="28">
        <f>data0!U45/range*(2^resolution-1)</f>
        <v>0</v>
      </c>
      <c r="V45" s="28">
        <f>data0!V45/range*(2^resolution-1)</f>
        <v>0</v>
      </c>
      <c r="W45" s="28">
        <f>data0!W45/range*(2^resolution-1)</f>
        <v>0</v>
      </c>
      <c r="X45" s="28">
        <f>data0!X45/range*(2^resolution-1)</f>
        <v>0</v>
      </c>
      <c r="Y45" s="28">
        <f>data0!Y45/range*(2^resolution-1)</f>
        <v>0</v>
      </c>
      <c r="Z45" s="28">
        <f>data0!Z45/range*(2^resolution-1)</f>
        <v>0</v>
      </c>
      <c r="AA45" s="28">
        <f>data0!AA45/range*(2^resolution-1)</f>
        <v>0</v>
      </c>
      <c r="AB45" s="28">
        <f>data0!AB45/range*(2^resolution-1)</f>
        <v>0</v>
      </c>
      <c r="AC45" s="28">
        <f>data0!AC45/range*(2^resolution-1)</f>
        <v>0</v>
      </c>
      <c r="AD45" s="28">
        <f>data0!AD45/range*(2^resolution-1)</f>
        <v>0</v>
      </c>
      <c r="AE45" s="28">
        <f>data0!AE45/range*(2^resolution-1)</f>
        <v>0</v>
      </c>
      <c r="AF45" s="28">
        <f>data0!AF45/range*(2^resolution-1)</f>
        <v>0</v>
      </c>
      <c r="AG45" s="28">
        <f>data0!AG45/range*(2^resolution-1)</f>
        <v>0</v>
      </c>
    </row>
    <row r="46" spans="1:33">
      <c r="A46" s="29">
        <f>data0!A46</f>
        <v>42</v>
      </c>
      <c r="B46" s="28">
        <f>data0!B46/range*(2^resolution-1)</f>
        <v>0</v>
      </c>
      <c r="C46" s="28">
        <f>data0!C46/range*(2^resolution-1)</f>
        <v>0</v>
      </c>
      <c r="D46" s="28">
        <f>data0!D46/range*(2^resolution-1)</f>
        <v>0</v>
      </c>
      <c r="E46" s="28">
        <f>data0!E46/range*(2^resolution-1)</f>
        <v>0</v>
      </c>
      <c r="F46" s="28">
        <f>data0!F46/range*(2^resolution-1)</f>
        <v>0</v>
      </c>
      <c r="G46" s="28">
        <f>data0!G46/range*(2^resolution-1)</f>
        <v>0</v>
      </c>
      <c r="H46" s="28">
        <f>data0!H46/range*(2^resolution-1)</f>
        <v>0</v>
      </c>
      <c r="I46" s="28">
        <f>data0!I46/range*(2^resolution-1)</f>
        <v>0</v>
      </c>
      <c r="J46" s="28">
        <f>data0!J46/range*(2^resolution-1)</f>
        <v>0</v>
      </c>
      <c r="K46" s="28">
        <f>data0!K46/range*(2^resolution-1)</f>
        <v>0</v>
      </c>
      <c r="L46" s="28">
        <f>data0!L46/range*(2^resolution-1)</f>
        <v>0</v>
      </c>
      <c r="M46" s="28">
        <f>data0!M46/range*(2^resolution-1)</f>
        <v>0</v>
      </c>
      <c r="N46" s="28">
        <f>data0!N46/range*(2^resolution-1)</f>
        <v>0</v>
      </c>
      <c r="O46" s="28">
        <f>data0!O46/range*(2^resolution-1)</f>
        <v>0</v>
      </c>
      <c r="P46" s="28">
        <f>data0!P46/range*(2^resolution-1)</f>
        <v>0</v>
      </c>
      <c r="Q46" s="28">
        <f>data0!Q46/range*(2^resolution-1)</f>
        <v>0</v>
      </c>
      <c r="R46" s="28">
        <f>data0!R46/range*(2^resolution-1)</f>
        <v>0</v>
      </c>
      <c r="S46" s="28">
        <f>data0!S46/range*(2^resolution-1)</f>
        <v>0</v>
      </c>
      <c r="T46" s="28">
        <f>data0!T46/range*(2^resolution-1)</f>
        <v>0</v>
      </c>
      <c r="U46" s="28">
        <f>data0!U46/range*(2^resolution-1)</f>
        <v>0</v>
      </c>
      <c r="V46" s="28">
        <f>data0!V46/range*(2^resolution-1)</f>
        <v>0</v>
      </c>
      <c r="W46" s="28">
        <f>data0!W46/range*(2^resolution-1)</f>
        <v>0</v>
      </c>
      <c r="X46" s="28">
        <f>data0!X46/range*(2^resolution-1)</f>
        <v>0</v>
      </c>
      <c r="Y46" s="28">
        <f>data0!Y46/range*(2^resolution-1)</f>
        <v>0</v>
      </c>
      <c r="Z46" s="28">
        <f>data0!Z46/range*(2^resolution-1)</f>
        <v>0</v>
      </c>
      <c r="AA46" s="28">
        <f>data0!AA46/range*(2^resolution-1)</f>
        <v>0</v>
      </c>
      <c r="AB46" s="28">
        <f>data0!AB46/range*(2^resolution-1)</f>
        <v>0</v>
      </c>
      <c r="AC46" s="28">
        <f>data0!AC46/range*(2^resolution-1)</f>
        <v>0</v>
      </c>
      <c r="AD46" s="28">
        <f>data0!AD46/range*(2^resolution-1)</f>
        <v>0</v>
      </c>
      <c r="AE46" s="28">
        <f>data0!AE46/range*(2^resolution-1)</f>
        <v>0</v>
      </c>
      <c r="AF46" s="28">
        <f>data0!AF46/range*(2^resolution-1)</f>
        <v>0</v>
      </c>
      <c r="AG46" s="28">
        <f>data0!AG46/range*(2^resolution-1)</f>
        <v>0</v>
      </c>
    </row>
    <row r="47" spans="1:33">
      <c r="A47" s="29">
        <f>data0!A47</f>
        <v>45</v>
      </c>
      <c r="B47" s="28">
        <f>data0!B47/range*(2^resolution-1)</f>
        <v>0</v>
      </c>
      <c r="C47" s="28">
        <f>data0!C47/range*(2^resolution-1)</f>
        <v>0</v>
      </c>
      <c r="D47" s="28">
        <f>data0!D47/range*(2^resolution-1)</f>
        <v>0</v>
      </c>
      <c r="E47" s="28">
        <f>data0!E47/range*(2^resolution-1)</f>
        <v>0</v>
      </c>
      <c r="F47" s="28">
        <f>data0!F47/range*(2^resolution-1)</f>
        <v>0</v>
      </c>
      <c r="G47" s="28">
        <f>data0!G47/range*(2^resolution-1)</f>
        <v>0</v>
      </c>
      <c r="H47" s="28">
        <f>data0!H47/range*(2^resolution-1)</f>
        <v>0</v>
      </c>
      <c r="I47" s="28">
        <f>data0!I47/range*(2^resolution-1)</f>
        <v>0</v>
      </c>
      <c r="J47" s="28">
        <f>data0!J47/range*(2^resolution-1)</f>
        <v>0</v>
      </c>
      <c r="K47" s="28">
        <f>data0!K47/range*(2^resolution-1)</f>
        <v>0</v>
      </c>
      <c r="L47" s="28">
        <f>data0!L47/range*(2^resolution-1)</f>
        <v>0</v>
      </c>
      <c r="M47" s="28">
        <f>data0!M47/range*(2^resolution-1)</f>
        <v>0</v>
      </c>
      <c r="N47" s="28">
        <f>data0!N47/range*(2^resolution-1)</f>
        <v>0</v>
      </c>
      <c r="O47" s="28">
        <f>data0!O47/range*(2^resolution-1)</f>
        <v>0</v>
      </c>
      <c r="P47" s="28">
        <f>data0!P47/range*(2^resolution-1)</f>
        <v>0</v>
      </c>
      <c r="Q47" s="28">
        <f>data0!Q47/range*(2^resolution-1)</f>
        <v>0</v>
      </c>
      <c r="R47" s="28">
        <f>data0!R47/range*(2^resolution-1)</f>
        <v>0</v>
      </c>
      <c r="S47" s="28">
        <f>data0!S47/range*(2^resolution-1)</f>
        <v>0</v>
      </c>
      <c r="T47" s="28">
        <f>data0!T47/range*(2^resolution-1)</f>
        <v>0</v>
      </c>
      <c r="U47" s="28">
        <f>data0!U47/range*(2^resolution-1)</f>
        <v>0</v>
      </c>
      <c r="V47" s="28">
        <f>data0!V47/range*(2^resolution-1)</f>
        <v>0</v>
      </c>
      <c r="W47" s="28">
        <f>data0!W47/range*(2^resolution-1)</f>
        <v>0</v>
      </c>
      <c r="X47" s="28">
        <f>data0!X47/range*(2^resolution-1)</f>
        <v>0</v>
      </c>
      <c r="Y47" s="28">
        <f>data0!Y47/range*(2^resolution-1)</f>
        <v>0</v>
      </c>
      <c r="Z47" s="28">
        <f>data0!Z47/range*(2^resolution-1)</f>
        <v>0</v>
      </c>
      <c r="AA47" s="28">
        <f>data0!AA47/range*(2^resolution-1)</f>
        <v>0</v>
      </c>
      <c r="AB47" s="28">
        <f>data0!AB47/range*(2^resolution-1)</f>
        <v>0</v>
      </c>
      <c r="AC47" s="28">
        <f>data0!AC47/range*(2^resolution-1)</f>
        <v>0</v>
      </c>
      <c r="AD47" s="28">
        <f>data0!AD47/range*(2^resolution-1)</f>
        <v>0</v>
      </c>
      <c r="AE47" s="28">
        <f>data0!AE47/range*(2^resolution-1)</f>
        <v>0</v>
      </c>
      <c r="AF47" s="28">
        <f>data0!AF47/range*(2^resolution-1)</f>
        <v>0</v>
      </c>
      <c r="AG47" s="28">
        <f>data0!AG47/range*(2^resolution-1)</f>
        <v>0</v>
      </c>
    </row>
    <row r="48" spans="1:33">
      <c r="A48" s="29">
        <f>data0!A48</f>
        <v>48</v>
      </c>
      <c r="B48" s="28">
        <f>data0!B48/range*(2^resolution-1)</f>
        <v>0</v>
      </c>
      <c r="C48" s="28">
        <f>data0!C48/range*(2^resolution-1)</f>
        <v>0</v>
      </c>
      <c r="D48" s="28">
        <f>data0!D48/range*(2^resolution-1)</f>
        <v>0</v>
      </c>
      <c r="E48" s="28">
        <f>data0!E48/range*(2^resolution-1)</f>
        <v>0</v>
      </c>
      <c r="F48" s="28">
        <f>data0!F48/range*(2^resolution-1)</f>
        <v>0</v>
      </c>
      <c r="G48" s="28">
        <f>data0!G48/range*(2^resolution-1)</f>
        <v>0</v>
      </c>
      <c r="H48" s="28">
        <f>data0!H48/range*(2^resolution-1)</f>
        <v>0</v>
      </c>
      <c r="I48" s="28">
        <f>data0!I48/range*(2^resolution-1)</f>
        <v>0</v>
      </c>
      <c r="J48" s="28">
        <f>data0!J48/range*(2^resolution-1)</f>
        <v>0</v>
      </c>
      <c r="K48" s="28">
        <f>data0!K48/range*(2^resolution-1)</f>
        <v>0</v>
      </c>
      <c r="L48" s="28">
        <f>data0!L48/range*(2^resolution-1)</f>
        <v>0</v>
      </c>
      <c r="M48" s="28">
        <f>data0!M48/range*(2^resolution-1)</f>
        <v>0</v>
      </c>
      <c r="N48" s="28">
        <f>data0!N48/range*(2^resolution-1)</f>
        <v>0</v>
      </c>
      <c r="O48" s="28">
        <f>data0!O48/range*(2^resolution-1)</f>
        <v>0</v>
      </c>
      <c r="P48" s="28">
        <f>data0!P48/range*(2^resolution-1)</f>
        <v>0</v>
      </c>
      <c r="Q48" s="28">
        <f>data0!Q48/range*(2^resolution-1)</f>
        <v>0</v>
      </c>
      <c r="R48" s="28">
        <f>data0!R48/range*(2^resolution-1)</f>
        <v>0</v>
      </c>
      <c r="S48" s="28">
        <f>data0!S48/range*(2^resolution-1)</f>
        <v>0</v>
      </c>
      <c r="T48" s="28">
        <f>data0!T48/range*(2^resolution-1)</f>
        <v>0</v>
      </c>
      <c r="U48" s="28">
        <f>data0!U48/range*(2^resolution-1)</f>
        <v>0</v>
      </c>
      <c r="V48" s="28">
        <f>data0!V48/range*(2^resolution-1)</f>
        <v>0</v>
      </c>
      <c r="W48" s="28">
        <f>data0!W48/range*(2^resolution-1)</f>
        <v>0</v>
      </c>
      <c r="X48" s="28">
        <f>data0!X48/range*(2^resolution-1)</f>
        <v>0</v>
      </c>
      <c r="Y48" s="28">
        <f>data0!Y48/range*(2^resolution-1)</f>
        <v>0</v>
      </c>
      <c r="Z48" s="28">
        <f>data0!Z48/range*(2^resolution-1)</f>
        <v>0</v>
      </c>
      <c r="AA48" s="28">
        <f>data0!AA48/range*(2^resolution-1)</f>
        <v>0</v>
      </c>
      <c r="AB48" s="28">
        <f>data0!AB48/range*(2^resolution-1)</f>
        <v>0</v>
      </c>
      <c r="AC48" s="28">
        <f>data0!AC48/range*(2^resolution-1)</f>
        <v>0</v>
      </c>
      <c r="AD48" s="28">
        <f>data0!AD48/range*(2^resolution-1)</f>
        <v>0</v>
      </c>
      <c r="AE48" s="28">
        <f>data0!AE48/range*(2^resolution-1)</f>
        <v>0</v>
      </c>
      <c r="AF48" s="28">
        <f>data0!AF48/range*(2^resolution-1)</f>
        <v>0</v>
      </c>
      <c r="AG48" s="28">
        <f>data0!AG48/range*(2^resolution-1)</f>
        <v>0</v>
      </c>
    </row>
    <row r="49" spans="1:33">
      <c r="A49" s="29">
        <f>data0!A49</f>
        <v>51</v>
      </c>
      <c r="B49" s="28">
        <f>data0!B49/range*(2^resolution-1)</f>
        <v>0</v>
      </c>
      <c r="C49" s="28">
        <f>data0!C49/range*(2^resolution-1)</f>
        <v>0</v>
      </c>
      <c r="D49" s="28">
        <f>data0!D49/range*(2^resolution-1)</f>
        <v>0</v>
      </c>
      <c r="E49" s="28">
        <f>data0!E49/range*(2^resolution-1)</f>
        <v>0</v>
      </c>
      <c r="F49" s="28">
        <f>data0!F49/range*(2^resolution-1)</f>
        <v>0</v>
      </c>
      <c r="G49" s="28">
        <f>data0!G49/range*(2^resolution-1)</f>
        <v>0</v>
      </c>
      <c r="H49" s="28">
        <f>data0!H49/range*(2^resolution-1)</f>
        <v>0</v>
      </c>
      <c r="I49" s="28">
        <f>data0!I49/range*(2^resolution-1)</f>
        <v>0</v>
      </c>
      <c r="J49" s="28">
        <f>data0!J49/range*(2^resolution-1)</f>
        <v>0</v>
      </c>
      <c r="K49" s="28">
        <f>data0!K49/range*(2^resolution-1)</f>
        <v>0</v>
      </c>
      <c r="L49" s="28">
        <f>data0!L49/range*(2^resolution-1)</f>
        <v>0</v>
      </c>
      <c r="M49" s="28">
        <f>data0!M49/range*(2^resolution-1)</f>
        <v>0</v>
      </c>
      <c r="N49" s="28">
        <f>data0!N49/range*(2^resolution-1)</f>
        <v>0</v>
      </c>
      <c r="O49" s="28">
        <f>data0!O49/range*(2^resolution-1)</f>
        <v>0</v>
      </c>
      <c r="P49" s="28">
        <f>data0!P49/range*(2^resolution-1)</f>
        <v>0</v>
      </c>
      <c r="Q49" s="28">
        <f>data0!Q49/range*(2^resolution-1)</f>
        <v>0</v>
      </c>
      <c r="R49" s="28">
        <f>data0!R49/range*(2^resolution-1)</f>
        <v>0</v>
      </c>
      <c r="S49" s="28">
        <f>data0!S49/range*(2^resolution-1)</f>
        <v>0</v>
      </c>
      <c r="T49" s="28">
        <f>data0!T49/range*(2^resolution-1)</f>
        <v>0</v>
      </c>
      <c r="U49" s="28">
        <f>data0!U49/range*(2^resolution-1)</f>
        <v>0</v>
      </c>
      <c r="V49" s="28">
        <f>data0!V49/range*(2^resolution-1)</f>
        <v>0</v>
      </c>
      <c r="W49" s="28">
        <f>data0!W49/range*(2^resolution-1)</f>
        <v>0</v>
      </c>
      <c r="X49" s="28">
        <f>data0!X49/range*(2^resolution-1)</f>
        <v>0</v>
      </c>
      <c r="Y49" s="28">
        <f>data0!Y49/range*(2^resolution-1)</f>
        <v>0</v>
      </c>
      <c r="Z49" s="28">
        <f>data0!Z49/range*(2^resolution-1)</f>
        <v>0</v>
      </c>
      <c r="AA49" s="28">
        <f>data0!AA49/range*(2^resolution-1)</f>
        <v>0</v>
      </c>
      <c r="AB49" s="28">
        <f>data0!AB49/range*(2^resolution-1)</f>
        <v>0</v>
      </c>
      <c r="AC49" s="28">
        <f>data0!AC49/range*(2^resolution-1)</f>
        <v>0</v>
      </c>
      <c r="AD49" s="28">
        <f>data0!AD49/range*(2^resolution-1)</f>
        <v>0</v>
      </c>
      <c r="AE49" s="28">
        <f>data0!AE49/range*(2^resolution-1)</f>
        <v>0</v>
      </c>
      <c r="AF49" s="28">
        <f>data0!AF49/range*(2^resolution-1)</f>
        <v>0</v>
      </c>
      <c r="AG49" s="28">
        <f>data0!AG49/range*(2^resolution-1)</f>
        <v>0</v>
      </c>
    </row>
    <row r="50" spans="1:33">
      <c r="A50" s="29">
        <f>data0!A50</f>
        <v>54</v>
      </c>
      <c r="B50" s="28">
        <f>data0!B50/range*(2^resolution-1)</f>
        <v>0</v>
      </c>
      <c r="C50" s="28">
        <f>data0!C50/range*(2^resolution-1)</f>
        <v>0</v>
      </c>
      <c r="D50" s="28">
        <f>data0!D50/range*(2^resolution-1)</f>
        <v>0</v>
      </c>
      <c r="E50" s="28">
        <f>data0!E50/range*(2^resolution-1)</f>
        <v>0</v>
      </c>
      <c r="F50" s="28">
        <f>data0!F50/range*(2^resolution-1)</f>
        <v>0</v>
      </c>
      <c r="G50" s="28">
        <f>data0!G50/range*(2^resolution-1)</f>
        <v>0</v>
      </c>
      <c r="H50" s="28">
        <f>data0!H50/range*(2^resolution-1)</f>
        <v>0</v>
      </c>
      <c r="I50" s="28">
        <f>data0!I50/range*(2^resolution-1)</f>
        <v>0</v>
      </c>
      <c r="J50" s="28">
        <f>data0!J50/range*(2^resolution-1)</f>
        <v>0</v>
      </c>
      <c r="K50" s="28">
        <f>data0!K50/range*(2^resolution-1)</f>
        <v>0</v>
      </c>
      <c r="L50" s="28">
        <f>data0!L50/range*(2^resolution-1)</f>
        <v>0</v>
      </c>
      <c r="M50" s="28">
        <f>data0!M50/range*(2^resolution-1)</f>
        <v>0</v>
      </c>
      <c r="N50" s="28">
        <f>data0!N50/range*(2^resolution-1)</f>
        <v>0</v>
      </c>
      <c r="O50" s="28">
        <f>data0!O50/range*(2^resolution-1)</f>
        <v>0</v>
      </c>
      <c r="P50" s="28">
        <f>data0!P50/range*(2^resolution-1)</f>
        <v>0</v>
      </c>
      <c r="Q50" s="28">
        <f>data0!Q50/range*(2^resolution-1)</f>
        <v>0</v>
      </c>
      <c r="R50" s="28">
        <f>data0!R50/range*(2^resolution-1)</f>
        <v>0</v>
      </c>
      <c r="S50" s="28">
        <f>data0!S50/range*(2^resolution-1)</f>
        <v>0</v>
      </c>
      <c r="T50" s="28">
        <f>data0!T50/range*(2^resolution-1)</f>
        <v>0</v>
      </c>
      <c r="U50" s="28">
        <f>data0!U50/range*(2^resolution-1)</f>
        <v>0</v>
      </c>
      <c r="V50" s="28">
        <f>data0!V50/range*(2^resolution-1)</f>
        <v>0</v>
      </c>
      <c r="W50" s="28">
        <f>data0!W50/range*(2^resolution-1)</f>
        <v>0</v>
      </c>
      <c r="X50" s="28">
        <f>data0!X50/range*(2^resolution-1)</f>
        <v>0</v>
      </c>
      <c r="Y50" s="28">
        <f>data0!Y50/range*(2^resolution-1)</f>
        <v>0</v>
      </c>
      <c r="Z50" s="28">
        <f>data0!Z50/range*(2^resolution-1)</f>
        <v>0</v>
      </c>
      <c r="AA50" s="28">
        <f>data0!AA50/range*(2^resolution-1)</f>
        <v>0</v>
      </c>
      <c r="AB50" s="28">
        <f>data0!AB50/range*(2^resolution-1)</f>
        <v>0</v>
      </c>
      <c r="AC50" s="28">
        <f>data0!AC50/range*(2^resolution-1)</f>
        <v>0</v>
      </c>
      <c r="AD50" s="28">
        <f>data0!AD50/range*(2^resolution-1)</f>
        <v>0</v>
      </c>
      <c r="AE50" s="28">
        <f>data0!AE50/range*(2^resolution-1)</f>
        <v>0</v>
      </c>
      <c r="AF50" s="28">
        <f>data0!AF50/range*(2^resolution-1)</f>
        <v>0</v>
      </c>
      <c r="AG50" s="28">
        <f>data0!AG50/range*(2^resolution-1)</f>
        <v>0</v>
      </c>
    </row>
    <row r="51" spans="1:33">
      <c r="A51" s="29">
        <f>data0!A51</f>
        <v>57</v>
      </c>
      <c r="B51" s="28">
        <f>data0!B51/range*(2^resolution-1)</f>
        <v>0</v>
      </c>
      <c r="C51" s="28">
        <f>data0!C51/range*(2^resolution-1)</f>
        <v>0</v>
      </c>
      <c r="D51" s="28">
        <f>data0!D51/range*(2^resolution-1)</f>
        <v>0</v>
      </c>
      <c r="E51" s="28">
        <f>data0!E51/range*(2^resolution-1)</f>
        <v>0</v>
      </c>
      <c r="F51" s="28">
        <f>data0!F51/range*(2^resolution-1)</f>
        <v>0</v>
      </c>
      <c r="G51" s="28">
        <f>data0!G51/range*(2^resolution-1)</f>
        <v>0</v>
      </c>
      <c r="H51" s="28">
        <f>data0!H51/range*(2^resolution-1)</f>
        <v>0</v>
      </c>
      <c r="I51" s="28">
        <f>data0!I51/range*(2^resolution-1)</f>
        <v>0</v>
      </c>
      <c r="J51" s="28">
        <f>data0!J51/range*(2^resolution-1)</f>
        <v>0</v>
      </c>
      <c r="K51" s="28">
        <f>data0!K51/range*(2^resolution-1)</f>
        <v>0</v>
      </c>
      <c r="L51" s="28">
        <f>data0!L51/range*(2^resolution-1)</f>
        <v>0</v>
      </c>
      <c r="M51" s="28">
        <f>data0!M51/range*(2^resolution-1)</f>
        <v>0</v>
      </c>
      <c r="N51" s="28">
        <f>data0!N51/range*(2^resolution-1)</f>
        <v>0</v>
      </c>
      <c r="O51" s="28">
        <f>data0!O51/range*(2^resolution-1)</f>
        <v>0</v>
      </c>
      <c r="P51" s="28">
        <f>data0!P51/range*(2^resolution-1)</f>
        <v>0</v>
      </c>
      <c r="Q51" s="28">
        <f>data0!Q51/range*(2^resolution-1)</f>
        <v>0</v>
      </c>
      <c r="R51" s="28">
        <f>data0!R51/range*(2^resolution-1)</f>
        <v>0</v>
      </c>
      <c r="S51" s="28">
        <f>data0!S51/range*(2^resolution-1)</f>
        <v>0</v>
      </c>
      <c r="T51" s="28">
        <f>data0!T51/range*(2^resolution-1)</f>
        <v>0</v>
      </c>
      <c r="U51" s="28">
        <f>data0!U51/range*(2^resolution-1)</f>
        <v>0</v>
      </c>
      <c r="V51" s="28">
        <f>data0!V51/range*(2^resolution-1)</f>
        <v>0</v>
      </c>
      <c r="W51" s="28">
        <f>data0!W51/range*(2^resolution-1)</f>
        <v>0</v>
      </c>
      <c r="X51" s="28">
        <f>data0!X51/range*(2^resolution-1)</f>
        <v>0</v>
      </c>
      <c r="Y51" s="28">
        <f>data0!Y51/range*(2^resolution-1)</f>
        <v>0</v>
      </c>
      <c r="Z51" s="28">
        <f>data0!Z51/range*(2^resolution-1)</f>
        <v>0</v>
      </c>
      <c r="AA51" s="28">
        <f>data0!AA51/range*(2^resolution-1)</f>
        <v>0</v>
      </c>
      <c r="AB51" s="28">
        <f>data0!AB51/range*(2^resolution-1)</f>
        <v>0</v>
      </c>
      <c r="AC51" s="28">
        <f>data0!AC51/range*(2^resolution-1)</f>
        <v>0</v>
      </c>
      <c r="AD51" s="28">
        <f>data0!AD51/range*(2^resolution-1)</f>
        <v>0</v>
      </c>
      <c r="AE51" s="28">
        <f>data0!AE51/range*(2^resolution-1)</f>
        <v>0</v>
      </c>
      <c r="AF51" s="28">
        <f>data0!AF51/range*(2^resolution-1)</f>
        <v>0</v>
      </c>
      <c r="AG51" s="28">
        <f>data0!AG51/range*(2^resolution-1)</f>
        <v>0</v>
      </c>
    </row>
    <row r="52" spans="1:33">
      <c r="A52" s="29">
        <f>data0!A52</f>
        <v>60</v>
      </c>
      <c r="B52" s="28">
        <f>data0!B52/range*(2^resolution-1)</f>
        <v>0</v>
      </c>
      <c r="C52" s="28">
        <f>data0!C52/range*(2^resolution-1)</f>
        <v>0</v>
      </c>
      <c r="D52" s="28">
        <f>data0!D52/range*(2^resolution-1)</f>
        <v>0</v>
      </c>
      <c r="E52" s="28">
        <f>data0!E52/range*(2^resolution-1)</f>
        <v>0</v>
      </c>
      <c r="F52" s="28">
        <f>data0!F52/range*(2^resolution-1)</f>
        <v>0</v>
      </c>
      <c r="G52" s="28">
        <f>data0!G52/range*(2^resolution-1)</f>
        <v>0</v>
      </c>
      <c r="H52" s="28">
        <f>data0!H52/range*(2^resolution-1)</f>
        <v>0</v>
      </c>
      <c r="I52" s="28">
        <f>data0!I52/range*(2^resolution-1)</f>
        <v>0</v>
      </c>
      <c r="J52" s="28">
        <f>data0!J52/range*(2^resolution-1)</f>
        <v>0</v>
      </c>
      <c r="K52" s="28">
        <f>data0!K52/range*(2^resolution-1)</f>
        <v>0</v>
      </c>
      <c r="L52" s="28">
        <f>data0!L52/range*(2^resolution-1)</f>
        <v>0</v>
      </c>
      <c r="M52" s="28">
        <f>data0!M52/range*(2^resolution-1)</f>
        <v>0</v>
      </c>
      <c r="N52" s="28">
        <f>data0!N52/range*(2^resolution-1)</f>
        <v>0</v>
      </c>
      <c r="O52" s="28">
        <f>data0!O52/range*(2^resolution-1)</f>
        <v>0</v>
      </c>
      <c r="P52" s="28">
        <f>data0!P52/range*(2^resolution-1)</f>
        <v>0</v>
      </c>
      <c r="Q52" s="28">
        <f>data0!Q52/range*(2^resolution-1)</f>
        <v>0</v>
      </c>
      <c r="R52" s="28">
        <f>data0!R52/range*(2^resolution-1)</f>
        <v>0</v>
      </c>
      <c r="S52" s="28">
        <f>data0!S52/range*(2^resolution-1)</f>
        <v>0</v>
      </c>
      <c r="T52" s="28">
        <f>data0!T52/range*(2^resolution-1)</f>
        <v>0</v>
      </c>
      <c r="U52" s="28">
        <f>data0!U52/range*(2^resolution-1)</f>
        <v>0</v>
      </c>
      <c r="V52" s="28">
        <f>data0!V52/range*(2^resolution-1)</f>
        <v>0</v>
      </c>
      <c r="W52" s="28">
        <f>data0!W52/range*(2^resolution-1)</f>
        <v>0</v>
      </c>
      <c r="X52" s="28">
        <f>data0!X52/range*(2^resolution-1)</f>
        <v>0</v>
      </c>
      <c r="Y52" s="28">
        <f>data0!Y52/range*(2^resolution-1)</f>
        <v>0</v>
      </c>
      <c r="Z52" s="28">
        <f>data0!Z52/range*(2^resolution-1)</f>
        <v>0</v>
      </c>
      <c r="AA52" s="28">
        <f>data0!AA52/range*(2^resolution-1)</f>
        <v>0</v>
      </c>
      <c r="AB52" s="28">
        <f>data0!AB52/range*(2^resolution-1)</f>
        <v>0</v>
      </c>
      <c r="AC52" s="28">
        <f>data0!AC52/range*(2^resolution-1)</f>
        <v>0</v>
      </c>
      <c r="AD52" s="28">
        <f>data0!AD52/range*(2^resolution-1)</f>
        <v>0</v>
      </c>
      <c r="AE52" s="28">
        <f>data0!AE52/range*(2^resolution-1)</f>
        <v>0</v>
      </c>
      <c r="AF52" s="28">
        <f>data0!AF52/range*(2^resolution-1)</f>
        <v>0</v>
      </c>
      <c r="AG52" s="28">
        <f>data0!AG52/range*(2^resolution-1)</f>
        <v>0</v>
      </c>
    </row>
    <row r="53" spans="1:33">
      <c r="A53" s="29">
        <f>data0!A53</f>
        <v>63</v>
      </c>
      <c r="B53" s="28">
        <f>data0!B53/range*(2^resolution-1)</f>
        <v>0</v>
      </c>
      <c r="C53" s="28">
        <f>data0!C53/range*(2^resolution-1)</f>
        <v>0</v>
      </c>
      <c r="D53" s="28">
        <f>data0!D53/range*(2^resolution-1)</f>
        <v>0</v>
      </c>
      <c r="E53" s="28">
        <f>data0!E53/range*(2^resolution-1)</f>
        <v>0</v>
      </c>
      <c r="F53" s="28">
        <f>data0!F53/range*(2^resolution-1)</f>
        <v>0</v>
      </c>
      <c r="G53" s="28">
        <f>data0!G53/range*(2^resolution-1)</f>
        <v>0</v>
      </c>
      <c r="H53" s="28">
        <f>data0!H53/range*(2^resolution-1)</f>
        <v>0</v>
      </c>
      <c r="I53" s="28">
        <f>data0!I53/range*(2^resolution-1)</f>
        <v>0</v>
      </c>
      <c r="J53" s="28">
        <f>data0!J53/range*(2^resolution-1)</f>
        <v>0</v>
      </c>
      <c r="K53" s="28">
        <f>data0!K53/range*(2^resolution-1)</f>
        <v>0</v>
      </c>
      <c r="L53" s="28">
        <f>data0!L53/range*(2^resolution-1)</f>
        <v>0</v>
      </c>
      <c r="M53" s="28">
        <f>data0!M53/range*(2^resolution-1)</f>
        <v>0</v>
      </c>
      <c r="N53" s="28">
        <f>data0!N53/range*(2^resolution-1)</f>
        <v>0</v>
      </c>
      <c r="O53" s="28">
        <f>data0!O53/range*(2^resolution-1)</f>
        <v>0</v>
      </c>
      <c r="P53" s="28">
        <f>data0!P53/range*(2^resolution-1)</f>
        <v>0</v>
      </c>
      <c r="Q53" s="28">
        <f>data0!Q53/range*(2^resolution-1)</f>
        <v>0</v>
      </c>
      <c r="R53" s="28">
        <f>data0!R53/range*(2^resolution-1)</f>
        <v>0</v>
      </c>
      <c r="S53" s="28">
        <f>data0!S53/range*(2^resolution-1)</f>
        <v>0</v>
      </c>
      <c r="T53" s="28">
        <f>data0!T53/range*(2^resolution-1)</f>
        <v>0</v>
      </c>
      <c r="U53" s="28">
        <f>data0!U53/range*(2^resolution-1)</f>
        <v>0</v>
      </c>
      <c r="V53" s="28">
        <f>data0!V53/range*(2^resolution-1)</f>
        <v>0</v>
      </c>
      <c r="W53" s="28">
        <f>data0!W53/range*(2^resolution-1)</f>
        <v>0</v>
      </c>
      <c r="X53" s="28">
        <f>data0!X53/range*(2^resolution-1)</f>
        <v>0</v>
      </c>
      <c r="Y53" s="28">
        <f>data0!Y53/range*(2^resolution-1)</f>
        <v>0</v>
      </c>
      <c r="Z53" s="28">
        <f>data0!Z53/range*(2^resolution-1)</f>
        <v>0</v>
      </c>
      <c r="AA53" s="28">
        <f>data0!AA53/range*(2^resolution-1)</f>
        <v>0</v>
      </c>
      <c r="AB53" s="28">
        <f>data0!AB53/range*(2^resolution-1)</f>
        <v>0</v>
      </c>
      <c r="AC53" s="28">
        <f>data0!AC53/range*(2^resolution-1)</f>
        <v>0</v>
      </c>
      <c r="AD53" s="28">
        <f>data0!AD53/range*(2^resolution-1)</f>
        <v>0</v>
      </c>
      <c r="AE53" s="28">
        <f>data0!AE53/range*(2^resolution-1)</f>
        <v>0</v>
      </c>
      <c r="AF53" s="28">
        <f>data0!AF53/range*(2^resolution-1)</f>
        <v>0</v>
      </c>
      <c r="AG53" s="28">
        <f>data0!AG53/range*(2^resolution-1)</f>
        <v>0</v>
      </c>
    </row>
    <row r="54" spans="1:33">
      <c r="A54" s="29">
        <f>data0!A54</f>
        <v>66</v>
      </c>
      <c r="B54" s="28">
        <f>data0!B54/range*(2^resolution-1)</f>
        <v>0</v>
      </c>
      <c r="C54" s="28">
        <f>data0!C54/range*(2^resolution-1)</f>
        <v>0</v>
      </c>
      <c r="D54" s="28">
        <f>data0!D54/range*(2^resolution-1)</f>
        <v>0</v>
      </c>
      <c r="E54" s="28">
        <f>data0!E54/range*(2^resolution-1)</f>
        <v>0</v>
      </c>
      <c r="F54" s="28">
        <f>data0!F54/range*(2^resolution-1)</f>
        <v>0</v>
      </c>
      <c r="G54" s="28">
        <f>data0!G54/range*(2^resolution-1)</f>
        <v>0</v>
      </c>
      <c r="H54" s="28">
        <f>data0!H54/range*(2^resolution-1)</f>
        <v>0</v>
      </c>
      <c r="I54" s="28">
        <f>data0!I54/range*(2^resolution-1)</f>
        <v>0</v>
      </c>
      <c r="J54" s="28">
        <f>data0!J54/range*(2^resolution-1)</f>
        <v>0</v>
      </c>
      <c r="K54" s="28">
        <f>data0!K54/range*(2^resolution-1)</f>
        <v>0</v>
      </c>
      <c r="L54" s="28">
        <f>data0!L54/range*(2^resolution-1)</f>
        <v>0</v>
      </c>
      <c r="M54" s="28">
        <f>data0!M54/range*(2^resolution-1)</f>
        <v>0</v>
      </c>
      <c r="N54" s="28">
        <f>data0!N54/range*(2^resolution-1)</f>
        <v>0</v>
      </c>
      <c r="O54" s="28">
        <f>data0!O54/range*(2^resolution-1)</f>
        <v>0</v>
      </c>
      <c r="P54" s="28">
        <f>data0!P54/range*(2^resolution-1)</f>
        <v>0</v>
      </c>
      <c r="Q54" s="28">
        <f>data0!Q54/range*(2^resolution-1)</f>
        <v>0</v>
      </c>
      <c r="R54" s="28">
        <f>data0!R54/range*(2^resolution-1)</f>
        <v>0</v>
      </c>
      <c r="S54" s="28">
        <f>data0!S54/range*(2^resolution-1)</f>
        <v>0</v>
      </c>
      <c r="T54" s="28">
        <f>data0!T54/range*(2^resolution-1)</f>
        <v>0</v>
      </c>
      <c r="U54" s="28">
        <f>data0!U54/range*(2^resolution-1)</f>
        <v>0</v>
      </c>
      <c r="V54" s="28">
        <f>data0!V54/range*(2^resolution-1)</f>
        <v>0</v>
      </c>
      <c r="W54" s="28">
        <f>data0!W54/range*(2^resolution-1)</f>
        <v>0</v>
      </c>
      <c r="X54" s="28">
        <f>data0!X54/range*(2^resolution-1)</f>
        <v>0</v>
      </c>
      <c r="Y54" s="28">
        <f>data0!Y54/range*(2^resolution-1)</f>
        <v>0</v>
      </c>
      <c r="Z54" s="28">
        <f>data0!Z54/range*(2^resolution-1)</f>
        <v>0</v>
      </c>
      <c r="AA54" s="28">
        <f>data0!AA54/range*(2^resolution-1)</f>
        <v>0</v>
      </c>
      <c r="AB54" s="28">
        <f>data0!AB54/range*(2^resolution-1)</f>
        <v>0</v>
      </c>
      <c r="AC54" s="28">
        <f>data0!AC54/range*(2^resolution-1)</f>
        <v>0</v>
      </c>
      <c r="AD54" s="28">
        <f>data0!AD54/range*(2^resolution-1)</f>
        <v>0</v>
      </c>
      <c r="AE54" s="28">
        <f>data0!AE54/range*(2^resolution-1)</f>
        <v>0</v>
      </c>
      <c r="AF54" s="28">
        <f>data0!AF54/range*(2^resolution-1)</f>
        <v>0</v>
      </c>
      <c r="AG54" s="28">
        <f>data0!AG54/range*(2^resolution-1)</f>
        <v>0</v>
      </c>
    </row>
    <row r="55" spans="1:33">
      <c r="A55" s="29">
        <f>data0!A55</f>
        <v>69</v>
      </c>
      <c r="B55" s="28">
        <f>data0!B55/range*(2^resolution-1)</f>
        <v>0</v>
      </c>
      <c r="C55" s="28">
        <f>data0!C55/range*(2^resolution-1)</f>
        <v>0</v>
      </c>
      <c r="D55" s="28">
        <f>data0!D55/range*(2^resolution-1)</f>
        <v>0</v>
      </c>
      <c r="E55" s="28">
        <f>data0!E55/range*(2^resolution-1)</f>
        <v>0</v>
      </c>
      <c r="F55" s="28">
        <f>data0!F55/range*(2^resolution-1)</f>
        <v>0</v>
      </c>
      <c r="G55" s="28">
        <f>data0!G55/range*(2^resolution-1)</f>
        <v>0</v>
      </c>
      <c r="H55" s="28">
        <f>data0!H55/range*(2^resolution-1)</f>
        <v>0</v>
      </c>
      <c r="I55" s="28">
        <f>data0!I55/range*(2^resolution-1)</f>
        <v>0</v>
      </c>
      <c r="J55" s="28">
        <f>data0!J55/range*(2^resolution-1)</f>
        <v>0</v>
      </c>
      <c r="K55" s="28">
        <f>data0!K55/range*(2^resolution-1)</f>
        <v>0</v>
      </c>
      <c r="L55" s="28">
        <f>data0!L55/range*(2^resolution-1)</f>
        <v>0</v>
      </c>
      <c r="M55" s="28">
        <f>data0!M55/range*(2^resolution-1)</f>
        <v>0</v>
      </c>
      <c r="N55" s="28">
        <f>data0!N55/range*(2^resolution-1)</f>
        <v>0</v>
      </c>
      <c r="O55" s="28">
        <f>data0!O55/range*(2^resolution-1)</f>
        <v>0</v>
      </c>
      <c r="P55" s="28">
        <f>data0!P55/range*(2^resolution-1)</f>
        <v>0</v>
      </c>
      <c r="Q55" s="28">
        <f>data0!Q55/range*(2^resolution-1)</f>
        <v>0</v>
      </c>
      <c r="R55" s="28">
        <f>data0!R55/range*(2^resolution-1)</f>
        <v>0</v>
      </c>
      <c r="S55" s="28">
        <f>data0!S55/range*(2^resolution-1)</f>
        <v>0</v>
      </c>
      <c r="T55" s="28">
        <f>data0!T55/range*(2^resolution-1)</f>
        <v>0</v>
      </c>
      <c r="U55" s="28">
        <f>data0!U55/range*(2^resolution-1)</f>
        <v>0</v>
      </c>
      <c r="V55" s="28">
        <f>data0!V55/range*(2^resolution-1)</f>
        <v>0</v>
      </c>
      <c r="W55" s="28">
        <f>data0!W55/range*(2^resolution-1)</f>
        <v>0</v>
      </c>
      <c r="X55" s="28">
        <f>data0!X55/range*(2^resolution-1)</f>
        <v>0</v>
      </c>
      <c r="Y55" s="28">
        <f>data0!Y55/range*(2^resolution-1)</f>
        <v>0</v>
      </c>
      <c r="Z55" s="28">
        <f>data0!Z55/range*(2^resolution-1)</f>
        <v>0</v>
      </c>
      <c r="AA55" s="28">
        <f>data0!AA55/range*(2^resolution-1)</f>
        <v>0</v>
      </c>
      <c r="AB55" s="28">
        <f>data0!AB55/range*(2^resolution-1)</f>
        <v>0</v>
      </c>
      <c r="AC55" s="28">
        <f>data0!AC55/range*(2^resolution-1)</f>
        <v>0</v>
      </c>
      <c r="AD55" s="28">
        <f>data0!AD55/range*(2^resolution-1)</f>
        <v>0</v>
      </c>
      <c r="AE55" s="28">
        <f>data0!AE55/range*(2^resolution-1)</f>
        <v>0</v>
      </c>
      <c r="AF55" s="28">
        <f>data0!AF55/range*(2^resolution-1)</f>
        <v>0</v>
      </c>
      <c r="AG55" s="28">
        <f>data0!AG55/range*(2^resolution-1)</f>
        <v>0</v>
      </c>
    </row>
    <row r="56" spans="1:33">
      <c r="A56" s="29">
        <f>data0!A56</f>
        <v>72</v>
      </c>
      <c r="B56" s="28">
        <f>data0!B56/range*(2^resolution-1)</f>
        <v>0</v>
      </c>
      <c r="C56" s="28">
        <f>data0!C56/range*(2^resolution-1)</f>
        <v>0</v>
      </c>
      <c r="D56" s="28">
        <f>data0!D56/range*(2^resolution-1)</f>
        <v>0</v>
      </c>
      <c r="E56" s="28">
        <f>data0!E56/range*(2^resolution-1)</f>
        <v>0</v>
      </c>
      <c r="F56" s="28">
        <f>data0!F56/range*(2^resolution-1)</f>
        <v>0</v>
      </c>
      <c r="G56" s="28">
        <f>data0!G56/range*(2^resolution-1)</f>
        <v>0</v>
      </c>
      <c r="H56" s="28">
        <f>data0!H56/range*(2^resolution-1)</f>
        <v>0</v>
      </c>
      <c r="I56" s="28">
        <f>data0!I56/range*(2^resolution-1)</f>
        <v>0</v>
      </c>
      <c r="J56" s="28">
        <f>data0!J56/range*(2^resolution-1)</f>
        <v>0</v>
      </c>
      <c r="K56" s="28">
        <f>data0!K56/range*(2^resolution-1)</f>
        <v>0</v>
      </c>
      <c r="L56" s="28">
        <f>data0!L56/range*(2^resolution-1)</f>
        <v>0</v>
      </c>
      <c r="M56" s="28">
        <f>data0!M56/range*(2^resolution-1)</f>
        <v>0</v>
      </c>
      <c r="N56" s="28">
        <f>data0!N56/range*(2^resolution-1)</f>
        <v>0</v>
      </c>
      <c r="O56" s="28">
        <f>data0!O56/range*(2^resolution-1)</f>
        <v>0</v>
      </c>
      <c r="P56" s="28">
        <f>data0!P56/range*(2^resolution-1)</f>
        <v>0</v>
      </c>
      <c r="Q56" s="28">
        <f>data0!Q56/range*(2^resolution-1)</f>
        <v>0</v>
      </c>
      <c r="R56" s="28">
        <f>data0!R56/range*(2^resolution-1)</f>
        <v>0</v>
      </c>
      <c r="S56" s="28">
        <f>data0!S56/range*(2^resolution-1)</f>
        <v>0</v>
      </c>
      <c r="T56" s="28">
        <f>data0!T56/range*(2^resolution-1)</f>
        <v>0</v>
      </c>
      <c r="U56" s="28">
        <f>data0!U56/range*(2^resolution-1)</f>
        <v>0</v>
      </c>
      <c r="V56" s="28">
        <f>data0!V56/range*(2^resolution-1)</f>
        <v>0</v>
      </c>
      <c r="W56" s="28">
        <f>data0!W56/range*(2^resolution-1)</f>
        <v>0</v>
      </c>
      <c r="X56" s="28">
        <f>data0!X56/range*(2^resolution-1)</f>
        <v>0</v>
      </c>
      <c r="Y56" s="28">
        <f>data0!Y56/range*(2^resolution-1)</f>
        <v>0</v>
      </c>
      <c r="Z56" s="28">
        <f>data0!Z56/range*(2^resolution-1)</f>
        <v>0</v>
      </c>
      <c r="AA56" s="28">
        <f>data0!AA56/range*(2^resolution-1)</f>
        <v>0</v>
      </c>
      <c r="AB56" s="28">
        <f>data0!AB56/range*(2^resolution-1)</f>
        <v>0</v>
      </c>
      <c r="AC56" s="28">
        <f>data0!AC56/range*(2^resolution-1)</f>
        <v>0</v>
      </c>
      <c r="AD56" s="28">
        <f>data0!AD56/range*(2^resolution-1)</f>
        <v>0</v>
      </c>
      <c r="AE56" s="28">
        <f>data0!AE56/range*(2^resolution-1)</f>
        <v>0</v>
      </c>
      <c r="AF56" s="28">
        <f>data0!AF56/range*(2^resolution-1)</f>
        <v>0</v>
      </c>
      <c r="AG56" s="28">
        <f>data0!AG56/range*(2^resolution-1)</f>
        <v>0</v>
      </c>
    </row>
    <row r="57" spans="1:33">
      <c r="A57" s="29">
        <f>data0!A57</f>
        <v>75</v>
      </c>
      <c r="B57" s="28">
        <f>data0!B57/range*(2^resolution-1)</f>
        <v>0</v>
      </c>
      <c r="C57" s="28">
        <f>data0!C57/range*(2^resolution-1)</f>
        <v>0</v>
      </c>
      <c r="D57" s="28">
        <f>data0!D57/range*(2^resolution-1)</f>
        <v>0</v>
      </c>
      <c r="E57" s="28">
        <f>data0!E57/range*(2^resolution-1)</f>
        <v>0</v>
      </c>
      <c r="F57" s="28">
        <f>data0!F57/range*(2^resolution-1)</f>
        <v>0</v>
      </c>
      <c r="G57" s="28">
        <f>data0!G57/range*(2^resolution-1)</f>
        <v>0</v>
      </c>
      <c r="H57" s="28">
        <f>data0!H57/range*(2^resolution-1)</f>
        <v>0</v>
      </c>
      <c r="I57" s="28">
        <f>data0!I57/range*(2^resolution-1)</f>
        <v>0</v>
      </c>
      <c r="J57" s="28">
        <f>data0!J57/range*(2^resolution-1)</f>
        <v>0</v>
      </c>
      <c r="K57" s="28">
        <f>data0!K57/range*(2^resolution-1)</f>
        <v>0</v>
      </c>
      <c r="L57" s="28">
        <f>data0!L57/range*(2^resolution-1)</f>
        <v>0</v>
      </c>
      <c r="M57" s="28">
        <f>data0!M57/range*(2^resolution-1)</f>
        <v>0</v>
      </c>
      <c r="N57" s="28">
        <f>data0!N57/range*(2^resolution-1)</f>
        <v>0</v>
      </c>
      <c r="O57" s="28">
        <f>data0!O57/range*(2^resolution-1)</f>
        <v>0</v>
      </c>
      <c r="P57" s="28">
        <f>data0!P57/range*(2^resolution-1)</f>
        <v>0</v>
      </c>
      <c r="Q57" s="28">
        <f>data0!Q57/range*(2^resolution-1)</f>
        <v>0</v>
      </c>
      <c r="R57" s="28">
        <f>data0!R57/range*(2^resolution-1)</f>
        <v>0</v>
      </c>
      <c r="S57" s="28">
        <f>data0!S57/range*(2^resolution-1)</f>
        <v>0</v>
      </c>
      <c r="T57" s="28">
        <f>data0!T57/range*(2^resolution-1)</f>
        <v>0</v>
      </c>
      <c r="U57" s="28">
        <f>data0!U57/range*(2^resolution-1)</f>
        <v>0</v>
      </c>
      <c r="V57" s="28">
        <f>data0!V57/range*(2^resolution-1)</f>
        <v>0</v>
      </c>
      <c r="W57" s="28">
        <f>data0!W57/range*(2^resolution-1)</f>
        <v>0</v>
      </c>
      <c r="X57" s="28">
        <f>data0!X57/range*(2^resolution-1)</f>
        <v>0</v>
      </c>
      <c r="Y57" s="28">
        <f>data0!Y57/range*(2^resolution-1)</f>
        <v>0</v>
      </c>
      <c r="Z57" s="28">
        <f>data0!Z57/range*(2^resolution-1)</f>
        <v>0</v>
      </c>
      <c r="AA57" s="28">
        <f>data0!AA57/range*(2^resolution-1)</f>
        <v>0</v>
      </c>
      <c r="AB57" s="28">
        <f>data0!AB57/range*(2^resolution-1)</f>
        <v>0</v>
      </c>
      <c r="AC57" s="28">
        <f>data0!AC57/range*(2^resolution-1)</f>
        <v>0</v>
      </c>
      <c r="AD57" s="28">
        <f>data0!AD57/range*(2^resolution-1)</f>
        <v>0</v>
      </c>
      <c r="AE57" s="28">
        <f>data0!AE57/range*(2^resolution-1)</f>
        <v>0</v>
      </c>
      <c r="AF57" s="28">
        <f>data0!AF57/range*(2^resolution-1)</f>
        <v>0</v>
      </c>
      <c r="AG57" s="28">
        <f>data0!AG57/range*(2^resolution-1)</f>
        <v>0</v>
      </c>
    </row>
    <row r="58" spans="1:33">
      <c r="A58" s="29">
        <f>data0!A58</f>
        <v>78</v>
      </c>
      <c r="B58" s="28">
        <f>data0!B58/range*(2^resolution-1)</f>
        <v>0</v>
      </c>
      <c r="C58" s="28">
        <f>data0!C58/range*(2^resolution-1)</f>
        <v>0</v>
      </c>
      <c r="D58" s="28">
        <f>data0!D58/range*(2^resolution-1)</f>
        <v>0</v>
      </c>
      <c r="E58" s="28">
        <f>data0!E58/range*(2^resolution-1)</f>
        <v>0</v>
      </c>
      <c r="F58" s="28">
        <f>data0!F58/range*(2^resolution-1)</f>
        <v>0</v>
      </c>
      <c r="G58" s="28">
        <f>data0!G58/range*(2^resolution-1)</f>
        <v>0</v>
      </c>
      <c r="H58" s="28">
        <f>data0!H58/range*(2^resolution-1)</f>
        <v>0</v>
      </c>
      <c r="I58" s="28">
        <f>data0!I58/range*(2^resolution-1)</f>
        <v>0</v>
      </c>
      <c r="J58" s="28">
        <f>data0!J58/range*(2^resolution-1)</f>
        <v>0</v>
      </c>
      <c r="K58" s="28">
        <f>data0!K58/range*(2^resolution-1)</f>
        <v>0</v>
      </c>
      <c r="L58" s="28">
        <f>data0!L58/range*(2^resolution-1)</f>
        <v>0</v>
      </c>
      <c r="M58" s="28">
        <f>data0!M58/range*(2^resolution-1)</f>
        <v>0</v>
      </c>
      <c r="N58" s="28">
        <f>data0!N58/range*(2^resolution-1)</f>
        <v>0</v>
      </c>
      <c r="O58" s="28">
        <f>data0!O58/range*(2^resolution-1)</f>
        <v>0</v>
      </c>
      <c r="P58" s="28">
        <f>data0!P58/range*(2^resolution-1)</f>
        <v>0</v>
      </c>
      <c r="Q58" s="28">
        <f>data0!Q58/range*(2^resolution-1)</f>
        <v>0</v>
      </c>
      <c r="R58" s="28">
        <f>data0!R58/range*(2^resolution-1)</f>
        <v>0</v>
      </c>
      <c r="S58" s="28">
        <f>data0!S58/range*(2^resolution-1)</f>
        <v>0</v>
      </c>
      <c r="T58" s="28">
        <f>data0!T58/range*(2^resolution-1)</f>
        <v>0</v>
      </c>
      <c r="U58" s="28">
        <f>data0!U58/range*(2^resolution-1)</f>
        <v>0</v>
      </c>
      <c r="V58" s="28">
        <f>data0!V58/range*(2^resolution-1)</f>
        <v>0</v>
      </c>
      <c r="W58" s="28">
        <f>data0!W58/range*(2^resolution-1)</f>
        <v>0</v>
      </c>
      <c r="X58" s="28">
        <f>data0!X58/range*(2^resolution-1)</f>
        <v>0</v>
      </c>
      <c r="Y58" s="28">
        <f>data0!Y58/range*(2^resolution-1)</f>
        <v>0</v>
      </c>
      <c r="Z58" s="28">
        <f>data0!Z58/range*(2^resolution-1)</f>
        <v>0</v>
      </c>
      <c r="AA58" s="28">
        <f>data0!AA58/range*(2^resolution-1)</f>
        <v>0</v>
      </c>
      <c r="AB58" s="28">
        <f>data0!AB58/range*(2^resolution-1)</f>
        <v>0</v>
      </c>
      <c r="AC58" s="28">
        <f>data0!AC58/range*(2^resolution-1)</f>
        <v>0</v>
      </c>
      <c r="AD58" s="28">
        <f>data0!AD58/range*(2^resolution-1)</f>
        <v>0</v>
      </c>
      <c r="AE58" s="28">
        <f>data0!AE58/range*(2^resolution-1)</f>
        <v>0</v>
      </c>
      <c r="AF58" s="28">
        <f>data0!AF58/range*(2^resolution-1)</f>
        <v>0</v>
      </c>
      <c r="AG58" s="28">
        <f>data0!AG58/range*(2^resolution-1)</f>
        <v>0</v>
      </c>
    </row>
    <row r="59" spans="1:33">
      <c r="A59" s="29">
        <f>data0!A59</f>
        <v>81</v>
      </c>
      <c r="B59" s="28">
        <f>data0!B59/range*(2^resolution-1)</f>
        <v>0</v>
      </c>
      <c r="C59" s="28">
        <f>data0!C59/range*(2^resolution-1)</f>
        <v>0</v>
      </c>
      <c r="D59" s="28">
        <f>data0!D59/range*(2^resolution-1)</f>
        <v>0</v>
      </c>
      <c r="E59" s="28">
        <f>data0!E59/range*(2^resolution-1)</f>
        <v>0</v>
      </c>
      <c r="F59" s="28">
        <f>data0!F59/range*(2^resolution-1)</f>
        <v>0</v>
      </c>
      <c r="G59" s="28">
        <f>data0!G59/range*(2^resolution-1)</f>
        <v>0</v>
      </c>
      <c r="H59" s="28">
        <f>data0!H59/range*(2^resolution-1)</f>
        <v>0</v>
      </c>
      <c r="I59" s="28">
        <f>data0!I59/range*(2^resolution-1)</f>
        <v>0</v>
      </c>
      <c r="J59" s="28">
        <f>data0!J59/range*(2^resolution-1)</f>
        <v>0</v>
      </c>
      <c r="K59" s="28">
        <f>data0!K59/range*(2^resolution-1)</f>
        <v>0</v>
      </c>
      <c r="L59" s="28">
        <f>data0!L59/range*(2^resolution-1)</f>
        <v>0</v>
      </c>
      <c r="M59" s="28">
        <f>data0!M59/range*(2^resolution-1)</f>
        <v>0</v>
      </c>
      <c r="N59" s="28">
        <f>data0!N59/range*(2^resolution-1)</f>
        <v>0</v>
      </c>
      <c r="O59" s="28">
        <f>data0!O59/range*(2^resolution-1)</f>
        <v>0</v>
      </c>
      <c r="P59" s="28">
        <f>data0!P59/range*(2^resolution-1)</f>
        <v>0</v>
      </c>
      <c r="Q59" s="28">
        <f>data0!Q59/range*(2^resolution-1)</f>
        <v>0</v>
      </c>
      <c r="R59" s="28">
        <f>data0!R59/range*(2^resolution-1)</f>
        <v>0</v>
      </c>
      <c r="S59" s="28">
        <f>data0!S59/range*(2^resolution-1)</f>
        <v>0</v>
      </c>
      <c r="T59" s="28">
        <f>data0!T59/range*(2^resolution-1)</f>
        <v>0</v>
      </c>
      <c r="U59" s="28">
        <f>data0!U59/range*(2^resolution-1)</f>
        <v>0</v>
      </c>
      <c r="V59" s="28">
        <f>data0!V59/range*(2^resolution-1)</f>
        <v>0</v>
      </c>
      <c r="W59" s="28">
        <f>data0!W59/range*(2^resolution-1)</f>
        <v>0</v>
      </c>
      <c r="X59" s="28">
        <f>data0!X59/range*(2^resolution-1)</f>
        <v>0</v>
      </c>
      <c r="Y59" s="28">
        <f>data0!Y59/range*(2^resolution-1)</f>
        <v>0</v>
      </c>
      <c r="Z59" s="28">
        <f>data0!Z59/range*(2^resolution-1)</f>
        <v>0</v>
      </c>
      <c r="AA59" s="28">
        <f>data0!AA59/range*(2^resolution-1)</f>
        <v>0</v>
      </c>
      <c r="AB59" s="28">
        <f>data0!AB59/range*(2^resolution-1)</f>
        <v>0</v>
      </c>
      <c r="AC59" s="28">
        <f>data0!AC59/range*(2^resolution-1)</f>
        <v>0</v>
      </c>
      <c r="AD59" s="28">
        <f>data0!AD59/range*(2^resolution-1)</f>
        <v>0</v>
      </c>
      <c r="AE59" s="28">
        <f>data0!AE59/range*(2^resolution-1)</f>
        <v>0</v>
      </c>
      <c r="AF59" s="28">
        <f>data0!AF59/range*(2^resolution-1)</f>
        <v>0</v>
      </c>
      <c r="AG59" s="28">
        <f>data0!AG59/range*(2^resolution-1)</f>
        <v>0</v>
      </c>
    </row>
    <row r="60" spans="1:33">
      <c r="A60" s="29">
        <f>data0!A60</f>
        <v>84</v>
      </c>
      <c r="B60" s="28">
        <f>data0!B60/range*(2^resolution-1)</f>
        <v>0</v>
      </c>
      <c r="C60" s="28">
        <f>data0!C60/range*(2^resolution-1)</f>
        <v>0</v>
      </c>
      <c r="D60" s="28">
        <f>data0!D60/range*(2^resolution-1)</f>
        <v>0</v>
      </c>
      <c r="E60" s="28">
        <f>data0!E60/range*(2^resolution-1)</f>
        <v>0</v>
      </c>
      <c r="F60" s="28">
        <f>data0!F60/range*(2^resolution-1)</f>
        <v>0</v>
      </c>
      <c r="G60" s="28">
        <f>data0!G60/range*(2^resolution-1)</f>
        <v>0</v>
      </c>
      <c r="H60" s="28">
        <f>data0!H60/range*(2^resolution-1)</f>
        <v>0</v>
      </c>
      <c r="I60" s="28">
        <f>data0!I60/range*(2^resolution-1)</f>
        <v>0</v>
      </c>
      <c r="J60" s="28">
        <f>data0!J60/range*(2^resolution-1)</f>
        <v>0</v>
      </c>
      <c r="K60" s="28">
        <f>data0!K60/range*(2^resolution-1)</f>
        <v>0</v>
      </c>
      <c r="L60" s="28">
        <f>data0!L60/range*(2^resolution-1)</f>
        <v>0</v>
      </c>
      <c r="M60" s="28">
        <f>data0!M60/range*(2^resolution-1)</f>
        <v>0</v>
      </c>
      <c r="N60" s="28">
        <f>data0!N60/range*(2^resolution-1)</f>
        <v>0</v>
      </c>
      <c r="O60" s="28">
        <f>data0!O60/range*(2^resolution-1)</f>
        <v>0</v>
      </c>
      <c r="P60" s="28">
        <f>data0!P60/range*(2^resolution-1)</f>
        <v>0</v>
      </c>
      <c r="Q60" s="28">
        <f>data0!Q60/range*(2^resolution-1)</f>
        <v>0</v>
      </c>
      <c r="R60" s="28">
        <f>data0!R60/range*(2^resolution-1)</f>
        <v>0</v>
      </c>
      <c r="S60" s="28">
        <f>data0!S60/range*(2^resolution-1)</f>
        <v>0</v>
      </c>
      <c r="T60" s="28">
        <f>data0!T60/range*(2^resolution-1)</f>
        <v>0</v>
      </c>
      <c r="U60" s="28">
        <f>data0!U60/range*(2^resolution-1)</f>
        <v>0</v>
      </c>
      <c r="V60" s="28">
        <f>data0!V60/range*(2^resolution-1)</f>
        <v>0</v>
      </c>
      <c r="W60" s="28">
        <f>data0!W60/range*(2^resolution-1)</f>
        <v>0</v>
      </c>
      <c r="X60" s="28">
        <f>data0!X60/range*(2^resolution-1)</f>
        <v>0</v>
      </c>
      <c r="Y60" s="28">
        <f>data0!Y60/range*(2^resolution-1)</f>
        <v>0</v>
      </c>
      <c r="Z60" s="28">
        <f>data0!Z60/range*(2^resolution-1)</f>
        <v>0</v>
      </c>
      <c r="AA60" s="28">
        <f>data0!AA60/range*(2^resolution-1)</f>
        <v>0</v>
      </c>
      <c r="AB60" s="28">
        <f>data0!AB60/range*(2^resolution-1)</f>
        <v>0</v>
      </c>
      <c r="AC60" s="28">
        <f>data0!AC60/range*(2^resolution-1)</f>
        <v>0</v>
      </c>
      <c r="AD60" s="28">
        <f>data0!AD60/range*(2^resolution-1)</f>
        <v>0</v>
      </c>
      <c r="AE60" s="28">
        <f>data0!AE60/range*(2^resolution-1)</f>
        <v>0</v>
      </c>
      <c r="AF60" s="28">
        <f>data0!AF60/range*(2^resolution-1)</f>
        <v>0</v>
      </c>
      <c r="AG60" s="28">
        <f>data0!AG60/range*(2^resolution-1)</f>
        <v>0</v>
      </c>
    </row>
    <row r="61" spans="1:33">
      <c r="A61" s="29">
        <f>data0!A61</f>
        <v>87</v>
      </c>
      <c r="B61" s="28">
        <f>data0!B61/range*(2^resolution-1)</f>
        <v>0</v>
      </c>
      <c r="C61" s="28">
        <f>data0!C61/range*(2^resolution-1)</f>
        <v>0</v>
      </c>
      <c r="D61" s="28">
        <f>data0!D61/range*(2^resolution-1)</f>
        <v>0</v>
      </c>
      <c r="E61" s="28">
        <f>data0!E61/range*(2^resolution-1)</f>
        <v>0</v>
      </c>
      <c r="F61" s="28">
        <f>data0!F61/range*(2^resolution-1)</f>
        <v>0</v>
      </c>
      <c r="G61" s="28">
        <f>data0!G61/range*(2^resolution-1)</f>
        <v>0</v>
      </c>
      <c r="H61" s="28">
        <f>data0!H61/range*(2^resolution-1)</f>
        <v>0</v>
      </c>
      <c r="I61" s="28">
        <f>data0!I61/range*(2^resolution-1)</f>
        <v>0</v>
      </c>
      <c r="J61" s="28">
        <f>data0!J61/range*(2^resolution-1)</f>
        <v>0</v>
      </c>
      <c r="K61" s="28">
        <f>data0!K61/range*(2^resolution-1)</f>
        <v>0</v>
      </c>
      <c r="L61" s="28">
        <f>data0!L61/range*(2^resolution-1)</f>
        <v>0</v>
      </c>
      <c r="M61" s="28">
        <f>data0!M61/range*(2^resolution-1)</f>
        <v>0</v>
      </c>
      <c r="N61" s="28">
        <f>data0!N61/range*(2^resolution-1)</f>
        <v>0</v>
      </c>
      <c r="O61" s="28">
        <f>data0!O61/range*(2^resolution-1)</f>
        <v>0</v>
      </c>
      <c r="P61" s="28">
        <f>data0!P61/range*(2^resolution-1)</f>
        <v>0</v>
      </c>
      <c r="Q61" s="28">
        <f>data0!Q61/range*(2^resolution-1)</f>
        <v>0</v>
      </c>
      <c r="R61" s="28">
        <f>data0!R61/range*(2^resolution-1)</f>
        <v>0</v>
      </c>
      <c r="S61" s="28">
        <f>data0!S61/range*(2^resolution-1)</f>
        <v>0</v>
      </c>
      <c r="T61" s="28">
        <f>data0!T61/range*(2^resolution-1)</f>
        <v>0</v>
      </c>
      <c r="U61" s="28">
        <f>data0!U61/range*(2^resolution-1)</f>
        <v>0</v>
      </c>
      <c r="V61" s="28">
        <f>data0!V61/range*(2^resolution-1)</f>
        <v>0</v>
      </c>
      <c r="W61" s="28">
        <f>data0!W61/range*(2^resolution-1)</f>
        <v>0</v>
      </c>
      <c r="X61" s="28">
        <f>data0!X61/range*(2^resolution-1)</f>
        <v>0</v>
      </c>
      <c r="Y61" s="28">
        <f>data0!Y61/range*(2^resolution-1)</f>
        <v>0</v>
      </c>
      <c r="Z61" s="28">
        <f>data0!Z61/range*(2^resolution-1)</f>
        <v>0</v>
      </c>
      <c r="AA61" s="28">
        <f>data0!AA61/range*(2^resolution-1)</f>
        <v>0</v>
      </c>
      <c r="AB61" s="28">
        <f>data0!AB61/range*(2^resolution-1)</f>
        <v>0</v>
      </c>
      <c r="AC61" s="28">
        <f>data0!AC61/range*(2^resolution-1)</f>
        <v>0</v>
      </c>
      <c r="AD61" s="28">
        <f>data0!AD61/range*(2^resolution-1)</f>
        <v>0</v>
      </c>
      <c r="AE61" s="28">
        <f>data0!AE61/range*(2^resolution-1)</f>
        <v>0</v>
      </c>
      <c r="AF61" s="28">
        <f>data0!AF61/range*(2^resolution-1)</f>
        <v>0</v>
      </c>
      <c r="AG61" s="28">
        <f>data0!AG61/range*(2^resolution-1)</f>
        <v>0</v>
      </c>
    </row>
    <row r="62" spans="1:33">
      <c r="A62" s="29">
        <f>data0!A62</f>
        <v>90</v>
      </c>
      <c r="B62" s="28">
        <f>data0!B62/range*(2^resolution-1)</f>
        <v>0</v>
      </c>
      <c r="C62" s="28">
        <f>data0!C62/range*(2^resolution-1)</f>
        <v>0</v>
      </c>
      <c r="D62" s="28">
        <f>data0!D62/range*(2^resolution-1)</f>
        <v>0</v>
      </c>
      <c r="E62" s="28">
        <f>data0!E62/range*(2^resolution-1)</f>
        <v>0</v>
      </c>
      <c r="F62" s="28">
        <f>data0!F62/range*(2^resolution-1)</f>
        <v>0</v>
      </c>
      <c r="G62" s="28">
        <f>data0!G62/range*(2^resolution-1)</f>
        <v>0</v>
      </c>
      <c r="H62" s="28">
        <f>data0!H62/range*(2^resolution-1)</f>
        <v>0</v>
      </c>
      <c r="I62" s="28">
        <f>data0!I62/range*(2^resolution-1)</f>
        <v>0</v>
      </c>
      <c r="J62" s="28">
        <f>data0!J62/range*(2^resolution-1)</f>
        <v>0</v>
      </c>
      <c r="K62" s="28">
        <f>data0!K62/range*(2^resolution-1)</f>
        <v>0</v>
      </c>
      <c r="L62" s="28">
        <f>data0!L62/range*(2^resolution-1)</f>
        <v>0</v>
      </c>
      <c r="M62" s="28">
        <f>data0!M62/range*(2^resolution-1)</f>
        <v>0</v>
      </c>
      <c r="N62" s="28">
        <f>data0!N62/range*(2^resolution-1)</f>
        <v>0</v>
      </c>
      <c r="O62" s="28">
        <f>data0!O62/range*(2^resolution-1)</f>
        <v>0</v>
      </c>
      <c r="P62" s="28">
        <f>data0!P62/range*(2^resolution-1)</f>
        <v>0</v>
      </c>
      <c r="Q62" s="28">
        <f>data0!Q62/range*(2^resolution-1)</f>
        <v>0</v>
      </c>
      <c r="R62" s="28">
        <f>data0!R62/range*(2^resolution-1)</f>
        <v>0</v>
      </c>
      <c r="S62" s="28">
        <f>data0!S62/range*(2^resolution-1)</f>
        <v>0</v>
      </c>
      <c r="T62" s="28">
        <f>data0!T62/range*(2^resolution-1)</f>
        <v>0</v>
      </c>
      <c r="U62" s="28">
        <f>data0!U62/range*(2^resolution-1)</f>
        <v>0</v>
      </c>
      <c r="V62" s="28">
        <f>data0!V62/range*(2^resolution-1)</f>
        <v>0</v>
      </c>
      <c r="W62" s="28">
        <f>data0!W62/range*(2^resolution-1)</f>
        <v>0</v>
      </c>
      <c r="X62" s="28">
        <f>data0!X62/range*(2^resolution-1)</f>
        <v>0</v>
      </c>
      <c r="Y62" s="28">
        <f>data0!Y62/range*(2^resolution-1)</f>
        <v>0</v>
      </c>
      <c r="Z62" s="28">
        <f>data0!Z62/range*(2^resolution-1)</f>
        <v>0</v>
      </c>
      <c r="AA62" s="28">
        <f>data0!AA62/range*(2^resolution-1)</f>
        <v>0</v>
      </c>
      <c r="AB62" s="28">
        <f>data0!AB62/range*(2^resolution-1)</f>
        <v>0</v>
      </c>
      <c r="AC62" s="28">
        <f>data0!AC62/range*(2^resolution-1)</f>
        <v>0</v>
      </c>
      <c r="AD62" s="28">
        <f>data0!AD62/range*(2^resolution-1)</f>
        <v>0</v>
      </c>
      <c r="AE62" s="28">
        <f>data0!AE62/range*(2^resolution-1)</f>
        <v>0</v>
      </c>
      <c r="AF62" s="28">
        <f>data0!AF62/range*(2^resolution-1)</f>
        <v>0</v>
      </c>
      <c r="AG62" s="28">
        <f>data0!AG62/range*(2^resolution-1)</f>
        <v>0</v>
      </c>
    </row>
    <row r="63" spans="1:33">
      <c r="A63" s="29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</row>
    <row r="64" spans="1:33">
      <c r="A64" s="29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</row>
    <row r="65" spans="1:33">
      <c r="A65" s="29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</row>
    <row r="66" spans="1:33">
      <c r="A66" s="29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</row>
    <row r="67" spans="1:33">
      <c r="A67" s="29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</row>
    <row r="68" spans="1:33">
      <c r="A68" s="29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</row>
    <row r="69" spans="1:33">
      <c r="A69" s="29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</row>
    <row r="70" spans="1:33">
      <c r="A70" s="29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</row>
    <row r="71" spans="1:33">
      <c r="A71" s="29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</row>
    <row r="72" spans="1:33">
      <c r="A72" s="29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</row>
    <row r="73" spans="1:33">
      <c r="A73" s="29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</row>
    <row r="74" spans="1:33">
      <c r="A74" s="29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</row>
    <row r="75" spans="1:33">
      <c r="A75" s="29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</row>
    <row r="76" spans="1:33">
      <c r="A76" s="29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</row>
    <row r="77" spans="1:33">
      <c r="A77" s="29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</row>
    <row r="78" spans="1:33">
      <c r="A78" s="29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</row>
    <row r="79" spans="1:33">
      <c r="A79" s="29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</row>
    <row r="80" spans="1:33">
      <c r="A80" s="29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</row>
    <row r="81" spans="1:33">
      <c r="A81" s="29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</row>
    <row r="82" spans="1:33">
      <c r="A82" s="29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</row>
    <row r="83" spans="1:33">
      <c r="A83" s="29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</row>
    <row r="84" spans="1:33">
      <c r="A84" s="29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</row>
    <row r="85" spans="1:33">
      <c r="A85" s="29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</row>
    <row r="86" spans="1:33">
      <c r="A86" s="29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</row>
    <row r="87" spans="1:33">
      <c r="A87" s="29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</row>
    <row r="88" spans="1:33">
      <c r="A88" s="29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</row>
    <row r="89" spans="1:33">
      <c r="A89" s="29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</row>
    <row r="90" spans="1:33">
      <c r="A90" s="29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</row>
    <row r="91" spans="1:33">
      <c r="A91" s="29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</row>
    <row r="92" spans="1:33">
      <c r="A92" s="29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</row>
    <row r="93" spans="1:33">
      <c r="A93" s="29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</row>
    <row r="94" spans="1:33">
      <c r="A94" s="29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</row>
    <row r="95" spans="1:33">
      <c r="A95" s="29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</row>
    <row r="96" spans="1:33">
      <c r="A96" s="29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</row>
    <row r="97" spans="1:33">
      <c r="A97" s="29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</row>
    <row r="98" spans="1:33">
      <c r="A98" s="29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</row>
    <row r="99" spans="1:33">
      <c r="A99" s="29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</row>
    <row r="100" spans="1:33">
      <c r="A100" s="29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</row>
    <row r="101" spans="1:33">
      <c r="A101" s="29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</row>
    <row r="102" spans="1:33">
      <c r="A102" s="29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</row>
    <row r="103" spans="1:33">
      <c r="A103" s="29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</row>
    <row r="104" spans="1:33">
      <c r="A104" s="29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</row>
    <row r="105" spans="1:33">
      <c r="A105" s="29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</row>
    <row r="106" spans="1:33">
      <c r="A106" s="29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</row>
    <row r="107" spans="1:33">
      <c r="A107" s="29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</row>
    <row r="108" spans="1:33">
      <c r="A108" s="29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</row>
    <row r="109" spans="1:33">
      <c r="A109" s="29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</row>
    <row r="110" spans="1:33">
      <c r="A110" s="29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</row>
    <row r="111" spans="1:33">
      <c r="A111" s="29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</row>
    <row r="112" spans="1:33">
      <c r="A112" s="29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</row>
    <row r="113" spans="1:33">
      <c r="A113" s="29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</row>
    <row r="114" spans="1:33">
      <c r="A114" s="29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</row>
    <row r="115" spans="1:33">
      <c r="A115" s="29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</row>
    <row r="116" spans="1:33">
      <c r="A116" s="29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</row>
    <row r="117" spans="1:33">
      <c r="A117" s="29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</row>
    <row r="118" spans="1:33">
      <c r="A118" s="29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</row>
    <row r="119" spans="1:33">
      <c r="A119" s="29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</row>
    <row r="120" spans="1:33">
      <c r="A120" s="29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</row>
    <row r="121" spans="1:33">
      <c r="A121" s="29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</row>
    <row r="122" spans="1:33">
      <c r="A122" s="29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</row>
    <row r="123" spans="1:33">
      <c r="A123" s="29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</row>
    <row r="124" spans="1:33">
      <c r="A124" s="29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</row>
    <row r="125" spans="1:33">
      <c r="A125" s="29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</row>
    <row r="126" spans="1:33">
      <c r="A126" s="29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</row>
    <row r="127" spans="1:33">
      <c r="A127" s="29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</row>
    <row r="128" spans="1:33">
      <c r="A128" s="29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</row>
    <row r="129" spans="1:33">
      <c r="A129" s="29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</row>
    <row r="130" spans="1:33">
      <c r="A130" s="29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</row>
    <row r="131" spans="1:33">
      <c r="A131" s="29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</row>
    <row r="132" spans="1:33">
      <c r="A132" s="29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</row>
    <row r="133" spans="1:33">
      <c r="A133" s="29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</row>
    <row r="134" spans="1:33">
      <c r="A134" s="29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</row>
    <row r="135" spans="1:33">
      <c r="A135" s="29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</row>
    <row r="136" spans="1:33">
      <c r="A136" s="29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</row>
    <row r="137" spans="1:33">
      <c r="A137" s="29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</row>
    <row r="138" spans="1:33">
      <c r="A138" s="29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</row>
    <row r="139" spans="1:33">
      <c r="A139" s="29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</row>
    <row r="140" spans="1:33">
      <c r="A140" s="29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</row>
    <row r="141" spans="1:33">
      <c r="A141" s="29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</row>
    <row r="142" spans="1:33">
      <c r="A142" s="29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</row>
    <row r="143" spans="1:33">
      <c r="A143" s="29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</row>
    <row r="144" spans="1:33">
      <c r="A144" s="29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</row>
    <row r="145" spans="1:33">
      <c r="A145" s="29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</row>
    <row r="146" spans="1:33">
      <c r="A146" s="29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</row>
    <row r="147" spans="1:33">
      <c r="A147" s="29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</row>
    <row r="148" spans="1:33">
      <c r="A148" s="29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</row>
    <row r="149" spans="1:33">
      <c r="A149" s="29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</row>
    <row r="150" spans="1:33">
      <c r="A150" s="29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</row>
    <row r="151" spans="1:33">
      <c r="A151" s="29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</row>
    <row r="152" spans="1:33">
      <c r="A152" s="29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</row>
    <row r="153" spans="1:33">
      <c r="A153" s="29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</row>
    <row r="154" spans="1:33">
      <c r="A154" s="29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</row>
    <row r="155" spans="1:33">
      <c r="A155" s="29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</row>
    <row r="156" spans="1:33">
      <c r="A156" s="29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</row>
    <row r="157" spans="1:33">
      <c r="A157" s="29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</row>
    <row r="158" spans="1:33">
      <c r="A158" s="29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</row>
    <row r="159" spans="1:33">
      <c r="A159" s="29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</row>
    <row r="160" spans="1:33">
      <c r="A160" s="29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</row>
    <row r="161" spans="1:33">
      <c r="A161" s="29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</row>
    <row r="162" spans="1:33">
      <c r="A162" s="29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</row>
    <row r="163" spans="1:33">
      <c r="A163" s="29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</row>
    <row r="164" spans="1:33">
      <c r="A164" s="29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</row>
    <row r="165" spans="1:33">
      <c r="A165" s="29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</row>
    <row r="166" spans="1:33">
      <c r="A166" s="29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</row>
    <row r="167" spans="1:33">
      <c r="A167" s="29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</row>
    <row r="168" spans="1:33">
      <c r="A168" s="29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</row>
    <row r="169" spans="1:33">
      <c r="A169" s="29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</row>
    <row r="170" spans="1:33">
      <c r="A170" s="29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</row>
    <row r="171" spans="1:33">
      <c r="A171" s="29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</row>
    <row r="172" spans="1:33">
      <c r="A172" s="29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</row>
    <row r="173" spans="1:33">
      <c r="A173" s="29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</row>
    <row r="174" spans="1:33">
      <c r="A174" s="29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</row>
    <row r="175" spans="1:33">
      <c r="A175" s="29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</row>
    <row r="176" spans="1:33">
      <c r="A176" s="29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</row>
    <row r="177" spans="1:33">
      <c r="A177" s="29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</row>
    <row r="178" spans="1:33">
      <c r="A178" s="29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</row>
    <row r="179" spans="1:33">
      <c r="A179" s="29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</row>
    <row r="180" spans="1:33">
      <c r="A180" s="29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</row>
    <row r="181" spans="1:33">
      <c r="A181" s="29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</row>
    <row r="182" spans="1:33">
      <c r="A182" s="29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AG182"/>
  <sheetViews>
    <sheetView zoomScale="80" zoomScaleNormal="80" workbookViewId="0">
      <pane ySplit="8580" topLeftCell="A177"/>
      <selection sqref="A1:XFD1048576"/>
      <selection pane="bottomLeft" activeCell="AN178" sqref="AN178"/>
    </sheetView>
  </sheetViews>
  <sheetFormatPr defaultColWidth="7.140625" defaultRowHeight="15"/>
  <cols>
    <col min="1" max="1" width="4.140625" style="29" bestFit="1" customWidth="1"/>
    <col min="2" max="6" width="6.5703125" style="29" bestFit="1" customWidth="1"/>
    <col min="7" max="7" width="2.28515625" style="29" bestFit="1" customWidth="1"/>
    <col min="8" max="22" width="6.5703125" style="29" bestFit="1" customWidth="1"/>
    <col min="23" max="23" width="3.42578125" style="29" bestFit="1" customWidth="1"/>
    <col min="24" max="33" width="6.5703125" style="29" bestFit="1" customWidth="1"/>
    <col min="34" max="16384" width="7.140625" style="29"/>
  </cols>
  <sheetData>
    <row r="1" spans="1:33">
      <c r="B1" s="29">
        <f>data0!B1</f>
        <v>0</v>
      </c>
      <c r="C1" s="29">
        <f>data0!C1</f>
        <v>1</v>
      </c>
      <c r="D1" s="29">
        <f>data0!D1</f>
        <v>2</v>
      </c>
      <c r="E1" s="29">
        <f>data0!E1</f>
        <v>3</v>
      </c>
      <c r="F1" s="29">
        <f>data0!F1</f>
        <v>4</v>
      </c>
      <c r="G1" s="29">
        <f>data0!G1</f>
        <v>5</v>
      </c>
      <c r="H1" s="29">
        <f>data0!H1</f>
        <v>6</v>
      </c>
      <c r="I1" s="29">
        <f>data0!I1</f>
        <v>7</v>
      </c>
      <c r="J1" s="29">
        <f>data0!J1</f>
        <v>8</v>
      </c>
      <c r="K1" s="29">
        <f>data0!K1</f>
        <v>9</v>
      </c>
      <c r="L1" s="29">
        <f>data0!L1</f>
        <v>10</v>
      </c>
      <c r="M1" s="29">
        <f>data0!M1</f>
        <v>11</v>
      </c>
      <c r="N1" s="29">
        <f>data0!N1</f>
        <v>12</v>
      </c>
      <c r="O1" s="29">
        <f>data0!O1</f>
        <v>13</v>
      </c>
      <c r="P1" s="29">
        <f>data0!P1</f>
        <v>14</v>
      </c>
      <c r="Q1" s="29">
        <f>data0!Q1</f>
        <v>15</v>
      </c>
      <c r="R1" s="29">
        <f>data0!R1</f>
        <v>16</v>
      </c>
      <c r="S1" s="29">
        <f>data0!S1</f>
        <v>17</v>
      </c>
      <c r="T1" s="29">
        <f>data0!T1</f>
        <v>18</v>
      </c>
      <c r="U1" s="29">
        <f>data0!U1</f>
        <v>19</v>
      </c>
      <c r="V1" s="29">
        <f>data0!V1</f>
        <v>20</v>
      </c>
      <c r="W1" s="29">
        <f>data0!W1</f>
        <v>21</v>
      </c>
      <c r="X1" s="29">
        <f>data0!X1</f>
        <v>22</v>
      </c>
      <c r="Y1" s="29">
        <f>data0!Y1</f>
        <v>23</v>
      </c>
      <c r="Z1" s="29">
        <f>data0!Z1</f>
        <v>24</v>
      </c>
      <c r="AA1" s="29">
        <f>data0!AA1</f>
        <v>25</v>
      </c>
      <c r="AB1" s="29">
        <f>data0!AB1</f>
        <v>26</v>
      </c>
      <c r="AC1" s="29">
        <f>data0!AC1</f>
        <v>27</v>
      </c>
      <c r="AD1" s="29">
        <f>data0!AD1</f>
        <v>28</v>
      </c>
      <c r="AE1" s="29">
        <f>data0!AE1</f>
        <v>29</v>
      </c>
      <c r="AF1" s="29">
        <f>data0!AF1</f>
        <v>30</v>
      </c>
      <c r="AG1" s="29">
        <f>data0!AG1</f>
        <v>31</v>
      </c>
    </row>
    <row r="2" spans="1:33">
      <c r="A2" s="29">
        <f>data0!A2</f>
        <v>-90</v>
      </c>
      <c r="B2" s="28">
        <f>data1!B2/range*(2^resolution-1)</f>
        <v>0</v>
      </c>
      <c r="C2" s="28">
        <f>data1!C2/range*(2^resolution-1)</f>
        <v>0</v>
      </c>
      <c r="D2" s="28">
        <f>data1!D2/range*(2^resolution-1)</f>
        <v>0</v>
      </c>
      <c r="E2" s="28">
        <f>data1!E2/range*(2^resolution-1)</f>
        <v>0</v>
      </c>
      <c r="F2" s="28">
        <f>data1!F2/range*(2^resolution-1)</f>
        <v>0</v>
      </c>
      <c r="G2" s="28">
        <f>data1!G2/range*(2^resolution-1)</f>
        <v>0</v>
      </c>
      <c r="H2" s="28">
        <f>data1!H2/range*(2^resolution-1)</f>
        <v>0</v>
      </c>
      <c r="I2" s="28">
        <f>data1!I2/range*(2^resolution-1)</f>
        <v>0</v>
      </c>
      <c r="J2" s="28">
        <f>data1!J2/range*(2^resolution-1)</f>
        <v>0</v>
      </c>
      <c r="K2" s="28">
        <f>data1!K2/range*(2^resolution-1)</f>
        <v>0</v>
      </c>
      <c r="L2" s="28">
        <f>data1!L2/range*(2^resolution-1)</f>
        <v>0</v>
      </c>
      <c r="M2" s="28">
        <f>data1!M2/range*(2^resolution-1)</f>
        <v>0</v>
      </c>
      <c r="N2" s="28">
        <f>data1!N2/range*(2^resolution-1)</f>
        <v>0</v>
      </c>
      <c r="O2" s="28">
        <f>data1!O2/range*(2^resolution-1)</f>
        <v>0</v>
      </c>
      <c r="P2" s="28">
        <f>data1!P2/range*(2^resolution-1)</f>
        <v>0</v>
      </c>
      <c r="Q2" s="28">
        <f>data1!Q2/range*(2^resolution-1)</f>
        <v>0</v>
      </c>
      <c r="R2" s="28">
        <f>data1!R2/range*(2^resolution-1)</f>
        <v>0</v>
      </c>
      <c r="S2" s="28">
        <f>data1!S2/range*(2^resolution-1)</f>
        <v>0</v>
      </c>
      <c r="T2" s="28">
        <f>data1!T2/range*(2^resolution-1)</f>
        <v>0</v>
      </c>
      <c r="U2" s="28">
        <f>data1!U2/range*(2^resolution-1)</f>
        <v>0</v>
      </c>
      <c r="V2" s="28">
        <f>data1!V2/range*(2^resolution-1)</f>
        <v>0</v>
      </c>
      <c r="W2" s="28">
        <f>data1!W2/range*(2^resolution-1)</f>
        <v>0</v>
      </c>
      <c r="X2" s="28">
        <f>data1!X2/range*(2^resolution-1)</f>
        <v>0</v>
      </c>
      <c r="Y2" s="28">
        <f>data1!Y2/range*(2^resolution-1)</f>
        <v>0</v>
      </c>
      <c r="Z2" s="28">
        <f>data1!Z2/range*(2^resolution-1)</f>
        <v>0</v>
      </c>
      <c r="AA2" s="28">
        <f>data1!AA2/range*(2^resolution-1)</f>
        <v>0</v>
      </c>
      <c r="AB2" s="28">
        <f>data1!AB2/range*(2^resolution-1)</f>
        <v>0</v>
      </c>
      <c r="AC2" s="28">
        <f>data1!AC2/range*(2^resolution-1)</f>
        <v>0</v>
      </c>
      <c r="AD2" s="28">
        <f>data1!AD2/range*(2^resolution-1)</f>
        <v>0</v>
      </c>
      <c r="AE2" s="28">
        <f>data1!AE2/range*(2^resolution-1)</f>
        <v>0</v>
      </c>
      <c r="AF2" s="28">
        <f>data1!AF2/range*(2^resolution-1)</f>
        <v>0</v>
      </c>
      <c r="AG2" s="28">
        <f>data1!AG2/range*(2^resolution-1)</f>
        <v>0</v>
      </c>
    </row>
    <row r="3" spans="1:33">
      <c r="A3" s="29">
        <f>data0!A3</f>
        <v>-87</v>
      </c>
      <c r="B3" s="28">
        <f>data1!B3/range*(2^resolution-1)</f>
        <v>0</v>
      </c>
      <c r="C3" s="28">
        <f>data1!C3/range*(2^resolution-1)</f>
        <v>0</v>
      </c>
      <c r="D3" s="28">
        <f>data1!D3/range*(2^resolution-1)</f>
        <v>0</v>
      </c>
      <c r="E3" s="28">
        <f>data1!E3/range*(2^resolution-1)</f>
        <v>0</v>
      </c>
      <c r="F3" s="28">
        <f>data1!F3/range*(2^resolution-1)</f>
        <v>0</v>
      </c>
      <c r="G3" s="28">
        <f>data1!G3/range*(2^resolution-1)</f>
        <v>0</v>
      </c>
      <c r="H3" s="28">
        <f>data1!H3/range*(2^resolution-1)</f>
        <v>0</v>
      </c>
      <c r="I3" s="28">
        <f>data1!I3/range*(2^resolution-1)</f>
        <v>0</v>
      </c>
      <c r="J3" s="28">
        <f>data1!J3/range*(2^resolution-1)</f>
        <v>0</v>
      </c>
      <c r="K3" s="28">
        <f>data1!K3/range*(2^resolution-1)</f>
        <v>0</v>
      </c>
      <c r="L3" s="28">
        <f>data1!L3/range*(2^resolution-1)</f>
        <v>0</v>
      </c>
      <c r="M3" s="28">
        <f>data1!M3/range*(2^resolution-1)</f>
        <v>0</v>
      </c>
      <c r="N3" s="28">
        <f>data1!N3/range*(2^resolution-1)</f>
        <v>0</v>
      </c>
      <c r="O3" s="28">
        <f>data1!O3/range*(2^resolution-1)</f>
        <v>0</v>
      </c>
      <c r="P3" s="28">
        <f>data1!P3/range*(2^resolution-1)</f>
        <v>0</v>
      </c>
      <c r="Q3" s="28">
        <f>data1!Q3/range*(2^resolution-1)</f>
        <v>0</v>
      </c>
      <c r="R3" s="28">
        <f>data1!R3/range*(2^resolution-1)</f>
        <v>0</v>
      </c>
      <c r="S3" s="28">
        <f>data1!S3/range*(2^resolution-1)</f>
        <v>0</v>
      </c>
      <c r="T3" s="28">
        <f>data1!T3/range*(2^resolution-1)</f>
        <v>0</v>
      </c>
      <c r="U3" s="28">
        <f>data1!U3/range*(2^resolution-1)</f>
        <v>0</v>
      </c>
      <c r="V3" s="28">
        <f>data1!V3/range*(2^resolution-1)</f>
        <v>0</v>
      </c>
      <c r="W3" s="28">
        <f>data1!W3/range*(2^resolution-1)</f>
        <v>0</v>
      </c>
      <c r="X3" s="28">
        <f>data1!X3/range*(2^resolution-1)</f>
        <v>0</v>
      </c>
      <c r="Y3" s="28">
        <f>data1!Y3/range*(2^resolution-1)</f>
        <v>0</v>
      </c>
      <c r="Z3" s="28">
        <f>data1!Z3/range*(2^resolution-1)</f>
        <v>0</v>
      </c>
      <c r="AA3" s="28">
        <f>data1!AA3/range*(2^resolution-1)</f>
        <v>0</v>
      </c>
      <c r="AB3" s="28">
        <f>data1!AB3/range*(2^resolution-1)</f>
        <v>0</v>
      </c>
      <c r="AC3" s="28">
        <f>data1!AC3/range*(2^resolution-1)</f>
        <v>0</v>
      </c>
      <c r="AD3" s="28">
        <f>data1!AD3/range*(2^resolution-1)</f>
        <v>0</v>
      </c>
      <c r="AE3" s="28">
        <f>data1!AE3/range*(2^resolution-1)</f>
        <v>0</v>
      </c>
      <c r="AF3" s="28">
        <f>data1!AF3/range*(2^resolution-1)</f>
        <v>0</v>
      </c>
      <c r="AG3" s="28">
        <f>data1!AG3/range*(2^resolution-1)</f>
        <v>0</v>
      </c>
    </row>
    <row r="4" spans="1:33">
      <c r="A4" s="29">
        <f>data0!A4</f>
        <v>-84</v>
      </c>
      <c r="B4" s="28">
        <f>data1!B4/range*(2^resolution-1)</f>
        <v>0</v>
      </c>
      <c r="C4" s="28">
        <f>data1!C4/range*(2^resolution-1)</f>
        <v>0</v>
      </c>
      <c r="D4" s="28">
        <f>data1!D4/range*(2^resolution-1)</f>
        <v>0</v>
      </c>
      <c r="E4" s="28">
        <f>data1!E4/range*(2^resolution-1)</f>
        <v>0</v>
      </c>
      <c r="F4" s="28">
        <f>data1!F4/range*(2^resolution-1)</f>
        <v>0</v>
      </c>
      <c r="G4" s="28">
        <f>data1!G4/range*(2^resolution-1)</f>
        <v>0</v>
      </c>
      <c r="H4" s="28">
        <f>data1!H4/range*(2^resolution-1)</f>
        <v>0</v>
      </c>
      <c r="I4" s="28">
        <f>data1!I4/range*(2^resolution-1)</f>
        <v>0</v>
      </c>
      <c r="J4" s="28">
        <f>data1!J4/range*(2^resolution-1)</f>
        <v>0</v>
      </c>
      <c r="K4" s="28">
        <f>data1!K4/range*(2^resolution-1)</f>
        <v>0</v>
      </c>
      <c r="L4" s="28">
        <f>data1!L4/range*(2^resolution-1)</f>
        <v>0</v>
      </c>
      <c r="M4" s="28">
        <f>data1!M4/range*(2^resolution-1)</f>
        <v>0</v>
      </c>
      <c r="N4" s="28">
        <f>data1!N4/range*(2^resolution-1)</f>
        <v>0</v>
      </c>
      <c r="O4" s="28">
        <f>data1!O4/range*(2^resolution-1)</f>
        <v>0</v>
      </c>
      <c r="P4" s="28">
        <f>data1!P4/range*(2^resolution-1)</f>
        <v>0</v>
      </c>
      <c r="Q4" s="28">
        <f>data1!Q4/range*(2^resolution-1)</f>
        <v>0</v>
      </c>
      <c r="R4" s="28">
        <f>data1!R4/range*(2^resolution-1)</f>
        <v>0</v>
      </c>
      <c r="S4" s="28">
        <f>data1!S4/range*(2^resolution-1)</f>
        <v>0</v>
      </c>
      <c r="T4" s="28">
        <f>data1!T4/range*(2^resolution-1)</f>
        <v>0</v>
      </c>
      <c r="U4" s="28">
        <f>data1!U4/range*(2^resolution-1)</f>
        <v>0</v>
      </c>
      <c r="V4" s="28">
        <f>data1!V4/range*(2^resolution-1)</f>
        <v>0</v>
      </c>
      <c r="W4" s="28">
        <f>data1!W4/range*(2^resolution-1)</f>
        <v>0</v>
      </c>
      <c r="X4" s="28">
        <f>data1!X4/range*(2^resolution-1)</f>
        <v>0</v>
      </c>
      <c r="Y4" s="28">
        <f>data1!Y4/range*(2^resolution-1)</f>
        <v>0</v>
      </c>
      <c r="Z4" s="28">
        <f>data1!Z4/range*(2^resolution-1)</f>
        <v>0</v>
      </c>
      <c r="AA4" s="28">
        <f>data1!AA4/range*(2^resolution-1)</f>
        <v>0</v>
      </c>
      <c r="AB4" s="28">
        <f>data1!AB4/range*(2^resolution-1)</f>
        <v>0</v>
      </c>
      <c r="AC4" s="28">
        <f>data1!AC4/range*(2^resolution-1)</f>
        <v>0</v>
      </c>
      <c r="AD4" s="28">
        <f>data1!AD4/range*(2^resolution-1)</f>
        <v>0</v>
      </c>
      <c r="AE4" s="28">
        <f>data1!AE4/range*(2^resolution-1)</f>
        <v>0</v>
      </c>
      <c r="AF4" s="28">
        <f>data1!AF4/range*(2^resolution-1)</f>
        <v>0</v>
      </c>
      <c r="AG4" s="28">
        <f>data1!AG4/range*(2^resolution-1)</f>
        <v>0</v>
      </c>
    </row>
    <row r="5" spans="1:33">
      <c r="A5" s="29">
        <f>data0!A5</f>
        <v>-81</v>
      </c>
      <c r="B5" s="28">
        <f>data1!B5/range*(2^resolution-1)</f>
        <v>0</v>
      </c>
      <c r="C5" s="28">
        <f>data1!C5/range*(2^resolution-1)</f>
        <v>0</v>
      </c>
      <c r="D5" s="28">
        <f>data1!D5/range*(2^resolution-1)</f>
        <v>0</v>
      </c>
      <c r="E5" s="28">
        <f>data1!E5/range*(2^resolution-1)</f>
        <v>0</v>
      </c>
      <c r="F5" s="28">
        <f>data1!F5/range*(2^resolution-1)</f>
        <v>0</v>
      </c>
      <c r="G5" s="28">
        <f>data1!G5/range*(2^resolution-1)</f>
        <v>0</v>
      </c>
      <c r="H5" s="28">
        <f>data1!H5/range*(2^resolution-1)</f>
        <v>0</v>
      </c>
      <c r="I5" s="28">
        <f>data1!I5/range*(2^resolution-1)</f>
        <v>0</v>
      </c>
      <c r="J5" s="28">
        <f>data1!J5/range*(2^resolution-1)</f>
        <v>0</v>
      </c>
      <c r="K5" s="28">
        <f>data1!K5/range*(2^resolution-1)</f>
        <v>0</v>
      </c>
      <c r="L5" s="28">
        <f>data1!L5/range*(2^resolution-1)</f>
        <v>0</v>
      </c>
      <c r="M5" s="28">
        <f>data1!M5/range*(2^resolution-1)</f>
        <v>0</v>
      </c>
      <c r="N5" s="28">
        <f>data1!N5/range*(2^resolution-1)</f>
        <v>0</v>
      </c>
      <c r="O5" s="28">
        <f>data1!O5/range*(2^resolution-1)</f>
        <v>0</v>
      </c>
      <c r="P5" s="28">
        <f>data1!P5/range*(2^resolution-1)</f>
        <v>0</v>
      </c>
      <c r="Q5" s="28">
        <f>data1!Q5/range*(2^resolution-1)</f>
        <v>0</v>
      </c>
      <c r="R5" s="28">
        <f>data1!R5/range*(2^resolution-1)</f>
        <v>0</v>
      </c>
      <c r="S5" s="28">
        <f>data1!S5/range*(2^resolution-1)</f>
        <v>0</v>
      </c>
      <c r="T5" s="28">
        <f>data1!T5/range*(2^resolution-1)</f>
        <v>0</v>
      </c>
      <c r="U5" s="28">
        <f>data1!U5/range*(2^resolution-1)</f>
        <v>0</v>
      </c>
      <c r="V5" s="28">
        <f>data1!V5/range*(2^resolution-1)</f>
        <v>0</v>
      </c>
      <c r="W5" s="28">
        <f>data1!W5/range*(2^resolution-1)</f>
        <v>0</v>
      </c>
      <c r="X5" s="28">
        <f>data1!X5/range*(2^resolution-1)</f>
        <v>0</v>
      </c>
      <c r="Y5" s="28">
        <f>data1!Y5/range*(2^resolution-1)</f>
        <v>0</v>
      </c>
      <c r="Z5" s="28">
        <f>data1!Z5/range*(2^resolution-1)</f>
        <v>0</v>
      </c>
      <c r="AA5" s="28">
        <f>data1!AA5/range*(2^resolution-1)</f>
        <v>0</v>
      </c>
      <c r="AB5" s="28">
        <f>data1!AB5/range*(2^resolution-1)</f>
        <v>0</v>
      </c>
      <c r="AC5" s="28">
        <f>data1!AC5/range*(2^resolution-1)</f>
        <v>0</v>
      </c>
      <c r="AD5" s="28">
        <f>data1!AD5/range*(2^resolution-1)</f>
        <v>0</v>
      </c>
      <c r="AE5" s="28">
        <f>data1!AE5/range*(2^resolution-1)</f>
        <v>0</v>
      </c>
      <c r="AF5" s="28">
        <f>data1!AF5/range*(2^resolution-1)</f>
        <v>0</v>
      </c>
      <c r="AG5" s="28">
        <f>data1!AG5/range*(2^resolution-1)</f>
        <v>0</v>
      </c>
    </row>
    <row r="6" spans="1:33">
      <c r="A6" s="29">
        <f>data0!A6</f>
        <v>-78</v>
      </c>
      <c r="B6" s="28">
        <f>data1!B6/range*(2^resolution-1)</f>
        <v>0</v>
      </c>
      <c r="C6" s="28">
        <f>data1!C6/range*(2^resolution-1)</f>
        <v>0</v>
      </c>
      <c r="D6" s="28">
        <f>data1!D6/range*(2^resolution-1)</f>
        <v>0</v>
      </c>
      <c r="E6" s="28">
        <f>data1!E6/range*(2^resolution-1)</f>
        <v>0</v>
      </c>
      <c r="F6" s="28">
        <f>data1!F6/range*(2^resolution-1)</f>
        <v>0</v>
      </c>
      <c r="G6" s="28">
        <f>data1!G6/range*(2^resolution-1)</f>
        <v>0</v>
      </c>
      <c r="H6" s="28">
        <f>data1!H6/range*(2^resolution-1)</f>
        <v>0</v>
      </c>
      <c r="I6" s="28">
        <f>data1!I6/range*(2^resolution-1)</f>
        <v>0</v>
      </c>
      <c r="J6" s="28">
        <f>data1!J6/range*(2^resolution-1)</f>
        <v>0</v>
      </c>
      <c r="K6" s="28">
        <f>data1!K6/range*(2^resolution-1)</f>
        <v>0</v>
      </c>
      <c r="L6" s="28">
        <f>data1!L6/range*(2^resolution-1)</f>
        <v>0</v>
      </c>
      <c r="M6" s="28">
        <f>data1!M6/range*(2^resolution-1)</f>
        <v>0</v>
      </c>
      <c r="N6" s="28">
        <f>data1!N6/range*(2^resolution-1)</f>
        <v>0</v>
      </c>
      <c r="O6" s="28">
        <f>data1!O6/range*(2^resolution-1)</f>
        <v>0</v>
      </c>
      <c r="P6" s="28">
        <f>data1!P6/range*(2^resolution-1)</f>
        <v>0</v>
      </c>
      <c r="Q6" s="28">
        <f>data1!Q6/range*(2^resolution-1)</f>
        <v>0</v>
      </c>
      <c r="R6" s="28">
        <f>data1!R6/range*(2^resolution-1)</f>
        <v>0</v>
      </c>
      <c r="S6" s="28">
        <f>data1!S6/range*(2^resolution-1)</f>
        <v>0</v>
      </c>
      <c r="T6" s="28">
        <f>data1!T6/range*(2^resolution-1)</f>
        <v>0</v>
      </c>
      <c r="U6" s="28">
        <f>data1!U6/range*(2^resolution-1)</f>
        <v>0</v>
      </c>
      <c r="V6" s="28">
        <f>data1!V6/range*(2^resolution-1)</f>
        <v>0</v>
      </c>
      <c r="W6" s="28">
        <f>data1!W6/range*(2^resolution-1)</f>
        <v>0</v>
      </c>
      <c r="X6" s="28">
        <f>data1!X6/range*(2^resolution-1)</f>
        <v>0</v>
      </c>
      <c r="Y6" s="28">
        <f>data1!Y6/range*(2^resolution-1)</f>
        <v>0</v>
      </c>
      <c r="Z6" s="28">
        <f>data1!Z6/range*(2^resolution-1)</f>
        <v>0</v>
      </c>
      <c r="AA6" s="28">
        <f>data1!AA6/range*(2^resolution-1)</f>
        <v>0</v>
      </c>
      <c r="AB6" s="28">
        <f>data1!AB6/range*(2^resolution-1)</f>
        <v>0</v>
      </c>
      <c r="AC6" s="28">
        <f>data1!AC6/range*(2^resolution-1)</f>
        <v>0</v>
      </c>
      <c r="AD6" s="28">
        <f>data1!AD6/range*(2^resolution-1)</f>
        <v>0</v>
      </c>
      <c r="AE6" s="28">
        <f>data1!AE6/range*(2^resolution-1)</f>
        <v>0</v>
      </c>
      <c r="AF6" s="28">
        <f>data1!AF6/range*(2^resolution-1)</f>
        <v>0</v>
      </c>
      <c r="AG6" s="28">
        <f>data1!AG6/range*(2^resolution-1)</f>
        <v>0</v>
      </c>
    </row>
    <row r="7" spans="1:33">
      <c r="A7" s="29">
        <f>data0!A7</f>
        <v>-75</v>
      </c>
      <c r="B7" s="28">
        <f>data1!B7/range*(2^resolution-1)</f>
        <v>0</v>
      </c>
      <c r="C7" s="28">
        <f>data1!C7/range*(2^resolution-1)</f>
        <v>0</v>
      </c>
      <c r="D7" s="28">
        <f>data1!D7/range*(2^resolution-1)</f>
        <v>0</v>
      </c>
      <c r="E7" s="28">
        <f>data1!E7/range*(2^resolution-1)</f>
        <v>0</v>
      </c>
      <c r="F7" s="28">
        <f>data1!F7/range*(2^resolution-1)</f>
        <v>0</v>
      </c>
      <c r="G7" s="28">
        <f>data1!G7/range*(2^resolution-1)</f>
        <v>0</v>
      </c>
      <c r="H7" s="28">
        <f>data1!H7/range*(2^resolution-1)</f>
        <v>0</v>
      </c>
      <c r="I7" s="28">
        <f>data1!I7/range*(2^resolution-1)</f>
        <v>0</v>
      </c>
      <c r="J7" s="28">
        <f>data1!J7/range*(2^resolution-1)</f>
        <v>0</v>
      </c>
      <c r="K7" s="28">
        <f>data1!K7/range*(2^resolution-1)</f>
        <v>0</v>
      </c>
      <c r="L7" s="28">
        <f>data1!L7/range*(2^resolution-1)</f>
        <v>0</v>
      </c>
      <c r="M7" s="28">
        <f>data1!M7/range*(2^resolution-1)</f>
        <v>0</v>
      </c>
      <c r="N7" s="28">
        <f>data1!N7/range*(2^resolution-1)</f>
        <v>0</v>
      </c>
      <c r="O7" s="28">
        <f>data1!O7/range*(2^resolution-1)</f>
        <v>0</v>
      </c>
      <c r="P7" s="28">
        <f>data1!P7/range*(2^resolution-1)</f>
        <v>0</v>
      </c>
      <c r="Q7" s="28">
        <f>data1!Q7/range*(2^resolution-1)</f>
        <v>0</v>
      </c>
      <c r="R7" s="28">
        <f>data1!R7/range*(2^resolution-1)</f>
        <v>0</v>
      </c>
      <c r="S7" s="28">
        <f>data1!S7/range*(2^resolution-1)</f>
        <v>0</v>
      </c>
      <c r="T7" s="28">
        <f>data1!T7/range*(2^resolution-1)</f>
        <v>0</v>
      </c>
      <c r="U7" s="28">
        <f>data1!U7/range*(2^resolution-1)</f>
        <v>0</v>
      </c>
      <c r="V7" s="28">
        <f>data1!V7/range*(2^resolution-1)</f>
        <v>0</v>
      </c>
      <c r="W7" s="28">
        <f>data1!W7/range*(2^resolution-1)</f>
        <v>0</v>
      </c>
      <c r="X7" s="28">
        <f>data1!X7/range*(2^resolution-1)</f>
        <v>0</v>
      </c>
      <c r="Y7" s="28">
        <f>data1!Y7/range*(2^resolution-1)</f>
        <v>0</v>
      </c>
      <c r="Z7" s="28">
        <f>data1!Z7/range*(2^resolution-1)</f>
        <v>0</v>
      </c>
      <c r="AA7" s="28">
        <f>data1!AA7/range*(2^resolution-1)</f>
        <v>0</v>
      </c>
      <c r="AB7" s="28">
        <f>data1!AB7/range*(2^resolution-1)</f>
        <v>0</v>
      </c>
      <c r="AC7" s="28">
        <f>data1!AC7/range*(2^resolution-1)</f>
        <v>0</v>
      </c>
      <c r="AD7" s="28">
        <f>data1!AD7/range*(2^resolution-1)</f>
        <v>0</v>
      </c>
      <c r="AE7" s="28">
        <f>data1!AE7/range*(2^resolution-1)</f>
        <v>0</v>
      </c>
      <c r="AF7" s="28">
        <f>data1!AF7/range*(2^resolution-1)</f>
        <v>0</v>
      </c>
      <c r="AG7" s="28">
        <f>data1!AG7/range*(2^resolution-1)</f>
        <v>0</v>
      </c>
    </row>
    <row r="8" spans="1:33">
      <c r="A8" s="29">
        <f>data0!A8</f>
        <v>-72</v>
      </c>
      <c r="B8" s="28">
        <f>data1!B8/range*(2^resolution-1)</f>
        <v>0</v>
      </c>
      <c r="C8" s="28">
        <f>data1!C8/range*(2^resolution-1)</f>
        <v>0</v>
      </c>
      <c r="D8" s="28">
        <f>data1!D8/range*(2^resolution-1)</f>
        <v>0</v>
      </c>
      <c r="E8" s="28">
        <f>data1!E8/range*(2^resolution-1)</f>
        <v>0</v>
      </c>
      <c r="F8" s="28">
        <f>data1!F8/range*(2^resolution-1)</f>
        <v>0</v>
      </c>
      <c r="G8" s="28">
        <f>data1!G8/range*(2^resolution-1)</f>
        <v>0</v>
      </c>
      <c r="H8" s="28">
        <f>data1!H8/range*(2^resolution-1)</f>
        <v>0</v>
      </c>
      <c r="I8" s="28">
        <f>data1!I8/range*(2^resolution-1)</f>
        <v>0</v>
      </c>
      <c r="J8" s="28">
        <f>data1!J8/range*(2^resolution-1)</f>
        <v>0</v>
      </c>
      <c r="K8" s="28">
        <f>data1!K8/range*(2^resolution-1)</f>
        <v>0</v>
      </c>
      <c r="L8" s="28">
        <f>data1!L8/range*(2^resolution-1)</f>
        <v>0</v>
      </c>
      <c r="M8" s="28">
        <f>data1!M8/range*(2^resolution-1)</f>
        <v>0</v>
      </c>
      <c r="N8" s="28">
        <f>data1!N8/range*(2^resolution-1)</f>
        <v>0</v>
      </c>
      <c r="O8" s="28">
        <f>data1!O8/range*(2^resolution-1)</f>
        <v>0</v>
      </c>
      <c r="P8" s="28">
        <f>data1!P8/range*(2^resolution-1)</f>
        <v>0</v>
      </c>
      <c r="Q8" s="28">
        <f>data1!Q8/range*(2^resolution-1)</f>
        <v>0</v>
      </c>
      <c r="R8" s="28">
        <f>data1!R8/range*(2^resolution-1)</f>
        <v>0</v>
      </c>
      <c r="S8" s="28">
        <f>data1!S8/range*(2^resolution-1)</f>
        <v>0</v>
      </c>
      <c r="T8" s="28">
        <f>data1!T8/range*(2^resolution-1)</f>
        <v>0</v>
      </c>
      <c r="U8" s="28">
        <f>data1!U8/range*(2^resolution-1)</f>
        <v>0</v>
      </c>
      <c r="V8" s="28">
        <f>data1!V8/range*(2^resolution-1)</f>
        <v>0</v>
      </c>
      <c r="W8" s="28">
        <f>data1!W8/range*(2^resolution-1)</f>
        <v>0</v>
      </c>
      <c r="X8" s="28">
        <f>data1!X8/range*(2^resolution-1)</f>
        <v>0</v>
      </c>
      <c r="Y8" s="28">
        <f>data1!Y8/range*(2^resolution-1)</f>
        <v>0</v>
      </c>
      <c r="Z8" s="28">
        <f>data1!Z8/range*(2^resolution-1)</f>
        <v>0</v>
      </c>
      <c r="AA8" s="28">
        <f>data1!AA8/range*(2^resolution-1)</f>
        <v>0</v>
      </c>
      <c r="AB8" s="28">
        <f>data1!AB8/range*(2^resolution-1)</f>
        <v>0</v>
      </c>
      <c r="AC8" s="28">
        <f>data1!AC8/range*(2^resolution-1)</f>
        <v>0</v>
      </c>
      <c r="AD8" s="28">
        <f>data1!AD8/range*(2^resolution-1)</f>
        <v>0</v>
      </c>
      <c r="AE8" s="28">
        <f>data1!AE8/range*(2^resolution-1)</f>
        <v>0</v>
      </c>
      <c r="AF8" s="28">
        <f>data1!AF8/range*(2^resolution-1)</f>
        <v>0</v>
      </c>
      <c r="AG8" s="28">
        <f>data1!AG8/range*(2^resolution-1)</f>
        <v>0</v>
      </c>
    </row>
    <row r="9" spans="1:33">
      <c r="A9" s="29">
        <f>data0!A9</f>
        <v>-69</v>
      </c>
      <c r="B9" s="28">
        <f>data1!B9/range*(2^resolution-1)</f>
        <v>0</v>
      </c>
      <c r="C9" s="28">
        <f>data1!C9/range*(2^resolution-1)</f>
        <v>0</v>
      </c>
      <c r="D9" s="28">
        <f>data1!D9/range*(2^resolution-1)</f>
        <v>0</v>
      </c>
      <c r="E9" s="28">
        <f>data1!E9/range*(2^resolution-1)</f>
        <v>0</v>
      </c>
      <c r="F9" s="28">
        <f>data1!F9/range*(2^resolution-1)</f>
        <v>0</v>
      </c>
      <c r="G9" s="28">
        <f>data1!G9/range*(2^resolution-1)</f>
        <v>0</v>
      </c>
      <c r="H9" s="28">
        <f>data1!H9/range*(2^resolution-1)</f>
        <v>0</v>
      </c>
      <c r="I9" s="28">
        <f>data1!I9/range*(2^resolution-1)</f>
        <v>0</v>
      </c>
      <c r="J9" s="28">
        <f>data1!J9/range*(2^resolution-1)</f>
        <v>0</v>
      </c>
      <c r="K9" s="28">
        <f>data1!K9/range*(2^resolution-1)</f>
        <v>0</v>
      </c>
      <c r="L9" s="28">
        <f>data1!L9/range*(2^resolution-1)</f>
        <v>0</v>
      </c>
      <c r="M9" s="28">
        <f>data1!M9/range*(2^resolution-1)</f>
        <v>0</v>
      </c>
      <c r="N9" s="28">
        <f>data1!N9/range*(2^resolution-1)</f>
        <v>0</v>
      </c>
      <c r="O9" s="28">
        <f>data1!O9/range*(2^resolution-1)</f>
        <v>0</v>
      </c>
      <c r="P9" s="28">
        <f>data1!P9/range*(2^resolution-1)</f>
        <v>0</v>
      </c>
      <c r="Q9" s="28">
        <f>data1!Q9/range*(2^resolution-1)</f>
        <v>0</v>
      </c>
      <c r="R9" s="28">
        <f>data1!R9/range*(2^resolution-1)</f>
        <v>0</v>
      </c>
      <c r="S9" s="28">
        <f>data1!S9/range*(2^resolution-1)</f>
        <v>0</v>
      </c>
      <c r="T9" s="28">
        <f>data1!T9/range*(2^resolution-1)</f>
        <v>0</v>
      </c>
      <c r="U9" s="28">
        <f>data1!U9/range*(2^resolution-1)</f>
        <v>0</v>
      </c>
      <c r="V9" s="28">
        <f>data1!V9/range*(2^resolution-1)</f>
        <v>0</v>
      </c>
      <c r="W9" s="28">
        <f>data1!W9/range*(2^resolution-1)</f>
        <v>0</v>
      </c>
      <c r="X9" s="28">
        <f>data1!X9/range*(2^resolution-1)</f>
        <v>0</v>
      </c>
      <c r="Y9" s="28">
        <f>data1!Y9/range*(2^resolution-1)</f>
        <v>0</v>
      </c>
      <c r="Z9" s="28">
        <f>data1!Z9/range*(2^resolution-1)</f>
        <v>0</v>
      </c>
      <c r="AA9" s="28">
        <f>data1!AA9/range*(2^resolution-1)</f>
        <v>0</v>
      </c>
      <c r="AB9" s="28">
        <f>data1!AB9/range*(2^resolution-1)</f>
        <v>0</v>
      </c>
      <c r="AC9" s="28">
        <f>data1!AC9/range*(2^resolution-1)</f>
        <v>0</v>
      </c>
      <c r="AD9" s="28">
        <f>data1!AD9/range*(2^resolution-1)</f>
        <v>0</v>
      </c>
      <c r="AE9" s="28">
        <f>data1!AE9/range*(2^resolution-1)</f>
        <v>0</v>
      </c>
      <c r="AF9" s="28">
        <f>data1!AF9/range*(2^resolution-1)</f>
        <v>0</v>
      </c>
      <c r="AG9" s="28">
        <f>data1!AG9/range*(2^resolution-1)</f>
        <v>0</v>
      </c>
    </row>
    <row r="10" spans="1:33">
      <c r="A10" s="29">
        <f>data0!A10</f>
        <v>-66</v>
      </c>
      <c r="B10" s="28">
        <f>data1!B10/range*(2^resolution-1)</f>
        <v>0</v>
      </c>
      <c r="C10" s="28">
        <f>data1!C10/range*(2^resolution-1)</f>
        <v>0</v>
      </c>
      <c r="D10" s="28">
        <f>data1!D10/range*(2^resolution-1)</f>
        <v>0</v>
      </c>
      <c r="E10" s="28">
        <f>data1!E10/range*(2^resolution-1)</f>
        <v>0</v>
      </c>
      <c r="F10" s="28">
        <f>data1!F10/range*(2^resolution-1)</f>
        <v>0</v>
      </c>
      <c r="G10" s="28">
        <f>data1!G10/range*(2^resolution-1)</f>
        <v>0</v>
      </c>
      <c r="H10" s="28">
        <f>data1!H10/range*(2^resolution-1)</f>
        <v>0</v>
      </c>
      <c r="I10" s="28">
        <f>data1!I10/range*(2^resolution-1)</f>
        <v>0</v>
      </c>
      <c r="J10" s="28">
        <f>data1!J10/range*(2^resolution-1)</f>
        <v>0</v>
      </c>
      <c r="K10" s="28">
        <f>data1!K10/range*(2^resolution-1)</f>
        <v>0</v>
      </c>
      <c r="L10" s="28">
        <f>data1!L10/range*(2^resolution-1)</f>
        <v>0</v>
      </c>
      <c r="M10" s="28">
        <f>data1!M10/range*(2^resolution-1)</f>
        <v>0</v>
      </c>
      <c r="N10" s="28">
        <f>data1!N10/range*(2^resolution-1)</f>
        <v>0</v>
      </c>
      <c r="O10" s="28">
        <f>data1!O10/range*(2^resolution-1)</f>
        <v>0</v>
      </c>
      <c r="P10" s="28">
        <f>data1!P10/range*(2^resolution-1)</f>
        <v>0</v>
      </c>
      <c r="Q10" s="28">
        <f>data1!Q10/range*(2^resolution-1)</f>
        <v>0</v>
      </c>
      <c r="R10" s="28">
        <f>data1!R10/range*(2^resolution-1)</f>
        <v>0</v>
      </c>
      <c r="S10" s="28">
        <f>data1!S10/range*(2^resolution-1)</f>
        <v>0</v>
      </c>
      <c r="T10" s="28">
        <f>data1!T10/range*(2^resolution-1)</f>
        <v>0</v>
      </c>
      <c r="U10" s="28">
        <f>data1!U10/range*(2^resolution-1)</f>
        <v>0</v>
      </c>
      <c r="V10" s="28">
        <f>data1!V10/range*(2^resolution-1)</f>
        <v>0</v>
      </c>
      <c r="W10" s="28">
        <f>data1!W10/range*(2^resolution-1)</f>
        <v>0</v>
      </c>
      <c r="X10" s="28">
        <f>data1!X10/range*(2^resolution-1)</f>
        <v>0</v>
      </c>
      <c r="Y10" s="28">
        <f>data1!Y10/range*(2^resolution-1)</f>
        <v>0</v>
      </c>
      <c r="Z10" s="28">
        <f>data1!Z10/range*(2^resolution-1)</f>
        <v>0</v>
      </c>
      <c r="AA10" s="28">
        <f>data1!AA10/range*(2^resolution-1)</f>
        <v>0</v>
      </c>
      <c r="AB10" s="28">
        <f>data1!AB10/range*(2^resolution-1)</f>
        <v>0</v>
      </c>
      <c r="AC10" s="28">
        <f>data1!AC10/range*(2^resolution-1)</f>
        <v>0</v>
      </c>
      <c r="AD10" s="28">
        <f>data1!AD10/range*(2^resolution-1)</f>
        <v>0</v>
      </c>
      <c r="AE10" s="28">
        <f>data1!AE10/range*(2^resolution-1)</f>
        <v>0</v>
      </c>
      <c r="AF10" s="28">
        <f>data1!AF10/range*(2^resolution-1)</f>
        <v>0</v>
      </c>
      <c r="AG10" s="28">
        <f>data1!AG10/range*(2^resolution-1)</f>
        <v>0</v>
      </c>
    </row>
    <row r="11" spans="1:33">
      <c r="A11" s="29">
        <f>data0!A11</f>
        <v>-63</v>
      </c>
      <c r="B11" s="28">
        <f>data1!B11/range*(2^resolution-1)</f>
        <v>0</v>
      </c>
      <c r="C11" s="28">
        <f>data1!C11/range*(2^resolution-1)</f>
        <v>0</v>
      </c>
      <c r="D11" s="28">
        <f>data1!D11/range*(2^resolution-1)</f>
        <v>0</v>
      </c>
      <c r="E11" s="28">
        <f>data1!E11/range*(2^resolution-1)</f>
        <v>0</v>
      </c>
      <c r="F11" s="28">
        <f>data1!F11/range*(2^resolution-1)</f>
        <v>0</v>
      </c>
      <c r="G11" s="28">
        <f>data1!G11/range*(2^resolution-1)</f>
        <v>0</v>
      </c>
      <c r="H11" s="28">
        <f>data1!H11/range*(2^resolution-1)</f>
        <v>0</v>
      </c>
      <c r="I11" s="28">
        <f>data1!I11/range*(2^resolution-1)</f>
        <v>0</v>
      </c>
      <c r="J11" s="28">
        <f>data1!J11/range*(2^resolution-1)</f>
        <v>0</v>
      </c>
      <c r="K11" s="28">
        <f>data1!K11/range*(2^resolution-1)</f>
        <v>0</v>
      </c>
      <c r="L11" s="28">
        <f>data1!L11/range*(2^resolution-1)</f>
        <v>0</v>
      </c>
      <c r="M11" s="28">
        <f>data1!M11/range*(2^resolution-1)</f>
        <v>0</v>
      </c>
      <c r="N11" s="28">
        <f>data1!N11/range*(2^resolution-1)</f>
        <v>0</v>
      </c>
      <c r="O11" s="28">
        <f>data1!O11/range*(2^resolution-1)</f>
        <v>0</v>
      </c>
      <c r="P11" s="28">
        <f>data1!P11/range*(2^resolution-1)</f>
        <v>0</v>
      </c>
      <c r="Q11" s="28">
        <f>data1!Q11/range*(2^resolution-1)</f>
        <v>0</v>
      </c>
      <c r="R11" s="28">
        <f>data1!R11/range*(2^resolution-1)</f>
        <v>0</v>
      </c>
      <c r="S11" s="28">
        <f>data1!S11/range*(2^resolution-1)</f>
        <v>0</v>
      </c>
      <c r="T11" s="28">
        <f>data1!T11/range*(2^resolution-1)</f>
        <v>0</v>
      </c>
      <c r="U11" s="28">
        <f>data1!U11/range*(2^resolution-1)</f>
        <v>0</v>
      </c>
      <c r="V11" s="28">
        <f>data1!V11/range*(2^resolution-1)</f>
        <v>0</v>
      </c>
      <c r="W11" s="28">
        <f>data1!W11/range*(2^resolution-1)</f>
        <v>0</v>
      </c>
      <c r="X11" s="28">
        <f>data1!X11/range*(2^resolution-1)</f>
        <v>0</v>
      </c>
      <c r="Y11" s="28">
        <f>data1!Y11/range*(2^resolution-1)</f>
        <v>0</v>
      </c>
      <c r="Z11" s="28">
        <f>data1!Z11/range*(2^resolution-1)</f>
        <v>0</v>
      </c>
      <c r="AA11" s="28">
        <f>data1!AA11/range*(2^resolution-1)</f>
        <v>0</v>
      </c>
      <c r="AB11" s="28">
        <f>data1!AB11/range*(2^resolution-1)</f>
        <v>0</v>
      </c>
      <c r="AC11" s="28">
        <f>data1!AC11/range*(2^resolution-1)</f>
        <v>0</v>
      </c>
      <c r="AD11" s="28">
        <f>data1!AD11/range*(2^resolution-1)</f>
        <v>0</v>
      </c>
      <c r="AE11" s="28">
        <f>data1!AE11/range*(2^resolution-1)</f>
        <v>0</v>
      </c>
      <c r="AF11" s="28">
        <f>data1!AF11/range*(2^resolution-1)</f>
        <v>0</v>
      </c>
      <c r="AG11" s="28">
        <f>data1!AG11/range*(2^resolution-1)</f>
        <v>0</v>
      </c>
    </row>
    <row r="12" spans="1:33">
      <c r="A12" s="29">
        <f>data0!A12</f>
        <v>-60</v>
      </c>
      <c r="B12" s="28">
        <f>data1!B12/range*(2^resolution-1)</f>
        <v>0</v>
      </c>
      <c r="C12" s="28">
        <f>data1!C12/range*(2^resolution-1)</f>
        <v>0</v>
      </c>
      <c r="D12" s="28">
        <f>data1!D12/range*(2^resolution-1)</f>
        <v>0</v>
      </c>
      <c r="E12" s="28">
        <f>data1!E12/range*(2^resolution-1)</f>
        <v>0</v>
      </c>
      <c r="F12" s="28">
        <f>data1!F12/range*(2^resolution-1)</f>
        <v>0</v>
      </c>
      <c r="G12" s="28">
        <f>data1!G12/range*(2^resolution-1)</f>
        <v>0</v>
      </c>
      <c r="H12" s="28">
        <f>data1!H12/range*(2^resolution-1)</f>
        <v>0</v>
      </c>
      <c r="I12" s="28">
        <f>data1!I12/range*(2^resolution-1)</f>
        <v>0</v>
      </c>
      <c r="J12" s="28">
        <f>data1!J12/range*(2^resolution-1)</f>
        <v>0</v>
      </c>
      <c r="K12" s="28">
        <f>data1!K12/range*(2^resolution-1)</f>
        <v>0</v>
      </c>
      <c r="L12" s="28">
        <f>data1!L12/range*(2^resolution-1)</f>
        <v>0</v>
      </c>
      <c r="M12" s="28">
        <f>data1!M12/range*(2^resolution-1)</f>
        <v>0</v>
      </c>
      <c r="N12" s="28">
        <f>data1!N12/range*(2^resolution-1)</f>
        <v>0</v>
      </c>
      <c r="O12" s="28">
        <f>data1!O12/range*(2^resolution-1)</f>
        <v>0</v>
      </c>
      <c r="P12" s="28">
        <f>data1!P12/range*(2^resolution-1)</f>
        <v>0</v>
      </c>
      <c r="Q12" s="28">
        <f>data1!Q12/range*(2^resolution-1)</f>
        <v>0</v>
      </c>
      <c r="R12" s="28">
        <f>data1!R12/range*(2^resolution-1)</f>
        <v>0</v>
      </c>
      <c r="S12" s="28">
        <f>data1!S12/range*(2^resolution-1)</f>
        <v>0</v>
      </c>
      <c r="T12" s="28">
        <f>data1!T12/range*(2^resolution-1)</f>
        <v>0</v>
      </c>
      <c r="U12" s="28">
        <f>data1!U12/range*(2^resolution-1)</f>
        <v>0</v>
      </c>
      <c r="V12" s="28">
        <f>data1!V12/range*(2^resolution-1)</f>
        <v>0</v>
      </c>
      <c r="W12" s="28">
        <f>data1!W12/range*(2^resolution-1)</f>
        <v>0</v>
      </c>
      <c r="X12" s="28">
        <f>data1!X12/range*(2^resolution-1)</f>
        <v>0</v>
      </c>
      <c r="Y12" s="28">
        <f>data1!Y12/range*(2^resolution-1)</f>
        <v>0</v>
      </c>
      <c r="Z12" s="28">
        <f>data1!Z12/range*(2^resolution-1)</f>
        <v>0</v>
      </c>
      <c r="AA12" s="28">
        <f>data1!AA12/range*(2^resolution-1)</f>
        <v>0</v>
      </c>
      <c r="AB12" s="28">
        <f>data1!AB12/range*(2^resolution-1)</f>
        <v>0</v>
      </c>
      <c r="AC12" s="28">
        <f>data1!AC12/range*(2^resolution-1)</f>
        <v>0</v>
      </c>
      <c r="AD12" s="28">
        <f>data1!AD12/range*(2^resolution-1)</f>
        <v>0</v>
      </c>
      <c r="AE12" s="28">
        <f>data1!AE12/range*(2^resolution-1)</f>
        <v>0</v>
      </c>
      <c r="AF12" s="28">
        <f>data1!AF12/range*(2^resolution-1)</f>
        <v>0</v>
      </c>
      <c r="AG12" s="28">
        <f>data1!AG12/range*(2^resolution-1)</f>
        <v>0</v>
      </c>
    </row>
    <row r="13" spans="1:33">
      <c r="A13" s="29">
        <f>data0!A13</f>
        <v>-57</v>
      </c>
      <c r="B13" s="28">
        <f>data1!B13/range*(2^resolution-1)</f>
        <v>0</v>
      </c>
      <c r="C13" s="28">
        <f>data1!C13/range*(2^resolution-1)</f>
        <v>0</v>
      </c>
      <c r="D13" s="28">
        <f>data1!D13/range*(2^resolution-1)</f>
        <v>0</v>
      </c>
      <c r="E13" s="28">
        <f>data1!E13/range*(2^resolution-1)</f>
        <v>0</v>
      </c>
      <c r="F13" s="28">
        <f>data1!F13/range*(2^resolution-1)</f>
        <v>0</v>
      </c>
      <c r="G13" s="28">
        <f>data1!G13/range*(2^resolution-1)</f>
        <v>0</v>
      </c>
      <c r="H13" s="28">
        <f>data1!H13/range*(2^resolution-1)</f>
        <v>0</v>
      </c>
      <c r="I13" s="28">
        <f>data1!I13/range*(2^resolution-1)</f>
        <v>0</v>
      </c>
      <c r="J13" s="28">
        <f>data1!J13/range*(2^resolution-1)</f>
        <v>0</v>
      </c>
      <c r="K13" s="28">
        <f>data1!K13/range*(2^resolution-1)</f>
        <v>0</v>
      </c>
      <c r="L13" s="28">
        <f>data1!L13/range*(2^resolution-1)</f>
        <v>0</v>
      </c>
      <c r="M13" s="28">
        <f>data1!M13/range*(2^resolution-1)</f>
        <v>0</v>
      </c>
      <c r="N13" s="28">
        <f>data1!N13/range*(2^resolution-1)</f>
        <v>0</v>
      </c>
      <c r="O13" s="28">
        <f>data1!O13/range*(2^resolution-1)</f>
        <v>0</v>
      </c>
      <c r="P13" s="28">
        <f>data1!P13/range*(2^resolution-1)</f>
        <v>0</v>
      </c>
      <c r="Q13" s="28">
        <f>data1!Q13/range*(2^resolution-1)</f>
        <v>0</v>
      </c>
      <c r="R13" s="28">
        <f>data1!R13/range*(2^resolution-1)</f>
        <v>0</v>
      </c>
      <c r="S13" s="28">
        <f>data1!S13/range*(2^resolution-1)</f>
        <v>0</v>
      </c>
      <c r="T13" s="28">
        <f>data1!T13/range*(2^resolution-1)</f>
        <v>0</v>
      </c>
      <c r="U13" s="28">
        <f>data1!U13/range*(2^resolution-1)</f>
        <v>0</v>
      </c>
      <c r="V13" s="28">
        <f>data1!V13/range*(2^resolution-1)</f>
        <v>0</v>
      </c>
      <c r="W13" s="28">
        <f>data1!W13/range*(2^resolution-1)</f>
        <v>0</v>
      </c>
      <c r="X13" s="28">
        <f>data1!X13/range*(2^resolution-1)</f>
        <v>0</v>
      </c>
      <c r="Y13" s="28">
        <f>data1!Y13/range*(2^resolution-1)</f>
        <v>0</v>
      </c>
      <c r="Z13" s="28">
        <f>data1!Z13/range*(2^resolution-1)</f>
        <v>0</v>
      </c>
      <c r="AA13" s="28">
        <f>data1!AA13/range*(2^resolution-1)</f>
        <v>0</v>
      </c>
      <c r="AB13" s="28">
        <f>data1!AB13/range*(2^resolution-1)</f>
        <v>0</v>
      </c>
      <c r="AC13" s="28">
        <f>data1!AC13/range*(2^resolution-1)</f>
        <v>0</v>
      </c>
      <c r="AD13" s="28">
        <f>data1!AD13/range*(2^resolution-1)</f>
        <v>0</v>
      </c>
      <c r="AE13" s="28">
        <f>data1!AE13/range*(2^resolution-1)</f>
        <v>0</v>
      </c>
      <c r="AF13" s="28">
        <f>data1!AF13/range*(2^resolution-1)</f>
        <v>0</v>
      </c>
      <c r="AG13" s="28">
        <f>data1!AG13/range*(2^resolution-1)</f>
        <v>0</v>
      </c>
    </row>
    <row r="14" spans="1:33">
      <c r="A14" s="29">
        <f>data0!A14</f>
        <v>-54</v>
      </c>
      <c r="B14" s="28">
        <f>data1!B14/range*(2^resolution-1)</f>
        <v>0</v>
      </c>
      <c r="C14" s="28">
        <f>data1!C14/range*(2^resolution-1)</f>
        <v>0</v>
      </c>
      <c r="D14" s="28">
        <f>data1!D14/range*(2^resolution-1)</f>
        <v>0</v>
      </c>
      <c r="E14" s="28">
        <f>data1!E14/range*(2^resolution-1)</f>
        <v>0</v>
      </c>
      <c r="F14" s="28">
        <f>data1!F14/range*(2^resolution-1)</f>
        <v>0</v>
      </c>
      <c r="G14" s="28">
        <f>data1!G14/range*(2^resolution-1)</f>
        <v>0</v>
      </c>
      <c r="H14" s="28">
        <f>data1!H14/range*(2^resolution-1)</f>
        <v>0</v>
      </c>
      <c r="I14" s="28">
        <f>data1!I14/range*(2^resolution-1)</f>
        <v>0</v>
      </c>
      <c r="J14" s="28">
        <f>data1!J14/range*(2^resolution-1)</f>
        <v>0</v>
      </c>
      <c r="K14" s="28">
        <f>data1!K14/range*(2^resolution-1)</f>
        <v>0</v>
      </c>
      <c r="L14" s="28">
        <f>data1!L14/range*(2^resolution-1)</f>
        <v>0</v>
      </c>
      <c r="M14" s="28">
        <f>data1!M14/range*(2^resolution-1)</f>
        <v>0</v>
      </c>
      <c r="N14" s="28">
        <f>data1!N14/range*(2^resolution-1)</f>
        <v>0</v>
      </c>
      <c r="O14" s="28">
        <f>data1!O14/range*(2^resolution-1)</f>
        <v>0</v>
      </c>
      <c r="P14" s="28">
        <f>data1!P14/range*(2^resolution-1)</f>
        <v>0</v>
      </c>
      <c r="Q14" s="28">
        <f>data1!Q14/range*(2^resolution-1)</f>
        <v>0</v>
      </c>
      <c r="R14" s="28">
        <f>data1!R14/range*(2^resolution-1)</f>
        <v>0</v>
      </c>
      <c r="S14" s="28">
        <f>data1!S14/range*(2^resolution-1)</f>
        <v>0</v>
      </c>
      <c r="T14" s="28">
        <f>data1!T14/range*(2^resolution-1)</f>
        <v>0</v>
      </c>
      <c r="U14" s="28">
        <f>data1!U14/range*(2^resolution-1)</f>
        <v>0</v>
      </c>
      <c r="V14" s="28">
        <f>data1!V14/range*(2^resolution-1)</f>
        <v>0</v>
      </c>
      <c r="W14" s="28">
        <f>data1!W14/range*(2^resolution-1)</f>
        <v>0</v>
      </c>
      <c r="X14" s="28">
        <f>data1!X14/range*(2^resolution-1)</f>
        <v>0</v>
      </c>
      <c r="Y14" s="28">
        <f>data1!Y14/range*(2^resolution-1)</f>
        <v>0</v>
      </c>
      <c r="Z14" s="28">
        <f>data1!Z14/range*(2^resolution-1)</f>
        <v>0</v>
      </c>
      <c r="AA14" s="28">
        <f>data1!AA14/range*(2^resolution-1)</f>
        <v>0</v>
      </c>
      <c r="AB14" s="28">
        <f>data1!AB14/range*(2^resolution-1)</f>
        <v>0</v>
      </c>
      <c r="AC14" s="28">
        <f>data1!AC14/range*(2^resolution-1)</f>
        <v>0</v>
      </c>
      <c r="AD14" s="28">
        <f>data1!AD14/range*(2^resolution-1)</f>
        <v>0</v>
      </c>
      <c r="AE14" s="28">
        <f>data1!AE14/range*(2^resolution-1)</f>
        <v>0</v>
      </c>
      <c r="AF14" s="28">
        <f>data1!AF14/range*(2^resolution-1)</f>
        <v>0</v>
      </c>
      <c r="AG14" s="28">
        <f>data1!AG14/range*(2^resolution-1)</f>
        <v>0</v>
      </c>
    </row>
    <row r="15" spans="1:33">
      <c r="A15" s="29">
        <f>data0!A15</f>
        <v>-51</v>
      </c>
      <c r="B15" s="28">
        <f>data1!B15/range*(2^resolution-1)</f>
        <v>0</v>
      </c>
      <c r="C15" s="28">
        <f>data1!C15/range*(2^resolution-1)</f>
        <v>0</v>
      </c>
      <c r="D15" s="28">
        <f>data1!D15/range*(2^resolution-1)</f>
        <v>0</v>
      </c>
      <c r="E15" s="28">
        <f>data1!E15/range*(2^resolution-1)</f>
        <v>0</v>
      </c>
      <c r="F15" s="28">
        <f>data1!F15/range*(2^resolution-1)</f>
        <v>0</v>
      </c>
      <c r="G15" s="28">
        <f>data1!G15/range*(2^resolution-1)</f>
        <v>0</v>
      </c>
      <c r="H15" s="28">
        <f>data1!H15/range*(2^resolution-1)</f>
        <v>0</v>
      </c>
      <c r="I15" s="28">
        <f>data1!I15/range*(2^resolution-1)</f>
        <v>0</v>
      </c>
      <c r="J15" s="28">
        <f>data1!J15/range*(2^resolution-1)</f>
        <v>0</v>
      </c>
      <c r="K15" s="28">
        <f>data1!K15/range*(2^resolution-1)</f>
        <v>0</v>
      </c>
      <c r="L15" s="28">
        <f>data1!L15/range*(2^resolution-1)</f>
        <v>0</v>
      </c>
      <c r="M15" s="28">
        <f>data1!M15/range*(2^resolution-1)</f>
        <v>0</v>
      </c>
      <c r="N15" s="28">
        <f>data1!N15/range*(2^resolution-1)</f>
        <v>0</v>
      </c>
      <c r="O15" s="28">
        <f>data1!O15/range*(2^resolution-1)</f>
        <v>0</v>
      </c>
      <c r="P15" s="28">
        <f>data1!P15/range*(2^resolution-1)</f>
        <v>0</v>
      </c>
      <c r="Q15" s="28">
        <f>data1!Q15/range*(2^resolution-1)</f>
        <v>0</v>
      </c>
      <c r="R15" s="28">
        <f>data1!R15/range*(2^resolution-1)</f>
        <v>0</v>
      </c>
      <c r="S15" s="28">
        <f>data1!S15/range*(2^resolution-1)</f>
        <v>0</v>
      </c>
      <c r="T15" s="28">
        <f>data1!T15/range*(2^resolution-1)</f>
        <v>0</v>
      </c>
      <c r="U15" s="28">
        <f>data1!U15/range*(2^resolution-1)</f>
        <v>0</v>
      </c>
      <c r="V15" s="28">
        <f>data1!V15/range*(2^resolution-1)</f>
        <v>0</v>
      </c>
      <c r="W15" s="28">
        <f>data1!W15/range*(2^resolution-1)</f>
        <v>0</v>
      </c>
      <c r="X15" s="28">
        <f>data1!X15/range*(2^resolution-1)</f>
        <v>0</v>
      </c>
      <c r="Y15" s="28">
        <f>data1!Y15/range*(2^resolution-1)</f>
        <v>0</v>
      </c>
      <c r="Z15" s="28">
        <f>data1!Z15/range*(2^resolution-1)</f>
        <v>0</v>
      </c>
      <c r="AA15" s="28">
        <f>data1!AA15/range*(2^resolution-1)</f>
        <v>0</v>
      </c>
      <c r="AB15" s="28">
        <f>data1!AB15/range*(2^resolution-1)</f>
        <v>0</v>
      </c>
      <c r="AC15" s="28">
        <f>data1!AC15/range*(2^resolution-1)</f>
        <v>0</v>
      </c>
      <c r="AD15" s="28">
        <f>data1!AD15/range*(2^resolution-1)</f>
        <v>0</v>
      </c>
      <c r="AE15" s="28">
        <f>data1!AE15/range*(2^resolution-1)</f>
        <v>0</v>
      </c>
      <c r="AF15" s="28">
        <f>data1!AF15/range*(2^resolution-1)</f>
        <v>0</v>
      </c>
      <c r="AG15" s="28">
        <f>data1!AG15/range*(2^resolution-1)</f>
        <v>0</v>
      </c>
    </row>
    <row r="16" spans="1:33">
      <c r="A16" s="29">
        <f>data0!A16</f>
        <v>-48</v>
      </c>
      <c r="B16" s="28">
        <f>data1!B16/range*(2^resolution-1)</f>
        <v>0</v>
      </c>
      <c r="C16" s="28">
        <f>data1!C16/range*(2^resolution-1)</f>
        <v>0</v>
      </c>
      <c r="D16" s="28">
        <f>data1!D16/range*(2^resolution-1)</f>
        <v>0</v>
      </c>
      <c r="E16" s="28">
        <f>data1!E16/range*(2^resolution-1)</f>
        <v>0</v>
      </c>
      <c r="F16" s="28">
        <f>data1!F16/range*(2^resolution-1)</f>
        <v>0</v>
      </c>
      <c r="G16" s="28">
        <f>data1!G16/range*(2^resolution-1)</f>
        <v>0</v>
      </c>
      <c r="H16" s="28">
        <f>data1!H16/range*(2^resolution-1)</f>
        <v>0</v>
      </c>
      <c r="I16" s="28">
        <f>data1!I16/range*(2^resolution-1)</f>
        <v>0</v>
      </c>
      <c r="J16" s="28">
        <f>data1!J16/range*(2^resolution-1)</f>
        <v>0</v>
      </c>
      <c r="K16" s="28">
        <f>data1!K16/range*(2^resolution-1)</f>
        <v>0</v>
      </c>
      <c r="L16" s="28">
        <f>data1!L16/range*(2^resolution-1)</f>
        <v>0</v>
      </c>
      <c r="M16" s="28">
        <f>data1!M16/range*(2^resolution-1)</f>
        <v>0</v>
      </c>
      <c r="N16" s="28">
        <f>data1!N16/range*(2^resolution-1)</f>
        <v>0</v>
      </c>
      <c r="O16" s="28">
        <f>data1!O16/range*(2^resolution-1)</f>
        <v>0</v>
      </c>
      <c r="P16" s="28">
        <f>data1!P16/range*(2^resolution-1)</f>
        <v>0</v>
      </c>
      <c r="Q16" s="28">
        <f>data1!Q16/range*(2^resolution-1)</f>
        <v>0</v>
      </c>
      <c r="R16" s="28">
        <f>data1!R16/range*(2^resolution-1)</f>
        <v>0</v>
      </c>
      <c r="S16" s="28">
        <f>data1!S16/range*(2^resolution-1)</f>
        <v>0</v>
      </c>
      <c r="T16" s="28">
        <f>data1!T16/range*(2^resolution-1)</f>
        <v>0</v>
      </c>
      <c r="U16" s="28">
        <f>data1!U16/range*(2^resolution-1)</f>
        <v>0</v>
      </c>
      <c r="V16" s="28">
        <f>data1!V16/range*(2^resolution-1)</f>
        <v>0</v>
      </c>
      <c r="W16" s="28">
        <f>data1!W16/range*(2^resolution-1)</f>
        <v>0</v>
      </c>
      <c r="X16" s="28">
        <f>data1!X16/range*(2^resolution-1)</f>
        <v>0</v>
      </c>
      <c r="Y16" s="28">
        <f>data1!Y16/range*(2^resolution-1)</f>
        <v>0</v>
      </c>
      <c r="Z16" s="28">
        <f>data1!Z16/range*(2^resolution-1)</f>
        <v>0</v>
      </c>
      <c r="AA16" s="28">
        <f>data1!AA16/range*(2^resolution-1)</f>
        <v>0</v>
      </c>
      <c r="AB16" s="28">
        <f>data1!AB16/range*(2^resolution-1)</f>
        <v>0</v>
      </c>
      <c r="AC16" s="28">
        <f>data1!AC16/range*(2^resolution-1)</f>
        <v>0</v>
      </c>
      <c r="AD16" s="28">
        <f>data1!AD16/range*(2^resolution-1)</f>
        <v>0</v>
      </c>
      <c r="AE16" s="28">
        <f>data1!AE16/range*(2^resolution-1)</f>
        <v>0</v>
      </c>
      <c r="AF16" s="28">
        <f>data1!AF16/range*(2^resolution-1)</f>
        <v>0</v>
      </c>
      <c r="AG16" s="28">
        <f>data1!AG16/range*(2^resolution-1)</f>
        <v>0</v>
      </c>
    </row>
    <row r="17" spans="1:33">
      <c r="A17" s="29">
        <f>data0!A17</f>
        <v>-45</v>
      </c>
      <c r="B17" s="28">
        <f>data1!B17/range*(2^resolution-1)</f>
        <v>0</v>
      </c>
      <c r="C17" s="28">
        <f>data1!C17/range*(2^resolution-1)</f>
        <v>0</v>
      </c>
      <c r="D17" s="28">
        <f>data1!D17/range*(2^resolution-1)</f>
        <v>0</v>
      </c>
      <c r="E17" s="28">
        <f>data1!E17/range*(2^resolution-1)</f>
        <v>0</v>
      </c>
      <c r="F17" s="28">
        <f>data1!F17/range*(2^resolution-1)</f>
        <v>0</v>
      </c>
      <c r="G17" s="28">
        <f>data1!G17/range*(2^resolution-1)</f>
        <v>0</v>
      </c>
      <c r="H17" s="28">
        <f>data1!H17/range*(2^resolution-1)</f>
        <v>0</v>
      </c>
      <c r="I17" s="28">
        <f>data1!I17/range*(2^resolution-1)</f>
        <v>0</v>
      </c>
      <c r="J17" s="28">
        <f>data1!J17/range*(2^resolution-1)</f>
        <v>0</v>
      </c>
      <c r="K17" s="28">
        <f>data1!K17/range*(2^resolution-1)</f>
        <v>0</v>
      </c>
      <c r="L17" s="28">
        <f>data1!L17/range*(2^resolution-1)</f>
        <v>0</v>
      </c>
      <c r="M17" s="28">
        <f>data1!M17/range*(2^resolution-1)</f>
        <v>0</v>
      </c>
      <c r="N17" s="28">
        <f>data1!N17/range*(2^resolution-1)</f>
        <v>0</v>
      </c>
      <c r="O17" s="28">
        <f>data1!O17/range*(2^resolution-1)</f>
        <v>0</v>
      </c>
      <c r="P17" s="28">
        <f>data1!P17/range*(2^resolution-1)</f>
        <v>0</v>
      </c>
      <c r="Q17" s="28">
        <f>data1!Q17/range*(2^resolution-1)</f>
        <v>0</v>
      </c>
      <c r="R17" s="28">
        <f>data1!R17/range*(2^resolution-1)</f>
        <v>0</v>
      </c>
      <c r="S17" s="28">
        <f>data1!S17/range*(2^resolution-1)</f>
        <v>0</v>
      </c>
      <c r="T17" s="28">
        <f>data1!T17/range*(2^resolution-1)</f>
        <v>0</v>
      </c>
      <c r="U17" s="28">
        <f>data1!U17/range*(2^resolution-1)</f>
        <v>0</v>
      </c>
      <c r="V17" s="28">
        <f>data1!V17/range*(2^resolution-1)</f>
        <v>0</v>
      </c>
      <c r="W17" s="28">
        <f>data1!W17/range*(2^resolution-1)</f>
        <v>0</v>
      </c>
      <c r="X17" s="28">
        <f>data1!X17/range*(2^resolution-1)</f>
        <v>0</v>
      </c>
      <c r="Y17" s="28">
        <f>data1!Y17/range*(2^resolution-1)</f>
        <v>0</v>
      </c>
      <c r="Z17" s="28">
        <f>data1!Z17/range*(2^resolution-1)</f>
        <v>0</v>
      </c>
      <c r="AA17" s="28">
        <f>data1!AA17/range*(2^resolution-1)</f>
        <v>0</v>
      </c>
      <c r="AB17" s="28">
        <f>data1!AB17/range*(2^resolution-1)</f>
        <v>0</v>
      </c>
      <c r="AC17" s="28">
        <f>data1!AC17/range*(2^resolution-1)</f>
        <v>0</v>
      </c>
      <c r="AD17" s="28">
        <f>data1!AD17/range*(2^resolution-1)</f>
        <v>0</v>
      </c>
      <c r="AE17" s="28">
        <f>data1!AE17/range*(2^resolution-1)</f>
        <v>0</v>
      </c>
      <c r="AF17" s="28">
        <f>data1!AF17/range*(2^resolution-1)</f>
        <v>0</v>
      </c>
      <c r="AG17" s="28">
        <f>data1!AG17/range*(2^resolution-1)</f>
        <v>0</v>
      </c>
    </row>
    <row r="18" spans="1:33">
      <c r="A18" s="29">
        <f>data0!A18</f>
        <v>-42</v>
      </c>
      <c r="B18" s="28">
        <f>data1!B18/range*(2^resolution-1)</f>
        <v>0</v>
      </c>
      <c r="C18" s="28">
        <f>data1!C18/range*(2^resolution-1)</f>
        <v>0</v>
      </c>
      <c r="D18" s="28">
        <f>data1!D18/range*(2^resolution-1)</f>
        <v>0</v>
      </c>
      <c r="E18" s="28">
        <f>data1!E18/range*(2^resolution-1)</f>
        <v>0</v>
      </c>
      <c r="F18" s="28">
        <f>data1!F18/range*(2^resolution-1)</f>
        <v>0</v>
      </c>
      <c r="G18" s="28">
        <f>data1!G18/range*(2^resolution-1)</f>
        <v>0</v>
      </c>
      <c r="H18" s="28">
        <f>data1!H18/range*(2^resolution-1)</f>
        <v>0</v>
      </c>
      <c r="I18" s="28">
        <f>data1!I18/range*(2^resolution-1)</f>
        <v>0</v>
      </c>
      <c r="J18" s="28">
        <f>data1!J18/range*(2^resolution-1)</f>
        <v>0</v>
      </c>
      <c r="K18" s="28">
        <f>data1!K18/range*(2^resolution-1)</f>
        <v>0</v>
      </c>
      <c r="L18" s="28">
        <f>data1!L18/range*(2^resolution-1)</f>
        <v>0</v>
      </c>
      <c r="M18" s="28">
        <f>data1!M18/range*(2^resolution-1)</f>
        <v>0</v>
      </c>
      <c r="N18" s="28">
        <f>data1!N18/range*(2^resolution-1)</f>
        <v>0</v>
      </c>
      <c r="O18" s="28">
        <f>data1!O18/range*(2^resolution-1)</f>
        <v>0</v>
      </c>
      <c r="P18" s="28">
        <f>data1!P18/range*(2^resolution-1)</f>
        <v>0</v>
      </c>
      <c r="Q18" s="28">
        <f>data1!Q18/range*(2^resolution-1)</f>
        <v>0</v>
      </c>
      <c r="R18" s="28">
        <f>data1!R18/range*(2^resolution-1)</f>
        <v>0</v>
      </c>
      <c r="S18" s="28">
        <f>data1!S18/range*(2^resolution-1)</f>
        <v>0</v>
      </c>
      <c r="T18" s="28">
        <f>data1!T18/range*(2^resolution-1)</f>
        <v>0</v>
      </c>
      <c r="U18" s="28">
        <f>data1!U18/range*(2^resolution-1)</f>
        <v>0</v>
      </c>
      <c r="V18" s="28">
        <f>data1!V18/range*(2^resolution-1)</f>
        <v>0</v>
      </c>
      <c r="W18" s="28">
        <f>data1!W18/range*(2^resolution-1)</f>
        <v>0</v>
      </c>
      <c r="X18" s="28">
        <f>data1!X18/range*(2^resolution-1)</f>
        <v>0</v>
      </c>
      <c r="Y18" s="28">
        <f>data1!Y18/range*(2^resolution-1)</f>
        <v>0</v>
      </c>
      <c r="Z18" s="28">
        <f>data1!Z18/range*(2^resolution-1)</f>
        <v>0</v>
      </c>
      <c r="AA18" s="28">
        <f>data1!AA18/range*(2^resolution-1)</f>
        <v>0</v>
      </c>
      <c r="AB18" s="28">
        <f>data1!AB18/range*(2^resolution-1)</f>
        <v>0</v>
      </c>
      <c r="AC18" s="28">
        <f>data1!AC18/range*(2^resolution-1)</f>
        <v>0</v>
      </c>
      <c r="AD18" s="28">
        <f>data1!AD18/range*(2^resolution-1)</f>
        <v>0</v>
      </c>
      <c r="AE18" s="28">
        <f>data1!AE18/range*(2^resolution-1)</f>
        <v>0</v>
      </c>
      <c r="AF18" s="28">
        <f>data1!AF18/range*(2^resolution-1)</f>
        <v>0</v>
      </c>
      <c r="AG18" s="28">
        <f>data1!AG18/range*(2^resolution-1)</f>
        <v>0</v>
      </c>
    </row>
    <row r="19" spans="1:33">
      <c r="A19" s="29">
        <f>data0!A19</f>
        <v>-39</v>
      </c>
      <c r="B19" s="28">
        <f>data1!B19/range*(2^resolution-1)</f>
        <v>0</v>
      </c>
      <c r="C19" s="28">
        <f>data1!C19/range*(2^resolution-1)</f>
        <v>0</v>
      </c>
      <c r="D19" s="28">
        <f>data1!D19/range*(2^resolution-1)</f>
        <v>0</v>
      </c>
      <c r="E19" s="28">
        <f>data1!E19/range*(2^resolution-1)</f>
        <v>0</v>
      </c>
      <c r="F19" s="28">
        <f>data1!F19/range*(2^resolution-1)</f>
        <v>0</v>
      </c>
      <c r="G19" s="28">
        <f>data1!G19/range*(2^resolution-1)</f>
        <v>0</v>
      </c>
      <c r="H19" s="28">
        <f>data1!H19/range*(2^resolution-1)</f>
        <v>0</v>
      </c>
      <c r="I19" s="28">
        <f>data1!I19/range*(2^resolution-1)</f>
        <v>0</v>
      </c>
      <c r="J19" s="28">
        <f>data1!J19/range*(2^resolution-1)</f>
        <v>0</v>
      </c>
      <c r="K19" s="28">
        <f>data1!K19/range*(2^resolution-1)</f>
        <v>0</v>
      </c>
      <c r="L19" s="28">
        <f>data1!L19/range*(2^resolution-1)</f>
        <v>0</v>
      </c>
      <c r="M19" s="28">
        <f>data1!M19/range*(2^resolution-1)</f>
        <v>0</v>
      </c>
      <c r="N19" s="28">
        <f>data1!N19/range*(2^resolution-1)</f>
        <v>0</v>
      </c>
      <c r="O19" s="28">
        <f>data1!O19/range*(2^resolution-1)</f>
        <v>0</v>
      </c>
      <c r="P19" s="28">
        <f>data1!P19/range*(2^resolution-1)</f>
        <v>0</v>
      </c>
      <c r="Q19" s="28">
        <f>data1!Q19/range*(2^resolution-1)</f>
        <v>0</v>
      </c>
      <c r="R19" s="28">
        <f>data1!R19/range*(2^resolution-1)</f>
        <v>0</v>
      </c>
      <c r="S19" s="28">
        <f>data1!S19/range*(2^resolution-1)</f>
        <v>0</v>
      </c>
      <c r="T19" s="28">
        <f>data1!T19/range*(2^resolution-1)</f>
        <v>0</v>
      </c>
      <c r="U19" s="28">
        <f>data1!U19/range*(2^resolution-1)</f>
        <v>0</v>
      </c>
      <c r="V19" s="28">
        <f>data1!V19/range*(2^resolution-1)</f>
        <v>0</v>
      </c>
      <c r="W19" s="28">
        <f>data1!W19/range*(2^resolution-1)</f>
        <v>0</v>
      </c>
      <c r="X19" s="28">
        <f>data1!X19/range*(2^resolution-1)</f>
        <v>0</v>
      </c>
      <c r="Y19" s="28">
        <f>data1!Y19/range*(2^resolution-1)</f>
        <v>0</v>
      </c>
      <c r="Z19" s="28">
        <f>data1!Z19/range*(2^resolution-1)</f>
        <v>0</v>
      </c>
      <c r="AA19" s="28">
        <f>data1!AA19/range*(2^resolution-1)</f>
        <v>0</v>
      </c>
      <c r="AB19" s="28">
        <f>data1!AB19/range*(2^resolution-1)</f>
        <v>0</v>
      </c>
      <c r="AC19" s="28">
        <f>data1!AC19/range*(2^resolution-1)</f>
        <v>0</v>
      </c>
      <c r="AD19" s="28">
        <f>data1!AD19/range*(2^resolution-1)</f>
        <v>0</v>
      </c>
      <c r="AE19" s="28">
        <f>data1!AE19/range*(2^resolution-1)</f>
        <v>0</v>
      </c>
      <c r="AF19" s="28">
        <f>data1!AF19/range*(2^resolution-1)</f>
        <v>0</v>
      </c>
      <c r="AG19" s="28">
        <f>data1!AG19/range*(2^resolution-1)</f>
        <v>0</v>
      </c>
    </row>
    <row r="20" spans="1:33">
      <c r="A20" s="29">
        <f>data0!A20</f>
        <v>-36</v>
      </c>
      <c r="B20" s="28">
        <f>data1!B20/range*(2^resolution-1)</f>
        <v>0</v>
      </c>
      <c r="C20" s="28">
        <f>data1!C20/range*(2^resolution-1)</f>
        <v>0</v>
      </c>
      <c r="D20" s="28">
        <f>data1!D20/range*(2^resolution-1)</f>
        <v>0</v>
      </c>
      <c r="E20" s="28">
        <f>data1!E20/range*(2^resolution-1)</f>
        <v>0</v>
      </c>
      <c r="F20" s="28">
        <f>data1!F20/range*(2^resolution-1)</f>
        <v>0</v>
      </c>
      <c r="G20" s="28">
        <f>data1!G20/range*(2^resolution-1)</f>
        <v>0</v>
      </c>
      <c r="H20" s="28">
        <f>data1!H20/range*(2^resolution-1)</f>
        <v>0</v>
      </c>
      <c r="I20" s="28">
        <f>data1!I20/range*(2^resolution-1)</f>
        <v>0</v>
      </c>
      <c r="J20" s="28">
        <f>data1!J20/range*(2^resolution-1)</f>
        <v>0</v>
      </c>
      <c r="K20" s="28">
        <f>data1!K20/range*(2^resolution-1)</f>
        <v>0</v>
      </c>
      <c r="L20" s="28">
        <f>data1!L20/range*(2^resolution-1)</f>
        <v>0</v>
      </c>
      <c r="M20" s="28">
        <f>data1!M20/range*(2^resolution-1)</f>
        <v>0</v>
      </c>
      <c r="N20" s="28">
        <f>data1!N20/range*(2^resolution-1)</f>
        <v>0</v>
      </c>
      <c r="O20" s="28">
        <f>data1!O20/range*(2^resolution-1)</f>
        <v>0</v>
      </c>
      <c r="P20" s="28">
        <f>data1!P20/range*(2^resolution-1)</f>
        <v>0</v>
      </c>
      <c r="Q20" s="28">
        <f>data1!Q20/range*(2^resolution-1)</f>
        <v>0</v>
      </c>
      <c r="R20" s="28">
        <f>data1!R20/range*(2^resolution-1)</f>
        <v>0</v>
      </c>
      <c r="S20" s="28">
        <f>data1!S20/range*(2^resolution-1)</f>
        <v>0</v>
      </c>
      <c r="T20" s="28">
        <f>data1!T20/range*(2^resolution-1)</f>
        <v>0</v>
      </c>
      <c r="U20" s="28">
        <f>data1!U20/range*(2^resolution-1)</f>
        <v>0</v>
      </c>
      <c r="V20" s="28">
        <f>data1!V20/range*(2^resolution-1)</f>
        <v>0</v>
      </c>
      <c r="W20" s="28">
        <f>data1!W20/range*(2^resolution-1)</f>
        <v>0</v>
      </c>
      <c r="X20" s="28">
        <f>data1!X20/range*(2^resolution-1)</f>
        <v>0</v>
      </c>
      <c r="Y20" s="28">
        <f>data1!Y20/range*(2^resolution-1)</f>
        <v>0</v>
      </c>
      <c r="Z20" s="28">
        <f>data1!Z20/range*(2^resolution-1)</f>
        <v>0</v>
      </c>
      <c r="AA20" s="28">
        <f>data1!AA20/range*(2^resolution-1)</f>
        <v>0</v>
      </c>
      <c r="AB20" s="28">
        <f>data1!AB20/range*(2^resolution-1)</f>
        <v>0</v>
      </c>
      <c r="AC20" s="28">
        <f>data1!AC20/range*(2^resolution-1)</f>
        <v>0</v>
      </c>
      <c r="AD20" s="28">
        <f>data1!AD20/range*(2^resolution-1)</f>
        <v>0</v>
      </c>
      <c r="AE20" s="28">
        <f>data1!AE20/range*(2^resolution-1)</f>
        <v>0</v>
      </c>
      <c r="AF20" s="28">
        <f>data1!AF20/range*(2^resolution-1)</f>
        <v>0</v>
      </c>
      <c r="AG20" s="28">
        <f>data1!AG20/range*(2^resolution-1)</f>
        <v>0</v>
      </c>
    </row>
    <row r="21" spans="1:33">
      <c r="A21" s="29">
        <f>data0!A21</f>
        <v>-33</v>
      </c>
      <c r="B21" s="28">
        <f>data1!B21/range*(2^resolution-1)</f>
        <v>0</v>
      </c>
      <c r="C21" s="28">
        <f>data1!C21/range*(2^resolution-1)</f>
        <v>0</v>
      </c>
      <c r="D21" s="28">
        <f>data1!D21/range*(2^resolution-1)</f>
        <v>0</v>
      </c>
      <c r="E21" s="28">
        <f>data1!E21/range*(2^resolution-1)</f>
        <v>0</v>
      </c>
      <c r="F21" s="28">
        <f>data1!F21/range*(2^resolution-1)</f>
        <v>0</v>
      </c>
      <c r="G21" s="28">
        <f>data1!G21/range*(2^resolution-1)</f>
        <v>0</v>
      </c>
      <c r="H21" s="28">
        <f>data1!H21/range*(2^resolution-1)</f>
        <v>0</v>
      </c>
      <c r="I21" s="28">
        <f>data1!I21/range*(2^resolution-1)</f>
        <v>0</v>
      </c>
      <c r="J21" s="28">
        <f>data1!J21/range*(2^resolution-1)</f>
        <v>0</v>
      </c>
      <c r="K21" s="28">
        <f>data1!K21/range*(2^resolution-1)</f>
        <v>0</v>
      </c>
      <c r="L21" s="28">
        <f>data1!L21/range*(2^resolution-1)</f>
        <v>0</v>
      </c>
      <c r="M21" s="28">
        <f>data1!M21/range*(2^resolution-1)</f>
        <v>0</v>
      </c>
      <c r="N21" s="28">
        <f>data1!N21/range*(2^resolution-1)</f>
        <v>0</v>
      </c>
      <c r="O21" s="28">
        <f>data1!O21/range*(2^resolution-1)</f>
        <v>0</v>
      </c>
      <c r="P21" s="28">
        <f>data1!P21/range*(2^resolution-1)</f>
        <v>0</v>
      </c>
      <c r="Q21" s="28">
        <f>data1!Q21/range*(2^resolution-1)</f>
        <v>0</v>
      </c>
      <c r="R21" s="28">
        <f>data1!R21/range*(2^resolution-1)</f>
        <v>0</v>
      </c>
      <c r="S21" s="28">
        <f>data1!S21/range*(2^resolution-1)</f>
        <v>0</v>
      </c>
      <c r="T21" s="28">
        <f>data1!T21/range*(2^resolution-1)</f>
        <v>0</v>
      </c>
      <c r="U21" s="28">
        <f>data1!U21/range*(2^resolution-1)</f>
        <v>0</v>
      </c>
      <c r="V21" s="28">
        <f>data1!V21/range*(2^resolution-1)</f>
        <v>0</v>
      </c>
      <c r="W21" s="28">
        <f>data1!W21/range*(2^resolution-1)</f>
        <v>0</v>
      </c>
      <c r="X21" s="28">
        <f>data1!X21/range*(2^resolution-1)</f>
        <v>0</v>
      </c>
      <c r="Y21" s="28">
        <f>data1!Y21/range*(2^resolution-1)</f>
        <v>0</v>
      </c>
      <c r="Z21" s="28">
        <f>data1!Z21/range*(2^resolution-1)</f>
        <v>0</v>
      </c>
      <c r="AA21" s="28">
        <f>data1!AA21/range*(2^resolution-1)</f>
        <v>0</v>
      </c>
      <c r="AB21" s="28">
        <f>data1!AB21/range*(2^resolution-1)</f>
        <v>0</v>
      </c>
      <c r="AC21" s="28">
        <f>data1!AC21/range*(2^resolution-1)</f>
        <v>0</v>
      </c>
      <c r="AD21" s="28">
        <f>data1!AD21/range*(2^resolution-1)</f>
        <v>0</v>
      </c>
      <c r="AE21" s="28">
        <f>data1!AE21/range*(2^resolution-1)</f>
        <v>0</v>
      </c>
      <c r="AF21" s="28">
        <f>data1!AF21/range*(2^resolution-1)</f>
        <v>0</v>
      </c>
      <c r="AG21" s="28">
        <f>data1!AG21/range*(2^resolution-1)</f>
        <v>0</v>
      </c>
    </row>
    <row r="22" spans="1:33">
      <c r="A22" s="29">
        <f>data0!A22</f>
        <v>-30</v>
      </c>
      <c r="B22" s="28">
        <f>data1!B22/range*(2^resolution-1)</f>
        <v>0</v>
      </c>
      <c r="C22" s="28">
        <f>data1!C22/range*(2^resolution-1)</f>
        <v>0</v>
      </c>
      <c r="D22" s="28">
        <f>data1!D22/range*(2^resolution-1)</f>
        <v>0</v>
      </c>
      <c r="E22" s="28">
        <f>data1!E22/range*(2^resolution-1)</f>
        <v>0</v>
      </c>
      <c r="F22" s="28">
        <f>data1!F22/range*(2^resolution-1)</f>
        <v>0</v>
      </c>
      <c r="G22" s="28">
        <f>data1!G22/range*(2^resolution-1)</f>
        <v>0</v>
      </c>
      <c r="H22" s="28">
        <f>data1!H22/range*(2^resolution-1)</f>
        <v>0</v>
      </c>
      <c r="I22" s="28">
        <f>data1!I22/range*(2^resolution-1)</f>
        <v>0</v>
      </c>
      <c r="J22" s="28">
        <f>data1!J22/range*(2^resolution-1)</f>
        <v>0</v>
      </c>
      <c r="K22" s="28">
        <f>data1!K22/range*(2^resolution-1)</f>
        <v>0</v>
      </c>
      <c r="L22" s="28">
        <f>data1!L22/range*(2^resolution-1)</f>
        <v>0</v>
      </c>
      <c r="M22" s="28">
        <f>data1!M22/range*(2^resolution-1)</f>
        <v>0</v>
      </c>
      <c r="N22" s="28">
        <f>data1!N22/range*(2^resolution-1)</f>
        <v>0</v>
      </c>
      <c r="O22" s="28">
        <f>data1!O22/range*(2^resolution-1)</f>
        <v>0</v>
      </c>
      <c r="P22" s="28">
        <f>data1!P22/range*(2^resolution-1)</f>
        <v>0</v>
      </c>
      <c r="Q22" s="28">
        <f>data1!Q22/range*(2^resolution-1)</f>
        <v>0</v>
      </c>
      <c r="R22" s="28">
        <f>data1!R22/range*(2^resolution-1)</f>
        <v>0</v>
      </c>
      <c r="S22" s="28">
        <f>data1!S22/range*(2^resolution-1)</f>
        <v>0</v>
      </c>
      <c r="T22" s="28">
        <f>data1!T22/range*(2^resolution-1)</f>
        <v>0</v>
      </c>
      <c r="U22" s="28">
        <f>data1!U22/range*(2^resolution-1)</f>
        <v>0</v>
      </c>
      <c r="V22" s="28">
        <f>data1!V22/range*(2^resolution-1)</f>
        <v>0</v>
      </c>
      <c r="W22" s="28">
        <f>data1!W22/range*(2^resolution-1)</f>
        <v>0</v>
      </c>
      <c r="X22" s="28">
        <f>data1!X22/range*(2^resolution-1)</f>
        <v>0</v>
      </c>
      <c r="Y22" s="28">
        <f>data1!Y22/range*(2^resolution-1)</f>
        <v>0</v>
      </c>
      <c r="Z22" s="28">
        <f>data1!Z22/range*(2^resolution-1)</f>
        <v>0</v>
      </c>
      <c r="AA22" s="28">
        <f>data1!AA22/range*(2^resolution-1)</f>
        <v>0</v>
      </c>
      <c r="AB22" s="28">
        <f>data1!AB22/range*(2^resolution-1)</f>
        <v>0</v>
      </c>
      <c r="AC22" s="28">
        <f>data1!AC22/range*(2^resolution-1)</f>
        <v>0</v>
      </c>
      <c r="AD22" s="28">
        <f>data1!AD22/range*(2^resolution-1)</f>
        <v>0</v>
      </c>
      <c r="AE22" s="28">
        <f>data1!AE22/range*(2^resolution-1)</f>
        <v>0</v>
      </c>
      <c r="AF22" s="28">
        <f>data1!AF22/range*(2^resolution-1)</f>
        <v>0</v>
      </c>
      <c r="AG22" s="28">
        <f>data1!AG22/range*(2^resolution-1)</f>
        <v>0</v>
      </c>
    </row>
    <row r="23" spans="1:33">
      <c r="A23" s="29">
        <f>data0!A23</f>
        <v>-27</v>
      </c>
      <c r="B23" s="28">
        <f>data1!B23/range*(2^resolution-1)</f>
        <v>0</v>
      </c>
      <c r="C23" s="28">
        <f>data1!C23/range*(2^resolution-1)</f>
        <v>0</v>
      </c>
      <c r="D23" s="28">
        <f>data1!D23/range*(2^resolution-1)</f>
        <v>0</v>
      </c>
      <c r="E23" s="28">
        <f>data1!E23/range*(2^resolution-1)</f>
        <v>0</v>
      </c>
      <c r="F23" s="28">
        <f>data1!F23/range*(2^resolution-1)</f>
        <v>0</v>
      </c>
      <c r="G23" s="28">
        <f>data1!G23/range*(2^resolution-1)</f>
        <v>0</v>
      </c>
      <c r="H23" s="28">
        <f>data1!H23/range*(2^resolution-1)</f>
        <v>0</v>
      </c>
      <c r="I23" s="28">
        <f>data1!I23/range*(2^resolution-1)</f>
        <v>0</v>
      </c>
      <c r="J23" s="28">
        <f>data1!J23/range*(2^resolution-1)</f>
        <v>0</v>
      </c>
      <c r="K23" s="28">
        <f>data1!K23/range*(2^resolution-1)</f>
        <v>0</v>
      </c>
      <c r="L23" s="28">
        <f>data1!L23/range*(2^resolution-1)</f>
        <v>0</v>
      </c>
      <c r="M23" s="28">
        <f>data1!M23/range*(2^resolution-1)</f>
        <v>0</v>
      </c>
      <c r="N23" s="28">
        <f>data1!N23/range*(2^resolution-1)</f>
        <v>0</v>
      </c>
      <c r="O23" s="28">
        <f>data1!O23/range*(2^resolution-1)</f>
        <v>0</v>
      </c>
      <c r="P23" s="28">
        <f>data1!P23/range*(2^resolution-1)</f>
        <v>0</v>
      </c>
      <c r="Q23" s="28">
        <f>data1!Q23/range*(2^resolution-1)</f>
        <v>0</v>
      </c>
      <c r="R23" s="28">
        <f>data1!R23/range*(2^resolution-1)</f>
        <v>0</v>
      </c>
      <c r="S23" s="28">
        <f>data1!S23/range*(2^resolution-1)</f>
        <v>0</v>
      </c>
      <c r="T23" s="28">
        <f>data1!T23/range*(2^resolution-1)</f>
        <v>0</v>
      </c>
      <c r="U23" s="28">
        <f>data1!U23/range*(2^resolution-1)</f>
        <v>0</v>
      </c>
      <c r="V23" s="28">
        <f>data1!V23/range*(2^resolution-1)</f>
        <v>0</v>
      </c>
      <c r="W23" s="28">
        <f>data1!W23/range*(2^resolution-1)</f>
        <v>0</v>
      </c>
      <c r="X23" s="28">
        <f>data1!X23/range*(2^resolution-1)</f>
        <v>0</v>
      </c>
      <c r="Y23" s="28">
        <f>data1!Y23/range*(2^resolution-1)</f>
        <v>0</v>
      </c>
      <c r="Z23" s="28">
        <f>data1!Z23/range*(2^resolution-1)</f>
        <v>0</v>
      </c>
      <c r="AA23" s="28">
        <f>data1!AA23/range*(2^resolution-1)</f>
        <v>0</v>
      </c>
      <c r="AB23" s="28">
        <f>data1!AB23/range*(2^resolution-1)</f>
        <v>0</v>
      </c>
      <c r="AC23" s="28">
        <f>data1!AC23/range*(2^resolution-1)</f>
        <v>0</v>
      </c>
      <c r="AD23" s="28">
        <f>data1!AD23/range*(2^resolution-1)</f>
        <v>0</v>
      </c>
      <c r="AE23" s="28">
        <f>data1!AE23/range*(2^resolution-1)</f>
        <v>0</v>
      </c>
      <c r="AF23" s="28">
        <f>data1!AF23/range*(2^resolution-1)</f>
        <v>0</v>
      </c>
      <c r="AG23" s="28">
        <f>data1!AG23/range*(2^resolution-1)</f>
        <v>0</v>
      </c>
    </row>
    <row r="24" spans="1:33">
      <c r="A24" s="29">
        <f>data0!A24</f>
        <v>-24</v>
      </c>
      <c r="B24" s="28">
        <f>data1!B24/range*(2^resolution-1)</f>
        <v>0</v>
      </c>
      <c r="C24" s="28">
        <f>data1!C24/range*(2^resolution-1)</f>
        <v>0</v>
      </c>
      <c r="D24" s="28">
        <f>data1!D24/range*(2^resolution-1)</f>
        <v>0</v>
      </c>
      <c r="E24" s="28">
        <f>data1!E24/range*(2^resolution-1)</f>
        <v>0</v>
      </c>
      <c r="F24" s="28">
        <f>data1!F24/range*(2^resolution-1)</f>
        <v>0</v>
      </c>
      <c r="G24" s="28">
        <f>data1!G24/range*(2^resolution-1)</f>
        <v>0</v>
      </c>
      <c r="H24" s="28">
        <f>data1!H24/range*(2^resolution-1)</f>
        <v>0</v>
      </c>
      <c r="I24" s="28">
        <f>data1!I24/range*(2^resolution-1)</f>
        <v>0</v>
      </c>
      <c r="J24" s="28">
        <f>data1!J24/range*(2^resolution-1)</f>
        <v>0</v>
      </c>
      <c r="K24" s="28">
        <f>data1!K24/range*(2^resolution-1)</f>
        <v>0</v>
      </c>
      <c r="L24" s="28">
        <f>data1!L24/range*(2^resolution-1)</f>
        <v>0</v>
      </c>
      <c r="M24" s="28">
        <f>data1!M24/range*(2^resolution-1)</f>
        <v>0</v>
      </c>
      <c r="N24" s="28">
        <f>data1!N24/range*(2^resolution-1)</f>
        <v>0</v>
      </c>
      <c r="O24" s="28">
        <f>data1!O24/range*(2^resolution-1)</f>
        <v>0</v>
      </c>
      <c r="P24" s="28">
        <f>data1!P24/range*(2^resolution-1)</f>
        <v>0</v>
      </c>
      <c r="Q24" s="28">
        <f>data1!Q24/range*(2^resolution-1)</f>
        <v>0</v>
      </c>
      <c r="R24" s="28">
        <f>data1!R24/range*(2^resolution-1)</f>
        <v>0</v>
      </c>
      <c r="S24" s="28">
        <f>data1!S24/range*(2^resolution-1)</f>
        <v>0</v>
      </c>
      <c r="T24" s="28">
        <f>data1!T24/range*(2^resolution-1)</f>
        <v>0</v>
      </c>
      <c r="U24" s="28">
        <f>data1!U24/range*(2^resolution-1)</f>
        <v>0</v>
      </c>
      <c r="V24" s="28">
        <f>data1!V24/range*(2^resolution-1)</f>
        <v>0</v>
      </c>
      <c r="W24" s="28">
        <f>data1!W24/range*(2^resolution-1)</f>
        <v>0</v>
      </c>
      <c r="X24" s="28">
        <f>data1!X24/range*(2^resolution-1)</f>
        <v>0</v>
      </c>
      <c r="Y24" s="28">
        <f>data1!Y24/range*(2^resolution-1)</f>
        <v>0</v>
      </c>
      <c r="Z24" s="28">
        <f>data1!Z24/range*(2^resolution-1)</f>
        <v>0</v>
      </c>
      <c r="AA24" s="28">
        <f>data1!AA24/range*(2^resolution-1)</f>
        <v>0</v>
      </c>
      <c r="AB24" s="28">
        <f>data1!AB24/range*(2^resolution-1)</f>
        <v>0</v>
      </c>
      <c r="AC24" s="28">
        <f>data1!AC24/range*(2^resolution-1)</f>
        <v>0</v>
      </c>
      <c r="AD24" s="28">
        <f>data1!AD24/range*(2^resolution-1)</f>
        <v>0</v>
      </c>
      <c r="AE24" s="28">
        <f>data1!AE24/range*(2^resolution-1)</f>
        <v>0</v>
      </c>
      <c r="AF24" s="28">
        <f>data1!AF24/range*(2^resolution-1)</f>
        <v>0</v>
      </c>
      <c r="AG24" s="28">
        <f>data1!AG24/range*(2^resolution-1)</f>
        <v>0</v>
      </c>
    </row>
    <row r="25" spans="1:33">
      <c r="A25" s="29">
        <f>data0!A25</f>
        <v>-21</v>
      </c>
      <c r="B25" s="28">
        <f>data1!B25/range*(2^resolution-1)</f>
        <v>0</v>
      </c>
      <c r="C25" s="28">
        <f>data1!C25/range*(2^resolution-1)</f>
        <v>0</v>
      </c>
      <c r="D25" s="28">
        <f>data1!D25/range*(2^resolution-1)</f>
        <v>0</v>
      </c>
      <c r="E25" s="28">
        <f>data1!E25/range*(2^resolution-1)</f>
        <v>0</v>
      </c>
      <c r="F25" s="28">
        <f>data1!F25/range*(2^resolution-1)</f>
        <v>0</v>
      </c>
      <c r="G25" s="28">
        <f>data1!G25/range*(2^resolution-1)</f>
        <v>0</v>
      </c>
      <c r="H25" s="28">
        <f>data1!H25/range*(2^resolution-1)</f>
        <v>0</v>
      </c>
      <c r="I25" s="28">
        <f>data1!I25/range*(2^resolution-1)</f>
        <v>0</v>
      </c>
      <c r="J25" s="28">
        <f>data1!J25/range*(2^resolution-1)</f>
        <v>0</v>
      </c>
      <c r="K25" s="28">
        <f>data1!K25/range*(2^resolution-1)</f>
        <v>0</v>
      </c>
      <c r="L25" s="28">
        <f>data1!L25/range*(2^resolution-1)</f>
        <v>0</v>
      </c>
      <c r="M25" s="28">
        <f>data1!M25/range*(2^resolution-1)</f>
        <v>0</v>
      </c>
      <c r="N25" s="28">
        <f>data1!N25/range*(2^resolution-1)</f>
        <v>0</v>
      </c>
      <c r="O25" s="28">
        <f>data1!O25/range*(2^resolution-1)</f>
        <v>0</v>
      </c>
      <c r="P25" s="28">
        <f>data1!P25/range*(2^resolution-1)</f>
        <v>0</v>
      </c>
      <c r="Q25" s="28">
        <f>data1!Q25/range*(2^resolution-1)</f>
        <v>0</v>
      </c>
      <c r="R25" s="28">
        <f>data1!R25/range*(2^resolution-1)</f>
        <v>0</v>
      </c>
      <c r="S25" s="28">
        <f>data1!S25/range*(2^resolution-1)</f>
        <v>0</v>
      </c>
      <c r="T25" s="28">
        <f>data1!T25/range*(2^resolution-1)</f>
        <v>0</v>
      </c>
      <c r="U25" s="28">
        <f>data1!U25/range*(2^resolution-1)</f>
        <v>0</v>
      </c>
      <c r="V25" s="28">
        <f>data1!V25/range*(2^resolution-1)</f>
        <v>0</v>
      </c>
      <c r="W25" s="28">
        <f>data1!W25/range*(2^resolution-1)</f>
        <v>0</v>
      </c>
      <c r="X25" s="28">
        <f>data1!X25/range*(2^resolution-1)</f>
        <v>0</v>
      </c>
      <c r="Y25" s="28">
        <f>data1!Y25/range*(2^resolution-1)</f>
        <v>0</v>
      </c>
      <c r="Z25" s="28">
        <f>data1!Z25/range*(2^resolution-1)</f>
        <v>0</v>
      </c>
      <c r="AA25" s="28">
        <f>data1!AA25/range*(2^resolution-1)</f>
        <v>0</v>
      </c>
      <c r="AB25" s="28">
        <f>data1!AB25/range*(2^resolution-1)</f>
        <v>0</v>
      </c>
      <c r="AC25" s="28">
        <f>data1!AC25/range*(2^resolution-1)</f>
        <v>0</v>
      </c>
      <c r="AD25" s="28">
        <f>data1!AD25/range*(2^resolution-1)</f>
        <v>0</v>
      </c>
      <c r="AE25" s="28">
        <f>data1!AE25/range*(2^resolution-1)</f>
        <v>0</v>
      </c>
      <c r="AF25" s="28">
        <f>data1!AF25/range*(2^resolution-1)</f>
        <v>0</v>
      </c>
      <c r="AG25" s="28">
        <f>data1!AG25/range*(2^resolution-1)</f>
        <v>0</v>
      </c>
    </row>
    <row r="26" spans="1:33">
      <c r="A26" s="29">
        <f>data0!A26</f>
        <v>-18</v>
      </c>
      <c r="B26" s="28">
        <f>data1!B26/range*(2^resolution-1)</f>
        <v>0</v>
      </c>
      <c r="C26" s="28">
        <f>data1!C26/range*(2^resolution-1)</f>
        <v>0</v>
      </c>
      <c r="D26" s="28">
        <f>data1!D26/range*(2^resolution-1)</f>
        <v>0</v>
      </c>
      <c r="E26" s="28">
        <f>data1!E26/range*(2^resolution-1)</f>
        <v>0</v>
      </c>
      <c r="F26" s="28">
        <f>data1!F26/range*(2^resolution-1)</f>
        <v>0</v>
      </c>
      <c r="G26" s="28">
        <f>data1!G26/range*(2^resolution-1)</f>
        <v>0</v>
      </c>
      <c r="H26" s="28">
        <f>data1!H26/range*(2^resolution-1)</f>
        <v>0</v>
      </c>
      <c r="I26" s="28">
        <f>data1!I26/range*(2^resolution-1)</f>
        <v>0</v>
      </c>
      <c r="J26" s="28">
        <f>data1!J26/range*(2^resolution-1)</f>
        <v>0</v>
      </c>
      <c r="K26" s="28">
        <f>data1!K26/range*(2^resolution-1)</f>
        <v>0</v>
      </c>
      <c r="L26" s="28">
        <f>data1!L26/range*(2^resolution-1)</f>
        <v>0</v>
      </c>
      <c r="M26" s="28">
        <f>data1!M26/range*(2^resolution-1)</f>
        <v>0</v>
      </c>
      <c r="N26" s="28">
        <f>data1!N26/range*(2^resolution-1)</f>
        <v>0</v>
      </c>
      <c r="O26" s="28">
        <f>data1!O26/range*(2^resolution-1)</f>
        <v>0</v>
      </c>
      <c r="P26" s="28">
        <f>data1!P26/range*(2^resolution-1)</f>
        <v>0</v>
      </c>
      <c r="Q26" s="28">
        <f>data1!Q26/range*(2^resolution-1)</f>
        <v>0</v>
      </c>
      <c r="R26" s="28">
        <f>data1!R26/range*(2^resolution-1)</f>
        <v>0</v>
      </c>
      <c r="S26" s="28">
        <f>data1!S26/range*(2^resolution-1)</f>
        <v>0</v>
      </c>
      <c r="T26" s="28">
        <f>data1!T26/range*(2^resolution-1)</f>
        <v>0</v>
      </c>
      <c r="U26" s="28">
        <f>data1!U26/range*(2^resolution-1)</f>
        <v>0</v>
      </c>
      <c r="V26" s="28">
        <f>data1!V26/range*(2^resolution-1)</f>
        <v>0</v>
      </c>
      <c r="W26" s="28">
        <f>data1!W26/range*(2^resolution-1)</f>
        <v>0</v>
      </c>
      <c r="X26" s="28">
        <f>data1!X26/range*(2^resolution-1)</f>
        <v>0</v>
      </c>
      <c r="Y26" s="28">
        <f>data1!Y26/range*(2^resolution-1)</f>
        <v>0</v>
      </c>
      <c r="Z26" s="28">
        <f>data1!Z26/range*(2^resolution-1)</f>
        <v>0</v>
      </c>
      <c r="AA26" s="28">
        <f>data1!AA26/range*(2^resolution-1)</f>
        <v>0</v>
      </c>
      <c r="AB26" s="28">
        <f>data1!AB26/range*(2^resolution-1)</f>
        <v>0</v>
      </c>
      <c r="AC26" s="28">
        <f>data1!AC26/range*(2^resolution-1)</f>
        <v>0</v>
      </c>
      <c r="AD26" s="28">
        <f>data1!AD26/range*(2^resolution-1)</f>
        <v>0</v>
      </c>
      <c r="AE26" s="28">
        <f>data1!AE26/range*(2^resolution-1)</f>
        <v>0</v>
      </c>
      <c r="AF26" s="28">
        <f>data1!AF26/range*(2^resolution-1)</f>
        <v>0</v>
      </c>
      <c r="AG26" s="28">
        <f>data1!AG26/range*(2^resolution-1)</f>
        <v>0</v>
      </c>
    </row>
    <row r="27" spans="1:33">
      <c r="A27" s="29">
        <f>data0!A27</f>
        <v>-15</v>
      </c>
      <c r="B27" s="28">
        <f>data1!B27/range*(2^resolution-1)</f>
        <v>0</v>
      </c>
      <c r="C27" s="28">
        <f>data1!C27/range*(2^resolution-1)</f>
        <v>0</v>
      </c>
      <c r="D27" s="28">
        <f>data1!D27/range*(2^resolution-1)</f>
        <v>0</v>
      </c>
      <c r="E27" s="28">
        <f>data1!E27/range*(2^resolution-1)</f>
        <v>0</v>
      </c>
      <c r="F27" s="28">
        <f>data1!F27/range*(2^resolution-1)</f>
        <v>0</v>
      </c>
      <c r="G27" s="28">
        <f>data1!G27/range*(2^resolution-1)</f>
        <v>0</v>
      </c>
      <c r="H27" s="28">
        <f>data1!H27/range*(2^resolution-1)</f>
        <v>0</v>
      </c>
      <c r="I27" s="28">
        <f>data1!I27/range*(2^resolution-1)</f>
        <v>0</v>
      </c>
      <c r="J27" s="28">
        <f>data1!J27/range*(2^resolution-1)</f>
        <v>0</v>
      </c>
      <c r="K27" s="28">
        <f>data1!K27/range*(2^resolution-1)</f>
        <v>0</v>
      </c>
      <c r="L27" s="28">
        <f>data1!L27/range*(2^resolution-1)</f>
        <v>0</v>
      </c>
      <c r="M27" s="28">
        <f>data1!M27/range*(2^resolution-1)</f>
        <v>0</v>
      </c>
      <c r="N27" s="28">
        <f>data1!N27/range*(2^resolution-1)</f>
        <v>0</v>
      </c>
      <c r="O27" s="28">
        <f>data1!O27/range*(2^resolution-1)</f>
        <v>0</v>
      </c>
      <c r="P27" s="28">
        <f>data1!P27/range*(2^resolution-1)</f>
        <v>0</v>
      </c>
      <c r="Q27" s="28">
        <f>data1!Q27/range*(2^resolution-1)</f>
        <v>0</v>
      </c>
      <c r="R27" s="28">
        <f>data1!R27/range*(2^resolution-1)</f>
        <v>0</v>
      </c>
      <c r="S27" s="28">
        <f>data1!S27/range*(2^resolution-1)</f>
        <v>0</v>
      </c>
      <c r="T27" s="28">
        <f>data1!T27/range*(2^resolution-1)</f>
        <v>0</v>
      </c>
      <c r="U27" s="28">
        <f>data1!U27/range*(2^resolution-1)</f>
        <v>0</v>
      </c>
      <c r="V27" s="28">
        <f>data1!V27/range*(2^resolution-1)</f>
        <v>0</v>
      </c>
      <c r="W27" s="28">
        <f>data1!W27/range*(2^resolution-1)</f>
        <v>0</v>
      </c>
      <c r="X27" s="28">
        <f>data1!X27/range*(2^resolution-1)</f>
        <v>0</v>
      </c>
      <c r="Y27" s="28">
        <f>data1!Y27/range*(2^resolution-1)</f>
        <v>0</v>
      </c>
      <c r="Z27" s="28">
        <f>data1!Z27/range*(2^resolution-1)</f>
        <v>0</v>
      </c>
      <c r="AA27" s="28">
        <f>data1!AA27/range*(2^resolution-1)</f>
        <v>0</v>
      </c>
      <c r="AB27" s="28">
        <f>data1!AB27/range*(2^resolution-1)</f>
        <v>0</v>
      </c>
      <c r="AC27" s="28">
        <f>data1!AC27/range*(2^resolution-1)</f>
        <v>0</v>
      </c>
      <c r="AD27" s="28">
        <f>data1!AD27/range*(2^resolution-1)</f>
        <v>0</v>
      </c>
      <c r="AE27" s="28">
        <f>data1!AE27/range*(2^resolution-1)</f>
        <v>0</v>
      </c>
      <c r="AF27" s="28">
        <f>data1!AF27/range*(2^resolution-1)</f>
        <v>0</v>
      </c>
      <c r="AG27" s="28">
        <f>data1!AG27/range*(2^resolution-1)</f>
        <v>0</v>
      </c>
    </row>
    <row r="28" spans="1:33">
      <c r="A28" s="29">
        <f>data0!A28</f>
        <v>-12</v>
      </c>
      <c r="B28" s="28">
        <f>data1!B28/range*(2^resolution-1)</f>
        <v>0</v>
      </c>
      <c r="C28" s="28">
        <f>data1!C28/range*(2^resolution-1)</f>
        <v>0</v>
      </c>
      <c r="D28" s="28">
        <f>data1!D28/range*(2^resolution-1)</f>
        <v>0</v>
      </c>
      <c r="E28" s="28">
        <f>data1!E28/range*(2^resolution-1)</f>
        <v>0</v>
      </c>
      <c r="F28" s="28">
        <f>data1!F28/range*(2^resolution-1)</f>
        <v>0</v>
      </c>
      <c r="G28" s="28">
        <f>data1!G28/range*(2^resolution-1)</f>
        <v>0</v>
      </c>
      <c r="H28" s="28">
        <f>data1!H28/range*(2^resolution-1)</f>
        <v>0</v>
      </c>
      <c r="I28" s="28">
        <f>data1!I28/range*(2^resolution-1)</f>
        <v>0</v>
      </c>
      <c r="J28" s="28">
        <f>data1!J28/range*(2^resolution-1)</f>
        <v>0</v>
      </c>
      <c r="K28" s="28">
        <f>data1!K28/range*(2^resolution-1)</f>
        <v>0</v>
      </c>
      <c r="L28" s="28">
        <f>data1!L28/range*(2^resolution-1)</f>
        <v>0</v>
      </c>
      <c r="M28" s="28">
        <f>data1!M28/range*(2^resolution-1)</f>
        <v>0</v>
      </c>
      <c r="N28" s="28">
        <f>data1!N28/range*(2^resolution-1)</f>
        <v>0</v>
      </c>
      <c r="O28" s="28">
        <f>data1!O28/range*(2^resolution-1)</f>
        <v>0</v>
      </c>
      <c r="P28" s="28">
        <f>data1!P28/range*(2^resolution-1)</f>
        <v>0</v>
      </c>
      <c r="Q28" s="28">
        <f>data1!Q28/range*(2^resolution-1)</f>
        <v>0</v>
      </c>
      <c r="R28" s="28">
        <f>data1!R28/range*(2^resolution-1)</f>
        <v>0</v>
      </c>
      <c r="S28" s="28">
        <f>data1!S28/range*(2^resolution-1)</f>
        <v>0</v>
      </c>
      <c r="T28" s="28">
        <f>data1!T28/range*(2^resolution-1)</f>
        <v>0</v>
      </c>
      <c r="U28" s="28">
        <f>data1!U28/range*(2^resolution-1)</f>
        <v>0</v>
      </c>
      <c r="V28" s="28">
        <f>data1!V28/range*(2^resolution-1)</f>
        <v>0</v>
      </c>
      <c r="W28" s="28">
        <f>data1!W28/range*(2^resolution-1)</f>
        <v>0</v>
      </c>
      <c r="X28" s="28">
        <f>data1!X28/range*(2^resolution-1)</f>
        <v>0</v>
      </c>
      <c r="Y28" s="28">
        <f>data1!Y28/range*(2^resolution-1)</f>
        <v>0</v>
      </c>
      <c r="Z28" s="28">
        <f>data1!Z28/range*(2^resolution-1)</f>
        <v>0</v>
      </c>
      <c r="AA28" s="28">
        <f>data1!AA28/range*(2^resolution-1)</f>
        <v>0</v>
      </c>
      <c r="AB28" s="28">
        <f>data1!AB28/range*(2^resolution-1)</f>
        <v>0</v>
      </c>
      <c r="AC28" s="28">
        <f>data1!AC28/range*(2^resolution-1)</f>
        <v>0</v>
      </c>
      <c r="AD28" s="28">
        <f>data1!AD28/range*(2^resolution-1)</f>
        <v>0</v>
      </c>
      <c r="AE28" s="28">
        <f>data1!AE28/range*(2^resolution-1)</f>
        <v>0</v>
      </c>
      <c r="AF28" s="28">
        <f>data1!AF28/range*(2^resolution-1)</f>
        <v>0</v>
      </c>
      <c r="AG28" s="28">
        <f>data1!AG28/range*(2^resolution-1)</f>
        <v>0</v>
      </c>
    </row>
    <row r="29" spans="1:33">
      <c r="A29" s="29">
        <f>data0!A29</f>
        <v>-9</v>
      </c>
      <c r="B29" s="28">
        <f>data1!B29/range*(2^resolution-1)</f>
        <v>0</v>
      </c>
      <c r="C29" s="28">
        <f>data1!C29/range*(2^resolution-1)</f>
        <v>0</v>
      </c>
      <c r="D29" s="28">
        <f>data1!D29/range*(2^resolution-1)</f>
        <v>0</v>
      </c>
      <c r="E29" s="28">
        <f>data1!E29/range*(2^resolution-1)</f>
        <v>0</v>
      </c>
      <c r="F29" s="28">
        <f>data1!F29/range*(2^resolution-1)</f>
        <v>0</v>
      </c>
      <c r="G29" s="28">
        <f>data1!G29/range*(2^resolution-1)</f>
        <v>0</v>
      </c>
      <c r="H29" s="28">
        <f>data1!H29/range*(2^resolution-1)</f>
        <v>0</v>
      </c>
      <c r="I29" s="28">
        <f>data1!I29/range*(2^resolution-1)</f>
        <v>0</v>
      </c>
      <c r="J29" s="28">
        <f>data1!J29/range*(2^resolution-1)</f>
        <v>0</v>
      </c>
      <c r="K29" s="28">
        <f>data1!K29/range*(2^resolution-1)</f>
        <v>0</v>
      </c>
      <c r="L29" s="28">
        <f>data1!L29/range*(2^resolution-1)</f>
        <v>0</v>
      </c>
      <c r="M29" s="28">
        <f>data1!M29/range*(2^resolution-1)</f>
        <v>0</v>
      </c>
      <c r="N29" s="28">
        <f>data1!N29/range*(2^resolution-1)</f>
        <v>0</v>
      </c>
      <c r="O29" s="28">
        <f>data1!O29/range*(2^resolution-1)</f>
        <v>0</v>
      </c>
      <c r="P29" s="28">
        <f>data1!P29/range*(2^resolution-1)</f>
        <v>0</v>
      </c>
      <c r="Q29" s="28">
        <f>data1!Q29/range*(2^resolution-1)</f>
        <v>0</v>
      </c>
      <c r="R29" s="28">
        <f>data1!R29/range*(2^resolution-1)</f>
        <v>0</v>
      </c>
      <c r="S29" s="28">
        <f>data1!S29/range*(2^resolution-1)</f>
        <v>0</v>
      </c>
      <c r="T29" s="28">
        <f>data1!T29/range*(2^resolution-1)</f>
        <v>0</v>
      </c>
      <c r="U29" s="28">
        <f>data1!U29/range*(2^resolution-1)</f>
        <v>0</v>
      </c>
      <c r="V29" s="28">
        <f>data1!V29/range*(2^resolution-1)</f>
        <v>0</v>
      </c>
      <c r="W29" s="28">
        <f>data1!W29/range*(2^resolution-1)</f>
        <v>0</v>
      </c>
      <c r="X29" s="28">
        <f>data1!X29/range*(2^resolution-1)</f>
        <v>0</v>
      </c>
      <c r="Y29" s="28">
        <f>data1!Y29/range*(2^resolution-1)</f>
        <v>0</v>
      </c>
      <c r="Z29" s="28">
        <f>data1!Z29/range*(2^resolution-1)</f>
        <v>0</v>
      </c>
      <c r="AA29" s="28">
        <f>data1!AA29/range*(2^resolution-1)</f>
        <v>0</v>
      </c>
      <c r="AB29" s="28">
        <f>data1!AB29/range*(2^resolution-1)</f>
        <v>0</v>
      </c>
      <c r="AC29" s="28">
        <f>data1!AC29/range*(2^resolution-1)</f>
        <v>0</v>
      </c>
      <c r="AD29" s="28">
        <f>data1!AD29/range*(2^resolution-1)</f>
        <v>0</v>
      </c>
      <c r="AE29" s="28">
        <f>data1!AE29/range*(2^resolution-1)</f>
        <v>0</v>
      </c>
      <c r="AF29" s="28">
        <f>data1!AF29/range*(2^resolution-1)</f>
        <v>0</v>
      </c>
      <c r="AG29" s="28">
        <f>data1!AG29/range*(2^resolution-1)</f>
        <v>0</v>
      </c>
    </row>
    <row r="30" spans="1:33">
      <c r="A30" s="29">
        <f>data0!A30</f>
        <v>-6</v>
      </c>
      <c r="B30" s="28">
        <f>data1!B30/range*(2^resolution-1)</f>
        <v>0</v>
      </c>
      <c r="C30" s="28">
        <f>data1!C30/range*(2^resolution-1)</f>
        <v>0</v>
      </c>
      <c r="D30" s="28">
        <f>data1!D30/range*(2^resolution-1)</f>
        <v>0</v>
      </c>
      <c r="E30" s="28">
        <f>data1!E30/range*(2^resolution-1)</f>
        <v>0</v>
      </c>
      <c r="F30" s="28">
        <f>data1!F30/range*(2^resolution-1)</f>
        <v>0</v>
      </c>
      <c r="G30" s="28">
        <f>data1!G30/range*(2^resolution-1)</f>
        <v>0</v>
      </c>
      <c r="H30" s="28">
        <f>data1!H30/range*(2^resolution-1)</f>
        <v>0</v>
      </c>
      <c r="I30" s="28">
        <f>data1!I30/range*(2^resolution-1)</f>
        <v>0</v>
      </c>
      <c r="J30" s="28">
        <f>data1!J30/range*(2^resolution-1)</f>
        <v>0</v>
      </c>
      <c r="K30" s="28">
        <f>data1!K30/range*(2^resolution-1)</f>
        <v>0</v>
      </c>
      <c r="L30" s="28">
        <f>data1!L30/range*(2^resolution-1)</f>
        <v>0</v>
      </c>
      <c r="M30" s="28">
        <f>data1!M30/range*(2^resolution-1)</f>
        <v>0</v>
      </c>
      <c r="N30" s="28">
        <f>data1!N30/range*(2^resolution-1)</f>
        <v>0</v>
      </c>
      <c r="O30" s="28">
        <f>data1!O30/range*(2^resolution-1)</f>
        <v>0</v>
      </c>
      <c r="P30" s="28">
        <f>data1!P30/range*(2^resolution-1)</f>
        <v>0</v>
      </c>
      <c r="Q30" s="28">
        <f>data1!Q30/range*(2^resolution-1)</f>
        <v>0</v>
      </c>
      <c r="R30" s="28">
        <f>data1!R30/range*(2^resolution-1)</f>
        <v>0</v>
      </c>
      <c r="S30" s="28">
        <f>data1!S30/range*(2^resolution-1)</f>
        <v>0</v>
      </c>
      <c r="T30" s="28">
        <f>data1!T30/range*(2^resolution-1)</f>
        <v>0</v>
      </c>
      <c r="U30" s="28">
        <f>data1!U30/range*(2^resolution-1)</f>
        <v>0</v>
      </c>
      <c r="V30" s="28">
        <f>data1!V30/range*(2^resolution-1)</f>
        <v>0</v>
      </c>
      <c r="W30" s="28">
        <f>data1!W30/range*(2^resolution-1)</f>
        <v>0</v>
      </c>
      <c r="X30" s="28">
        <f>data1!X30/range*(2^resolution-1)</f>
        <v>0</v>
      </c>
      <c r="Y30" s="28">
        <f>data1!Y30/range*(2^resolution-1)</f>
        <v>0</v>
      </c>
      <c r="Z30" s="28">
        <f>data1!Z30/range*(2^resolution-1)</f>
        <v>0</v>
      </c>
      <c r="AA30" s="28">
        <f>data1!AA30/range*(2^resolution-1)</f>
        <v>0</v>
      </c>
      <c r="AB30" s="28">
        <f>data1!AB30/range*(2^resolution-1)</f>
        <v>0</v>
      </c>
      <c r="AC30" s="28">
        <f>data1!AC30/range*(2^resolution-1)</f>
        <v>0</v>
      </c>
      <c r="AD30" s="28">
        <f>data1!AD30/range*(2^resolution-1)</f>
        <v>0</v>
      </c>
      <c r="AE30" s="28">
        <f>data1!AE30/range*(2^resolution-1)</f>
        <v>0</v>
      </c>
      <c r="AF30" s="28">
        <f>data1!AF30/range*(2^resolution-1)</f>
        <v>0</v>
      </c>
      <c r="AG30" s="28">
        <f>data1!AG30/range*(2^resolution-1)</f>
        <v>0</v>
      </c>
    </row>
    <row r="31" spans="1:33">
      <c r="A31" s="29">
        <f>data0!A31</f>
        <v>-3</v>
      </c>
      <c r="B31" s="28">
        <f>data1!B31/range*(2^resolution-1)</f>
        <v>0</v>
      </c>
      <c r="C31" s="28">
        <f>data1!C31/range*(2^resolution-1)</f>
        <v>0</v>
      </c>
      <c r="D31" s="28">
        <f>data1!D31/range*(2^resolution-1)</f>
        <v>0</v>
      </c>
      <c r="E31" s="28">
        <f>data1!E31/range*(2^resolution-1)</f>
        <v>0</v>
      </c>
      <c r="F31" s="28">
        <f>data1!F31/range*(2^resolution-1)</f>
        <v>0</v>
      </c>
      <c r="G31" s="28">
        <f>data1!G31/range*(2^resolution-1)</f>
        <v>0</v>
      </c>
      <c r="H31" s="28">
        <f>data1!H31/range*(2^resolution-1)</f>
        <v>0</v>
      </c>
      <c r="I31" s="28">
        <f>data1!I31/range*(2^resolution-1)</f>
        <v>0</v>
      </c>
      <c r="J31" s="28">
        <f>data1!J31/range*(2^resolution-1)</f>
        <v>0</v>
      </c>
      <c r="K31" s="28">
        <f>data1!K31/range*(2^resolution-1)</f>
        <v>0</v>
      </c>
      <c r="L31" s="28">
        <f>data1!L31/range*(2^resolution-1)</f>
        <v>0</v>
      </c>
      <c r="M31" s="28">
        <f>data1!M31/range*(2^resolution-1)</f>
        <v>0</v>
      </c>
      <c r="N31" s="28">
        <f>data1!N31/range*(2^resolution-1)</f>
        <v>0</v>
      </c>
      <c r="O31" s="28">
        <f>data1!O31/range*(2^resolution-1)</f>
        <v>0</v>
      </c>
      <c r="P31" s="28">
        <f>data1!P31/range*(2^resolution-1)</f>
        <v>0</v>
      </c>
      <c r="Q31" s="28">
        <f>data1!Q31/range*(2^resolution-1)</f>
        <v>0</v>
      </c>
      <c r="R31" s="28">
        <f>data1!R31/range*(2^resolution-1)</f>
        <v>0</v>
      </c>
      <c r="S31" s="28">
        <f>data1!S31/range*(2^resolution-1)</f>
        <v>0</v>
      </c>
      <c r="T31" s="28">
        <f>data1!T31/range*(2^resolution-1)</f>
        <v>0</v>
      </c>
      <c r="U31" s="28">
        <f>data1!U31/range*(2^resolution-1)</f>
        <v>0</v>
      </c>
      <c r="V31" s="28">
        <f>data1!V31/range*(2^resolution-1)</f>
        <v>0</v>
      </c>
      <c r="W31" s="28">
        <f>data1!W31/range*(2^resolution-1)</f>
        <v>0</v>
      </c>
      <c r="X31" s="28">
        <f>data1!X31/range*(2^resolution-1)</f>
        <v>0</v>
      </c>
      <c r="Y31" s="28">
        <f>data1!Y31/range*(2^resolution-1)</f>
        <v>0</v>
      </c>
      <c r="Z31" s="28">
        <f>data1!Z31/range*(2^resolution-1)</f>
        <v>0</v>
      </c>
      <c r="AA31" s="28">
        <f>data1!AA31/range*(2^resolution-1)</f>
        <v>0</v>
      </c>
      <c r="AB31" s="28">
        <f>data1!AB31/range*(2^resolution-1)</f>
        <v>0</v>
      </c>
      <c r="AC31" s="28">
        <f>data1!AC31/range*(2^resolution-1)</f>
        <v>0</v>
      </c>
      <c r="AD31" s="28">
        <f>data1!AD31/range*(2^resolution-1)</f>
        <v>0</v>
      </c>
      <c r="AE31" s="28">
        <f>data1!AE31/range*(2^resolution-1)</f>
        <v>0</v>
      </c>
      <c r="AF31" s="28">
        <f>data1!AF31/range*(2^resolution-1)</f>
        <v>0</v>
      </c>
      <c r="AG31" s="28">
        <f>data1!AG31/range*(2^resolution-1)</f>
        <v>0</v>
      </c>
    </row>
    <row r="32" spans="1:33">
      <c r="A32" s="29">
        <f>data0!A32</f>
        <v>0</v>
      </c>
      <c r="B32" s="28">
        <f>data1!B32/range*(2^resolution-1)</f>
        <v>0</v>
      </c>
      <c r="C32" s="28">
        <f>data1!C32/range*(2^resolution-1)</f>
        <v>0</v>
      </c>
      <c r="D32" s="28">
        <f>data1!D32/range*(2^resolution-1)</f>
        <v>0</v>
      </c>
      <c r="E32" s="28">
        <f>data1!E32/range*(2^resolution-1)</f>
        <v>0</v>
      </c>
      <c r="F32" s="28">
        <f>data1!F32/range*(2^resolution-1)</f>
        <v>0</v>
      </c>
      <c r="G32" s="28">
        <f>data1!G32/range*(2^resolution-1)</f>
        <v>0</v>
      </c>
      <c r="H32" s="28">
        <f>data1!H32/range*(2^resolution-1)</f>
        <v>0</v>
      </c>
      <c r="I32" s="28">
        <f>data1!I32/range*(2^resolution-1)</f>
        <v>0</v>
      </c>
      <c r="J32" s="28">
        <f>data1!J32/range*(2^resolution-1)</f>
        <v>0</v>
      </c>
      <c r="K32" s="28">
        <f>data1!K32/range*(2^resolution-1)</f>
        <v>0</v>
      </c>
      <c r="L32" s="28">
        <f>data1!L32/range*(2^resolution-1)</f>
        <v>0</v>
      </c>
      <c r="M32" s="28">
        <f>data1!M32/range*(2^resolution-1)</f>
        <v>0</v>
      </c>
      <c r="N32" s="28">
        <f>data1!N32/range*(2^resolution-1)</f>
        <v>0</v>
      </c>
      <c r="O32" s="28">
        <f>data1!O32/range*(2^resolution-1)</f>
        <v>0</v>
      </c>
      <c r="P32" s="28">
        <f>data1!P32/range*(2^resolution-1)</f>
        <v>0</v>
      </c>
      <c r="Q32" s="28">
        <f>data1!Q32/range*(2^resolution-1)</f>
        <v>0</v>
      </c>
      <c r="R32" s="28">
        <f>data1!R32/range*(2^resolution-1)</f>
        <v>0</v>
      </c>
      <c r="S32" s="28">
        <f>data1!S32/range*(2^resolution-1)</f>
        <v>0</v>
      </c>
      <c r="T32" s="28">
        <f>data1!T32/range*(2^resolution-1)</f>
        <v>0</v>
      </c>
      <c r="U32" s="28">
        <f>data1!U32/range*(2^resolution-1)</f>
        <v>0</v>
      </c>
      <c r="V32" s="28">
        <f>data1!V32/range*(2^resolution-1)</f>
        <v>0</v>
      </c>
      <c r="W32" s="28">
        <f>data1!W32/range*(2^resolution-1)</f>
        <v>0</v>
      </c>
      <c r="X32" s="28">
        <f>data1!X32/range*(2^resolution-1)</f>
        <v>0</v>
      </c>
      <c r="Y32" s="28">
        <f>data1!Y32/range*(2^resolution-1)</f>
        <v>0</v>
      </c>
      <c r="Z32" s="28">
        <f>data1!Z32/range*(2^resolution-1)</f>
        <v>0</v>
      </c>
      <c r="AA32" s="28">
        <f>data1!AA32/range*(2^resolution-1)</f>
        <v>0</v>
      </c>
      <c r="AB32" s="28">
        <f>data1!AB32/range*(2^resolution-1)</f>
        <v>0</v>
      </c>
      <c r="AC32" s="28">
        <f>data1!AC32/range*(2^resolution-1)</f>
        <v>0</v>
      </c>
      <c r="AD32" s="28">
        <f>data1!AD32/range*(2^resolution-1)</f>
        <v>0</v>
      </c>
      <c r="AE32" s="28">
        <f>data1!AE32/range*(2^resolution-1)</f>
        <v>0</v>
      </c>
      <c r="AF32" s="28">
        <f>data1!AF32/range*(2^resolution-1)</f>
        <v>0</v>
      </c>
      <c r="AG32" s="28">
        <f>data1!AG32/range*(2^resolution-1)</f>
        <v>0</v>
      </c>
    </row>
    <row r="33" spans="1:33">
      <c r="A33" s="29">
        <f>data0!A33</f>
        <v>3</v>
      </c>
      <c r="B33" s="28">
        <f>data1!B33/range*(2^resolution-1)</f>
        <v>0</v>
      </c>
      <c r="C33" s="28">
        <f>data1!C33/range*(2^resolution-1)</f>
        <v>0</v>
      </c>
      <c r="D33" s="28">
        <f>data1!D33/range*(2^resolution-1)</f>
        <v>0</v>
      </c>
      <c r="E33" s="28">
        <f>data1!E33/range*(2^resolution-1)</f>
        <v>0</v>
      </c>
      <c r="F33" s="28">
        <f>data1!F33/range*(2^resolution-1)</f>
        <v>0</v>
      </c>
      <c r="G33" s="28">
        <f>data1!G33/range*(2^resolution-1)</f>
        <v>0</v>
      </c>
      <c r="H33" s="28">
        <f>data1!H33/range*(2^resolution-1)</f>
        <v>0</v>
      </c>
      <c r="I33" s="28">
        <f>data1!I33/range*(2^resolution-1)</f>
        <v>0</v>
      </c>
      <c r="J33" s="28">
        <f>data1!J33/range*(2^resolution-1)</f>
        <v>0</v>
      </c>
      <c r="K33" s="28">
        <f>data1!K33/range*(2^resolution-1)</f>
        <v>0</v>
      </c>
      <c r="L33" s="28">
        <f>data1!L33/range*(2^resolution-1)</f>
        <v>0</v>
      </c>
      <c r="M33" s="28">
        <f>data1!M33/range*(2^resolution-1)</f>
        <v>0</v>
      </c>
      <c r="N33" s="28">
        <f>data1!N33/range*(2^resolution-1)</f>
        <v>0</v>
      </c>
      <c r="O33" s="28">
        <f>data1!O33/range*(2^resolution-1)</f>
        <v>0</v>
      </c>
      <c r="P33" s="28">
        <f>data1!P33/range*(2^resolution-1)</f>
        <v>0</v>
      </c>
      <c r="Q33" s="28">
        <f>data1!Q33/range*(2^resolution-1)</f>
        <v>0</v>
      </c>
      <c r="R33" s="28">
        <f>data1!R33/range*(2^resolution-1)</f>
        <v>0</v>
      </c>
      <c r="S33" s="28">
        <f>data1!S33/range*(2^resolution-1)</f>
        <v>0</v>
      </c>
      <c r="T33" s="28">
        <f>data1!T33/range*(2^resolution-1)</f>
        <v>0</v>
      </c>
      <c r="U33" s="28">
        <f>data1!U33/range*(2^resolution-1)</f>
        <v>0</v>
      </c>
      <c r="V33" s="28">
        <f>data1!V33/range*(2^resolution-1)</f>
        <v>0</v>
      </c>
      <c r="W33" s="28">
        <f>data1!W33/range*(2^resolution-1)</f>
        <v>0</v>
      </c>
      <c r="X33" s="28">
        <f>data1!X33/range*(2^resolution-1)</f>
        <v>0</v>
      </c>
      <c r="Y33" s="28">
        <f>data1!Y33/range*(2^resolution-1)</f>
        <v>0</v>
      </c>
      <c r="Z33" s="28">
        <f>data1!Z33/range*(2^resolution-1)</f>
        <v>0</v>
      </c>
      <c r="AA33" s="28">
        <f>data1!AA33/range*(2^resolution-1)</f>
        <v>0</v>
      </c>
      <c r="AB33" s="28">
        <f>data1!AB33/range*(2^resolution-1)</f>
        <v>0</v>
      </c>
      <c r="AC33" s="28">
        <f>data1!AC33/range*(2^resolution-1)</f>
        <v>0</v>
      </c>
      <c r="AD33" s="28">
        <f>data1!AD33/range*(2^resolution-1)</f>
        <v>0</v>
      </c>
      <c r="AE33" s="28">
        <f>data1!AE33/range*(2^resolution-1)</f>
        <v>0</v>
      </c>
      <c r="AF33" s="28">
        <f>data1!AF33/range*(2^resolution-1)</f>
        <v>0</v>
      </c>
      <c r="AG33" s="28">
        <f>data1!AG33/range*(2^resolution-1)</f>
        <v>0</v>
      </c>
    </row>
    <row r="34" spans="1:33">
      <c r="A34" s="29">
        <f>data0!A34</f>
        <v>6</v>
      </c>
      <c r="B34" s="28">
        <f>data1!B34/range*(2^resolution-1)</f>
        <v>0</v>
      </c>
      <c r="C34" s="28">
        <f>data1!C34/range*(2^resolution-1)</f>
        <v>0</v>
      </c>
      <c r="D34" s="28">
        <f>data1!D34/range*(2^resolution-1)</f>
        <v>0</v>
      </c>
      <c r="E34" s="28">
        <f>data1!E34/range*(2^resolution-1)</f>
        <v>0</v>
      </c>
      <c r="F34" s="28">
        <f>data1!F34/range*(2^resolution-1)</f>
        <v>0</v>
      </c>
      <c r="G34" s="28">
        <f>data1!G34/range*(2^resolution-1)</f>
        <v>0</v>
      </c>
      <c r="H34" s="28">
        <f>data1!H34/range*(2^resolution-1)</f>
        <v>0</v>
      </c>
      <c r="I34" s="28">
        <f>data1!I34/range*(2^resolution-1)</f>
        <v>0</v>
      </c>
      <c r="J34" s="28">
        <f>data1!J34/range*(2^resolution-1)</f>
        <v>0</v>
      </c>
      <c r="K34" s="28">
        <f>data1!K34/range*(2^resolution-1)</f>
        <v>0</v>
      </c>
      <c r="L34" s="28">
        <f>data1!L34/range*(2^resolution-1)</f>
        <v>0</v>
      </c>
      <c r="M34" s="28">
        <f>data1!M34/range*(2^resolution-1)</f>
        <v>0</v>
      </c>
      <c r="N34" s="28">
        <f>data1!N34/range*(2^resolution-1)</f>
        <v>0</v>
      </c>
      <c r="O34" s="28">
        <f>data1!O34/range*(2^resolution-1)</f>
        <v>0</v>
      </c>
      <c r="P34" s="28">
        <f>data1!P34/range*(2^resolution-1)</f>
        <v>0</v>
      </c>
      <c r="Q34" s="28">
        <f>data1!Q34/range*(2^resolution-1)</f>
        <v>0</v>
      </c>
      <c r="R34" s="28">
        <f>data1!R34/range*(2^resolution-1)</f>
        <v>0</v>
      </c>
      <c r="S34" s="28">
        <f>data1!S34/range*(2^resolution-1)</f>
        <v>0</v>
      </c>
      <c r="T34" s="28">
        <f>data1!T34/range*(2^resolution-1)</f>
        <v>0</v>
      </c>
      <c r="U34" s="28">
        <f>data1!U34/range*(2^resolution-1)</f>
        <v>0</v>
      </c>
      <c r="V34" s="28">
        <f>data1!V34/range*(2^resolution-1)</f>
        <v>0</v>
      </c>
      <c r="W34" s="28">
        <f>data1!W34/range*(2^resolution-1)</f>
        <v>0</v>
      </c>
      <c r="X34" s="28">
        <f>data1!X34/range*(2^resolution-1)</f>
        <v>0</v>
      </c>
      <c r="Y34" s="28">
        <f>data1!Y34/range*(2^resolution-1)</f>
        <v>0</v>
      </c>
      <c r="Z34" s="28">
        <f>data1!Z34/range*(2^resolution-1)</f>
        <v>0</v>
      </c>
      <c r="AA34" s="28">
        <f>data1!AA34/range*(2^resolution-1)</f>
        <v>0</v>
      </c>
      <c r="AB34" s="28">
        <f>data1!AB34/range*(2^resolution-1)</f>
        <v>0</v>
      </c>
      <c r="AC34" s="28">
        <f>data1!AC34/range*(2^resolution-1)</f>
        <v>0</v>
      </c>
      <c r="AD34" s="28">
        <f>data1!AD34/range*(2^resolution-1)</f>
        <v>0</v>
      </c>
      <c r="AE34" s="28">
        <f>data1!AE34/range*(2^resolution-1)</f>
        <v>0</v>
      </c>
      <c r="AF34" s="28">
        <f>data1!AF34/range*(2^resolution-1)</f>
        <v>0</v>
      </c>
      <c r="AG34" s="28">
        <f>data1!AG34/range*(2^resolution-1)</f>
        <v>0</v>
      </c>
    </row>
    <row r="35" spans="1:33">
      <c r="A35" s="29">
        <f>data0!A35</f>
        <v>9</v>
      </c>
      <c r="B35" s="28">
        <f>data1!B35/range*(2^resolution-1)</f>
        <v>0</v>
      </c>
      <c r="C35" s="28">
        <f>data1!C35/range*(2^resolution-1)</f>
        <v>0</v>
      </c>
      <c r="D35" s="28">
        <f>data1!D35/range*(2^resolution-1)</f>
        <v>0</v>
      </c>
      <c r="E35" s="28">
        <f>data1!E35/range*(2^resolution-1)</f>
        <v>0</v>
      </c>
      <c r="F35" s="28">
        <f>data1!F35/range*(2^resolution-1)</f>
        <v>0</v>
      </c>
      <c r="G35" s="28">
        <f>data1!G35/range*(2^resolution-1)</f>
        <v>0</v>
      </c>
      <c r="H35" s="28">
        <f>data1!H35/range*(2^resolution-1)</f>
        <v>0</v>
      </c>
      <c r="I35" s="28">
        <f>data1!I35/range*(2^resolution-1)</f>
        <v>0</v>
      </c>
      <c r="J35" s="28">
        <f>data1!J35/range*(2^resolution-1)</f>
        <v>0</v>
      </c>
      <c r="K35" s="28">
        <f>data1!K35/range*(2^resolution-1)</f>
        <v>0</v>
      </c>
      <c r="L35" s="28">
        <f>data1!L35/range*(2^resolution-1)</f>
        <v>0</v>
      </c>
      <c r="M35" s="28">
        <f>data1!M35/range*(2^resolution-1)</f>
        <v>0</v>
      </c>
      <c r="N35" s="28">
        <f>data1!N35/range*(2^resolution-1)</f>
        <v>0</v>
      </c>
      <c r="O35" s="28">
        <f>data1!O35/range*(2^resolution-1)</f>
        <v>0</v>
      </c>
      <c r="P35" s="28">
        <f>data1!P35/range*(2^resolution-1)</f>
        <v>0</v>
      </c>
      <c r="Q35" s="28">
        <f>data1!Q35/range*(2^resolution-1)</f>
        <v>0</v>
      </c>
      <c r="R35" s="28">
        <f>data1!R35/range*(2^resolution-1)</f>
        <v>0</v>
      </c>
      <c r="S35" s="28">
        <f>data1!S35/range*(2^resolution-1)</f>
        <v>0</v>
      </c>
      <c r="T35" s="28">
        <f>data1!T35/range*(2^resolution-1)</f>
        <v>0</v>
      </c>
      <c r="U35" s="28">
        <f>data1!U35/range*(2^resolution-1)</f>
        <v>0</v>
      </c>
      <c r="V35" s="28">
        <f>data1!V35/range*(2^resolution-1)</f>
        <v>0</v>
      </c>
      <c r="W35" s="28">
        <f>data1!W35/range*(2^resolution-1)</f>
        <v>0</v>
      </c>
      <c r="X35" s="28">
        <f>data1!X35/range*(2^resolution-1)</f>
        <v>0</v>
      </c>
      <c r="Y35" s="28">
        <f>data1!Y35/range*(2^resolution-1)</f>
        <v>0</v>
      </c>
      <c r="Z35" s="28">
        <f>data1!Z35/range*(2^resolution-1)</f>
        <v>0</v>
      </c>
      <c r="AA35" s="28">
        <f>data1!AA35/range*(2^resolution-1)</f>
        <v>0</v>
      </c>
      <c r="AB35" s="28">
        <f>data1!AB35/range*(2^resolution-1)</f>
        <v>0</v>
      </c>
      <c r="AC35" s="28">
        <f>data1!AC35/range*(2^resolution-1)</f>
        <v>0</v>
      </c>
      <c r="AD35" s="28">
        <f>data1!AD35/range*(2^resolution-1)</f>
        <v>0</v>
      </c>
      <c r="AE35" s="28">
        <f>data1!AE35/range*(2^resolution-1)</f>
        <v>0</v>
      </c>
      <c r="AF35" s="28">
        <f>data1!AF35/range*(2^resolution-1)</f>
        <v>0</v>
      </c>
      <c r="AG35" s="28">
        <f>data1!AG35/range*(2^resolution-1)</f>
        <v>0</v>
      </c>
    </row>
    <row r="36" spans="1:33">
      <c r="A36" s="29">
        <f>data0!A36</f>
        <v>12</v>
      </c>
      <c r="B36" s="28">
        <f>data1!B36/range*(2^resolution-1)</f>
        <v>0</v>
      </c>
      <c r="C36" s="28">
        <f>data1!C36/range*(2^resolution-1)</f>
        <v>0</v>
      </c>
      <c r="D36" s="28">
        <f>data1!D36/range*(2^resolution-1)</f>
        <v>0</v>
      </c>
      <c r="E36" s="28">
        <f>data1!E36/range*(2^resolution-1)</f>
        <v>0</v>
      </c>
      <c r="F36" s="28">
        <f>data1!F36/range*(2^resolution-1)</f>
        <v>0</v>
      </c>
      <c r="G36" s="28">
        <f>data1!G36/range*(2^resolution-1)</f>
        <v>0</v>
      </c>
      <c r="H36" s="28">
        <f>data1!H36/range*(2^resolution-1)</f>
        <v>0</v>
      </c>
      <c r="I36" s="28">
        <f>data1!I36/range*(2^resolution-1)</f>
        <v>0</v>
      </c>
      <c r="J36" s="28">
        <f>data1!J36/range*(2^resolution-1)</f>
        <v>0</v>
      </c>
      <c r="K36" s="28">
        <f>data1!K36/range*(2^resolution-1)</f>
        <v>0</v>
      </c>
      <c r="L36" s="28">
        <f>data1!L36/range*(2^resolution-1)</f>
        <v>0</v>
      </c>
      <c r="M36" s="28">
        <f>data1!M36/range*(2^resolution-1)</f>
        <v>0</v>
      </c>
      <c r="N36" s="28">
        <f>data1!N36/range*(2^resolution-1)</f>
        <v>0</v>
      </c>
      <c r="O36" s="28">
        <f>data1!O36/range*(2^resolution-1)</f>
        <v>0</v>
      </c>
      <c r="P36" s="28">
        <f>data1!P36/range*(2^resolution-1)</f>
        <v>0</v>
      </c>
      <c r="Q36" s="28">
        <f>data1!Q36/range*(2^resolution-1)</f>
        <v>0</v>
      </c>
      <c r="R36" s="28">
        <f>data1!R36/range*(2^resolution-1)</f>
        <v>0</v>
      </c>
      <c r="S36" s="28">
        <f>data1!S36/range*(2^resolution-1)</f>
        <v>0</v>
      </c>
      <c r="T36" s="28">
        <f>data1!T36/range*(2^resolution-1)</f>
        <v>0</v>
      </c>
      <c r="U36" s="28">
        <f>data1!U36/range*(2^resolution-1)</f>
        <v>0</v>
      </c>
      <c r="V36" s="28">
        <f>data1!V36/range*(2^resolution-1)</f>
        <v>0</v>
      </c>
      <c r="W36" s="28">
        <f>data1!W36/range*(2^resolution-1)</f>
        <v>0</v>
      </c>
      <c r="X36" s="28">
        <f>data1!X36/range*(2^resolution-1)</f>
        <v>0</v>
      </c>
      <c r="Y36" s="28">
        <f>data1!Y36/range*(2^resolution-1)</f>
        <v>0</v>
      </c>
      <c r="Z36" s="28">
        <f>data1!Z36/range*(2^resolution-1)</f>
        <v>0</v>
      </c>
      <c r="AA36" s="28">
        <f>data1!AA36/range*(2^resolution-1)</f>
        <v>0</v>
      </c>
      <c r="AB36" s="28">
        <f>data1!AB36/range*(2^resolution-1)</f>
        <v>0</v>
      </c>
      <c r="AC36" s="28">
        <f>data1!AC36/range*(2^resolution-1)</f>
        <v>0</v>
      </c>
      <c r="AD36" s="28">
        <f>data1!AD36/range*(2^resolution-1)</f>
        <v>0</v>
      </c>
      <c r="AE36" s="28">
        <f>data1!AE36/range*(2^resolution-1)</f>
        <v>0</v>
      </c>
      <c r="AF36" s="28">
        <f>data1!AF36/range*(2^resolution-1)</f>
        <v>0</v>
      </c>
      <c r="AG36" s="28">
        <f>data1!AG36/range*(2^resolution-1)</f>
        <v>0</v>
      </c>
    </row>
    <row r="37" spans="1:33">
      <c r="A37" s="29">
        <f>data0!A37</f>
        <v>15</v>
      </c>
      <c r="B37" s="28">
        <f>data1!B37/range*(2^resolution-1)</f>
        <v>0</v>
      </c>
      <c r="C37" s="28">
        <f>data1!C37/range*(2^resolution-1)</f>
        <v>0</v>
      </c>
      <c r="D37" s="28">
        <f>data1!D37/range*(2^resolution-1)</f>
        <v>0</v>
      </c>
      <c r="E37" s="28">
        <f>data1!E37/range*(2^resolution-1)</f>
        <v>0</v>
      </c>
      <c r="F37" s="28">
        <f>data1!F37/range*(2^resolution-1)</f>
        <v>0</v>
      </c>
      <c r="G37" s="28">
        <f>data1!G37/range*(2^resolution-1)</f>
        <v>0</v>
      </c>
      <c r="H37" s="28">
        <f>data1!H37/range*(2^resolution-1)</f>
        <v>0</v>
      </c>
      <c r="I37" s="28">
        <f>data1!I37/range*(2^resolution-1)</f>
        <v>0</v>
      </c>
      <c r="J37" s="28">
        <f>data1!J37/range*(2^resolution-1)</f>
        <v>0</v>
      </c>
      <c r="K37" s="28">
        <f>data1!K37/range*(2^resolution-1)</f>
        <v>0</v>
      </c>
      <c r="L37" s="28">
        <f>data1!L37/range*(2^resolution-1)</f>
        <v>0</v>
      </c>
      <c r="M37" s="28">
        <f>data1!M37/range*(2^resolution-1)</f>
        <v>0</v>
      </c>
      <c r="N37" s="28">
        <f>data1!N37/range*(2^resolution-1)</f>
        <v>0</v>
      </c>
      <c r="O37" s="28">
        <f>data1!O37/range*(2^resolution-1)</f>
        <v>0</v>
      </c>
      <c r="P37" s="28">
        <f>data1!P37/range*(2^resolution-1)</f>
        <v>0</v>
      </c>
      <c r="Q37" s="28">
        <f>data1!Q37/range*(2^resolution-1)</f>
        <v>0</v>
      </c>
      <c r="R37" s="28">
        <f>data1!R37/range*(2^resolution-1)</f>
        <v>0</v>
      </c>
      <c r="S37" s="28">
        <f>data1!S37/range*(2^resolution-1)</f>
        <v>0</v>
      </c>
      <c r="T37" s="28">
        <f>data1!T37/range*(2^resolution-1)</f>
        <v>0</v>
      </c>
      <c r="U37" s="28">
        <f>data1!U37/range*(2^resolution-1)</f>
        <v>0</v>
      </c>
      <c r="V37" s="28">
        <f>data1!V37/range*(2^resolution-1)</f>
        <v>0</v>
      </c>
      <c r="W37" s="28">
        <f>data1!W37/range*(2^resolution-1)</f>
        <v>0</v>
      </c>
      <c r="X37" s="28">
        <f>data1!X37/range*(2^resolution-1)</f>
        <v>0</v>
      </c>
      <c r="Y37" s="28">
        <f>data1!Y37/range*(2^resolution-1)</f>
        <v>0</v>
      </c>
      <c r="Z37" s="28">
        <f>data1!Z37/range*(2^resolution-1)</f>
        <v>0</v>
      </c>
      <c r="AA37" s="28">
        <f>data1!AA37/range*(2^resolution-1)</f>
        <v>0</v>
      </c>
      <c r="AB37" s="28">
        <f>data1!AB37/range*(2^resolution-1)</f>
        <v>0</v>
      </c>
      <c r="AC37" s="28">
        <f>data1!AC37/range*(2^resolution-1)</f>
        <v>0</v>
      </c>
      <c r="AD37" s="28">
        <f>data1!AD37/range*(2^resolution-1)</f>
        <v>0</v>
      </c>
      <c r="AE37" s="28">
        <f>data1!AE37/range*(2^resolution-1)</f>
        <v>0</v>
      </c>
      <c r="AF37" s="28">
        <f>data1!AF37/range*(2^resolution-1)</f>
        <v>0</v>
      </c>
      <c r="AG37" s="28">
        <f>data1!AG37/range*(2^resolution-1)</f>
        <v>0</v>
      </c>
    </row>
    <row r="38" spans="1:33">
      <c r="A38" s="29">
        <f>data0!A38</f>
        <v>18</v>
      </c>
      <c r="B38" s="28">
        <f>data1!B38/range*(2^resolution-1)</f>
        <v>0</v>
      </c>
      <c r="C38" s="28">
        <f>data1!C38/range*(2^resolution-1)</f>
        <v>0</v>
      </c>
      <c r="D38" s="28">
        <f>data1!D38/range*(2^resolution-1)</f>
        <v>0</v>
      </c>
      <c r="E38" s="28">
        <f>data1!E38/range*(2^resolution-1)</f>
        <v>0</v>
      </c>
      <c r="F38" s="28">
        <f>data1!F38/range*(2^resolution-1)</f>
        <v>0</v>
      </c>
      <c r="G38" s="28">
        <f>data1!G38/range*(2^resolution-1)</f>
        <v>0</v>
      </c>
      <c r="H38" s="28">
        <f>data1!H38/range*(2^resolution-1)</f>
        <v>0</v>
      </c>
      <c r="I38" s="28">
        <f>data1!I38/range*(2^resolution-1)</f>
        <v>0</v>
      </c>
      <c r="J38" s="28">
        <f>data1!J38/range*(2^resolution-1)</f>
        <v>0</v>
      </c>
      <c r="K38" s="28">
        <f>data1!K38/range*(2^resolution-1)</f>
        <v>0</v>
      </c>
      <c r="L38" s="28">
        <f>data1!L38/range*(2^resolution-1)</f>
        <v>0</v>
      </c>
      <c r="M38" s="28">
        <f>data1!M38/range*(2^resolution-1)</f>
        <v>0</v>
      </c>
      <c r="N38" s="28">
        <f>data1!N38/range*(2^resolution-1)</f>
        <v>0</v>
      </c>
      <c r="O38" s="28">
        <f>data1!O38/range*(2^resolution-1)</f>
        <v>0</v>
      </c>
      <c r="P38" s="28">
        <f>data1!P38/range*(2^resolution-1)</f>
        <v>0</v>
      </c>
      <c r="Q38" s="28">
        <f>data1!Q38/range*(2^resolution-1)</f>
        <v>0</v>
      </c>
      <c r="R38" s="28">
        <f>data1!R38/range*(2^resolution-1)</f>
        <v>0</v>
      </c>
      <c r="S38" s="28">
        <f>data1!S38/range*(2^resolution-1)</f>
        <v>0</v>
      </c>
      <c r="T38" s="28">
        <f>data1!T38/range*(2^resolution-1)</f>
        <v>0</v>
      </c>
      <c r="U38" s="28">
        <f>data1!U38/range*(2^resolution-1)</f>
        <v>0</v>
      </c>
      <c r="V38" s="28">
        <f>data1!V38/range*(2^resolution-1)</f>
        <v>0</v>
      </c>
      <c r="W38" s="28">
        <f>data1!W38/range*(2^resolution-1)</f>
        <v>0</v>
      </c>
      <c r="X38" s="28">
        <f>data1!X38/range*(2^resolution-1)</f>
        <v>0</v>
      </c>
      <c r="Y38" s="28">
        <f>data1!Y38/range*(2^resolution-1)</f>
        <v>0</v>
      </c>
      <c r="Z38" s="28">
        <f>data1!Z38/range*(2^resolution-1)</f>
        <v>0</v>
      </c>
      <c r="AA38" s="28">
        <f>data1!AA38/range*(2^resolution-1)</f>
        <v>0</v>
      </c>
      <c r="AB38" s="28">
        <f>data1!AB38/range*(2^resolution-1)</f>
        <v>0</v>
      </c>
      <c r="AC38" s="28">
        <f>data1!AC38/range*(2^resolution-1)</f>
        <v>0</v>
      </c>
      <c r="AD38" s="28">
        <f>data1!AD38/range*(2^resolution-1)</f>
        <v>0</v>
      </c>
      <c r="AE38" s="28">
        <f>data1!AE38/range*(2^resolution-1)</f>
        <v>0</v>
      </c>
      <c r="AF38" s="28">
        <f>data1!AF38/range*(2^resolution-1)</f>
        <v>0</v>
      </c>
      <c r="AG38" s="28">
        <f>data1!AG38/range*(2^resolution-1)</f>
        <v>0</v>
      </c>
    </row>
    <row r="39" spans="1:33">
      <c r="A39" s="29">
        <f>data0!A39</f>
        <v>21</v>
      </c>
      <c r="B39" s="28">
        <f>data1!B39/range*(2^resolution-1)</f>
        <v>0</v>
      </c>
      <c r="C39" s="28">
        <f>data1!C39/range*(2^resolution-1)</f>
        <v>0</v>
      </c>
      <c r="D39" s="28">
        <f>data1!D39/range*(2^resolution-1)</f>
        <v>0</v>
      </c>
      <c r="E39" s="28">
        <f>data1!E39/range*(2^resolution-1)</f>
        <v>0</v>
      </c>
      <c r="F39" s="28">
        <f>data1!F39/range*(2^resolution-1)</f>
        <v>0</v>
      </c>
      <c r="G39" s="28">
        <f>data1!G39/range*(2^resolution-1)</f>
        <v>0</v>
      </c>
      <c r="H39" s="28">
        <f>data1!H39/range*(2^resolution-1)</f>
        <v>0</v>
      </c>
      <c r="I39" s="28">
        <f>data1!I39/range*(2^resolution-1)</f>
        <v>0</v>
      </c>
      <c r="J39" s="28">
        <f>data1!J39/range*(2^resolution-1)</f>
        <v>0</v>
      </c>
      <c r="K39" s="28">
        <f>data1!K39/range*(2^resolution-1)</f>
        <v>0</v>
      </c>
      <c r="L39" s="28">
        <f>data1!L39/range*(2^resolution-1)</f>
        <v>0</v>
      </c>
      <c r="M39" s="28">
        <f>data1!M39/range*(2^resolution-1)</f>
        <v>0</v>
      </c>
      <c r="N39" s="28">
        <f>data1!N39/range*(2^resolution-1)</f>
        <v>0</v>
      </c>
      <c r="O39" s="28">
        <f>data1!O39/range*(2^resolution-1)</f>
        <v>0</v>
      </c>
      <c r="P39" s="28">
        <f>data1!P39/range*(2^resolution-1)</f>
        <v>0</v>
      </c>
      <c r="Q39" s="28">
        <f>data1!Q39/range*(2^resolution-1)</f>
        <v>0</v>
      </c>
      <c r="R39" s="28">
        <f>data1!R39/range*(2^resolution-1)</f>
        <v>0</v>
      </c>
      <c r="S39" s="28">
        <f>data1!S39/range*(2^resolution-1)</f>
        <v>0</v>
      </c>
      <c r="T39" s="28">
        <f>data1!T39/range*(2^resolution-1)</f>
        <v>0</v>
      </c>
      <c r="U39" s="28">
        <f>data1!U39/range*(2^resolution-1)</f>
        <v>0</v>
      </c>
      <c r="V39" s="28">
        <f>data1!V39/range*(2^resolution-1)</f>
        <v>0</v>
      </c>
      <c r="W39" s="28">
        <f>data1!W39/range*(2^resolution-1)</f>
        <v>0</v>
      </c>
      <c r="X39" s="28">
        <f>data1!X39/range*(2^resolution-1)</f>
        <v>0</v>
      </c>
      <c r="Y39" s="28">
        <f>data1!Y39/range*(2^resolution-1)</f>
        <v>0</v>
      </c>
      <c r="Z39" s="28">
        <f>data1!Z39/range*(2^resolution-1)</f>
        <v>0</v>
      </c>
      <c r="AA39" s="28">
        <f>data1!AA39/range*(2^resolution-1)</f>
        <v>0</v>
      </c>
      <c r="AB39" s="28">
        <f>data1!AB39/range*(2^resolution-1)</f>
        <v>0</v>
      </c>
      <c r="AC39" s="28">
        <f>data1!AC39/range*(2^resolution-1)</f>
        <v>0</v>
      </c>
      <c r="AD39" s="28">
        <f>data1!AD39/range*(2^resolution-1)</f>
        <v>0</v>
      </c>
      <c r="AE39" s="28">
        <f>data1!AE39/range*(2^resolution-1)</f>
        <v>0</v>
      </c>
      <c r="AF39" s="28">
        <f>data1!AF39/range*(2^resolution-1)</f>
        <v>0</v>
      </c>
      <c r="AG39" s="28">
        <f>data1!AG39/range*(2^resolution-1)</f>
        <v>0</v>
      </c>
    </row>
    <row r="40" spans="1:33">
      <c r="A40" s="29">
        <f>data0!A40</f>
        <v>24</v>
      </c>
      <c r="B40" s="28">
        <f>data1!B40/range*(2^resolution-1)</f>
        <v>0</v>
      </c>
      <c r="C40" s="28">
        <f>data1!C40/range*(2^resolution-1)</f>
        <v>0</v>
      </c>
      <c r="D40" s="28">
        <f>data1!D40/range*(2^resolution-1)</f>
        <v>0</v>
      </c>
      <c r="E40" s="28">
        <f>data1!E40/range*(2^resolution-1)</f>
        <v>0</v>
      </c>
      <c r="F40" s="28">
        <f>data1!F40/range*(2^resolution-1)</f>
        <v>0</v>
      </c>
      <c r="G40" s="28">
        <f>data1!G40/range*(2^resolution-1)</f>
        <v>0</v>
      </c>
      <c r="H40" s="28">
        <f>data1!H40/range*(2^resolution-1)</f>
        <v>0</v>
      </c>
      <c r="I40" s="28">
        <f>data1!I40/range*(2^resolution-1)</f>
        <v>0</v>
      </c>
      <c r="J40" s="28">
        <f>data1!J40/range*(2^resolution-1)</f>
        <v>0</v>
      </c>
      <c r="K40" s="28">
        <f>data1!K40/range*(2^resolution-1)</f>
        <v>0</v>
      </c>
      <c r="L40" s="28">
        <f>data1!L40/range*(2^resolution-1)</f>
        <v>0</v>
      </c>
      <c r="M40" s="28">
        <f>data1!M40/range*(2^resolution-1)</f>
        <v>0</v>
      </c>
      <c r="N40" s="28">
        <f>data1!N40/range*(2^resolution-1)</f>
        <v>0</v>
      </c>
      <c r="O40" s="28">
        <f>data1!O40/range*(2^resolution-1)</f>
        <v>0</v>
      </c>
      <c r="P40" s="28">
        <f>data1!P40/range*(2^resolution-1)</f>
        <v>0</v>
      </c>
      <c r="Q40" s="28">
        <f>data1!Q40/range*(2^resolution-1)</f>
        <v>0</v>
      </c>
      <c r="R40" s="28">
        <f>data1!R40/range*(2^resolution-1)</f>
        <v>0</v>
      </c>
      <c r="S40" s="28">
        <f>data1!S40/range*(2^resolution-1)</f>
        <v>0</v>
      </c>
      <c r="T40" s="28">
        <f>data1!T40/range*(2^resolution-1)</f>
        <v>0</v>
      </c>
      <c r="U40" s="28">
        <f>data1!U40/range*(2^resolution-1)</f>
        <v>0</v>
      </c>
      <c r="V40" s="28">
        <f>data1!V40/range*(2^resolution-1)</f>
        <v>0</v>
      </c>
      <c r="W40" s="28">
        <f>data1!W40/range*(2^resolution-1)</f>
        <v>0</v>
      </c>
      <c r="X40" s="28">
        <f>data1!X40/range*(2^resolution-1)</f>
        <v>0</v>
      </c>
      <c r="Y40" s="28">
        <f>data1!Y40/range*(2^resolution-1)</f>
        <v>0</v>
      </c>
      <c r="Z40" s="28">
        <f>data1!Z40/range*(2^resolution-1)</f>
        <v>0</v>
      </c>
      <c r="AA40" s="28">
        <f>data1!AA40/range*(2^resolution-1)</f>
        <v>0</v>
      </c>
      <c r="AB40" s="28">
        <f>data1!AB40/range*(2^resolution-1)</f>
        <v>0</v>
      </c>
      <c r="AC40" s="28">
        <f>data1!AC40/range*(2^resolution-1)</f>
        <v>0</v>
      </c>
      <c r="AD40" s="28">
        <f>data1!AD40/range*(2^resolution-1)</f>
        <v>0</v>
      </c>
      <c r="AE40" s="28">
        <f>data1!AE40/range*(2^resolution-1)</f>
        <v>0</v>
      </c>
      <c r="AF40" s="28">
        <f>data1!AF40/range*(2^resolution-1)</f>
        <v>0</v>
      </c>
      <c r="AG40" s="28">
        <f>data1!AG40/range*(2^resolution-1)</f>
        <v>0</v>
      </c>
    </row>
    <row r="41" spans="1:33">
      <c r="A41" s="29">
        <f>data0!A41</f>
        <v>27</v>
      </c>
      <c r="B41" s="28">
        <f>data1!B41/range*(2^resolution-1)</f>
        <v>0</v>
      </c>
      <c r="C41" s="28">
        <f>data1!C41/range*(2^resolution-1)</f>
        <v>0</v>
      </c>
      <c r="D41" s="28">
        <f>data1!D41/range*(2^resolution-1)</f>
        <v>0</v>
      </c>
      <c r="E41" s="28">
        <f>data1!E41/range*(2^resolution-1)</f>
        <v>0</v>
      </c>
      <c r="F41" s="28">
        <f>data1!F41/range*(2^resolution-1)</f>
        <v>0</v>
      </c>
      <c r="G41" s="28">
        <f>data1!G41/range*(2^resolution-1)</f>
        <v>0</v>
      </c>
      <c r="H41" s="28">
        <f>data1!H41/range*(2^resolution-1)</f>
        <v>0</v>
      </c>
      <c r="I41" s="28">
        <f>data1!I41/range*(2^resolution-1)</f>
        <v>0</v>
      </c>
      <c r="J41" s="28">
        <f>data1!J41/range*(2^resolution-1)</f>
        <v>0</v>
      </c>
      <c r="K41" s="28">
        <f>data1!K41/range*(2^resolution-1)</f>
        <v>0</v>
      </c>
      <c r="L41" s="28">
        <f>data1!L41/range*(2^resolution-1)</f>
        <v>0</v>
      </c>
      <c r="M41" s="28">
        <f>data1!M41/range*(2^resolution-1)</f>
        <v>0</v>
      </c>
      <c r="N41" s="28">
        <f>data1!N41/range*(2^resolution-1)</f>
        <v>0</v>
      </c>
      <c r="O41" s="28">
        <f>data1!O41/range*(2^resolution-1)</f>
        <v>0</v>
      </c>
      <c r="P41" s="28">
        <f>data1!P41/range*(2^resolution-1)</f>
        <v>0</v>
      </c>
      <c r="Q41" s="28">
        <f>data1!Q41/range*(2^resolution-1)</f>
        <v>0</v>
      </c>
      <c r="R41" s="28">
        <f>data1!R41/range*(2^resolution-1)</f>
        <v>0</v>
      </c>
      <c r="S41" s="28">
        <f>data1!S41/range*(2^resolution-1)</f>
        <v>0</v>
      </c>
      <c r="T41" s="28">
        <f>data1!T41/range*(2^resolution-1)</f>
        <v>0</v>
      </c>
      <c r="U41" s="28">
        <f>data1!U41/range*(2^resolution-1)</f>
        <v>0</v>
      </c>
      <c r="V41" s="28">
        <f>data1!V41/range*(2^resolution-1)</f>
        <v>0</v>
      </c>
      <c r="W41" s="28">
        <f>data1!W41/range*(2^resolution-1)</f>
        <v>0</v>
      </c>
      <c r="X41" s="28">
        <f>data1!X41/range*(2^resolution-1)</f>
        <v>0</v>
      </c>
      <c r="Y41" s="28">
        <f>data1!Y41/range*(2^resolution-1)</f>
        <v>0</v>
      </c>
      <c r="Z41" s="28">
        <f>data1!Z41/range*(2^resolution-1)</f>
        <v>0</v>
      </c>
      <c r="AA41" s="28">
        <f>data1!AA41/range*(2^resolution-1)</f>
        <v>0</v>
      </c>
      <c r="AB41" s="28">
        <f>data1!AB41/range*(2^resolution-1)</f>
        <v>0</v>
      </c>
      <c r="AC41" s="28">
        <f>data1!AC41/range*(2^resolution-1)</f>
        <v>0</v>
      </c>
      <c r="AD41" s="28">
        <f>data1!AD41/range*(2^resolution-1)</f>
        <v>0</v>
      </c>
      <c r="AE41" s="28">
        <f>data1!AE41/range*(2^resolution-1)</f>
        <v>0</v>
      </c>
      <c r="AF41" s="28">
        <f>data1!AF41/range*(2^resolution-1)</f>
        <v>0</v>
      </c>
      <c r="AG41" s="28">
        <f>data1!AG41/range*(2^resolution-1)</f>
        <v>0</v>
      </c>
    </row>
    <row r="42" spans="1:33">
      <c r="A42" s="29">
        <f>data0!A42</f>
        <v>30</v>
      </c>
      <c r="B42" s="28">
        <f>data1!B42/range*(2^resolution-1)</f>
        <v>0</v>
      </c>
      <c r="C42" s="28">
        <f>data1!C42/range*(2^resolution-1)</f>
        <v>0</v>
      </c>
      <c r="D42" s="28">
        <f>data1!D42/range*(2^resolution-1)</f>
        <v>0</v>
      </c>
      <c r="E42" s="28">
        <f>data1!E42/range*(2^resolution-1)</f>
        <v>0</v>
      </c>
      <c r="F42" s="28">
        <f>data1!F42/range*(2^resolution-1)</f>
        <v>0</v>
      </c>
      <c r="G42" s="28">
        <f>data1!G42/range*(2^resolution-1)</f>
        <v>0</v>
      </c>
      <c r="H42" s="28">
        <f>data1!H42/range*(2^resolution-1)</f>
        <v>0</v>
      </c>
      <c r="I42" s="28">
        <f>data1!I42/range*(2^resolution-1)</f>
        <v>0</v>
      </c>
      <c r="J42" s="28">
        <f>data1!J42/range*(2^resolution-1)</f>
        <v>0</v>
      </c>
      <c r="K42" s="28">
        <f>data1!K42/range*(2^resolution-1)</f>
        <v>0</v>
      </c>
      <c r="L42" s="28">
        <f>data1!L42/range*(2^resolution-1)</f>
        <v>0</v>
      </c>
      <c r="M42" s="28">
        <f>data1!M42/range*(2^resolution-1)</f>
        <v>0</v>
      </c>
      <c r="N42" s="28">
        <f>data1!N42/range*(2^resolution-1)</f>
        <v>0</v>
      </c>
      <c r="O42" s="28">
        <f>data1!O42/range*(2^resolution-1)</f>
        <v>0</v>
      </c>
      <c r="P42" s="28">
        <f>data1!P42/range*(2^resolution-1)</f>
        <v>0</v>
      </c>
      <c r="Q42" s="28">
        <f>data1!Q42/range*(2^resolution-1)</f>
        <v>0</v>
      </c>
      <c r="R42" s="28">
        <f>data1!R42/range*(2^resolution-1)</f>
        <v>0</v>
      </c>
      <c r="S42" s="28">
        <f>data1!S42/range*(2^resolution-1)</f>
        <v>0</v>
      </c>
      <c r="T42" s="28">
        <f>data1!T42/range*(2^resolution-1)</f>
        <v>0</v>
      </c>
      <c r="U42" s="28">
        <f>data1!U42/range*(2^resolution-1)</f>
        <v>0</v>
      </c>
      <c r="V42" s="28">
        <f>data1!V42/range*(2^resolution-1)</f>
        <v>0</v>
      </c>
      <c r="W42" s="28">
        <f>data1!W42/range*(2^resolution-1)</f>
        <v>0</v>
      </c>
      <c r="X42" s="28">
        <f>data1!X42/range*(2^resolution-1)</f>
        <v>0</v>
      </c>
      <c r="Y42" s="28">
        <f>data1!Y42/range*(2^resolution-1)</f>
        <v>0</v>
      </c>
      <c r="Z42" s="28">
        <f>data1!Z42/range*(2^resolution-1)</f>
        <v>0</v>
      </c>
      <c r="AA42" s="28">
        <f>data1!AA42/range*(2^resolution-1)</f>
        <v>0</v>
      </c>
      <c r="AB42" s="28">
        <f>data1!AB42/range*(2^resolution-1)</f>
        <v>0</v>
      </c>
      <c r="AC42" s="28">
        <f>data1!AC42/range*(2^resolution-1)</f>
        <v>0</v>
      </c>
      <c r="AD42" s="28">
        <f>data1!AD42/range*(2^resolution-1)</f>
        <v>0</v>
      </c>
      <c r="AE42" s="28">
        <f>data1!AE42/range*(2^resolution-1)</f>
        <v>0</v>
      </c>
      <c r="AF42" s="28">
        <f>data1!AF42/range*(2^resolution-1)</f>
        <v>0</v>
      </c>
      <c r="AG42" s="28">
        <f>data1!AG42/range*(2^resolution-1)</f>
        <v>0</v>
      </c>
    </row>
    <row r="43" spans="1:33">
      <c r="A43" s="29">
        <f>data0!A43</f>
        <v>33</v>
      </c>
      <c r="B43" s="28">
        <f>data1!B43/range*(2^resolution-1)</f>
        <v>0</v>
      </c>
      <c r="C43" s="28">
        <f>data1!C43/range*(2^resolution-1)</f>
        <v>0</v>
      </c>
      <c r="D43" s="28">
        <f>data1!D43/range*(2^resolution-1)</f>
        <v>0</v>
      </c>
      <c r="E43" s="28">
        <f>data1!E43/range*(2^resolution-1)</f>
        <v>0</v>
      </c>
      <c r="F43" s="28">
        <f>data1!F43/range*(2^resolution-1)</f>
        <v>0</v>
      </c>
      <c r="G43" s="28">
        <f>data1!G43/range*(2^resolution-1)</f>
        <v>0</v>
      </c>
      <c r="H43" s="28">
        <f>data1!H43/range*(2^resolution-1)</f>
        <v>0</v>
      </c>
      <c r="I43" s="28">
        <f>data1!I43/range*(2^resolution-1)</f>
        <v>0</v>
      </c>
      <c r="J43" s="28">
        <f>data1!J43/range*(2^resolution-1)</f>
        <v>0</v>
      </c>
      <c r="K43" s="28">
        <f>data1!K43/range*(2^resolution-1)</f>
        <v>0</v>
      </c>
      <c r="L43" s="28">
        <f>data1!L43/range*(2^resolution-1)</f>
        <v>0</v>
      </c>
      <c r="M43" s="28">
        <f>data1!M43/range*(2^resolution-1)</f>
        <v>0</v>
      </c>
      <c r="N43" s="28">
        <f>data1!N43/range*(2^resolution-1)</f>
        <v>0</v>
      </c>
      <c r="O43" s="28">
        <f>data1!O43/range*(2^resolution-1)</f>
        <v>0</v>
      </c>
      <c r="P43" s="28">
        <f>data1!P43/range*(2^resolution-1)</f>
        <v>0</v>
      </c>
      <c r="Q43" s="28">
        <f>data1!Q43/range*(2^resolution-1)</f>
        <v>0</v>
      </c>
      <c r="R43" s="28">
        <f>data1!R43/range*(2^resolution-1)</f>
        <v>0</v>
      </c>
      <c r="S43" s="28">
        <f>data1!S43/range*(2^resolution-1)</f>
        <v>0</v>
      </c>
      <c r="T43" s="28">
        <f>data1!T43/range*(2^resolution-1)</f>
        <v>0</v>
      </c>
      <c r="U43" s="28">
        <f>data1!U43/range*(2^resolution-1)</f>
        <v>0</v>
      </c>
      <c r="V43" s="28">
        <f>data1!V43/range*(2^resolution-1)</f>
        <v>0</v>
      </c>
      <c r="W43" s="28">
        <f>data1!W43/range*(2^resolution-1)</f>
        <v>0</v>
      </c>
      <c r="X43" s="28">
        <f>data1!X43/range*(2^resolution-1)</f>
        <v>0</v>
      </c>
      <c r="Y43" s="28">
        <f>data1!Y43/range*(2^resolution-1)</f>
        <v>0</v>
      </c>
      <c r="Z43" s="28">
        <f>data1!Z43/range*(2^resolution-1)</f>
        <v>0</v>
      </c>
      <c r="AA43" s="28">
        <f>data1!AA43/range*(2^resolution-1)</f>
        <v>0</v>
      </c>
      <c r="AB43" s="28">
        <f>data1!AB43/range*(2^resolution-1)</f>
        <v>0</v>
      </c>
      <c r="AC43" s="28">
        <f>data1!AC43/range*(2^resolution-1)</f>
        <v>0</v>
      </c>
      <c r="AD43" s="28">
        <f>data1!AD43/range*(2^resolution-1)</f>
        <v>0</v>
      </c>
      <c r="AE43" s="28">
        <f>data1!AE43/range*(2^resolution-1)</f>
        <v>0</v>
      </c>
      <c r="AF43" s="28">
        <f>data1!AF43/range*(2^resolution-1)</f>
        <v>0</v>
      </c>
      <c r="AG43" s="28">
        <f>data1!AG43/range*(2^resolution-1)</f>
        <v>0</v>
      </c>
    </row>
    <row r="44" spans="1:33">
      <c r="A44" s="29">
        <f>data0!A44</f>
        <v>36</v>
      </c>
      <c r="B44" s="28">
        <f>data1!B44/range*(2^resolution-1)</f>
        <v>0</v>
      </c>
      <c r="C44" s="28">
        <f>data1!C44/range*(2^resolution-1)</f>
        <v>0</v>
      </c>
      <c r="D44" s="28">
        <f>data1!D44/range*(2^resolution-1)</f>
        <v>0</v>
      </c>
      <c r="E44" s="28">
        <f>data1!E44/range*(2^resolution-1)</f>
        <v>0</v>
      </c>
      <c r="F44" s="28">
        <f>data1!F44/range*(2^resolution-1)</f>
        <v>0</v>
      </c>
      <c r="G44" s="28">
        <f>data1!G44/range*(2^resolution-1)</f>
        <v>0</v>
      </c>
      <c r="H44" s="28">
        <f>data1!H44/range*(2^resolution-1)</f>
        <v>0</v>
      </c>
      <c r="I44" s="28">
        <f>data1!I44/range*(2^resolution-1)</f>
        <v>0</v>
      </c>
      <c r="J44" s="28">
        <f>data1!J44/range*(2^resolution-1)</f>
        <v>0</v>
      </c>
      <c r="K44" s="28">
        <f>data1!K44/range*(2^resolution-1)</f>
        <v>0</v>
      </c>
      <c r="L44" s="28">
        <f>data1!L44/range*(2^resolution-1)</f>
        <v>0</v>
      </c>
      <c r="M44" s="28">
        <f>data1!M44/range*(2^resolution-1)</f>
        <v>0</v>
      </c>
      <c r="N44" s="28">
        <f>data1!N44/range*(2^resolution-1)</f>
        <v>0</v>
      </c>
      <c r="O44" s="28">
        <f>data1!O44/range*(2^resolution-1)</f>
        <v>0</v>
      </c>
      <c r="P44" s="28">
        <f>data1!P44/range*(2^resolution-1)</f>
        <v>0</v>
      </c>
      <c r="Q44" s="28">
        <f>data1!Q44/range*(2^resolution-1)</f>
        <v>0</v>
      </c>
      <c r="R44" s="28">
        <f>data1!R44/range*(2^resolution-1)</f>
        <v>0</v>
      </c>
      <c r="S44" s="28">
        <f>data1!S44/range*(2^resolution-1)</f>
        <v>0</v>
      </c>
      <c r="T44" s="28">
        <f>data1!T44/range*(2^resolution-1)</f>
        <v>0</v>
      </c>
      <c r="U44" s="28">
        <f>data1!U44/range*(2^resolution-1)</f>
        <v>0</v>
      </c>
      <c r="V44" s="28">
        <f>data1!V44/range*(2^resolution-1)</f>
        <v>0</v>
      </c>
      <c r="W44" s="28">
        <f>data1!W44/range*(2^resolution-1)</f>
        <v>0</v>
      </c>
      <c r="X44" s="28">
        <f>data1!X44/range*(2^resolution-1)</f>
        <v>0</v>
      </c>
      <c r="Y44" s="28">
        <f>data1!Y44/range*(2^resolution-1)</f>
        <v>0</v>
      </c>
      <c r="Z44" s="28">
        <f>data1!Z44/range*(2^resolution-1)</f>
        <v>0</v>
      </c>
      <c r="AA44" s="28">
        <f>data1!AA44/range*(2^resolution-1)</f>
        <v>0</v>
      </c>
      <c r="AB44" s="28">
        <f>data1!AB44/range*(2^resolution-1)</f>
        <v>0</v>
      </c>
      <c r="AC44" s="28">
        <f>data1!AC44/range*(2^resolution-1)</f>
        <v>0</v>
      </c>
      <c r="AD44" s="28">
        <f>data1!AD44/range*(2^resolution-1)</f>
        <v>0</v>
      </c>
      <c r="AE44" s="28">
        <f>data1!AE44/range*(2^resolution-1)</f>
        <v>0</v>
      </c>
      <c r="AF44" s="28">
        <f>data1!AF44/range*(2^resolution-1)</f>
        <v>0</v>
      </c>
      <c r="AG44" s="28">
        <f>data1!AG44/range*(2^resolution-1)</f>
        <v>0</v>
      </c>
    </row>
    <row r="45" spans="1:33">
      <c r="A45" s="29">
        <f>data0!A45</f>
        <v>39</v>
      </c>
      <c r="B45" s="28">
        <f>data1!B45/range*(2^resolution-1)</f>
        <v>0</v>
      </c>
      <c r="C45" s="28">
        <f>data1!C45/range*(2^resolution-1)</f>
        <v>0</v>
      </c>
      <c r="D45" s="28">
        <f>data1!D45/range*(2^resolution-1)</f>
        <v>0</v>
      </c>
      <c r="E45" s="28">
        <f>data1!E45/range*(2^resolution-1)</f>
        <v>0</v>
      </c>
      <c r="F45" s="28">
        <f>data1!F45/range*(2^resolution-1)</f>
        <v>0</v>
      </c>
      <c r="G45" s="28">
        <f>data1!G45/range*(2^resolution-1)</f>
        <v>0</v>
      </c>
      <c r="H45" s="28">
        <f>data1!H45/range*(2^resolution-1)</f>
        <v>0</v>
      </c>
      <c r="I45" s="28">
        <f>data1!I45/range*(2^resolution-1)</f>
        <v>0</v>
      </c>
      <c r="J45" s="28">
        <f>data1!J45/range*(2^resolution-1)</f>
        <v>0</v>
      </c>
      <c r="K45" s="28">
        <f>data1!K45/range*(2^resolution-1)</f>
        <v>0</v>
      </c>
      <c r="L45" s="28">
        <f>data1!L45/range*(2^resolution-1)</f>
        <v>0</v>
      </c>
      <c r="M45" s="28">
        <f>data1!M45/range*(2^resolution-1)</f>
        <v>0</v>
      </c>
      <c r="N45" s="28">
        <f>data1!N45/range*(2^resolution-1)</f>
        <v>0</v>
      </c>
      <c r="O45" s="28">
        <f>data1!O45/range*(2^resolution-1)</f>
        <v>0</v>
      </c>
      <c r="P45" s="28">
        <f>data1!P45/range*(2^resolution-1)</f>
        <v>0</v>
      </c>
      <c r="Q45" s="28">
        <f>data1!Q45/range*(2^resolution-1)</f>
        <v>0</v>
      </c>
      <c r="R45" s="28">
        <f>data1!R45/range*(2^resolution-1)</f>
        <v>0</v>
      </c>
      <c r="S45" s="28">
        <f>data1!S45/range*(2^resolution-1)</f>
        <v>0</v>
      </c>
      <c r="T45" s="28">
        <f>data1!T45/range*(2^resolution-1)</f>
        <v>0</v>
      </c>
      <c r="U45" s="28">
        <f>data1!U45/range*(2^resolution-1)</f>
        <v>0</v>
      </c>
      <c r="V45" s="28">
        <f>data1!V45/range*(2^resolution-1)</f>
        <v>0</v>
      </c>
      <c r="W45" s="28">
        <f>data1!W45/range*(2^resolution-1)</f>
        <v>0</v>
      </c>
      <c r="X45" s="28">
        <f>data1!X45/range*(2^resolution-1)</f>
        <v>0</v>
      </c>
      <c r="Y45" s="28">
        <f>data1!Y45/range*(2^resolution-1)</f>
        <v>0</v>
      </c>
      <c r="Z45" s="28">
        <f>data1!Z45/range*(2^resolution-1)</f>
        <v>0</v>
      </c>
      <c r="AA45" s="28">
        <f>data1!AA45/range*(2^resolution-1)</f>
        <v>0</v>
      </c>
      <c r="AB45" s="28">
        <f>data1!AB45/range*(2^resolution-1)</f>
        <v>0</v>
      </c>
      <c r="AC45" s="28">
        <f>data1!AC45/range*(2^resolution-1)</f>
        <v>0</v>
      </c>
      <c r="AD45" s="28">
        <f>data1!AD45/range*(2^resolution-1)</f>
        <v>0</v>
      </c>
      <c r="AE45" s="28">
        <f>data1!AE45/range*(2^resolution-1)</f>
        <v>0</v>
      </c>
      <c r="AF45" s="28">
        <f>data1!AF45/range*(2^resolution-1)</f>
        <v>0</v>
      </c>
      <c r="AG45" s="28">
        <f>data1!AG45/range*(2^resolution-1)</f>
        <v>0</v>
      </c>
    </row>
    <row r="46" spans="1:33">
      <c r="A46" s="29">
        <f>data0!A46</f>
        <v>42</v>
      </c>
      <c r="B46" s="28">
        <f>data1!B46/range*(2^resolution-1)</f>
        <v>0</v>
      </c>
      <c r="C46" s="28">
        <f>data1!C46/range*(2^resolution-1)</f>
        <v>0</v>
      </c>
      <c r="D46" s="28">
        <f>data1!D46/range*(2^resolution-1)</f>
        <v>0</v>
      </c>
      <c r="E46" s="28">
        <f>data1!E46/range*(2^resolution-1)</f>
        <v>0</v>
      </c>
      <c r="F46" s="28">
        <f>data1!F46/range*(2^resolution-1)</f>
        <v>0</v>
      </c>
      <c r="G46" s="28">
        <f>data1!G46/range*(2^resolution-1)</f>
        <v>0</v>
      </c>
      <c r="H46" s="28">
        <f>data1!H46/range*(2^resolution-1)</f>
        <v>0</v>
      </c>
      <c r="I46" s="28">
        <f>data1!I46/range*(2^resolution-1)</f>
        <v>0</v>
      </c>
      <c r="J46" s="28">
        <f>data1!J46/range*(2^resolution-1)</f>
        <v>0</v>
      </c>
      <c r="K46" s="28">
        <f>data1!K46/range*(2^resolution-1)</f>
        <v>0</v>
      </c>
      <c r="L46" s="28">
        <f>data1!L46/range*(2^resolution-1)</f>
        <v>0</v>
      </c>
      <c r="M46" s="28">
        <f>data1!M46/range*(2^resolution-1)</f>
        <v>0</v>
      </c>
      <c r="N46" s="28">
        <f>data1!N46/range*(2^resolution-1)</f>
        <v>0</v>
      </c>
      <c r="O46" s="28">
        <f>data1!O46/range*(2^resolution-1)</f>
        <v>0</v>
      </c>
      <c r="P46" s="28">
        <f>data1!P46/range*(2^resolution-1)</f>
        <v>0</v>
      </c>
      <c r="Q46" s="28">
        <f>data1!Q46/range*(2^resolution-1)</f>
        <v>0</v>
      </c>
      <c r="R46" s="28">
        <f>data1!R46/range*(2^resolution-1)</f>
        <v>0</v>
      </c>
      <c r="S46" s="28">
        <f>data1!S46/range*(2^resolution-1)</f>
        <v>0</v>
      </c>
      <c r="T46" s="28">
        <f>data1!T46/range*(2^resolution-1)</f>
        <v>0</v>
      </c>
      <c r="U46" s="28">
        <f>data1!U46/range*(2^resolution-1)</f>
        <v>0</v>
      </c>
      <c r="V46" s="28">
        <f>data1!V46/range*(2^resolution-1)</f>
        <v>0</v>
      </c>
      <c r="W46" s="28">
        <f>data1!W46/range*(2^resolution-1)</f>
        <v>0</v>
      </c>
      <c r="X46" s="28">
        <f>data1!X46/range*(2^resolution-1)</f>
        <v>0</v>
      </c>
      <c r="Y46" s="28">
        <f>data1!Y46/range*(2^resolution-1)</f>
        <v>0</v>
      </c>
      <c r="Z46" s="28">
        <f>data1!Z46/range*(2^resolution-1)</f>
        <v>0</v>
      </c>
      <c r="AA46" s="28">
        <f>data1!AA46/range*(2^resolution-1)</f>
        <v>0</v>
      </c>
      <c r="AB46" s="28">
        <f>data1!AB46/range*(2^resolution-1)</f>
        <v>0</v>
      </c>
      <c r="AC46" s="28">
        <f>data1!AC46/range*(2^resolution-1)</f>
        <v>0</v>
      </c>
      <c r="AD46" s="28">
        <f>data1!AD46/range*(2^resolution-1)</f>
        <v>0</v>
      </c>
      <c r="AE46" s="28">
        <f>data1!AE46/range*(2^resolution-1)</f>
        <v>0</v>
      </c>
      <c r="AF46" s="28">
        <f>data1!AF46/range*(2^resolution-1)</f>
        <v>0</v>
      </c>
      <c r="AG46" s="28">
        <f>data1!AG46/range*(2^resolution-1)</f>
        <v>0</v>
      </c>
    </row>
    <row r="47" spans="1:33">
      <c r="A47" s="29">
        <f>data0!A47</f>
        <v>45</v>
      </c>
      <c r="B47" s="28">
        <f>data1!B47/range*(2^resolution-1)</f>
        <v>0</v>
      </c>
      <c r="C47" s="28">
        <f>data1!C47/range*(2^resolution-1)</f>
        <v>0</v>
      </c>
      <c r="D47" s="28">
        <f>data1!D47/range*(2^resolution-1)</f>
        <v>0</v>
      </c>
      <c r="E47" s="28">
        <f>data1!E47/range*(2^resolution-1)</f>
        <v>0</v>
      </c>
      <c r="F47" s="28">
        <f>data1!F47/range*(2^resolution-1)</f>
        <v>0</v>
      </c>
      <c r="G47" s="28">
        <f>data1!G47/range*(2^resolution-1)</f>
        <v>0</v>
      </c>
      <c r="H47" s="28">
        <f>data1!H47/range*(2^resolution-1)</f>
        <v>0</v>
      </c>
      <c r="I47" s="28">
        <f>data1!I47/range*(2^resolution-1)</f>
        <v>0</v>
      </c>
      <c r="J47" s="28">
        <f>data1!J47/range*(2^resolution-1)</f>
        <v>0</v>
      </c>
      <c r="K47" s="28">
        <f>data1!K47/range*(2^resolution-1)</f>
        <v>0</v>
      </c>
      <c r="L47" s="28">
        <f>data1!L47/range*(2^resolution-1)</f>
        <v>0</v>
      </c>
      <c r="M47" s="28">
        <f>data1!M47/range*(2^resolution-1)</f>
        <v>0</v>
      </c>
      <c r="N47" s="28">
        <f>data1!N47/range*(2^resolution-1)</f>
        <v>0</v>
      </c>
      <c r="O47" s="28">
        <f>data1!O47/range*(2^resolution-1)</f>
        <v>0</v>
      </c>
      <c r="P47" s="28">
        <f>data1!P47/range*(2^resolution-1)</f>
        <v>0</v>
      </c>
      <c r="Q47" s="28">
        <f>data1!Q47/range*(2^resolution-1)</f>
        <v>0</v>
      </c>
      <c r="R47" s="28">
        <f>data1!R47/range*(2^resolution-1)</f>
        <v>0</v>
      </c>
      <c r="S47" s="28">
        <f>data1!S47/range*(2^resolution-1)</f>
        <v>0</v>
      </c>
      <c r="T47" s="28">
        <f>data1!T47/range*(2^resolution-1)</f>
        <v>0</v>
      </c>
      <c r="U47" s="28">
        <f>data1!U47/range*(2^resolution-1)</f>
        <v>0</v>
      </c>
      <c r="V47" s="28">
        <f>data1!V47/range*(2^resolution-1)</f>
        <v>0</v>
      </c>
      <c r="W47" s="28">
        <f>data1!W47/range*(2^resolution-1)</f>
        <v>0</v>
      </c>
      <c r="X47" s="28">
        <f>data1!X47/range*(2^resolution-1)</f>
        <v>0</v>
      </c>
      <c r="Y47" s="28">
        <f>data1!Y47/range*(2^resolution-1)</f>
        <v>0</v>
      </c>
      <c r="Z47" s="28">
        <f>data1!Z47/range*(2^resolution-1)</f>
        <v>0</v>
      </c>
      <c r="AA47" s="28">
        <f>data1!AA47/range*(2^resolution-1)</f>
        <v>0</v>
      </c>
      <c r="AB47" s="28">
        <f>data1!AB47/range*(2^resolution-1)</f>
        <v>0</v>
      </c>
      <c r="AC47" s="28">
        <f>data1!AC47/range*(2^resolution-1)</f>
        <v>0</v>
      </c>
      <c r="AD47" s="28">
        <f>data1!AD47/range*(2^resolution-1)</f>
        <v>0</v>
      </c>
      <c r="AE47" s="28">
        <f>data1!AE47/range*(2^resolution-1)</f>
        <v>0</v>
      </c>
      <c r="AF47" s="28">
        <f>data1!AF47/range*(2^resolution-1)</f>
        <v>0</v>
      </c>
      <c r="AG47" s="28">
        <f>data1!AG47/range*(2^resolution-1)</f>
        <v>0</v>
      </c>
    </row>
    <row r="48" spans="1:33">
      <c r="A48" s="29">
        <f>data0!A48</f>
        <v>48</v>
      </c>
      <c r="B48" s="28">
        <f>data1!B48/range*(2^resolution-1)</f>
        <v>0</v>
      </c>
      <c r="C48" s="28">
        <f>data1!C48/range*(2^resolution-1)</f>
        <v>0</v>
      </c>
      <c r="D48" s="28">
        <f>data1!D48/range*(2^resolution-1)</f>
        <v>0</v>
      </c>
      <c r="E48" s="28">
        <f>data1!E48/range*(2^resolution-1)</f>
        <v>0</v>
      </c>
      <c r="F48" s="28">
        <f>data1!F48/range*(2^resolution-1)</f>
        <v>0</v>
      </c>
      <c r="G48" s="28">
        <f>data1!G48/range*(2^resolution-1)</f>
        <v>0</v>
      </c>
      <c r="H48" s="28">
        <f>data1!H48/range*(2^resolution-1)</f>
        <v>0</v>
      </c>
      <c r="I48" s="28">
        <f>data1!I48/range*(2^resolution-1)</f>
        <v>0</v>
      </c>
      <c r="J48" s="28">
        <f>data1!J48/range*(2^resolution-1)</f>
        <v>0</v>
      </c>
      <c r="K48" s="28">
        <f>data1!K48/range*(2^resolution-1)</f>
        <v>0</v>
      </c>
      <c r="L48" s="28">
        <f>data1!L48/range*(2^resolution-1)</f>
        <v>0</v>
      </c>
      <c r="M48" s="28">
        <f>data1!M48/range*(2^resolution-1)</f>
        <v>0</v>
      </c>
      <c r="N48" s="28">
        <f>data1!N48/range*(2^resolution-1)</f>
        <v>0</v>
      </c>
      <c r="O48" s="28">
        <f>data1!O48/range*(2^resolution-1)</f>
        <v>0</v>
      </c>
      <c r="P48" s="28">
        <f>data1!P48/range*(2^resolution-1)</f>
        <v>0</v>
      </c>
      <c r="Q48" s="28">
        <f>data1!Q48/range*(2^resolution-1)</f>
        <v>0</v>
      </c>
      <c r="R48" s="28">
        <f>data1!R48/range*(2^resolution-1)</f>
        <v>0</v>
      </c>
      <c r="S48" s="28">
        <f>data1!S48/range*(2^resolution-1)</f>
        <v>0</v>
      </c>
      <c r="T48" s="28">
        <f>data1!T48/range*(2^resolution-1)</f>
        <v>0</v>
      </c>
      <c r="U48" s="28">
        <f>data1!U48/range*(2^resolution-1)</f>
        <v>0</v>
      </c>
      <c r="V48" s="28">
        <f>data1!V48/range*(2^resolution-1)</f>
        <v>0</v>
      </c>
      <c r="W48" s="28">
        <f>data1!W48/range*(2^resolution-1)</f>
        <v>0</v>
      </c>
      <c r="X48" s="28">
        <f>data1!X48/range*(2^resolution-1)</f>
        <v>0</v>
      </c>
      <c r="Y48" s="28">
        <f>data1!Y48/range*(2^resolution-1)</f>
        <v>0</v>
      </c>
      <c r="Z48" s="28">
        <f>data1!Z48/range*(2^resolution-1)</f>
        <v>0</v>
      </c>
      <c r="AA48" s="28">
        <f>data1!AA48/range*(2^resolution-1)</f>
        <v>0</v>
      </c>
      <c r="AB48" s="28">
        <f>data1!AB48/range*(2^resolution-1)</f>
        <v>0</v>
      </c>
      <c r="AC48" s="28">
        <f>data1!AC48/range*(2^resolution-1)</f>
        <v>0</v>
      </c>
      <c r="AD48" s="28">
        <f>data1!AD48/range*(2^resolution-1)</f>
        <v>0</v>
      </c>
      <c r="AE48" s="28">
        <f>data1!AE48/range*(2^resolution-1)</f>
        <v>0</v>
      </c>
      <c r="AF48" s="28">
        <f>data1!AF48/range*(2^resolution-1)</f>
        <v>0</v>
      </c>
      <c r="AG48" s="28">
        <f>data1!AG48/range*(2^resolution-1)</f>
        <v>0</v>
      </c>
    </row>
    <row r="49" spans="1:33">
      <c r="A49" s="29">
        <f>data0!A49</f>
        <v>51</v>
      </c>
      <c r="B49" s="28">
        <f>data1!B49/range*(2^resolution-1)</f>
        <v>0</v>
      </c>
      <c r="C49" s="28">
        <f>data1!C49/range*(2^resolution-1)</f>
        <v>0</v>
      </c>
      <c r="D49" s="28">
        <f>data1!D49/range*(2^resolution-1)</f>
        <v>0</v>
      </c>
      <c r="E49" s="28">
        <f>data1!E49/range*(2^resolution-1)</f>
        <v>0</v>
      </c>
      <c r="F49" s="28">
        <f>data1!F49/range*(2^resolution-1)</f>
        <v>0</v>
      </c>
      <c r="G49" s="28">
        <f>data1!G49/range*(2^resolution-1)</f>
        <v>0</v>
      </c>
      <c r="H49" s="28">
        <f>data1!H49/range*(2^resolution-1)</f>
        <v>0</v>
      </c>
      <c r="I49" s="28">
        <f>data1!I49/range*(2^resolution-1)</f>
        <v>0</v>
      </c>
      <c r="J49" s="28">
        <f>data1!J49/range*(2^resolution-1)</f>
        <v>0</v>
      </c>
      <c r="K49" s="28">
        <f>data1!K49/range*(2^resolution-1)</f>
        <v>0</v>
      </c>
      <c r="L49" s="28">
        <f>data1!L49/range*(2^resolution-1)</f>
        <v>0</v>
      </c>
      <c r="M49" s="28">
        <f>data1!M49/range*(2^resolution-1)</f>
        <v>0</v>
      </c>
      <c r="N49" s="28">
        <f>data1!N49/range*(2^resolution-1)</f>
        <v>0</v>
      </c>
      <c r="O49" s="28">
        <f>data1!O49/range*(2^resolution-1)</f>
        <v>0</v>
      </c>
      <c r="P49" s="28">
        <f>data1!P49/range*(2^resolution-1)</f>
        <v>0</v>
      </c>
      <c r="Q49" s="28">
        <f>data1!Q49/range*(2^resolution-1)</f>
        <v>0</v>
      </c>
      <c r="R49" s="28">
        <f>data1!R49/range*(2^resolution-1)</f>
        <v>0</v>
      </c>
      <c r="S49" s="28">
        <f>data1!S49/range*(2^resolution-1)</f>
        <v>0</v>
      </c>
      <c r="T49" s="28">
        <f>data1!T49/range*(2^resolution-1)</f>
        <v>0</v>
      </c>
      <c r="U49" s="28">
        <f>data1!U49/range*(2^resolution-1)</f>
        <v>0</v>
      </c>
      <c r="V49" s="28">
        <f>data1!V49/range*(2^resolution-1)</f>
        <v>0</v>
      </c>
      <c r="W49" s="28">
        <f>data1!W49/range*(2^resolution-1)</f>
        <v>0</v>
      </c>
      <c r="X49" s="28">
        <f>data1!X49/range*(2^resolution-1)</f>
        <v>0</v>
      </c>
      <c r="Y49" s="28">
        <f>data1!Y49/range*(2^resolution-1)</f>
        <v>0</v>
      </c>
      <c r="Z49" s="28">
        <f>data1!Z49/range*(2^resolution-1)</f>
        <v>0</v>
      </c>
      <c r="AA49" s="28">
        <f>data1!AA49/range*(2^resolution-1)</f>
        <v>0</v>
      </c>
      <c r="AB49" s="28">
        <f>data1!AB49/range*(2^resolution-1)</f>
        <v>0</v>
      </c>
      <c r="AC49" s="28">
        <f>data1!AC49/range*(2^resolution-1)</f>
        <v>0</v>
      </c>
      <c r="AD49" s="28">
        <f>data1!AD49/range*(2^resolution-1)</f>
        <v>0</v>
      </c>
      <c r="AE49" s="28">
        <f>data1!AE49/range*(2^resolution-1)</f>
        <v>0</v>
      </c>
      <c r="AF49" s="28">
        <f>data1!AF49/range*(2^resolution-1)</f>
        <v>0</v>
      </c>
      <c r="AG49" s="28">
        <f>data1!AG49/range*(2^resolution-1)</f>
        <v>0</v>
      </c>
    </row>
    <row r="50" spans="1:33">
      <c r="A50" s="29">
        <f>data0!A50</f>
        <v>54</v>
      </c>
      <c r="B50" s="28">
        <f>data1!B50/range*(2^resolution-1)</f>
        <v>0</v>
      </c>
      <c r="C50" s="28">
        <f>data1!C50/range*(2^resolution-1)</f>
        <v>0</v>
      </c>
      <c r="D50" s="28">
        <f>data1!D50/range*(2^resolution-1)</f>
        <v>0</v>
      </c>
      <c r="E50" s="28">
        <f>data1!E50/range*(2^resolution-1)</f>
        <v>0</v>
      </c>
      <c r="F50" s="28">
        <f>data1!F50/range*(2^resolution-1)</f>
        <v>0</v>
      </c>
      <c r="G50" s="28">
        <f>data1!G50/range*(2^resolution-1)</f>
        <v>0</v>
      </c>
      <c r="H50" s="28">
        <f>data1!H50/range*(2^resolution-1)</f>
        <v>0</v>
      </c>
      <c r="I50" s="28">
        <f>data1!I50/range*(2^resolution-1)</f>
        <v>0</v>
      </c>
      <c r="J50" s="28">
        <f>data1!J50/range*(2^resolution-1)</f>
        <v>0</v>
      </c>
      <c r="K50" s="28">
        <f>data1!K50/range*(2^resolution-1)</f>
        <v>0</v>
      </c>
      <c r="L50" s="28">
        <f>data1!L50/range*(2^resolution-1)</f>
        <v>0</v>
      </c>
      <c r="M50" s="28">
        <f>data1!M50/range*(2^resolution-1)</f>
        <v>0</v>
      </c>
      <c r="N50" s="28">
        <f>data1!N50/range*(2^resolution-1)</f>
        <v>0</v>
      </c>
      <c r="O50" s="28">
        <f>data1!O50/range*(2^resolution-1)</f>
        <v>0</v>
      </c>
      <c r="P50" s="28">
        <f>data1!P50/range*(2^resolution-1)</f>
        <v>0</v>
      </c>
      <c r="Q50" s="28">
        <f>data1!Q50/range*(2^resolution-1)</f>
        <v>0</v>
      </c>
      <c r="R50" s="28">
        <f>data1!R50/range*(2^resolution-1)</f>
        <v>0</v>
      </c>
      <c r="S50" s="28">
        <f>data1!S50/range*(2^resolution-1)</f>
        <v>0</v>
      </c>
      <c r="T50" s="28">
        <f>data1!T50/range*(2^resolution-1)</f>
        <v>0</v>
      </c>
      <c r="U50" s="28">
        <f>data1!U50/range*(2^resolution-1)</f>
        <v>0</v>
      </c>
      <c r="V50" s="28">
        <f>data1!V50/range*(2^resolution-1)</f>
        <v>0</v>
      </c>
      <c r="W50" s="28">
        <f>data1!W50/range*(2^resolution-1)</f>
        <v>0</v>
      </c>
      <c r="X50" s="28">
        <f>data1!X50/range*(2^resolution-1)</f>
        <v>0</v>
      </c>
      <c r="Y50" s="28">
        <f>data1!Y50/range*(2^resolution-1)</f>
        <v>0</v>
      </c>
      <c r="Z50" s="28">
        <f>data1!Z50/range*(2^resolution-1)</f>
        <v>0</v>
      </c>
      <c r="AA50" s="28">
        <f>data1!AA50/range*(2^resolution-1)</f>
        <v>0</v>
      </c>
      <c r="AB50" s="28">
        <f>data1!AB50/range*(2^resolution-1)</f>
        <v>0</v>
      </c>
      <c r="AC50" s="28">
        <f>data1!AC50/range*(2^resolution-1)</f>
        <v>0</v>
      </c>
      <c r="AD50" s="28">
        <f>data1!AD50/range*(2^resolution-1)</f>
        <v>0</v>
      </c>
      <c r="AE50" s="28">
        <f>data1!AE50/range*(2^resolution-1)</f>
        <v>0</v>
      </c>
      <c r="AF50" s="28">
        <f>data1!AF50/range*(2^resolution-1)</f>
        <v>0</v>
      </c>
      <c r="AG50" s="28">
        <f>data1!AG50/range*(2^resolution-1)</f>
        <v>0</v>
      </c>
    </row>
    <row r="51" spans="1:33">
      <c r="A51" s="29">
        <f>data0!A51</f>
        <v>57</v>
      </c>
      <c r="B51" s="28">
        <f>data1!B51/range*(2^resolution-1)</f>
        <v>0</v>
      </c>
      <c r="C51" s="28">
        <f>data1!C51/range*(2^resolution-1)</f>
        <v>0</v>
      </c>
      <c r="D51" s="28">
        <f>data1!D51/range*(2^resolution-1)</f>
        <v>0</v>
      </c>
      <c r="E51" s="28">
        <f>data1!E51/range*(2^resolution-1)</f>
        <v>0</v>
      </c>
      <c r="F51" s="28">
        <f>data1!F51/range*(2^resolution-1)</f>
        <v>0</v>
      </c>
      <c r="G51" s="28">
        <f>data1!G51/range*(2^resolution-1)</f>
        <v>0</v>
      </c>
      <c r="H51" s="28">
        <f>data1!H51/range*(2^resolution-1)</f>
        <v>0</v>
      </c>
      <c r="I51" s="28">
        <f>data1!I51/range*(2^resolution-1)</f>
        <v>0</v>
      </c>
      <c r="J51" s="28">
        <f>data1!J51/range*(2^resolution-1)</f>
        <v>0</v>
      </c>
      <c r="K51" s="28">
        <f>data1!K51/range*(2^resolution-1)</f>
        <v>0</v>
      </c>
      <c r="L51" s="28">
        <f>data1!L51/range*(2^resolution-1)</f>
        <v>0</v>
      </c>
      <c r="M51" s="28">
        <f>data1!M51/range*(2^resolution-1)</f>
        <v>0</v>
      </c>
      <c r="N51" s="28">
        <f>data1!N51/range*(2^resolution-1)</f>
        <v>0</v>
      </c>
      <c r="O51" s="28">
        <f>data1!O51/range*(2^resolution-1)</f>
        <v>0</v>
      </c>
      <c r="P51" s="28">
        <f>data1!P51/range*(2^resolution-1)</f>
        <v>0</v>
      </c>
      <c r="Q51" s="28">
        <f>data1!Q51/range*(2^resolution-1)</f>
        <v>0</v>
      </c>
      <c r="R51" s="28">
        <f>data1!R51/range*(2^resolution-1)</f>
        <v>0</v>
      </c>
      <c r="S51" s="28">
        <f>data1!S51/range*(2^resolution-1)</f>
        <v>0</v>
      </c>
      <c r="T51" s="28">
        <f>data1!T51/range*(2^resolution-1)</f>
        <v>0</v>
      </c>
      <c r="U51" s="28">
        <f>data1!U51/range*(2^resolution-1)</f>
        <v>0</v>
      </c>
      <c r="V51" s="28">
        <f>data1!V51/range*(2^resolution-1)</f>
        <v>0</v>
      </c>
      <c r="W51" s="28">
        <f>data1!W51/range*(2^resolution-1)</f>
        <v>0</v>
      </c>
      <c r="X51" s="28">
        <f>data1!X51/range*(2^resolution-1)</f>
        <v>0</v>
      </c>
      <c r="Y51" s="28">
        <f>data1!Y51/range*(2^resolution-1)</f>
        <v>0</v>
      </c>
      <c r="Z51" s="28">
        <f>data1!Z51/range*(2^resolution-1)</f>
        <v>0</v>
      </c>
      <c r="AA51" s="28">
        <f>data1!AA51/range*(2^resolution-1)</f>
        <v>0</v>
      </c>
      <c r="AB51" s="28">
        <f>data1!AB51/range*(2^resolution-1)</f>
        <v>0</v>
      </c>
      <c r="AC51" s="28">
        <f>data1!AC51/range*(2^resolution-1)</f>
        <v>0</v>
      </c>
      <c r="AD51" s="28">
        <f>data1!AD51/range*(2^resolution-1)</f>
        <v>0</v>
      </c>
      <c r="AE51" s="28">
        <f>data1!AE51/range*(2^resolution-1)</f>
        <v>0</v>
      </c>
      <c r="AF51" s="28">
        <f>data1!AF51/range*(2^resolution-1)</f>
        <v>0</v>
      </c>
      <c r="AG51" s="28">
        <f>data1!AG51/range*(2^resolution-1)</f>
        <v>0</v>
      </c>
    </row>
    <row r="52" spans="1:33">
      <c r="A52" s="29">
        <f>data0!A52</f>
        <v>60</v>
      </c>
      <c r="B52" s="28">
        <f>data1!B52/range*(2^resolution-1)</f>
        <v>0</v>
      </c>
      <c r="C52" s="28">
        <f>data1!C52/range*(2^resolution-1)</f>
        <v>0</v>
      </c>
      <c r="D52" s="28">
        <f>data1!D52/range*(2^resolution-1)</f>
        <v>0</v>
      </c>
      <c r="E52" s="28">
        <f>data1!E52/range*(2^resolution-1)</f>
        <v>0</v>
      </c>
      <c r="F52" s="28">
        <f>data1!F52/range*(2^resolution-1)</f>
        <v>0</v>
      </c>
      <c r="G52" s="28">
        <f>data1!G52/range*(2^resolution-1)</f>
        <v>0</v>
      </c>
      <c r="H52" s="28">
        <f>data1!H52/range*(2^resolution-1)</f>
        <v>0</v>
      </c>
      <c r="I52" s="28">
        <f>data1!I52/range*(2^resolution-1)</f>
        <v>0</v>
      </c>
      <c r="J52" s="28">
        <f>data1!J52/range*(2^resolution-1)</f>
        <v>0</v>
      </c>
      <c r="K52" s="28">
        <f>data1!K52/range*(2^resolution-1)</f>
        <v>0</v>
      </c>
      <c r="L52" s="28">
        <f>data1!L52/range*(2^resolution-1)</f>
        <v>0</v>
      </c>
      <c r="M52" s="28">
        <f>data1!M52/range*(2^resolution-1)</f>
        <v>0</v>
      </c>
      <c r="N52" s="28">
        <f>data1!N52/range*(2^resolution-1)</f>
        <v>0</v>
      </c>
      <c r="O52" s="28">
        <f>data1!O52/range*(2^resolution-1)</f>
        <v>0</v>
      </c>
      <c r="P52" s="28">
        <f>data1!P52/range*(2^resolution-1)</f>
        <v>0</v>
      </c>
      <c r="Q52" s="28">
        <f>data1!Q52/range*(2^resolution-1)</f>
        <v>0</v>
      </c>
      <c r="R52" s="28">
        <f>data1!R52/range*(2^resolution-1)</f>
        <v>0</v>
      </c>
      <c r="S52" s="28">
        <f>data1!S52/range*(2^resolution-1)</f>
        <v>0</v>
      </c>
      <c r="T52" s="28">
        <f>data1!T52/range*(2^resolution-1)</f>
        <v>0</v>
      </c>
      <c r="U52" s="28">
        <f>data1!U52/range*(2^resolution-1)</f>
        <v>0</v>
      </c>
      <c r="V52" s="28">
        <f>data1!V52/range*(2^resolution-1)</f>
        <v>0</v>
      </c>
      <c r="W52" s="28">
        <f>data1!W52/range*(2^resolution-1)</f>
        <v>0</v>
      </c>
      <c r="X52" s="28">
        <f>data1!X52/range*(2^resolution-1)</f>
        <v>0</v>
      </c>
      <c r="Y52" s="28">
        <f>data1!Y52/range*(2^resolution-1)</f>
        <v>0</v>
      </c>
      <c r="Z52" s="28">
        <f>data1!Z52/range*(2^resolution-1)</f>
        <v>0</v>
      </c>
      <c r="AA52" s="28">
        <f>data1!AA52/range*(2^resolution-1)</f>
        <v>0</v>
      </c>
      <c r="AB52" s="28">
        <f>data1!AB52/range*(2^resolution-1)</f>
        <v>0</v>
      </c>
      <c r="AC52" s="28">
        <f>data1!AC52/range*(2^resolution-1)</f>
        <v>0</v>
      </c>
      <c r="AD52" s="28">
        <f>data1!AD52/range*(2^resolution-1)</f>
        <v>0</v>
      </c>
      <c r="AE52" s="28">
        <f>data1!AE52/range*(2^resolution-1)</f>
        <v>0</v>
      </c>
      <c r="AF52" s="28">
        <f>data1!AF52/range*(2^resolution-1)</f>
        <v>0</v>
      </c>
      <c r="AG52" s="28">
        <f>data1!AG52/range*(2^resolution-1)</f>
        <v>0</v>
      </c>
    </row>
    <row r="53" spans="1:33">
      <c r="A53" s="29">
        <f>data0!A53</f>
        <v>63</v>
      </c>
      <c r="B53" s="28">
        <f>data1!B53/range*(2^resolution-1)</f>
        <v>0</v>
      </c>
      <c r="C53" s="28">
        <f>data1!C53/range*(2^resolution-1)</f>
        <v>0</v>
      </c>
      <c r="D53" s="28">
        <f>data1!D53/range*(2^resolution-1)</f>
        <v>0</v>
      </c>
      <c r="E53" s="28">
        <f>data1!E53/range*(2^resolution-1)</f>
        <v>0</v>
      </c>
      <c r="F53" s="28">
        <f>data1!F53/range*(2^resolution-1)</f>
        <v>0</v>
      </c>
      <c r="G53" s="28">
        <f>data1!G53/range*(2^resolution-1)</f>
        <v>0</v>
      </c>
      <c r="H53" s="28">
        <f>data1!H53/range*(2^resolution-1)</f>
        <v>0</v>
      </c>
      <c r="I53" s="28">
        <f>data1!I53/range*(2^resolution-1)</f>
        <v>0</v>
      </c>
      <c r="J53" s="28">
        <f>data1!J53/range*(2^resolution-1)</f>
        <v>0</v>
      </c>
      <c r="K53" s="28">
        <f>data1!K53/range*(2^resolution-1)</f>
        <v>0</v>
      </c>
      <c r="L53" s="28">
        <f>data1!L53/range*(2^resolution-1)</f>
        <v>0</v>
      </c>
      <c r="M53" s="28">
        <f>data1!M53/range*(2^resolution-1)</f>
        <v>0</v>
      </c>
      <c r="N53" s="28">
        <f>data1!N53/range*(2^resolution-1)</f>
        <v>0</v>
      </c>
      <c r="O53" s="28">
        <f>data1!O53/range*(2^resolution-1)</f>
        <v>0</v>
      </c>
      <c r="P53" s="28">
        <f>data1!P53/range*(2^resolution-1)</f>
        <v>0</v>
      </c>
      <c r="Q53" s="28">
        <f>data1!Q53/range*(2^resolution-1)</f>
        <v>0</v>
      </c>
      <c r="R53" s="28">
        <f>data1!R53/range*(2^resolution-1)</f>
        <v>0</v>
      </c>
      <c r="S53" s="28">
        <f>data1!S53/range*(2^resolution-1)</f>
        <v>0</v>
      </c>
      <c r="T53" s="28">
        <f>data1!T53/range*(2^resolution-1)</f>
        <v>0</v>
      </c>
      <c r="U53" s="28">
        <f>data1!U53/range*(2^resolution-1)</f>
        <v>0</v>
      </c>
      <c r="V53" s="28">
        <f>data1!V53/range*(2^resolution-1)</f>
        <v>0</v>
      </c>
      <c r="W53" s="28">
        <f>data1!W53/range*(2^resolution-1)</f>
        <v>0</v>
      </c>
      <c r="X53" s="28">
        <f>data1!X53/range*(2^resolution-1)</f>
        <v>0</v>
      </c>
      <c r="Y53" s="28">
        <f>data1!Y53/range*(2^resolution-1)</f>
        <v>0</v>
      </c>
      <c r="Z53" s="28">
        <f>data1!Z53/range*(2^resolution-1)</f>
        <v>0</v>
      </c>
      <c r="AA53" s="28">
        <f>data1!AA53/range*(2^resolution-1)</f>
        <v>0</v>
      </c>
      <c r="AB53" s="28">
        <f>data1!AB53/range*(2^resolution-1)</f>
        <v>0</v>
      </c>
      <c r="AC53" s="28">
        <f>data1!AC53/range*(2^resolution-1)</f>
        <v>0</v>
      </c>
      <c r="AD53" s="28">
        <f>data1!AD53/range*(2^resolution-1)</f>
        <v>0</v>
      </c>
      <c r="AE53" s="28">
        <f>data1!AE53/range*(2^resolution-1)</f>
        <v>0</v>
      </c>
      <c r="AF53" s="28">
        <f>data1!AF53/range*(2^resolution-1)</f>
        <v>0</v>
      </c>
      <c r="AG53" s="28">
        <f>data1!AG53/range*(2^resolution-1)</f>
        <v>0</v>
      </c>
    </row>
    <row r="54" spans="1:33">
      <c r="A54" s="29">
        <f>data0!A54</f>
        <v>66</v>
      </c>
      <c r="B54" s="28">
        <f>data1!B54/range*(2^resolution-1)</f>
        <v>0</v>
      </c>
      <c r="C54" s="28">
        <f>data1!C54/range*(2^resolution-1)</f>
        <v>0</v>
      </c>
      <c r="D54" s="28">
        <f>data1!D54/range*(2^resolution-1)</f>
        <v>0</v>
      </c>
      <c r="E54" s="28">
        <f>data1!E54/range*(2^resolution-1)</f>
        <v>0</v>
      </c>
      <c r="F54" s="28">
        <f>data1!F54/range*(2^resolution-1)</f>
        <v>0</v>
      </c>
      <c r="G54" s="28">
        <f>data1!G54/range*(2^resolution-1)</f>
        <v>0</v>
      </c>
      <c r="H54" s="28">
        <f>data1!H54/range*(2^resolution-1)</f>
        <v>0</v>
      </c>
      <c r="I54" s="28">
        <f>data1!I54/range*(2^resolution-1)</f>
        <v>0</v>
      </c>
      <c r="J54" s="28">
        <f>data1!J54/range*(2^resolution-1)</f>
        <v>0</v>
      </c>
      <c r="K54" s="28">
        <f>data1!K54/range*(2^resolution-1)</f>
        <v>0</v>
      </c>
      <c r="L54" s="28">
        <f>data1!L54/range*(2^resolution-1)</f>
        <v>0</v>
      </c>
      <c r="M54" s="28">
        <f>data1!M54/range*(2^resolution-1)</f>
        <v>0</v>
      </c>
      <c r="N54" s="28">
        <f>data1!N54/range*(2^resolution-1)</f>
        <v>0</v>
      </c>
      <c r="O54" s="28">
        <f>data1!O54/range*(2^resolution-1)</f>
        <v>0</v>
      </c>
      <c r="P54" s="28">
        <f>data1!P54/range*(2^resolution-1)</f>
        <v>0</v>
      </c>
      <c r="Q54" s="28">
        <f>data1!Q54/range*(2^resolution-1)</f>
        <v>0</v>
      </c>
      <c r="R54" s="28">
        <f>data1!R54/range*(2^resolution-1)</f>
        <v>0</v>
      </c>
      <c r="S54" s="28">
        <f>data1!S54/range*(2^resolution-1)</f>
        <v>0</v>
      </c>
      <c r="T54" s="28">
        <f>data1!T54/range*(2^resolution-1)</f>
        <v>0</v>
      </c>
      <c r="U54" s="28">
        <f>data1!U54/range*(2^resolution-1)</f>
        <v>0</v>
      </c>
      <c r="V54" s="28">
        <f>data1!V54/range*(2^resolution-1)</f>
        <v>0</v>
      </c>
      <c r="W54" s="28">
        <f>data1!W54/range*(2^resolution-1)</f>
        <v>0</v>
      </c>
      <c r="X54" s="28">
        <f>data1!X54/range*(2^resolution-1)</f>
        <v>0</v>
      </c>
      <c r="Y54" s="28">
        <f>data1!Y54/range*(2^resolution-1)</f>
        <v>0</v>
      </c>
      <c r="Z54" s="28">
        <f>data1!Z54/range*(2^resolution-1)</f>
        <v>0</v>
      </c>
      <c r="AA54" s="28">
        <f>data1!AA54/range*(2^resolution-1)</f>
        <v>0</v>
      </c>
      <c r="AB54" s="28">
        <f>data1!AB54/range*(2^resolution-1)</f>
        <v>0</v>
      </c>
      <c r="AC54" s="28">
        <f>data1!AC54/range*(2^resolution-1)</f>
        <v>0</v>
      </c>
      <c r="AD54" s="28">
        <f>data1!AD54/range*(2^resolution-1)</f>
        <v>0</v>
      </c>
      <c r="AE54" s="28">
        <f>data1!AE54/range*(2^resolution-1)</f>
        <v>0</v>
      </c>
      <c r="AF54" s="28">
        <f>data1!AF54/range*(2^resolution-1)</f>
        <v>0</v>
      </c>
      <c r="AG54" s="28">
        <f>data1!AG54/range*(2^resolution-1)</f>
        <v>0</v>
      </c>
    </row>
    <row r="55" spans="1:33">
      <c r="A55" s="29">
        <f>data0!A55</f>
        <v>69</v>
      </c>
      <c r="B55" s="28">
        <f>data1!B55/range*(2^resolution-1)</f>
        <v>0</v>
      </c>
      <c r="C55" s="28">
        <f>data1!C55/range*(2^resolution-1)</f>
        <v>0</v>
      </c>
      <c r="D55" s="28">
        <f>data1!D55/range*(2^resolution-1)</f>
        <v>0</v>
      </c>
      <c r="E55" s="28">
        <f>data1!E55/range*(2^resolution-1)</f>
        <v>0</v>
      </c>
      <c r="F55" s="28">
        <f>data1!F55/range*(2^resolution-1)</f>
        <v>0</v>
      </c>
      <c r="G55" s="28">
        <f>data1!G55/range*(2^resolution-1)</f>
        <v>0</v>
      </c>
      <c r="H55" s="28">
        <f>data1!H55/range*(2^resolution-1)</f>
        <v>0</v>
      </c>
      <c r="I55" s="28">
        <f>data1!I55/range*(2^resolution-1)</f>
        <v>0</v>
      </c>
      <c r="J55" s="28">
        <f>data1!J55/range*(2^resolution-1)</f>
        <v>0</v>
      </c>
      <c r="K55" s="28">
        <f>data1!K55/range*(2^resolution-1)</f>
        <v>0</v>
      </c>
      <c r="L55" s="28">
        <f>data1!L55/range*(2^resolution-1)</f>
        <v>0</v>
      </c>
      <c r="M55" s="28">
        <f>data1!M55/range*(2^resolution-1)</f>
        <v>0</v>
      </c>
      <c r="N55" s="28">
        <f>data1!N55/range*(2^resolution-1)</f>
        <v>0</v>
      </c>
      <c r="O55" s="28">
        <f>data1!O55/range*(2^resolution-1)</f>
        <v>0</v>
      </c>
      <c r="P55" s="28">
        <f>data1!P55/range*(2^resolution-1)</f>
        <v>0</v>
      </c>
      <c r="Q55" s="28">
        <f>data1!Q55/range*(2^resolution-1)</f>
        <v>0</v>
      </c>
      <c r="R55" s="28">
        <f>data1!R55/range*(2^resolution-1)</f>
        <v>0</v>
      </c>
      <c r="S55" s="28">
        <f>data1!S55/range*(2^resolution-1)</f>
        <v>0</v>
      </c>
      <c r="T55" s="28">
        <f>data1!T55/range*(2^resolution-1)</f>
        <v>0</v>
      </c>
      <c r="U55" s="28">
        <f>data1!U55/range*(2^resolution-1)</f>
        <v>0</v>
      </c>
      <c r="V55" s="28">
        <f>data1!V55/range*(2^resolution-1)</f>
        <v>0</v>
      </c>
      <c r="W55" s="28">
        <f>data1!W55/range*(2^resolution-1)</f>
        <v>0</v>
      </c>
      <c r="X55" s="28">
        <f>data1!X55/range*(2^resolution-1)</f>
        <v>0</v>
      </c>
      <c r="Y55" s="28">
        <f>data1!Y55/range*(2^resolution-1)</f>
        <v>0</v>
      </c>
      <c r="Z55" s="28">
        <f>data1!Z55/range*(2^resolution-1)</f>
        <v>0</v>
      </c>
      <c r="AA55" s="28">
        <f>data1!AA55/range*(2^resolution-1)</f>
        <v>0</v>
      </c>
      <c r="AB55" s="28">
        <f>data1!AB55/range*(2^resolution-1)</f>
        <v>0</v>
      </c>
      <c r="AC55" s="28">
        <f>data1!AC55/range*(2^resolution-1)</f>
        <v>0</v>
      </c>
      <c r="AD55" s="28">
        <f>data1!AD55/range*(2^resolution-1)</f>
        <v>0</v>
      </c>
      <c r="AE55" s="28">
        <f>data1!AE55/range*(2^resolution-1)</f>
        <v>0</v>
      </c>
      <c r="AF55" s="28">
        <f>data1!AF55/range*(2^resolution-1)</f>
        <v>0</v>
      </c>
      <c r="AG55" s="28">
        <f>data1!AG55/range*(2^resolution-1)</f>
        <v>0</v>
      </c>
    </row>
    <row r="56" spans="1:33">
      <c r="A56" s="29">
        <f>data0!A56</f>
        <v>72</v>
      </c>
      <c r="B56" s="28">
        <f>data1!B56/range*(2^resolution-1)</f>
        <v>0</v>
      </c>
      <c r="C56" s="28">
        <f>data1!C56/range*(2^resolution-1)</f>
        <v>0</v>
      </c>
      <c r="D56" s="28">
        <f>data1!D56/range*(2^resolution-1)</f>
        <v>0</v>
      </c>
      <c r="E56" s="28">
        <f>data1!E56/range*(2^resolution-1)</f>
        <v>0</v>
      </c>
      <c r="F56" s="28">
        <f>data1!F56/range*(2^resolution-1)</f>
        <v>0</v>
      </c>
      <c r="G56" s="28">
        <f>data1!G56/range*(2^resolution-1)</f>
        <v>0</v>
      </c>
      <c r="H56" s="28">
        <f>data1!H56/range*(2^resolution-1)</f>
        <v>0</v>
      </c>
      <c r="I56" s="28">
        <f>data1!I56/range*(2^resolution-1)</f>
        <v>0</v>
      </c>
      <c r="J56" s="28">
        <f>data1!J56/range*(2^resolution-1)</f>
        <v>0</v>
      </c>
      <c r="K56" s="28">
        <f>data1!K56/range*(2^resolution-1)</f>
        <v>0</v>
      </c>
      <c r="L56" s="28">
        <f>data1!L56/range*(2^resolution-1)</f>
        <v>0</v>
      </c>
      <c r="M56" s="28">
        <f>data1!M56/range*(2^resolution-1)</f>
        <v>0</v>
      </c>
      <c r="N56" s="28">
        <f>data1!N56/range*(2^resolution-1)</f>
        <v>0</v>
      </c>
      <c r="O56" s="28">
        <f>data1!O56/range*(2^resolution-1)</f>
        <v>0</v>
      </c>
      <c r="P56" s="28">
        <f>data1!P56/range*(2^resolution-1)</f>
        <v>0</v>
      </c>
      <c r="Q56" s="28">
        <f>data1!Q56/range*(2^resolution-1)</f>
        <v>0</v>
      </c>
      <c r="R56" s="28">
        <f>data1!R56/range*(2^resolution-1)</f>
        <v>0</v>
      </c>
      <c r="S56" s="28">
        <f>data1!S56/range*(2^resolution-1)</f>
        <v>0</v>
      </c>
      <c r="T56" s="28">
        <f>data1!T56/range*(2^resolution-1)</f>
        <v>0</v>
      </c>
      <c r="U56" s="28">
        <f>data1!U56/range*(2^resolution-1)</f>
        <v>0</v>
      </c>
      <c r="V56" s="28">
        <f>data1!V56/range*(2^resolution-1)</f>
        <v>0</v>
      </c>
      <c r="W56" s="28">
        <f>data1!W56/range*(2^resolution-1)</f>
        <v>0</v>
      </c>
      <c r="X56" s="28">
        <f>data1!X56/range*(2^resolution-1)</f>
        <v>0</v>
      </c>
      <c r="Y56" s="28">
        <f>data1!Y56/range*(2^resolution-1)</f>
        <v>0</v>
      </c>
      <c r="Z56" s="28">
        <f>data1!Z56/range*(2^resolution-1)</f>
        <v>0</v>
      </c>
      <c r="AA56" s="28">
        <f>data1!AA56/range*(2^resolution-1)</f>
        <v>0</v>
      </c>
      <c r="AB56" s="28">
        <f>data1!AB56/range*(2^resolution-1)</f>
        <v>0</v>
      </c>
      <c r="AC56" s="28">
        <f>data1!AC56/range*(2^resolution-1)</f>
        <v>0</v>
      </c>
      <c r="AD56" s="28">
        <f>data1!AD56/range*(2^resolution-1)</f>
        <v>0</v>
      </c>
      <c r="AE56" s="28">
        <f>data1!AE56/range*(2^resolution-1)</f>
        <v>0</v>
      </c>
      <c r="AF56" s="28">
        <f>data1!AF56/range*(2^resolution-1)</f>
        <v>0</v>
      </c>
      <c r="AG56" s="28">
        <f>data1!AG56/range*(2^resolution-1)</f>
        <v>0</v>
      </c>
    </row>
    <row r="57" spans="1:33">
      <c r="A57" s="29">
        <f>data0!A57</f>
        <v>75</v>
      </c>
      <c r="B57" s="28">
        <f>data1!B57/range*(2^resolution-1)</f>
        <v>0</v>
      </c>
      <c r="C57" s="28">
        <f>data1!C57/range*(2^resolution-1)</f>
        <v>0</v>
      </c>
      <c r="D57" s="28">
        <f>data1!D57/range*(2^resolution-1)</f>
        <v>0</v>
      </c>
      <c r="E57" s="28">
        <f>data1!E57/range*(2^resolution-1)</f>
        <v>0</v>
      </c>
      <c r="F57" s="28">
        <f>data1!F57/range*(2^resolution-1)</f>
        <v>0</v>
      </c>
      <c r="G57" s="28">
        <f>data1!G57/range*(2^resolution-1)</f>
        <v>0</v>
      </c>
      <c r="H57" s="28">
        <f>data1!H57/range*(2^resolution-1)</f>
        <v>0</v>
      </c>
      <c r="I57" s="28">
        <f>data1!I57/range*(2^resolution-1)</f>
        <v>0</v>
      </c>
      <c r="J57" s="28">
        <f>data1!J57/range*(2^resolution-1)</f>
        <v>0</v>
      </c>
      <c r="K57" s="28">
        <f>data1!K57/range*(2^resolution-1)</f>
        <v>0</v>
      </c>
      <c r="L57" s="28">
        <f>data1!L57/range*(2^resolution-1)</f>
        <v>0</v>
      </c>
      <c r="M57" s="28">
        <f>data1!M57/range*(2^resolution-1)</f>
        <v>0</v>
      </c>
      <c r="N57" s="28">
        <f>data1!N57/range*(2^resolution-1)</f>
        <v>0</v>
      </c>
      <c r="O57" s="28">
        <f>data1!O57/range*(2^resolution-1)</f>
        <v>0</v>
      </c>
      <c r="P57" s="28">
        <f>data1!P57/range*(2^resolution-1)</f>
        <v>0</v>
      </c>
      <c r="Q57" s="28">
        <f>data1!Q57/range*(2^resolution-1)</f>
        <v>0</v>
      </c>
      <c r="R57" s="28">
        <f>data1!R57/range*(2^resolution-1)</f>
        <v>0</v>
      </c>
      <c r="S57" s="28">
        <f>data1!S57/range*(2^resolution-1)</f>
        <v>0</v>
      </c>
      <c r="T57" s="28">
        <f>data1!T57/range*(2^resolution-1)</f>
        <v>0</v>
      </c>
      <c r="U57" s="28">
        <f>data1!U57/range*(2^resolution-1)</f>
        <v>0</v>
      </c>
      <c r="V57" s="28">
        <f>data1!V57/range*(2^resolution-1)</f>
        <v>0</v>
      </c>
      <c r="W57" s="28">
        <f>data1!W57/range*(2^resolution-1)</f>
        <v>0</v>
      </c>
      <c r="X57" s="28">
        <f>data1!X57/range*(2^resolution-1)</f>
        <v>0</v>
      </c>
      <c r="Y57" s="28">
        <f>data1!Y57/range*(2^resolution-1)</f>
        <v>0</v>
      </c>
      <c r="Z57" s="28">
        <f>data1!Z57/range*(2^resolution-1)</f>
        <v>0</v>
      </c>
      <c r="AA57" s="28">
        <f>data1!AA57/range*(2^resolution-1)</f>
        <v>0</v>
      </c>
      <c r="AB57" s="28">
        <f>data1!AB57/range*(2^resolution-1)</f>
        <v>0</v>
      </c>
      <c r="AC57" s="28">
        <f>data1!AC57/range*(2^resolution-1)</f>
        <v>0</v>
      </c>
      <c r="AD57" s="28">
        <f>data1!AD57/range*(2^resolution-1)</f>
        <v>0</v>
      </c>
      <c r="AE57" s="28">
        <f>data1!AE57/range*(2^resolution-1)</f>
        <v>0</v>
      </c>
      <c r="AF57" s="28">
        <f>data1!AF57/range*(2^resolution-1)</f>
        <v>0</v>
      </c>
      <c r="AG57" s="28">
        <f>data1!AG57/range*(2^resolution-1)</f>
        <v>0</v>
      </c>
    </row>
    <row r="58" spans="1:33">
      <c r="A58" s="29">
        <f>data0!A58</f>
        <v>78</v>
      </c>
      <c r="B58" s="28">
        <f>data1!B58/range*(2^resolution-1)</f>
        <v>0</v>
      </c>
      <c r="C58" s="28">
        <f>data1!C58/range*(2^resolution-1)</f>
        <v>0</v>
      </c>
      <c r="D58" s="28">
        <f>data1!D58/range*(2^resolution-1)</f>
        <v>0</v>
      </c>
      <c r="E58" s="28">
        <f>data1!E58/range*(2^resolution-1)</f>
        <v>0</v>
      </c>
      <c r="F58" s="28">
        <f>data1!F58/range*(2^resolution-1)</f>
        <v>0</v>
      </c>
      <c r="G58" s="28">
        <f>data1!G58/range*(2^resolution-1)</f>
        <v>0</v>
      </c>
      <c r="H58" s="28">
        <f>data1!H58/range*(2^resolution-1)</f>
        <v>0</v>
      </c>
      <c r="I58" s="28">
        <f>data1!I58/range*(2^resolution-1)</f>
        <v>0</v>
      </c>
      <c r="J58" s="28">
        <f>data1!J58/range*(2^resolution-1)</f>
        <v>0</v>
      </c>
      <c r="K58" s="28">
        <f>data1!K58/range*(2^resolution-1)</f>
        <v>0</v>
      </c>
      <c r="L58" s="28">
        <f>data1!L58/range*(2^resolution-1)</f>
        <v>0</v>
      </c>
      <c r="M58" s="28">
        <f>data1!M58/range*(2^resolution-1)</f>
        <v>0</v>
      </c>
      <c r="N58" s="28">
        <f>data1!N58/range*(2^resolution-1)</f>
        <v>0</v>
      </c>
      <c r="O58" s="28">
        <f>data1!O58/range*(2^resolution-1)</f>
        <v>0</v>
      </c>
      <c r="P58" s="28">
        <f>data1!P58/range*(2^resolution-1)</f>
        <v>0</v>
      </c>
      <c r="Q58" s="28">
        <f>data1!Q58/range*(2^resolution-1)</f>
        <v>0</v>
      </c>
      <c r="R58" s="28">
        <f>data1!R58/range*(2^resolution-1)</f>
        <v>0</v>
      </c>
      <c r="S58" s="28">
        <f>data1!S58/range*(2^resolution-1)</f>
        <v>0</v>
      </c>
      <c r="T58" s="28">
        <f>data1!T58/range*(2^resolution-1)</f>
        <v>0</v>
      </c>
      <c r="U58" s="28">
        <f>data1!U58/range*(2^resolution-1)</f>
        <v>0</v>
      </c>
      <c r="V58" s="28">
        <f>data1!V58/range*(2^resolution-1)</f>
        <v>0</v>
      </c>
      <c r="W58" s="28">
        <f>data1!W58/range*(2^resolution-1)</f>
        <v>0</v>
      </c>
      <c r="X58" s="28">
        <f>data1!X58/range*(2^resolution-1)</f>
        <v>0</v>
      </c>
      <c r="Y58" s="28">
        <f>data1!Y58/range*(2^resolution-1)</f>
        <v>0</v>
      </c>
      <c r="Z58" s="28">
        <f>data1!Z58/range*(2^resolution-1)</f>
        <v>0</v>
      </c>
      <c r="AA58" s="28">
        <f>data1!AA58/range*(2^resolution-1)</f>
        <v>0</v>
      </c>
      <c r="AB58" s="28">
        <f>data1!AB58/range*(2^resolution-1)</f>
        <v>0</v>
      </c>
      <c r="AC58" s="28">
        <f>data1!AC58/range*(2^resolution-1)</f>
        <v>0</v>
      </c>
      <c r="AD58" s="28">
        <f>data1!AD58/range*(2^resolution-1)</f>
        <v>0</v>
      </c>
      <c r="AE58" s="28">
        <f>data1!AE58/range*(2^resolution-1)</f>
        <v>0</v>
      </c>
      <c r="AF58" s="28">
        <f>data1!AF58/range*(2^resolution-1)</f>
        <v>0</v>
      </c>
      <c r="AG58" s="28">
        <f>data1!AG58/range*(2^resolution-1)</f>
        <v>0</v>
      </c>
    </row>
    <row r="59" spans="1:33">
      <c r="A59" s="29">
        <f>data0!A59</f>
        <v>81</v>
      </c>
      <c r="B59" s="28">
        <f>data1!B59/range*(2^resolution-1)</f>
        <v>0</v>
      </c>
      <c r="C59" s="28">
        <f>data1!C59/range*(2^resolution-1)</f>
        <v>0</v>
      </c>
      <c r="D59" s="28">
        <f>data1!D59/range*(2^resolution-1)</f>
        <v>0</v>
      </c>
      <c r="E59" s="28">
        <f>data1!E59/range*(2^resolution-1)</f>
        <v>0</v>
      </c>
      <c r="F59" s="28">
        <f>data1!F59/range*(2^resolution-1)</f>
        <v>0</v>
      </c>
      <c r="G59" s="28">
        <f>data1!G59/range*(2^resolution-1)</f>
        <v>0</v>
      </c>
      <c r="H59" s="28">
        <f>data1!H59/range*(2^resolution-1)</f>
        <v>0</v>
      </c>
      <c r="I59" s="28">
        <f>data1!I59/range*(2^resolution-1)</f>
        <v>0</v>
      </c>
      <c r="J59" s="28">
        <f>data1!J59/range*(2^resolution-1)</f>
        <v>0</v>
      </c>
      <c r="K59" s="28">
        <f>data1!K59/range*(2^resolution-1)</f>
        <v>0</v>
      </c>
      <c r="L59" s="28">
        <f>data1!L59/range*(2^resolution-1)</f>
        <v>0</v>
      </c>
      <c r="M59" s="28">
        <f>data1!M59/range*(2^resolution-1)</f>
        <v>0</v>
      </c>
      <c r="N59" s="28">
        <f>data1!N59/range*(2^resolution-1)</f>
        <v>0</v>
      </c>
      <c r="O59" s="28">
        <f>data1!O59/range*(2^resolution-1)</f>
        <v>0</v>
      </c>
      <c r="P59" s="28">
        <f>data1!P59/range*(2^resolution-1)</f>
        <v>0</v>
      </c>
      <c r="Q59" s="28">
        <f>data1!Q59/range*(2^resolution-1)</f>
        <v>0</v>
      </c>
      <c r="R59" s="28">
        <f>data1!R59/range*(2^resolution-1)</f>
        <v>0</v>
      </c>
      <c r="S59" s="28">
        <f>data1!S59/range*(2^resolution-1)</f>
        <v>0</v>
      </c>
      <c r="T59" s="28">
        <f>data1!T59/range*(2^resolution-1)</f>
        <v>0</v>
      </c>
      <c r="U59" s="28">
        <f>data1!U59/range*(2^resolution-1)</f>
        <v>0</v>
      </c>
      <c r="V59" s="28">
        <f>data1!V59/range*(2^resolution-1)</f>
        <v>0</v>
      </c>
      <c r="W59" s="28">
        <f>data1!W59/range*(2^resolution-1)</f>
        <v>0</v>
      </c>
      <c r="X59" s="28">
        <f>data1!X59/range*(2^resolution-1)</f>
        <v>0</v>
      </c>
      <c r="Y59" s="28">
        <f>data1!Y59/range*(2^resolution-1)</f>
        <v>0</v>
      </c>
      <c r="Z59" s="28">
        <f>data1!Z59/range*(2^resolution-1)</f>
        <v>0</v>
      </c>
      <c r="AA59" s="28">
        <f>data1!AA59/range*(2^resolution-1)</f>
        <v>0</v>
      </c>
      <c r="AB59" s="28">
        <f>data1!AB59/range*(2^resolution-1)</f>
        <v>0</v>
      </c>
      <c r="AC59" s="28">
        <f>data1!AC59/range*(2^resolution-1)</f>
        <v>0</v>
      </c>
      <c r="AD59" s="28">
        <f>data1!AD59/range*(2^resolution-1)</f>
        <v>0</v>
      </c>
      <c r="AE59" s="28">
        <f>data1!AE59/range*(2^resolution-1)</f>
        <v>0</v>
      </c>
      <c r="AF59" s="28">
        <f>data1!AF59/range*(2^resolution-1)</f>
        <v>0</v>
      </c>
      <c r="AG59" s="28">
        <f>data1!AG59/range*(2^resolution-1)</f>
        <v>0</v>
      </c>
    </row>
    <row r="60" spans="1:33">
      <c r="A60" s="29">
        <f>data0!A60</f>
        <v>84</v>
      </c>
      <c r="B60" s="28">
        <f>data1!B60/range*(2^resolution-1)</f>
        <v>0</v>
      </c>
      <c r="C60" s="28">
        <f>data1!C60/range*(2^resolution-1)</f>
        <v>0</v>
      </c>
      <c r="D60" s="28">
        <f>data1!D60/range*(2^resolution-1)</f>
        <v>0</v>
      </c>
      <c r="E60" s="28">
        <f>data1!E60/range*(2^resolution-1)</f>
        <v>0</v>
      </c>
      <c r="F60" s="28">
        <f>data1!F60/range*(2^resolution-1)</f>
        <v>0</v>
      </c>
      <c r="G60" s="28">
        <f>data1!G60/range*(2^resolution-1)</f>
        <v>0</v>
      </c>
      <c r="H60" s="28">
        <f>data1!H60/range*(2^resolution-1)</f>
        <v>0</v>
      </c>
      <c r="I60" s="28">
        <f>data1!I60/range*(2^resolution-1)</f>
        <v>0</v>
      </c>
      <c r="J60" s="28">
        <f>data1!J60/range*(2^resolution-1)</f>
        <v>0</v>
      </c>
      <c r="K60" s="28">
        <f>data1!K60/range*(2^resolution-1)</f>
        <v>0</v>
      </c>
      <c r="L60" s="28">
        <f>data1!L60/range*(2^resolution-1)</f>
        <v>0</v>
      </c>
      <c r="M60" s="28">
        <f>data1!M60/range*(2^resolution-1)</f>
        <v>0</v>
      </c>
      <c r="N60" s="28">
        <f>data1!N60/range*(2^resolution-1)</f>
        <v>0</v>
      </c>
      <c r="O60" s="28">
        <f>data1!O60/range*(2^resolution-1)</f>
        <v>0</v>
      </c>
      <c r="P60" s="28">
        <f>data1!P60/range*(2^resolution-1)</f>
        <v>0</v>
      </c>
      <c r="Q60" s="28">
        <f>data1!Q60/range*(2^resolution-1)</f>
        <v>0</v>
      </c>
      <c r="R60" s="28">
        <f>data1!R60/range*(2^resolution-1)</f>
        <v>0</v>
      </c>
      <c r="S60" s="28">
        <f>data1!S60/range*(2^resolution-1)</f>
        <v>0</v>
      </c>
      <c r="T60" s="28">
        <f>data1!T60/range*(2^resolution-1)</f>
        <v>0</v>
      </c>
      <c r="U60" s="28">
        <f>data1!U60/range*(2^resolution-1)</f>
        <v>0</v>
      </c>
      <c r="V60" s="28">
        <f>data1!V60/range*(2^resolution-1)</f>
        <v>0</v>
      </c>
      <c r="W60" s="28">
        <f>data1!W60/range*(2^resolution-1)</f>
        <v>0</v>
      </c>
      <c r="X60" s="28">
        <f>data1!X60/range*(2^resolution-1)</f>
        <v>0</v>
      </c>
      <c r="Y60" s="28">
        <f>data1!Y60/range*(2^resolution-1)</f>
        <v>0</v>
      </c>
      <c r="Z60" s="28">
        <f>data1!Z60/range*(2^resolution-1)</f>
        <v>0</v>
      </c>
      <c r="AA60" s="28">
        <f>data1!AA60/range*(2^resolution-1)</f>
        <v>0</v>
      </c>
      <c r="AB60" s="28">
        <f>data1!AB60/range*(2^resolution-1)</f>
        <v>0</v>
      </c>
      <c r="AC60" s="28">
        <f>data1!AC60/range*(2^resolution-1)</f>
        <v>0</v>
      </c>
      <c r="AD60" s="28">
        <f>data1!AD60/range*(2^resolution-1)</f>
        <v>0</v>
      </c>
      <c r="AE60" s="28">
        <f>data1!AE60/range*(2^resolution-1)</f>
        <v>0</v>
      </c>
      <c r="AF60" s="28">
        <f>data1!AF60/range*(2^resolution-1)</f>
        <v>0</v>
      </c>
      <c r="AG60" s="28">
        <f>data1!AG60/range*(2^resolution-1)</f>
        <v>0</v>
      </c>
    </row>
    <row r="61" spans="1:33">
      <c r="A61" s="29">
        <f>data0!A61</f>
        <v>87</v>
      </c>
      <c r="B61" s="28">
        <f>data1!B61/range*(2^resolution-1)</f>
        <v>0</v>
      </c>
      <c r="C61" s="28">
        <f>data1!C61/range*(2^resolution-1)</f>
        <v>0</v>
      </c>
      <c r="D61" s="28">
        <f>data1!D61/range*(2^resolution-1)</f>
        <v>0</v>
      </c>
      <c r="E61" s="28">
        <f>data1!E61/range*(2^resolution-1)</f>
        <v>0</v>
      </c>
      <c r="F61" s="28">
        <f>data1!F61/range*(2^resolution-1)</f>
        <v>0</v>
      </c>
      <c r="G61" s="28">
        <f>data1!G61/range*(2^resolution-1)</f>
        <v>0</v>
      </c>
      <c r="H61" s="28">
        <f>data1!H61/range*(2^resolution-1)</f>
        <v>0</v>
      </c>
      <c r="I61" s="28">
        <f>data1!I61/range*(2^resolution-1)</f>
        <v>0</v>
      </c>
      <c r="J61" s="28">
        <f>data1!J61/range*(2^resolution-1)</f>
        <v>0</v>
      </c>
      <c r="K61" s="28">
        <f>data1!K61/range*(2^resolution-1)</f>
        <v>0</v>
      </c>
      <c r="L61" s="28">
        <f>data1!L61/range*(2^resolution-1)</f>
        <v>0</v>
      </c>
      <c r="M61" s="28">
        <f>data1!M61/range*(2^resolution-1)</f>
        <v>0</v>
      </c>
      <c r="N61" s="28">
        <f>data1!N61/range*(2^resolution-1)</f>
        <v>0</v>
      </c>
      <c r="O61" s="28">
        <f>data1!O61/range*(2^resolution-1)</f>
        <v>0</v>
      </c>
      <c r="P61" s="28">
        <f>data1!P61/range*(2^resolution-1)</f>
        <v>0</v>
      </c>
      <c r="Q61" s="28">
        <f>data1!Q61/range*(2^resolution-1)</f>
        <v>0</v>
      </c>
      <c r="R61" s="28">
        <f>data1!R61/range*(2^resolution-1)</f>
        <v>0</v>
      </c>
      <c r="S61" s="28">
        <f>data1!S61/range*(2^resolution-1)</f>
        <v>0</v>
      </c>
      <c r="T61" s="28">
        <f>data1!T61/range*(2^resolution-1)</f>
        <v>0</v>
      </c>
      <c r="U61" s="28">
        <f>data1!U61/range*(2^resolution-1)</f>
        <v>0</v>
      </c>
      <c r="V61" s="28">
        <f>data1!V61/range*(2^resolution-1)</f>
        <v>0</v>
      </c>
      <c r="W61" s="28">
        <f>data1!W61/range*(2^resolution-1)</f>
        <v>0</v>
      </c>
      <c r="X61" s="28">
        <f>data1!X61/range*(2^resolution-1)</f>
        <v>0</v>
      </c>
      <c r="Y61" s="28">
        <f>data1!Y61/range*(2^resolution-1)</f>
        <v>0</v>
      </c>
      <c r="Z61" s="28">
        <f>data1!Z61/range*(2^resolution-1)</f>
        <v>0</v>
      </c>
      <c r="AA61" s="28">
        <f>data1!AA61/range*(2^resolution-1)</f>
        <v>0</v>
      </c>
      <c r="AB61" s="28">
        <f>data1!AB61/range*(2^resolution-1)</f>
        <v>0</v>
      </c>
      <c r="AC61" s="28">
        <f>data1!AC61/range*(2^resolution-1)</f>
        <v>0</v>
      </c>
      <c r="AD61" s="28">
        <f>data1!AD61/range*(2^resolution-1)</f>
        <v>0</v>
      </c>
      <c r="AE61" s="28">
        <f>data1!AE61/range*(2^resolution-1)</f>
        <v>0</v>
      </c>
      <c r="AF61" s="28">
        <f>data1!AF61/range*(2^resolution-1)</f>
        <v>0</v>
      </c>
      <c r="AG61" s="28">
        <f>data1!AG61/range*(2^resolution-1)</f>
        <v>0</v>
      </c>
    </row>
    <row r="62" spans="1:33">
      <c r="A62" s="29">
        <f>data0!A62</f>
        <v>90</v>
      </c>
      <c r="B62" s="28">
        <f>data1!B62/range*(2^resolution-1)</f>
        <v>0</v>
      </c>
      <c r="C62" s="28">
        <f>data1!C62/range*(2^resolution-1)</f>
        <v>0</v>
      </c>
      <c r="D62" s="28">
        <f>data1!D62/range*(2^resolution-1)</f>
        <v>0</v>
      </c>
      <c r="E62" s="28">
        <f>data1!E62/range*(2^resolution-1)</f>
        <v>0</v>
      </c>
      <c r="F62" s="28">
        <f>data1!F62/range*(2^resolution-1)</f>
        <v>0</v>
      </c>
      <c r="G62" s="28">
        <f>data1!G62/range*(2^resolution-1)</f>
        <v>0</v>
      </c>
      <c r="H62" s="28">
        <f>data1!H62/range*(2^resolution-1)</f>
        <v>0</v>
      </c>
      <c r="I62" s="28">
        <f>data1!I62/range*(2^resolution-1)</f>
        <v>0</v>
      </c>
      <c r="J62" s="28">
        <f>data1!J62/range*(2^resolution-1)</f>
        <v>0</v>
      </c>
      <c r="K62" s="28">
        <f>data1!K62/range*(2^resolution-1)</f>
        <v>0</v>
      </c>
      <c r="L62" s="28">
        <f>data1!L62/range*(2^resolution-1)</f>
        <v>0</v>
      </c>
      <c r="M62" s="28">
        <f>data1!M62/range*(2^resolution-1)</f>
        <v>0</v>
      </c>
      <c r="N62" s="28">
        <f>data1!N62/range*(2^resolution-1)</f>
        <v>0</v>
      </c>
      <c r="O62" s="28">
        <f>data1!O62/range*(2^resolution-1)</f>
        <v>0</v>
      </c>
      <c r="P62" s="28">
        <f>data1!P62/range*(2^resolution-1)</f>
        <v>0</v>
      </c>
      <c r="Q62" s="28">
        <f>data1!Q62/range*(2^resolution-1)</f>
        <v>0</v>
      </c>
      <c r="R62" s="28">
        <f>data1!R62/range*(2^resolution-1)</f>
        <v>0</v>
      </c>
      <c r="S62" s="28">
        <f>data1!S62/range*(2^resolution-1)</f>
        <v>0</v>
      </c>
      <c r="T62" s="28">
        <f>data1!T62/range*(2^resolution-1)</f>
        <v>0</v>
      </c>
      <c r="U62" s="28">
        <f>data1!U62/range*(2^resolution-1)</f>
        <v>0</v>
      </c>
      <c r="V62" s="28">
        <f>data1!V62/range*(2^resolution-1)</f>
        <v>0</v>
      </c>
      <c r="W62" s="28">
        <f>data1!W62/range*(2^resolution-1)</f>
        <v>0</v>
      </c>
      <c r="X62" s="28">
        <f>data1!X62/range*(2^resolution-1)</f>
        <v>0</v>
      </c>
      <c r="Y62" s="28">
        <f>data1!Y62/range*(2^resolution-1)</f>
        <v>0</v>
      </c>
      <c r="Z62" s="28">
        <f>data1!Z62/range*(2^resolution-1)</f>
        <v>0</v>
      </c>
      <c r="AA62" s="28">
        <f>data1!AA62/range*(2^resolution-1)</f>
        <v>0</v>
      </c>
      <c r="AB62" s="28">
        <f>data1!AB62/range*(2^resolution-1)</f>
        <v>0</v>
      </c>
      <c r="AC62" s="28">
        <f>data1!AC62/range*(2^resolution-1)</f>
        <v>0</v>
      </c>
      <c r="AD62" s="28">
        <f>data1!AD62/range*(2^resolution-1)</f>
        <v>0</v>
      </c>
      <c r="AE62" s="28">
        <f>data1!AE62/range*(2^resolution-1)</f>
        <v>0</v>
      </c>
      <c r="AF62" s="28">
        <f>data1!AF62/range*(2^resolution-1)</f>
        <v>0</v>
      </c>
      <c r="AG62" s="28">
        <f>data1!AG62/range*(2^resolution-1)</f>
        <v>0</v>
      </c>
    </row>
    <row r="63" spans="1:33"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</row>
    <row r="64" spans="1:33"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</row>
    <row r="65" spans="2:33"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</row>
    <row r="66" spans="2:33"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</row>
    <row r="67" spans="2:33"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</row>
    <row r="68" spans="2:33"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</row>
    <row r="69" spans="2:33"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</row>
    <row r="70" spans="2:33"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</row>
    <row r="71" spans="2:33"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</row>
    <row r="72" spans="2:33"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</row>
    <row r="73" spans="2:33"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</row>
    <row r="74" spans="2:33"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</row>
    <row r="75" spans="2:33"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</row>
    <row r="76" spans="2:33"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</row>
    <row r="77" spans="2:33"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</row>
    <row r="78" spans="2:33"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</row>
    <row r="79" spans="2:33"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</row>
    <row r="80" spans="2:33"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</row>
    <row r="81" spans="2:33"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</row>
    <row r="82" spans="2:33"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</row>
    <row r="83" spans="2:33"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</row>
    <row r="84" spans="2:33"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</row>
    <row r="85" spans="2:33"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</row>
    <row r="86" spans="2:33"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</row>
    <row r="87" spans="2:33"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</row>
    <row r="88" spans="2:33"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</row>
    <row r="89" spans="2:33"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</row>
    <row r="90" spans="2:33"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</row>
    <row r="91" spans="2:33"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</row>
    <row r="92" spans="2:33"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</row>
    <row r="93" spans="2:33"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</row>
    <row r="94" spans="2:33"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</row>
    <row r="95" spans="2:33"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</row>
    <row r="96" spans="2:33"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</row>
    <row r="97" spans="2:33"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</row>
    <row r="98" spans="2:33"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</row>
    <row r="99" spans="2:33"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</row>
    <row r="100" spans="2:33"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</row>
    <row r="101" spans="2:33"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</row>
    <row r="102" spans="2:33"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</row>
    <row r="103" spans="2:33"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</row>
    <row r="104" spans="2:33"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</row>
    <row r="105" spans="2:33"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</row>
    <row r="106" spans="2:33"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</row>
    <row r="107" spans="2:33"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</row>
    <row r="108" spans="2:33"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</row>
    <row r="109" spans="2:33"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</row>
    <row r="110" spans="2:33"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</row>
    <row r="111" spans="2:33"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</row>
    <row r="112" spans="2:33"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</row>
    <row r="113" spans="2:33"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</row>
    <row r="114" spans="2:33"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</row>
    <row r="115" spans="2:33"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</row>
    <row r="116" spans="2:33"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</row>
    <row r="117" spans="2:33"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</row>
    <row r="118" spans="2:33"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</row>
    <row r="119" spans="2:33"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</row>
    <row r="120" spans="2:33"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</row>
    <row r="121" spans="2:33"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</row>
    <row r="122" spans="2:33"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</row>
    <row r="123" spans="2:33"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</row>
    <row r="124" spans="2:33"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</row>
    <row r="125" spans="2:33"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</row>
    <row r="126" spans="2:33"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</row>
    <row r="127" spans="2:33"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</row>
    <row r="128" spans="2:33"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</row>
    <row r="129" spans="2:33"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</row>
    <row r="130" spans="2:33"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</row>
    <row r="131" spans="2:33"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</row>
    <row r="132" spans="2:33"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</row>
    <row r="133" spans="2:33"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</row>
    <row r="134" spans="2:33"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</row>
    <row r="135" spans="2:33"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</row>
    <row r="136" spans="2:33"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</row>
    <row r="137" spans="2:33"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</row>
    <row r="138" spans="2:33"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</row>
    <row r="139" spans="2:33"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</row>
    <row r="140" spans="2:33"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</row>
    <row r="141" spans="2:33"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</row>
    <row r="142" spans="2:33"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</row>
    <row r="143" spans="2:33"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</row>
    <row r="144" spans="2:33"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</row>
    <row r="145" spans="2:33"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</row>
    <row r="146" spans="2:33"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</row>
    <row r="147" spans="2:33"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</row>
    <row r="148" spans="2:33"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</row>
    <row r="149" spans="2:33"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</row>
    <row r="150" spans="2:33"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</row>
    <row r="151" spans="2:33"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</row>
    <row r="152" spans="2:33"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</row>
    <row r="153" spans="2:33"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</row>
    <row r="154" spans="2:33"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</row>
    <row r="155" spans="2:33"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</row>
    <row r="156" spans="2:33"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</row>
    <row r="157" spans="2:33"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</row>
    <row r="158" spans="2:33"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</row>
    <row r="159" spans="2:33"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</row>
    <row r="160" spans="2:33"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</row>
    <row r="161" spans="2:33"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</row>
    <row r="162" spans="2:33"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</row>
    <row r="163" spans="2:33"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</row>
    <row r="164" spans="2:33"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</row>
    <row r="165" spans="2:33"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</row>
    <row r="166" spans="2:33"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</row>
    <row r="167" spans="2:33"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</row>
    <row r="168" spans="2:33"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</row>
    <row r="169" spans="2:33"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</row>
    <row r="170" spans="2:33"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</row>
    <row r="171" spans="2:33"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</row>
    <row r="172" spans="2:33"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</row>
    <row r="173" spans="2:33"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</row>
    <row r="174" spans="2:33"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</row>
    <row r="175" spans="2:33"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</row>
    <row r="176" spans="2:33"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</row>
    <row r="177" spans="2:33"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</row>
    <row r="178" spans="2:33"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</row>
    <row r="179" spans="2:33"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</row>
    <row r="180" spans="2:33"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</row>
    <row r="181" spans="2:33"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</row>
    <row r="182" spans="2:33"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AG182"/>
  <sheetViews>
    <sheetView zoomScale="80" zoomScaleNormal="80" workbookViewId="0">
      <pane ySplit="8580" topLeftCell="A177"/>
      <selection sqref="A1:XFD1048576"/>
      <selection pane="bottomLeft" activeCell="AK176" sqref="AK176"/>
    </sheetView>
  </sheetViews>
  <sheetFormatPr defaultColWidth="7.140625" defaultRowHeight="15"/>
  <cols>
    <col min="1" max="1" width="4.140625" style="29" bestFit="1" customWidth="1"/>
    <col min="2" max="6" width="6.5703125" style="29" bestFit="1" customWidth="1"/>
    <col min="7" max="7" width="2.28515625" style="29" bestFit="1" customWidth="1"/>
    <col min="8" max="22" width="6.5703125" style="29" bestFit="1" customWidth="1"/>
    <col min="23" max="23" width="3.42578125" style="29" bestFit="1" customWidth="1"/>
    <col min="24" max="33" width="6.5703125" style="29" bestFit="1" customWidth="1"/>
    <col min="34" max="16384" width="7.140625" style="29"/>
  </cols>
  <sheetData>
    <row r="1" spans="1:33">
      <c r="B1" s="29">
        <f>data0!B1</f>
        <v>0</v>
      </c>
      <c r="C1" s="29">
        <f>data0!C1</f>
        <v>1</v>
      </c>
      <c r="D1" s="29">
        <f>data0!D1</f>
        <v>2</v>
      </c>
      <c r="E1" s="29">
        <f>data0!E1</f>
        <v>3</v>
      </c>
      <c r="F1" s="29">
        <f>data0!F1</f>
        <v>4</v>
      </c>
      <c r="G1" s="29">
        <f>data0!G1</f>
        <v>5</v>
      </c>
      <c r="H1" s="29">
        <f>data0!H1</f>
        <v>6</v>
      </c>
      <c r="I1" s="29">
        <f>data0!I1</f>
        <v>7</v>
      </c>
      <c r="J1" s="29">
        <f>data0!J1</f>
        <v>8</v>
      </c>
      <c r="K1" s="29">
        <f>data0!K1</f>
        <v>9</v>
      </c>
      <c r="L1" s="29">
        <f>data0!L1</f>
        <v>10</v>
      </c>
      <c r="M1" s="29">
        <f>data0!M1</f>
        <v>11</v>
      </c>
      <c r="N1" s="29">
        <f>data0!N1</f>
        <v>12</v>
      </c>
      <c r="O1" s="29">
        <f>data0!O1</f>
        <v>13</v>
      </c>
      <c r="P1" s="29">
        <f>data0!P1</f>
        <v>14</v>
      </c>
      <c r="Q1" s="29">
        <f>data0!Q1</f>
        <v>15</v>
      </c>
      <c r="R1" s="29">
        <f>data0!R1</f>
        <v>16</v>
      </c>
      <c r="S1" s="29">
        <f>data0!S1</f>
        <v>17</v>
      </c>
      <c r="T1" s="29">
        <f>data0!T1</f>
        <v>18</v>
      </c>
      <c r="U1" s="29">
        <f>data0!U1</f>
        <v>19</v>
      </c>
      <c r="V1" s="29">
        <f>data0!V1</f>
        <v>20</v>
      </c>
      <c r="W1" s="29">
        <f>data0!W1</f>
        <v>21</v>
      </c>
      <c r="X1" s="29">
        <f>data0!X1</f>
        <v>22</v>
      </c>
      <c r="Y1" s="29">
        <f>data0!Y1</f>
        <v>23</v>
      </c>
      <c r="Z1" s="29">
        <f>data0!Z1</f>
        <v>24</v>
      </c>
      <c r="AA1" s="29">
        <f>data0!AA1</f>
        <v>25</v>
      </c>
      <c r="AB1" s="29">
        <f>data0!AB1</f>
        <v>26</v>
      </c>
      <c r="AC1" s="29">
        <f>data0!AC1</f>
        <v>27</v>
      </c>
      <c r="AD1" s="29">
        <f>data0!AD1</f>
        <v>28</v>
      </c>
      <c r="AE1" s="29">
        <f>data0!AE1</f>
        <v>29</v>
      </c>
      <c r="AF1" s="29">
        <f>data0!AF1</f>
        <v>30</v>
      </c>
      <c r="AG1" s="29">
        <f>data0!AG1</f>
        <v>31</v>
      </c>
    </row>
    <row r="2" spans="1:33">
      <c r="A2" s="29">
        <f>data0!A2</f>
        <v>-90</v>
      </c>
      <c r="B2" s="28">
        <f>data2!B2/range*(2^resolution-1)</f>
        <v>0</v>
      </c>
      <c r="C2" s="28">
        <f>data2!C2/range*(2^resolution-1)</f>
        <v>0</v>
      </c>
      <c r="D2" s="28">
        <f>data2!D2/range*(2^resolution-1)</f>
        <v>0</v>
      </c>
      <c r="E2" s="28">
        <f>data2!E2/range*(2^resolution-1)</f>
        <v>0</v>
      </c>
      <c r="F2" s="28">
        <f>data2!F2/range*(2^resolution-1)</f>
        <v>0</v>
      </c>
      <c r="G2" s="28">
        <f>data2!G2/range*(2^resolution-1)</f>
        <v>0</v>
      </c>
      <c r="H2" s="28">
        <f>data2!H2/range*(2^resolution-1)</f>
        <v>0</v>
      </c>
      <c r="I2" s="28">
        <f>data2!I2/range*(2^resolution-1)</f>
        <v>0</v>
      </c>
      <c r="J2" s="28">
        <f>data2!J2/range*(2^resolution-1)</f>
        <v>0</v>
      </c>
      <c r="K2" s="28">
        <f>data2!K2/range*(2^resolution-1)</f>
        <v>0</v>
      </c>
      <c r="L2" s="28">
        <f>data2!L2/range*(2^resolution-1)</f>
        <v>0</v>
      </c>
      <c r="M2" s="28">
        <f>data2!M2/range*(2^resolution-1)</f>
        <v>0</v>
      </c>
      <c r="N2" s="28">
        <f>data2!N2/range*(2^resolution-1)</f>
        <v>0</v>
      </c>
      <c r="O2" s="28">
        <f>data2!O2/range*(2^resolution-1)</f>
        <v>0</v>
      </c>
      <c r="P2" s="28">
        <f>data2!P2/range*(2^resolution-1)</f>
        <v>0</v>
      </c>
      <c r="Q2" s="28">
        <f>data2!Q2/range*(2^resolution-1)</f>
        <v>0</v>
      </c>
      <c r="R2" s="28">
        <f>data2!R2/range*(2^resolution-1)</f>
        <v>0</v>
      </c>
      <c r="S2" s="28">
        <f>data2!S2/range*(2^resolution-1)</f>
        <v>0</v>
      </c>
      <c r="T2" s="28">
        <f>data2!T2/range*(2^resolution-1)</f>
        <v>0</v>
      </c>
      <c r="U2" s="28">
        <f>data2!U2/range*(2^resolution-1)</f>
        <v>0</v>
      </c>
      <c r="V2" s="28">
        <f>data2!V2/range*(2^resolution-1)</f>
        <v>0</v>
      </c>
      <c r="W2" s="28">
        <f>data2!W2/range*(2^resolution-1)</f>
        <v>0</v>
      </c>
      <c r="X2" s="28">
        <f>data2!X2/range*(2^resolution-1)</f>
        <v>0</v>
      </c>
      <c r="Y2" s="28">
        <f>data2!Y2/range*(2^resolution-1)</f>
        <v>0</v>
      </c>
      <c r="Z2" s="28">
        <f>data2!Z2/range*(2^resolution-1)</f>
        <v>0</v>
      </c>
      <c r="AA2" s="28">
        <f>data2!AA2/range*(2^resolution-1)</f>
        <v>0</v>
      </c>
      <c r="AB2" s="28">
        <f>data2!AB2/range*(2^resolution-1)</f>
        <v>0</v>
      </c>
      <c r="AC2" s="28">
        <f>data2!AC2/range*(2^resolution-1)</f>
        <v>0</v>
      </c>
      <c r="AD2" s="28">
        <f>data2!AD2/range*(2^resolution-1)</f>
        <v>0</v>
      </c>
      <c r="AE2" s="28">
        <f>data2!AE2/range*(2^resolution-1)</f>
        <v>0</v>
      </c>
      <c r="AF2" s="28">
        <f>data2!AF2/range*(2^resolution-1)</f>
        <v>0</v>
      </c>
      <c r="AG2" s="28">
        <f>data2!AG2/range*(2^resolution-1)</f>
        <v>0</v>
      </c>
    </row>
    <row r="3" spans="1:33">
      <c r="A3" s="29">
        <f>data0!A3</f>
        <v>-87</v>
      </c>
      <c r="B3" s="28">
        <f>data2!B3/range*(2^resolution-1)</f>
        <v>0</v>
      </c>
      <c r="C3" s="28">
        <f>data2!C3/range*(2^resolution-1)</f>
        <v>0</v>
      </c>
      <c r="D3" s="28">
        <f>data2!D3/range*(2^resolution-1)</f>
        <v>0</v>
      </c>
      <c r="E3" s="28">
        <f>data2!E3/range*(2^resolution-1)</f>
        <v>0</v>
      </c>
      <c r="F3" s="28">
        <f>data2!F3/range*(2^resolution-1)</f>
        <v>0</v>
      </c>
      <c r="G3" s="28">
        <f>data2!G3/range*(2^resolution-1)</f>
        <v>0</v>
      </c>
      <c r="H3" s="28">
        <f>data2!H3/range*(2^resolution-1)</f>
        <v>0</v>
      </c>
      <c r="I3" s="28">
        <f>data2!I3/range*(2^resolution-1)</f>
        <v>0</v>
      </c>
      <c r="J3" s="28">
        <f>data2!J3/range*(2^resolution-1)</f>
        <v>0</v>
      </c>
      <c r="K3" s="28">
        <f>data2!K3/range*(2^resolution-1)</f>
        <v>0</v>
      </c>
      <c r="L3" s="28">
        <f>data2!L3/range*(2^resolution-1)</f>
        <v>0</v>
      </c>
      <c r="M3" s="28">
        <f>data2!M3/range*(2^resolution-1)</f>
        <v>0</v>
      </c>
      <c r="N3" s="28">
        <f>data2!N3/range*(2^resolution-1)</f>
        <v>0</v>
      </c>
      <c r="O3" s="28">
        <f>data2!O3/range*(2^resolution-1)</f>
        <v>0</v>
      </c>
      <c r="P3" s="28">
        <f>data2!P3/range*(2^resolution-1)</f>
        <v>0</v>
      </c>
      <c r="Q3" s="28">
        <f>data2!Q3/range*(2^resolution-1)</f>
        <v>0</v>
      </c>
      <c r="R3" s="28">
        <f>data2!R3/range*(2^resolution-1)</f>
        <v>0</v>
      </c>
      <c r="S3" s="28">
        <f>data2!S3/range*(2^resolution-1)</f>
        <v>0</v>
      </c>
      <c r="T3" s="28">
        <f>data2!T3/range*(2^resolution-1)</f>
        <v>0</v>
      </c>
      <c r="U3" s="28">
        <f>data2!U3/range*(2^resolution-1)</f>
        <v>0</v>
      </c>
      <c r="V3" s="28">
        <f>data2!V3/range*(2^resolution-1)</f>
        <v>0</v>
      </c>
      <c r="W3" s="28">
        <f>data2!W3/range*(2^resolution-1)</f>
        <v>0</v>
      </c>
      <c r="X3" s="28">
        <f>data2!X3/range*(2^resolution-1)</f>
        <v>0</v>
      </c>
      <c r="Y3" s="28">
        <f>data2!Y3/range*(2^resolution-1)</f>
        <v>0</v>
      </c>
      <c r="Z3" s="28">
        <f>data2!Z3/range*(2^resolution-1)</f>
        <v>0</v>
      </c>
      <c r="AA3" s="28">
        <f>data2!AA3/range*(2^resolution-1)</f>
        <v>0</v>
      </c>
      <c r="AB3" s="28">
        <f>data2!AB3/range*(2^resolution-1)</f>
        <v>0</v>
      </c>
      <c r="AC3" s="28">
        <f>data2!AC3/range*(2^resolution-1)</f>
        <v>0</v>
      </c>
      <c r="AD3" s="28">
        <f>data2!AD3/range*(2^resolution-1)</f>
        <v>0</v>
      </c>
      <c r="AE3" s="28">
        <f>data2!AE3/range*(2^resolution-1)</f>
        <v>0</v>
      </c>
      <c r="AF3" s="28">
        <f>data2!AF3/range*(2^resolution-1)</f>
        <v>0</v>
      </c>
      <c r="AG3" s="28">
        <f>data2!AG3/range*(2^resolution-1)</f>
        <v>0</v>
      </c>
    </row>
    <row r="4" spans="1:33">
      <c r="A4" s="29">
        <f>data0!A4</f>
        <v>-84</v>
      </c>
      <c r="B4" s="28">
        <f>data2!B4/range*(2^resolution-1)</f>
        <v>0</v>
      </c>
      <c r="C4" s="28">
        <f>data2!C4/range*(2^resolution-1)</f>
        <v>0</v>
      </c>
      <c r="D4" s="28">
        <f>data2!D4/range*(2^resolution-1)</f>
        <v>0</v>
      </c>
      <c r="E4" s="28">
        <f>data2!E4/range*(2^resolution-1)</f>
        <v>0</v>
      </c>
      <c r="F4" s="28">
        <f>data2!F4/range*(2^resolution-1)</f>
        <v>0</v>
      </c>
      <c r="G4" s="28">
        <f>data2!G4/range*(2^resolution-1)</f>
        <v>0</v>
      </c>
      <c r="H4" s="28">
        <f>data2!H4/range*(2^resolution-1)</f>
        <v>0</v>
      </c>
      <c r="I4" s="28">
        <f>data2!I4/range*(2^resolution-1)</f>
        <v>0</v>
      </c>
      <c r="J4" s="28">
        <f>data2!J4/range*(2^resolution-1)</f>
        <v>0</v>
      </c>
      <c r="K4" s="28">
        <f>data2!K4/range*(2^resolution-1)</f>
        <v>0</v>
      </c>
      <c r="L4" s="28">
        <f>data2!L4/range*(2^resolution-1)</f>
        <v>0</v>
      </c>
      <c r="M4" s="28">
        <f>data2!M4/range*(2^resolution-1)</f>
        <v>0</v>
      </c>
      <c r="N4" s="28">
        <f>data2!N4/range*(2^resolution-1)</f>
        <v>0</v>
      </c>
      <c r="O4" s="28">
        <f>data2!O4/range*(2^resolution-1)</f>
        <v>0</v>
      </c>
      <c r="P4" s="28">
        <f>data2!P4/range*(2^resolution-1)</f>
        <v>0</v>
      </c>
      <c r="Q4" s="28">
        <f>data2!Q4/range*(2^resolution-1)</f>
        <v>0</v>
      </c>
      <c r="R4" s="28">
        <f>data2!R4/range*(2^resolution-1)</f>
        <v>0</v>
      </c>
      <c r="S4" s="28">
        <f>data2!S4/range*(2^resolution-1)</f>
        <v>0</v>
      </c>
      <c r="T4" s="28">
        <f>data2!T4/range*(2^resolution-1)</f>
        <v>0</v>
      </c>
      <c r="U4" s="28">
        <f>data2!U4/range*(2^resolution-1)</f>
        <v>0</v>
      </c>
      <c r="V4" s="28">
        <f>data2!V4/range*(2^resolution-1)</f>
        <v>0</v>
      </c>
      <c r="W4" s="28">
        <f>data2!W4/range*(2^resolution-1)</f>
        <v>0</v>
      </c>
      <c r="X4" s="28">
        <f>data2!X4/range*(2^resolution-1)</f>
        <v>0</v>
      </c>
      <c r="Y4" s="28">
        <f>data2!Y4/range*(2^resolution-1)</f>
        <v>0</v>
      </c>
      <c r="Z4" s="28">
        <f>data2!Z4/range*(2^resolution-1)</f>
        <v>0</v>
      </c>
      <c r="AA4" s="28">
        <f>data2!AA4/range*(2^resolution-1)</f>
        <v>0</v>
      </c>
      <c r="AB4" s="28">
        <f>data2!AB4/range*(2^resolution-1)</f>
        <v>0</v>
      </c>
      <c r="AC4" s="28">
        <f>data2!AC4/range*(2^resolution-1)</f>
        <v>0</v>
      </c>
      <c r="AD4" s="28">
        <f>data2!AD4/range*(2^resolution-1)</f>
        <v>0</v>
      </c>
      <c r="AE4" s="28">
        <f>data2!AE4/range*(2^resolution-1)</f>
        <v>0</v>
      </c>
      <c r="AF4" s="28">
        <f>data2!AF4/range*(2^resolution-1)</f>
        <v>0</v>
      </c>
      <c r="AG4" s="28">
        <f>data2!AG4/range*(2^resolution-1)</f>
        <v>0</v>
      </c>
    </row>
    <row r="5" spans="1:33">
      <c r="A5" s="29">
        <f>data0!A5</f>
        <v>-81</v>
      </c>
      <c r="B5" s="28">
        <f>data2!B5/range*(2^resolution-1)</f>
        <v>0</v>
      </c>
      <c r="C5" s="28">
        <f>data2!C5/range*(2^resolution-1)</f>
        <v>0</v>
      </c>
      <c r="D5" s="28">
        <f>data2!D5/range*(2^resolution-1)</f>
        <v>0</v>
      </c>
      <c r="E5" s="28">
        <f>data2!E5/range*(2^resolution-1)</f>
        <v>0</v>
      </c>
      <c r="F5" s="28">
        <f>data2!F5/range*(2^resolution-1)</f>
        <v>0</v>
      </c>
      <c r="G5" s="28">
        <f>data2!G5/range*(2^resolution-1)</f>
        <v>0</v>
      </c>
      <c r="H5" s="28">
        <f>data2!H5/range*(2^resolution-1)</f>
        <v>0</v>
      </c>
      <c r="I5" s="28">
        <f>data2!I5/range*(2^resolution-1)</f>
        <v>0</v>
      </c>
      <c r="J5" s="28">
        <f>data2!J5/range*(2^resolution-1)</f>
        <v>0</v>
      </c>
      <c r="K5" s="28">
        <f>data2!K5/range*(2^resolution-1)</f>
        <v>0</v>
      </c>
      <c r="L5" s="28">
        <f>data2!L5/range*(2^resolution-1)</f>
        <v>0</v>
      </c>
      <c r="M5" s="28">
        <f>data2!M5/range*(2^resolution-1)</f>
        <v>0</v>
      </c>
      <c r="N5" s="28">
        <f>data2!N5/range*(2^resolution-1)</f>
        <v>0</v>
      </c>
      <c r="O5" s="28">
        <f>data2!O5/range*(2^resolution-1)</f>
        <v>0</v>
      </c>
      <c r="P5" s="28">
        <f>data2!P5/range*(2^resolution-1)</f>
        <v>0</v>
      </c>
      <c r="Q5" s="28">
        <f>data2!Q5/range*(2^resolution-1)</f>
        <v>0</v>
      </c>
      <c r="R5" s="28">
        <f>data2!R5/range*(2^resolution-1)</f>
        <v>0</v>
      </c>
      <c r="S5" s="28">
        <f>data2!S5/range*(2^resolution-1)</f>
        <v>0</v>
      </c>
      <c r="T5" s="28">
        <f>data2!T5/range*(2^resolution-1)</f>
        <v>0</v>
      </c>
      <c r="U5" s="28">
        <f>data2!U5/range*(2^resolution-1)</f>
        <v>0</v>
      </c>
      <c r="V5" s="28">
        <f>data2!V5/range*(2^resolution-1)</f>
        <v>0</v>
      </c>
      <c r="W5" s="28">
        <f>data2!W5/range*(2^resolution-1)</f>
        <v>0</v>
      </c>
      <c r="X5" s="28">
        <f>data2!X5/range*(2^resolution-1)</f>
        <v>0</v>
      </c>
      <c r="Y5" s="28">
        <f>data2!Y5/range*(2^resolution-1)</f>
        <v>0</v>
      </c>
      <c r="Z5" s="28">
        <f>data2!Z5/range*(2^resolution-1)</f>
        <v>0</v>
      </c>
      <c r="AA5" s="28">
        <f>data2!AA5/range*(2^resolution-1)</f>
        <v>0</v>
      </c>
      <c r="AB5" s="28">
        <f>data2!AB5/range*(2^resolution-1)</f>
        <v>0</v>
      </c>
      <c r="AC5" s="28">
        <f>data2!AC5/range*(2^resolution-1)</f>
        <v>0</v>
      </c>
      <c r="AD5" s="28">
        <f>data2!AD5/range*(2^resolution-1)</f>
        <v>0</v>
      </c>
      <c r="AE5" s="28">
        <f>data2!AE5/range*(2^resolution-1)</f>
        <v>0</v>
      </c>
      <c r="AF5" s="28">
        <f>data2!AF5/range*(2^resolution-1)</f>
        <v>0</v>
      </c>
      <c r="AG5" s="28">
        <f>data2!AG5/range*(2^resolution-1)</f>
        <v>0</v>
      </c>
    </row>
    <row r="6" spans="1:33">
      <c r="A6" s="29">
        <f>data0!A6</f>
        <v>-78</v>
      </c>
      <c r="B6" s="28">
        <f>data2!B6/range*(2^resolution-1)</f>
        <v>0</v>
      </c>
      <c r="C6" s="28">
        <f>data2!C6/range*(2^resolution-1)</f>
        <v>0</v>
      </c>
      <c r="D6" s="28">
        <f>data2!D6/range*(2^resolution-1)</f>
        <v>0</v>
      </c>
      <c r="E6" s="28">
        <f>data2!E6/range*(2^resolution-1)</f>
        <v>0</v>
      </c>
      <c r="F6" s="28">
        <f>data2!F6/range*(2^resolution-1)</f>
        <v>0</v>
      </c>
      <c r="G6" s="28">
        <f>data2!G6/range*(2^resolution-1)</f>
        <v>0</v>
      </c>
      <c r="H6" s="28">
        <f>data2!H6/range*(2^resolution-1)</f>
        <v>0</v>
      </c>
      <c r="I6" s="28">
        <f>data2!I6/range*(2^resolution-1)</f>
        <v>0</v>
      </c>
      <c r="J6" s="28">
        <f>data2!J6/range*(2^resolution-1)</f>
        <v>0</v>
      </c>
      <c r="K6" s="28">
        <f>data2!K6/range*(2^resolution-1)</f>
        <v>0</v>
      </c>
      <c r="L6" s="28">
        <f>data2!L6/range*(2^resolution-1)</f>
        <v>0</v>
      </c>
      <c r="M6" s="28">
        <f>data2!M6/range*(2^resolution-1)</f>
        <v>0</v>
      </c>
      <c r="N6" s="28">
        <f>data2!N6/range*(2^resolution-1)</f>
        <v>0</v>
      </c>
      <c r="O6" s="28">
        <f>data2!O6/range*(2^resolution-1)</f>
        <v>0</v>
      </c>
      <c r="P6" s="28">
        <f>data2!P6/range*(2^resolution-1)</f>
        <v>0</v>
      </c>
      <c r="Q6" s="28">
        <f>data2!Q6/range*(2^resolution-1)</f>
        <v>0</v>
      </c>
      <c r="R6" s="28">
        <f>data2!R6/range*(2^resolution-1)</f>
        <v>0</v>
      </c>
      <c r="S6" s="28">
        <f>data2!S6/range*(2^resolution-1)</f>
        <v>0</v>
      </c>
      <c r="T6" s="28">
        <f>data2!T6/range*(2^resolution-1)</f>
        <v>0</v>
      </c>
      <c r="U6" s="28">
        <f>data2!U6/range*(2^resolution-1)</f>
        <v>0</v>
      </c>
      <c r="V6" s="28">
        <f>data2!V6/range*(2^resolution-1)</f>
        <v>0</v>
      </c>
      <c r="W6" s="28">
        <f>data2!W6/range*(2^resolution-1)</f>
        <v>0</v>
      </c>
      <c r="X6" s="28">
        <f>data2!X6/range*(2^resolution-1)</f>
        <v>0</v>
      </c>
      <c r="Y6" s="28">
        <f>data2!Y6/range*(2^resolution-1)</f>
        <v>0</v>
      </c>
      <c r="Z6" s="28">
        <f>data2!Z6/range*(2^resolution-1)</f>
        <v>0</v>
      </c>
      <c r="AA6" s="28">
        <f>data2!AA6/range*(2^resolution-1)</f>
        <v>0</v>
      </c>
      <c r="AB6" s="28">
        <f>data2!AB6/range*(2^resolution-1)</f>
        <v>0</v>
      </c>
      <c r="AC6" s="28">
        <f>data2!AC6/range*(2^resolution-1)</f>
        <v>0</v>
      </c>
      <c r="AD6" s="28">
        <f>data2!AD6/range*(2^resolution-1)</f>
        <v>0</v>
      </c>
      <c r="AE6" s="28">
        <f>data2!AE6/range*(2^resolution-1)</f>
        <v>0</v>
      </c>
      <c r="AF6" s="28">
        <f>data2!AF6/range*(2^resolution-1)</f>
        <v>0</v>
      </c>
      <c r="AG6" s="28">
        <f>data2!AG6/range*(2^resolution-1)</f>
        <v>0</v>
      </c>
    </row>
    <row r="7" spans="1:33">
      <c r="A7" s="29">
        <f>data0!A7</f>
        <v>-75</v>
      </c>
      <c r="B7" s="28">
        <f>data2!B7/range*(2^resolution-1)</f>
        <v>0</v>
      </c>
      <c r="C7" s="28">
        <f>data2!C7/range*(2^resolution-1)</f>
        <v>0</v>
      </c>
      <c r="D7" s="28">
        <f>data2!D7/range*(2^resolution-1)</f>
        <v>0</v>
      </c>
      <c r="E7" s="28">
        <f>data2!E7/range*(2^resolution-1)</f>
        <v>0</v>
      </c>
      <c r="F7" s="28">
        <f>data2!F7/range*(2^resolution-1)</f>
        <v>0</v>
      </c>
      <c r="G7" s="28">
        <f>data2!G7/range*(2^resolution-1)</f>
        <v>0</v>
      </c>
      <c r="H7" s="28">
        <f>data2!H7/range*(2^resolution-1)</f>
        <v>0</v>
      </c>
      <c r="I7" s="28">
        <f>data2!I7/range*(2^resolution-1)</f>
        <v>0</v>
      </c>
      <c r="J7" s="28">
        <f>data2!J7/range*(2^resolution-1)</f>
        <v>0</v>
      </c>
      <c r="K7" s="28">
        <f>data2!K7/range*(2^resolution-1)</f>
        <v>0</v>
      </c>
      <c r="L7" s="28">
        <f>data2!L7/range*(2^resolution-1)</f>
        <v>0</v>
      </c>
      <c r="M7" s="28">
        <f>data2!M7/range*(2^resolution-1)</f>
        <v>0</v>
      </c>
      <c r="N7" s="28">
        <f>data2!N7/range*(2^resolution-1)</f>
        <v>0</v>
      </c>
      <c r="O7" s="28">
        <f>data2!O7/range*(2^resolution-1)</f>
        <v>0</v>
      </c>
      <c r="P7" s="28">
        <f>data2!P7/range*(2^resolution-1)</f>
        <v>0</v>
      </c>
      <c r="Q7" s="28">
        <f>data2!Q7/range*(2^resolution-1)</f>
        <v>0</v>
      </c>
      <c r="R7" s="28">
        <f>data2!R7/range*(2^resolution-1)</f>
        <v>0</v>
      </c>
      <c r="S7" s="28">
        <f>data2!S7/range*(2^resolution-1)</f>
        <v>0</v>
      </c>
      <c r="T7" s="28">
        <f>data2!T7/range*(2^resolution-1)</f>
        <v>0</v>
      </c>
      <c r="U7" s="28">
        <f>data2!U7/range*(2^resolution-1)</f>
        <v>0</v>
      </c>
      <c r="V7" s="28">
        <f>data2!V7/range*(2^resolution-1)</f>
        <v>0</v>
      </c>
      <c r="W7" s="28">
        <f>data2!W7/range*(2^resolution-1)</f>
        <v>0</v>
      </c>
      <c r="X7" s="28">
        <f>data2!X7/range*(2^resolution-1)</f>
        <v>0</v>
      </c>
      <c r="Y7" s="28">
        <f>data2!Y7/range*(2^resolution-1)</f>
        <v>0</v>
      </c>
      <c r="Z7" s="28">
        <f>data2!Z7/range*(2^resolution-1)</f>
        <v>0</v>
      </c>
      <c r="AA7" s="28">
        <f>data2!AA7/range*(2^resolution-1)</f>
        <v>0</v>
      </c>
      <c r="AB7" s="28">
        <f>data2!AB7/range*(2^resolution-1)</f>
        <v>0</v>
      </c>
      <c r="AC7" s="28">
        <f>data2!AC7/range*(2^resolution-1)</f>
        <v>0</v>
      </c>
      <c r="AD7" s="28">
        <f>data2!AD7/range*(2^resolution-1)</f>
        <v>0</v>
      </c>
      <c r="AE7" s="28">
        <f>data2!AE7/range*(2^resolution-1)</f>
        <v>0</v>
      </c>
      <c r="AF7" s="28">
        <f>data2!AF7/range*(2^resolution-1)</f>
        <v>0</v>
      </c>
      <c r="AG7" s="28">
        <f>data2!AG7/range*(2^resolution-1)</f>
        <v>0</v>
      </c>
    </row>
    <row r="8" spans="1:33">
      <c r="A8" s="29">
        <f>data0!A8</f>
        <v>-72</v>
      </c>
      <c r="B8" s="28">
        <f>data2!B8/range*(2^resolution-1)</f>
        <v>0</v>
      </c>
      <c r="C8" s="28">
        <f>data2!C8/range*(2^resolution-1)</f>
        <v>0</v>
      </c>
      <c r="D8" s="28">
        <f>data2!D8/range*(2^resolution-1)</f>
        <v>0</v>
      </c>
      <c r="E8" s="28">
        <f>data2!E8/range*(2^resolution-1)</f>
        <v>0</v>
      </c>
      <c r="F8" s="28">
        <f>data2!F8/range*(2^resolution-1)</f>
        <v>0</v>
      </c>
      <c r="G8" s="28">
        <f>data2!G8/range*(2^resolution-1)</f>
        <v>0</v>
      </c>
      <c r="H8" s="28">
        <f>data2!H8/range*(2^resolution-1)</f>
        <v>0</v>
      </c>
      <c r="I8" s="28">
        <f>data2!I8/range*(2^resolution-1)</f>
        <v>0</v>
      </c>
      <c r="J8" s="28">
        <f>data2!J8/range*(2^resolution-1)</f>
        <v>0</v>
      </c>
      <c r="K8" s="28">
        <f>data2!K8/range*(2^resolution-1)</f>
        <v>0</v>
      </c>
      <c r="L8" s="28">
        <f>data2!L8/range*(2^resolution-1)</f>
        <v>0</v>
      </c>
      <c r="M8" s="28">
        <f>data2!M8/range*(2^resolution-1)</f>
        <v>0</v>
      </c>
      <c r="N8" s="28">
        <f>data2!N8/range*(2^resolution-1)</f>
        <v>0</v>
      </c>
      <c r="O8" s="28">
        <f>data2!O8/range*(2^resolution-1)</f>
        <v>0</v>
      </c>
      <c r="P8" s="28">
        <f>data2!P8/range*(2^resolution-1)</f>
        <v>0</v>
      </c>
      <c r="Q8" s="28">
        <f>data2!Q8/range*(2^resolution-1)</f>
        <v>0</v>
      </c>
      <c r="R8" s="28">
        <f>data2!R8/range*(2^resolution-1)</f>
        <v>0</v>
      </c>
      <c r="S8" s="28">
        <f>data2!S8/range*(2^resolution-1)</f>
        <v>0</v>
      </c>
      <c r="T8" s="28">
        <f>data2!T8/range*(2^resolution-1)</f>
        <v>0</v>
      </c>
      <c r="U8" s="28">
        <f>data2!U8/range*(2^resolution-1)</f>
        <v>0</v>
      </c>
      <c r="V8" s="28">
        <f>data2!V8/range*(2^resolution-1)</f>
        <v>0</v>
      </c>
      <c r="W8" s="28">
        <f>data2!W8/range*(2^resolution-1)</f>
        <v>0</v>
      </c>
      <c r="X8" s="28">
        <f>data2!X8/range*(2^resolution-1)</f>
        <v>0</v>
      </c>
      <c r="Y8" s="28">
        <f>data2!Y8/range*(2^resolution-1)</f>
        <v>0</v>
      </c>
      <c r="Z8" s="28">
        <f>data2!Z8/range*(2^resolution-1)</f>
        <v>0</v>
      </c>
      <c r="AA8" s="28">
        <f>data2!AA8/range*(2^resolution-1)</f>
        <v>0</v>
      </c>
      <c r="AB8" s="28">
        <f>data2!AB8/range*(2^resolution-1)</f>
        <v>0</v>
      </c>
      <c r="AC8" s="28">
        <f>data2!AC8/range*(2^resolution-1)</f>
        <v>0</v>
      </c>
      <c r="AD8" s="28">
        <f>data2!AD8/range*(2^resolution-1)</f>
        <v>0</v>
      </c>
      <c r="AE8" s="28">
        <f>data2!AE8/range*(2^resolution-1)</f>
        <v>0</v>
      </c>
      <c r="AF8" s="28">
        <f>data2!AF8/range*(2^resolution-1)</f>
        <v>0</v>
      </c>
      <c r="AG8" s="28">
        <f>data2!AG8/range*(2^resolution-1)</f>
        <v>0</v>
      </c>
    </row>
    <row r="9" spans="1:33">
      <c r="A9" s="29">
        <f>data0!A9</f>
        <v>-69</v>
      </c>
      <c r="B9" s="28">
        <f>data2!B9/range*(2^resolution-1)</f>
        <v>0</v>
      </c>
      <c r="C9" s="28">
        <f>data2!C9/range*(2^resolution-1)</f>
        <v>0</v>
      </c>
      <c r="D9" s="28">
        <f>data2!D9/range*(2^resolution-1)</f>
        <v>0</v>
      </c>
      <c r="E9" s="28">
        <f>data2!E9/range*(2^resolution-1)</f>
        <v>0</v>
      </c>
      <c r="F9" s="28">
        <f>data2!F9/range*(2^resolution-1)</f>
        <v>0</v>
      </c>
      <c r="G9" s="28">
        <f>data2!G9/range*(2^resolution-1)</f>
        <v>0</v>
      </c>
      <c r="H9" s="28">
        <f>data2!H9/range*(2^resolution-1)</f>
        <v>0</v>
      </c>
      <c r="I9" s="28">
        <f>data2!I9/range*(2^resolution-1)</f>
        <v>0</v>
      </c>
      <c r="J9" s="28">
        <f>data2!J9/range*(2^resolution-1)</f>
        <v>0</v>
      </c>
      <c r="K9" s="28">
        <f>data2!K9/range*(2^resolution-1)</f>
        <v>0</v>
      </c>
      <c r="L9" s="28">
        <f>data2!L9/range*(2^resolution-1)</f>
        <v>0</v>
      </c>
      <c r="M9" s="28">
        <f>data2!M9/range*(2^resolution-1)</f>
        <v>0</v>
      </c>
      <c r="N9" s="28">
        <f>data2!N9/range*(2^resolution-1)</f>
        <v>0</v>
      </c>
      <c r="O9" s="28">
        <f>data2!O9/range*(2^resolution-1)</f>
        <v>0</v>
      </c>
      <c r="P9" s="28">
        <f>data2!P9/range*(2^resolution-1)</f>
        <v>0</v>
      </c>
      <c r="Q9" s="28">
        <f>data2!Q9/range*(2^resolution-1)</f>
        <v>0</v>
      </c>
      <c r="R9" s="28">
        <f>data2!R9/range*(2^resolution-1)</f>
        <v>0</v>
      </c>
      <c r="S9" s="28">
        <f>data2!S9/range*(2^resolution-1)</f>
        <v>0</v>
      </c>
      <c r="T9" s="28">
        <f>data2!T9/range*(2^resolution-1)</f>
        <v>0</v>
      </c>
      <c r="U9" s="28">
        <f>data2!U9/range*(2^resolution-1)</f>
        <v>0</v>
      </c>
      <c r="V9" s="28">
        <f>data2!V9/range*(2^resolution-1)</f>
        <v>0</v>
      </c>
      <c r="W9" s="28">
        <f>data2!W9/range*(2^resolution-1)</f>
        <v>0</v>
      </c>
      <c r="X9" s="28">
        <f>data2!X9/range*(2^resolution-1)</f>
        <v>0</v>
      </c>
      <c r="Y9" s="28">
        <f>data2!Y9/range*(2^resolution-1)</f>
        <v>0</v>
      </c>
      <c r="Z9" s="28">
        <f>data2!Z9/range*(2^resolution-1)</f>
        <v>0</v>
      </c>
      <c r="AA9" s="28">
        <f>data2!AA9/range*(2^resolution-1)</f>
        <v>0</v>
      </c>
      <c r="AB9" s="28">
        <f>data2!AB9/range*(2^resolution-1)</f>
        <v>0</v>
      </c>
      <c r="AC9" s="28">
        <f>data2!AC9/range*(2^resolution-1)</f>
        <v>0</v>
      </c>
      <c r="AD9" s="28">
        <f>data2!AD9/range*(2^resolution-1)</f>
        <v>0</v>
      </c>
      <c r="AE9" s="28">
        <f>data2!AE9/range*(2^resolution-1)</f>
        <v>0</v>
      </c>
      <c r="AF9" s="28">
        <f>data2!AF9/range*(2^resolution-1)</f>
        <v>0</v>
      </c>
      <c r="AG9" s="28">
        <f>data2!AG9/range*(2^resolution-1)</f>
        <v>0</v>
      </c>
    </row>
    <row r="10" spans="1:33">
      <c r="A10" s="29">
        <f>data0!A10</f>
        <v>-66</v>
      </c>
      <c r="B10" s="28">
        <f>data2!B10/range*(2^resolution-1)</f>
        <v>0</v>
      </c>
      <c r="C10" s="28">
        <f>data2!C10/range*(2^resolution-1)</f>
        <v>0</v>
      </c>
      <c r="D10" s="28">
        <f>data2!D10/range*(2^resolution-1)</f>
        <v>0</v>
      </c>
      <c r="E10" s="28">
        <f>data2!E10/range*(2^resolution-1)</f>
        <v>0</v>
      </c>
      <c r="F10" s="28">
        <f>data2!F10/range*(2^resolution-1)</f>
        <v>0</v>
      </c>
      <c r="G10" s="28">
        <f>data2!G10/range*(2^resolution-1)</f>
        <v>0</v>
      </c>
      <c r="H10" s="28">
        <f>data2!H10/range*(2^resolution-1)</f>
        <v>0</v>
      </c>
      <c r="I10" s="28">
        <f>data2!I10/range*(2^resolution-1)</f>
        <v>0</v>
      </c>
      <c r="J10" s="28">
        <f>data2!J10/range*(2^resolution-1)</f>
        <v>0</v>
      </c>
      <c r="K10" s="28">
        <f>data2!K10/range*(2^resolution-1)</f>
        <v>0</v>
      </c>
      <c r="L10" s="28">
        <f>data2!L10/range*(2^resolution-1)</f>
        <v>0</v>
      </c>
      <c r="M10" s="28">
        <f>data2!M10/range*(2^resolution-1)</f>
        <v>0</v>
      </c>
      <c r="N10" s="28">
        <f>data2!N10/range*(2^resolution-1)</f>
        <v>0</v>
      </c>
      <c r="O10" s="28">
        <f>data2!O10/range*(2^resolution-1)</f>
        <v>0</v>
      </c>
      <c r="P10" s="28">
        <f>data2!P10/range*(2^resolution-1)</f>
        <v>0</v>
      </c>
      <c r="Q10" s="28">
        <f>data2!Q10/range*(2^resolution-1)</f>
        <v>0</v>
      </c>
      <c r="R10" s="28">
        <f>data2!R10/range*(2^resolution-1)</f>
        <v>0</v>
      </c>
      <c r="S10" s="28">
        <f>data2!S10/range*(2^resolution-1)</f>
        <v>0</v>
      </c>
      <c r="T10" s="28">
        <f>data2!T10/range*(2^resolution-1)</f>
        <v>0</v>
      </c>
      <c r="U10" s="28">
        <f>data2!U10/range*(2^resolution-1)</f>
        <v>0</v>
      </c>
      <c r="V10" s="28">
        <f>data2!V10/range*(2^resolution-1)</f>
        <v>0</v>
      </c>
      <c r="W10" s="28">
        <f>data2!W10/range*(2^resolution-1)</f>
        <v>0</v>
      </c>
      <c r="X10" s="28">
        <f>data2!X10/range*(2^resolution-1)</f>
        <v>0</v>
      </c>
      <c r="Y10" s="28">
        <f>data2!Y10/range*(2^resolution-1)</f>
        <v>0</v>
      </c>
      <c r="Z10" s="28">
        <f>data2!Z10/range*(2^resolution-1)</f>
        <v>0</v>
      </c>
      <c r="AA10" s="28">
        <f>data2!AA10/range*(2^resolution-1)</f>
        <v>0</v>
      </c>
      <c r="AB10" s="28">
        <f>data2!AB10/range*(2^resolution-1)</f>
        <v>0</v>
      </c>
      <c r="AC10" s="28">
        <f>data2!AC10/range*(2^resolution-1)</f>
        <v>0</v>
      </c>
      <c r="AD10" s="28">
        <f>data2!AD10/range*(2^resolution-1)</f>
        <v>0</v>
      </c>
      <c r="AE10" s="28">
        <f>data2!AE10/range*(2^resolution-1)</f>
        <v>0</v>
      </c>
      <c r="AF10" s="28">
        <f>data2!AF10/range*(2^resolution-1)</f>
        <v>0</v>
      </c>
      <c r="AG10" s="28">
        <f>data2!AG10/range*(2^resolution-1)</f>
        <v>0</v>
      </c>
    </row>
    <row r="11" spans="1:33">
      <c r="A11" s="29">
        <f>data0!A11</f>
        <v>-63</v>
      </c>
      <c r="B11" s="28">
        <f>data2!B11/range*(2^resolution-1)</f>
        <v>0</v>
      </c>
      <c r="C11" s="28">
        <f>data2!C11/range*(2^resolution-1)</f>
        <v>0</v>
      </c>
      <c r="D11" s="28">
        <f>data2!D11/range*(2^resolution-1)</f>
        <v>0</v>
      </c>
      <c r="E11" s="28">
        <f>data2!E11/range*(2^resolution-1)</f>
        <v>0</v>
      </c>
      <c r="F11" s="28">
        <f>data2!F11/range*(2^resolution-1)</f>
        <v>0</v>
      </c>
      <c r="G11" s="28">
        <f>data2!G11/range*(2^resolution-1)</f>
        <v>0</v>
      </c>
      <c r="H11" s="28">
        <f>data2!H11/range*(2^resolution-1)</f>
        <v>0</v>
      </c>
      <c r="I11" s="28">
        <f>data2!I11/range*(2^resolution-1)</f>
        <v>0</v>
      </c>
      <c r="J11" s="28">
        <f>data2!J11/range*(2^resolution-1)</f>
        <v>0</v>
      </c>
      <c r="K11" s="28">
        <f>data2!K11/range*(2^resolution-1)</f>
        <v>0</v>
      </c>
      <c r="L11" s="28">
        <f>data2!L11/range*(2^resolution-1)</f>
        <v>0</v>
      </c>
      <c r="M11" s="28">
        <f>data2!M11/range*(2^resolution-1)</f>
        <v>0</v>
      </c>
      <c r="N11" s="28">
        <f>data2!N11/range*(2^resolution-1)</f>
        <v>0</v>
      </c>
      <c r="O11" s="28">
        <f>data2!O11/range*(2^resolution-1)</f>
        <v>0</v>
      </c>
      <c r="P11" s="28">
        <f>data2!P11/range*(2^resolution-1)</f>
        <v>0</v>
      </c>
      <c r="Q11" s="28">
        <f>data2!Q11/range*(2^resolution-1)</f>
        <v>0</v>
      </c>
      <c r="R11" s="28">
        <f>data2!R11/range*(2^resolution-1)</f>
        <v>0</v>
      </c>
      <c r="S11" s="28">
        <f>data2!S11/range*(2^resolution-1)</f>
        <v>0</v>
      </c>
      <c r="T11" s="28">
        <f>data2!T11/range*(2^resolution-1)</f>
        <v>0</v>
      </c>
      <c r="U11" s="28">
        <f>data2!U11/range*(2^resolution-1)</f>
        <v>0</v>
      </c>
      <c r="V11" s="28">
        <f>data2!V11/range*(2^resolution-1)</f>
        <v>0</v>
      </c>
      <c r="W11" s="28">
        <f>data2!W11/range*(2^resolution-1)</f>
        <v>0</v>
      </c>
      <c r="X11" s="28">
        <f>data2!X11/range*(2^resolution-1)</f>
        <v>0</v>
      </c>
      <c r="Y11" s="28">
        <f>data2!Y11/range*(2^resolution-1)</f>
        <v>0</v>
      </c>
      <c r="Z11" s="28">
        <f>data2!Z11/range*(2^resolution-1)</f>
        <v>0</v>
      </c>
      <c r="AA11" s="28">
        <f>data2!AA11/range*(2^resolution-1)</f>
        <v>0</v>
      </c>
      <c r="AB11" s="28">
        <f>data2!AB11/range*(2^resolution-1)</f>
        <v>0</v>
      </c>
      <c r="AC11" s="28">
        <f>data2!AC11/range*(2^resolution-1)</f>
        <v>0</v>
      </c>
      <c r="AD11" s="28">
        <f>data2!AD11/range*(2^resolution-1)</f>
        <v>0</v>
      </c>
      <c r="AE11" s="28">
        <f>data2!AE11/range*(2^resolution-1)</f>
        <v>0</v>
      </c>
      <c r="AF11" s="28">
        <f>data2!AF11/range*(2^resolution-1)</f>
        <v>0</v>
      </c>
      <c r="AG11" s="28">
        <f>data2!AG11/range*(2^resolution-1)</f>
        <v>0</v>
      </c>
    </row>
    <row r="12" spans="1:33">
      <c r="A12" s="29">
        <f>data0!A12</f>
        <v>-60</v>
      </c>
      <c r="B12" s="28">
        <f>data2!B12/range*(2^resolution-1)</f>
        <v>0</v>
      </c>
      <c r="C12" s="28">
        <f>data2!C12/range*(2^resolution-1)</f>
        <v>0</v>
      </c>
      <c r="D12" s="28">
        <f>data2!D12/range*(2^resolution-1)</f>
        <v>0</v>
      </c>
      <c r="E12" s="28">
        <f>data2!E12/range*(2^resolution-1)</f>
        <v>0</v>
      </c>
      <c r="F12" s="28">
        <f>data2!F12/range*(2^resolution-1)</f>
        <v>0</v>
      </c>
      <c r="G12" s="28">
        <f>data2!G12/range*(2^resolution-1)</f>
        <v>0</v>
      </c>
      <c r="H12" s="28">
        <f>data2!H12/range*(2^resolution-1)</f>
        <v>0</v>
      </c>
      <c r="I12" s="28">
        <f>data2!I12/range*(2^resolution-1)</f>
        <v>0</v>
      </c>
      <c r="J12" s="28">
        <f>data2!J12/range*(2^resolution-1)</f>
        <v>0</v>
      </c>
      <c r="K12" s="28">
        <f>data2!K12/range*(2^resolution-1)</f>
        <v>0</v>
      </c>
      <c r="L12" s="28">
        <f>data2!L12/range*(2^resolution-1)</f>
        <v>0</v>
      </c>
      <c r="M12" s="28">
        <f>data2!M12/range*(2^resolution-1)</f>
        <v>0</v>
      </c>
      <c r="N12" s="28">
        <f>data2!N12/range*(2^resolution-1)</f>
        <v>0</v>
      </c>
      <c r="O12" s="28">
        <f>data2!O12/range*(2^resolution-1)</f>
        <v>0</v>
      </c>
      <c r="P12" s="28">
        <f>data2!P12/range*(2^resolution-1)</f>
        <v>0</v>
      </c>
      <c r="Q12" s="28">
        <f>data2!Q12/range*(2^resolution-1)</f>
        <v>0</v>
      </c>
      <c r="R12" s="28">
        <f>data2!R12/range*(2^resolution-1)</f>
        <v>0</v>
      </c>
      <c r="S12" s="28">
        <f>data2!S12/range*(2^resolution-1)</f>
        <v>0</v>
      </c>
      <c r="T12" s="28">
        <f>data2!T12/range*(2^resolution-1)</f>
        <v>0</v>
      </c>
      <c r="U12" s="28">
        <f>data2!U12/range*(2^resolution-1)</f>
        <v>0</v>
      </c>
      <c r="V12" s="28">
        <f>data2!V12/range*(2^resolution-1)</f>
        <v>0</v>
      </c>
      <c r="W12" s="28">
        <f>data2!W12/range*(2^resolution-1)</f>
        <v>0</v>
      </c>
      <c r="X12" s="28">
        <f>data2!X12/range*(2^resolution-1)</f>
        <v>0</v>
      </c>
      <c r="Y12" s="28">
        <f>data2!Y12/range*(2^resolution-1)</f>
        <v>0</v>
      </c>
      <c r="Z12" s="28">
        <f>data2!Z12/range*(2^resolution-1)</f>
        <v>0</v>
      </c>
      <c r="AA12" s="28">
        <f>data2!AA12/range*(2^resolution-1)</f>
        <v>0</v>
      </c>
      <c r="AB12" s="28">
        <f>data2!AB12/range*(2^resolution-1)</f>
        <v>0</v>
      </c>
      <c r="AC12" s="28">
        <f>data2!AC12/range*(2^resolution-1)</f>
        <v>0</v>
      </c>
      <c r="AD12" s="28">
        <f>data2!AD12/range*(2^resolution-1)</f>
        <v>0</v>
      </c>
      <c r="AE12" s="28">
        <f>data2!AE12/range*(2^resolution-1)</f>
        <v>0</v>
      </c>
      <c r="AF12" s="28">
        <f>data2!AF12/range*(2^resolution-1)</f>
        <v>0</v>
      </c>
      <c r="AG12" s="28">
        <f>data2!AG12/range*(2^resolution-1)</f>
        <v>0</v>
      </c>
    </row>
    <row r="13" spans="1:33">
      <c r="A13" s="29">
        <f>data0!A13</f>
        <v>-57</v>
      </c>
      <c r="B13" s="28">
        <f>data2!B13/range*(2^resolution-1)</f>
        <v>0</v>
      </c>
      <c r="C13" s="28">
        <f>data2!C13/range*(2^resolution-1)</f>
        <v>0</v>
      </c>
      <c r="D13" s="28">
        <f>data2!D13/range*(2^resolution-1)</f>
        <v>0</v>
      </c>
      <c r="E13" s="28">
        <f>data2!E13/range*(2^resolution-1)</f>
        <v>0</v>
      </c>
      <c r="F13" s="28">
        <f>data2!F13/range*(2^resolution-1)</f>
        <v>0</v>
      </c>
      <c r="G13" s="28">
        <f>data2!G13/range*(2^resolution-1)</f>
        <v>0</v>
      </c>
      <c r="H13" s="28">
        <f>data2!H13/range*(2^resolution-1)</f>
        <v>0</v>
      </c>
      <c r="I13" s="28">
        <f>data2!I13/range*(2^resolution-1)</f>
        <v>0</v>
      </c>
      <c r="J13" s="28">
        <f>data2!J13/range*(2^resolution-1)</f>
        <v>0</v>
      </c>
      <c r="K13" s="28">
        <f>data2!K13/range*(2^resolution-1)</f>
        <v>0</v>
      </c>
      <c r="L13" s="28">
        <f>data2!L13/range*(2^resolution-1)</f>
        <v>0</v>
      </c>
      <c r="M13" s="28">
        <f>data2!M13/range*(2^resolution-1)</f>
        <v>0</v>
      </c>
      <c r="N13" s="28">
        <f>data2!N13/range*(2^resolution-1)</f>
        <v>0</v>
      </c>
      <c r="O13" s="28">
        <f>data2!O13/range*(2^resolution-1)</f>
        <v>0</v>
      </c>
      <c r="P13" s="28">
        <f>data2!P13/range*(2^resolution-1)</f>
        <v>0</v>
      </c>
      <c r="Q13" s="28">
        <f>data2!Q13/range*(2^resolution-1)</f>
        <v>0</v>
      </c>
      <c r="R13" s="28">
        <f>data2!R13/range*(2^resolution-1)</f>
        <v>0</v>
      </c>
      <c r="S13" s="28">
        <f>data2!S13/range*(2^resolution-1)</f>
        <v>0</v>
      </c>
      <c r="T13" s="28">
        <f>data2!T13/range*(2^resolution-1)</f>
        <v>0</v>
      </c>
      <c r="U13" s="28">
        <f>data2!U13/range*(2^resolution-1)</f>
        <v>0</v>
      </c>
      <c r="V13" s="28">
        <f>data2!V13/range*(2^resolution-1)</f>
        <v>0</v>
      </c>
      <c r="W13" s="28">
        <f>data2!W13/range*(2^resolution-1)</f>
        <v>0</v>
      </c>
      <c r="X13" s="28">
        <f>data2!X13/range*(2^resolution-1)</f>
        <v>0</v>
      </c>
      <c r="Y13" s="28">
        <f>data2!Y13/range*(2^resolution-1)</f>
        <v>0</v>
      </c>
      <c r="Z13" s="28">
        <f>data2!Z13/range*(2^resolution-1)</f>
        <v>0</v>
      </c>
      <c r="AA13" s="28">
        <f>data2!AA13/range*(2^resolution-1)</f>
        <v>0</v>
      </c>
      <c r="AB13" s="28">
        <f>data2!AB13/range*(2^resolution-1)</f>
        <v>0</v>
      </c>
      <c r="AC13" s="28">
        <f>data2!AC13/range*(2^resolution-1)</f>
        <v>0</v>
      </c>
      <c r="AD13" s="28">
        <f>data2!AD13/range*(2^resolution-1)</f>
        <v>0</v>
      </c>
      <c r="AE13" s="28">
        <f>data2!AE13/range*(2^resolution-1)</f>
        <v>0</v>
      </c>
      <c r="AF13" s="28">
        <f>data2!AF13/range*(2^resolution-1)</f>
        <v>0</v>
      </c>
      <c r="AG13" s="28">
        <f>data2!AG13/range*(2^resolution-1)</f>
        <v>0</v>
      </c>
    </row>
    <row r="14" spans="1:33">
      <c r="A14" s="29">
        <f>data0!A14</f>
        <v>-54</v>
      </c>
      <c r="B14" s="28">
        <f>data2!B14/range*(2^resolution-1)</f>
        <v>0</v>
      </c>
      <c r="C14" s="28">
        <f>data2!C14/range*(2^resolution-1)</f>
        <v>0</v>
      </c>
      <c r="D14" s="28">
        <f>data2!D14/range*(2^resolution-1)</f>
        <v>0</v>
      </c>
      <c r="E14" s="28">
        <f>data2!E14/range*(2^resolution-1)</f>
        <v>0</v>
      </c>
      <c r="F14" s="28">
        <f>data2!F14/range*(2^resolution-1)</f>
        <v>0</v>
      </c>
      <c r="G14" s="28">
        <f>data2!G14/range*(2^resolution-1)</f>
        <v>0</v>
      </c>
      <c r="H14" s="28">
        <f>data2!H14/range*(2^resolution-1)</f>
        <v>0</v>
      </c>
      <c r="I14" s="28">
        <f>data2!I14/range*(2^resolution-1)</f>
        <v>0</v>
      </c>
      <c r="J14" s="28">
        <f>data2!J14/range*(2^resolution-1)</f>
        <v>0</v>
      </c>
      <c r="K14" s="28">
        <f>data2!K14/range*(2^resolution-1)</f>
        <v>0</v>
      </c>
      <c r="L14" s="28">
        <f>data2!L14/range*(2^resolution-1)</f>
        <v>0</v>
      </c>
      <c r="M14" s="28">
        <f>data2!M14/range*(2^resolution-1)</f>
        <v>0</v>
      </c>
      <c r="N14" s="28">
        <f>data2!N14/range*(2^resolution-1)</f>
        <v>0</v>
      </c>
      <c r="O14" s="28">
        <f>data2!O14/range*(2^resolution-1)</f>
        <v>0</v>
      </c>
      <c r="P14" s="28">
        <f>data2!P14/range*(2^resolution-1)</f>
        <v>0</v>
      </c>
      <c r="Q14" s="28">
        <f>data2!Q14/range*(2^resolution-1)</f>
        <v>0</v>
      </c>
      <c r="R14" s="28">
        <f>data2!R14/range*(2^resolution-1)</f>
        <v>0</v>
      </c>
      <c r="S14" s="28">
        <f>data2!S14/range*(2^resolution-1)</f>
        <v>0</v>
      </c>
      <c r="T14" s="28">
        <f>data2!T14/range*(2^resolution-1)</f>
        <v>0</v>
      </c>
      <c r="U14" s="28">
        <f>data2!U14/range*(2^resolution-1)</f>
        <v>0</v>
      </c>
      <c r="V14" s="28">
        <f>data2!V14/range*(2^resolution-1)</f>
        <v>0</v>
      </c>
      <c r="W14" s="28">
        <f>data2!W14/range*(2^resolution-1)</f>
        <v>0</v>
      </c>
      <c r="X14" s="28">
        <f>data2!X14/range*(2^resolution-1)</f>
        <v>0</v>
      </c>
      <c r="Y14" s="28">
        <f>data2!Y14/range*(2^resolution-1)</f>
        <v>0</v>
      </c>
      <c r="Z14" s="28">
        <f>data2!Z14/range*(2^resolution-1)</f>
        <v>0</v>
      </c>
      <c r="AA14" s="28">
        <f>data2!AA14/range*(2^resolution-1)</f>
        <v>0</v>
      </c>
      <c r="AB14" s="28">
        <f>data2!AB14/range*(2^resolution-1)</f>
        <v>0</v>
      </c>
      <c r="AC14" s="28">
        <f>data2!AC14/range*(2^resolution-1)</f>
        <v>0</v>
      </c>
      <c r="AD14" s="28">
        <f>data2!AD14/range*(2^resolution-1)</f>
        <v>0</v>
      </c>
      <c r="AE14" s="28">
        <f>data2!AE14/range*(2^resolution-1)</f>
        <v>0</v>
      </c>
      <c r="AF14" s="28">
        <f>data2!AF14/range*(2^resolution-1)</f>
        <v>0</v>
      </c>
      <c r="AG14" s="28">
        <f>data2!AG14/range*(2^resolution-1)</f>
        <v>0</v>
      </c>
    </row>
    <row r="15" spans="1:33">
      <c r="A15" s="29">
        <f>data0!A15</f>
        <v>-51</v>
      </c>
      <c r="B15" s="28">
        <f>data2!B15/range*(2^resolution-1)</f>
        <v>0</v>
      </c>
      <c r="C15" s="28">
        <f>data2!C15/range*(2^resolution-1)</f>
        <v>0</v>
      </c>
      <c r="D15" s="28">
        <f>data2!D15/range*(2^resolution-1)</f>
        <v>0</v>
      </c>
      <c r="E15" s="28">
        <f>data2!E15/range*(2^resolution-1)</f>
        <v>0</v>
      </c>
      <c r="F15" s="28">
        <f>data2!F15/range*(2^resolution-1)</f>
        <v>0</v>
      </c>
      <c r="G15" s="28">
        <f>data2!G15/range*(2^resolution-1)</f>
        <v>0</v>
      </c>
      <c r="H15" s="28">
        <f>data2!H15/range*(2^resolution-1)</f>
        <v>0</v>
      </c>
      <c r="I15" s="28">
        <f>data2!I15/range*(2^resolution-1)</f>
        <v>0</v>
      </c>
      <c r="J15" s="28">
        <f>data2!J15/range*(2^resolution-1)</f>
        <v>0</v>
      </c>
      <c r="K15" s="28">
        <f>data2!K15/range*(2^resolution-1)</f>
        <v>0</v>
      </c>
      <c r="L15" s="28">
        <f>data2!L15/range*(2^resolution-1)</f>
        <v>0</v>
      </c>
      <c r="M15" s="28">
        <f>data2!M15/range*(2^resolution-1)</f>
        <v>0</v>
      </c>
      <c r="N15" s="28">
        <f>data2!N15/range*(2^resolution-1)</f>
        <v>0</v>
      </c>
      <c r="O15" s="28">
        <f>data2!O15/range*(2^resolution-1)</f>
        <v>0</v>
      </c>
      <c r="P15" s="28">
        <f>data2!P15/range*(2^resolution-1)</f>
        <v>0</v>
      </c>
      <c r="Q15" s="28">
        <f>data2!Q15/range*(2^resolution-1)</f>
        <v>0</v>
      </c>
      <c r="R15" s="28">
        <f>data2!R15/range*(2^resolution-1)</f>
        <v>0</v>
      </c>
      <c r="S15" s="28">
        <f>data2!S15/range*(2^resolution-1)</f>
        <v>0</v>
      </c>
      <c r="T15" s="28">
        <f>data2!T15/range*(2^resolution-1)</f>
        <v>0</v>
      </c>
      <c r="U15" s="28">
        <f>data2!U15/range*(2^resolution-1)</f>
        <v>0</v>
      </c>
      <c r="V15" s="28">
        <f>data2!V15/range*(2^resolution-1)</f>
        <v>0</v>
      </c>
      <c r="W15" s="28">
        <f>data2!W15/range*(2^resolution-1)</f>
        <v>0</v>
      </c>
      <c r="X15" s="28">
        <f>data2!X15/range*(2^resolution-1)</f>
        <v>0</v>
      </c>
      <c r="Y15" s="28">
        <f>data2!Y15/range*(2^resolution-1)</f>
        <v>0</v>
      </c>
      <c r="Z15" s="28">
        <f>data2!Z15/range*(2^resolution-1)</f>
        <v>0</v>
      </c>
      <c r="AA15" s="28">
        <f>data2!AA15/range*(2^resolution-1)</f>
        <v>0</v>
      </c>
      <c r="AB15" s="28">
        <f>data2!AB15/range*(2^resolution-1)</f>
        <v>0</v>
      </c>
      <c r="AC15" s="28">
        <f>data2!AC15/range*(2^resolution-1)</f>
        <v>0</v>
      </c>
      <c r="AD15" s="28">
        <f>data2!AD15/range*(2^resolution-1)</f>
        <v>0</v>
      </c>
      <c r="AE15" s="28">
        <f>data2!AE15/range*(2^resolution-1)</f>
        <v>0</v>
      </c>
      <c r="AF15" s="28">
        <f>data2!AF15/range*(2^resolution-1)</f>
        <v>0</v>
      </c>
      <c r="AG15" s="28">
        <f>data2!AG15/range*(2^resolution-1)</f>
        <v>0</v>
      </c>
    </row>
    <row r="16" spans="1:33">
      <c r="A16" s="29">
        <f>data0!A16</f>
        <v>-48</v>
      </c>
      <c r="B16" s="28">
        <f>data2!B16/range*(2^resolution-1)</f>
        <v>0</v>
      </c>
      <c r="C16" s="28">
        <f>data2!C16/range*(2^resolution-1)</f>
        <v>0</v>
      </c>
      <c r="D16" s="28">
        <f>data2!D16/range*(2^resolution-1)</f>
        <v>0</v>
      </c>
      <c r="E16" s="28">
        <f>data2!E16/range*(2^resolution-1)</f>
        <v>0</v>
      </c>
      <c r="F16" s="28">
        <f>data2!F16/range*(2^resolution-1)</f>
        <v>0</v>
      </c>
      <c r="G16" s="28">
        <f>data2!G16/range*(2^resolution-1)</f>
        <v>0</v>
      </c>
      <c r="H16" s="28">
        <f>data2!H16/range*(2^resolution-1)</f>
        <v>0</v>
      </c>
      <c r="I16" s="28">
        <f>data2!I16/range*(2^resolution-1)</f>
        <v>0</v>
      </c>
      <c r="J16" s="28">
        <f>data2!J16/range*(2^resolution-1)</f>
        <v>0</v>
      </c>
      <c r="K16" s="28">
        <f>data2!K16/range*(2^resolution-1)</f>
        <v>0</v>
      </c>
      <c r="L16" s="28">
        <f>data2!L16/range*(2^resolution-1)</f>
        <v>0</v>
      </c>
      <c r="M16" s="28">
        <f>data2!M16/range*(2^resolution-1)</f>
        <v>0</v>
      </c>
      <c r="N16" s="28">
        <f>data2!N16/range*(2^resolution-1)</f>
        <v>0</v>
      </c>
      <c r="O16" s="28">
        <f>data2!O16/range*(2^resolution-1)</f>
        <v>0</v>
      </c>
      <c r="P16" s="28">
        <f>data2!P16/range*(2^resolution-1)</f>
        <v>0</v>
      </c>
      <c r="Q16" s="28">
        <f>data2!Q16/range*(2^resolution-1)</f>
        <v>0</v>
      </c>
      <c r="R16" s="28">
        <f>data2!R16/range*(2^resolution-1)</f>
        <v>0</v>
      </c>
      <c r="S16" s="28">
        <f>data2!S16/range*(2^resolution-1)</f>
        <v>0</v>
      </c>
      <c r="T16" s="28">
        <f>data2!T16/range*(2^resolution-1)</f>
        <v>0</v>
      </c>
      <c r="U16" s="28">
        <f>data2!U16/range*(2^resolution-1)</f>
        <v>0</v>
      </c>
      <c r="V16" s="28">
        <f>data2!V16/range*(2^resolution-1)</f>
        <v>0</v>
      </c>
      <c r="W16" s="28">
        <f>data2!W16/range*(2^resolution-1)</f>
        <v>0</v>
      </c>
      <c r="X16" s="28">
        <f>data2!X16/range*(2^resolution-1)</f>
        <v>0</v>
      </c>
      <c r="Y16" s="28">
        <f>data2!Y16/range*(2^resolution-1)</f>
        <v>0</v>
      </c>
      <c r="Z16" s="28">
        <f>data2!Z16/range*(2^resolution-1)</f>
        <v>0</v>
      </c>
      <c r="AA16" s="28">
        <f>data2!AA16/range*(2^resolution-1)</f>
        <v>0</v>
      </c>
      <c r="AB16" s="28">
        <f>data2!AB16/range*(2^resolution-1)</f>
        <v>0</v>
      </c>
      <c r="AC16" s="28">
        <f>data2!AC16/range*(2^resolution-1)</f>
        <v>0</v>
      </c>
      <c r="AD16" s="28">
        <f>data2!AD16/range*(2^resolution-1)</f>
        <v>0</v>
      </c>
      <c r="AE16" s="28">
        <f>data2!AE16/range*(2^resolution-1)</f>
        <v>0</v>
      </c>
      <c r="AF16" s="28">
        <f>data2!AF16/range*(2^resolution-1)</f>
        <v>0</v>
      </c>
      <c r="AG16" s="28">
        <f>data2!AG16/range*(2^resolution-1)</f>
        <v>0</v>
      </c>
    </row>
    <row r="17" spans="1:33">
      <c r="A17" s="29">
        <f>data0!A17</f>
        <v>-45</v>
      </c>
      <c r="B17" s="28">
        <f>data2!B17/range*(2^resolution-1)</f>
        <v>0</v>
      </c>
      <c r="C17" s="28">
        <f>data2!C17/range*(2^resolution-1)</f>
        <v>0</v>
      </c>
      <c r="D17" s="28">
        <f>data2!D17/range*(2^resolution-1)</f>
        <v>0</v>
      </c>
      <c r="E17" s="28">
        <f>data2!E17/range*(2^resolution-1)</f>
        <v>0</v>
      </c>
      <c r="F17" s="28">
        <f>data2!F17/range*(2^resolution-1)</f>
        <v>0</v>
      </c>
      <c r="G17" s="28">
        <f>data2!G17/range*(2^resolution-1)</f>
        <v>0</v>
      </c>
      <c r="H17" s="28">
        <f>data2!H17/range*(2^resolution-1)</f>
        <v>0</v>
      </c>
      <c r="I17" s="28">
        <f>data2!I17/range*(2^resolution-1)</f>
        <v>0</v>
      </c>
      <c r="J17" s="28">
        <f>data2!J17/range*(2^resolution-1)</f>
        <v>0</v>
      </c>
      <c r="K17" s="28">
        <f>data2!K17/range*(2^resolution-1)</f>
        <v>0</v>
      </c>
      <c r="L17" s="28">
        <f>data2!L17/range*(2^resolution-1)</f>
        <v>0</v>
      </c>
      <c r="M17" s="28">
        <f>data2!M17/range*(2^resolution-1)</f>
        <v>0</v>
      </c>
      <c r="N17" s="28">
        <f>data2!N17/range*(2^resolution-1)</f>
        <v>0</v>
      </c>
      <c r="O17" s="28">
        <f>data2!O17/range*(2^resolution-1)</f>
        <v>0</v>
      </c>
      <c r="P17" s="28">
        <f>data2!P17/range*(2^resolution-1)</f>
        <v>0</v>
      </c>
      <c r="Q17" s="28">
        <f>data2!Q17/range*(2^resolution-1)</f>
        <v>0</v>
      </c>
      <c r="R17" s="28">
        <f>data2!R17/range*(2^resolution-1)</f>
        <v>0</v>
      </c>
      <c r="S17" s="28">
        <f>data2!S17/range*(2^resolution-1)</f>
        <v>0</v>
      </c>
      <c r="T17" s="28">
        <f>data2!T17/range*(2^resolution-1)</f>
        <v>0</v>
      </c>
      <c r="U17" s="28">
        <f>data2!U17/range*(2^resolution-1)</f>
        <v>0</v>
      </c>
      <c r="V17" s="28">
        <f>data2!V17/range*(2^resolution-1)</f>
        <v>0</v>
      </c>
      <c r="W17" s="28">
        <f>data2!W17/range*(2^resolution-1)</f>
        <v>0</v>
      </c>
      <c r="X17" s="28">
        <f>data2!X17/range*(2^resolution-1)</f>
        <v>0</v>
      </c>
      <c r="Y17" s="28">
        <f>data2!Y17/range*(2^resolution-1)</f>
        <v>0</v>
      </c>
      <c r="Z17" s="28">
        <f>data2!Z17/range*(2^resolution-1)</f>
        <v>0</v>
      </c>
      <c r="AA17" s="28">
        <f>data2!AA17/range*(2^resolution-1)</f>
        <v>0</v>
      </c>
      <c r="AB17" s="28">
        <f>data2!AB17/range*(2^resolution-1)</f>
        <v>0</v>
      </c>
      <c r="AC17" s="28">
        <f>data2!AC17/range*(2^resolution-1)</f>
        <v>0</v>
      </c>
      <c r="AD17" s="28">
        <f>data2!AD17/range*(2^resolution-1)</f>
        <v>0</v>
      </c>
      <c r="AE17" s="28">
        <f>data2!AE17/range*(2^resolution-1)</f>
        <v>0</v>
      </c>
      <c r="AF17" s="28">
        <f>data2!AF17/range*(2^resolution-1)</f>
        <v>0</v>
      </c>
      <c r="AG17" s="28">
        <f>data2!AG17/range*(2^resolution-1)</f>
        <v>0</v>
      </c>
    </row>
    <row r="18" spans="1:33">
      <c r="A18" s="29">
        <f>data0!A18</f>
        <v>-42</v>
      </c>
      <c r="B18" s="28">
        <f>data2!B18/range*(2^resolution-1)</f>
        <v>0</v>
      </c>
      <c r="C18" s="28">
        <f>data2!C18/range*(2^resolution-1)</f>
        <v>0</v>
      </c>
      <c r="D18" s="28">
        <f>data2!D18/range*(2^resolution-1)</f>
        <v>0</v>
      </c>
      <c r="E18" s="28">
        <f>data2!E18/range*(2^resolution-1)</f>
        <v>0</v>
      </c>
      <c r="F18" s="28">
        <f>data2!F18/range*(2^resolution-1)</f>
        <v>0</v>
      </c>
      <c r="G18" s="28">
        <f>data2!G18/range*(2^resolution-1)</f>
        <v>0</v>
      </c>
      <c r="H18" s="28">
        <f>data2!H18/range*(2^resolution-1)</f>
        <v>0</v>
      </c>
      <c r="I18" s="28">
        <f>data2!I18/range*(2^resolution-1)</f>
        <v>0</v>
      </c>
      <c r="J18" s="28">
        <f>data2!J18/range*(2^resolution-1)</f>
        <v>0</v>
      </c>
      <c r="K18" s="28">
        <f>data2!K18/range*(2^resolution-1)</f>
        <v>0</v>
      </c>
      <c r="L18" s="28">
        <f>data2!L18/range*(2^resolution-1)</f>
        <v>0</v>
      </c>
      <c r="M18" s="28">
        <f>data2!M18/range*(2^resolution-1)</f>
        <v>0</v>
      </c>
      <c r="N18" s="28">
        <f>data2!N18/range*(2^resolution-1)</f>
        <v>0</v>
      </c>
      <c r="O18" s="28">
        <f>data2!O18/range*(2^resolution-1)</f>
        <v>0</v>
      </c>
      <c r="P18" s="28">
        <f>data2!P18/range*(2^resolution-1)</f>
        <v>0</v>
      </c>
      <c r="Q18" s="28">
        <f>data2!Q18/range*(2^resolution-1)</f>
        <v>0</v>
      </c>
      <c r="R18" s="28">
        <f>data2!R18/range*(2^resolution-1)</f>
        <v>0</v>
      </c>
      <c r="S18" s="28">
        <f>data2!S18/range*(2^resolution-1)</f>
        <v>0</v>
      </c>
      <c r="T18" s="28">
        <f>data2!T18/range*(2^resolution-1)</f>
        <v>0</v>
      </c>
      <c r="U18" s="28">
        <f>data2!U18/range*(2^resolution-1)</f>
        <v>0</v>
      </c>
      <c r="V18" s="28">
        <f>data2!V18/range*(2^resolution-1)</f>
        <v>0</v>
      </c>
      <c r="W18" s="28">
        <f>data2!W18/range*(2^resolution-1)</f>
        <v>0</v>
      </c>
      <c r="X18" s="28">
        <f>data2!X18/range*(2^resolution-1)</f>
        <v>0</v>
      </c>
      <c r="Y18" s="28">
        <f>data2!Y18/range*(2^resolution-1)</f>
        <v>0</v>
      </c>
      <c r="Z18" s="28">
        <f>data2!Z18/range*(2^resolution-1)</f>
        <v>0</v>
      </c>
      <c r="AA18" s="28">
        <f>data2!AA18/range*(2^resolution-1)</f>
        <v>0</v>
      </c>
      <c r="AB18" s="28">
        <f>data2!AB18/range*(2^resolution-1)</f>
        <v>0</v>
      </c>
      <c r="AC18" s="28">
        <f>data2!AC18/range*(2^resolution-1)</f>
        <v>0</v>
      </c>
      <c r="AD18" s="28">
        <f>data2!AD18/range*(2^resolution-1)</f>
        <v>0</v>
      </c>
      <c r="AE18" s="28">
        <f>data2!AE18/range*(2^resolution-1)</f>
        <v>0</v>
      </c>
      <c r="AF18" s="28">
        <f>data2!AF18/range*(2^resolution-1)</f>
        <v>0</v>
      </c>
      <c r="AG18" s="28">
        <f>data2!AG18/range*(2^resolution-1)</f>
        <v>0</v>
      </c>
    </row>
    <row r="19" spans="1:33">
      <c r="A19" s="29">
        <f>data0!A19</f>
        <v>-39</v>
      </c>
      <c r="B19" s="28">
        <f>data2!B19/range*(2^resolution-1)</f>
        <v>0</v>
      </c>
      <c r="C19" s="28">
        <f>data2!C19/range*(2^resolution-1)</f>
        <v>0</v>
      </c>
      <c r="D19" s="28">
        <f>data2!D19/range*(2^resolution-1)</f>
        <v>0</v>
      </c>
      <c r="E19" s="28">
        <f>data2!E19/range*(2^resolution-1)</f>
        <v>0</v>
      </c>
      <c r="F19" s="28">
        <f>data2!F19/range*(2^resolution-1)</f>
        <v>0</v>
      </c>
      <c r="G19" s="28">
        <f>data2!G19/range*(2^resolution-1)</f>
        <v>0</v>
      </c>
      <c r="H19" s="28">
        <f>data2!H19/range*(2^resolution-1)</f>
        <v>0</v>
      </c>
      <c r="I19" s="28">
        <f>data2!I19/range*(2^resolution-1)</f>
        <v>0</v>
      </c>
      <c r="J19" s="28">
        <f>data2!J19/range*(2^resolution-1)</f>
        <v>0</v>
      </c>
      <c r="K19" s="28">
        <f>data2!K19/range*(2^resolution-1)</f>
        <v>0</v>
      </c>
      <c r="L19" s="28">
        <f>data2!L19/range*(2^resolution-1)</f>
        <v>0</v>
      </c>
      <c r="M19" s="28">
        <f>data2!M19/range*(2^resolution-1)</f>
        <v>0</v>
      </c>
      <c r="N19" s="28">
        <f>data2!N19/range*(2^resolution-1)</f>
        <v>0</v>
      </c>
      <c r="O19" s="28">
        <f>data2!O19/range*(2^resolution-1)</f>
        <v>0</v>
      </c>
      <c r="P19" s="28">
        <f>data2!P19/range*(2^resolution-1)</f>
        <v>0</v>
      </c>
      <c r="Q19" s="28">
        <f>data2!Q19/range*(2^resolution-1)</f>
        <v>0</v>
      </c>
      <c r="R19" s="28">
        <f>data2!R19/range*(2^resolution-1)</f>
        <v>0</v>
      </c>
      <c r="S19" s="28">
        <f>data2!S19/range*(2^resolution-1)</f>
        <v>0</v>
      </c>
      <c r="T19" s="28">
        <f>data2!T19/range*(2^resolution-1)</f>
        <v>0</v>
      </c>
      <c r="U19" s="28">
        <f>data2!U19/range*(2^resolution-1)</f>
        <v>0</v>
      </c>
      <c r="V19" s="28">
        <f>data2!V19/range*(2^resolution-1)</f>
        <v>0</v>
      </c>
      <c r="W19" s="28">
        <f>data2!W19/range*(2^resolution-1)</f>
        <v>0</v>
      </c>
      <c r="X19" s="28">
        <f>data2!X19/range*(2^resolution-1)</f>
        <v>0</v>
      </c>
      <c r="Y19" s="28">
        <f>data2!Y19/range*(2^resolution-1)</f>
        <v>0</v>
      </c>
      <c r="Z19" s="28">
        <f>data2!Z19/range*(2^resolution-1)</f>
        <v>0</v>
      </c>
      <c r="AA19" s="28">
        <f>data2!AA19/range*(2^resolution-1)</f>
        <v>0</v>
      </c>
      <c r="AB19" s="28">
        <f>data2!AB19/range*(2^resolution-1)</f>
        <v>0</v>
      </c>
      <c r="AC19" s="28">
        <f>data2!AC19/range*(2^resolution-1)</f>
        <v>0</v>
      </c>
      <c r="AD19" s="28">
        <f>data2!AD19/range*(2^resolution-1)</f>
        <v>0</v>
      </c>
      <c r="AE19" s="28">
        <f>data2!AE19/range*(2^resolution-1)</f>
        <v>0</v>
      </c>
      <c r="AF19" s="28">
        <f>data2!AF19/range*(2^resolution-1)</f>
        <v>0</v>
      </c>
      <c r="AG19" s="28">
        <f>data2!AG19/range*(2^resolution-1)</f>
        <v>0</v>
      </c>
    </row>
    <row r="20" spans="1:33">
      <c r="A20" s="29">
        <f>data0!A20</f>
        <v>-36</v>
      </c>
      <c r="B20" s="28">
        <f>data2!B20/range*(2^resolution-1)</f>
        <v>0</v>
      </c>
      <c r="C20" s="28">
        <f>data2!C20/range*(2^resolution-1)</f>
        <v>0</v>
      </c>
      <c r="D20" s="28">
        <f>data2!D20/range*(2^resolution-1)</f>
        <v>0</v>
      </c>
      <c r="E20" s="28">
        <f>data2!E20/range*(2^resolution-1)</f>
        <v>0</v>
      </c>
      <c r="F20" s="28">
        <f>data2!F20/range*(2^resolution-1)</f>
        <v>0</v>
      </c>
      <c r="G20" s="28">
        <f>data2!G20/range*(2^resolution-1)</f>
        <v>0</v>
      </c>
      <c r="H20" s="28">
        <f>data2!H20/range*(2^resolution-1)</f>
        <v>0</v>
      </c>
      <c r="I20" s="28">
        <f>data2!I20/range*(2^resolution-1)</f>
        <v>0</v>
      </c>
      <c r="J20" s="28">
        <f>data2!J20/range*(2^resolution-1)</f>
        <v>0</v>
      </c>
      <c r="K20" s="28">
        <f>data2!K20/range*(2^resolution-1)</f>
        <v>0</v>
      </c>
      <c r="L20" s="28">
        <f>data2!L20/range*(2^resolution-1)</f>
        <v>0</v>
      </c>
      <c r="M20" s="28">
        <f>data2!M20/range*(2^resolution-1)</f>
        <v>0</v>
      </c>
      <c r="N20" s="28">
        <f>data2!N20/range*(2^resolution-1)</f>
        <v>0</v>
      </c>
      <c r="O20" s="28">
        <f>data2!O20/range*(2^resolution-1)</f>
        <v>0</v>
      </c>
      <c r="P20" s="28">
        <f>data2!P20/range*(2^resolution-1)</f>
        <v>0</v>
      </c>
      <c r="Q20" s="28">
        <f>data2!Q20/range*(2^resolution-1)</f>
        <v>0</v>
      </c>
      <c r="R20" s="28">
        <f>data2!R20/range*(2^resolution-1)</f>
        <v>0</v>
      </c>
      <c r="S20" s="28">
        <f>data2!S20/range*(2^resolution-1)</f>
        <v>0</v>
      </c>
      <c r="T20" s="28">
        <f>data2!T20/range*(2^resolution-1)</f>
        <v>0</v>
      </c>
      <c r="U20" s="28">
        <f>data2!U20/range*(2^resolution-1)</f>
        <v>0</v>
      </c>
      <c r="V20" s="28">
        <f>data2!V20/range*(2^resolution-1)</f>
        <v>0</v>
      </c>
      <c r="W20" s="28">
        <f>data2!W20/range*(2^resolution-1)</f>
        <v>0</v>
      </c>
      <c r="X20" s="28">
        <f>data2!X20/range*(2^resolution-1)</f>
        <v>0</v>
      </c>
      <c r="Y20" s="28">
        <f>data2!Y20/range*(2^resolution-1)</f>
        <v>0</v>
      </c>
      <c r="Z20" s="28">
        <f>data2!Z20/range*(2^resolution-1)</f>
        <v>0</v>
      </c>
      <c r="AA20" s="28">
        <f>data2!AA20/range*(2^resolution-1)</f>
        <v>0</v>
      </c>
      <c r="AB20" s="28">
        <f>data2!AB20/range*(2^resolution-1)</f>
        <v>0</v>
      </c>
      <c r="AC20" s="28">
        <f>data2!AC20/range*(2^resolution-1)</f>
        <v>0</v>
      </c>
      <c r="AD20" s="28">
        <f>data2!AD20/range*(2^resolution-1)</f>
        <v>0</v>
      </c>
      <c r="AE20" s="28">
        <f>data2!AE20/range*(2^resolution-1)</f>
        <v>0</v>
      </c>
      <c r="AF20" s="28">
        <f>data2!AF20/range*(2^resolution-1)</f>
        <v>0</v>
      </c>
      <c r="AG20" s="28">
        <f>data2!AG20/range*(2^resolution-1)</f>
        <v>0</v>
      </c>
    </row>
    <row r="21" spans="1:33">
      <c r="A21" s="29">
        <f>data0!A21</f>
        <v>-33</v>
      </c>
      <c r="B21" s="28">
        <f>data2!B21/range*(2^resolution-1)</f>
        <v>0</v>
      </c>
      <c r="C21" s="28">
        <f>data2!C21/range*(2^resolution-1)</f>
        <v>0</v>
      </c>
      <c r="D21" s="28">
        <f>data2!D21/range*(2^resolution-1)</f>
        <v>0</v>
      </c>
      <c r="E21" s="28">
        <f>data2!E21/range*(2^resolution-1)</f>
        <v>0</v>
      </c>
      <c r="F21" s="28">
        <f>data2!F21/range*(2^resolution-1)</f>
        <v>0</v>
      </c>
      <c r="G21" s="28">
        <f>data2!G21/range*(2^resolution-1)</f>
        <v>0</v>
      </c>
      <c r="H21" s="28">
        <f>data2!H21/range*(2^resolution-1)</f>
        <v>0</v>
      </c>
      <c r="I21" s="28">
        <f>data2!I21/range*(2^resolution-1)</f>
        <v>0</v>
      </c>
      <c r="J21" s="28">
        <f>data2!J21/range*(2^resolution-1)</f>
        <v>0</v>
      </c>
      <c r="K21" s="28">
        <f>data2!K21/range*(2^resolution-1)</f>
        <v>0</v>
      </c>
      <c r="L21" s="28">
        <f>data2!L21/range*(2^resolution-1)</f>
        <v>0</v>
      </c>
      <c r="M21" s="28">
        <f>data2!M21/range*(2^resolution-1)</f>
        <v>0</v>
      </c>
      <c r="N21" s="28">
        <f>data2!N21/range*(2^resolution-1)</f>
        <v>0</v>
      </c>
      <c r="O21" s="28">
        <f>data2!O21/range*(2^resolution-1)</f>
        <v>0</v>
      </c>
      <c r="P21" s="28">
        <f>data2!P21/range*(2^resolution-1)</f>
        <v>0</v>
      </c>
      <c r="Q21" s="28">
        <f>data2!Q21/range*(2^resolution-1)</f>
        <v>0</v>
      </c>
      <c r="R21" s="28">
        <f>data2!R21/range*(2^resolution-1)</f>
        <v>0</v>
      </c>
      <c r="S21" s="28">
        <f>data2!S21/range*(2^resolution-1)</f>
        <v>0</v>
      </c>
      <c r="T21" s="28">
        <f>data2!T21/range*(2^resolution-1)</f>
        <v>0</v>
      </c>
      <c r="U21" s="28">
        <f>data2!U21/range*(2^resolution-1)</f>
        <v>0</v>
      </c>
      <c r="V21" s="28">
        <f>data2!V21/range*(2^resolution-1)</f>
        <v>0</v>
      </c>
      <c r="W21" s="28">
        <f>data2!W21/range*(2^resolution-1)</f>
        <v>0</v>
      </c>
      <c r="X21" s="28">
        <f>data2!X21/range*(2^resolution-1)</f>
        <v>0</v>
      </c>
      <c r="Y21" s="28">
        <f>data2!Y21/range*(2^resolution-1)</f>
        <v>0</v>
      </c>
      <c r="Z21" s="28">
        <f>data2!Z21/range*(2^resolution-1)</f>
        <v>0</v>
      </c>
      <c r="AA21" s="28">
        <f>data2!AA21/range*(2^resolution-1)</f>
        <v>0</v>
      </c>
      <c r="AB21" s="28">
        <f>data2!AB21/range*(2^resolution-1)</f>
        <v>0</v>
      </c>
      <c r="AC21" s="28">
        <f>data2!AC21/range*(2^resolution-1)</f>
        <v>0</v>
      </c>
      <c r="AD21" s="28">
        <f>data2!AD21/range*(2^resolution-1)</f>
        <v>0</v>
      </c>
      <c r="AE21" s="28">
        <f>data2!AE21/range*(2^resolution-1)</f>
        <v>0</v>
      </c>
      <c r="AF21" s="28">
        <f>data2!AF21/range*(2^resolution-1)</f>
        <v>0</v>
      </c>
      <c r="AG21" s="28">
        <f>data2!AG21/range*(2^resolution-1)</f>
        <v>0</v>
      </c>
    </row>
    <row r="22" spans="1:33">
      <c r="A22" s="29">
        <f>data0!A22</f>
        <v>-30</v>
      </c>
      <c r="B22" s="28">
        <f>data2!B22/range*(2^resolution-1)</f>
        <v>0</v>
      </c>
      <c r="C22" s="28">
        <f>data2!C22/range*(2^resolution-1)</f>
        <v>0</v>
      </c>
      <c r="D22" s="28">
        <f>data2!D22/range*(2^resolution-1)</f>
        <v>0</v>
      </c>
      <c r="E22" s="28">
        <f>data2!E22/range*(2^resolution-1)</f>
        <v>0</v>
      </c>
      <c r="F22" s="28">
        <f>data2!F22/range*(2^resolution-1)</f>
        <v>0</v>
      </c>
      <c r="G22" s="28">
        <f>data2!G22/range*(2^resolution-1)</f>
        <v>0</v>
      </c>
      <c r="H22" s="28">
        <f>data2!H22/range*(2^resolution-1)</f>
        <v>0</v>
      </c>
      <c r="I22" s="28">
        <f>data2!I22/range*(2^resolution-1)</f>
        <v>0</v>
      </c>
      <c r="J22" s="28">
        <f>data2!J22/range*(2^resolution-1)</f>
        <v>0</v>
      </c>
      <c r="K22" s="28">
        <f>data2!K22/range*(2^resolution-1)</f>
        <v>0</v>
      </c>
      <c r="L22" s="28">
        <f>data2!L22/range*(2^resolution-1)</f>
        <v>0</v>
      </c>
      <c r="M22" s="28">
        <f>data2!M22/range*(2^resolution-1)</f>
        <v>0</v>
      </c>
      <c r="N22" s="28">
        <f>data2!N22/range*(2^resolution-1)</f>
        <v>0</v>
      </c>
      <c r="O22" s="28">
        <f>data2!O22/range*(2^resolution-1)</f>
        <v>0</v>
      </c>
      <c r="P22" s="28">
        <f>data2!P22/range*(2^resolution-1)</f>
        <v>0</v>
      </c>
      <c r="Q22" s="28">
        <f>data2!Q22/range*(2^resolution-1)</f>
        <v>0</v>
      </c>
      <c r="R22" s="28">
        <f>data2!R22/range*(2^resolution-1)</f>
        <v>0</v>
      </c>
      <c r="S22" s="28">
        <f>data2!S22/range*(2^resolution-1)</f>
        <v>0</v>
      </c>
      <c r="T22" s="28">
        <f>data2!T22/range*(2^resolution-1)</f>
        <v>0</v>
      </c>
      <c r="U22" s="28">
        <f>data2!U22/range*(2^resolution-1)</f>
        <v>0</v>
      </c>
      <c r="V22" s="28">
        <f>data2!V22/range*(2^resolution-1)</f>
        <v>0</v>
      </c>
      <c r="W22" s="28">
        <f>data2!W22/range*(2^resolution-1)</f>
        <v>0</v>
      </c>
      <c r="X22" s="28">
        <f>data2!X22/range*(2^resolution-1)</f>
        <v>0</v>
      </c>
      <c r="Y22" s="28">
        <f>data2!Y22/range*(2^resolution-1)</f>
        <v>0</v>
      </c>
      <c r="Z22" s="28">
        <f>data2!Z22/range*(2^resolution-1)</f>
        <v>0</v>
      </c>
      <c r="AA22" s="28">
        <f>data2!AA22/range*(2^resolution-1)</f>
        <v>0</v>
      </c>
      <c r="AB22" s="28">
        <f>data2!AB22/range*(2^resolution-1)</f>
        <v>0</v>
      </c>
      <c r="AC22" s="28">
        <f>data2!AC22/range*(2^resolution-1)</f>
        <v>0</v>
      </c>
      <c r="AD22" s="28">
        <f>data2!AD22/range*(2^resolution-1)</f>
        <v>0</v>
      </c>
      <c r="AE22" s="28">
        <f>data2!AE22/range*(2^resolution-1)</f>
        <v>0</v>
      </c>
      <c r="AF22" s="28">
        <f>data2!AF22/range*(2^resolution-1)</f>
        <v>0</v>
      </c>
      <c r="AG22" s="28">
        <f>data2!AG22/range*(2^resolution-1)</f>
        <v>0</v>
      </c>
    </row>
    <row r="23" spans="1:33">
      <c r="A23" s="29">
        <f>data0!A23</f>
        <v>-27</v>
      </c>
      <c r="B23" s="28">
        <f>data2!B23/range*(2^resolution-1)</f>
        <v>0</v>
      </c>
      <c r="C23" s="28">
        <f>data2!C23/range*(2^resolution-1)</f>
        <v>0</v>
      </c>
      <c r="D23" s="28">
        <f>data2!D23/range*(2^resolution-1)</f>
        <v>0</v>
      </c>
      <c r="E23" s="28">
        <f>data2!E23/range*(2^resolution-1)</f>
        <v>0</v>
      </c>
      <c r="F23" s="28">
        <f>data2!F23/range*(2^resolution-1)</f>
        <v>0</v>
      </c>
      <c r="G23" s="28">
        <f>data2!G23/range*(2^resolution-1)</f>
        <v>0</v>
      </c>
      <c r="H23" s="28">
        <f>data2!H23/range*(2^resolution-1)</f>
        <v>0</v>
      </c>
      <c r="I23" s="28">
        <f>data2!I23/range*(2^resolution-1)</f>
        <v>0</v>
      </c>
      <c r="J23" s="28">
        <f>data2!J23/range*(2^resolution-1)</f>
        <v>0</v>
      </c>
      <c r="K23" s="28">
        <f>data2!K23/range*(2^resolution-1)</f>
        <v>0</v>
      </c>
      <c r="L23" s="28">
        <f>data2!L23/range*(2^resolution-1)</f>
        <v>0</v>
      </c>
      <c r="M23" s="28">
        <f>data2!M23/range*(2^resolution-1)</f>
        <v>0</v>
      </c>
      <c r="N23" s="28">
        <f>data2!N23/range*(2^resolution-1)</f>
        <v>0</v>
      </c>
      <c r="O23" s="28">
        <f>data2!O23/range*(2^resolution-1)</f>
        <v>0</v>
      </c>
      <c r="P23" s="28">
        <f>data2!P23/range*(2^resolution-1)</f>
        <v>0</v>
      </c>
      <c r="Q23" s="28">
        <f>data2!Q23/range*(2^resolution-1)</f>
        <v>0</v>
      </c>
      <c r="R23" s="28">
        <f>data2!R23/range*(2^resolution-1)</f>
        <v>0</v>
      </c>
      <c r="S23" s="28">
        <f>data2!S23/range*(2^resolution-1)</f>
        <v>0</v>
      </c>
      <c r="T23" s="28">
        <f>data2!T23/range*(2^resolution-1)</f>
        <v>0</v>
      </c>
      <c r="U23" s="28">
        <f>data2!U23/range*(2^resolution-1)</f>
        <v>0</v>
      </c>
      <c r="V23" s="28">
        <f>data2!V23/range*(2^resolution-1)</f>
        <v>0</v>
      </c>
      <c r="W23" s="28">
        <f>data2!W23/range*(2^resolution-1)</f>
        <v>0</v>
      </c>
      <c r="X23" s="28">
        <f>data2!X23/range*(2^resolution-1)</f>
        <v>0</v>
      </c>
      <c r="Y23" s="28">
        <f>data2!Y23/range*(2^resolution-1)</f>
        <v>0</v>
      </c>
      <c r="Z23" s="28">
        <f>data2!Z23/range*(2^resolution-1)</f>
        <v>0</v>
      </c>
      <c r="AA23" s="28">
        <f>data2!AA23/range*(2^resolution-1)</f>
        <v>0</v>
      </c>
      <c r="AB23" s="28">
        <f>data2!AB23/range*(2^resolution-1)</f>
        <v>0</v>
      </c>
      <c r="AC23" s="28">
        <f>data2!AC23/range*(2^resolution-1)</f>
        <v>0</v>
      </c>
      <c r="AD23" s="28">
        <f>data2!AD23/range*(2^resolution-1)</f>
        <v>0</v>
      </c>
      <c r="AE23" s="28">
        <f>data2!AE23/range*(2^resolution-1)</f>
        <v>0</v>
      </c>
      <c r="AF23" s="28">
        <f>data2!AF23/range*(2^resolution-1)</f>
        <v>0</v>
      </c>
      <c r="AG23" s="28">
        <f>data2!AG23/range*(2^resolution-1)</f>
        <v>0</v>
      </c>
    </row>
    <row r="24" spans="1:33">
      <c r="A24" s="29">
        <f>data0!A24</f>
        <v>-24</v>
      </c>
      <c r="B24" s="28">
        <f>data2!B24/range*(2^resolution-1)</f>
        <v>0</v>
      </c>
      <c r="C24" s="28">
        <f>data2!C24/range*(2^resolution-1)</f>
        <v>0</v>
      </c>
      <c r="D24" s="28">
        <f>data2!D24/range*(2^resolution-1)</f>
        <v>0</v>
      </c>
      <c r="E24" s="28">
        <f>data2!E24/range*(2^resolution-1)</f>
        <v>0</v>
      </c>
      <c r="F24" s="28">
        <f>data2!F24/range*(2^resolution-1)</f>
        <v>0</v>
      </c>
      <c r="G24" s="28">
        <f>data2!G24/range*(2^resolution-1)</f>
        <v>0</v>
      </c>
      <c r="H24" s="28">
        <f>data2!H24/range*(2^resolution-1)</f>
        <v>0</v>
      </c>
      <c r="I24" s="28">
        <f>data2!I24/range*(2^resolution-1)</f>
        <v>0</v>
      </c>
      <c r="J24" s="28">
        <f>data2!J24/range*(2^resolution-1)</f>
        <v>0</v>
      </c>
      <c r="K24" s="28">
        <f>data2!K24/range*(2^resolution-1)</f>
        <v>0</v>
      </c>
      <c r="L24" s="28">
        <f>data2!L24/range*(2^resolution-1)</f>
        <v>0</v>
      </c>
      <c r="M24" s="28">
        <f>data2!M24/range*(2^resolution-1)</f>
        <v>0</v>
      </c>
      <c r="N24" s="28">
        <f>data2!N24/range*(2^resolution-1)</f>
        <v>0</v>
      </c>
      <c r="O24" s="28">
        <f>data2!O24/range*(2^resolution-1)</f>
        <v>0</v>
      </c>
      <c r="P24" s="28">
        <f>data2!P24/range*(2^resolution-1)</f>
        <v>0</v>
      </c>
      <c r="Q24" s="28">
        <f>data2!Q24/range*(2^resolution-1)</f>
        <v>0</v>
      </c>
      <c r="R24" s="28">
        <f>data2!R24/range*(2^resolution-1)</f>
        <v>0</v>
      </c>
      <c r="S24" s="28">
        <f>data2!S24/range*(2^resolution-1)</f>
        <v>0</v>
      </c>
      <c r="T24" s="28">
        <f>data2!T24/range*(2^resolution-1)</f>
        <v>0</v>
      </c>
      <c r="U24" s="28">
        <f>data2!U24/range*(2^resolution-1)</f>
        <v>0</v>
      </c>
      <c r="V24" s="28">
        <f>data2!V24/range*(2^resolution-1)</f>
        <v>0</v>
      </c>
      <c r="W24" s="28">
        <f>data2!W24/range*(2^resolution-1)</f>
        <v>0</v>
      </c>
      <c r="X24" s="28">
        <f>data2!X24/range*(2^resolution-1)</f>
        <v>0</v>
      </c>
      <c r="Y24" s="28">
        <f>data2!Y24/range*(2^resolution-1)</f>
        <v>0</v>
      </c>
      <c r="Z24" s="28">
        <f>data2!Z24/range*(2^resolution-1)</f>
        <v>0</v>
      </c>
      <c r="AA24" s="28">
        <f>data2!AA24/range*(2^resolution-1)</f>
        <v>0</v>
      </c>
      <c r="AB24" s="28">
        <f>data2!AB24/range*(2^resolution-1)</f>
        <v>0</v>
      </c>
      <c r="AC24" s="28">
        <f>data2!AC24/range*(2^resolution-1)</f>
        <v>0</v>
      </c>
      <c r="AD24" s="28">
        <f>data2!AD24/range*(2^resolution-1)</f>
        <v>0</v>
      </c>
      <c r="AE24" s="28">
        <f>data2!AE24/range*(2^resolution-1)</f>
        <v>0</v>
      </c>
      <c r="AF24" s="28">
        <f>data2!AF24/range*(2^resolution-1)</f>
        <v>0</v>
      </c>
      <c r="AG24" s="28">
        <f>data2!AG24/range*(2^resolution-1)</f>
        <v>0</v>
      </c>
    </row>
    <row r="25" spans="1:33">
      <c r="A25" s="29">
        <f>data0!A25</f>
        <v>-21</v>
      </c>
      <c r="B25" s="28">
        <f>data2!B25/range*(2^resolution-1)</f>
        <v>0</v>
      </c>
      <c r="C25" s="28">
        <f>data2!C25/range*(2^resolution-1)</f>
        <v>0</v>
      </c>
      <c r="D25" s="28">
        <f>data2!D25/range*(2^resolution-1)</f>
        <v>0</v>
      </c>
      <c r="E25" s="28">
        <f>data2!E25/range*(2^resolution-1)</f>
        <v>0</v>
      </c>
      <c r="F25" s="28">
        <f>data2!F25/range*(2^resolution-1)</f>
        <v>0</v>
      </c>
      <c r="G25" s="28">
        <f>data2!G25/range*(2^resolution-1)</f>
        <v>0</v>
      </c>
      <c r="H25" s="28">
        <f>data2!H25/range*(2^resolution-1)</f>
        <v>0</v>
      </c>
      <c r="I25" s="28">
        <f>data2!I25/range*(2^resolution-1)</f>
        <v>0</v>
      </c>
      <c r="J25" s="28">
        <f>data2!J25/range*(2^resolution-1)</f>
        <v>0</v>
      </c>
      <c r="K25" s="28">
        <f>data2!K25/range*(2^resolution-1)</f>
        <v>0</v>
      </c>
      <c r="L25" s="28">
        <f>data2!L25/range*(2^resolution-1)</f>
        <v>0</v>
      </c>
      <c r="M25" s="28">
        <f>data2!M25/range*(2^resolution-1)</f>
        <v>0</v>
      </c>
      <c r="N25" s="28">
        <f>data2!N25/range*(2^resolution-1)</f>
        <v>0</v>
      </c>
      <c r="O25" s="28">
        <f>data2!O25/range*(2^resolution-1)</f>
        <v>0</v>
      </c>
      <c r="P25" s="28">
        <f>data2!P25/range*(2^resolution-1)</f>
        <v>0</v>
      </c>
      <c r="Q25" s="28">
        <f>data2!Q25/range*(2^resolution-1)</f>
        <v>0</v>
      </c>
      <c r="R25" s="28">
        <f>data2!R25/range*(2^resolution-1)</f>
        <v>0</v>
      </c>
      <c r="S25" s="28">
        <f>data2!S25/range*(2^resolution-1)</f>
        <v>0</v>
      </c>
      <c r="T25" s="28">
        <f>data2!T25/range*(2^resolution-1)</f>
        <v>0</v>
      </c>
      <c r="U25" s="28">
        <f>data2!U25/range*(2^resolution-1)</f>
        <v>0</v>
      </c>
      <c r="V25" s="28">
        <f>data2!V25/range*(2^resolution-1)</f>
        <v>0</v>
      </c>
      <c r="W25" s="28">
        <f>data2!W25/range*(2^resolution-1)</f>
        <v>0</v>
      </c>
      <c r="X25" s="28">
        <f>data2!X25/range*(2^resolution-1)</f>
        <v>0</v>
      </c>
      <c r="Y25" s="28">
        <f>data2!Y25/range*(2^resolution-1)</f>
        <v>0</v>
      </c>
      <c r="Z25" s="28">
        <f>data2!Z25/range*(2^resolution-1)</f>
        <v>0</v>
      </c>
      <c r="AA25" s="28">
        <f>data2!AA25/range*(2^resolution-1)</f>
        <v>0</v>
      </c>
      <c r="AB25" s="28">
        <f>data2!AB25/range*(2^resolution-1)</f>
        <v>0</v>
      </c>
      <c r="AC25" s="28">
        <f>data2!AC25/range*(2^resolution-1)</f>
        <v>0</v>
      </c>
      <c r="AD25" s="28">
        <f>data2!AD25/range*(2^resolution-1)</f>
        <v>0</v>
      </c>
      <c r="AE25" s="28">
        <f>data2!AE25/range*(2^resolution-1)</f>
        <v>0</v>
      </c>
      <c r="AF25" s="28">
        <f>data2!AF25/range*(2^resolution-1)</f>
        <v>0</v>
      </c>
      <c r="AG25" s="28">
        <f>data2!AG25/range*(2^resolution-1)</f>
        <v>0</v>
      </c>
    </row>
    <row r="26" spans="1:33">
      <c r="A26" s="29">
        <f>data0!A26</f>
        <v>-18</v>
      </c>
      <c r="B26" s="28">
        <f>data2!B26/range*(2^resolution-1)</f>
        <v>0</v>
      </c>
      <c r="C26" s="28">
        <f>data2!C26/range*(2^resolution-1)</f>
        <v>0</v>
      </c>
      <c r="D26" s="28">
        <f>data2!D26/range*(2^resolution-1)</f>
        <v>0</v>
      </c>
      <c r="E26" s="28">
        <f>data2!E26/range*(2^resolution-1)</f>
        <v>0</v>
      </c>
      <c r="F26" s="28">
        <f>data2!F26/range*(2^resolution-1)</f>
        <v>0</v>
      </c>
      <c r="G26" s="28">
        <f>data2!G26/range*(2^resolution-1)</f>
        <v>0</v>
      </c>
      <c r="H26" s="28">
        <f>data2!H26/range*(2^resolution-1)</f>
        <v>0</v>
      </c>
      <c r="I26" s="28">
        <f>data2!I26/range*(2^resolution-1)</f>
        <v>0</v>
      </c>
      <c r="J26" s="28">
        <f>data2!J26/range*(2^resolution-1)</f>
        <v>0</v>
      </c>
      <c r="K26" s="28">
        <f>data2!K26/range*(2^resolution-1)</f>
        <v>0</v>
      </c>
      <c r="L26" s="28">
        <f>data2!L26/range*(2^resolution-1)</f>
        <v>0</v>
      </c>
      <c r="M26" s="28">
        <f>data2!M26/range*(2^resolution-1)</f>
        <v>0</v>
      </c>
      <c r="N26" s="28">
        <f>data2!N26/range*(2^resolution-1)</f>
        <v>0</v>
      </c>
      <c r="O26" s="28">
        <f>data2!O26/range*(2^resolution-1)</f>
        <v>0</v>
      </c>
      <c r="P26" s="28">
        <f>data2!P26/range*(2^resolution-1)</f>
        <v>0</v>
      </c>
      <c r="Q26" s="28">
        <f>data2!Q26/range*(2^resolution-1)</f>
        <v>0</v>
      </c>
      <c r="R26" s="28">
        <f>data2!R26/range*(2^resolution-1)</f>
        <v>0</v>
      </c>
      <c r="S26" s="28">
        <f>data2!S26/range*(2^resolution-1)</f>
        <v>0</v>
      </c>
      <c r="T26" s="28">
        <f>data2!T26/range*(2^resolution-1)</f>
        <v>0</v>
      </c>
      <c r="U26" s="28">
        <f>data2!U26/range*(2^resolution-1)</f>
        <v>0</v>
      </c>
      <c r="V26" s="28">
        <f>data2!V26/range*(2^resolution-1)</f>
        <v>0</v>
      </c>
      <c r="W26" s="28">
        <f>data2!W26/range*(2^resolution-1)</f>
        <v>0</v>
      </c>
      <c r="X26" s="28">
        <f>data2!X26/range*(2^resolution-1)</f>
        <v>0</v>
      </c>
      <c r="Y26" s="28">
        <f>data2!Y26/range*(2^resolution-1)</f>
        <v>0</v>
      </c>
      <c r="Z26" s="28">
        <f>data2!Z26/range*(2^resolution-1)</f>
        <v>0</v>
      </c>
      <c r="AA26" s="28">
        <f>data2!AA26/range*(2^resolution-1)</f>
        <v>0</v>
      </c>
      <c r="AB26" s="28">
        <f>data2!AB26/range*(2^resolution-1)</f>
        <v>0</v>
      </c>
      <c r="AC26" s="28">
        <f>data2!AC26/range*(2^resolution-1)</f>
        <v>0</v>
      </c>
      <c r="AD26" s="28">
        <f>data2!AD26/range*(2^resolution-1)</f>
        <v>0</v>
      </c>
      <c r="AE26" s="28">
        <f>data2!AE26/range*(2^resolution-1)</f>
        <v>0</v>
      </c>
      <c r="AF26" s="28">
        <f>data2!AF26/range*(2^resolution-1)</f>
        <v>0</v>
      </c>
      <c r="AG26" s="28">
        <f>data2!AG26/range*(2^resolution-1)</f>
        <v>0</v>
      </c>
    </row>
    <row r="27" spans="1:33">
      <c r="A27" s="29">
        <f>data0!A27</f>
        <v>-15</v>
      </c>
      <c r="B27" s="28">
        <f>data2!B27/range*(2^resolution-1)</f>
        <v>0</v>
      </c>
      <c r="C27" s="28">
        <f>data2!C27/range*(2^resolution-1)</f>
        <v>0</v>
      </c>
      <c r="D27" s="28">
        <f>data2!D27/range*(2^resolution-1)</f>
        <v>0</v>
      </c>
      <c r="E27" s="28">
        <f>data2!E27/range*(2^resolution-1)</f>
        <v>0</v>
      </c>
      <c r="F27" s="28">
        <f>data2!F27/range*(2^resolution-1)</f>
        <v>0</v>
      </c>
      <c r="G27" s="28">
        <f>data2!G27/range*(2^resolution-1)</f>
        <v>0</v>
      </c>
      <c r="H27" s="28">
        <f>data2!H27/range*(2^resolution-1)</f>
        <v>0</v>
      </c>
      <c r="I27" s="28">
        <f>data2!I27/range*(2^resolution-1)</f>
        <v>0</v>
      </c>
      <c r="J27" s="28">
        <f>data2!J27/range*(2^resolution-1)</f>
        <v>0</v>
      </c>
      <c r="K27" s="28">
        <f>data2!K27/range*(2^resolution-1)</f>
        <v>0</v>
      </c>
      <c r="L27" s="28">
        <f>data2!L27/range*(2^resolution-1)</f>
        <v>0</v>
      </c>
      <c r="M27" s="28">
        <f>data2!M27/range*(2^resolution-1)</f>
        <v>0</v>
      </c>
      <c r="N27" s="28">
        <f>data2!N27/range*(2^resolution-1)</f>
        <v>0</v>
      </c>
      <c r="O27" s="28">
        <f>data2!O27/range*(2^resolution-1)</f>
        <v>0</v>
      </c>
      <c r="P27" s="28">
        <f>data2!P27/range*(2^resolution-1)</f>
        <v>0</v>
      </c>
      <c r="Q27" s="28">
        <f>data2!Q27/range*(2^resolution-1)</f>
        <v>0</v>
      </c>
      <c r="R27" s="28">
        <f>data2!R27/range*(2^resolution-1)</f>
        <v>0</v>
      </c>
      <c r="S27" s="28">
        <f>data2!S27/range*(2^resolution-1)</f>
        <v>0</v>
      </c>
      <c r="T27" s="28">
        <f>data2!T27/range*(2^resolution-1)</f>
        <v>0</v>
      </c>
      <c r="U27" s="28">
        <f>data2!U27/range*(2^resolution-1)</f>
        <v>0</v>
      </c>
      <c r="V27" s="28">
        <f>data2!V27/range*(2^resolution-1)</f>
        <v>0</v>
      </c>
      <c r="W27" s="28">
        <f>data2!W27/range*(2^resolution-1)</f>
        <v>0</v>
      </c>
      <c r="X27" s="28">
        <f>data2!X27/range*(2^resolution-1)</f>
        <v>0</v>
      </c>
      <c r="Y27" s="28">
        <f>data2!Y27/range*(2^resolution-1)</f>
        <v>0</v>
      </c>
      <c r="Z27" s="28">
        <f>data2!Z27/range*(2^resolution-1)</f>
        <v>0</v>
      </c>
      <c r="AA27" s="28">
        <f>data2!AA27/range*(2^resolution-1)</f>
        <v>0</v>
      </c>
      <c r="AB27" s="28">
        <f>data2!AB27/range*(2^resolution-1)</f>
        <v>0</v>
      </c>
      <c r="AC27" s="28">
        <f>data2!AC27/range*(2^resolution-1)</f>
        <v>0</v>
      </c>
      <c r="AD27" s="28">
        <f>data2!AD27/range*(2^resolution-1)</f>
        <v>0</v>
      </c>
      <c r="AE27" s="28">
        <f>data2!AE27/range*(2^resolution-1)</f>
        <v>0</v>
      </c>
      <c r="AF27" s="28">
        <f>data2!AF27/range*(2^resolution-1)</f>
        <v>0</v>
      </c>
      <c r="AG27" s="28">
        <f>data2!AG27/range*(2^resolution-1)</f>
        <v>0</v>
      </c>
    </row>
    <row r="28" spans="1:33">
      <c r="A28" s="29">
        <f>data0!A28</f>
        <v>-12</v>
      </c>
      <c r="B28" s="28">
        <f>data2!B28/range*(2^resolution-1)</f>
        <v>0</v>
      </c>
      <c r="C28" s="28">
        <f>data2!C28/range*(2^resolution-1)</f>
        <v>0</v>
      </c>
      <c r="D28" s="28">
        <f>data2!D28/range*(2^resolution-1)</f>
        <v>0</v>
      </c>
      <c r="E28" s="28">
        <f>data2!E28/range*(2^resolution-1)</f>
        <v>0</v>
      </c>
      <c r="F28" s="28">
        <f>data2!F28/range*(2^resolution-1)</f>
        <v>0</v>
      </c>
      <c r="G28" s="28">
        <f>data2!G28/range*(2^resolution-1)</f>
        <v>0</v>
      </c>
      <c r="H28" s="28">
        <f>data2!H28/range*(2^resolution-1)</f>
        <v>0</v>
      </c>
      <c r="I28" s="28">
        <f>data2!I28/range*(2^resolution-1)</f>
        <v>0</v>
      </c>
      <c r="J28" s="28">
        <f>data2!J28/range*(2^resolution-1)</f>
        <v>0</v>
      </c>
      <c r="K28" s="28">
        <f>data2!K28/range*(2^resolution-1)</f>
        <v>0</v>
      </c>
      <c r="L28" s="28">
        <f>data2!L28/range*(2^resolution-1)</f>
        <v>0</v>
      </c>
      <c r="M28" s="28">
        <f>data2!M28/range*(2^resolution-1)</f>
        <v>0</v>
      </c>
      <c r="N28" s="28">
        <f>data2!N28/range*(2^resolution-1)</f>
        <v>0</v>
      </c>
      <c r="O28" s="28">
        <f>data2!O28/range*(2^resolution-1)</f>
        <v>0</v>
      </c>
      <c r="P28" s="28">
        <f>data2!P28/range*(2^resolution-1)</f>
        <v>0</v>
      </c>
      <c r="Q28" s="28">
        <f>data2!Q28/range*(2^resolution-1)</f>
        <v>0</v>
      </c>
      <c r="R28" s="28">
        <f>data2!R28/range*(2^resolution-1)</f>
        <v>0</v>
      </c>
      <c r="S28" s="28">
        <f>data2!S28/range*(2^resolution-1)</f>
        <v>0</v>
      </c>
      <c r="T28" s="28">
        <f>data2!T28/range*(2^resolution-1)</f>
        <v>0</v>
      </c>
      <c r="U28" s="28">
        <f>data2!U28/range*(2^resolution-1)</f>
        <v>0</v>
      </c>
      <c r="V28" s="28">
        <f>data2!V28/range*(2^resolution-1)</f>
        <v>0</v>
      </c>
      <c r="W28" s="28">
        <f>data2!W28/range*(2^resolution-1)</f>
        <v>0</v>
      </c>
      <c r="X28" s="28">
        <f>data2!X28/range*(2^resolution-1)</f>
        <v>0</v>
      </c>
      <c r="Y28" s="28">
        <f>data2!Y28/range*(2^resolution-1)</f>
        <v>0</v>
      </c>
      <c r="Z28" s="28">
        <f>data2!Z28/range*(2^resolution-1)</f>
        <v>0</v>
      </c>
      <c r="AA28" s="28">
        <f>data2!AA28/range*(2^resolution-1)</f>
        <v>0</v>
      </c>
      <c r="AB28" s="28">
        <f>data2!AB28/range*(2^resolution-1)</f>
        <v>0</v>
      </c>
      <c r="AC28" s="28">
        <f>data2!AC28/range*(2^resolution-1)</f>
        <v>0</v>
      </c>
      <c r="AD28" s="28">
        <f>data2!AD28/range*(2^resolution-1)</f>
        <v>0</v>
      </c>
      <c r="AE28" s="28">
        <f>data2!AE28/range*(2^resolution-1)</f>
        <v>0</v>
      </c>
      <c r="AF28" s="28">
        <f>data2!AF28/range*(2^resolution-1)</f>
        <v>0</v>
      </c>
      <c r="AG28" s="28">
        <f>data2!AG28/range*(2^resolution-1)</f>
        <v>0</v>
      </c>
    </row>
    <row r="29" spans="1:33">
      <c r="A29" s="29">
        <f>data0!A29</f>
        <v>-9</v>
      </c>
      <c r="B29" s="28">
        <f>data2!B29/range*(2^resolution-1)</f>
        <v>0</v>
      </c>
      <c r="C29" s="28">
        <f>data2!C29/range*(2^resolution-1)</f>
        <v>0</v>
      </c>
      <c r="D29" s="28">
        <f>data2!D29/range*(2^resolution-1)</f>
        <v>0</v>
      </c>
      <c r="E29" s="28">
        <f>data2!E29/range*(2^resolution-1)</f>
        <v>0</v>
      </c>
      <c r="F29" s="28">
        <f>data2!F29/range*(2^resolution-1)</f>
        <v>0</v>
      </c>
      <c r="G29" s="28">
        <f>data2!G29/range*(2^resolution-1)</f>
        <v>0</v>
      </c>
      <c r="H29" s="28">
        <f>data2!H29/range*(2^resolution-1)</f>
        <v>0</v>
      </c>
      <c r="I29" s="28">
        <f>data2!I29/range*(2^resolution-1)</f>
        <v>0</v>
      </c>
      <c r="J29" s="28">
        <f>data2!J29/range*(2^resolution-1)</f>
        <v>0</v>
      </c>
      <c r="K29" s="28">
        <f>data2!K29/range*(2^resolution-1)</f>
        <v>0</v>
      </c>
      <c r="L29" s="28">
        <f>data2!L29/range*(2^resolution-1)</f>
        <v>0</v>
      </c>
      <c r="M29" s="28">
        <f>data2!M29/range*(2^resolution-1)</f>
        <v>0</v>
      </c>
      <c r="N29" s="28">
        <f>data2!N29/range*(2^resolution-1)</f>
        <v>0</v>
      </c>
      <c r="O29" s="28">
        <f>data2!O29/range*(2^resolution-1)</f>
        <v>0</v>
      </c>
      <c r="P29" s="28">
        <f>data2!P29/range*(2^resolution-1)</f>
        <v>0</v>
      </c>
      <c r="Q29" s="28">
        <f>data2!Q29/range*(2^resolution-1)</f>
        <v>0</v>
      </c>
      <c r="R29" s="28">
        <f>data2!R29/range*(2^resolution-1)</f>
        <v>0</v>
      </c>
      <c r="S29" s="28">
        <f>data2!S29/range*(2^resolution-1)</f>
        <v>0</v>
      </c>
      <c r="T29" s="28">
        <f>data2!T29/range*(2^resolution-1)</f>
        <v>0</v>
      </c>
      <c r="U29" s="28">
        <f>data2!U29/range*(2^resolution-1)</f>
        <v>0</v>
      </c>
      <c r="V29" s="28">
        <f>data2!V29/range*(2^resolution-1)</f>
        <v>0</v>
      </c>
      <c r="W29" s="28">
        <f>data2!W29/range*(2^resolution-1)</f>
        <v>0</v>
      </c>
      <c r="X29" s="28">
        <f>data2!X29/range*(2^resolution-1)</f>
        <v>0</v>
      </c>
      <c r="Y29" s="28">
        <f>data2!Y29/range*(2^resolution-1)</f>
        <v>0</v>
      </c>
      <c r="Z29" s="28">
        <f>data2!Z29/range*(2^resolution-1)</f>
        <v>0</v>
      </c>
      <c r="AA29" s="28">
        <f>data2!AA29/range*(2^resolution-1)</f>
        <v>0</v>
      </c>
      <c r="AB29" s="28">
        <f>data2!AB29/range*(2^resolution-1)</f>
        <v>0</v>
      </c>
      <c r="AC29" s="28">
        <f>data2!AC29/range*(2^resolution-1)</f>
        <v>0</v>
      </c>
      <c r="AD29" s="28">
        <f>data2!AD29/range*(2^resolution-1)</f>
        <v>0</v>
      </c>
      <c r="AE29" s="28">
        <f>data2!AE29/range*(2^resolution-1)</f>
        <v>0</v>
      </c>
      <c r="AF29" s="28">
        <f>data2!AF29/range*(2^resolution-1)</f>
        <v>0</v>
      </c>
      <c r="AG29" s="28">
        <f>data2!AG29/range*(2^resolution-1)</f>
        <v>0</v>
      </c>
    </row>
    <row r="30" spans="1:33">
      <c r="A30" s="29">
        <f>data0!A30</f>
        <v>-6</v>
      </c>
      <c r="B30" s="28">
        <f>data2!B30/range*(2^resolution-1)</f>
        <v>0</v>
      </c>
      <c r="C30" s="28">
        <f>data2!C30/range*(2^resolution-1)</f>
        <v>0</v>
      </c>
      <c r="D30" s="28">
        <f>data2!D30/range*(2^resolution-1)</f>
        <v>0</v>
      </c>
      <c r="E30" s="28">
        <f>data2!E30/range*(2^resolution-1)</f>
        <v>0</v>
      </c>
      <c r="F30" s="28">
        <f>data2!F30/range*(2^resolution-1)</f>
        <v>0</v>
      </c>
      <c r="G30" s="28">
        <f>data2!G30/range*(2^resolution-1)</f>
        <v>0</v>
      </c>
      <c r="H30" s="28">
        <f>data2!H30/range*(2^resolution-1)</f>
        <v>0</v>
      </c>
      <c r="I30" s="28">
        <f>data2!I30/range*(2^resolution-1)</f>
        <v>0</v>
      </c>
      <c r="J30" s="28">
        <f>data2!J30/range*(2^resolution-1)</f>
        <v>0</v>
      </c>
      <c r="K30" s="28">
        <f>data2!K30/range*(2^resolution-1)</f>
        <v>0</v>
      </c>
      <c r="L30" s="28">
        <f>data2!L30/range*(2^resolution-1)</f>
        <v>0</v>
      </c>
      <c r="M30" s="28">
        <f>data2!M30/range*(2^resolution-1)</f>
        <v>0</v>
      </c>
      <c r="N30" s="28">
        <f>data2!N30/range*(2^resolution-1)</f>
        <v>0</v>
      </c>
      <c r="O30" s="28">
        <f>data2!O30/range*(2^resolution-1)</f>
        <v>0</v>
      </c>
      <c r="P30" s="28">
        <f>data2!P30/range*(2^resolution-1)</f>
        <v>0</v>
      </c>
      <c r="Q30" s="28">
        <f>data2!Q30/range*(2^resolution-1)</f>
        <v>0</v>
      </c>
      <c r="R30" s="28">
        <f>data2!R30/range*(2^resolution-1)</f>
        <v>0</v>
      </c>
      <c r="S30" s="28">
        <f>data2!S30/range*(2^resolution-1)</f>
        <v>0</v>
      </c>
      <c r="T30" s="28">
        <f>data2!T30/range*(2^resolution-1)</f>
        <v>0</v>
      </c>
      <c r="U30" s="28">
        <f>data2!U30/range*(2^resolution-1)</f>
        <v>0</v>
      </c>
      <c r="V30" s="28">
        <f>data2!V30/range*(2^resolution-1)</f>
        <v>0</v>
      </c>
      <c r="W30" s="28">
        <f>data2!W30/range*(2^resolution-1)</f>
        <v>0</v>
      </c>
      <c r="X30" s="28">
        <f>data2!X30/range*(2^resolution-1)</f>
        <v>0</v>
      </c>
      <c r="Y30" s="28">
        <f>data2!Y30/range*(2^resolution-1)</f>
        <v>0</v>
      </c>
      <c r="Z30" s="28">
        <f>data2!Z30/range*(2^resolution-1)</f>
        <v>0</v>
      </c>
      <c r="AA30" s="28">
        <f>data2!AA30/range*(2^resolution-1)</f>
        <v>0</v>
      </c>
      <c r="AB30" s="28">
        <f>data2!AB30/range*(2^resolution-1)</f>
        <v>0</v>
      </c>
      <c r="AC30" s="28">
        <f>data2!AC30/range*(2^resolution-1)</f>
        <v>0</v>
      </c>
      <c r="AD30" s="28">
        <f>data2!AD30/range*(2^resolution-1)</f>
        <v>0</v>
      </c>
      <c r="AE30" s="28">
        <f>data2!AE30/range*(2^resolution-1)</f>
        <v>0</v>
      </c>
      <c r="AF30" s="28">
        <f>data2!AF30/range*(2^resolution-1)</f>
        <v>0</v>
      </c>
      <c r="AG30" s="28">
        <f>data2!AG30/range*(2^resolution-1)</f>
        <v>0</v>
      </c>
    </row>
    <row r="31" spans="1:33">
      <c r="A31" s="29">
        <f>data0!A31</f>
        <v>-3</v>
      </c>
      <c r="B31" s="28">
        <f>data2!B31/range*(2^resolution-1)</f>
        <v>0</v>
      </c>
      <c r="C31" s="28">
        <f>data2!C31/range*(2^resolution-1)</f>
        <v>0</v>
      </c>
      <c r="D31" s="28">
        <f>data2!D31/range*(2^resolution-1)</f>
        <v>0</v>
      </c>
      <c r="E31" s="28">
        <f>data2!E31/range*(2^resolution-1)</f>
        <v>0</v>
      </c>
      <c r="F31" s="28">
        <f>data2!F31/range*(2^resolution-1)</f>
        <v>0</v>
      </c>
      <c r="G31" s="28">
        <f>data2!G31/range*(2^resolution-1)</f>
        <v>0</v>
      </c>
      <c r="H31" s="28">
        <f>data2!H31/range*(2^resolution-1)</f>
        <v>0</v>
      </c>
      <c r="I31" s="28">
        <f>data2!I31/range*(2^resolution-1)</f>
        <v>0</v>
      </c>
      <c r="J31" s="28">
        <f>data2!J31/range*(2^resolution-1)</f>
        <v>0</v>
      </c>
      <c r="K31" s="28">
        <f>data2!K31/range*(2^resolution-1)</f>
        <v>0</v>
      </c>
      <c r="L31" s="28">
        <f>data2!L31/range*(2^resolution-1)</f>
        <v>0</v>
      </c>
      <c r="M31" s="28">
        <f>data2!M31/range*(2^resolution-1)</f>
        <v>0</v>
      </c>
      <c r="N31" s="28">
        <f>data2!N31/range*(2^resolution-1)</f>
        <v>0</v>
      </c>
      <c r="O31" s="28">
        <f>data2!O31/range*(2^resolution-1)</f>
        <v>0</v>
      </c>
      <c r="P31" s="28">
        <f>data2!P31/range*(2^resolution-1)</f>
        <v>0</v>
      </c>
      <c r="Q31" s="28">
        <f>data2!Q31/range*(2^resolution-1)</f>
        <v>0</v>
      </c>
      <c r="R31" s="28">
        <f>data2!R31/range*(2^resolution-1)</f>
        <v>0</v>
      </c>
      <c r="S31" s="28">
        <f>data2!S31/range*(2^resolution-1)</f>
        <v>0</v>
      </c>
      <c r="T31" s="28">
        <f>data2!T31/range*(2^resolution-1)</f>
        <v>0</v>
      </c>
      <c r="U31" s="28">
        <f>data2!U31/range*(2^resolution-1)</f>
        <v>0</v>
      </c>
      <c r="V31" s="28">
        <f>data2!V31/range*(2^resolution-1)</f>
        <v>0</v>
      </c>
      <c r="W31" s="28">
        <f>data2!W31/range*(2^resolution-1)</f>
        <v>0</v>
      </c>
      <c r="X31" s="28">
        <f>data2!X31/range*(2^resolution-1)</f>
        <v>0</v>
      </c>
      <c r="Y31" s="28">
        <f>data2!Y31/range*(2^resolution-1)</f>
        <v>0</v>
      </c>
      <c r="Z31" s="28">
        <f>data2!Z31/range*(2^resolution-1)</f>
        <v>0</v>
      </c>
      <c r="AA31" s="28">
        <f>data2!AA31/range*(2^resolution-1)</f>
        <v>0</v>
      </c>
      <c r="AB31" s="28">
        <f>data2!AB31/range*(2^resolution-1)</f>
        <v>0</v>
      </c>
      <c r="AC31" s="28">
        <f>data2!AC31/range*(2^resolution-1)</f>
        <v>0</v>
      </c>
      <c r="AD31" s="28">
        <f>data2!AD31/range*(2^resolution-1)</f>
        <v>0</v>
      </c>
      <c r="AE31" s="28">
        <f>data2!AE31/range*(2^resolution-1)</f>
        <v>0</v>
      </c>
      <c r="AF31" s="28">
        <f>data2!AF31/range*(2^resolution-1)</f>
        <v>0</v>
      </c>
      <c r="AG31" s="28">
        <f>data2!AG31/range*(2^resolution-1)</f>
        <v>0</v>
      </c>
    </row>
    <row r="32" spans="1:33">
      <c r="A32" s="29">
        <f>data0!A32</f>
        <v>0</v>
      </c>
      <c r="B32" s="28">
        <f>data2!B32/range*(2^resolution-1)</f>
        <v>0</v>
      </c>
      <c r="C32" s="28">
        <f>data2!C32/range*(2^resolution-1)</f>
        <v>0</v>
      </c>
      <c r="D32" s="28">
        <f>data2!D32/range*(2^resolution-1)</f>
        <v>0</v>
      </c>
      <c r="E32" s="28">
        <f>data2!E32/range*(2^resolution-1)</f>
        <v>0</v>
      </c>
      <c r="F32" s="28">
        <f>data2!F32/range*(2^resolution-1)</f>
        <v>0</v>
      </c>
      <c r="G32" s="28">
        <f>data2!G32/range*(2^resolution-1)</f>
        <v>0</v>
      </c>
      <c r="H32" s="28">
        <f>data2!H32/range*(2^resolution-1)</f>
        <v>0</v>
      </c>
      <c r="I32" s="28">
        <f>data2!I32/range*(2^resolution-1)</f>
        <v>0</v>
      </c>
      <c r="J32" s="28">
        <f>data2!J32/range*(2^resolution-1)</f>
        <v>0</v>
      </c>
      <c r="K32" s="28">
        <f>data2!K32/range*(2^resolution-1)</f>
        <v>0</v>
      </c>
      <c r="L32" s="28">
        <f>data2!L32/range*(2^resolution-1)</f>
        <v>0</v>
      </c>
      <c r="M32" s="28">
        <f>data2!M32/range*(2^resolution-1)</f>
        <v>0</v>
      </c>
      <c r="N32" s="28">
        <f>data2!N32/range*(2^resolution-1)</f>
        <v>0</v>
      </c>
      <c r="O32" s="28">
        <f>data2!O32/range*(2^resolution-1)</f>
        <v>0</v>
      </c>
      <c r="P32" s="28">
        <f>data2!P32/range*(2^resolution-1)</f>
        <v>0</v>
      </c>
      <c r="Q32" s="28">
        <f>data2!Q32/range*(2^resolution-1)</f>
        <v>0</v>
      </c>
      <c r="R32" s="28">
        <f>data2!R32/range*(2^resolution-1)</f>
        <v>0</v>
      </c>
      <c r="S32" s="28">
        <f>data2!S32/range*(2^resolution-1)</f>
        <v>0</v>
      </c>
      <c r="T32" s="28">
        <f>data2!T32/range*(2^resolution-1)</f>
        <v>0</v>
      </c>
      <c r="U32" s="28">
        <f>data2!U32/range*(2^resolution-1)</f>
        <v>0</v>
      </c>
      <c r="V32" s="28">
        <f>data2!V32/range*(2^resolution-1)</f>
        <v>0</v>
      </c>
      <c r="W32" s="28">
        <f>data2!W32/range*(2^resolution-1)</f>
        <v>0</v>
      </c>
      <c r="X32" s="28">
        <f>data2!X32/range*(2^resolution-1)</f>
        <v>0</v>
      </c>
      <c r="Y32" s="28">
        <f>data2!Y32/range*(2^resolution-1)</f>
        <v>0</v>
      </c>
      <c r="Z32" s="28">
        <f>data2!Z32/range*(2^resolution-1)</f>
        <v>0</v>
      </c>
      <c r="AA32" s="28">
        <f>data2!AA32/range*(2^resolution-1)</f>
        <v>0</v>
      </c>
      <c r="AB32" s="28">
        <f>data2!AB32/range*(2^resolution-1)</f>
        <v>0</v>
      </c>
      <c r="AC32" s="28">
        <f>data2!AC32/range*(2^resolution-1)</f>
        <v>0</v>
      </c>
      <c r="AD32" s="28">
        <f>data2!AD32/range*(2^resolution-1)</f>
        <v>0</v>
      </c>
      <c r="AE32" s="28">
        <f>data2!AE32/range*(2^resolution-1)</f>
        <v>0</v>
      </c>
      <c r="AF32" s="28">
        <f>data2!AF32/range*(2^resolution-1)</f>
        <v>0</v>
      </c>
      <c r="AG32" s="28">
        <f>data2!AG32/range*(2^resolution-1)</f>
        <v>0</v>
      </c>
    </row>
    <row r="33" spans="1:33">
      <c r="A33" s="29">
        <f>data0!A33</f>
        <v>3</v>
      </c>
      <c r="B33" s="28">
        <f>data2!B33/range*(2^resolution-1)</f>
        <v>0</v>
      </c>
      <c r="C33" s="28">
        <f>data2!C33/range*(2^resolution-1)</f>
        <v>0</v>
      </c>
      <c r="D33" s="28">
        <f>data2!D33/range*(2^resolution-1)</f>
        <v>0</v>
      </c>
      <c r="E33" s="28">
        <f>data2!E33/range*(2^resolution-1)</f>
        <v>0</v>
      </c>
      <c r="F33" s="28">
        <f>data2!F33/range*(2^resolution-1)</f>
        <v>0</v>
      </c>
      <c r="G33" s="28">
        <f>data2!G33/range*(2^resolution-1)</f>
        <v>0</v>
      </c>
      <c r="H33" s="28">
        <f>data2!H33/range*(2^resolution-1)</f>
        <v>0</v>
      </c>
      <c r="I33" s="28">
        <f>data2!I33/range*(2^resolution-1)</f>
        <v>0</v>
      </c>
      <c r="J33" s="28">
        <f>data2!J33/range*(2^resolution-1)</f>
        <v>0</v>
      </c>
      <c r="K33" s="28">
        <f>data2!K33/range*(2^resolution-1)</f>
        <v>0</v>
      </c>
      <c r="L33" s="28">
        <f>data2!L33/range*(2^resolution-1)</f>
        <v>0</v>
      </c>
      <c r="M33" s="28">
        <f>data2!M33/range*(2^resolution-1)</f>
        <v>0</v>
      </c>
      <c r="N33" s="28">
        <f>data2!N33/range*(2^resolution-1)</f>
        <v>0</v>
      </c>
      <c r="O33" s="28">
        <f>data2!O33/range*(2^resolution-1)</f>
        <v>0</v>
      </c>
      <c r="P33" s="28">
        <f>data2!P33/range*(2^resolution-1)</f>
        <v>0</v>
      </c>
      <c r="Q33" s="28">
        <f>data2!Q33/range*(2^resolution-1)</f>
        <v>0</v>
      </c>
      <c r="R33" s="28">
        <f>data2!R33/range*(2^resolution-1)</f>
        <v>0</v>
      </c>
      <c r="S33" s="28">
        <f>data2!S33/range*(2^resolution-1)</f>
        <v>0</v>
      </c>
      <c r="T33" s="28">
        <f>data2!T33/range*(2^resolution-1)</f>
        <v>0</v>
      </c>
      <c r="U33" s="28">
        <f>data2!U33/range*(2^resolution-1)</f>
        <v>0</v>
      </c>
      <c r="V33" s="28">
        <f>data2!V33/range*(2^resolution-1)</f>
        <v>0</v>
      </c>
      <c r="W33" s="28">
        <f>data2!W33/range*(2^resolution-1)</f>
        <v>0</v>
      </c>
      <c r="X33" s="28">
        <f>data2!X33/range*(2^resolution-1)</f>
        <v>0</v>
      </c>
      <c r="Y33" s="28">
        <f>data2!Y33/range*(2^resolution-1)</f>
        <v>0</v>
      </c>
      <c r="Z33" s="28">
        <f>data2!Z33/range*(2^resolution-1)</f>
        <v>0</v>
      </c>
      <c r="AA33" s="28">
        <f>data2!AA33/range*(2^resolution-1)</f>
        <v>0</v>
      </c>
      <c r="AB33" s="28">
        <f>data2!AB33/range*(2^resolution-1)</f>
        <v>0</v>
      </c>
      <c r="AC33" s="28">
        <f>data2!AC33/range*(2^resolution-1)</f>
        <v>0</v>
      </c>
      <c r="AD33" s="28">
        <f>data2!AD33/range*(2^resolution-1)</f>
        <v>0</v>
      </c>
      <c r="AE33" s="28">
        <f>data2!AE33/range*(2^resolution-1)</f>
        <v>0</v>
      </c>
      <c r="AF33" s="28">
        <f>data2!AF33/range*(2^resolution-1)</f>
        <v>0</v>
      </c>
      <c r="AG33" s="28">
        <f>data2!AG33/range*(2^resolution-1)</f>
        <v>0</v>
      </c>
    </row>
    <row r="34" spans="1:33">
      <c r="A34" s="29">
        <f>data0!A34</f>
        <v>6</v>
      </c>
      <c r="B34" s="28">
        <f>data2!B34/range*(2^resolution-1)</f>
        <v>0</v>
      </c>
      <c r="C34" s="28">
        <f>data2!C34/range*(2^resolution-1)</f>
        <v>0</v>
      </c>
      <c r="D34" s="28">
        <f>data2!D34/range*(2^resolution-1)</f>
        <v>0</v>
      </c>
      <c r="E34" s="28">
        <f>data2!E34/range*(2^resolution-1)</f>
        <v>0</v>
      </c>
      <c r="F34" s="28">
        <f>data2!F34/range*(2^resolution-1)</f>
        <v>0</v>
      </c>
      <c r="G34" s="28">
        <f>data2!G34/range*(2^resolution-1)</f>
        <v>0</v>
      </c>
      <c r="H34" s="28">
        <f>data2!H34/range*(2^resolution-1)</f>
        <v>0</v>
      </c>
      <c r="I34" s="28">
        <f>data2!I34/range*(2^resolution-1)</f>
        <v>0</v>
      </c>
      <c r="J34" s="28">
        <f>data2!J34/range*(2^resolution-1)</f>
        <v>0</v>
      </c>
      <c r="K34" s="28">
        <f>data2!K34/range*(2^resolution-1)</f>
        <v>0</v>
      </c>
      <c r="L34" s="28">
        <f>data2!L34/range*(2^resolution-1)</f>
        <v>0</v>
      </c>
      <c r="M34" s="28">
        <f>data2!M34/range*(2^resolution-1)</f>
        <v>0</v>
      </c>
      <c r="N34" s="28">
        <f>data2!N34/range*(2^resolution-1)</f>
        <v>0</v>
      </c>
      <c r="O34" s="28">
        <f>data2!O34/range*(2^resolution-1)</f>
        <v>0</v>
      </c>
      <c r="P34" s="28">
        <f>data2!P34/range*(2^resolution-1)</f>
        <v>0</v>
      </c>
      <c r="Q34" s="28">
        <f>data2!Q34/range*(2^resolution-1)</f>
        <v>0</v>
      </c>
      <c r="R34" s="28">
        <f>data2!R34/range*(2^resolution-1)</f>
        <v>0</v>
      </c>
      <c r="S34" s="28">
        <f>data2!S34/range*(2^resolution-1)</f>
        <v>0</v>
      </c>
      <c r="T34" s="28">
        <f>data2!T34/range*(2^resolution-1)</f>
        <v>0</v>
      </c>
      <c r="U34" s="28">
        <f>data2!U34/range*(2^resolution-1)</f>
        <v>0</v>
      </c>
      <c r="V34" s="28">
        <f>data2!V34/range*(2^resolution-1)</f>
        <v>0</v>
      </c>
      <c r="W34" s="28">
        <f>data2!W34/range*(2^resolution-1)</f>
        <v>0</v>
      </c>
      <c r="X34" s="28">
        <f>data2!X34/range*(2^resolution-1)</f>
        <v>0</v>
      </c>
      <c r="Y34" s="28">
        <f>data2!Y34/range*(2^resolution-1)</f>
        <v>0</v>
      </c>
      <c r="Z34" s="28">
        <f>data2!Z34/range*(2^resolution-1)</f>
        <v>0</v>
      </c>
      <c r="AA34" s="28">
        <f>data2!AA34/range*(2^resolution-1)</f>
        <v>0</v>
      </c>
      <c r="AB34" s="28">
        <f>data2!AB34/range*(2^resolution-1)</f>
        <v>0</v>
      </c>
      <c r="AC34" s="28">
        <f>data2!AC34/range*(2^resolution-1)</f>
        <v>0</v>
      </c>
      <c r="AD34" s="28">
        <f>data2!AD34/range*(2^resolution-1)</f>
        <v>0</v>
      </c>
      <c r="AE34" s="28">
        <f>data2!AE34/range*(2^resolution-1)</f>
        <v>0</v>
      </c>
      <c r="AF34" s="28">
        <f>data2!AF34/range*(2^resolution-1)</f>
        <v>0</v>
      </c>
      <c r="AG34" s="28">
        <f>data2!AG34/range*(2^resolution-1)</f>
        <v>0</v>
      </c>
    </row>
    <row r="35" spans="1:33">
      <c r="A35" s="29">
        <f>data0!A35</f>
        <v>9</v>
      </c>
      <c r="B35" s="28">
        <f>data2!B35/range*(2^resolution-1)</f>
        <v>0</v>
      </c>
      <c r="C35" s="28">
        <f>data2!C35/range*(2^resolution-1)</f>
        <v>0</v>
      </c>
      <c r="D35" s="28">
        <f>data2!D35/range*(2^resolution-1)</f>
        <v>0</v>
      </c>
      <c r="E35" s="28">
        <f>data2!E35/range*(2^resolution-1)</f>
        <v>0</v>
      </c>
      <c r="F35" s="28">
        <f>data2!F35/range*(2^resolution-1)</f>
        <v>0</v>
      </c>
      <c r="G35" s="28">
        <f>data2!G35/range*(2^resolution-1)</f>
        <v>0</v>
      </c>
      <c r="H35" s="28">
        <f>data2!H35/range*(2^resolution-1)</f>
        <v>0</v>
      </c>
      <c r="I35" s="28">
        <f>data2!I35/range*(2^resolution-1)</f>
        <v>0</v>
      </c>
      <c r="J35" s="28">
        <f>data2!J35/range*(2^resolution-1)</f>
        <v>0</v>
      </c>
      <c r="K35" s="28">
        <f>data2!K35/range*(2^resolution-1)</f>
        <v>0</v>
      </c>
      <c r="L35" s="28">
        <f>data2!L35/range*(2^resolution-1)</f>
        <v>0</v>
      </c>
      <c r="M35" s="28">
        <f>data2!M35/range*(2^resolution-1)</f>
        <v>0</v>
      </c>
      <c r="N35" s="28">
        <f>data2!N35/range*(2^resolution-1)</f>
        <v>0</v>
      </c>
      <c r="O35" s="28">
        <f>data2!O35/range*(2^resolution-1)</f>
        <v>0</v>
      </c>
      <c r="P35" s="28">
        <f>data2!P35/range*(2^resolution-1)</f>
        <v>0</v>
      </c>
      <c r="Q35" s="28">
        <f>data2!Q35/range*(2^resolution-1)</f>
        <v>0</v>
      </c>
      <c r="R35" s="28">
        <f>data2!R35/range*(2^resolution-1)</f>
        <v>0</v>
      </c>
      <c r="S35" s="28">
        <f>data2!S35/range*(2^resolution-1)</f>
        <v>0</v>
      </c>
      <c r="T35" s="28">
        <f>data2!T35/range*(2^resolution-1)</f>
        <v>0</v>
      </c>
      <c r="U35" s="28">
        <f>data2!U35/range*(2^resolution-1)</f>
        <v>0</v>
      </c>
      <c r="V35" s="28">
        <f>data2!V35/range*(2^resolution-1)</f>
        <v>0</v>
      </c>
      <c r="W35" s="28">
        <f>data2!W35/range*(2^resolution-1)</f>
        <v>0</v>
      </c>
      <c r="X35" s="28">
        <f>data2!X35/range*(2^resolution-1)</f>
        <v>0</v>
      </c>
      <c r="Y35" s="28">
        <f>data2!Y35/range*(2^resolution-1)</f>
        <v>0</v>
      </c>
      <c r="Z35" s="28">
        <f>data2!Z35/range*(2^resolution-1)</f>
        <v>0</v>
      </c>
      <c r="AA35" s="28">
        <f>data2!AA35/range*(2^resolution-1)</f>
        <v>0</v>
      </c>
      <c r="AB35" s="28">
        <f>data2!AB35/range*(2^resolution-1)</f>
        <v>0</v>
      </c>
      <c r="AC35" s="28">
        <f>data2!AC35/range*(2^resolution-1)</f>
        <v>0</v>
      </c>
      <c r="AD35" s="28">
        <f>data2!AD35/range*(2^resolution-1)</f>
        <v>0</v>
      </c>
      <c r="AE35" s="28">
        <f>data2!AE35/range*(2^resolution-1)</f>
        <v>0</v>
      </c>
      <c r="AF35" s="28">
        <f>data2!AF35/range*(2^resolution-1)</f>
        <v>0</v>
      </c>
      <c r="AG35" s="28">
        <f>data2!AG35/range*(2^resolution-1)</f>
        <v>0</v>
      </c>
    </row>
    <row r="36" spans="1:33">
      <c r="A36" s="29">
        <f>data0!A36</f>
        <v>12</v>
      </c>
      <c r="B36" s="28">
        <f>data2!B36/range*(2^resolution-1)</f>
        <v>0</v>
      </c>
      <c r="C36" s="28">
        <f>data2!C36/range*(2^resolution-1)</f>
        <v>0</v>
      </c>
      <c r="D36" s="28">
        <f>data2!D36/range*(2^resolution-1)</f>
        <v>0</v>
      </c>
      <c r="E36" s="28">
        <f>data2!E36/range*(2^resolution-1)</f>
        <v>0</v>
      </c>
      <c r="F36" s="28">
        <f>data2!F36/range*(2^resolution-1)</f>
        <v>0</v>
      </c>
      <c r="G36" s="28">
        <f>data2!G36/range*(2^resolution-1)</f>
        <v>0</v>
      </c>
      <c r="H36" s="28">
        <f>data2!H36/range*(2^resolution-1)</f>
        <v>0</v>
      </c>
      <c r="I36" s="28">
        <f>data2!I36/range*(2^resolution-1)</f>
        <v>0</v>
      </c>
      <c r="J36" s="28">
        <f>data2!J36/range*(2^resolution-1)</f>
        <v>0</v>
      </c>
      <c r="K36" s="28">
        <f>data2!K36/range*(2^resolution-1)</f>
        <v>0</v>
      </c>
      <c r="L36" s="28">
        <f>data2!L36/range*(2^resolution-1)</f>
        <v>0</v>
      </c>
      <c r="M36" s="28">
        <f>data2!M36/range*(2^resolution-1)</f>
        <v>0</v>
      </c>
      <c r="N36" s="28">
        <f>data2!N36/range*(2^resolution-1)</f>
        <v>0</v>
      </c>
      <c r="O36" s="28">
        <f>data2!O36/range*(2^resolution-1)</f>
        <v>0</v>
      </c>
      <c r="P36" s="28">
        <f>data2!P36/range*(2^resolution-1)</f>
        <v>0</v>
      </c>
      <c r="Q36" s="28">
        <f>data2!Q36/range*(2^resolution-1)</f>
        <v>0</v>
      </c>
      <c r="R36" s="28">
        <f>data2!R36/range*(2^resolution-1)</f>
        <v>0</v>
      </c>
      <c r="S36" s="28">
        <f>data2!S36/range*(2^resolution-1)</f>
        <v>0</v>
      </c>
      <c r="T36" s="28">
        <f>data2!T36/range*(2^resolution-1)</f>
        <v>0</v>
      </c>
      <c r="U36" s="28">
        <f>data2!U36/range*(2^resolution-1)</f>
        <v>0</v>
      </c>
      <c r="V36" s="28">
        <f>data2!V36/range*(2^resolution-1)</f>
        <v>0</v>
      </c>
      <c r="W36" s="28">
        <f>data2!W36/range*(2^resolution-1)</f>
        <v>0</v>
      </c>
      <c r="X36" s="28">
        <f>data2!X36/range*(2^resolution-1)</f>
        <v>0</v>
      </c>
      <c r="Y36" s="28">
        <f>data2!Y36/range*(2^resolution-1)</f>
        <v>0</v>
      </c>
      <c r="Z36" s="28">
        <f>data2!Z36/range*(2^resolution-1)</f>
        <v>0</v>
      </c>
      <c r="AA36" s="28">
        <f>data2!AA36/range*(2^resolution-1)</f>
        <v>0</v>
      </c>
      <c r="AB36" s="28">
        <f>data2!AB36/range*(2^resolution-1)</f>
        <v>0</v>
      </c>
      <c r="AC36" s="28">
        <f>data2!AC36/range*(2^resolution-1)</f>
        <v>0</v>
      </c>
      <c r="AD36" s="28">
        <f>data2!AD36/range*(2^resolution-1)</f>
        <v>0</v>
      </c>
      <c r="AE36" s="28">
        <f>data2!AE36/range*(2^resolution-1)</f>
        <v>0</v>
      </c>
      <c r="AF36" s="28">
        <f>data2!AF36/range*(2^resolution-1)</f>
        <v>0</v>
      </c>
      <c r="AG36" s="28">
        <f>data2!AG36/range*(2^resolution-1)</f>
        <v>0</v>
      </c>
    </row>
    <row r="37" spans="1:33">
      <c r="A37" s="29">
        <f>data0!A37</f>
        <v>15</v>
      </c>
      <c r="B37" s="28">
        <f>data2!B37/range*(2^resolution-1)</f>
        <v>0</v>
      </c>
      <c r="C37" s="28">
        <f>data2!C37/range*(2^resolution-1)</f>
        <v>0</v>
      </c>
      <c r="D37" s="28">
        <f>data2!D37/range*(2^resolution-1)</f>
        <v>0</v>
      </c>
      <c r="E37" s="28">
        <f>data2!E37/range*(2^resolution-1)</f>
        <v>0</v>
      </c>
      <c r="F37" s="28">
        <f>data2!F37/range*(2^resolution-1)</f>
        <v>0</v>
      </c>
      <c r="G37" s="28">
        <f>data2!G37/range*(2^resolution-1)</f>
        <v>0</v>
      </c>
      <c r="H37" s="28">
        <f>data2!H37/range*(2^resolution-1)</f>
        <v>0</v>
      </c>
      <c r="I37" s="28">
        <f>data2!I37/range*(2^resolution-1)</f>
        <v>0</v>
      </c>
      <c r="J37" s="28">
        <f>data2!J37/range*(2^resolution-1)</f>
        <v>0</v>
      </c>
      <c r="K37" s="28">
        <f>data2!K37/range*(2^resolution-1)</f>
        <v>0</v>
      </c>
      <c r="L37" s="28">
        <f>data2!L37/range*(2^resolution-1)</f>
        <v>0</v>
      </c>
      <c r="M37" s="28">
        <f>data2!M37/range*(2^resolution-1)</f>
        <v>0</v>
      </c>
      <c r="N37" s="28">
        <f>data2!N37/range*(2^resolution-1)</f>
        <v>0</v>
      </c>
      <c r="O37" s="28">
        <f>data2!O37/range*(2^resolution-1)</f>
        <v>0</v>
      </c>
      <c r="P37" s="28">
        <f>data2!P37/range*(2^resolution-1)</f>
        <v>0</v>
      </c>
      <c r="Q37" s="28">
        <f>data2!Q37/range*(2^resolution-1)</f>
        <v>0</v>
      </c>
      <c r="R37" s="28">
        <f>data2!R37/range*(2^resolution-1)</f>
        <v>0</v>
      </c>
      <c r="S37" s="28">
        <f>data2!S37/range*(2^resolution-1)</f>
        <v>0</v>
      </c>
      <c r="T37" s="28">
        <f>data2!T37/range*(2^resolution-1)</f>
        <v>0</v>
      </c>
      <c r="U37" s="28">
        <f>data2!U37/range*(2^resolution-1)</f>
        <v>0</v>
      </c>
      <c r="V37" s="28">
        <f>data2!V37/range*(2^resolution-1)</f>
        <v>0</v>
      </c>
      <c r="W37" s="28">
        <f>data2!W37/range*(2^resolution-1)</f>
        <v>0</v>
      </c>
      <c r="X37" s="28">
        <f>data2!X37/range*(2^resolution-1)</f>
        <v>0</v>
      </c>
      <c r="Y37" s="28">
        <f>data2!Y37/range*(2^resolution-1)</f>
        <v>0</v>
      </c>
      <c r="Z37" s="28">
        <f>data2!Z37/range*(2^resolution-1)</f>
        <v>0</v>
      </c>
      <c r="AA37" s="28">
        <f>data2!AA37/range*(2^resolution-1)</f>
        <v>0</v>
      </c>
      <c r="AB37" s="28">
        <f>data2!AB37/range*(2^resolution-1)</f>
        <v>0</v>
      </c>
      <c r="AC37" s="28">
        <f>data2!AC37/range*(2^resolution-1)</f>
        <v>0</v>
      </c>
      <c r="AD37" s="28">
        <f>data2!AD37/range*(2^resolution-1)</f>
        <v>0</v>
      </c>
      <c r="AE37" s="28">
        <f>data2!AE37/range*(2^resolution-1)</f>
        <v>0</v>
      </c>
      <c r="AF37" s="28">
        <f>data2!AF37/range*(2^resolution-1)</f>
        <v>0</v>
      </c>
      <c r="AG37" s="28">
        <f>data2!AG37/range*(2^resolution-1)</f>
        <v>0</v>
      </c>
    </row>
    <row r="38" spans="1:33">
      <c r="A38" s="29">
        <f>data0!A38</f>
        <v>18</v>
      </c>
      <c r="B38" s="28">
        <f>data2!B38/range*(2^resolution-1)</f>
        <v>0</v>
      </c>
      <c r="C38" s="28">
        <f>data2!C38/range*(2^resolution-1)</f>
        <v>0</v>
      </c>
      <c r="D38" s="28">
        <f>data2!D38/range*(2^resolution-1)</f>
        <v>0</v>
      </c>
      <c r="E38" s="28">
        <f>data2!E38/range*(2^resolution-1)</f>
        <v>0</v>
      </c>
      <c r="F38" s="28">
        <f>data2!F38/range*(2^resolution-1)</f>
        <v>0</v>
      </c>
      <c r="G38" s="28">
        <f>data2!G38/range*(2^resolution-1)</f>
        <v>0</v>
      </c>
      <c r="H38" s="28">
        <f>data2!H38/range*(2^resolution-1)</f>
        <v>0</v>
      </c>
      <c r="I38" s="28">
        <f>data2!I38/range*(2^resolution-1)</f>
        <v>0</v>
      </c>
      <c r="J38" s="28">
        <f>data2!J38/range*(2^resolution-1)</f>
        <v>0</v>
      </c>
      <c r="K38" s="28">
        <f>data2!K38/range*(2^resolution-1)</f>
        <v>0</v>
      </c>
      <c r="L38" s="28">
        <f>data2!L38/range*(2^resolution-1)</f>
        <v>0</v>
      </c>
      <c r="M38" s="28">
        <f>data2!M38/range*(2^resolution-1)</f>
        <v>0</v>
      </c>
      <c r="N38" s="28">
        <f>data2!N38/range*(2^resolution-1)</f>
        <v>0</v>
      </c>
      <c r="O38" s="28">
        <f>data2!O38/range*(2^resolution-1)</f>
        <v>0</v>
      </c>
      <c r="P38" s="28">
        <f>data2!P38/range*(2^resolution-1)</f>
        <v>0</v>
      </c>
      <c r="Q38" s="28">
        <f>data2!Q38/range*(2^resolution-1)</f>
        <v>0</v>
      </c>
      <c r="R38" s="28">
        <f>data2!R38/range*(2^resolution-1)</f>
        <v>0</v>
      </c>
      <c r="S38" s="28">
        <f>data2!S38/range*(2^resolution-1)</f>
        <v>0</v>
      </c>
      <c r="T38" s="28">
        <f>data2!T38/range*(2^resolution-1)</f>
        <v>0</v>
      </c>
      <c r="U38" s="28">
        <f>data2!U38/range*(2^resolution-1)</f>
        <v>0</v>
      </c>
      <c r="V38" s="28">
        <f>data2!V38/range*(2^resolution-1)</f>
        <v>0</v>
      </c>
      <c r="W38" s="28">
        <f>data2!W38/range*(2^resolution-1)</f>
        <v>0</v>
      </c>
      <c r="X38" s="28">
        <f>data2!X38/range*(2^resolution-1)</f>
        <v>0</v>
      </c>
      <c r="Y38" s="28">
        <f>data2!Y38/range*(2^resolution-1)</f>
        <v>0</v>
      </c>
      <c r="Z38" s="28">
        <f>data2!Z38/range*(2^resolution-1)</f>
        <v>0</v>
      </c>
      <c r="AA38" s="28">
        <f>data2!AA38/range*(2^resolution-1)</f>
        <v>0</v>
      </c>
      <c r="AB38" s="28">
        <f>data2!AB38/range*(2^resolution-1)</f>
        <v>0</v>
      </c>
      <c r="AC38" s="28">
        <f>data2!AC38/range*(2^resolution-1)</f>
        <v>0</v>
      </c>
      <c r="AD38" s="28">
        <f>data2!AD38/range*(2^resolution-1)</f>
        <v>0</v>
      </c>
      <c r="AE38" s="28">
        <f>data2!AE38/range*(2^resolution-1)</f>
        <v>0</v>
      </c>
      <c r="AF38" s="28">
        <f>data2!AF38/range*(2^resolution-1)</f>
        <v>0</v>
      </c>
      <c r="AG38" s="28">
        <f>data2!AG38/range*(2^resolution-1)</f>
        <v>0</v>
      </c>
    </row>
    <row r="39" spans="1:33">
      <c r="A39" s="29">
        <f>data0!A39</f>
        <v>21</v>
      </c>
      <c r="B39" s="28">
        <f>data2!B39/range*(2^resolution-1)</f>
        <v>0</v>
      </c>
      <c r="C39" s="28">
        <f>data2!C39/range*(2^resolution-1)</f>
        <v>0</v>
      </c>
      <c r="D39" s="28">
        <f>data2!D39/range*(2^resolution-1)</f>
        <v>0</v>
      </c>
      <c r="E39" s="28">
        <f>data2!E39/range*(2^resolution-1)</f>
        <v>0</v>
      </c>
      <c r="F39" s="28">
        <f>data2!F39/range*(2^resolution-1)</f>
        <v>0</v>
      </c>
      <c r="G39" s="28">
        <f>data2!G39/range*(2^resolution-1)</f>
        <v>0</v>
      </c>
      <c r="H39" s="28">
        <f>data2!H39/range*(2^resolution-1)</f>
        <v>0</v>
      </c>
      <c r="I39" s="28">
        <f>data2!I39/range*(2^resolution-1)</f>
        <v>0</v>
      </c>
      <c r="J39" s="28">
        <f>data2!J39/range*(2^resolution-1)</f>
        <v>0</v>
      </c>
      <c r="K39" s="28">
        <f>data2!K39/range*(2^resolution-1)</f>
        <v>0</v>
      </c>
      <c r="L39" s="28">
        <f>data2!L39/range*(2^resolution-1)</f>
        <v>0</v>
      </c>
      <c r="M39" s="28">
        <f>data2!M39/range*(2^resolution-1)</f>
        <v>0</v>
      </c>
      <c r="N39" s="28">
        <f>data2!N39/range*(2^resolution-1)</f>
        <v>0</v>
      </c>
      <c r="O39" s="28">
        <f>data2!O39/range*(2^resolution-1)</f>
        <v>0</v>
      </c>
      <c r="P39" s="28">
        <f>data2!P39/range*(2^resolution-1)</f>
        <v>0</v>
      </c>
      <c r="Q39" s="28">
        <f>data2!Q39/range*(2^resolution-1)</f>
        <v>0</v>
      </c>
      <c r="R39" s="28">
        <f>data2!R39/range*(2^resolution-1)</f>
        <v>0</v>
      </c>
      <c r="S39" s="28">
        <f>data2!S39/range*(2^resolution-1)</f>
        <v>0</v>
      </c>
      <c r="T39" s="28">
        <f>data2!T39/range*(2^resolution-1)</f>
        <v>0</v>
      </c>
      <c r="U39" s="28">
        <f>data2!U39/range*(2^resolution-1)</f>
        <v>0</v>
      </c>
      <c r="V39" s="28">
        <f>data2!V39/range*(2^resolution-1)</f>
        <v>0</v>
      </c>
      <c r="W39" s="28">
        <f>data2!W39/range*(2^resolution-1)</f>
        <v>0</v>
      </c>
      <c r="X39" s="28">
        <f>data2!X39/range*(2^resolution-1)</f>
        <v>0</v>
      </c>
      <c r="Y39" s="28">
        <f>data2!Y39/range*(2^resolution-1)</f>
        <v>0</v>
      </c>
      <c r="Z39" s="28">
        <f>data2!Z39/range*(2^resolution-1)</f>
        <v>0</v>
      </c>
      <c r="AA39" s="28">
        <f>data2!AA39/range*(2^resolution-1)</f>
        <v>0</v>
      </c>
      <c r="AB39" s="28">
        <f>data2!AB39/range*(2^resolution-1)</f>
        <v>0</v>
      </c>
      <c r="AC39" s="28">
        <f>data2!AC39/range*(2^resolution-1)</f>
        <v>0</v>
      </c>
      <c r="AD39" s="28">
        <f>data2!AD39/range*(2^resolution-1)</f>
        <v>0</v>
      </c>
      <c r="AE39" s="28">
        <f>data2!AE39/range*(2^resolution-1)</f>
        <v>0</v>
      </c>
      <c r="AF39" s="28">
        <f>data2!AF39/range*(2^resolution-1)</f>
        <v>0</v>
      </c>
      <c r="AG39" s="28">
        <f>data2!AG39/range*(2^resolution-1)</f>
        <v>0</v>
      </c>
    </row>
    <row r="40" spans="1:33">
      <c r="A40" s="29">
        <f>data0!A40</f>
        <v>24</v>
      </c>
      <c r="B40" s="28">
        <f>data2!B40/range*(2^resolution-1)</f>
        <v>0</v>
      </c>
      <c r="C40" s="28">
        <f>data2!C40/range*(2^resolution-1)</f>
        <v>0</v>
      </c>
      <c r="D40" s="28">
        <f>data2!D40/range*(2^resolution-1)</f>
        <v>0</v>
      </c>
      <c r="E40" s="28">
        <f>data2!E40/range*(2^resolution-1)</f>
        <v>0</v>
      </c>
      <c r="F40" s="28">
        <f>data2!F40/range*(2^resolution-1)</f>
        <v>0</v>
      </c>
      <c r="G40" s="28">
        <f>data2!G40/range*(2^resolution-1)</f>
        <v>0</v>
      </c>
      <c r="H40" s="28">
        <f>data2!H40/range*(2^resolution-1)</f>
        <v>0</v>
      </c>
      <c r="I40" s="28">
        <f>data2!I40/range*(2^resolution-1)</f>
        <v>0</v>
      </c>
      <c r="J40" s="28">
        <f>data2!J40/range*(2^resolution-1)</f>
        <v>0</v>
      </c>
      <c r="K40" s="28">
        <f>data2!K40/range*(2^resolution-1)</f>
        <v>0</v>
      </c>
      <c r="L40" s="28">
        <f>data2!L40/range*(2^resolution-1)</f>
        <v>0</v>
      </c>
      <c r="M40" s="28">
        <f>data2!M40/range*(2^resolution-1)</f>
        <v>0</v>
      </c>
      <c r="N40" s="28">
        <f>data2!N40/range*(2^resolution-1)</f>
        <v>0</v>
      </c>
      <c r="O40" s="28">
        <f>data2!O40/range*(2^resolution-1)</f>
        <v>0</v>
      </c>
      <c r="P40" s="28">
        <f>data2!P40/range*(2^resolution-1)</f>
        <v>0</v>
      </c>
      <c r="Q40" s="28">
        <f>data2!Q40/range*(2^resolution-1)</f>
        <v>0</v>
      </c>
      <c r="R40" s="28">
        <f>data2!R40/range*(2^resolution-1)</f>
        <v>0</v>
      </c>
      <c r="S40" s="28">
        <f>data2!S40/range*(2^resolution-1)</f>
        <v>0</v>
      </c>
      <c r="T40" s="28">
        <f>data2!T40/range*(2^resolution-1)</f>
        <v>0</v>
      </c>
      <c r="U40" s="28">
        <f>data2!U40/range*(2^resolution-1)</f>
        <v>0</v>
      </c>
      <c r="V40" s="28">
        <f>data2!V40/range*(2^resolution-1)</f>
        <v>0</v>
      </c>
      <c r="W40" s="28">
        <f>data2!W40/range*(2^resolution-1)</f>
        <v>0</v>
      </c>
      <c r="X40" s="28">
        <f>data2!X40/range*(2^resolution-1)</f>
        <v>0</v>
      </c>
      <c r="Y40" s="28">
        <f>data2!Y40/range*(2^resolution-1)</f>
        <v>0</v>
      </c>
      <c r="Z40" s="28">
        <f>data2!Z40/range*(2^resolution-1)</f>
        <v>0</v>
      </c>
      <c r="AA40" s="28">
        <f>data2!AA40/range*(2^resolution-1)</f>
        <v>0</v>
      </c>
      <c r="AB40" s="28">
        <f>data2!AB40/range*(2^resolution-1)</f>
        <v>0</v>
      </c>
      <c r="AC40" s="28">
        <f>data2!AC40/range*(2^resolution-1)</f>
        <v>0</v>
      </c>
      <c r="AD40" s="28">
        <f>data2!AD40/range*(2^resolution-1)</f>
        <v>0</v>
      </c>
      <c r="AE40" s="28">
        <f>data2!AE40/range*(2^resolution-1)</f>
        <v>0</v>
      </c>
      <c r="AF40" s="28">
        <f>data2!AF40/range*(2^resolution-1)</f>
        <v>0</v>
      </c>
      <c r="AG40" s="28">
        <f>data2!AG40/range*(2^resolution-1)</f>
        <v>0</v>
      </c>
    </row>
    <row r="41" spans="1:33">
      <c r="A41" s="29">
        <f>data0!A41</f>
        <v>27</v>
      </c>
      <c r="B41" s="28">
        <f>data2!B41/range*(2^resolution-1)</f>
        <v>0</v>
      </c>
      <c r="C41" s="28">
        <f>data2!C41/range*(2^resolution-1)</f>
        <v>0</v>
      </c>
      <c r="D41" s="28">
        <f>data2!D41/range*(2^resolution-1)</f>
        <v>0</v>
      </c>
      <c r="E41" s="28">
        <f>data2!E41/range*(2^resolution-1)</f>
        <v>0</v>
      </c>
      <c r="F41" s="28">
        <f>data2!F41/range*(2^resolution-1)</f>
        <v>0</v>
      </c>
      <c r="G41" s="28">
        <f>data2!G41/range*(2^resolution-1)</f>
        <v>0</v>
      </c>
      <c r="H41" s="28">
        <f>data2!H41/range*(2^resolution-1)</f>
        <v>0</v>
      </c>
      <c r="I41" s="28">
        <f>data2!I41/range*(2^resolution-1)</f>
        <v>0</v>
      </c>
      <c r="J41" s="28">
        <f>data2!J41/range*(2^resolution-1)</f>
        <v>0</v>
      </c>
      <c r="K41" s="28">
        <f>data2!K41/range*(2^resolution-1)</f>
        <v>0</v>
      </c>
      <c r="L41" s="28">
        <f>data2!L41/range*(2^resolution-1)</f>
        <v>0</v>
      </c>
      <c r="M41" s="28">
        <f>data2!M41/range*(2^resolution-1)</f>
        <v>0</v>
      </c>
      <c r="N41" s="28">
        <f>data2!N41/range*(2^resolution-1)</f>
        <v>0</v>
      </c>
      <c r="O41" s="28">
        <f>data2!O41/range*(2^resolution-1)</f>
        <v>0</v>
      </c>
      <c r="P41" s="28">
        <f>data2!P41/range*(2^resolution-1)</f>
        <v>0</v>
      </c>
      <c r="Q41" s="28">
        <f>data2!Q41/range*(2^resolution-1)</f>
        <v>0</v>
      </c>
      <c r="R41" s="28">
        <f>data2!R41/range*(2^resolution-1)</f>
        <v>0</v>
      </c>
      <c r="S41" s="28">
        <f>data2!S41/range*(2^resolution-1)</f>
        <v>0</v>
      </c>
      <c r="T41" s="28">
        <f>data2!T41/range*(2^resolution-1)</f>
        <v>0</v>
      </c>
      <c r="U41" s="28">
        <f>data2!U41/range*(2^resolution-1)</f>
        <v>0</v>
      </c>
      <c r="V41" s="28">
        <f>data2!V41/range*(2^resolution-1)</f>
        <v>0</v>
      </c>
      <c r="W41" s="28">
        <f>data2!W41/range*(2^resolution-1)</f>
        <v>0</v>
      </c>
      <c r="X41" s="28">
        <f>data2!X41/range*(2^resolution-1)</f>
        <v>0</v>
      </c>
      <c r="Y41" s="28">
        <f>data2!Y41/range*(2^resolution-1)</f>
        <v>0</v>
      </c>
      <c r="Z41" s="28">
        <f>data2!Z41/range*(2^resolution-1)</f>
        <v>0</v>
      </c>
      <c r="AA41" s="28">
        <f>data2!AA41/range*(2^resolution-1)</f>
        <v>0</v>
      </c>
      <c r="AB41" s="28">
        <f>data2!AB41/range*(2^resolution-1)</f>
        <v>0</v>
      </c>
      <c r="AC41" s="28">
        <f>data2!AC41/range*(2^resolution-1)</f>
        <v>0</v>
      </c>
      <c r="AD41" s="28">
        <f>data2!AD41/range*(2^resolution-1)</f>
        <v>0</v>
      </c>
      <c r="AE41" s="28">
        <f>data2!AE41/range*(2^resolution-1)</f>
        <v>0</v>
      </c>
      <c r="AF41" s="28">
        <f>data2!AF41/range*(2^resolution-1)</f>
        <v>0</v>
      </c>
      <c r="AG41" s="28">
        <f>data2!AG41/range*(2^resolution-1)</f>
        <v>0</v>
      </c>
    </row>
    <row r="42" spans="1:33">
      <c r="A42" s="29">
        <f>data0!A42</f>
        <v>30</v>
      </c>
      <c r="B42" s="28">
        <f>data2!B42/range*(2^resolution-1)</f>
        <v>0</v>
      </c>
      <c r="C42" s="28">
        <f>data2!C42/range*(2^resolution-1)</f>
        <v>0</v>
      </c>
      <c r="D42" s="28">
        <f>data2!D42/range*(2^resolution-1)</f>
        <v>0</v>
      </c>
      <c r="E42" s="28">
        <f>data2!E42/range*(2^resolution-1)</f>
        <v>0</v>
      </c>
      <c r="F42" s="28">
        <f>data2!F42/range*(2^resolution-1)</f>
        <v>0</v>
      </c>
      <c r="G42" s="28">
        <f>data2!G42/range*(2^resolution-1)</f>
        <v>0</v>
      </c>
      <c r="H42" s="28">
        <f>data2!H42/range*(2^resolution-1)</f>
        <v>0</v>
      </c>
      <c r="I42" s="28">
        <f>data2!I42/range*(2^resolution-1)</f>
        <v>0</v>
      </c>
      <c r="J42" s="28">
        <f>data2!J42/range*(2^resolution-1)</f>
        <v>0</v>
      </c>
      <c r="K42" s="28">
        <f>data2!K42/range*(2^resolution-1)</f>
        <v>0</v>
      </c>
      <c r="L42" s="28">
        <f>data2!L42/range*(2^resolution-1)</f>
        <v>0</v>
      </c>
      <c r="M42" s="28">
        <f>data2!M42/range*(2^resolution-1)</f>
        <v>0</v>
      </c>
      <c r="N42" s="28">
        <f>data2!N42/range*(2^resolution-1)</f>
        <v>0</v>
      </c>
      <c r="O42" s="28">
        <f>data2!O42/range*(2^resolution-1)</f>
        <v>0</v>
      </c>
      <c r="P42" s="28">
        <f>data2!P42/range*(2^resolution-1)</f>
        <v>0</v>
      </c>
      <c r="Q42" s="28">
        <f>data2!Q42/range*(2^resolution-1)</f>
        <v>0</v>
      </c>
      <c r="R42" s="28">
        <f>data2!R42/range*(2^resolution-1)</f>
        <v>0</v>
      </c>
      <c r="S42" s="28">
        <f>data2!S42/range*(2^resolution-1)</f>
        <v>0</v>
      </c>
      <c r="T42" s="28">
        <f>data2!T42/range*(2^resolution-1)</f>
        <v>0</v>
      </c>
      <c r="U42" s="28">
        <f>data2!U42/range*(2^resolution-1)</f>
        <v>0</v>
      </c>
      <c r="V42" s="28">
        <f>data2!V42/range*(2^resolution-1)</f>
        <v>0</v>
      </c>
      <c r="W42" s="28">
        <f>data2!W42/range*(2^resolution-1)</f>
        <v>0</v>
      </c>
      <c r="X42" s="28">
        <f>data2!X42/range*(2^resolution-1)</f>
        <v>0</v>
      </c>
      <c r="Y42" s="28">
        <f>data2!Y42/range*(2^resolution-1)</f>
        <v>0</v>
      </c>
      <c r="Z42" s="28">
        <f>data2!Z42/range*(2^resolution-1)</f>
        <v>0</v>
      </c>
      <c r="AA42" s="28">
        <f>data2!AA42/range*(2^resolution-1)</f>
        <v>0</v>
      </c>
      <c r="AB42" s="28">
        <f>data2!AB42/range*(2^resolution-1)</f>
        <v>0</v>
      </c>
      <c r="AC42" s="28">
        <f>data2!AC42/range*(2^resolution-1)</f>
        <v>0</v>
      </c>
      <c r="AD42" s="28">
        <f>data2!AD42/range*(2^resolution-1)</f>
        <v>0</v>
      </c>
      <c r="AE42" s="28">
        <f>data2!AE42/range*(2^resolution-1)</f>
        <v>0</v>
      </c>
      <c r="AF42" s="28">
        <f>data2!AF42/range*(2^resolution-1)</f>
        <v>0</v>
      </c>
      <c r="AG42" s="28">
        <f>data2!AG42/range*(2^resolution-1)</f>
        <v>0</v>
      </c>
    </row>
    <row r="43" spans="1:33">
      <c r="A43" s="29">
        <f>data0!A43</f>
        <v>33</v>
      </c>
      <c r="B43" s="28">
        <f>data2!B43/range*(2^resolution-1)</f>
        <v>0</v>
      </c>
      <c r="C43" s="28">
        <f>data2!C43/range*(2^resolution-1)</f>
        <v>0</v>
      </c>
      <c r="D43" s="28">
        <f>data2!D43/range*(2^resolution-1)</f>
        <v>0</v>
      </c>
      <c r="E43" s="28">
        <f>data2!E43/range*(2^resolution-1)</f>
        <v>0</v>
      </c>
      <c r="F43" s="28">
        <f>data2!F43/range*(2^resolution-1)</f>
        <v>0</v>
      </c>
      <c r="G43" s="28">
        <f>data2!G43/range*(2^resolution-1)</f>
        <v>0</v>
      </c>
      <c r="H43" s="28">
        <f>data2!H43/range*(2^resolution-1)</f>
        <v>0</v>
      </c>
      <c r="I43" s="28">
        <f>data2!I43/range*(2^resolution-1)</f>
        <v>0</v>
      </c>
      <c r="J43" s="28">
        <f>data2!J43/range*(2^resolution-1)</f>
        <v>0</v>
      </c>
      <c r="K43" s="28">
        <f>data2!K43/range*(2^resolution-1)</f>
        <v>0</v>
      </c>
      <c r="L43" s="28">
        <f>data2!L43/range*(2^resolution-1)</f>
        <v>0</v>
      </c>
      <c r="M43" s="28">
        <f>data2!M43/range*(2^resolution-1)</f>
        <v>0</v>
      </c>
      <c r="N43" s="28">
        <f>data2!N43/range*(2^resolution-1)</f>
        <v>0</v>
      </c>
      <c r="O43" s="28">
        <f>data2!O43/range*(2^resolution-1)</f>
        <v>0</v>
      </c>
      <c r="P43" s="28">
        <f>data2!P43/range*(2^resolution-1)</f>
        <v>0</v>
      </c>
      <c r="Q43" s="28">
        <f>data2!Q43/range*(2^resolution-1)</f>
        <v>0</v>
      </c>
      <c r="R43" s="28">
        <f>data2!R43/range*(2^resolution-1)</f>
        <v>0</v>
      </c>
      <c r="S43" s="28">
        <f>data2!S43/range*(2^resolution-1)</f>
        <v>0</v>
      </c>
      <c r="T43" s="28">
        <f>data2!T43/range*(2^resolution-1)</f>
        <v>0</v>
      </c>
      <c r="U43" s="28">
        <f>data2!U43/range*(2^resolution-1)</f>
        <v>0</v>
      </c>
      <c r="V43" s="28">
        <f>data2!V43/range*(2^resolution-1)</f>
        <v>0</v>
      </c>
      <c r="W43" s="28">
        <f>data2!W43/range*(2^resolution-1)</f>
        <v>0</v>
      </c>
      <c r="X43" s="28">
        <f>data2!X43/range*(2^resolution-1)</f>
        <v>0</v>
      </c>
      <c r="Y43" s="28">
        <f>data2!Y43/range*(2^resolution-1)</f>
        <v>0</v>
      </c>
      <c r="Z43" s="28">
        <f>data2!Z43/range*(2^resolution-1)</f>
        <v>0</v>
      </c>
      <c r="AA43" s="28">
        <f>data2!AA43/range*(2^resolution-1)</f>
        <v>0</v>
      </c>
      <c r="AB43" s="28">
        <f>data2!AB43/range*(2^resolution-1)</f>
        <v>0</v>
      </c>
      <c r="AC43" s="28">
        <f>data2!AC43/range*(2^resolution-1)</f>
        <v>0</v>
      </c>
      <c r="AD43" s="28">
        <f>data2!AD43/range*(2^resolution-1)</f>
        <v>0</v>
      </c>
      <c r="AE43" s="28">
        <f>data2!AE43/range*(2^resolution-1)</f>
        <v>0</v>
      </c>
      <c r="AF43" s="28">
        <f>data2!AF43/range*(2^resolution-1)</f>
        <v>0</v>
      </c>
      <c r="AG43" s="28">
        <f>data2!AG43/range*(2^resolution-1)</f>
        <v>0</v>
      </c>
    </row>
    <row r="44" spans="1:33">
      <c r="A44" s="29">
        <f>data0!A44</f>
        <v>36</v>
      </c>
      <c r="B44" s="28">
        <f>data2!B44/range*(2^resolution-1)</f>
        <v>0</v>
      </c>
      <c r="C44" s="28">
        <f>data2!C44/range*(2^resolution-1)</f>
        <v>0</v>
      </c>
      <c r="D44" s="28">
        <f>data2!D44/range*(2^resolution-1)</f>
        <v>0</v>
      </c>
      <c r="E44" s="28">
        <f>data2!E44/range*(2^resolution-1)</f>
        <v>0</v>
      </c>
      <c r="F44" s="28">
        <f>data2!F44/range*(2^resolution-1)</f>
        <v>0</v>
      </c>
      <c r="G44" s="28">
        <f>data2!G44/range*(2^resolution-1)</f>
        <v>0</v>
      </c>
      <c r="H44" s="28">
        <f>data2!H44/range*(2^resolution-1)</f>
        <v>0</v>
      </c>
      <c r="I44" s="28">
        <f>data2!I44/range*(2^resolution-1)</f>
        <v>0</v>
      </c>
      <c r="J44" s="28">
        <f>data2!J44/range*(2^resolution-1)</f>
        <v>0</v>
      </c>
      <c r="K44" s="28">
        <f>data2!K44/range*(2^resolution-1)</f>
        <v>0</v>
      </c>
      <c r="L44" s="28">
        <f>data2!L44/range*(2^resolution-1)</f>
        <v>0</v>
      </c>
      <c r="M44" s="28">
        <f>data2!M44/range*(2^resolution-1)</f>
        <v>0</v>
      </c>
      <c r="N44" s="28">
        <f>data2!N44/range*(2^resolution-1)</f>
        <v>0</v>
      </c>
      <c r="O44" s="28">
        <f>data2!O44/range*(2^resolution-1)</f>
        <v>0</v>
      </c>
      <c r="P44" s="28">
        <f>data2!P44/range*(2^resolution-1)</f>
        <v>0</v>
      </c>
      <c r="Q44" s="28">
        <f>data2!Q44/range*(2^resolution-1)</f>
        <v>0</v>
      </c>
      <c r="R44" s="28">
        <f>data2!R44/range*(2^resolution-1)</f>
        <v>0</v>
      </c>
      <c r="S44" s="28">
        <f>data2!S44/range*(2^resolution-1)</f>
        <v>0</v>
      </c>
      <c r="T44" s="28">
        <f>data2!T44/range*(2^resolution-1)</f>
        <v>0</v>
      </c>
      <c r="U44" s="28">
        <f>data2!U44/range*(2^resolution-1)</f>
        <v>0</v>
      </c>
      <c r="V44" s="28">
        <f>data2!V44/range*(2^resolution-1)</f>
        <v>0</v>
      </c>
      <c r="W44" s="28">
        <f>data2!W44/range*(2^resolution-1)</f>
        <v>0</v>
      </c>
      <c r="X44" s="28">
        <f>data2!X44/range*(2^resolution-1)</f>
        <v>0</v>
      </c>
      <c r="Y44" s="28">
        <f>data2!Y44/range*(2^resolution-1)</f>
        <v>0</v>
      </c>
      <c r="Z44" s="28">
        <f>data2!Z44/range*(2^resolution-1)</f>
        <v>0</v>
      </c>
      <c r="AA44" s="28">
        <f>data2!AA44/range*(2^resolution-1)</f>
        <v>0</v>
      </c>
      <c r="AB44" s="28">
        <f>data2!AB44/range*(2^resolution-1)</f>
        <v>0</v>
      </c>
      <c r="AC44" s="28">
        <f>data2!AC44/range*(2^resolution-1)</f>
        <v>0</v>
      </c>
      <c r="AD44" s="28">
        <f>data2!AD44/range*(2^resolution-1)</f>
        <v>0</v>
      </c>
      <c r="AE44" s="28">
        <f>data2!AE44/range*(2^resolution-1)</f>
        <v>0</v>
      </c>
      <c r="AF44" s="28">
        <f>data2!AF44/range*(2^resolution-1)</f>
        <v>0</v>
      </c>
      <c r="AG44" s="28">
        <f>data2!AG44/range*(2^resolution-1)</f>
        <v>0</v>
      </c>
    </row>
    <row r="45" spans="1:33">
      <c r="A45" s="29">
        <f>data0!A45</f>
        <v>39</v>
      </c>
      <c r="B45" s="28">
        <f>data2!B45/range*(2^resolution-1)</f>
        <v>0</v>
      </c>
      <c r="C45" s="28">
        <f>data2!C45/range*(2^resolution-1)</f>
        <v>0</v>
      </c>
      <c r="D45" s="28">
        <f>data2!D45/range*(2^resolution-1)</f>
        <v>0</v>
      </c>
      <c r="E45" s="28">
        <f>data2!E45/range*(2^resolution-1)</f>
        <v>0</v>
      </c>
      <c r="F45" s="28">
        <f>data2!F45/range*(2^resolution-1)</f>
        <v>0</v>
      </c>
      <c r="G45" s="28">
        <f>data2!G45/range*(2^resolution-1)</f>
        <v>0</v>
      </c>
      <c r="H45" s="28">
        <f>data2!H45/range*(2^resolution-1)</f>
        <v>0</v>
      </c>
      <c r="I45" s="28">
        <f>data2!I45/range*(2^resolution-1)</f>
        <v>0</v>
      </c>
      <c r="J45" s="28">
        <f>data2!J45/range*(2^resolution-1)</f>
        <v>0</v>
      </c>
      <c r="K45" s="28">
        <f>data2!K45/range*(2^resolution-1)</f>
        <v>0</v>
      </c>
      <c r="L45" s="28">
        <f>data2!L45/range*(2^resolution-1)</f>
        <v>0</v>
      </c>
      <c r="M45" s="28">
        <f>data2!M45/range*(2^resolution-1)</f>
        <v>0</v>
      </c>
      <c r="N45" s="28">
        <f>data2!N45/range*(2^resolution-1)</f>
        <v>0</v>
      </c>
      <c r="O45" s="28">
        <f>data2!O45/range*(2^resolution-1)</f>
        <v>0</v>
      </c>
      <c r="P45" s="28">
        <f>data2!P45/range*(2^resolution-1)</f>
        <v>0</v>
      </c>
      <c r="Q45" s="28">
        <f>data2!Q45/range*(2^resolution-1)</f>
        <v>0</v>
      </c>
      <c r="R45" s="28">
        <f>data2!R45/range*(2^resolution-1)</f>
        <v>0</v>
      </c>
      <c r="S45" s="28">
        <f>data2!S45/range*(2^resolution-1)</f>
        <v>0</v>
      </c>
      <c r="T45" s="28">
        <f>data2!T45/range*(2^resolution-1)</f>
        <v>0</v>
      </c>
      <c r="U45" s="28">
        <f>data2!U45/range*(2^resolution-1)</f>
        <v>0</v>
      </c>
      <c r="V45" s="28">
        <f>data2!V45/range*(2^resolution-1)</f>
        <v>0</v>
      </c>
      <c r="W45" s="28">
        <f>data2!W45/range*(2^resolution-1)</f>
        <v>0</v>
      </c>
      <c r="X45" s="28">
        <f>data2!X45/range*(2^resolution-1)</f>
        <v>0</v>
      </c>
      <c r="Y45" s="28">
        <f>data2!Y45/range*(2^resolution-1)</f>
        <v>0</v>
      </c>
      <c r="Z45" s="28">
        <f>data2!Z45/range*(2^resolution-1)</f>
        <v>0</v>
      </c>
      <c r="AA45" s="28">
        <f>data2!AA45/range*(2^resolution-1)</f>
        <v>0</v>
      </c>
      <c r="AB45" s="28">
        <f>data2!AB45/range*(2^resolution-1)</f>
        <v>0</v>
      </c>
      <c r="AC45" s="28">
        <f>data2!AC45/range*(2^resolution-1)</f>
        <v>0</v>
      </c>
      <c r="AD45" s="28">
        <f>data2!AD45/range*(2^resolution-1)</f>
        <v>0</v>
      </c>
      <c r="AE45" s="28">
        <f>data2!AE45/range*(2^resolution-1)</f>
        <v>0</v>
      </c>
      <c r="AF45" s="28">
        <f>data2!AF45/range*(2^resolution-1)</f>
        <v>0</v>
      </c>
      <c r="AG45" s="28">
        <f>data2!AG45/range*(2^resolution-1)</f>
        <v>0</v>
      </c>
    </row>
    <row r="46" spans="1:33">
      <c r="A46" s="29">
        <f>data0!A46</f>
        <v>42</v>
      </c>
      <c r="B46" s="28">
        <f>data2!B46/range*(2^resolution-1)</f>
        <v>0</v>
      </c>
      <c r="C46" s="28">
        <f>data2!C46/range*(2^resolution-1)</f>
        <v>0</v>
      </c>
      <c r="D46" s="28">
        <f>data2!D46/range*(2^resolution-1)</f>
        <v>0</v>
      </c>
      <c r="E46" s="28">
        <f>data2!E46/range*(2^resolution-1)</f>
        <v>0</v>
      </c>
      <c r="F46" s="28">
        <f>data2!F46/range*(2^resolution-1)</f>
        <v>0</v>
      </c>
      <c r="G46" s="28">
        <f>data2!G46/range*(2^resolution-1)</f>
        <v>0</v>
      </c>
      <c r="H46" s="28">
        <f>data2!H46/range*(2^resolution-1)</f>
        <v>0</v>
      </c>
      <c r="I46" s="28">
        <f>data2!I46/range*(2^resolution-1)</f>
        <v>0</v>
      </c>
      <c r="J46" s="28">
        <f>data2!J46/range*(2^resolution-1)</f>
        <v>0</v>
      </c>
      <c r="K46" s="28">
        <f>data2!K46/range*(2^resolution-1)</f>
        <v>0</v>
      </c>
      <c r="L46" s="28">
        <f>data2!L46/range*(2^resolution-1)</f>
        <v>0</v>
      </c>
      <c r="M46" s="28">
        <f>data2!M46/range*(2^resolution-1)</f>
        <v>0</v>
      </c>
      <c r="N46" s="28">
        <f>data2!N46/range*(2^resolution-1)</f>
        <v>0</v>
      </c>
      <c r="O46" s="28">
        <f>data2!O46/range*(2^resolution-1)</f>
        <v>0</v>
      </c>
      <c r="P46" s="28">
        <f>data2!P46/range*(2^resolution-1)</f>
        <v>0</v>
      </c>
      <c r="Q46" s="28">
        <f>data2!Q46/range*(2^resolution-1)</f>
        <v>0</v>
      </c>
      <c r="R46" s="28">
        <f>data2!R46/range*(2^resolution-1)</f>
        <v>0</v>
      </c>
      <c r="S46" s="28">
        <f>data2!S46/range*(2^resolution-1)</f>
        <v>0</v>
      </c>
      <c r="T46" s="28">
        <f>data2!T46/range*(2^resolution-1)</f>
        <v>0</v>
      </c>
      <c r="U46" s="28">
        <f>data2!U46/range*(2^resolution-1)</f>
        <v>0</v>
      </c>
      <c r="V46" s="28">
        <f>data2!V46/range*(2^resolution-1)</f>
        <v>0</v>
      </c>
      <c r="W46" s="28">
        <f>data2!W46/range*(2^resolution-1)</f>
        <v>0</v>
      </c>
      <c r="X46" s="28">
        <f>data2!X46/range*(2^resolution-1)</f>
        <v>0</v>
      </c>
      <c r="Y46" s="28">
        <f>data2!Y46/range*(2^resolution-1)</f>
        <v>0</v>
      </c>
      <c r="Z46" s="28">
        <f>data2!Z46/range*(2^resolution-1)</f>
        <v>0</v>
      </c>
      <c r="AA46" s="28">
        <f>data2!AA46/range*(2^resolution-1)</f>
        <v>0</v>
      </c>
      <c r="AB46" s="28">
        <f>data2!AB46/range*(2^resolution-1)</f>
        <v>0</v>
      </c>
      <c r="AC46" s="28">
        <f>data2!AC46/range*(2^resolution-1)</f>
        <v>0</v>
      </c>
      <c r="AD46" s="28">
        <f>data2!AD46/range*(2^resolution-1)</f>
        <v>0</v>
      </c>
      <c r="AE46" s="28">
        <f>data2!AE46/range*(2^resolution-1)</f>
        <v>0</v>
      </c>
      <c r="AF46" s="28">
        <f>data2!AF46/range*(2^resolution-1)</f>
        <v>0</v>
      </c>
      <c r="AG46" s="28">
        <f>data2!AG46/range*(2^resolution-1)</f>
        <v>0</v>
      </c>
    </row>
    <row r="47" spans="1:33">
      <c r="A47" s="29">
        <f>data0!A47</f>
        <v>45</v>
      </c>
      <c r="B47" s="28">
        <f>data2!B47/range*(2^resolution-1)</f>
        <v>0</v>
      </c>
      <c r="C47" s="28">
        <f>data2!C47/range*(2^resolution-1)</f>
        <v>0</v>
      </c>
      <c r="D47" s="28">
        <f>data2!D47/range*(2^resolution-1)</f>
        <v>0</v>
      </c>
      <c r="E47" s="28">
        <f>data2!E47/range*(2^resolution-1)</f>
        <v>0</v>
      </c>
      <c r="F47" s="28">
        <f>data2!F47/range*(2^resolution-1)</f>
        <v>0</v>
      </c>
      <c r="G47" s="28">
        <f>data2!G47/range*(2^resolution-1)</f>
        <v>0</v>
      </c>
      <c r="H47" s="28">
        <f>data2!H47/range*(2^resolution-1)</f>
        <v>0</v>
      </c>
      <c r="I47" s="28">
        <f>data2!I47/range*(2^resolution-1)</f>
        <v>0</v>
      </c>
      <c r="J47" s="28">
        <f>data2!J47/range*(2^resolution-1)</f>
        <v>0</v>
      </c>
      <c r="K47" s="28">
        <f>data2!K47/range*(2^resolution-1)</f>
        <v>0</v>
      </c>
      <c r="L47" s="28">
        <f>data2!L47/range*(2^resolution-1)</f>
        <v>0</v>
      </c>
      <c r="M47" s="28">
        <f>data2!M47/range*(2^resolution-1)</f>
        <v>0</v>
      </c>
      <c r="N47" s="28">
        <f>data2!N47/range*(2^resolution-1)</f>
        <v>0</v>
      </c>
      <c r="O47" s="28">
        <f>data2!O47/range*(2^resolution-1)</f>
        <v>0</v>
      </c>
      <c r="P47" s="28">
        <f>data2!P47/range*(2^resolution-1)</f>
        <v>0</v>
      </c>
      <c r="Q47" s="28">
        <f>data2!Q47/range*(2^resolution-1)</f>
        <v>0</v>
      </c>
      <c r="R47" s="28">
        <f>data2!R47/range*(2^resolution-1)</f>
        <v>0</v>
      </c>
      <c r="S47" s="28">
        <f>data2!S47/range*(2^resolution-1)</f>
        <v>0</v>
      </c>
      <c r="T47" s="28">
        <f>data2!T47/range*(2^resolution-1)</f>
        <v>0</v>
      </c>
      <c r="U47" s="28">
        <f>data2!U47/range*(2^resolution-1)</f>
        <v>0</v>
      </c>
      <c r="V47" s="28">
        <f>data2!V47/range*(2^resolution-1)</f>
        <v>0</v>
      </c>
      <c r="W47" s="28">
        <f>data2!W47/range*(2^resolution-1)</f>
        <v>0</v>
      </c>
      <c r="X47" s="28">
        <f>data2!X47/range*(2^resolution-1)</f>
        <v>0</v>
      </c>
      <c r="Y47" s="28">
        <f>data2!Y47/range*(2^resolution-1)</f>
        <v>0</v>
      </c>
      <c r="Z47" s="28">
        <f>data2!Z47/range*(2^resolution-1)</f>
        <v>0</v>
      </c>
      <c r="AA47" s="28">
        <f>data2!AA47/range*(2^resolution-1)</f>
        <v>0</v>
      </c>
      <c r="AB47" s="28">
        <f>data2!AB47/range*(2^resolution-1)</f>
        <v>0</v>
      </c>
      <c r="AC47" s="28">
        <f>data2!AC47/range*(2^resolution-1)</f>
        <v>0</v>
      </c>
      <c r="AD47" s="28">
        <f>data2!AD47/range*(2^resolution-1)</f>
        <v>0</v>
      </c>
      <c r="AE47" s="28">
        <f>data2!AE47/range*(2^resolution-1)</f>
        <v>0</v>
      </c>
      <c r="AF47" s="28">
        <f>data2!AF47/range*(2^resolution-1)</f>
        <v>0</v>
      </c>
      <c r="AG47" s="28">
        <f>data2!AG47/range*(2^resolution-1)</f>
        <v>0</v>
      </c>
    </row>
    <row r="48" spans="1:33">
      <c r="A48" s="29">
        <f>data0!A48</f>
        <v>48</v>
      </c>
      <c r="B48" s="28">
        <f>data2!B48/range*(2^resolution-1)</f>
        <v>0</v>
      </c>
      <c r="C48" s="28">
        <f>data2!C48/range*(2^resolution-1)</f>
        <v>0</v>
      </c>
      <c r="D48" s="28">
        <f>data2!D48/range*(2^resolution-1)</f>
        <v>0</v>
      </c>
      <c r="E48" s="28">
        <f>data2!E48/range*(2^resolution-1)</f>
        <v>0</v>
      </c>
      <c r="F48" s="28">
        <f>data2!F48/range*(2^resolution-1)</f>
        <v>0</v>
      </c>
      <c r="G48" s="28">
        <f>data2!G48/range*(2^resolution-1)</f>
        <v>0</v>
      </c>
      <c r="H48" s="28">
        <f>data2!H48/range*(2^resolution-1)</f>
        <v>0</v>
      </c>
      <c r="I48" s="28">
        <f>data2!I48/range*(2^resolution-1)</f>
        <v>0</v>
      </c>
      <c r="J48" s="28">
        <f>data2!J48/range*(2^resolution-1)</f>
        <v>0</v>
      </c>
      <c r="K48" s="28">
        <f>data2!K48/range*(2^resolution-1)</f>
        <v>0</v>
      </c>
      <c r="L48" s="28">
        <f>data2!L48/range*(2^resolution-1)</f>
        <v>0</v>
      </c>
      <c r="M48" s="28">
        <f>data2!M48/range*(2^resolution-1)</f>
        <v>0</v>
      </c>
      <c r="N48" s="28">
        <f>data2!N48/range*(2^resolution-1)</f>
        <v>0</v>
      </c>
      <c r="O48" s="28">
        <f>data2!O48/range*(2^resolution-1)</f>
        <v>0</v>
      </c>
      <c r="P48" s="28">
        <f>data2!P48/range*(2^resolution-1)</f>
        <v>0</v>
      </c>
      <c r="Q48" s="28">
        <f>data2!Q48/range*(2^resolution-1)</f>
        <v>0</v>
      </c>
      <c r="R48" s="28">
        <f>data2!R48/range*(2^resolution-1)</f>
        <v>0</v>
      </c>
      <c r="S48" s="28">
        <f>data2!S48/range*(2^resolution-1)</f>
        <v>0</v>
      </c>
      <c r="T48" s="28">
        <f>data2!T48/range*(2^resolution-1)</f>
        <v>0</v>
      </c>
      <c r="U48" s="28">
        <f>data2!U48/range*(2^resolution-1)</f>
        <v>0</v>
      </c>
      <c r="V48" s="28">
        <f>data2!V48/range*(2^resolution-1)</f>
        <v>0</v>
      </c>
      <c r="W48" s="28">
        <f>data2!W48/range*(2^resolution-1)</f>
        <v>0</v>
      </c>
      <c r="X48" s="28">
        <f>data2!X48/range*(2^resolution-1)</f>
        <v>0</v>
      </c>
      <c r="Y48" s="28">
        <f>data2!Y48/range*(2^resolution-1)</f>
        <v>0</v>
      </c>
      <c r="Z48" s="28">
        <f>data2!Z48/range*(2^resolution-1)</f>
        <v>0</v>
      </c>
      <c r="AA48" s="28">
        <f>data2!AA48/range*(2^resolution-1)</f>
        <v>0</v>
      </c>
      <c r="AB48" s="28">
        <f>data2!AB48/range*(2^resolution-1)</f>
        <v>0</v>
      </c>
      <c r="AC48" s="28">
        <f>data2!AC48/range*(2^resolution-1)</f>
        <v>0</v>
      </c>
      <c r="AD48" s="28">
        <f>data2!AD48/range*(2^resolution-1)</f>
        <v>0</v>
      </c>
      <c r="AE48" s="28">
        <f>data2!AE48/range*(2^resolution-1)</f>
        <v>0</v>
      </c>
      <c r="AF48" s="28">
        <f>data2!AF48/range*(2^resolution-1)</f>
        <v>0</v>
      </c>
      <c r="AG48" s="28">
        <f>data2!AG48/range*(2^resolution-1)</f>
        <v>0</v>
      </c>
    </row>
    <row r="49" spans="1:33">
      <c r="A49" s="29">
        <f>data0!A49</f>
        <v>51</v>
      </c>
      <c r="B49" s="28">
        <f>data2!B49/range*(2^resolution-1)</f>
        <v>0</v>
      </c>
      <c r="C49" s="28">
        <f>data2!C49/range*(2^resolution-1)</f>
        <v>0</v>
      </c>
      <c r="D49" s="28">
        <f>data2!D49/range*(2^resolution-1)</f>
        <v>0</v>
      </c>
      <c r="E49" s="28">
        <f>data2!E49/range*(2^resolution-1)</f>
        <v>0</v>
      </c>
      <c r="F49" s="28">
        <f>data2!F49/range*(2^resolution-1)</f>
        <v>0</v>
      </c>
      <c r="G49" s="28">
        <f>data2!G49/range*(2^resolution-1)</f>
        <v>0</v>
      </c>
      <c r="H49" s="28">
        <f>data2!H49/range*(2^resolution-1)</f>
        <v>0</v>
      </c>
      <c r="I49" s="28">
        <f>data2!I49/range*(2^resolution-1)</f>
        <v>0</v>
      </c>
      <c r="J49" s="28">
        <f>data2!J49/range*(2^resolution-1)</f>
        <v>0</v>
      </c>
      <c r="K49" s="28">
        <f>data2!K49/range*(2^resolution-1)</f>
        <v>0</v>
      </c>
      <c r="L49" s="28">
        <f>data2!L49/range*(2^resolution-1)</f>
        <v>0</v>
      </c>
      <c r="M49" s="28">
        <f>data2!M49/range*(2^resolution-1)</f>
        <v>0</v>
      </c>
      <c r="N49" s="28">
        <f>data2!N49/range*(2^resolution-1)</f>
        <v>0</v>
      </c>
      <c r="O49" s="28">
        <f>data2!O49/range*(2^resolution-1)</f>
        <v>0</v>
      </c>
      <c r="P49" s="28">
        <f>data2!P49/range*(2^resolution-1)</f>
        <v>0</v>
      </c>
      <c r="Q49" s="28">
        <f>data2!Q49/range*(2^resolution-1)</f>
        <v>0</v>
      </c>
      <c r="R49" s="28">
        <f>data2!R49/range*(2^resolution-1)</f>
        <v>0</v>
      </c>
      <c r="S49" s="28">
        <f>data2!S49/range*(2^resolution-1)</f>
        <v>0</v>
      </c>
      <c r="T49" s="28">
        <f>data2!T49/range*(2^resolution-1)</f>
        <v>0</v>
      </c>
      <c r="U49" s="28">
        <f>data2!U49/range*(2^resolution-1)</f>
        <v>0</v>
      </c>
      <c r="V49" s="28">
        <f>data2!V49/range*(2^resolution-1)</f>
        <v>0</v>
      </c>
      <c r="W49" s="28">
        <f>data2!W49/range*(2^resolution-1)</f>
        <v>0</v>
      </c>
      <c r="X49" s="28">
        <f>data2!X49/range*(2^resolution-1)</f>
        <v>0</v>
      </c>
      <c r="Y49" s="28">
        <f>data2!Y49/range*(2^resolution-1)</f>
        <v>0</v>
      </c>
      <c r="Z49" s="28">
        <f>data2!Z49/range*(2^resolution-1)</f>
        <v>0</v>
      </c>
      <c r="AA49" s="28">
        <f>data2!AA49/range*(2^resolution-1)</f>
        <v>0</v>
      </c>
      <c r="AB49" s="28">
        <f>data2!AB49/range*(2^resolution-1)</f>
        <v>0</v>
      </c>
      <c r="AC49" s="28">
        <f>data2!AC49/range*(2^resolution-1)</f>
        <v>0</v>
      </c>
      <c r="AD49" s="28">
        <f>data2!AD49/range*(2^resolution-1)</f>
        <v>0</v>
      </c>
      <c r="AE49" s="28">
        <f>data2!AE49/range*(2^resolution-1)</f>
        <v>0</v>
      </c>
      <c r="AF49" s="28">
        <f>data2!AF49/range*(2^resolution-1)</f>
        <v>0</v>
      </c>
      <c r="AG49" s="28">
        <f>data2!AG49/range*(2^resolution-1)</f>
        <v>0</v>
      </c>
    </row>
    <row r="50" spans="1:33">
      <c r="A50" s="29">
        <f>data0!A50</f>
        <v>54</v>
      </c>
      <c r="B50" s="28">
        <f>data2!B50/range*(2^resolution-1)</f>
        <v>0</v>
      </c>
      <c r="C50" s="28">
        <f>data2!C50/range*(2^resolution-1)</f>
        <v>0</v>
      </c>
      <c r="D50" s="28">
        <f>data2!D50/range*(2^resolution-1)</f>
        <v>0</v>
      </c>
      <c r="E50" s="28">
        <f>data2!E50/range*(2^resolution-1)</f>
        <v>0</v>
      </c>
      <c r="F50" s="28">
        <f>data2!F50/range*(2^resolution-1)</f>
        <v>0</v>
      </c>
      <c r="G50" s="28">
        <f>data2!G50/range*(2^resolution-1)</f>
        <v>0</v>
      </c>
      <c r="H50" s="28">
        <f>data2!H50/range*(2^resolution-1)</f>
        <v>0</v>
      </c>
      <c r="I50" s="28">
        <f>data2!I50/range*(2^resolution-1)</f>
        <v>0</v>
      </c>
      <c r="J50" s="28">
        <f>data2!J50/range*(2^resolution-1)</f>
        <v>0</v>
      </c>
      <c r="K50" s="28">
        <f>data2!K50/range*(2^resolution-1)</f>
        <v>0</v>
      </c>
      <c r="L50" s="28">
        <f>data2!L50/range*(2^resolution-1)</f>
        <v>0</v>
      </c>
      <c r="M50" s="28">
        <f>data2!M50/range*(2^resolution-1)</f>
        <v>0</v>
      </c>
      <c r="N50" s="28">
        <f>data2!N50/range*(2^resolution-1)</f>
        <v>0</v>
      </c>
      <c r="O50" s="28">
        <f>data2!O50/range*(2^resolution-1)</f>
        <v>0</v>
      </c>
      <c r="P50" s="28">
        <f>data2!P50/range*(2^resolution-1)</f>
        <v>0</v>
      </c>
      <c r="Q50" s="28">
        <f>data2!Q50/range*(2^resolution-1)</f>
        <v>0</v>
      </c>
      <c r="R50" s="28">
        <f>data2!R50/range*(2^resolution-1)</f>
        <v>0</v>
      </c>
      <c r="S50" s="28">
        <f>data2!S50/range*(2^resolution-1)</f>
        <v>0</v>
      </c>
      <c r="T50" s="28">
        <f>data2!T50/range*(2^resolution-1)</f>
        <v>0</v>
      </c>
      <c r="U50" s="28">
        <f>data2!U50/range*(2^resolution-1)</f>
        <v>0</v>
      </c>
      <c r="V50" s="28">
        <f>data2!V50/range*(2^resolution-1)</f>
        <v>0</v>
      </c>
      <c r="W50" s="28">
        <f>data2!W50/range*(2^resolution-1)</f>
        <v>0</v>
      </c>
      <c r="X50" s="28">
        <f>data2!X50/range*(2^resolution-1)</f>
        <v>0</v>
      </c>
      <c r="Y50" s="28">
        <f>data2!Y50/range*(2^resolution-1)</f>
        <v>0</v>
      </c>
      <c r="Z50" s="28">
        <f>data2!Z50/range*(2^resolution-1)</f>
        <v>0</v>
      </c>
      <c r="AA50" s="28">
        <f>data2!AA50/range*(2^resolution-1)</f>
        <v>0</v>
      </c>
      <c r="AB50" s="28">
        <f>data2!AB50/range*(2^resolution-1)</f>
        <v>0</v>
      </c>
      <c r="AC50" s="28">
        <f>data2!AC50/range*(2^resolution-1)</f>
        <v>0</v>
      </c>
      <c r="AD50" s="28">
        <f>data2!AD50/range*(2^resolution-1)</f>
        <v>0</v>
      </c>
      <c r="AE50" s="28">
        <f>data2!AE50/range*(2^resolution-1)</f>
        <v>0</v>
      </c>
      <c r="AF50" s="28">
        <f>data2!AF50/range*(2^resolution-1)</f>
        <v>0</v>
      </c>
      <c r="AG50" s="28">
        <f>data2!AG50/range*(2^resolution-1)</f>
        <v>0</v>
      </c>
    </row>
    <row r="51" spans="1:33">
      <c r="A51" s="29">
        <f>data0!A51</f>
        <v>57</v>
      </c>
      <c r="B51" s="28">
        <f>data2!B51/range*(2^resolution-1)</f>
        <v>0</v>
      </c>
      <c r="C51" s="28">
        <f>data2!C51/range*(2^resolution-1)</f>
        <v>0</v>
      </c>
      <c r="D51" s="28">
        <f>data2!D51/range*(2^resolution-1)</f>
        <v>0</v>
      </c>
      <c r="E51" s="28">
        <f>data2!E51/range*(2^resolution-1)</f>
        <v>0</v>
      </c>
      <c r="F51" s="28">
        <f>data2!F51/range*(2^resolution-1)</f>
        <v>0</v>
      </c>
      <c r="G51" s="28">
        <f>data2!G51/range*(2^resolution-1)</f>
        <v>0</v>
      </c>
      <c r="H51" s="28">
        <f>data2!H51/range*(2^resolution-1)</f>
        <v>0</v>
      </c>
      <c r="I51" s="28">
        <f>data2!I51/range*(2^resolution-1)</f>
        <v>0</v>
      </c>
      <c r="J51" s="28">
        <f>data2!J51/range*(2^resolution-1)</f>
        <v>0</v>
      </c>
      <c r="K51" s="28">
        <f>data2!K51/range*(2^resolution-1)</f>
        <v>0</v>
      </c>
      <c r="L51" s="28">
        <f>data2!L51/range*(2^resolution-1)</f>
        <v>0</v>
      </c>
      <c r="M51" s="28">
        <f>data2!M51/range*(2^resolution-1)</f>
        <v>0</v>
      </c>
      <c r="N51" s="28">
        <f>data2!N51/range*(2^resolution-1)</f>
        <v>0</v>
      </c>
      <c r="O51" s="28">
        <f>data2!O51/range*(2^resolution-1)</f>
        <v>0</v>
      </c>
      <c r="P51" s="28">
        <f>data2!P51/range*(2^resolution-1)</f>
        <v>0</v>
      </c>
      <c r="Q51" s="28">
        <f>data2!Q51/range*(2^resolution-1)</f>
        <v>0</v>
      </c>
      <c r="R51" s="28">
        <f>data2!R51/range*(2^resolution-1)</f>
        <v>0</v>
      </c>
      <c r="S51" s="28">
        <f>data2!S51/range*(2^resolution-1)</f>
        <v>0</v>
      </c>
      <c r="T51" s="28">
        <f>data2!T51/range*(2^resolution-1)</f>
        <v>0</v>
      </c>
      <c r="U51" s="28">
        <f>data2!U51/range*(2^resolution-1)</f>
        <v>0</v>
      </c>
      <c r="V51" s="28">
        <f>data2!V51/range*(2^resolution-1)</f>
        <v>0</v>
      </c>
      <c r="W51" s="28">
        <f>data2!W51/range*(2^resolution-1)</f>
        <v>0</v>
      </c>
      <c r="X51" s="28">
        <f>data2!X51/range*(2^resolution-1)</f>
        <v>0</v>
      </c>
      <c r="Y51" s="28">
        <f>data2!Y51/range*(2^resolution-1)</f>
        <v>0</v>
      </c>
      <c r="Z51" s="28">
        <f>data2!Z51/range*(2^resolution-1)</f>
        <v>0</v>
      </c>
      <c r="AA51" s="28">
        <f>data2!AA51/range*(2^resolution-1)</f>
        <v>0</v>
      </c>
      <c r="AB51" s="28">
        <f>data2!AB51/range*(2^resolution-1)</f>
        <v>0</v>
      </c>
      <c r="AC51" s="28">
        <f>data2!AC51/range*(2^resolution-1)</f>
        <v>0</v>
      </c>
      <c r="AD51" s="28">
        <f>data2!AD51/range*(2^resolution-1)</f>
        <v>0</v>
      </c>
      <c r="AE51" s="28">
        <f>data2!AE51/range*(2^resolution-1)</f>
        <v>0</v>
      </c>
      <c r="AF51" s="28">
        <f>data2!AF51/range*(2^resolution-1)</f>
        <v>0</v>
      </c>
      <c r="AG51" s="28">
        <f>data2!AG51/range*(2^resolution-1)</f>
        <v>0</v>
      </c>
    </row>
    <row r="52" spans="1:33">
      <c r="A52" s="29">
        <f>data0!A52</f>
        <v>60</v>
      </c>
      <c r="B52" s="28">
        <f>data2!B52/range*(2^resolution-1)</f>
        <v>0</v>
      </c>
      <c r="C52" s="28">
        <f>data2!C52/range*(2^resolution-1)</f>
        <v>0</v>
      </c>
      <c r="D52" s="28">
        <f>data2!D52/range*(2^resolution-1)</f>
        <v>0</v>
      </c>
      <c r="E52" s="28">
        <f>data2!E52/range*(2^resolution-1)</f>
        <v>0</v>
      </c>
      <c r="F52" s="28">
        <f>data2!F52/range*(2^resolution-1)</f>
        <v>0</v>
      </c>
      <c r="G52" s="28">
        <f>data2!G52/range*(2^resolution-1)</f>
        <v>0</v>
      </c>
      <c r="H52" s="28">
        <f>data2!H52/range*(2^resolution-1)</f>
        <v>0</v>
      </c>
      <c r="I52" s="28">
        <f>data2!I52/range*(2^resolution-1)</f>
        <v>0</v>
      </c>
      <c r="J52" s="28">
        <f>data2!J52/range*(2^resolution-1)</f>
        <v>0</v>
      </c>
      <c r="K52" s="28">
        <f>data2!K52/range*(2^resolution-1)</f>
        <v>0</v>
      </c>
      <c r="L52" s="28">
        <f>data2!L52/range*(2^resolution-1)</f>
        <v>0</v>
      </c>
      <c r="M52" s="28">
        <f>data2!M52/range*(2^resolution-1)</f>
        <v>0</v>
      </c>
      <c r="N52" s="28">
        <f>data2!N52/range*(2^resolution-1)</f>
        <v>0</v>
      </c>
      <c r="O52" s="28">
        <f>data2!O52/range*(2^resolution-1)</f>
        <v>0</v>
      </c>
      <c r="P52" s="28">
        <f>data2!P52/range*(2^resolution-1)</f>
        <v>0</v>
      </c>
      <c r="Q52" s="28">
        <f>data2!Q52/range*(2^resolution-1)</f>
        <v>0</v>
      </c>
      <c r="R52" s="28">
        <f>data2!R52/range*(2^resolution-1)</f>
        <v>0</v>
      </c>
      <c r="S52" s="28">
        <f>data2!S52/range*(2^resolution-1)</f>
        <v>0</v>
      </c>
      <c r="T52" s="28">
        <f>data2!T52/range*(2^resolution-1)</f>
        <v>0</v>
      </c>
      <c r="U52" s="28">
        <f>data2!U52/range*(2^resolution-1)</f>
        <v>0</v>
      </c>
      <c r="V52" s="28">
        <f>data2!V52/range*(2^resolution-1)</f>
        <v>0</v>
      </c>
      <c r="W52" s="28">
        <f>data2!W52/range*(2^resolution-1)</f>
        <v>0</v>
      </c>
      <c r="X52" s="28">
        <f>data2!X52/range*(2^resolution-1)</f>
        <v>0</v>
      </c>
      <c r="Y52" s="28">
        <f>data2!Y52/range*(2^resolution-1)</f>
        <v>0</v>
      </c>
      <c r="Z52" s="28">
        <f>data2!Z52/range*(2^resolution-1)</f>
        <v>0</v>
      </c>
      <c r="AA52" s="28">
        <f>data2!AA52/range*(2^resolution-1)</f>
        <v>0</v>
      </c>
      <c r="AB52" s="28">
        <f>data2!AB52/range*(2^resolution-1)</f>
        <v>0</v>
      </c>
      <c r="AC52" s="28">
        <f>data2!AC52/range*(2^resolution-1)</f>
        <v>0</v>
      </c>
      <c r="AD52" s="28">
        <f>data2!AD52/range*(2^resolution-1)</f>
        <v>0</v>
      </c>
      <c r="AE52" s="28">
        <f>data2!AE52/range*(2^resolution-1)</f>
        <v>0</v>
      </c>
      <c r="AF52" s="28">
        <f>data2!AF52/range*(2^resolution-1)</f>
        <v>0</v>
      </c>
      <c r="AG52" s="28">
        <f>data2!AG52/range*(2^resolution-1)</f>
        <v>0</v>
      </c>
    </row>
    <row r="53" spans="1:33">
      <c r="A53" s="29">
        <f>data0!A53</f>
        <v>63</v>
      </c>
      <c r="B53" s="28">
        <f>data2!B53/range*(2^resolution-1)</f>
        <v>0</v>
      </c>
      <c r="C53" s="28">
        <f>data2!C53/range*(2^resolution-1)</f>
        <v>0</v>
      </c>
      <c r="D53" s="28">
        <f>data2!D53/range*(2^resolution-1)</f>
        <v>0</v>
      </c>
      <c r="E53" s="28">
        <f>data2!E53/range*(2^resolution-1)</f>
        <v>0</v>
      </c>
      <c r="F53" s="28">
        <f>data2!F53/range*(2^resolution-1)</f>
        <v>0</v>
      </c>
      <c r="G53" s="28">
        <f>data2!G53/range*(2^resolution-1)</f>
        <v>0</v>
      </c>
      <c r="H53" s="28">
        <f>data2!H53/range*(2^resolution-1)</f>
        <v>0</v>
      </c>
      <c r="I53" s="28">
        <f>data2!I53/range*(2^resolution-1)</f>
        <v>0</v>
      </c>
      <c r="J53" s="28">
        <f>data2!J53/range*(2^resolution-1)</f>
        <v>0</v>
      </c>
      <c r="K53" s="28">
        <f>data2!K53/range*(2^resolution-1)</f>
        <v>0</v>
      </c>
      <c r="L53" s="28">
        <f>data2!L53/range*(2^resolution-1)</f>
        <v>0</v>
      </c>
      <c r="M53" s="28">
        <f>data2!M53/range*(2^resolution-1)</f>
        <v>0</v>
      </c>
      <c r="N53" s="28">
        <f>data2!N53/range*(2^resolution-1)</f>
        <v>0</v>
      </c>
      <c r="O53" s="28">
        <f>data2!O53/range*(2^resolution-1)</f>
        <v>0</v>
      </c>
      <c r="P53" s="28">
        <f>data2!P53/range*(2^resolution-1)</f>
        <v>0</v>
      </c>
      <c r="Q53" s="28">
        <f>data2!Q53/range*(2^resolution-1)</f>
        <v>0</v>
      </c>
      <c r="R53" s="28">
        <f>data2!R53/range*(2^resolution-1)</f>
        <v>0</v>
      </c>
      <c r="S53" s="28">
        <f>data2!S53/range*(2^resolution-1)</f>
        <v>0</v>
      </c>
      <c r="T53" s="28">
        <f>data2!T53/range*(2^resolution-1)</f>
        <v>0</v>
      </c>
      <c r="U53" s="28">
        <f>data2!U53/range*(2^resolution-1)</f>
        <v>0</v>
      </c>
      <c r="V53" s="28">
        <f>data2!V53/range*(2^resolution-1)</f>
        <v>0</v>
      </c>
      <c r="W53" s="28">
        <f>data2!W53/range*(2^resolution-1)</f>
        <v>0</v>
      </c>
      <c r="X53" s="28">
        <f>data2!X53/range*(2^resolution-1)</f>
        <v>0</v>
      </c>
      <c r="Y53" s="28">
        <f>data2!Y53/range*(2^resolution-1)</f>
        <v>0</v>
      </c>
      <c r="Z53" s="28">
        <f>data2!Z53/range*(2^resolution-1)</f>
        <v>0</v>
      </c>
      <c r="AA53" s="28">
        <f>data2!AA53/range*(2^resolution-1)</f>
        <v>0</v>
      </c>
      <c r="AB53" s="28">
        <f>data2!AB53/range*(2^resolution-1)</f>
        <v>0</v>
      </c>
      <c r="AC53" s="28">
        <f>data2!AC53/range*(2^resolution-1)</f>
        <v>0</v>
      </c>
      <c r="AD53" s="28">
        <f>data2!AD53/range*(2^resolution-1)</f>
        <v>0</v>
      </c>
      <c r="AE53" s="28">
        <f>data2!AE53/range*(2^resolution-1)</f>
        <v>0</v>
      </c>
      <c r="AF53" s="28">
        <f>data2!AF53/range*(2^resolution-1)</f>
        <v>0</v>
      </c>
      <c r="AG53" s="28">
        <f>data2!AG53/range*(2^resolution-1)</f>
        <v>0</v>
      </c>
    </row>
    <row r="54" spans="1:33">
      <c r="A54" s="29">
        <f>data0!A54</f>
        <v>66</v>
      </c>
      <c r="B54" s="28">
        <f>data2!B54/range*(2^resolution-1)</f>
        <v>0</v>
      </c>
      <c r="C54" s="28">
        <f>data2!C54/range*(2^resolution-1)</f>
        <v>0</v>
      </c>
      <c r="D54" s="28">
        <f>data2!D54/range*(2^resolution-1)</f>
        <v>0</v>
      </c>
      <c r="E54" s="28">
        <f>data2!E54/range*(2^resolution-1)</f>
        <v>0</v>
      </c>
      <c r="F54" s="28">
        <f>data2!F54/range*(2^resolution-1)</f>
        <v>0</v>
      </c>
      <c r="G54" s="28">
        <f>data2!G54/range*(2^resolution-1)</f>
        <v>0</v>
      </c>
      <c r="H54" s="28">
        <f>data2!H54/range*(2^resolution-1)</f>
        <v>0</v>
      </c>
      <c r="I54" s="28">
        <f>data2!I54/range*(2^resolution-1)</f>
        <v>0</v>
      </c>
      <c r="J54" s="28">
        <f>data2!J54/range*(2^resolution-1)</f>
        <v>0</v>
      </c>
      <c r="K54" s="28">
        <f>data2!K54/range*(2^resolution-1)</f>
        <v>0</v>
      </c>
      <c r="L54" s="28">
        <f>data2!L54/range*(2^resolution-1)</f>
        <v>0</v>
      </c>
      <c r="M54" s="28">
        <f>data2!M54/range*(2^resolution-1)</f>
        <v>0</v>
      </c>
      <c r="N54" s="28">
        <f>data2!N54/range*(2^resolution-1)</f>
        <v>0</v>
      </c>
      <c r="O54" s="28">
        <f>data2!O54/range*(2^resolution-1)</f>
        <v>0</v>
      </c>
      <c r="P54" s="28">
        <f>data2!P54/range*(2^resolution-1)</f>
        <v>0</v>
      </c>
      <c r="Q54" s="28">
        <f>data2!Q54/range*(2^resolution-1)</f>
        <v>0</v>
      </c>
      <c r="R54" s="28">
        <f>data2!R54/range*(2^resolution-1)</f>
        <v>0</v>
      </c>
      <c r="S54" s="28">
        <f>data2!S54/range*(2^resolution-1)</f>
        <v>0</v>
      </c>
      <c r="T54" s="28">
        <f>data2!T54/range*(2^resolution-1)</f>
        <v>0</v>
      </c>
      <c r="U54" s="28">
        <f>data2!U54/range*(2^resolution-1)</f>
        <v>0</v>
      </c>
      <c r="V54" s="28">
        <f>data2!V54/range*(2^resolution-1)</f>
        <v>0</v>
      </c>
      <c r="W54" s="28">
        <f>data2!W54/range*(2^resolution-1)</f>
        <v>0</v>
      </c>
      <c r="X54" s="28">
        <f>data2!X54/range*(2^resolution-1)</f>
        <v>0</v>
      </c>
      <c r="Y54" s="28">
        <f>data2!Y54/range*(2^resolution-1)</f>
        <v>0</v>
      </c>
      <c r="Z54" s="28">
        <f>data2!Z54/range*(2^resolution-1)</f>
        <v>0</v>
      </c>
      <c r="AA54" s="28">
        <f>data2!AA54/range*(2^resolution-1)</f>
        <v>0</v>
      </c>
      <c r="AB54" s="28">
        <f>data2!AB54/range*(2^resolution-1)</f>
        <v>0</v>
      </c>
      <c r="AC54" s="28">
        <f>data2!AC54/range*(2^resolution-1)</f>
        <v>0</v>
      </c>
      <c r="AD54" s="28">
        <f>data2!AD54/range*(2^resolution-1)</f>
        <v>0</v>
      </c>
      <c r="AE54" s="28">
        <f>data2!AE54/range*(2^resolution-1)</f>
        <v>0</v>
      </c>
      <c r="AF54" s="28">
        <f>data2!AF54/range*(2^resolution-1)</f>
        <v>0</v>
      </c>
      <c r="AG54" s="28">
        <f>data2!AG54/range*(2^resolution-1)</f>
        <v>0</v>
      </c>
    </row>
    <row r="55" spans="1:33">
      <c r="A55" s="29">
        <f>data0!A55</f>
        <v>69</v>
      </c>
      <c r="B55" s="28">
        <f>data2!B55/range*(2^resolution-1)</f>
        <v>0</v>
      </c>
      <c r="C55" s="28">
        <f>data2!C55/range*(2^resolution-1)</f>
        <v>0</v>
      </c>
      <c r="D55" s="28">
        <f>data2!D55/range*(2^resolution-1)</f>
        <v>0</v>
      </c>
      <c r="E55" s="28">
        <f>data2!E55/range*(2^resolution-1)</f>
        <v>0</v>
      </c>
      <c r="F55" s="28">
        <f>data2!F55/range*(2^resolution-1)</f>
        <v>0</v>
      </c>
      <c r="G55" s="28">
        <f>data2!G55/range*(2^resolution-1)</f>
        <v>0</v>
      </c>
      <c r="H55" s="28">
        <f>data2!H55/range*(2^resolution-1)</f>
        <v>0</v>
      </c>
      <c r="I55" s="28">
        <f>data2!I55/range*(2^resolution-1)</f>
        <v>0</v>
      </c>
      <c r="J55" s="28">
        <f>data2!J55/range*(2^resolution-1)</f>
        <v>0</v>
      </c>
      <c r="K55" s="28">
        <f>data2!K55/range*(2^resolution-1)</f>
        <v>0</v>
      </c>
      <c r="L55" s="28">
        <f>data2!L55/range*(2^resolution-1)</f>
        <v>0</v>
      </c>
      <c r="M55" s="28">
        <f>data2!M55/range*(2^resolution-1)</f>
        <v>0</v>
      </c>
      <c r="N55" s="28">
        <f>data2!N55/range*(2^resolution-1)</f>
        <v>0</v>
      </c>
      <c r="O55" s="28">
        <f>data2!O55/range*(2^resolution-1)</f>
        <v>0</v>
      </c>
      <c r="P55" s="28">
        <f>data2!P55/range*(2^resolution-1)</f>
        <v>0</v>
      </c>
      <c r="Q55" s="28">
        <f>data2!Q55/range*(2^resolution-1)</f>
        <v>0</v>
      </c>
      <c r="R55" s="28">
        <f>data2!R55/range*(2^resolution-1)</f>
        <v>0</v>
      </c>
      <c r="S55" s="28">
        <f>data2!S55/range*(2^resolution-1)</f>
        <v>0</v>
      </c>
      <c r="T55" s="28">
        <f>data2!T55/range*(2^resolution-1)</f>
        <v>0</v>
      </c>
      <c r="U55" s="28">
        <f>data2!U55/range*(2^resolution-1)</f>
        <v>0</v>
      </c>
      <c r="V55" s="28">
        <f>data2!V55/range*(2^resolution-1)</f>
        <v>0</v>
      </c>
      <c r="W55" s="28">
        <f>data2!W55/range*(2^resolution-1)</f>
        <v>0</v>
      </c>
      <c r="X55" s="28">
        <f>data2!X55/range*(2^resolution-1)</f>
        <v>0</v>
      </c>
      <c r="Y55" s="28">
        <f>data2!Y55/range*(2^resolution-1)</f>
        <v>0</v>
      </c>
      <c r="Z55" s="28">
        <f>data2!Z55/range*(2^resolution-1)</f>
        <v>0</v>
      </c>
      <c r="AA55" s="28">
        <f>data2!AA55/range*(2^resolution-1)</f>
        <v>0</v>
      </c>
      <c r="AB55" s="28">
        <f>data2!AB55/range*(2^resolution-1)</f>
        <v>0</v>
      </c>
      <c r="AC55" s="28">
        <f>data2!AC55/range*(2^resolution-1)</f>
        <v>0</v>
      </c>
      <c r="AD55" s="28">
        <f>data2!AD55/range*(2^resolution-1)</f>
        <v>0</v>
      </c>
      <c r="AE55" s="28">
        <f>data2!AE55/range*(2^resolution-1)</f>
        <v>0</v>
      </c>
      <c r="AF55" s="28">
        <f>data2!AF55/range*(2^resolution-1)</f>
        <v>0</v>
      </c>
      <c r="AG55" s="28">
        <f>data2!AG55/range*(2^resolution-1)</f>
        <v>0</v>
      </c>
    </row>
    <row r="56" spans="1:33">
      <c r="A56" s="29">
        <f>data0!A56</f>
        <v>72</v>
      </c>
      <c r="B56" s="28">
        <f>data2!B56/range*(2^resolution-1)</f>
        <v>0</v>
      </c>
      <c r="C56" s="28">
        <f>data2!C56/range*(2^resolution-1)</f>
        <v>0</v>
      </c>
      <c r="D56" s="28">
        <f>data2!D56/range*(2^resolution-1)</f>
        <v>0</v>
      </c>
      <c r="E56" s="28">
        <f>data2!E56/range*(2^resolution-1)</f>
        <v>0</v>
      </c>
      <c r="F56" s="28">
        <f>data2!F56/range*(2^resolution-1)</f>
        <v>0</v>
      </c>
      <c r="G56" s="28">
        <f>data2!G56/range*(2^resolution-1)</f>
        <v>0</v>
      </c>
      <c r="H56" s="28">
        <f>data2!H56/range*(2^resolution-1)</f>
        <v>0</v>
      </c>
      <c r="I56" s="28">
        <f>data2!I56/range*(2^resolution-1)</f>
        <v>0</v>
      </c>
      <c r="J56" s="28">
        <f>data2!J56/range*(2^resolution-1)</f>
        <v>0</v>
      </c>
      <c r="K56" s="28">
        <f>data2!K56/range*(2^resolution-1)</f>
        <v>0</v>
      </c>
      <c r="L56" s="28">
        <f>data2!L56/range*(2^resolution-1)</f>
        <v>0</v>
      </c>
      <c r="M56" s="28">
        <f>data2!M56/range*(2^resolution-1)</f>
        <v>0</v>
      </c>
      <c r="N56" s="28">
        <f>data2!N56/range*(2^resolution-1)</f>
        <v>0</v>
      </c>
      <c r="O56" s="28">
        <f>data2!O56/range*(2^resolution-1)</f>
        <v>0</v>
      </c>
      <c r="P56" s="28">
        <f>data2!P56/range*(2^resolution-1)</f>
        <v>0</v>
      </c>
      <c r="Q56" s="28">
        <f>data2!Q56/range*(2^resolution-1)</f>
        <v>0</v>
      </c>
      <c r="R56" s="28">
        <f>data2!R56/range*(2^resolution-1)</f>
        <v>0</v>
      </c>
      <c r="S56" s="28">
        <f>data2!S56/range*(2^resolution-1)</f>
        <v>0</v>
      </c>
      <c r="T56" s="28">
        <f>data2!T56/range*(2^resolution-1)</f>
        <v>0</v>
      </c>
      <c r="U56" s="28">
        <f>data2!U56/range*(2^resolution-1)</f>
        <v>0</v>
      </c>
      <c r="V56" s="28">
        <f>data2!V56/range*(2^resolution-1)</f>
        <v>0</v>
      </c>
      <c r="W56" s="28">
        <f>data2!W56/range*(2^resolution-1)</f>
        <v>0</v>
      </c>
      <c r="X56" s="28">
        <f>data2!X56/range*(2^resolution-1)</f>
        <v>0</v>
      </c>
      <c r="Y56" s="28">
        <f>data2!Y56/range*(2^resolution-1)</f>
        <v>0</v>
      </c>
      <c r="Z56" s="28">
        <f>data2!Z56/range*(2^resolution-1)</f>
        <v>0</v>
      </c>
      <c r="AA56" s="28">
        <f>data2!AA56/range*(2^resolution-1)</f>
        <v>0</v>
      </c>
      <c r="AB56" s="28">
        <f>data2!AB56/range*(2^resolution-1)</f>
        <v>0</v>
      </c>
      <c r="AC56" s="28">
        <f>data2!AC56/range*(2^resolution-1)</f>
        <v>0</v>
      </c>
      <c r="AD56" s="28">
        <f>data2!AD56/range*(2^resolution-1)</f>
        <v>0</v>
      </c>
      <c r="AE56" s="28">
        <f>data2!AE56/range*(2^resolution-1)</f>
        <v>0</v>
      </c>
      <c r="AF56" s="28">
        <f>data2!AF56/range*(2^resolution-1)</f>
        <v>0</v>
      </c>
      <c r="AG56" s="28">
        <f>data2!AG56/range*(2^resolution-1)</f>
        <v>0</v>
      </c>
    </row>
    <row r="57" spans="1:33">
      <c r="A57" s="29">
        <f>data0!A57</f>
        <v>75</v>
      </c>
      <c r="B57" s="28">
        <f>data2!B57/range*(2^resolution-1)</f>
        <v>0</v>
      </c>
      <c r="C57" s="28">
        <f>data2!C57/range*(2^resolution-1)</f>
        <v>0</v>
      </c>
      <c r="D57" s="28">
        <f>data2!D57/range*(2^resolution-1)</f>
        <v>0</v>
      </c>
      <c r="E57" s="28">
        <f>data2!E57/range*(2^resolution-1)</f>
        <v>0</v>
      </c>
      <c r="F57" s="28">
        <f>data2!F57/range*(2^resolution-1)</f>
        <v>0</v>
      </c>
      <c r="G57" s="28">
        <f>data2!G57/range*(2^resolution-1)</f>
        <v>0</v>
      </c>
      <c r="H57" s="28">
        <f>data2!H57/range*(2^resolution-1)</f>
        <v>0</v>
      </c>
      <c r="I57" s="28">
        <f>data2!I57/range*(2^resolution-1)</f>
        <v>0</v>
      </c>
      <c r="J57" s="28">
        <f>data2!J57/range*(2^resolution-1)</f>
        <v>0</v>
      </c>
      <c r="K57" s="28">
        <f>data2!K57/range*(2^resolution-1)</f>
        <v>0</v>
      </c>
      <c r="L57" s="28">
        <f>data2!L57/range*(2^resolution-1)</f>
        <v>0</v>
      </c>
      <c r="M57" s="28">
        <f>data2!M57/range*(2^resolution-1)</f>
        <v>0</v>
      </c>
      <c r="N57" s="28">
        <f>data2!N57/range*(2^resolution-1)</f>
        <v>0</v>
      </c>
      <c r="O57" s="28">
        <f>data2!O57/range*(2^resolution-1)</f>
        <v>0</v>
      </c>
      <c r="P57" s="28">
        <f>data2!P57/range*(2^resolution-1)</f>
        <v>0</v>
      </c>
      <c r="Q57" s="28">
        <f>data2!Q57/range*(2^resolution-1)</f>
        <v>0</v>
      </c>
      <c r="R57" s="28">
        <f>data2!R57/range*(2^resolution-1)</f>
        <v>0</v>
      </c>
      <c r="S57" s="28">
        <f>data2!S57/range*(2^resolution-1)</f>
        <v>0</v>
      </c>
      <c r="T57" s="28">
        <f>data2!T57/range*(2^resolution-1)</f>
        <v>0</v>
      </c>
      <c r="U57" s="28">
        <f>data2!U57/range*(2^resolution-1)</f>
        <v>0</v>
      </c>
      <c r="V57" s="28">
        <f>data2!V57/range*(2^resolution-1)</f>
        <v>0</v>
      </c>
      <c r="W57" s="28">
        <f>data2!W57/range*(2^resolution-1)</f>
        <v>0</v>
      </c>
      <c r="X57" s="28">
        <f>data2!X57/range*(2^resolution-1)</f>
        <v>0</v>
      </c>
      <c r="Y57" s="28">
        <f>data2!Y57/range*(2^resolution-1)</f>
        <v>0</v>
      </c>
      <c r="Z57" s="28">
        <f>data2!Z57/range*(2^resolution-1)</f>
        <v>0</v>
      </c>
      <c r="AA57" s="28">
        <f>data2!AA57/range*(2^resolution-1)</f>
        <v>0</v>
      </c>
      <c r="AB57" s="28">
        <f>data2!AB57/range*(2^resolution-1)</f>
        <v>0</v>
      </c>
      <c r="AC57" s="28">
        <f>data2!AC57/range*(2^resolution-1)</f>
        <v>0</v>
      </c>
      <c r="AD57" s="28">
        <f>data2!AD57/range*(2^resolution-1)</f>
        <v>0</v>
      </c>
      <c r="AE57" s="28">
        <f>data2!AE57/range*(2^resolution-1)</f>
        <v>0</v>
      </c>
      <c r="AF57" s="28">
        <f>data2!AF57/range*(2^resolution-1)</f>
        <v>0</v>
      </c>
      <c r="AG57" s="28">
        <f>data2!AG57/range*(2^resolution-1)</f>
        <v>0</v>
      </c>
    </row>
    <row r="58" spans="1:33">
      <c r="A58" s="29">
        <f>data0!A58</f>
        <v>78</v>
      </c>
      <c r="B58" s="28">
        <f>data2!B58/range*(2^resolution-1)</f>
        <v>0</v>
      </c>
      <c r="C58" s="28">
        <f>data2!C58/range*(2^resolution-1)</f>
        <v>0</v>
      </c>
      <c r="D58" s="28">
        <f>data2!D58/range*(2^resolution-1)</f>
        <v>0</v>
      </c>
      <c r="E58" s="28">
        <f>data2!E58/range*(2^resolution-1)</f>
        <v>0</v>
      </c>
      <c r="F58" s="28">
        <f>data2!F58/range*(2^resolution-1)</f>
        <v>0</v>
      </c>
      <c r="G58" s="28">
        <f>data2!G58/range*(2^resolution-1)</f>
        <v>0</v>
      </c>
      <c r="H58" s="28">
        <f>data2!H58/range*(2^resolution-1)</f>
        <v>0</v>
      </c>
      <c r="I58" s="28">
        <f>data2!I58/range*(2^resolution-1)</f>
        <v>0</v>
      </c>
      <c r="J58" s="28">
        <f>data2!J58/range*(2^resolution-1)</f>
        <v>0</v>
      </c>
      <c r="K58" s="28">
        <f>data2!K58/range*(2^resolution-1)</f>
        <v>0</v>
      </c>
      <c r="L58" s="28">
        <f>data2!L58/range*(2^resolution-1)</f>
        <v>0</v>
      </c>
      <c r="M58" s="28">
        <f>data2!M58/range*(2^resolution-1)</f>
        <v>0</v>
      </c>
      <c r="N58" s="28">
        <f>data2!N58/range*(2^resolution-1)</f>
        <v>0</v>
      </c>
      <c r="O58" s="28">
        <f>data2!O58/range*(2^resolution-1)</f>
        <v>0</v>
      </c>
      <c r="P58" s="28">
        <f>data2!P58/range*(2^resolution-1)</f>
        <v>0</v>
      </c>
      <c r="Q58" s="28">
        <f>data2!Q58/range*(2^resolution-1)</f>
        <v>0</v>
      </c>
      <c r="R58" s="28">
        <f>data2!R58/range*(2^resolution-1)</f>
        <v>0</v>
      </c>
      <c r="S58" s="28">
        <f>data2!S58/range*(2^resolution-1)</f>
        <v>0</v>
      </c>
      <c r="T58" s="28">
        <f>data2!T58/range*(2^resolution-1)</f>
        <v>0</v>
      </c>
      <c r="U58" s="28">
        <f>data2!U58/range*(2^resolution-1)</f>
        <v>0</v>
      </c>
      <c r="V58" s="28">
        <f>data2!V58/range*(2^resolution-1)</f>
        <v>0</v>
      </c>
      <c r="W58" s="28">
        <f>data2!W58/range*(2^resolution-1)</f>
        <v>0</v>
      </c>
      <c r="X58" s="28">
        <f>data2!X58/range*(2^resolution-1)</f>
        <v>0</v>
      </c>
      <c r="Y58" s="28">
        <f>data2!Y58/range*(2^resolution-1)</f>
        <v>0</v>
      </c>
      <c r="Z58" s="28">
        <f>data2!Z58/range*(2^resolution-1)</f>
        <v>0</v>
      </c>
      <c r="AA58" s="28">
        <f>data2!AA58/range*(2^resolution-1)</f>
        <v>0</v>
      </c>
      <c r="AB58" s="28">
        <f>data2!AB58/range*(2^resolution-1)</f>
        <v>0</v>
      </c>
      <c r="AC58" s="28">
        <f>data2!AC58/range*(2^resolution-1)</f>
        <v>0</v>
      </c>
      <c r="AD58" s="28">
        <f>data2!AD58/range*(2^resolution-1)</f>
        <v>0</v>
      </c>
      <c r="AE58" s="28">
        <f>data2!AE58/range*(2^resolution-1)</f>
        <v>0</v>
      </c>
      <c r="AF58" s="28">
        <f>data2!AF58/range*(2^resolution-1)</f>
        <v>0</v>
      </c>
      <c r="AG58" s="28">
        <f>data2!AG58/range*(2^resolution-1)</f>
        <v>0</v>
      </c>
    </row>
    <row r="59" spans="1:33">
      <c r="A59" s="29">
        <f>data0!A59</f>
        <v>81</v>
      </c>
      <c r="B59" s="28">
        <f>data2!B59/range*(2^resolution-1)</f>
        <v>0</v>
      </c>
      <c r="C59" s="28">
        <f>data2!C59/range*(2^resolution-1)</f>
        <v>0</v>
      </c>
      <c r="D59" s="28">
        <f>data2!D59/range*(2^resolution-1)</f>
        <v>0</v>
      </c>
      <c r="E59" s="28">
        <f>data2!E59/range*(2^resolution-1)</f>
        <v>0</v>
      </c>
      <c r="F59" s="28">
        <f>data2!F59/range*(2^resolution-1)</f>
        <v>0</v>
      </c>
      <c r="G59" s="28">
        <f>data2!G59/range*(2^resolution-1)</f>
        <v>0</v>
      </c>
      <c r="H59" s="28">
        <f>data2!H59/range*(2^resolution-1)</f>
        <v>0</v>
      </c>
      <c r="I59" s="28">
        <f>data2!I59/range*(2^resolution-1)</f>
        <v>0</v>
      </c>
      <c r="J59" s="28">
        <f>data2!J59/range*(2^resolution-1)</f>
        <v>0</v>
      </c>
      <c r="K59" s="28">
        <f>data2!K59/range*(2^resolution-1)</f>
        <v>0</v>
      </c>
      <c r="L59" s="28">
        <f>data2!L59/range*(2^resolution-1)</f>
        <v>0</v>
      </c>
      <c r="M59" s="28">
        <f>data2!M59/range*(2^resolution-1)</f>
        <v>0</v>
      </c>
      <c r="N59" s="28">
        <f>data2!N59/range*(2^resolution-1)</f>
        <v>0</v>
      </c>
      <c r="O59" s="28">
        <f>data2!O59/range*(2^resolution-1)</f>
        <v>0</v>
      </c>
      <c r="P59" s="28">
        <f>data2!P59/range*(2^resolution-1)</f>
        <v>0</v>
      </c>
      <c r="Q59" s="28">
        <f>data2!Q59/range*(2^resolution-1)</f>
        <v>0</v>
      </c>
      <c r="R59" s="28">
        <f>data2!R59/range*(2^resolution-1)</f>
        <v>0</v>
      </c>
      <c r="S59" s="28">
        <f>data2!S59/range*(2^resolution-1)</f>
        <v>0</v>
      </c>
      <c r="T59" s="28">
        <f>data2!T59/range*(2^resolution-1)</f>
        <v>0</v>
      </c>
      <c r="U59" s="28">
        <f>data2!U59/range*(2^resolution-1)</f>
        <v>0</v>
      </c>
      <c r="V59" s="28">
        <f>data2!V59/range*(2^resolution-1)</f>
        <v>0</v>
      </c>
      <c r="W59" s="28">
        <f>data2!W59/range*(2^resolution-1)</f>
        <v>0</v>
      </c>
      <c r="X59" s="28">
        <f>data2!X59/range*(2^resolution-1)</f>
        <v>0</v>
      </c>
      <c r="Y59" s="28">
        <f>data2!Y59/range*(2^resolution-1)</f>
        <v>0</v>
      </c>
      <c r="Z59" s="28">
        <f>data2!Z59/range*(2^resolution-1)</f>
        <v>0</v>
      </c>
      <c r="AA59" s="28">
        <f>data2!AA59/range*(2^resolution-1)</f>
        <v>0</v>
      </c>
      <c r="AB59" s="28">
        <f>data2!AB59/range*(2^resolution-1)</f>
        <v>0</v>
      </c>
      <c r="AC59" s="28">
        <f>data2!AC59/range*(2^resolution-1)</f>
        <v>0</v>
      </c>
      <c r="AD59" s="28">
        <f>data2!AD59/range*(2^resolution-1)</f>
        <v>0</v>
      </c>
      <c r="AE59" s="28">
        <f>data2!AE59/range*(2^resolution-1)</f>
        <v>0</v>
      </c>
      <c r="AF59" s="28">
        <f>data2!AF59/range*(2^resolution-1)</f>
        <v>0</v>
      </c>
      <c r="AG59" s="28">
        <f>data2!AG59/range*(2^resolution-1)</f>
        <v>0</v>
      </c>
    </row>
    <row r="60" spans="1:33">
      <c r="A60" s="29">
        <f>data0!A60</f>
        <v>84</v>
      </c>
      <c r="B60" s="28">
        <f>data2!B60/range*(2^resolution-1)</f>
        <v>0</v>
      </c>
      <c r="C60" s="28">
        <f>data2!C60/range*(2^resolution-1)</f>
        <v>0</v>
      </c>
      <c r="D60" s="28">
        <f>data2!D60/range*(2^resolution-1)</f>
        <v>0</v>
      </c>
      <c r="E60" s="28">
        <f>data2!E60/range*(2^resolution-1)</f>
        <v>0</v>
      </c>
      <c r="F60" s="28">
        <f>data2!F60/range*(2^resolution-1)</f>
        <v>0</v>
      </c>
      <c r="G60" s="28">
        <f>data2!G60/range*(2^resolution-1)</f>
        <v>0</v>
      </c>
      <c r="H60" s="28">
        <f>data2!H60/range*(2^resolution-1)</f>
        <v>0</v>
      </c>
      <c r="I60" s="28">
        <f>data2!I60/range*(2^resolution-1)</f>
        <v>0</v>
      </c>
      <c r="J60" s="28">
        <f>data2!J60/range*(2^resolution-1)</f>
        <v>0</v>
      </c>
      <c r="K60" s="28">
        <f>data2!K60/range*(2^resolution-1)</f>
        <v>0</v>
      </c>
      <c r="L60" s="28">
        <f>data2!L60/range*(2^resolution-1)</f>
        <v>0</v>
      </c>
      <c r="M60" s="28">
        <f>data2!M60/range*(2^resolution-1)</f>
        <v>0</v>
      </c>
      <c r="N60" s="28">
        <f>data2!N60/range*(2^resolution-1)</f>
        <v>0</v>
      </c>
      <c r="O60" s="28">
        <f>data2!O60/range*(2^resolution-1)</f>
        <v>0</v>
      </c>
      <c r="P60" s="28">
        <f>data2!P60/range*(2^resolution-1)</f>
        <v>0</v>
      </c>
      <c r="Q60" s="28">
        <f>data2!Q60/range*(2^resolution-1)</f>
        <v>0</v>
      </c>
      <c r="R60" s="28">
        <f>data2!R60/range*(2^resolution-1)</f>
        <v>0</v>
      </c>
      <c r="S60" s="28">
        <f>data2!S60/range*(2^resolution-1)</f>
        <v>0</v>
      </c>
      <c r="T60" s="28">
        <f>data2!T60/range*(2^resolution-1)</f>
        <v>0</v>
      </c>
      <c r="U60" s="28">
        <f>data2!U60/range*(2^resolution-1)</f>
        <v>0</v>
      </c>
      <c r="V60" s="28">
        <f>data2!V60/range*(2^resolution-1)</f>
        <v>0</v>
      </c>
      <c r="W60" s="28">
        <f>data2!W60/range*(2^resolution-1)</f>
        <v>0</v>
      </c>
      <c r="X60" s="28">
        <f>data2!X60/range*(2^resolution-1)</f>
        <v>0</v>
      </c>
      <c r="Y60" s="28">
        <f>data2!Y60/range*(2^resolution-1)</f>
        <v>0</v>
      </c>
      <c r="Z60" s="28">
        <f>data2!Z60/range*(2^resolution-1)</f>
        <v>0</v>
      </c>
      <c r="AA60" s="28">
        <f>data2!AA60/range*(2^resolution-1)</f>
        <v>0</v>
      </c>
      <c r="AB60" s="28">
        <f>data2!AB60/range*(2^resolution-1)</f>
        <v>0</v>
      </c>
      <c r="AC60" s="28">
        <f>data2!AC60/range*(2^resolution-1)</f>
        <v>0</v>
      </c>
      <c r="AD60" s="28">
        <f>data2!AD60/range*(2^resolution-1)</f>
        <v>0</v>
      </c>
      <c r="AE60" s="28">
        <f>data2!AE60/range*(2^resolution-1)</f>
        <v>0</v>
      </c>
      <c r="AF60" s="28">
        <f>data2!AF60/range*(2^resolution-1)</f>
        <v>0</v>
      </c>
      <c r="AG60" s="28">
        <f>data2!AG60/range*(2^resolution-1)</f>
        <v>0</v>
      </c>
    </row>
    <row r="61" spans="1:33">
      <c r="A61" s="29">
        <f>data0!A61</f>
        <v>87</v>
      </c>
      <c r="B61" s="28">
        <f>data2!B61/range*(2^resolution-1)</f>
        <v>0</v>
      </c>
      <c r="C61" s="28">
        <f>data2!C61/range*(2^resolution-1)</f>
        <v>0</v>
      </c>
      <c r="D61" s="28">
        <f>data2!D61/range*(2^resolution-1)</f>
        <v>0</v>
      </c>
      <c r="E61" s="28">
        <f>data2!E61/range*(2^resolution-1)</f>
        <v>0</v>
      </c>
      <c r="F61" s="28">
        <f>data2!F61/range*(2^resolution-1)</f>
        <v>0</v>
      </c>
      <c r="G61" s="28">
        <f>data2!G61/range*(2^resolution-1)</f>
        <v>0</v>
      </c>
      <c r="H61" s="28">
        <f>data2!H61/range*(2^resolution-1)</f>
        <v>0</v>
      </c>
      <c r="I61" s="28">
        <f>data2!I61/range*(2^resolution-1)</f>
        <v>0</v>
      </c>
      <c r="J61" s="28">
        <f>data2!J61/range*(2^resolution-1)</f>
        <v>0</v>
      </c>
      <c r="K61" s="28">
        <f>data2!K61/range*(2^resolution-1)</f>
        <v>0</v>
      </c>
      <c r="L61" s="28">
        <f>data2!L61/range*(2^resolution-1)</f>
        <v>0</v>
      </c>
      <c r="M61" s="28">
        <f>data2!M61/range*(2^resolution-1)</f>
        <v>0</v>
      </c>
      <c r="N61" s="28">
        <f>data2!N61/range*(2^resolution-1)</f>
        <v>0</v>
      </c>
      <c r="O61" s="28">
        <f>data2!O61/range*(2^resolution-1)</f>
        <v>0</v>
      </c>
      <c r="P61" s="28">
        <f>data2!P61/range*(2^resolution-1)</f>
        <v>0</v>
      </c>
      <c r="Q61" s="28">
        <f>data2!Q61/range*(2^resolution-1)</f>
        <v>0</v>
      </c>
      <c r="R61" s="28">
        <f>data2!R61/range*(2^resolution-1)</f>
        <v>0</v>
      </c>
      <c r="S61" s="28">
        <f>data2!S61/range*(2^resolution-1)</f>
        <v>0</v>
      </c>
      <c r="T61" s="28">
        <f>data2!T61/range*(2^resolution-1)</f>
        <v>0</v>
      </c>
      <c r="U61" s="28">
        <f>data2!U61/range*(2^resolution-1)</f>
        <v>0</v>
      </c>
      <c r="V61" s="28">
        <f>data2!V61/range*(2^resolution-1)</f>
        <v>0</v>
      </c>
      <c r="W61" s="28">
        <f>data2!W61/range*(2^resolution-1)</f>
        <v>0</v>
      </c>
      <c r="X61" s="28">
        <f>data2!X61/range*(2^resolution-1)</f>
        <v>0</v>
      </c>
      <c r="Y61" s="28">
        <f>data2!Y61/range*(2^resolution-1)</f>
        <v>0</v>
      </c>
      <c r="Z61" s="28">
        <f>data2!Z61/range*(2^resolution-1)</f>
        <v>0</v>
      </c>
      <c r="AA61" s="28">
        <f>data2!AA61/range*(2^resolution-1)</f>
        <v>0</v>
      </c>
      <c r="AB61" s="28">
        <f>data2!AB61/range*(2^resolution-1)</f>
        <v>0</v>
      </c>
      <c r="AC61" s="28">
        <f>data2!AC61/range*(2^resolution-1)</f>
        <v>0</v>
      </c>
      <c r="AD61" s="28">
        <f>data2!AD61/range*(2^resolution-1)</f>
        <v>0</v>
      </c>
      <c r="AE61" s="28">
        <f>data2!AE61/range*(2^resolution-1)</f>
        <v>0</v>
      </c>
      <c r="AF61" s="28">
        <f>data2!AF61/range*(2^resolution-1)</f>
        <v>0</v>
      </c>
      <c r="AG61" s="28">
        <f>data2!AG61/range*(2^resolution-1)</f>
        <v>0</v>
      </c>
    </row>
    <row r="62" spans="1:33">
      <c r="A62" s="29">
        <f>data0!A62</f>
        <v>90</v>
      </c>
      <c r="B62" s="28">
        <f>data2!B62/range*(2^resolution-1)</f>
        <v>0</v>
      </c>
      <c r="C62" s="28">
        <f>data2!C62/range*(2^resolution-1)</f>
        <v>0</v>
      </c>
      <c r="D62" s="28">
        <f>data2!D62/range*(2^resolution-1)</f>
        <v>0</v>
      </c>
      <c r="E62" s="28">
        <f>data2!E62/range*(2^resolution-1)</f>
        <v>0</v>
      </c>
      <c r="F62" s="28">
        <f>data2!F62/range*(2^resolution-1)</f>
        <v>0</v>
      </c>
      <c r="G62" s="28">
        <f>data2!G62/range*(2^resolution-1)</f>
        <v>0</v>
      </c>
      <c r="H62" s="28">
        <f>data2!H62/range*(2^resolution-1)</f>
        <v>0</v>
      </c>
      <c r="I62" s="28">
        <f>data2!I62/range*(2^resolution-1)</f>
        <v>0</v>
      </c>
      <c r="J62" s="28">
        <f>data2!J62/range*(2^resolution-1)</f>
        <v>0</v>
      </c>
      <c r="K62" s="28">
        <f>data2!K62/range*(2^resolution-1)</f>
        <v>0</v>
      </c>
      <c r="L62" s="28">
        <f>data2!L62/range*(2^resolution-1)</f>
        <v>0</v>
      </c>
      <c r="M62" s="28">
        <f>data2!M62/range*(2^resolution-1)</f>
        <v>0</v>
      </c>
      <c r="N62" s="28">
        <f>data2!N62/range*(2^resolution-1)</f>
        <v>0</v>
      </c>
      <c r="O62" s="28">
        <f>data2!O62/range*(2^resolution-1)</f>
        <v>0</v>
      </c>
      <c r="P62" s="28">
        <f>data2!P62/range*(2^resolution-1)</f>
        <v>0</v>
      </c>
      <c r="Q62" s="28">
        <f>data2!Q62/range*(2^resolution-1)</f>
        <v>0</v>
      </c>
      <c r="R62" s="28">
        <f>data2!R62/range*(2^resolution-1)</f>
        <v>0</v>
      </c>
      <c r="S62" s="28">
        <f>data2!S62/range*(2^resolution-1)</f>
        <v>0</v>
      </c>
      <c r="T62" s="28">
        <f>data2!T62/range*(2^resolution-1)</f>
        <v>0</v>
      </c>
      <c r="U62" s="28">
        <f>data2!U62/range*(2^resolution-1)</f>
        <v>0</v>
      </c>
      <c r="V62" s="28">
        <f>data2!V62/range*(2^resolution-1)</f>
        <v>0</v>
      </c>
      <c r="W62" s="28">
        <f>data2!W62/range*(2^resolution-1)</f>
        <v>0</v>
      </c>
      <c r="X62" s="28">
        <f>data2!X62/range*(2^resolution-1)</f>
        <v>0</v>
      </c>
      <c r="Y62" s="28">
        <f>data2!Y62/range*(2^resolution-1)</f>
        <v>0</v>
      </c>
      <c r="Z62" s="28">
        <f>data2!Z62/range*(2^resolution-1)</f>
        <v>0</v>
      </c>
      <c r="AA62" s="28">
        <f>data2!AA62/range*(2^resolution-1)</f>
        <v>0</v>
      </c>
      <c r="AB62" s="28">
        <f>data2!AB62/range*(2^resolution-1)</f>
        <v>0</v>
      </c>
      <c r="AC62" s="28">
        <f>data2!AC62/range*(2^resolution-1)</f>
        <v>0</v>
      </c>
      <c r="AD62" s="28">
        <f>data2!AD62/range*(2^resolution-1)</f>
        <v>0</v>
      </c>
      <c r="AE62" s="28">
        <f>data2!AE62/range*(2^resolution-1)</f>
        <v>0</v>
      </c>
      <c r="AF62" s="28">
        <f>data2!AF62/range*(2^resolution-1)</f>
        <v>0</v>
      </c>
      <c r="AG62" s="28">
        <f>data2!AG62/range*(2^resolution-1)</f>
        <v>0</v>
      </c>
    </row>
    <row r="63" spans="1:33"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</row>
    <row r="64" spans="1:33"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</row>
    <row r="65" spans="2:33"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</row>
    <row r="66" spans="2:33"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</row>
    <row r="67" spans="2:33"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</row>
    <row r="68" spans="2:33"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</row>
    <row r="69" spans="2:33"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</row>
    <row r="70" spans="2:33"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</row>
    <row r="71" spans="2:33"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</row>
    <row r="72" spans="2:33"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</row>
    <row r="73" spans="2:33"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</row>
    <row r="74" spans="2:33"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</row>
    <row r="75" spans="2:33"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</row>
    <row r="76" spans="2:33"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</row>
    <row r="77" spans="2:33"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</row>
    <row r="78" spans="2:33"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</row>
    <row r="79" spans="2:33"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</row>
    <row r="80" spans="2:33"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</row>
    <row r="81" spans="2:33"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</row>
    <row r="82" spans="2:33"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</row>
    <row r="83" spans="2:33"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</row>
    <row r="84" spans="2:33"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</row>
    <row r="85" spans="2:33"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</row>
    <row r="86" spans="2:33"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</row>
    <row r="87" spans="2:33"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</row>
    <row r="88" spans="2:33"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</row>
    <row r="89" spans="2:33"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</row>
    <row r="90" spans="2:33"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</row>
    <row r="91" spans="2:33"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</row>
    <row r="92" spans="2:33"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</row>
    <row r="93" spans="2:33"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</row>
    <row r="94" spans="2:33"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</row>
    <row r="95" spans="2:33"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</row>
    <row r="96" spans="2:33"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</row>
    <row r="97" spans="2:33"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</row>
    <row r="98" spans="2:33"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</row>
    <row r="99" spans="2:33"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</row>
    <row r="100" spans="2:33"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</row>
    <row r="101" spans="2:33"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</row>
    <row r="102" spans="2:33"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</row>
    <row r="103" spans="2:33"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</row>
    <row r="104" spans="2:33"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</row>
    <row r="105" spans="2:33"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</row>
    <row r="106" spans="2:33"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</row>
    <row r="107" spans="2:33"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</row>
    <row r="108" spans="2:33"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</row>
    <row r="109" spans="2:33"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</row>
    <row r="110" spans="2:33"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</row>
    <row r="111" spans="2:33"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</row>
    <row r="112" spans="2:33"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</row>
    <row r="113" spans="2:33"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</row>
    <row r="114" spans="2:33"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</row>
    <row r="115" spans="2:33"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</row>
    <row r="116" spans="2:33"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</row>
    <row r="117" spans="2:33"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</row>
    <row r="118" spans="2:33"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</row>
    <row r="119" spans="2:33"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</row>
    <row r="120" spans="2:33"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</row>
    <row r="121" spans="2:33"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</row>
    <row r="122" spans="2:33"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</row>
    <row r="123" spans="2:33"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</row>
    <row r="124" spans="2:33"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</row>
    <row r="125" spans="2:33"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</row>
    <row r="126" spans="2:33"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</row>
    <row r="127" spans="2:33"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</row>
    <row r="128" spans="2:33"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</row>
    <row r="129" spans="2:33"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</row>
    <row r="130" spans="2:33"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</row>
    <row r="131" spans="2:33"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</row>
    <row r="132" spans="2:33"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</row>
    <row r="133" spans="2:33"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</row>
    <row r="134" spans="2:33"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</row>
    <row r="135" spans="2:33"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</row>
    <row r="136" spans="2:33"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</row>
    <row r="137" spans="2:33"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</row>
    <row r="138" spans="2:33"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</row>
    <row r="139" spans="2:33"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</row>
    <row r="140" spans="2:33"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</row>
    <row r="141" spans="2:33"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</row>
    <row r="142" spans="2:33"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</row>
    <row r="143" spans="2:33"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</row>
    <row r="144" spans="2:33"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</row>
    <row r="145" spans="2:33"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</row>
    <row r="146" spans="2:33"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</row>
    <row r="147" spans="2:33"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</row>
    <row r="148" spans="2:33"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</row>
    <row r="149" spans="2:33"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</row>
    <row r="150" spans="2:33"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</row>
    <row r="151" spans="2:33"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</row>
    <row r="152" spans="2:33"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</row>
    <row r="153" spans="2:33"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</row>
    <row r="154" spans="2:33"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</row>
    <row r="155" spans="2:33"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</row>
    <row r="156" spans="2:33"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</row>
    <row r="157" spans="2:33"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</row>
    <row r="158" spans="2:33"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</row>
    <row r="159" spans="2:33"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</row>
    <row r="160" spans="2:33"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</row>
    <row r="161" spans="2:33"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</row>
    <row r="162" spans="2:33"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</row>
    <row r="163" spans="2:33"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</row>
    <row r="164" spans="2:33"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</row>
    <row r="165" spans="2:33"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</row>
    <row r="166" spans="2:33"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</row>
    <row r="167" spans="2:33"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</row>
    <row r="168" spans="2:33"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</row>
    <row r="169" spans="2:33"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</row>
    <row r="170" spans="2:33"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</row>
    <row r="171" spans="2:33"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</row>
    <row r="172" spans="2:33"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</row>
    <row r="173" spans="2:33"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</row>
    <row r="174" spans="2:33"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</row>
    <row r="175" spans="2:33"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</row>
    <row r="176" spans="2:33"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</row>
    <row r="177" spans="2:33"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</row>
    <row r="178" spans="2:33"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</row>
    <row r="179" spans="2:33"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</row>
    <row r="180" spans="2:33"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</row>
    <row r="181" spans="2:33"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</row>
    <row r="182" spans="2:33"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AG182"/>
  <sheetViews>
    <sheetView zoomScale="80" zoomScaleNormal="80" workbookViewId="0">
      <pane ySplit="8580" topLeftCell="A178"/>
      <selection sqref="A1:XFD1048576"/>
      <selection pane="bottomLeft" activeCell="AI183" sqref="AI183"/>
    </sheetView>
  </sheetViews>
  <sheetFormatPr defaultColWidth="7.140625" defaultRowHeight="15"/>
  <cols>
    <col min="1" max="1" width="4.140625" style="29" bestFit="1" customWidth="1"/>
    <col min="2" max="6" width="6.5703125" style="29" bestFit="1" customWidth="1"/>
    <col min="7" max="7" width="2.28515625" style="29" bestFit="1" customWidth="1"/>
    <col min="8" max="22" width="6.5703125" style="29" bestFit="1" customWidth="1"/>
    <col min="23" max="23" width="3.42578125" style="29" bestFit="1" customWidth="1"/>
    <col min="24" max="33" width="6.5703125" style="29" bestFit="1" customWidth="1"/>
    <col min="34" max="16384" width="7.140625" style="29"/>
  </cols>
  <sheetData>
    <row r="1" spans="1:33">
      <c r="B1" s="29">
        <f>data0!B1</f>
        <v>0</v>
      </c>
      <c r="C1" s="29">
        <f>data0!C1</f>
        <v>1</v>
      </c>
      <c r="D1" s="29">
        <f>data0!D1</f>
        <v>2</v>
      </c>
      <c r="E1" s="29">
        <f>data0!E1</f>
        <v>3</v>
      </c>
      <c r="F1" s="29">
        <f>data0!F1</f>
        <v>4</v>
      </c>
      <c r="G1" s="29">
        <f>data0!G1</f>
        <v>5</v>
      </c>
      <c r="H1" s="29">
        <f>data0!H1</f>
        <v>6</v>
      </c>
      <c r="I1" s="29">
        <f>data0!I1</f>
        <v>7</v>
      </c>
      <c r="J1" s="29">
        <f>data0!J1</f>
        <v>8</v>
      </c>
      <c r="K1" s="29">
        <f>data0!K1</f>
        <v>9</v>
      </c>
      <c r="L1" s="29">
        <f>data0!L1</f>
        <v>10</v>
      </c>
      <c r="M1" s="29">
        <f>data0!M1</f>
        <v>11</v>
      </c>
      <c r="N1" s="29">
        <f>data0!N1</f>
        <v>12</v>
      </c>
      <c r="O1" s="29">
        <f>data0!O1</f>
        <v>13</v>
      </c>
      <c r="P1" s="29">
        <f>data0!P1</f>
        <v>14</v>
      </c>
      <c r="Q1" s="29">
        <f>data0!Q1</f>
        <v>15</v>
      </c>
      <c r="R1" s="29">
        <f>data0!R1</f>
        <v>16</v>
      </c>
      <c r="S1" s="29">
        <f>data0!S1</f>
        <v>17</v>
      </c>
      <c r="T1" s="29">
        <f>data0!T1</f>
        <v>18</v>
      </c>
      <c r="U1" s="29">
        <f>data0!U1</f>
        <v>19</v>
      </c>
      <c r="V1" s="29">
        <f>data0!V1</f>
        <v>20</v>
      </c>
      <c r="W1" s="29">
        <f>data0!W1</f>
        <v>21</v>
      </c>
      <c r="X1" s="29">
        <f>data0!X1</f>
        <v>22</v>
      </c>
      <c r="Y1" s="29">
        <f>data0!Y1</f>
        <v>23</v>
      </c>
      <c r="Z1" s="29">
        <f>data0!Z1</f>
        <v>24</v>
      </c>
      <c r="AA1" s="29">
        <f>data0!AA1</f>
        <v>25</v>
      </c>
      <c r="AB1" s="29">
        <f>data0!AB1</f>
        <v>26</v>
      </c>
      <c r="AC1" s="29">
        <f>data0!AC1</f>
        <v>27</v>
      </c>
      <c r="AD1" s="29">
        <f>data0!AD1</f>
        <v>28</v>
      </c>
      <c r="AE1" s="29">
        <f>data0!AE1</f>
        <v>29</v>
      </c>
      <c r="AF1" s="29">
        <f>data0!AF1</f>
        <v>30</v>
      </c>
      <c r="AG1" s="29">
        <f>data0!AG1</f>
        <v>31</v>
      </c>
    </row>
    <row r="2" spans="1:33">
      <c r="A2" s="29">
        <f>data0!A2</f>
        <v>-90</v>
      </c>
      <c r="B2" s="28">
        <f>data3!B2/range*(2^resolution-1)</f>
        <v>0</v>
      </c>
      <c r="C2" s="28">
        <f>data3!C2/range*(2^resolution-1)</f>
        <v>0</v>
      </c>
      <c r="D2" s="28">
        <f>data3!D2/range*(2^resolution-1)</f>
        <v>0</v>
      </c>
      <c r="E2" s="28">
        <f>data3!E2/range*(2^resolution-1)</f>
        <v>0</v>
      </c>
      <c r="F2" s="28">
        <f>data3!F2/range*(2^resolution-1)</f>
        <v>0</v>
      </c>
      <c r="G2" s="28">
        <f>data3!G2/range*(2^resolution-1)</f>
        <v>0</v>
      </c>
      <c r="H2" s="28">
        <f>data3!H2/range*(2^resolution-1)</f>
        <v>0</v>
      </c>
      <c r="I2" s="28">
        <f>data3!I2/range*(2^resolution-1)</f>
        <v>0</v>
      </c>
      <c r="J2" s="28">
        <f>data3!J2/range*(2^resolution-1)</f>
        <v>0</v>
      </c>
      <c r="K2" s="28">
        <f>data3!K2/range*(2^resolution-1)</f>
        <v>0</v>
      </c>
      <c r="L2" s="28">
        <f>data3!L2/range*(2^resolution-1)</f>
        <v>0</v>
      </c>
      <c r="M2" s="28">
        <f>data3!M2/range*(2^resolution-1)</f>
        <v>0</v>
      </c>
      <c r="N2" s="28">
        <f>data3!N2/range*(2^resolution-1)</f>
        <v>0</v>
      </c>
      <c r="O2" s="28">
        <f>data3!O2/range*(2^resolution-1)</f>
        <v>0</v>
      </c>
      <c r="P2" s="28">
        <f>data3!P2/range*(2^resolution-1)</f>
        <v>0</v>
      </c>
      <c r="Q2" s="28">
        <f>data3!Q2/range*(2^resolution-1)</f>
        <v>0</v>
      </c>
      <c r="R2" s="28">
        <f>data3!R2/range*(2^resolution-1)</f>
        <v>0</v>
      </c>
      <c r="S2" s="28">
        <f>data3!S2/range*(2^resolution-1)</f>
        <v>0</v>
      </c>
      <c r="T2" s="28">
        <f>data3!T2/range*(2^resolution-1)</f>
        <v>0</v>
      </c>
      <c r="U2" s="28">
        <f>data3!U2/range*(2^resolution-1)</f>
        <v>0</v>
      </c>
      <c r="V2" s="28">
        <f>data3!V2/range*(2^resolution-1)</f>
        <v>0</v>
      </c>
      <c r="W2" s="28">
        <f>data3!W2/range*(2^resolution-1)</f>
        <v>0</v>
      </c>
      <c r="X2" s="28">
        <f>data3!X2/range*(2^resolution-1)</f>
        <v>0</v>
      </c>
      <c r="Y2" s="28">
        <f>data3!Y2/range*(2^resolution-1)</f>
        <v>0</v>
      </c>
      <c r="Z2" s="28">
        <f>data3!Z2/range*(2^resolution-1)</f>
        <v>0</v>
      </c>
      <c r="AA2" s="28">
        <f>data3!AA2/range*(2^resolution-1)</f>
        <v>0</v>
      </c>
      <c r="AB2" s="28">
        <f>data3!AB2/range*(2^resolution-1)</f>
        <v>0</v>
      </c>
      <c r="AC2" s="28">
        <f>data3!AC2/range*(2^resolution-1)</f>
        <v>0</v>
      </c>
      <c r="AD2" s="28">
        <f>data3!AD2/range*(2^resolution-1)</f>
        <v>0</v>
      </c>
      <c r="AE2" s="28">
        <f>data3!AE2/range*(2^resolution-1)</f>
        <v>0</v>
      </c>
      <c r="AF2" s="28">
        <f>data3!AF2/range*(2^resolution-1)</f>
        <v>0</v>
      </c>
      <c r="AG2" s="28">
        <f>data3!AG2/range*(2^resolution-1)</f>
        <v>0</v>
      </c>
    </row>
    <row r="3" spans="1:33">
      <c r="A3" s="29">
        <f>data0!A3</f>
        <v>-87</v>
      </c>
      <c r="B3" s="28">
        <f>data3!B3/range*(2^resolution-1)</f>
        <v>0</v>
      </c>
      <c r="C3" s="28">
        <f>data3!C3/range*(2^resolution-1)</f>
        <v>0</v>
      </c>
      <c r="D3" s="28">
        <f>data3!D3/range*(2^resolution-1)</f>
        <v>0</v>
      </c>
      <c r="E3" s="28">
        <f>data3!E3/range*(2^resolution-1)</f>
        <v>0</v>
      </c>
      <c r="F3" s="28">
        <f>data3!F3/range*(2^resolution-1)</f>
        <v>0</v>
      </c>
      <c r="G3" s="28">
        <f>data3!G3/range*(2^resolution-1)</f>
        <v>0</v>
      </c>
      <c r="H3" s="28">
        <f>data3!H3/range*(2^resolution-1)</f>
        <v>0</v>
      </c>
      <c r="I3" s="28">
        <f>data3!I3/range*(2^resolution-1)</f>
        <v>0</v>
      </c>
      <c r="J3" s="28">
        <f>data3!J3/range*(2^resolution-1)</f>
        <v>0</v>
      </c>
      <c r="K3" s="28">
        <f>data3!K3/range*(2^resolution-1)</f>
        <v>0</v>
      </c>
      <c r="L3" s="28">
        <f>data3!L3/range*(2^resolution-1)</f>
        <v>0</v>
      </c>
      <c r="M3" s="28">
        <f>data3!M3/range*(2^resolution-1)</f>
        <v>0</v>
      </c>
      <c r="N3" s="28">
        <f>data3!N3/range*(2^resolution-1)</f>
        <v>0</v>
      </c>
      <c r="O3" s="28">
        <f>data3!O3/range*(2^resolution-1)</f>
        <v>0</v>
      </c>
      <c r="P3" s="28">
        <f>data3!P3/range*(2^resolution-1)</f>
        <v>0</v>
      </c>
      <c r="Q3" s="28">
        <f>data3!Q3/range*(2^resolution-1)</f>
        <v>0</v>
      </c>
      <c r="R3" s="28">
        <f>data3!R3/range*(2^resolution-1)</f>
        <v>0</v>
      </c>
      <c r="S3" s="28">
        <f>data3!S3/range*(2^resolution-1)</f>
        <v>0</v>
      </c>
      <c r="T3" s="28">
        <f>data3!T3/range*(2^resolution-1)</f>
        <v>0</v>
      </c>
      <c r="U3" s="28">
        <f>data3!U3/range*(2^resolution-1)</f>
        <v>0</v>
      </c>
      <c r="V3" s="28">
        <f>data3!V3/range*(2^resolution-1)</f>
        <v>0</v>
      </c>
      <c r="W3" s="28">
        <f>data3!W3/range*(2^resolution-1)</f>
        <v>0</v>
      </c>
      <c r="X3" s="28">
        <f>data3!X3/range*(2^resolution-1)</f>
        <v>0</v>
      </c>
      <c r="Y3" s="28">
        <f>data3!Y3/range*(2^resolution-1)</f>
        <v>0</v>
      </c>
      <c r="Z3" s="28">
        <f>data3!Z3/range*(2^resolution-1)</f>
        <v>0</v>
      </c>
      <c r="AA3" s="28">
        <f>data3!AA3/range*(2^resolution-1)</f>
        <v>0</v>
      </c>
      <c r="AB3" s="28">
        <f>data3!AB3/range*(2^resolution-1)</f>
        <v>0</v>
      </c>
      <c r="AC3" s="28">
        <f>data3!AC3/range*(2^resolution-1)</f>
        <v>0</v>
      </c>
      <c r="AD3" s="28">
        <f>data3!AD3/range*(2^resolution-1)</f>
        <v>0</v>
      </c>
      <c r="AE3" s="28">
        <f>data3!AE3/range*(2^resolution-1)</f>
        <v>0</v>
      </c>
      <c r="AF3" s="28">
        <f>data3!AF3/range*(2^resolution-1)</f>
        <v>0</v>
      </c>
      <c r="AG3" s="28">
        <f>data3!AG3/range*(2^resolution-1)</f>
        <v>0</v>
      </c>
    </row>
    <row r="4" spans="1:33">
      <c r="A4" s="29">
        <f>data0!A4</f>
        <v>-84</v>
      </c>
      <c r="B4" s="28">
        <f>data3!B4/range*(2^resolution-1)</f>
        <v>0</v>
      </c>
      <c r="C4" s="28">
        <f>data3!C4/range*(2^resolution-1)</f>
        <v>0</v>
      </c>
      <c r="D4" s="28">
        <f>data3!D4/range*(2^resolution-1)</f>
        <v>0</v>
      </c>
      <c r="E4" s="28">
        <f>data3!E4/range*(2^resolution-1)</f>
        <v>0</v>
      </c>
      <c r="F4" s="28">
        <f>data3!F4/range*(2^resolution-1)</f>
        <v>0</v>
      </c>
      <c r="G4" s="28">
        <f>data3!G4/range*(2^resolution-1)</f>
        <v>0</v>
      </c>
      <c r="H4" s="28">
        <f>data3!H4/range*(2^resolution-1)</f>
        <v>0</v>
      </c>
      <c r="I4" s="28">
        <f>data3!I4/range*(2^resolution-1)</f>
        <v>0</v>
      </c>
      <c r="J4" s="28">
        <f>data3!J4/range*(2^resolution-1)</f>
        <v>0</v>
      </c>
      <c r="K4" s="28">
        <f>data3!K4/range*(2^resolution-1)</f>
        <v>0</v>
      </c>
      <c r="L4" s="28">
        <f>data3!L4/range*(2^resolution-1)</f>
        <v>0</v>
      </c>
      <c r="M4" s="28">
        <f>data3!M4/range*(2^resolution-1)</f>
        <v>0</v>
      </c>
      <c r="N4" s="28">
        <f>data3!N4/range*(2^resolution-1)</f>
        <v>0</v>
      </c>
      <c r="O4" s="28">
        <f>data3!O4/range*(2^resolution-1)</f>
        <v>0</v>
      </c>
      <c r="P4" s="28">
        <f>data3!P4/range*(2^resolution-1)</f>
        <v>0</v>
      </c>
      <c r="Q4" s="28">
        <f>data3!Q4/range*(2^resolution-1)</f>
        <v>0</v>
      </c>
      <c r="R4" s="28">
        <f>data3!R4/range*(2^resolution-1)</f>
        <v>0</v>
      </c>
      <c r="S4" s="28">
        <f>data3!S4/range*(2^resolution-1)</f>
        <v>0</v>
      </c>
      <c r="T4" s="28">
        <f>data3!T4/range*(2^resolution-1)</f>
        <v>0</v>
      </c>
      <c r="U4" s="28">
        <f>data3!U4/range*(2^resolution-1)</f>
        <v>0</v>
      </c>
      <c r="V4" s="28">
        <f>data3!V4/range*(2^resolution-1)</f>
        <v>0</v>
      </c>
      <c r="W4" s="28">
        <f>data3!W4/range*(2^resolution-1)</f>
        <v>0</v>
      </c>
      <c r="X4" s="28">
        <f>data3!X4/range*(2^resolution-1)</f>
        <v>0</v>
      </c>
      <c r="Y4" s="28">
        <f>data3!Y4/range*(2^resolution-1)</f>
        <v>0</v>
      </c>
      <c r="Z4" s="28">
        <f>data3!Z4/range*(2^resolution-1)</f>
        <v>0</v>
      </c>
      <c r="AA4" s="28">
        <f>data3!AA4/range*(2^resolution-1)</f>
        <v>0</v>
      </c>
      <c r="AB4" s="28">
        <f>data3!AB4/range*(2^resolution-1)</f>
        <v>0</v>
      </c>
      <c r="AC4" s="28">
        <f>data3!AC4/range*(2^resolution-1)</f>
        <v>0</v>
      </c>
      <c r="AD4" s="28">
        <f>data3!AD4/range*(2^resolution-1)</f>
        <v>0</v>
      </c>
      <c r="AE4" s="28">
        <f>data3!AE4/range*(2^resolution-1)</f>
        <v>0</v>
      </c>
      <c r="AF4" s="28">
        <f>data3!AF4/range*(2^resolution-1)</f>
        <v>0</v>
      </c>
      <c r="AG4" s="28">
        <f>data3!AG4/range*(2^resolution-1)</f>
        <v>0</v>
      </c>
    </row>
    <row r="5" spans="1:33">
      <c r="A5" s="29">
        <f>data0!A5</f>
        <v>-81</v>
      </c>
      <c r="B5" s="28">
        <f>data3!B5/range*(2^resolution-1)</f>
        <v>0</v>
      </c>
      <c r="C5" s="28">
        <f>data3!C5/range*(2^resolution-1)</f>
        <v>0</v>
      </c>
      <c r="D5" s="28">
        <f>data3!D5/range*(2^resolution-1)</f>
        <v>0</v>
      </c>
      <c r="E5" s="28">
        <f>data3!E5/range*(2^resolution-1)</f>
        <v>0</v>
      </c>
      <c r="F5" s="28">
        <f>data3!F5/range*(2^resolution-1)</f>
        <v>0</v>
      </c>
      <c r="G5" s="28">
        <f>data3!G5/range*(2^resolution-1)</f>
        <v>0</v>
      </c>
      <c r="H5" s="28">
        <f>data3!H5/range*(2^resolution-1)</f>
        <v>0</v>
      </c>
      <c r="I5" s="28">
        <f>data3!I5/range*(2^resolution-1)</f>
        <v>0</v>
      </c>
      <c r="J5" s="28">
        <f>data3!J5/range*(2^resolution-1)</f>
        <v>0</v>
      </c>
      <c r="K5" s="28">
        <f>data3!K5/range*(2^resolution-1)</f>
        <v>0</v>
      </c>
      <c r="L5" s="28">
        <f>data3!L5/range*(2^resolution-1)</f>
        <v>0</v>
      </c>
      <c r="M5" s="28">
        <f>data3!M5/range*(2^resolution-1)</f>
        <v>0</v>
      </c>
      <c r="N5" s="28">
        <f>data3!N5/range*(2^resolution-1)</f>
        <v>0</v>
      </c>
      <c r="O5" s="28">
        <f>data3!O5/range*(2^resolution-1)</f>
        <v>0</v>
      </c>
      <c r="P5" s="28">
        <f>data3!P5/range*(2^resolution-1)</f>
        <v>0</v>
      </c>
      <c r="Q5" s="28">
        <f>data3!Q5/range*(2^resolution-1)</f>
        <v>0</v>
      </c>
      <c r="R5" s="28">
        <f>data3!R5/range*(2^resolution-1)</f>
        <v>0</v>
      </c>
      <c r="S5" s="28">
        <f>data3!S5/range*(2^resolution-1)</f>
        <v>0</v>
      </c>
      <c r="T5" s="28">
        <f>data3!T5/range*(2^resolution-1)</f>
        <v>0</v>
      </c>
      <c r="U5" s="28">
        <f>data3!U5/range*(2^resolution-1)</f>
        <v>0</v>
      </c>
      <c r="V5" s="28">
        <f>data3!V5/range*(2^resolution-1)</f>
        <v>0</v>
      </c>
      <c r="W5" s="28">
        <f>data3!W5/range*(2^resolution-1)</f>
        <v>0</v>
      </c>
      <c r="X5" s="28">
        <f>data3!X5/range*(2^resolution-1)</f>
        <v>0</v>
      </c>
      <c r="Y5" s="28">
        <f>data3!Y5/range*(2^resolution-1)</f>
        <v>0</v>
      </c>
      <c r="Z5" s="28">
        <f>data3!Z5/range*(2^resolution-1)</f>
        <v>0</v>
      </c>
      <c r="AA5" s="28">
        <f>data3!AA5/range*(2^resolution-1)</f>
        <v>0</v>
      </c>
      <c r="AB5" s="28">
        <f>data3!AB5/range*(2^resolution-1)</f>
        <v>0</v>
      </c>
      <c r="AC5" s="28">
        <f>data3!AC5/range*(2^resolution-1)</f>
        <v>0</v>
      </c>
      <c r="AD5" s="28">
        <f>data3!AD5/range*(2^resolution-1)</f>
        <v>0</v>
      </c>
      <c r="AE5" s="28">
        <f>data3!AE5/range*(2^resolution-1)</f>
        <v>0</v>
      </c>
      <c r="AF5" s="28">
        <f>data3!AF5/range*(2^resolution-1)</f>
        <v>0</v>
      </c>
      <c r="AG5" s="28">
        <f>data3!AG5/range*(2^resolution-1)</f>
        <v>0</v>
      </c>
    </row>
    <row r="6" spans="1:33">
      <c r="A6" s="29">
        <f>data0!A6</f>
        <v>-78</v>
      </c>
      <c r="B6" s="28">
        <f>data3!B6/range*(2^resolution-1)</f>
        <v>0</v>
      </c>
      <c r="C6" s="28">
        <f>data3!C6/range*(2^resolution-1)</f>
        <v>0</v>
      </c>
      <c r="D6" s="28">
        <f>data3!D6/range*(2^resolution-1)</f>
        <v>0</v>
      </c>
      <c r="E6" s="28">
        <f>data3!E6/range*(2^resolution-1)</f>
        <v>0</v>
      </c>
      <c r="F6" s="28">
        <f>data3!F6/range*(2^resolution-1)</f>
        <v>0</v>
      </c>
      <c r="G6" s="28">
        <f>data3!G6/range*(2^resolution-1)</f>
        <v>0</v>
      </c>
      <c r="H6" s="28">
        <f>data3!H6/range*(2^resolution-1)</f>
        <v>0</v>
      </c>
      <c r="I6" s="28">
        <f>data3!I6/range*(2^resolution-1)</f>
        <v>0</v>
      </c>
      <c r="J6" s="28">
        <f>data3!J6/range*(2^resolution-1)</f>
        <v>0</v>
      </c>
      <c r="K6" s="28">
        <f>data3!K6/range*(2^resolution-1)</f>
        <v>0</v>
      </c>
      <c r="L6" s="28">
        <f>data3!L6/range*(2^resolution-1)</f>
        <v>0</v>
      </c>
      <c r="M6" s="28">
        <f>data3!M6/range*(2^resolution-1)</f>
        <v>0</v>
      </c>
      <c r="N6" s="28">
        <f>data3!N6/range*(2^resolution-1)</f>
        <v>0</v>
      </c>
      <c r="O6" s="28">
        <f>data3!O6/range*(2^resolution-1)</f>
        <v>0</v>
      </c>
      <c r="P6" s="28">
        <f>data3!P6/range*(2^resolution-1)</f>
        <v>0</v>
      </c>
      <c r="Q6" s="28">
        <f>data3!Q6/range*(2^resolution-1)</f>
        <v>0</v>
      </c>
      <c r="R6" s="28">
        <f>data3!R6/range*(2^resolution-1)</f>
        <v>0</v>
      </c>
      <c r="S6" s="28">
        <f>data3!S6/range*(2^resolution-1)</f>
        <v>0</v>
      </c>
      <c r="T6" s="28">
        <f>data3!T6/range*(2^resolution-1)</f>
        <v>0</v>
      </c>
      <c r="U6" s="28">
        <f>data3!U6/range*(2^resolution-1)</f>
        <v>0</v>
      </c>
      <c r="V6" s="28">
        <f>data3!V6/range*(2^resolution-1)</f>
        <v>0</v>
      </c>
      <c r="W6" s="28">
        <f>data3!W6/range*(2^resolution-1)</f>
        <v>0</v>
      </c>
      <c r="X6" s="28">
        <f>data3!X6/range*(2^resolution-1)</f>
        <v>0</v>
      </c>
      <c r="Y6" s="28">
        <f>data3!Y6/range*(2^resolution-1)</f>
        <v>0</v>
      </c>
      <c r="Z6" s="28">
        <f>data3!Z6/range*(2^resolution-1)</f>
        <v>0</v>
      </c>
      <c r="AA6" s="28">
        <f>data3!AA6/range*(2^resolution-1)</f>
        <v>0</v>
      </c>
      <c r="AB6" s="28">
        <f>data3!AB6/range*(2^resolution-1)</f>
        <v>0</v>
      </c>
      <c r="AC6" s="28">
        <f>data3!AC6/range*(2^resolution-1)</f>
        <v>0</v>
      </c>
      <c r="AD6" s="28">
        <f>data3!AD6/range*(2^resolution-1)</f>
        <v>0</v>
      </c>
      <c r="AE6" s="28">
        <f>data3!AE6/range*(2^resolution-1)</f>
        <v>0</v>
      </c>
      <c r="AF6" s="28">
        <f>data3!AF6/range*(2^resolution-1)</f>
        <v>0</v>
      </c>
      <c r="AG6" s="28">
        <f>data3!AG6/range*(2^resolution-1)</f>
        <v>0</v>
      </c>
    </row>
    <row r="7" spans="1:33">
      <c r="A7" s="29">
        <f>data0!A7</f>
        <v>-75</v>
      </c>
      <c r="B7" s="28">
        <f>data3!B7/range*(2^resolution-1)</f>
        <v>0</v>
      </c>
      <c r="C7" s="28">
        <f>data3!C7/range*(2^resolution-1)</f>
        <v>0</v>
      </c>
      <c r="D7" s="28">
        <f>data3!D7/range*(2^resolution-1)</f>
        <v>0</v>
      </c>
      <c r="E7" s="28">
        <f>data3!E7/range*(2^resolution-1)</f>
        <v>0</v>
      </c>
      <c r="F7" s="28">
        <f>data3!F7/range*(2^resolution-1)</f>
        <v>0</v>
      </c>
      <c r="G7" s="28">
        <f>data3!G7/range*(2^resolution-1)</f>
        <v>0</v>
      </c>
      <c r="H7" s="28">
        <f>data3!H7/range*(2^resolution-1)</f>
        <v>0</v>
      </c>
      <c r="I7" s="28">
        <f>data3!I7/range*(2^resolution-1)</f>
        <v>0</v>
      </c>
      <c r="J7" s="28">
        <f>data3!J7/range*(2^resolution-1)</f>
        <v>0</v>
      </c>
      <c r="K7" s="28">
        <f>data3!K7/range*(2^resolution-1)</f>
        <v>0</v>
      </c>
      <c r="L7" s="28">
        <f>data3!L7/range*(2^resolution-1)</f>
        <v>0</v>
      </c>
      <c r="M7" s="28">
        <f>data3!M7/range*(2^resolution-1)</f>
        <v>0</v>
      </c>
      <c r="N7" s="28">
        <f>data3!N7/range*(2^resolution-1)</f>
        <v>0</v>
      </c>
      <c r="O7" s="28">
        <f>data3!O7/range*(2^resolution-1)</f>
        <v>0</v>
      </c>
      <c r="P7" s="28">
        <f>data3!P7/range*(2^resolution-1)</f>
        <v>0</v>
      </c>
      <c r="Q7" s="28">
        <f>data3!Q7/range*(2^resolution-1)</f>
        <v>0</v>
      </c>
      <c r="R7" s="28">
        <f>data3!R7/range*(2^resolution-1)</f>
        <v>0</v>
      </c>
      <c r="S7" s="28">
        <f>data3!S7/range*(2^resolution-1)</f>
        <v>0</v>
      </c>
      <c r="T7" s="28">
        <f>data3!T7/range*(2^resolution-1)</f>
        <v>0</v>
      </c>
      <c r="U7" s="28">
        <f>data3!U7/range*(2^resolution-1)</f>
        <v>0</v>
      </c>
      <c r="V7" s="28">
        <f>data3!V7/range*(2^resolution-1)</f>
        <v>0</v>
      </c>
      <c r="W7" s="28">
        <f>data3!W7/range*(2^resolution-1)</f>
        <v>0</v>
      </c>
      <c r="X7" s="28">
        <f>data3!X7/range*(2^resolution-1)</f>
        <v>0</v>
      </c>
      <c r="Y7" s="28">
        <f>data3!Y7/range*(2^resolution-1)</f>
        <v>0</v>
      </c>
      <c r="Z7" s="28">
        <f>data3!Z7/range*(2^resolution-1)</f>
        <v>0</v>
      </c>
      <c r="AA7" s="28">
        <f>data3!AA7/range*(2^resolution-1)</f>
        <v>0</v>
      </c>
      <c r="AB7" s="28">
        <f>data3!AB7/range*(2^resolution-1)</f>
        <v>0</v>
      </c>
      <c r="AC7" s="28">
        <f>data3!AC7/range*(2^resolution-1)</f>
        <v>0</v>
      </c>
      <c r="AD7" s="28">
        <f>data3!AD7/range*(2^resolution-1)</f>
        <v>0</v>
      </c>
      <c r="AE7" s="28">
        <f>data3!AE7/range*(2^resolution-1)</f>
        <v>0</v>
      </c>
      <c r="AF7" s="28">
        <f>data3!AF7/range*(2^resolution-1)</f>
        <v>0</v>
      </c>
      <c r="AG7" s="28">
        <f>data3!AG7/range*(2^resolution-1)</f>
        <v>0</v>
      </c>
    </row>
    <row r="8" spans="1:33">
      <c r="A8" s="29">
        <f>data0!A8</f>
        <v>-72</v>
      </c>
      <c r="B8" s="28">
        <f>data3!B8/range*(2^resolution-1)</f>
        <v>0</v>
      </c>
      <c r="C8" s="28">
        <f>data3!C8/range*(2^resolution-1)</f>
        <v>0</v>
      </c>
      <c r="D8" s="28">
        <f>data3!D8/range*(2^resolution-1)</f>
        <v>0</v>
      </c>
      <c r="E8" s="28">
        <f>data3!E8/range*(2^resolution-1)</f>
        <v>0</v>
      </c>
      <c r="F8" s="28">
        <f>data3!F8/range*(2^resolution-1)</f>
        <v>0</v>
      </c>
      <c r="G8" s="28">
        <f>data3!G8/range*(2^resolution-1)</f>
        <v>0</v>
      </c>
      <c r="H8" s="28">
        <f>data3!H8/range*(2^resolution-1)</f>
        <v>0</v>
      </c>
      <c r="I8" s="28">
        <f>data3!I8/range*(2^resolution-1)</f>
        <v>0</v>
      </c>
      <c r="J8" s="28">
        <f>data3!J8/range*(2^resolution-1)</f>
        <v>0</v>
      </c>
      <c r="K8" s="28">
        <f>data3!K8/range*(2^resolution-1)</f>
        <v>0</v>
      </c>
      <c r="L8" s="28">
        <f>data3!L8/range*(2^resolution-1)</f>
        <v>0</v>
      </c>
      <c r="M8" s="28">
        <f>data3!M8/range*(2^resolution-1)</f>
        <v>0</v>
      </c>
      <c r="N8" s="28">
        <f>data3!N8/range*(2^resolution-1)</f>
        <v>0</v>
      </c>
      <c r="O8" s="28">
        <f>data3!O8/range*(2^resolution-1)</f>
        <v>0</v>
      </c>
      <c r="P8" s="28">
        <f>data3!P8/range*(2^resolution-1)</f>
        <v>0</v>
      </c>
      <c r="Q8" s="28">
        <f>data3!Q8/range*(2^resolution-1)</f>
        <v>0</v>
      </c>
      <c r="R8" s="28">
        <f>data3!R8/range*(2^resolution-1)</f>
        <v>0</v>
      </c>
      <c r="S8" s="28">
        <f>data3!S8/range*(2^resolution-1)</f>
        <v>0</v>
      </c>
      <c r="T8" s="28">
        <f>data3!T8/range*(2^resolution-1)</f>
        <v>0</v>
      </c>
      <c r="U8" s="28">
        <f>data3!U8/range*(2^resolution-1)</f>
        <v>0</v>
      </c>
      <c r="V8" s="28">
        <f>data3!V8/range*(2^resolution-1)</f>
        <v>0</v>
      </c>
      <c r="W8" s="28">
        <f>data3!W8/range*(2^resolution-1)</f>
        <v>0</v>
      </c>
      <c r="X8" s="28">
        <f>data3!X8/range*(2^resolution-1)</f>
        <v>0</v>
      </c>
      <c r="Y8" s="28">
        <f>data3!Y8/range*(2^resolution-1)</f>
        <v>0</v>
      </c>
      <c r="Z8" s="28">
        <f>data3!Z8/range*(2^resolution-1)</f>
        <v>0</v>
      </c>
      <c r="AA8" s="28">
        <f>data3!AA8/range*(2^resolution-1)</f>
        <v>0</v>
      </c>
      <c r="AB8" s="28">
        <f>data3!AB8/range*(2^resolution-1)</f>
        <v>0</v>
      </c>
      <c r="AC8" s="28">
        <f>data3!AC8/range*(2^resolution-1)</f>
        <v>0</v>
      </c>
      <c r="AD8" s="28">
        <f>data3!AD8/range*(2^resolution-1)</f>
        <v>0</v>
      </c>
      <c r="AE8" s="28">
        <f>data3!AE8/range*(2^resolution-1)</f>
        <v>0</v>
      </c>
      <c r="AF8" s="28">
        <f>data3!AF8/range*(2^resolution-1)</f>
        <v>0</v>
      </c>
      <c r="AG8" s="28">
        <f>data3!AG8/range*(2^resolution-1)</f>
        <v>0</v>
      </c>
    </row>
    <row r="9" spans="1:33">
      <c r="A9" s="29">
        <f>data0!A9</f>
        <v>-69</v>
      </c>
      <c r="B9" s="28">
        <f>data3!B9/range*(2^resolution-1)</f>
        <v>0</v>
      </c>
      <c r="C9" s="28">
        <f>data3!C9/range*(2^resolution-1)</f>
        <v>0</v>
      </c>
      <c r="D9" s="28">
        <f>data3!D9/range*(2^resolution-1)</f>
        <v>0</v>
      </c>
      <c r="E9" s="28">
        <f>data3!E9/range*(2^resolution-1)</f>
        <v>0</v>
      </c>
      <c r="F9" s="28">
        <f>data3!F9/range*(2^resolution-1)</f>
        <v>0</v>
      </c>
      <c r="G9" s="28">
        <f>data3!G9/range*(2^resolution-1)</f>
        <v>0</v>
      </c>
      <c r="H9" s="28">
        <f>data3!H9/range*(2^resolution-1)</f>
        <v>0</v>
      </c>
      <c r="I9" s="28">
        <f>data3!I9/range*(2^resolution-1)</f>
        <v>0</v>
      </c>
      <c r="J9" s="28">
        <f>data3!J9/range*(2^resolution-1)</f>
        <v>0</v>
      </c>
      <c r="K9" s="28">
        <f>data3!K9/range*(2^resolution-1)</f>
        <v>0</v>
      </c>
      <c r="L9" s="28">
        <f>data3!L9/range*(2^resolution-1)</f>
        <v>0</v>
      </c>
      <c r="M9" s="28">
        <f>data3!M9/range*(2^resolution-1)</f>
        <v>0</v>
      </c>
      <c r="N9" s="28">
        <f>data3!N9/range*(2^resolution-1)</f>
        <v>0</v>
      </c>
      <c r="O9" s="28">
        <f>data3!O9/range*(2^resolution-1)</f>
        <v>0</v>
      </c>
      <c r="P9" s="28">
        <f>data3!P9/range*(2^resolution-1)</f>
        <v>0</v>
      </c>
      <c r="Q9" s="28">
        <f>data3!Q9/range*(2^resolution-1)</f>
        <v>0</v>
      </c>
      <c r="R9" s="28">
        <f>data3!R9/range*(2^resolution-1)</f>
        <v>0</v>
      </c>
      <c r="S9" s="28">
        <f>data3!S9/range*(2^resolution-1)</f>
        <v>0</v>
      </c>
      <c r="T9" s="28">
        <f>data3!T9/range*(2^resolution-1)</f>
        <v>0</v>
      </c>
      <c r="U9" s="28">
        <f>data3!U9/range*(2^resolution-1)</f>
        <v>0</v>
      </c>
      <c r="V9" s="28">
        <f>data3!V9/range*(2^resolution-1)</f>
        <v>0</v>
      </c>
      <c r="W9" s="28">
        <f>data3!W9/range*(2^resolution-1)</f>
        <v>0</v>
      </c>
      <c r="X9" s="28">
        <f>data3!X9/range*(2^resolution-1)</f>
        <v>0</v>
      </c>
      <c r="Y9" s="28">
        <f>data3!Y9/range*(2^resolution-1)</f>
        <v>0</v>
      </c>
      <c r="Z9" s="28">
        <f>data3!Z9/range*(2^resolution-1)</f>
        <v>0</v>
      </c>
      <c r="AA9" s="28">
        <f>data3!AA9/range*(2^resolution-1)</f>
        <v>0</v>
      </c>
      <c r="AB9" s="28">
        <f>data3!AB9/range*(2^resolution-1)</f>
        <v>0</v>
      </c>
      <c r="AC9" s="28">
        <f>data3!AC9/range*(2^resolution-1)</f>
        <v>0</v>
      </c>
      <c r="AD9" s="28">
        <f>data3!AD9/range*(2^resolution-1)</f>
        <v>0</v>
      </c>
      <c r="AE9" s="28">
        <f>data3!AE9/range*(2^resolution-1)</f>
        <v>0</v>
      </c>
      <c r="AF9" s="28">
        <f>data3!AF9/range*(2^resolution-1)</f>
        <v>0</v>
      </c>
      <c r="AG9" s="28">
        <f>data3!AG9/range*(2^resolution-1)</f>
        <v>0</v>
      </c>
    </row>
    <row r="10" spans="1:33">
      <c r="A10" s="29">
        <f>data0!A10</f>
        <v>-66</v>
      </c>
      <c r="B10" s="28">
        <f>data3!B10/range*(2^resolution-1)</f>
        <v>0</v>
      </c>
      <c r="C10" s="28">
        <f>data3!C10/range*(2^resolution-1)</f>
        <v>0</v>
      </c>
      <c r="D10" s="28">
        <f>data3!D10/range*(2^resolution-1)</f>
        <v>0</v>
      </c>
      <c r="E10" s="28">
        <f>data3!E10/range*(2^resolution-1)</f>
        <v>0</v>
      </c>
      <c r="F10" s="28">
        <f>data3!F10/range*(2^resolution-1)</f>
        <v>0</v>
      </c>
      <c r="G10" s="28">
        <f>data3!G10/range*(2^resolution-1)</f>
        <v>0</v>
      </c>
      <c r="H10" s="28">
        <f>data3!H10/range*(2^resolution-1)</f>
        <v>0</v>
      </c>
      <c r="I10" s="28">
        <f>data3!I10/range*(2^resolution-1)</f>
        <v>0</v>
      </c>
      <c r="J10" s="28">
        <f>data3!J10/range*(2^resolution-1)</f>
        <v>0</v>
      </c>
      <c r="K10" s="28">
        <f>data3!K10/range*(2^resolution-1)</f>
        <v>0</v>
      </c>
      <c r="L10" s="28">
        <f>data3!L10/range*(2^resolution-1)</f>
        <v>0</v>
      </c>
      <c r="M10" s="28">
        <f>data3!M10/range*(2^resolution-1)</f>
        <v>0</v>
      </c>
      <c r="N10" s="28">
        <f>data3!N10/range*(2^resolution-1)</f>
        <v>0</v>
      </c>
      <c r="O10" s="28">
        <f>data3!O10/range*(2^resolution-1)</f>
        <v>0</v>
      </c>
      <c r="P10" s="28">
        <f>data3!P10/range*(2^resolution-1)</f>
        <v>0</v>
      </c>
      <c r="Q10" s="28">
        <f>data3!Q10/range*(2^resolution-1)</f>
        <v>0</v>
      </c>
      <c r="R10" s="28">
        <f>data3!R10/range*(2^resolution-1)</f>
        <v>0</v>
      </c>
      <c r="S10" s="28">
        <f>data3!S10/range*(2^resolution-1)</f>
        <v>0</v>
      </c>
      <c r="T10" s="28">
        <f>data3!T10/range*(2^resolution-1)</f>
        <v>0</v>
      </c>
      <c r="U10" s="28">
        <f>data3!U10/range*(2^resolution-1)</f>
        <v>0</v>
      </c>
      <c r="V10" s="28">
        <f>data3!V10/range*(2^resolution-1)</f>
        <v>0</v>
      </c>
      <c r="W10" s="28">
        <f>data3!W10/range*(2^resolution-1)</f>
        <v>0</v>
      </c>
      <c r="X10" s="28">
        <f>data3!X10/range*(2^resolution-1)</f>
        <v>0</v>
      </c>
      <c r="Y10" s="28">
        <f>data3!Y10/range*(2^resolution-1)</f>
        <v>0</v>
      </c>
      <c r="Z10" s="28">
        <f>data3!Z10/range*(2^resolution-1)</f>
        <v>0</v>
      </c>
      <c r="AA10" s="28">
        <f>data3!AA10/range*(2^resolution-1)</f>
        <v>0</v>
      </c>
      <c r="AB10" s="28">
        <f>data3!AB10/range*(2^resolution-1)</f>
        <v>0</v>
      </c>
      <c r="AC10" s="28">
        <f>data3!AC10/range*(2^resolution-1)</f>
        <v>0</v>
      </c>
      <c r="AD10" s="28">
        <f>data3!AD10/range*(2^resolution-1)</f>
        <v>0</v>
      </c>
      <c r="AE10" s="28">
        <f>data3!AE10/range*(2^resolution-1)</f>
        <v>0</v>
      </c>
      <c r="AF10" s="28">
        <f>data3!AF10/range*(2^resolution-1)</f>
        <v>0</v>
      </c>
      <c r="AG10" s="28">
        <f>data3!AG10/range*(2^resolution-1)</f>
        <v>0</v>
      </c>
    </row>
    <row r="11" spans="1:33">
      <c r="A11" s="29">
        <f>data0!A11</f>
        <v>-63</v>
      </c>
      <c r="B11" s="28">
        <f>data3!B11/range*(2^resolution-1)</f>
        <v>0</v>
      </c>
      <c r="C11" s="28">
        <f>data3!C11/range*(2^resolution-1)</f>
        <v>0</v>
      </c>
      <c r="D11" s="28">
        <f>data3!D11/range*(2^resolution-1)</f>
        <v>0</v>
      </c>
      <c r="E11" s="28">
        <f>data3!E11/range*(2^resolution-1)</f>
        <v>0</v>
      </c>
      <c r="F11" s="28">
        <f>data3!F11/range*(2^resolution-1)</f>
        <v>0</v>
      </c>
      <c r="G11" s="28">
        <f>data3!G11/range*(2^resolution-1)</f>
        <v>0</v>
      </c>
      <c r="H11" s="28">
        <f>data3!H11/range*(2^resolution-1)</f>
        <v>0</v>
      </c>
      <c r="I11" s="28">
        <f>data3!I11/range*(2^resolution-1)</f>
        <v>0</v>
      </c>
      <c r="J11" s="28">
        <f>data3!J11/range*(2^resolution-1)</f>
        <v>0</v>
      </c>
      <c r="K11" s="28">
        <f>data3!K11/range*(2^resolution-1)</f>
        <v>0</v>
      </c>
      <c r="L11" s="28">
        <f>data3!L11/range*(2^resolution-1)</f>
        <v>0</v>
      </c>
      <c r="M11" s="28">
        <f>data3!M11/range*(2^resolution-1)</f>
        <v>0</v>
      </c>
      <c r="N11" s="28">
        <f>data3!N11/range*(2^resolution-1)</f>
        <v>0</v>
      </c>
      <c r="O11" s="28">
        <f>data3!O11/range*(2^resolution-1)</f>
        <v>0</v>
      </c>
      <c r="P11" s="28">
        <f>data3!P11/range*(2^resolution-1)</f>
        <v>0</v>
      </c>
      <c r="Q11" s="28">
        <f>data3!Q11/range*(2^resolution-1)</f>
        <v>0</v>
      </c>
      <c r="R11" s="28">
        <f>data3!R11/range*(2^resolution-1)</f>
        <v>0</v>
      </c>
      <c r="S11" s="28">
        <f>data3!S11/range*(2^resolution-1)</f>
        <v>0</v>
      </c>
      <c r="T11" s="28">
        <f>data3!T11/range*(2^resolution-1)</f>
        <v>0</v>
      </c>
      <c r="U11" s="28">
        <f>data3!U11/range*(2^resolution-1)</f>
        <v>0</v>
      </c>
      <c r="V11" s="28">
        <f>data3!V11/range*(2^resolution-1)</f>
        <v>0</v>
      </c>
      <c r="W11" s="28">
        <f>data3!W11/range*(2^resolution-1)</f>
        <v>0</v>
      </c>
      <c r="X11" s="28">
        <f>data3!X11/range*(2^resolution-1)</f>
        <v>0</v>
      </c>
      <c r="Y11" s="28">
        <f>data3!Y11/range*(2^resolution-1)</f>
        <v>0</v>
      </c>
      <c r="Z11" s="28">
        <f>data3!Z11/range*(2^resolution-1)</f>
        <v>0</v>
      </c>
      <c r="AA11" s="28">
        <f>data3!AA11/range*(2^resolution-1)</f>
        <v>0</v>
      </c>
      <c r="AB11" s="28">
        <f>data3!AB11/range*(2^resolution-1)</f>
        <v>0</v>
      </c>
      <c r="AC11" s="28">
        <f>data3!AC11/range*(2^resolution-1)</f>
        <v>0</v>
      </c>
      <c r="AD11" s="28">
        <f>data3!AD11/range*(2^resolution-1)</f>
        <v>0</v>
      </c>
      <c r="AE11" s="28">
        <f>data3!AE11/range*(2^resolution-1)</f>
        <v>0</v>
      </c>
      <c r="AF11" s="28">
        <f>data3!AF11/range*(2^resolution-1)</f>
        <v>0</v>
      </c>
      <c r="AG11" s="28">
        <f>data3!AG11/range*(2^resolution-1)</f>
        <v>0</v>
      </c>
    </row>
    <row r="12" spans="1:33">
      <c r="A12" s="29">
        <f>data0!A12</f>
        <v>-60</v>
      </c>
      <c r="B12" s="28">
        <f>data3!B12/range*(2^resolution-1)</f>
        <v>0</v>
      </c>
      <c r="C12" s="28">
        <f>data3!C12/range*(2^resolution-1)</f>
        <v>0</v>
      </c>
      <c r="D12" s="28">
        <f>data3!D12/range*(2^resolution-1)</f>
        <v>0</v>
      </c>
      <c r="E12" s="28">
        <f>data3!E12/range*(2^resolution-1)</f>
        <v>0</v>
      </c>
      <c r="F12" s="28">
        <f>data3!F12/range*(2^resolution-1)</f>
        <v>0</v>
      </c>
      <c r="G12" s="28">
        <f>data3!G12/range*(2^resolution-1)</f>
        <v>0</v>
      </c>
      <c r="H12" s="28">
        <f>data3!H12/range*(2^resolution-1)</f>
        <v>0</v>
      </c>
      <c r="I12" s="28">
        <f>data3!I12/range*(2^resolution-1)</f>
        <v>0</v>
      </c>
      <c r="J12" s="28">
        <f>data3!J12/range*(2^resolution-1)</f>
        <v>0</v>
      </c>
      <c r="K12" s="28">
        <f>data3!K12/range*(2^resolution-1)</f>
        <v>0</v>
      </c>
      <c r="L12" s="28">
        <f>data3!L12/range*(2^resolution-1)</f>
        <v>0</v>
      </c>
      <c r="M12" s="28">
        <f>data3!M12/range*(2^resolution-1)</f>
        <v>0</v>
      </c>
      <c r="N12" s="28">
        <f>data3!N12/range*(2^resolution-1)</f>
        <v>0</v>
      </c>
      <c r="O12" s="28">
        <f>data3!O12/range*(2^resolution-1)</f>
        <v>0</v>
      </c>
      <c r="P12" s="28">
        <f>data3!P12/range*(2^resolution-1)</f>
        <v>0</v>
      </c>
      <c r="Q12" s="28">
        <f>data3!Q12/range*(2^resolution-1)</f>
        <v>0</v>
      </c>
      <c r="R12" s="28">
        <f>data3!R12/range*(2^resolution-1)</f>
        <v>0</v>
      </c>
      <c r="S12" s="28">
        <f>data3!S12/range*(2^resolution-1)</f>
        <v>0</v>
      </c>
      <c r="T12" s="28">
        <f>data3!T12/range*(2^resolution-1)</f>
        <v>0</v>
      </c>
      <c r="U12" s="28">
        <f>data3!U12/range*(2^resolution-1)</f>
        <v>0</v>
      </c>
      <c r="V12" s="28">
        <f>data3!V12/range*(2^resolution-1)</f>
        <v>0</v>
      </c>
      <c r="W12" s="28">
        <f>data3!W12/range*(2^resolution-1)</f>
        <v>0</v>
      </c>
      <c r="X12" s="28">
        <f>data3!X12/range*(2^resolution-1)</f>
        <v>0</v>
      </c>
      <c r="Y12" s="28">
        <f>data3!Y12/range*(2^resolution-1)</f>
        <v>0</v>
      </c>
      <c r="Z12" s="28">
        <f>data3!Z12/range*(2^resolution-1)</f>
        <v>0</v>
      </c>
      <c r="AA12" s="28">
        <f>data3!AA12/range*(2^resolution-1)</f>
        <v>0</v>
      </c>
      <c r="AB12" s="28">
        <f>data3!AB12/range*(2^resolution-1)</f>
        <v>0</v>
      </c>
      <c r="AC12" s="28">
        <f>data3!AC12/range*(2^resolution-1)</f>
        <v>0</v>
      </c>
      <c r="AD12" s="28">
        <f>data3!AD12/range*(2^resolution-1)</f>
        <v>0</v>
      </c>
      <c r="AE12" s="28">
        <f>data3!AE12/range*(2^resolution-1)</f>
        <v>0</v>
      </c>
      <c r="AF12" s="28">
        <f>data3!AF12/range*(2^resolution-1)</f>
        <v>0</v>
      </c>
      <c r="AG12" s="28">
        <f>data3!AG12/range*(2^resolution-1)</f>
        <v>0</v>
      </c>
    </row>
    <row r="13" spans="1:33">
      <c r="A13" s="29">
        <f>data0!A13</f>
        <v>-57</v>
      </c>
      <c r="B13" s="28">
        <f>data3!B13/range*(2^resolution-1)</f>
        <v>0</v>
      </c>
      <c r="C13" s="28">
        <f>data3!C13/range*(2^resolution-1)</f>
        <v>0</v>
      </c>
      <c r="D13" s="28">
        <f>data3!D13/range*(2^resolution-1)</f>
        <v>0</v>
      </c>
      <c r="E13" s="28">
        <f>data3!E13/range*(2^resolution-1)</f>
        <v>0</v>
      </c>
      <c r="F13" s="28">
        <f>data3!F13/range*(2^resolution-1)</f>
        <v>0</v>
      </c>
      <c r="G13" s="28">
        <f>data3!G13/range*(2^resolution-1)</f>
        <v>0</v>
      </c>
      <c r="H13" s="28">
        <f>data3!H13/range*(2^resolution-1)</f>
        <v>0</v>
      </c>
      <c r="I13" s="28">
        <f>data3!I13/range*(2^resolution-1)</f>
        <v>0</v>
      </c>
      <c r="J13" s="28">
        <f>data3!J13/range*(2^resolution-1)</f>
        <v>0</v>
      </c>
      <c r="K13" s="28">
        <f>data3!K13/range*(2^resolution-1)</f>
        <v>0</v>
      </c>
      <c r="L13" s="28">
        <f>data3!L13/range*(2^resolution-1)</f>
        <v>0</v>
      </c>
      <c r="M13" s="28">
        <f>data3!M13/range*(2^resolution-1)</f>
        <v>0</v>
      </c>
      <c r="N13" s="28">
        <f>data3!N13/range*(2^resolution-1)</f>
        <v>0</v>
      </c>
      <c r="O13" s="28">
        <f>data3!O13/range*(2^resolution-1)</f>
        <v>0</v>
      </c>
      <c r="P13" s="28">
        <f>data3!P13/range*(2^resolution-1)</f>
        <v>0</v>
      </c>
      <c r="Q13" s="28">
        <f>data3!Q13/range*(2^resolution-1)</f>
        <v>0</v>
      </c>
      <c r="R13" s="28">
        <f>data3!R13/range*(2^resolution-1)</f>
        <v>0</v>
      </c>
      <c r="S13" s="28">
        <f>data3!S13/range*(2^resolution-1)</f>
        <v>0</v>
      </c>
      <c r="T13" s="28">
        <f>data3!T13/range*(2^resolution-1)</f>
        <v>0</v>
      </c>
      <c r="U13" s="28">
        <f>data3!U13/range*(2^resolution-1)</f>
        <v>0</v>
      </c>
      <c r="V13" s="28">
        <f>data3!V13/range*(2^resolution-1)</f>
        <v>0</v>
      </c>
      <c r="W13" s="28">
        <f>data3!W13/range*(2^resolution-1)</f>
        <v>0</v>
      </c>
      <c r="X13" s="28">
        <f>data3!X13/range*(2^resolution-1)</f>
        <v>0</v>
      </c>
      <c r="Y13" s="28">
        <f>data3!Y13/range*(2^resolution-1)</f>
        <v>0</v>
      </c>
      <c r="Z13" s="28">
        <f>data3!Z13/range*(2^resolution-1)</f>
        <v>0</v>
      </c>
      <c r="AA13" s="28">
        <f>data3!AA13/range*(2^resolution-1)</f>
        <v>0</v>
      </c>
      <c r="AB13" s="28">
        <f>data3!AB13/range*(2^resolution-1)</f>
        <v>0</v>
      </c>
      <c r="AC13" s="28">
        <f>data3!AC13/range*(2^resolution-1)</f>
        <v>0</v>
      </c>
      <c r="AD13" s="28">
        <f>data3!AD13/range*(2^resolution-1)</f>
        <v>0</v>
      </c>
      <c r="AE13" s="28">
        <f>data3!AE13/range*(2^resolution-1)</f>
        <v>0</v>
      </c>
      <c r="AF13" s="28">
        <f>data3!AF13/range*(2^resolution-1)</f>
        <v>0</v>
      </c>
      <c r="AG13" s="28">
        <f>data3!AG13/range*(2^resolution-1)</f>
        <v>0</v>
      </c>
    </row>
    <row r="14" spans="1:33">
      <c r="A14" s="29">
        <f>data0!A14</f>
        <v>-54</v>
      </c>
      <c r="B14" s="28">
        <f>data3!B14/range*(2^resolution-1)</f>
        <v>0</v>
      </c>
      <c r="C14" s="28">
        <f>data3!C14/range*(2^resolution-1)</f>
        <v>0</v>
      </c>
      <c r="D14" s="28">
        <f>data3!D14/range*(2^resolution-1)</f>
        <v>0</v>
      </c>
      <c r="E14" s="28">
        <f>data3!E14/range*(2^resolution-1)</f>
        <v>0</v>
      </c>
      <c r="F14" s="28">
        <f>data3!F14/range*(2^resolution-1)</f>
        <v>0</v>
      </c>
      <c r="G14" s="28">
        <f>data3!G14/range*(2^resolution-1)</f>
        <v>0</v>
      </c>
      <c r="H14" s="28">
        <f>data3!H14/range*(2^resolution-1)</f>
        <v>0</v>
      </c>
      <c r="I14" s="28">
        <f>data3!I14/range*(2^resolution-1)</f>
        <v>0</v>
      </c>
      <c r="J14" s="28">
        <f>data3!J14/range*(2^resolution-1)</f>
        <v>0</v>
      </c>
      <c r="K14" s="28">
        <f>data3!K14/range*(2^resolution-1)</f>
        <v>0</v>
      </c>
      <c r="L14" s="28">
        <f>data3!L14/range*(2^resolution-1)</f>
        <v>0</v>
      </c>
      <c r="M14" s="28">
        <f>data3!M14/range*(2^resolution-1)</f>
        <v>0</v>
      </c>
      <c r="N14" s="28">
        <f>data3!N14/range*(2^resolution-1)</f>
        <v>0</v>
      </c>
      <c r="O14" s="28">
        <f>data3!O14/range*(2^resolution-1)</f>
        <v>0</v>
      </c>
      <c r="P14" s="28">
        <f>data3!P14/range*(2^resolution-1)</f>
        <v>0</v>
      </c>
      <c r="Q14" s="28">
        <f>data3!Q14/range*(2^resolution-1)</f>
        <v>0</v>
      </c>
      <c r="R14" s="28">
        <f>data3!R14/range*(2^resolution-1)</f>
        <v>0</v>
      </c>
      <c r="S14" s="28">
        <f>data3!S14/range*(2^resolution-1)</f>
        <v>0</v>
      </c>
      <c r="T14" s="28">
        <f>data3!T14/range*(2^resolution-1)</f>
        <v>0</v>
      </c>
      <c r="U14" s="28">
        <f>data3!U14/range*(2^resolution-1)</f>
        <v>0</v>
      </c>
      <c r="V14" s="28">
        <f>data3!V14/range*(2^resolution-1)</f>
        <v>0</v>
      </c>
      <c r="W14" s="28">
        <f>data3!W14/range*(2^resolution-1)</f>
        <v>0</v>
      </c>
      <c r="X14" s="28">
        <f>data3!X14/range*(2^resolution-1)</f>
        <v>0</v>
      </c>
      <c r="Y14" s="28">
        <f>data3!Y14/range*(2^resolution-1)</f>
        <v>0</v>
      </c>
      <c r="Z14" s="28">
        <f>data3!Z14/range*(2^resolution-1)</f>
        <v>0</v>
      </c>
      <c r="AA14" s="28">
        <f>data3!AA14/range*(2^resolution-1)</f>
        <v>0</v>
      </c>
      <c r="AB14" s="28">
        <f>data3!AB14/range*(2^resolution-1)</f>
        <v>0</v>
      </c>
      <c r="AC14" s="28">
        <f>data3!AC14/range*(2^resolution-1)</f>
        <v>0</v>
      </c>
      <c r="AD14" s="28">
        <f>data3!AD14/range*(2^resolution-1)</f>
        <v>0</v>
      </c>
      <c r="AE14" s="28">
        <f>data3!AE14/range*(2^resolution-1)</f>
        <v>0</v>
      </c>
      <c r="AF14" s="28">
        <f>data3!AF14/range*(2^resolution-1)</f>
        <v>0</v>
      </c>
      <c r="AG14" s="28">
        <f>data3!AG14/range*(2^resolution-1)</f>
        <v>0</v>
      </c>
    </row>
    <row r="15" spans="1:33">
      <c r="A15" s="29">
        <f>data0!A15</f>
        <v>-51</v>
      </c>
      <c r="B15" s="28">
        <f>data3!B15/range*(2^resolution-1)</f>
        <v>0</v>
      </c>
      <c r="C15" s="28">
        <f>data3!C15/range*(2^resolution-1)</f>
        <v>0</v>
      </c>
      <c r="D15" s="28">
        <f>data3!D15/range*(2^resolution-1)</f>
        <v>0</v>
      </c>
      <c r="E15" s="28">
        <f>data3!E15/range*(2^resolution-1)</f>
        <v>0</v>
      </c>
      <c r="F15" s="28">
        <f>data3!F15/range*(2^resolution-1)</f>
        <v>0</v>
      </c>
      <c r="G15" s="28">
        <f>data3!G15/range*(2^resolution-1)</f>
        <v>0</v>
      </c>
      <c r="H15" s="28">
        <f>data3!H15/range*(2^resolution-1)</f>
        <v>0</v>
      </c>
      <c r="I15" s="28">
        <f>data3!I15/range*(2^resolution-1)</f>
        <v>0</v>
      </c>
      <c r="J15" s="28">
        <f>data3!J15/range*(2^resolution-1)</f>
        <v>0</v>
      </c>
      <c r="K15" s="28">
        <f>data3!K15/range*(2^resolution-1)</f>
        <v>0</v>
      </c>
      <c r="L15" s="28">
        <f>data3!L15/range*(2^resolution-1)</f>
        <v>0</v>
      </c>
      <c r="M15" s="28">
        <f>data3!M15/range*(2^resolution-1)</f>
        <v>0</v>
      </c>
      <c r="N15" s="28">
        <f>data3!N15/range*(2^resolution-1)</f>
        <v>0</v>
      </c>
      <c r="O15" s="28">
        <f>data3!O15/range*(2^resolution-1)</f>
        <v>0</v>
      </c>
      <c r="P15" s="28">
        <f>data3!P15/range*(2^resolution-1)</f>
        <v>0</v>
      </c>
      <c r="Q15" s="28">
        <f>data3!Q15/range*(2^resolution-1)</f>
        <v>0</v>
      </c>
      <c r="R15" s="28">
        <f>data3!R15/range*(2^resolution-1)</f>
        <v>0</v>
      </c>
      <c r="S15" s="28">
        <f>data3!S15/range*(2^resolution-1)</f>
        <v>0</v>
      </c>
      <c r="T15" s="28">
        <f>data3!T15/range*(2^resolution-1)</f>
        <v>0</v>
      </c>
      <c r="U15" s="28">
        <f>data3!U15/range*(2^resolution-1)</f>
        <v>0</v>
      </c>
      <c r="V15" s="28">
        <f>data3!V15/range*(2^resolution-1)</f>
        <v>0</v>
      </c>
      <c r="W15" s="28">
        <f>data3!W15/range*(2^resolution-1)</f>
        <v>0</v>
      </c>
      <c r="X15" s="28">
        <f>data3!X15/range*(2^resolution-1)</f>
        <v>0</v>
      </c>
      <c r="Y15" s="28">
        <f>data3!Y15/range*(2^resolution-1)</f>
        <v>0</v>
      </c>
      <c r="Z15" s="28">
        <f>data3!Z15/range*(2^resolution-1)</f>
        <v>0</v>
      </c>
      <c r="AA15" s="28">
        <f>data3!AA15/range*(2^resolution-1)</f>
        <v>0</v>
      </c>
      <c r="AB15" s="28">
        <f>data3!AB15/range*(2^resolution-1)</f>
        <v>0</v>
      </c>
      <c r="AC15" s="28">
        <f>data3!AC15/range*(2^resolution-1)</f>
        <v>0</v>
      </c>
      <c r="AD15" s="28">
        <f>data3!AD15/range*(2^resolution-1)</f>
        <v>0</v>
      </c>
      <c r="AE15" s="28">
        <f>data3!AE15/range*(2^resolution-1)</f>
        <v>0</v>
      </c>
      <c r="AF15" s="28">
        <f>data3!AF15/range*(2^resolution-1)</f>
        <v>0</v>
      </c>
      <c r="AG15" s="28">
        <f>data3!AG15/range*(2^resolution-1)</f>
        <v>0</v>
      </c>
    </row>
    <row r="16" spans="1:33">
      <c r="A16" s="29">
        <f>data0!A16</f>
        <v>-48</v>
      </c>
      <c r="B16" s="28">
        <f>data3!B16/range*(2^resolution-1)</f>
        <v>0</v>
      </c>
      <c r="C16" s="28">
        <f>data3!C16/range*(2^resolution-1)</f>
        <v>0</v>
      </c>
      <c r="D16" s="28">
        <f>data3!D16/range*(2^resolution-1)</f>
        <v>0</v>
      </c>
      <c r="E16" s="28">
        <f>data3!E16/range*(2^resolution-1)</f>
        <v>0</v>
      </c>
      <c r="F16" s="28">
        <f>data3!F16/range*(2^resolution-1)</f>
        <v>0</v>
      </c>
      <c r="G16" s="28">
        <f>data3!G16/range*(2^resolution-1)</f>
        <v>0</v>
      </c>
      <c r="H16" s="28">
        <f>data3!H16/range*(2^resolution-1)</f>
        <v>0</v>
      </c>
      <c r="I16" s="28">
        <f>data3!I16/range*(2^resolution-1)</f>
        <v>0</v>
      </c>
      <c r="J16" s="28">
        <f>data3!J16/range*(2^resolution-1)</f>
        <v>0</v>
      </c>
      <c r="K16" s="28">
        <f>data3!K16/range*(2^resolution-1)</f>
        <v>0</v>
      </c>
      <c r="L16" s="28">
        <f>data3!L16/range*(2^resolution-1)</f>
        <v>0</v>
      </c>
      <c r="M16" s="28">
        <f>data3!M16/range*(2^resolution-1)</f>
        <v>0</v>
      </c>
      <c r="N16" s="28">
        <f>data3!N16/range*(2^resolution-1)</f>
        <v>0</v>
      </c>
      <c r="O16" s="28">
        <f>data3!O16/range*(2^resolution-1)</f>
        <v>0</v>
      </c>
      <c r="P16" s="28">
        <f>data3!P16/range*(2^resolution-1)</f>
        <v>0</v>
      </c>
      <c r="Q16" s="28">
        <f>data3!Q16/range*(2^resolution-1)</f>
        <v>0</v>
      </c>
      <c r="R16" s="28">
        <f>data3!R16/range*(2^resolution-1)</f>
        <v>0</v>
      </c>
      <c r="S16" s="28">
        <f>data3!S16/range*(2^resolution-1)</f>
        <v>0</v>
      </c>
      <c r="T16" s="28">
        <f>data3!T16/range*(2^resolution-1)</f>
        <v>0</v>
      </c>
      <c r="U16" s="28">
        <f>data3!U16/range*(2^resolution-1)</f>
        <v>0</v>
      </c>
      <c r="V16" s="28">
        <f>data3!V16/range*(2^resolution-1)</f>
        <v>0</v>
      </c>
      <c r="W16" s="28">
        <f>data3!W16/range*(2^resolution-1)</f>
        <v>0</v>
      </c>
      <c r="X16" s="28">
        <f>data3!X16/range*(2^resolution-1)</f>
        <v>0</v>
      </c>
      <c r="Y16" s="28">
        <f>data3!Y16/range*(2^resolution-1)</f>
        <v>0</v>
      </c>
      <c r="Z16" s="28">
        <f>data3!Z16/range*(2^resolution-1)</f>
        <v>0</v>
      </c>
      <c r="AA16" s="28">
        <f>data3!AA16/range*(2^resolution-1)</f>
        <v>0</v>
      </c>
      <c r="AB16" s="28">
        <f>data3!AB16/range*(2^resolution-1)</f>
        <v>0</v>
      </c>
      <c r="AC16" s="28">
        <f>data3!AC16/range*(2^resolution-1)</f>
        <v>0</v>
      </c>
      <c r="AD16" s="28">
        <f>data3!AD16/range*(2^resolution-1)</f>
        <v>0</v>
      </c>
      <c r="AE16" s="28">
        <f>data3!AE16/range*(2^resolution-1)</f>
        <v>0</v>
      </c>
      <c r="AF16" s="28">
        <f>data3!AF16/range*(2^resolution-1)</f>
        <v>0</v>
      </c>
      <c r="AG16" s="28">
        <f>data3!AG16/range*(2^resolution-1)</f>
        <v>0</v>
      </c>
    </row>
    <row r="17" spans="1:33">
      <c r="A17" s="29">
        <f>data0!A17</f>
        <v>-45</v>
      </c>
      <c r="B17" s="28">
        <f>data3!B17/range*(2^resolution-1)</f>
        <v>0</v>
      </c>
      <c r="C17" s="28">
        <f>data3!C17/range*(2^resolution-1)</f>
        <v>0</v>
      </c>
      <c r="D17" s="28">
        <f>data3!D17/range*(2^resolution-1)</f>
        <v>0</v>
      </c>
      <c r="E17" s="28">
        <f>data3!E17/range*(2^resolution-1)</f>
        <v>0</v>
      </c>
      <c r="F17" s="28">
        <f>data3!F17/range*(2^resolution-1)</f>
        <v>0</v>
      </c>
      <c r="G17" s="28">
        <f>data3!G17/range*(2^resolution-1)</f>
        <v>0</v>
      </c>
      <c r="H17" s="28">
        <f>data3!H17/range*(2^resolution-1)</f>
        <v>0</v>
      </c>
      <c r="I17" s="28">
        <f>data3!I17/range*(2^resolution-1)</f>
        <v>0</v>
      </c>
      <c r="J17" s="28">
        <f>data3!J17/range*(2^resolution-1)</f>
        <v>0</v>
      </c>
      <c r="K17" s="28">
        <f>data3!K17/range*(2^resolution-1)</f>
        <v>0</v>
      </c>
      <c r="L17" s="28">
        <f>data3!L17/range*(2^resolution-1)</f>
        <v>0</v>
      </c>
      <c r="M17" s="28">
        <f>data3!M17/range*(2^resolution-1)</f>
        <v>0</v>
      </c>
      <c r="N17" s="28">
        <f>data3!N17/range*(2^resolution-1)</f>
        <v>0</v>
      </c>
      <c r="O17" s="28">
        <f>data3!O17/range*(2^resolution-1)</f>
        <v>0</v>
      </c>
      <c r="P17" s="28">
        <f>data3!P17/range*(2^resolution-1)</f>
        <v>0</v>
      </c>
      <c r="Q17" s="28">
        <f>data3!Q17/range*(2^resolution-1)</f>
        <v>0</v>
      </c>
      <c r="R17" s="28">
        <f>data3!R17/range*(2^resolution-1)</f>
        <v>0</v>
      </c>
      <c r="S17" s="28">
        <f>data3!S17/range*(2^resolution-1)</f>
        <v>0</v>
      </c>
      <c r="T17" s="28">
        <f>data3!T17/range*(2^resolution-1)</f>
        <v>0</v>
      </c>
      <c r="U17" s="28">
        <f>data3!U17/range*(2^resolution-1)</f>
        <v>0</v>
      </c>
      <c r="V17" s="28">
        <f>data3!V17/range*(2^resolution-1)</f>
        <v>0</v>
      </c>
      <c r="W17" s="28">
        <f>data3!W17/range*(2^resolution-1)</f>
        <v>0</v>
      </c>
      <c r="X17" s="28">
        <f>data3!X17/range*(2^resolution-1)</f>
        <v>0</v>
      </c>
      <c r="Y17" s="28">
        <f>data3!Y17/range*(2^resolution-1)</f>
        <v>0</v>
      </c>
      <c r="Z17" s="28">
        <f>data3!Z17/range*(2^resolution-1)</f>
        <v>0</v>
      </c>
      <c r="AA17" s="28">
        <f>data3!AA17/range*(2^resolution-1)</f>
        <v>0</v>
      </c>
      <c r="AB17" s="28">
        <f>data3!AB17/range*(2^resolution-1)</f>
        <v>0</v>
      </c>
      <c r="AC17" s="28">
        <f>data3!AC17/range*(2^resolution-1)</f>
        <v>0</v>
      </c>
      <c r="AD17" s="28">
        <f>data3!AD17/range*(2^resolution-1)</f>
        <v>0</v>
      </c>
      <c r="AE17" s="28">
        <f>data3!AE17/range*(2^resolution-1)</f>
        <v>0</v>
      </c>
      <c r="AF17" s="28">
        <f>data3!AF17/range*(2^resolution-1)</f>
        <v>0</v>
      </c>
      <c r="AG17" s="28">
        <f>data3!AG17/range*(2^resolution-1)</f>
        <v>0</v>
      </c>
    </row>
    <row r="18" spans="1:33">
      <c r="A18" s="29">
        <f>data0!A18</f>
        <v>-42</v>
      </c>
      <c r="B18" s="28">
        <f>data3!B18/range*(2^resolution-1)</f>
        <v>0</v>
      </c>
      <c r="C18" s="28">
        <f>data3!C18/range*(2^resolution-1)</f>
        <v>0</v>
      </c>
      <c r="D18" s="28">
        <f>data3!D18/range*(2^resolution-1)</f>
        <v>0</v>
      </c>
      <c r="E18" s="28">
        <f>data3!E18/range*(2^resolution-1)</f>
        <v>0</v>
      </c>
      <c r="F18" s="28">
        <f>data3!F18/range*(2^resolution-1)</f>
        <v>0</v>
      </c>
      <c r="G18" s="28">
        <f>data3!G18/range*(2^resolution-1)</f>
        <v>0</v>
      </c>
      <c r="H18" s="28">
        <f>data3!H18/range*(2^resolution-1)</f>
        <v>0</v>
      </c>
      <c r="I18" s="28">
        <f>data3!I18/range*(2^resolution-1)</f>
        <v>0</v>
      </c>
      <c r="J18" s="28">
        <f>data3!J18/range*(2^resolution-1)</f>
        <v>0</v>
      </c>
      <c r="K18" s="28">
        <f>data3!K18/range*(2^resolution-1)</f>
        <v>0</v>
      </c>
      <c r="L18" s="28">
        <f>data3!L18/range*(2^resolution-1)</f>
        <v>0</v>
      </c>
      <c r="M18" s="28">
        <f>data3!M18/range*(2^resolution-1)</f>
        <v>0</v>
      </c>
      <c r="N18" s="28">
        <f>data3!N18/range*(2^resolution-1)</f>
        <v>0</v>
      </c>
      <c r="O18" s="28">
        <f>data3!O18/range*(2^resolution-1)</f>
        <v>0</v>
      </c>
      <c r="P18" s="28">
        <f>data3!P18/range*(2^resolution-1)</f>
        <v>0</v>
      </c>
      <c r="Q18" s="28">
        <f>data3!Q18/range*(2^resolution-1)</f>
        <v>0</v>
      </c>
      <c r="R18" s="28">
        <f>data3!R18/range*(2^resolution-1)</f>
        <v>0</v>
      </c>
      <c r="S18" s="28">
        <f>data3!S18/range*(2^resolution-1)</f>
        <v>0</v>
      </c>
      <c r="T18" s="28">
        <f>data3!T18/range*(2^resolution-1)</f>
        <v>0</v>
      </c>
      <c r="U18" s="28">
        <f>data3!U18/range*(2^resolution-1)</f>
        <v>0</v>
      </c>
      <c r="V18" s="28">
        <f>data3!V18/range*(2^resolution-1)</f>
        <v>0</v>
      </c>
      <c r="W18" s="28">
        <f>data3!W18/range*(2^resolution-1)</f>
        <v>0</v>
      </c>
      <c r="X18" s="28">
        <f>data3!X18/range*(2^resolution-1)</f>
        <v>0</v>
      </c>
      <c r="Y18" s="28">
        <f>data3!Y18/range*(2^resolution-1)</f>
        <v>0</v>
      </c>
      <c r="Z18" s="28">
        <f>data3!Z18/range*(2^resolution-1)</f>
        <v>0</v>
      </c>
      <c r="AA18" s="28">
        <f>data3!AA18/range*(2^resolution-1)</f>
        <v>0</v>
      </c>
      <c r="AB18" s="28">
        <f>data3!AB18/range*(2^resolution-1)</f>
        <v>0</v>
      </c>
      <c r="AC18" s="28">
        <f>data3!AC18/range*(2^resolution-1)</f>
        <v>0</v>
      </c>
      <c r="AD18" s="28">
        <f>data3!AD18/range*(2^resolution-1)</f>
        <v>0</v>
      </c>
      <c r="AE18" s="28">
        <f>data3!AE18/range*(2^resolution-1)</f>
        <v>0</v>
      </c>
      <c r="AF18" s="28">
        <f>data3!AF18/range*(2^resolution-1)</f>
        <v>0</v>
      </c>
      <c r="AG18" s="28">
        <f>data3!AG18/range*(2^resolution-1)</f>
        <v>0</v>
      </c>
    </row>
    <row r="19" spans="1:33">
      <c r="A19" s="29">
        <f>data0!A19</f>
        <v>-39</v>
      </c>
      <c r="B19" s="28">
        <f>data3!B19/range*(2^resolution-1)</f>
        <v>0</v>
      </c>
      <c r="C19" s="28">
        <f>data3!C19/range*(2^resolution-1)</f>
        <v>0</v>
      </c>
      <c r="D19" s="28">
        <f>data3!D19/range*(2^resolution-1)</f>
        <v>0</v>
      </c>
      <c r="E19" s="28">
        <f>data3!E19/range*(2^resolution-1)</f>
        <v>0</v>
      </c>
      <c r="F19" s="28">
        <f>data3!F19/range*(2^resolution-1)</f>
        <v>0</v>
      </c>
      <c r="G19" s="28">
        <f>data3!G19/range*(2^resolution-1)</f>
        <v>0</v>
      </c>
      <c r="H19" s="28">
        <f>data3!H19/range*(2^resolution-1)</f>
        <v>0</v>
      </c>
      <c r="I19" s="28">
        <f>data3!I19/range*(2^resolution-1)</f>
        <v>0</v>
      </c>
      <c r="J19" s="28">
        <f>data3!J19/range*(2^resolution-1)</f>
        <v>0</v>
      </c>
      <c r="K19" s="28">
        <f>data3!K19/range*(2^resolution-1)</f>
        <v>0</v>
      </c>
      <c r="L19" s="28">
        <f>data3!L19/range*(2^resolution-1)</f>
        <v>0</v>
      </c>
      <c r="M19" s="28">
        <f>data3!M19/range*(2^resolution-1)</f>
        <v>0</v>
      </c>
      <c r="N19" s="28">
        <f>data3!N19/range*(2^resolution-1)</f>
        <v>0</v>
      </c>
      <c r="O19" s="28">
        <f>data3!O19/range*(2^resolution-1)</f>
        <v>0</v>
      </c>
      <c r="P19" s="28">
        <f>data3!P19/range*(2^resolution-1)</f>
        <v>0</v>
      </c>
      <c r="Q19" s="28">
        <f>data3!Q19/range*(2^resolution-1)</f>
        <v>0</v>
      </c>
      <c r="R19" s="28">
        <f>data3!R19/range*(2^resolution-1)</f>
        <v>0</v>
      </c>
      <c r="S19" s="28">
        <f>data3!S19/range*(2^resolution-1)</f>
        <v>0</v>
      </c>
      <c r="T19" s="28">
        <f>data3!T19/range*(2^resolution-1)</f>
        <v>0</v>
      </c>
      <c r="U19" s="28">
        <f>data3!U19/range*(2^resolution-1)</f>
        <v>0</v>
      </c>
      <c r="V19" s="28">
        <f>data3!V19/range*(2^resolution-1)</f>
        <v>0</v>
      </c>
      <c r="W19" s="28">
        <f>data3!W19/range*(2^resolution-1)</f>
        <v>0</v>
      </c>
      <c r="X19" s="28">
        <f>data3!X19/range*(2^resolution-1)</f>
        <v>0</v>
      </c>
      <c r="Y19" s="28">
        <f>data3!Y19/range*(2^resolution-1)</f>
        <v>0</v>
      </c>
      <c r="Z19" s="28">
        <f>data3!Z19/range*(2^resolution-1)</f>
        <v>0</v>
      </c>
      <c r="AA19" s="28">
        <f>data3!AA19/range*(2^resolution-1)</f>
        <v>0</v>
      </c>
      <c r="AB19" s="28">
        <f>data3!AB19/range*(2^resolution-1)</f>
        <v>0</v>
      </c>
      <c r="AC19" s="28">
        <f>data3!AC19/range*(2^resolution-1)</f>
        <v>0</v>
      </c>
      <c r="AD19" s="28">
        <f>data3!AD19/range*(2^resolution-1)</f>
        <v>0</v>
      </c>
      <c r="AE19" s="28">
        <f>data3!AE19/range*(2^resolution-1)</f>
        <v>0</v>
      </c>
      <c r="AF19" s="28">
        <f>data3!AF19/range*(2^resolution-1)</f>
        <v>0</v>
      </c>
      <c r="AG19" s="28">
        <f>data3!AG19/range*(2^resolution-1)</f>
        <v>0</v>
      </c>
    </row>
    <row r="20" spans="1:33">
      <c r="A20" s="29">
        <f>data0!A20</f>
        <v>-36</v>
      </c>
      <c r="B20" s="28">
        <f>data3!B20/range*(2^resolution-1)</f>
        <v>0</v>
      </c>
      <c r="C20" s="28">
        <f>data3!C20/range*(2^resolution-1)</f>
        <v>0</v>
      </c>
      <c r="D20" s="28">
        <f>data3!D20/range*(2^resolution-1)</f>
        <v>0</v>
      </c>
      <c r="E20" s="28">
        <f>data3!E20/range*(2^resolution-1)</f>
        <v>0</v>
      </c>
      <c r="F20" s="28">
        <f>data3!F20/range*(2^resolution-1)</f>
        <v>0</v>
      </c>
      <c r="G20" s="28">
        <f>data3!G20/range*(2^resolution-1)</f>
        <v>0</v>
      </c>
      <c r="H20" s="28">
        <f>data3!H20/range*(2^resolution-1)</f>
        <v>0</v>
      </c>
      <c r="I20" s="28">
        <f>data3!I20/range*(2^resolution-1)</f>
        <v>0</v>
      </c>
      <c r="J20" s="28">
        <f>data3!J20/range*(2^resolution-1)</f>
        <v>0</v>
      </c>
      <c r="K20" s="28">
        <f>data3!K20/range*(2^resolution-1)</f>
        <v>0</v>
      </c>
      <c r="L20" s="28">
        <f>data3!L20/range*(2^resolution-1)</f>
        <v>0</v>
      </c>
      <c r="M20" s="28">
        <f>data3!M20/range*(2^resolution-1)</f>
        <v>0</v>
      </c>
      <c r="N20" s="28">
        <f>data3!N20/range*(2^resolution-1)</f>
        <v>0</v>
      </c>
      <c r="O20" s="28">
        <f>data3!O20/range*(2^resolution-1)</f>
        <v>0</v>
      </c>
      <c r="P20" s="28">
        <f>data3!P20/range*(2^resolution-1)</f>
        <v>0</v>
      </c>
      <c r="Q20" s="28">
        <f>data3!Q20/range*(2^resolution-1)</f>
        <v>0</v>
      </c>
      <c r="R20" s="28">
        <f>data3!R20/range*(2^resolution-1)</f>
        <v>0</v>
      </c>
      <c r="S20" s="28">
        <f>data3!S20/range*(2^resolution-1)</f>
        <v>0</v>
      </c>
      <c r="T20" s="28">
        <f>data3!T20/range*(2^resolution-1)</f>
        <v>0</v>
      </c>
      <c r="U20" s="28">
        <f>data3!U20/range*(2^resolution-1)</f>
        <v>0</v>
      </c>
      <c r="V20" s="28">
        <f>data3!V20/range*(2^resolution-1)</f>
        <v>0</v>
      </c>
      <c r="W20" s="28">
        <f>data3!W20/range*(2^resolution-1)</f>
        <v>0</v>
      </c>
      <c r="X20" s="28">
        <f>data3!X20/range*(2^resolution-1)</f>
        <v>0</v>
      </c>
      <c r="Y20" s="28">
        <f>data3!Y20/range*(2^resolution-1)</f>
        <v>0</v>
      </c>
      <c r="Z20" s="28">
        <f>data3!Z20/range*(2^resolution-1)</f>
        <v>0</v>
      </c>
      <c r="AA20" s="28">
        <f>data3!AA20/range*(2^resolution-1)</f>
        <v>0</v>
      </c>
      <c r="AB20" s="28">
        <f>data3!AB20/range*(2^resolution-1)</f>
        <v>0</v>
      </c>
      <c r="AC20" s="28">
        <f>data3!AC20/range*(2^resolution-1)</f>
        <v>0</v>
      </c>
      <c r="AD20" s="28">
        <f>data3!AD20/range*(2^resolution-1)</f>
        <v>0</v>
      </c>
      <c r="AE20" s="28">
        <f>data3!AE20/range*(2^resolution-1)</f>
        <v>0</v>
      </c>
      <c r="AF20" s="28">
        <f>data3!AF20/range*(2^resolution-1)</f>
        <v>0</v>
      </c>
      <c r="AG20" s="28">
        <f>data3!AG20/range*(2^resolution-1)</f>
        <v>0</v>
      </c>
    </row>
    <row r="21" spans="1:33">
      <c r="A21" s="29">
        <f>data0!A21</f>
        <v>-33</v>
      </c>
      <c r="B21" s="28">
        <f>data3!B21/range*(2^resolution-1)</f>
        <v>0</v>
      </c>
      <c r="C21" s="28">
        <f>data3!C21/range*(2^resolution-1)</f>
        <v>0</v>
      </c>
      <c r="D21" s="28">
        <f>data3!D21/range*(2^resolution-1)</f>
        <v>0</v>
      </c>
      <c r="E21" s="28">
        <f>data3!E21/range*(2^resolution-1)</f>
        <v>0</v>
      </c>
      <c r="F21" s="28">
        <f>data3!F21/range*(2^resolution-1)</f>
        <v>0</v>
      </c>
      <c r="G21" s="28">
        <f>data3!G21/range*(2^resolution-1)</f>
        <v>0</v>
      </c>
      <c r="H21" s="28">
        <f>data3!H21/range*(2^resolution-1)</f>
        <v>0</v>
      </c>
      <c r="I21" s="28">
        <f>data3!I21/range*(2^resolution-1)</f>
        <v>0</v>
      </c>
      <c r="J21" s="28">
        <f>data3!J21/range*(2^resolution-1)</f>
        <v>0</v>
      </c>
      <c r="K21" s="28">
        <f>data3!K21/range*(2^resolution-1)</f>
        <v>0</v>
      </c>
      <c r="L21" s="28">
        <f>data3!L21/range*(2^resolution-1)</f>
        <v>0</v>
      </c>
      <c r="M21" s="28">
        <f>data3!M21/range*(2^resolution-1)</f>
        <v>0</v>
      </c>
      <c r="N21" s="28">
        <f>data3!N21/range*(2^resolution-1)</f>
        <v>0</v>
      </c>
      <c r="O21" s="28">
        <f>data3!O21/range*(2^resolution-1)</f>
        <v>0</v>
      </c>
      <c r="P21" s="28">
        <f>data3!P21/range*(2^resolution-1)</f>
        <v>0</v>
      </c>
      <c r="Q21" s="28">
        <f>data3!Q21/range*(2^resolution-1)</f>
        <v>0</v>
      </c>
      <c r="R21" s="28">
        <f>data3!R21/range*(2^resolution-1)</f>
        <v>0</v>
      </c>
      <c r="S21" s="28">
        <f>data3!S21/range*(2^resolution-1)</f>
        <v>0</v>
      </c>
      <c r="T21" s="28">
        <f>data3!T21/range*(2^resolution-1)</f>
        <v>0</v>
      </c>
      <c r="U21" s="28">
        <f>data3!U21/range*(2^resolution-1)</f>
        <v>0</v>
      </c>
      <c r="V21" s="28">
        <f>data3!V21/range*(2^resolution-1)</f>
        <v>0</v>
      </c>
      <c r="W21" s="28">
        <f>data3!W21/range*(2^resolution-1)</f>
        <v>0</v>
      </c>
      <c r="X21" s="28">
        <f>data3!X21/range*(2^resolution-1)</f>
        <v>0</v>
      </c>
      <c r="Y21" s="28">
        <f>data3!Y21/range*(2^resolution-1)</f>
        <v>0</v>
      </c>
      <c r="Z21" s="28">
        <f>data3!Z21/range*(2^resolution-1)</f>
        <v>0</v>
      </c>
      <c r="AA21" s="28">
        <f>data3!AA21/range*(2^resolution-1)</f>
        <v>0</v>
      </c>
      <c r="AB21" s="28">
        <f>data3!AB21/range*(2^resolution-1)</f>
        <v>0</v>
      </c>
      <c r="AC21" s="28">
        <f>data3!AC21/range*(2^resolution-1)</f>
        <v>0</v>
      </c>
      <c r="AD21" s="28">
        <f>data3!AD21/range*(2^resolution-1)</f>
        <v>0</v>
      </c>
      <c r="AE21" s="28">
        <f>data3!AE21/range*(2^resolution-1)</f>
        <v>0</v>
      </c>
      <c r="AF21" s="28">
        <f>data3!AF21/range*(2^resolution-1)</f>
        <v>0</v>
      </c>
      <c r="AG21" s="28">
        <f>data3!AG21/range*(2^resolution-1)</f>
        <v>0</v>
      </c>
    </row>
    <row r="22" spans="1:33">
      <c r="A22" s="29">
        <f>data0!A22</f>
        <v>-30</v>
      </c>
      <c r="B22" s="28">
        <f>data3!B22/range*(2^resolution-1)</f>
        <v>0</v>
      </c>
      <c r="C22" s="28">
        <f>data3!C22/range*(2^resolution-1)</f>
        <v>0</v>
      </c>
      <c r="D22" s="28">
        <f>data3!D22/range*(2^resolution-1)</f>
        <v>0</v>
      </c>
      <c r="E22" s="28">
        <f>data3!E22/range*(2^resolution-1)</f>
        <v>0</v>
      </c>
      <c r="F22" s="28">
        <f>data3!F22/range*(2^resolution-1)</f>
        <v>0</v>
      </c>
      <c r="G22" s="28">
        <f>data3!G22/range*(2^resolution-1)</f>
        <v>0</v>
      </c>
      <c r="H22" s="28">
        <f>data3!H22/range*(2^resolution-1)</f>
        <v>0</v>
      </c>
      <c r="I22" s="28">
        <f>data3!I22/range*(2^resolution-1)</f>
        <v>0</v>
      </c>
      <c r="J22" s="28">
        <f>data3!J22/range*(2^resolution-1)</f>
        <v>0</v>
      </c>
      <c r="K22" s="28">
        <f>data3!K22/range*(2^resolution-1)</f>
        <v>0</v>
      </c>
      <c r="L22" s="28">
        <f>data3!L22/range*(2^resolution-1)</f>
        <v>0</v>
      </c>
      <c r="M22" s="28">
        <f>data3!M22/range*(2^resolution-1)</f>
        <v>0</v>
      </c>
      <c r="N22" s="28">
        <f>data3!N22/range*(2^resolution-1)</f>
        <v>0</v>
      </c>
      <c r="O22" s="28">
        <f>data3!O22/range*(2^resolution-1)</f>
        <v>0</v>
      </c>
      <c r="P22" s="28">
        <f>data3!P22/range*(2^resolution-1)</f>
        <v>0</v>
      </c>
      <c r="Q22" s="28">
        <f>data3!Q22/range*(2^resolution-1)</f>
        <v>0</v>
      </c>
      <c r="R22" s="28">
        <f>data3!R22/range*(2^resolution-1)</f>
        <v>0</v>
      </c>
      <c r="S22" s="28">
        <f>data3!S22/range*(2^resolution-1)</f>
        <v>0</v>
      </c>
      <c r="T22" s="28">
        <f>data3!T22/range*(2^resolution-1)</f>
        <v>0</v>
      </c>
      <c r="U22" s="28">
        <f>data3!U22/range*(2^resolution-1)</f>
        <v>0</v>
      </c>
      <c r="V22" s="28">
        <f>data3!V22/range*(2^resolution-1)</f>
        <v>0</v>
      </c>
      <c r="W22" s="28">
        <f>data3!W22/range*(2^resolution-1)</f>
        <v>0</v>
      </c>
      <c r="X22" s="28">
        <f>data3!X22/range*(2^resolution-1)</f>
        <v>0</v>
      </c>
      <c r="Y22" s="28">
        <f>data3!Y22/range*(2^resolution-1)</f>
        <v>0</v>
      </c>
      <c r="Z22" s="28">
        <f>data3!Z22/range*(2^resolution-1)</f>
        <v>0</v>
      </c>
      <c r="AA22" s="28">
        <f>data3!AA22/range*(2^resolution-1)</f>
        <v>0</v>
      </c>
      <c r="AB22" s="28">
        <f>data3!AB22/range*(2^resolution-1)</f>
        <v>0</v>
      </c>
      <c r="AC22" s="28">
        <f>data3!AC22/range*(2^resolution-1)</f>
        <v>0</v>
      </c>
      <c r="AD22" s="28">
        <f>data3!AD22/range*(2^resolution-1)</f>
        <v>0</v>
      </c>
      <c r="AE22" s="28">
        <f>data3!AE22/range*(2^resolution-1)</f>
        <v>0</v>
      </c>
      <c r="AF22" s="28">
        <f>data3!AF22/range*(2^resolution-1)</f>
        <v>0</v>
      </c>
      <c r="AG22" s="28">
        <f>data3!AG22/range*(2^resolution-1)</f>
        <v>0</v>
      </c>
    </row>
    <row r="23" spans="1:33">
      <c r="A23" s="29">
        <f>data0!A23</f>
        <v>-27</v>
      </c>
      <c r="B23" s="28">
        <f>data3!B23/range*(2^resolution-1)</f>
        <v>0</v>
      </c>
      <c r="C23" s="28">
        <f>data3!C23/range*(2^resolution-1)</f>
        <v>0</v>
      </c>
      <c r="D23" s="28">
        <f>data3!D23/range*(2^resolution-1)</f>
        <v>0</v>
      </c>
      <c r="E23" s="28">
        <f>data3!E23/range*(2^resolution-1)</f>
        <v>0</v>
      </c>
      <c r="F23" s="28">
        <f>data3!F23/range*(2^resolution-1)</f>
        <v>0</v>
      </c>
      <c r="G23" s="28">
        <f>data3!G23/range*(2^resolution-1)</f>
        <v>0</v>
      </c>
      <c r="H23" s="28">
        <f>data3!H23/range*(2^resolution-1)</f>
        <v>0</v>
      </c>
      <c r="I23" s="28">
        <f>data3!I23/range*(2^resolution-1)</f>
        <v>0</v>
      </c>
      <c r="J23" s="28">
        <f>data3!J23/range*(2^resolution-1)</f>
        <v>0</v>
      </c>
      <c r="K23" s="28">
        <f>data3!K23/range*(2^resolution-1)</f>
        <v>0</v>
      </c>
      <c r="L23" s="28">
        <f>data3!L23/range*(2^resolution-1)</f>
        <v>0</v>
      </c>
      <c r="M23" s="28">
        <f>data3!M23/range*(2^resolution-1)</f>
        <v>0</v>
      </c>
      <c r="N23" s="28">
        <f>data3!N23/range*(2^resolution-1)</f>
        <v>0</v>
      </c>
      <c r="O23" s="28">
        <f>data3!O23/range*(2^resolution-1)</f>
        <v>0</v>
      </c>
      <c r="P23" s="28">
        <f>data3!P23/range*(2^resolution-1)</f>
        <v>0</v>
      </c>
      <c r="Q23" s="28">
        <f>data3!Q23/range*(2^resolution-1)</f>
        <v>0</v>
      </c>
      <c r="R23" s="28">
        <f>data3!R23/range*(2^resolution-1)</f>
        <v>0</v>
      </c>
      <c r="S23" s="28">
        <f>data3!S23/range*(2^resolution-1)</f>
        <v>0</v>
      </c>
      <c r="T23" s="28">
        <f>data3!T23/range*(2^resolution-1)</f>
        <v>0</v>
      </c>
      <c r="U23" s="28">
        <f>data3!U23/range*(2^resolution-1)</f>
        <v>0</v>
      </c>
      <c r="V23" s="28">
        <f>data3!V23/range*(2^resolution-1)</f>
        <v>0</v>
      </c>
      <c r="W23" s="28">
        <f>data3!W23/range*(2^resolution-1)</f>
        <v>0</v>
      </c>
      <c r="X23" s="28">
        <f>data3!X23/range*(2^resolution-1)</f>
        <v>0</v>
      </c>
      <c r="Y23" s="28">
        <f>data3!Y23/range*(2^resolution-1)</f>
        <v>0</v>
      </c>
      <c r="Z23" s="28">
        <f>data3!Z23/range*(2^resolution-1)</f>
        <v>0</v>
      </c>
      <c r="AA23" s="28">
        <f>data3!AA23/range*(2^resolution-1)</f>
        <v>0</v>
      </c>
      <c r="AB23" s="28">
        <f>data3!AB23/range*(2^resolution-1)</f>
        <v>0</v>
      </c>
      <c r="AC23" s="28">
        <f>data3!AC23/range*(2^resolution-1)</f>
        <v>0</v>
      </c>
      <c r="AD23" s="28">
        <f>data3!AD23/range*(2^resolution-1)</f>
        <v>0</v>
      </c>
      <c r="AE23" s="28">
        <f>data3!AE23/range*(2^resolution-1)</f>
        <v>0</v>
      </c>
      <c r="AF23" s="28">
        <f>data3!AF23/range*(2^resolution-1)</f>
        <v>0</v>
      </c>
      <c r="AG23" s="28">
        <f>data3!AG23/range*(2^resolution-1)</f>
        <v>0</v>
      </c>
    </row>
    <row r="24" spans="1:33">
      <c r="A24" s="29">
        <f>data0!A24</f>
        <v>-24</v>
      </c>
      <c r="B24" s="28">
        <f>data3!B24/range*(2^resolution-1)</f>
        <v>0</v>
      </c>
      <c r="C24" s="28">
        <f>data3!C24/range*(2^resolution-1)</f>
        <v>0</v>
      </c>
      <c r="D24" s="28">
        <f>data3!D24/range*(2^resolution-1)</f>
        <v>0</v>
      </c>
      <c r="E24" s="28">
        <f>data3!E24/range*(2^resolution-1)</f>
        <v>0</v>
      </c>
      <c r="F24" s="28">
        <f>data3!F24/range*(2^resolution-1)</f>
        <v>0</v>
      </c>
      <c r="G24" s="28">
        <f>data3!G24/range*(2^resolution-1)</f>
        <v>0</v>
      </c>
      <c r="H24" s="28">
        <f>data3!H24/range*(2^resolution-1)</f>
        <v>0</v>
      </c>
      <c r="I24" s="28">
        <f>data3!I24/range*(2^resolution-1)</f>
        <v>0</v>
      </c>
      <c r="J24" s="28">
        <f>data3!J24/range*(2^resolution-1)</f>
        <v>0</v>
      </c>
      <c r="K24" s="28">
        <f>data3!K24/range*(2^resolution-1)</f>
        <v>0</v>
      </c>
      <c r="L24" s="28">
        <f>data3!L24/range*(2^resolution-1)</f>
        <v>0</v>
      </c>
      <c r="M24" s="28">
        <f>data3!M24/range*(2^resolution-1)</f>
        <v>0</v>
      </c>
      <c r="N24" s="28">
        <f>data3!N24/range*(2^resolution-1)</f>
        <v>0</v>
      </c>
      <c r="O24" s="28">
        <f>data3!O24/range*(2^resolution-1)</f>
        <v>0</v>
      </c>
      <c r="P24" s="28">
        <f>data3!P24/range*(2^resolution-1)</f>
        <v>0</v>
      </c>
      <c r="Q24" s="28">
        <f>data3!Q24/range*(2^resolution-1)</f>
        <v>0</v>
      </c>
      <c r="R24" s="28">
        <f>data3!R24/range*(2^resolution-1)</f>
        <v>0</v>
      </c>
      <c r="S24" s="28">
        <f>data3!S24/range*(2^resolution-1)</f>
        <v>0</v>
      </c>
      <c r="T24" s="28">
        <f>data3!T24/range*(2^resolution-1)</f>
        <v>0</v>
      </c>
      <c r="U24" s="28">
        <f>data3!U24/range*(2^resolution-1)</f>
        <v>0</v>
      </c>
      <c r="V24" s="28">
        <f>data3!V24/range*(2^resolution-1)</f>
        <v>0</v>
      </c>
      <c r="W24" s="28">
        <f>data3!W24/range*(2^resolution-1)</f>
        <v>0</v>
      </c>
      <c r="X24" s="28">
        <f>data3!X24/range*(2^resolution-1)</f>
        <v>0</v>
      </c>
      <c r="Y24" s="28">
        <f>data3!Y24/range*(2^resolution-1)</f>
        <v>0</v>
      </c>
      <c r="Z24" s="28">
        <f>data3!Z24/range*(2^resolution-1)</f>
        <v>0</v>
      </c>
      <c r="AA24" s="28">
        <f>data3!AA24/range*(2^resolution-1)</f>
        <v>0</v>
      </c>
      <c r="AB24" s="28">
        <f>data3!AB24/range*(2^resolution-1)</f>
        <v>0</v>
      </c>
      <c r="AC24" s="28">
        <f>data3!AC24/range*(2^resolution-1)</f>
        <v>0</v>
      </c>
      <c r="AD24" s="28">
        <f>data3!AD24/range*(2^resolution-1)</f>
        <v>0</v>
      </c>
      <c r="AE24" s="28">
        <f>data3!AE24/range*(2^resolution-1)</f>
        <v>0</v>
      </c>
      <c r="AF24" s="28">
        <f>data3!AF24/range*(2^resolution-1)</f>
        <v>0</v>
      </c>
      <c r="AG24" s="28">
        <f>data3!AG24/range*(2^resolution-1)</f>
        <v>0</v>
      </c>
    </row>
    <row r="25" spans="1:33">
      <c r="A25" s="29">
        <f>data0!A25</f>
        <v>-21</v>
      </c>
      <c r="B25" s="28">
        <f>data3!B25/range*(2^resolution-1)</f>
        <v>0</v>
      </c>
      <c r="C25" s="28">
        <f>data3!C25/range*(2^resolution-1)</f>
        <v>0</v>
      </c>
      <c r="D25" s="28">
        <f>data3!D25/range*(2^resolution-1)</f>
        <v>0</v>
      </c>
      <c r="E25" s="28">
        <f>data3!E25/range*(2^resolution-1)</f>
        <v>0</v>
      </c>
      <c r="F25" s="28">
        <f>data3!F25/range*(2^resolution-1)</f>
        <v>0</v>
      </c>
      <c r="G25" s="28">
        <f>data3!G25/range*(2^resolution-1)</f>
        <v>0</v>
      </c>
      <c r="H25" s="28">
        <f>data3!H25/range*(2^resolution-1)</f>
        <v>0</v>
      </c>
      <c r="I25" s="28">
        <f>data3!I25/range*(2^resolution-1)</f>
        <v>0</v>
      </c>
      <c r="J25" s="28">
        <f>data3!J25/range*(2^resolution-1)</f>
        <v>0</v>
      </c>
      <c r="K25" s="28">
        <f>data3!K25/range*(2^resolution-1)</f>
        <v>0</v>
      </c>
      <c r="L25" s="28">
        <f>data3!L25/range*(2^resolution-1)</f>
        <v>0</v>
      </c>
      <c r="M25" s="28">
        <f>data3!M25/range*(2^resolution-1)</f>
        <v>0</v>
      </c>
      <c r="N25" s="28">
        <f>data3!N25/range*(2^resolution-1)</f>
        <v>0</v>
      </c>
      <c r="O25" s="28">
        <f>data3!O25/range*(2^resolution-1)</f>
        <v>0</v>
      </c>
      <c r="P25" s="28">
        <f>data3!P25/range*(2^resolution-1)</f>
        <v>0</v>
      </c>
      <c r="Q25" s="28">
        <f>data3!Q25/range*(2^resolution-1)</f>
        <v>0</v>
      </c>
      <c r="R25" s="28">
        <f>data3!R25/range*(2^resolution-1)</f>
        <v>0</v>
      </c>
      <c r="S25" s="28">
        <f>data3!S25/range*(2^resolution-1)</f>
        <v>0</v>
      </c>
      <c r="T25" s="28">
        <f>data3!T25/range*(2^resolution-1)</f>
        <v>0</v>
      </c>
      <c r="U25" s="28">
        <f>data3!U25/range*(2^resolution-1)</f>
        <v>0</v>
      </c>
      <c r="V25" s="28">
        <f>data3!V25/range*(2^resolution-1)</f>
        <v>0</v>
      </c>
      <c r="W25" s="28">
        <f>data3!W25/range*(2^resolution-1)</f>
        <v>0</v>
      </c>
      <c r="X25" s="28">
        <f>data3!X25/range*(2^resolution-1)</f>
        <v>0</v>
      </c>
      <c r="Y25" s="28">
        <f>data3!Y25/range*(2^resolution-1)</f>
        <v>0</v>
      </c>
      <c r="Z25" s="28">
        <f>data3!Z25/range*(2^resolution-1)</f>
        <v>0</v>
      </c>
      <c r="AA25" s="28">
        <f>data3!AA25/range*(2^resolution-1)</f>
        <v>0</v>
      </c>
      <c r="AB25" s="28">
        <f>data3!AB25/range*(2^resolution-1)</f>
        <v>0</v>
      </c>
      <c r="AC25" s="28">
        <f>data3!AC25/range*(2^resolution-1)</f>
        <v>0</v>
      </c>
      <c r="AD25" s="28">
        <f>data3!AD25/range*(2^resolution-1)</f>
        <v>0</v>
      </c>
      <c r="AE25" s="28">
        <f>data3!AE25/range*(2^resolution-1)</f>
        <v>0</v>
      </c>
      <c r="AF25" s="28">
        <f>data3!AF25/range*(2^resolution-1)</f>
        <v>0</v>
      </c>
      <c r="AG25" s="28">
        <f>data3!AG25/range*(2^resolution-1)</f>
        <v>0</v>
      </c>
    </row>
    <row r="26" spans="1:33">
      <c r="A26" s="29">
        <f>data0!A26</f>
        <v>-18</v>
      </c>
      <c r="B26" s="28">
        <f>data3!B26/range*(2^resolution-1)</f>
        <v>0</v>
      </c>
      <c r="C26" s="28">
        <f>data3!C26/range*(2^resolution-1)</f>
        <v>0</v>
      </c>
      <c r="D26" s="28">
        <f>data3!D26/range*(2^resolution-1)</f>
        <v>0</v>
      </c>
      <c r="E26" s="28">
        <f>data3!E26/range*(2^resolution-1)</f>
        <v>0</v>
      </c>
      <c r="F26" s="28">
        <f>data3!F26/range*(2^resolution-1)</f>
        <v>0</v>
      </c>
      <c r="G26" s="28">
        <f>data3!G26/range*(2^resolution-1)</f>
        <v>0</v>
      </c>
      <c r="H26" s="28">
        <f>data3!H26/range*(2^resolution-1)</f>
        <v>0</v>
      </c>
      <c r="I26" s="28">
        <f>data3!I26/range*(2^resolution-1)</f>
        <v>0</v>
      </c>
      <c r="J26" s="28">
        <f>data3!J26/range*(2^resolution-1)</f>
        <v>0</v>
      </c>
      <c r="K26" s="28">
        <f>data3!K26/range*(2^resolution-1)</f>
        <v>0</v>
      </c>
      <c r="L26" s="28">
        <f>data3!L26/range*(2^resolution-1)</f>
        <v>0</v>
      </c>
      <c r="M26" s="28">
        <f>data3!M26/range*(2^resolution-1)</f>
        <v>0</v>
      </c>
      <c r="N26" s="28">
        <f>data3!N26/range*(2^resolution-1)</f>
        <v>0</v>
      </c>
      <c r="O26" s="28">
        <f>data3!O26/range*(2^resolution-1)</f>
        <v>0</v>
      </c>
      <c r="P26" s="28">
        <f>data3!P26/range*(2^resolution-1)</f>
        <v>0</v>
      </c>
      <c r="Q26" s="28">
        <f>data3!Q26/range*(2^resolution-1)</f>
        <v>0</v>
      </c>
      <c r="R26" s="28">
        <f>data3!R26/range*(2^resolution-1)</f>
        <v>0</v>
      </c>
      <c r="S26" s="28">
        <f>data3!S26/range*(2^resolution-1)</f>
        <v>0</v>
      </c>
      <c r="T26" s="28">
        <f>data3!T26/range*(2^resolution-1)</f>
        <v>0</v>
      </c>
      <c r="U26" s="28">
        <f>data3!U26/range*(2^resolution-1)</f>
        <v>0</v>
      </c>
      <c r="V26" s="28">
        <f>data3!V26/range*(2^resolution-1)</f>
        <v>0</v>
      </c>
      <c r="W26" s="28">
        <f>data3!W26/range*(2^resolution-1)</f>
        <v>0</v>
      </c>
      <c r="X26" s="28">
        <f>data3!X26/range*(2^resolution-1)</f>
        <v>0</v>
      </c>
      <c r="Y26" s="28">
        <f>data3!Y26/range*(2^resolution-1)</f>
        <v>0</v>
      </c>
      <c r="Z26" s="28">
        <f>data3!Z26/range*(2^resolution-1)</f>
        <v>0</v>
      </c>
      <c r="AA26" s="28">
        <f>data3!AA26/range*(2^resolution-1)</f>
        <v>0</v>
      </c>
      <c r="AB26" s="28">
        <f>data3!AB26/range*(2^resolution-1)</f>
        <v>0</v>
      </c>
      <c r="AC26" s="28">
        <f>data3!AC26/range*(2^resolution-1)</f>
        <v>0</v>
      </c>
      <c r="AD26" s="28">
        <f>data3!AD26/range*(2^resolution-1)</f>
        <v>0</v>
      </c>
      <c r="AE26" s="28">
        <f>data3!AE26/range*(2^resolution-1)</f>
        <v>0</v>
      </c>
      <c r="AF26" s="28">
        <f>data3!AF26/range*(2^resolution-1)</f>
        <v>0</v>
      </c>
      <c r="AG26" s="28">
        <f>data3!AG26/range*(2^resolution-1)</f>
        <v>0</v>
      </c>
    </row>
    <row r="27" spans="1:33">
      <c r="A27" s="29">
        <f>data0!A27</f>
        <v>-15</v>
      </c>
      <c r="B27" s="28">
        <f>data3!B27/range*(2^resolution-1)</f>
        <v>0</v>
      </c>
      <c r="C27" s="28">
        <f>data3!C27/range*(2^resolution-1)</f>
        <v>0</v>
      </c>
      <c r="D27" s="28">
        <f>data3!D27/range*(2^resolution-1)</f>
        <v>0</v>
      </c>
      <c r="E27" s="28">
        <f>data3!E27/range*(2^resolution-1)</f>
        <v>0</v>
      </c>
      <c r="F27" s="28">
        <f>data3!F27/range*(2^resolution-1)</f>
        <v>0</v>
      </c>
      <c r="G27" s="28">
        <f>data3!G27/range*(2^resolution-1)</f>
        <v>0</v>
      </c>
      <c r="H27" s="28">
        <f>data3!H27/range*(2^resolution-1)</f>
        <v>0</v>
      </c>
      <c r="I27" s="28">
        <f>data3!I27/range*(2^resolution-1)</f>
        <v>0</v>
      </c>
      <c r="J27" s="28">
        <f>data3!J27/range*(2^resolution-1)</f>
        <v>0</v>
      </c>
      <c r="K27" s="28">
        <f>data3!K27/range*(2^resolution-1)</f>
        <v>0</v>
      </c>
      <c r="L27" s="28">
        <f>data3!L27/range*(2^resolution-1)</f>
        <v>0</v>
      </c>
      <c r="M27" s="28">
        <f>data3!M27/range*(2^resolution-1)</f>
        <v>0</v>
      </c>
      <c r="N27" s="28">
        <f>data3!N27/range*(2^resolution-1)</f>
        <v>0</v>
      </c>
      <c r="O27" s="28">
        <f>data3!O27/range*(2^resolution-1)</f>
        <v>0</v>
      </c>
      <c r="P27" s="28">
        <f>data3!P27/range*(2^resolution-1)</f>
        <v>0</v>
      </c>
      <c r="Q27" s="28">
        <f>data3!Q27/range*(2^resolution-1)</f>
        <v>0</v>
      </c>
      <c r="R27" s="28">
        <f>data3!R27/range*(2^resolution-1)</f>
        <v>0</v>
      </c>
      <c r="S27" s="28">
        <f>data3!S27/range*(2^resolution-1)</f>
        <v>0</v>
      </c>
      <c r="T27" s="28">
        <f>data3!T27/range*(2^resolution-1)</f>
        <v>0</v>
      </c>
      <c r="U27" s="28">
        <f>data3!U27/range*(2^resolution-1)</f>
        <v>0</v>
      </c>
      <c r="V27" s="28">
        <f>data3!V27/range*(2^resolution-1)</f>
        <v>0</v>
      </c>
      <c r="W27" s="28">
        <f>data3!W27/range*(2^resolution-1)</f>
        <v>0</v>
      </c>
      <c r="X27" s="28">
        <f>data3!X27/range*(2^resolution-1)</f>
        <v>0</v>
      </c>
      <c r="Y27" s="28">
        <f>data3!Y27/range*(2^resolution-1)</f>
        <v>0</v>
      </c>
      <c r="Z27" s="28">
        <f>data3!Z27/range*(2^resolution-1)</f>
        <v>0</v>
      </c>
      <c r="AA27" s="28">
        <f>data3!AA27/range*(2^resolution-1)</f>
        <v>0</v>
      </c>
      <c r="AB27" s="28">
        <f>data3!AB27/range*(2^resolution-1)</f>
        <v>0</v>
      </c>
      <c r="AC27" s="28">
        <f>data3!AC27/range*(2^resolution-1)</f>
        <v>0</v>
      </c>
      <c r="AD27" s="28">
        <f>data3!AD27/range*(2^resolution-1)</f>
        <v>0</v>
      </c>
      <c r="AE27" s="28">
        <f>data3!AE27/range*(2^resolution-1)</f>
        <v>0</v>
      </c>
      <c r="AF27" s="28">
        <f>data3!AF27/range*(2^resolution-1)</f>
        <v>0</v>
      </c>
      <c r="AG27" s="28">
        <f>data3!AG27/range*(2^resolution-1)</f>
        <v>0</v>
      </c>
    </row>
    <row r="28" spans="1:33">
      <c r="A28" s="29">
        <f>data0!A28</f>
        <v>-12</v>
      </c>
      <c r="B28" s="28">
        <f>data3!B28/range*(2^resolution-1)</f>
        <v>0</v>
      </c>
      <c r="C28" s="28">
        <f>data3!C28/range*(2^resolution-1)</f>
        <v>0</v>
      </c>
      <c r="D28" s="28">
        <f>data3!D28/range*(2^resolution-1)</f>
        <v>0</v>
      </c>
      <c r="E28" s="28">
        <f>data3!E28/range*(2^resolution-1)</f>
        <v>0</v>
      </c>
      <c r="F28" s="28">
        <f>data3!F28/range*(2^resolution-1)</f>
        <v>0</v>
      </c>
      <c r="G28" s="28">
        <f>data3!G28/range*(2^resolution-1)</f>
        <v>0</v>
      </c>
      <c r="H28" s="28">
        <f>data3!H28/range*(2^resolution-1)</f>
        <v>0</v>
      </c>
      <c r="I28" s="28">
        <f>data3!I28/range*(2^resolution-1)</f>
        <v>0</v>
      </c>
      <c r="J28" s="28">
        <f>data3!J28/range*(2^resolution-1)</f>
        <v>0</v>
      </c>
      <c r="K28" s="28">
        <f>data3!K28/range*(2^resolution-1)</f>
        <v>0</v>
      </c>
      <c r="L28" s="28">
        <f>data3!L28/range*(2^resolution-1)</f>
        <v>0</v>
      </c>
      <c r="M28" s="28">
        <f>data3!M28/range*(2^resolution-1)</f>
        <v>0</v>
      </c>
      <c r="N28" s="28">
        <f>data3!N28/range*(2^resolution-1)</f>
        <v>0</v>
      </c>
      <c r="O28" s="28">
        <f>data3!O28/range*(2^resolution-1)</f>
        <v>0</v>
      </c>
      <c r="P28" s="28">
        <f>data3!P28/range*(2^resolution-1)</f>
        <v>0</v>
      </c>
      <c r="Q28" s="28">
        <f>data3!Q28/range*(2^resolution-1)</f>
        <v>0</v>
      </c>
      <c r="R28" s="28">
        <f>data3!R28/range*(2^resolution-1)</f>
        <v>0</v>
      </c>
      <c r="S28" s="28">
        <f>data3!S28/range*(2^resolution-1)</f>
        <v>0</v>
      </c>
      <c r="T28" s="28">
        <f>data3!T28/range*(2^resolution-1)</f>
        <v>0</v>
      </c>
      <c r="U28" s="28">
        <f>data3!U28/range*(2^resolution-1)</f>
        <v>0</v>
      </c>
      <c r="V28" s="28">
        <f>data3!V28/range*(2^resolution-1)</f>
        <v>0</v>
      </c>
      <c r="W28" s="28">
        <f>data3!W28/range*(2^resolution-1)</f>
        <v>0</v>
      </c>
      <c r="X28" s="28">
        <f>data3!X28/range*(2^resolution-1)</f>
        <v>0</v>
      </c>
      <c r="Y28" s="28">
        <f>data3!Y28/range*(2^resolution-1)</f>
        <v>0</v>
      </c>
      <c r="Z28" s="28">
        <f>data3!Z28/range*(2^resolution-1)</f>
        <v>0</v>
      </c>
      <c r="AA28" s="28">
        <f>data3!AA28/range*(2^resolution-1)</f>
        <v>0</v>
      </c>
      <c r="AB28" s="28">
        <f>data3!AB28/range*(2^resolution-1)</f>
        <v>0</v>
      </c>
      <c r="AC28" s="28">
        <f>data3!AC28/range*(2^resolution-1)</f>
        <v>0</v>
      </c>
      <c r="AD28" s="28">
        <f>data3!AD28/range*(2^resolution-1)</f>
        <v>0</v>
      </c>
      <c r="AE28" s="28">
        <f>data3!AE28/range*(2^resolution-1)</f>
        <v>0</v>
      </c>
      <c r="AF28" s="28">
        <f>data3!AF28/range*(2^resolution-1)</f>
        <v>0</v>
      </c>
      <c r="AG28" s="28">
        <f>data3!AG28/range*(2^resolution-1)</f>
        <v>0</v>
      </c>
    </row>
    <row r="29" spans="1:33">
      <c r="A29" s="29">
        <f>data0!A29</f>
        <v>-9</v>
      </c>
      <c r="B29" s="28">
        <f>data3!B29/range*(2^resolution-1)</f>
        <v>0</v>
      </c>
      <c r="C29" s="28">
        <f>data3!C29/range*(2^resolution-1)</f>
        <v>0</v>
      </c>
      <c r="D29" s="28">
        <f>data3!D29/range*(2^resolution-1)</f>
        <v>0</v>
      </c>
      <c r="E29" s="28">
        <f>data3!E29/range*(2^resolution-1)</f>
        <v>0</v>
      </c>
      <c r="F29" s="28">
        <f>data3!F29/range*(2^resolution-1)</f>
        <v>0</v>
      </c>
      <c r="G29" s="28">
        <f>data3!G29/range*(2^resolution-1)</f>
        <v>0</v>
      </c>
      <c r="H29" s="28">
        <f>data3!H29/range*(2^resolution-1)</f>
        <v>0</v>
      </c>
      <c r="I29" s="28">
        <f>data3!I29/range*(2^resolution-1)</f>
        <v>0</v>
      </c>
      <c r="J29" s="28">
        <f>data3!J29/range*(2^resolution-1)</f>
        <v>0</v>
      </c>
      <c r="K29" s="28">
        <f>data3!K29/range*(2^resolution-1)</f>
        <v>0</v>
      </c>
      <c r="L29" s="28">
        <f>data3!L29/range*(2^resolution-1)</f>
        <v>0</v>
      </c>
      <c r="M29" s="28">
        <f>data3!M29/range*(2^resolution-1)</f>
        <v>0</v>
      </c>
      <c r="N29" s="28">
        <f>data3!N29/range*(2^resolution-1)</f>
        <v>0</v>
      </c>
      <c r="O29" s="28">
        <f>data3!O29/range*(2^resolution-1)</f>
        <v>0</v>
      </c>
      <c r="P29" s="28">
        <f>data3!P29/range*(2^resolution-1)</f>
        <v>0</v>
      </c>
      <c r="Q29" s="28">
        <f>data3!Q29/range*(2^resolution-1)</f>
        <v>0</v>
      </c>
      <c r="R29" s="28">
        <f>data3!R29/range*(2^resolution-1)</f>
        <v>0</v>
      </c>
      <c r="S29" s="28">
        <f>data3!S29/range*(2^resolution-1)</f>
        <v>0</v>
      </c>
      <c r="T29" s="28">
        <f>data3!T29/range*(2^resolution-1)</f>
        <v>0</v>
      </c>
      <c r="U29" s="28">
        <f>data3!U29/range*(2^resolution-1)</f>
        <v>0</v>
      </c>
      <c r="V29" s="28">
        <f>data3!V29/range*(2^resolution-1)</f>
        <v>0</v>
      </c>
      <c r="W29" s="28">
        <f>data3!W29/range*(2^resolution-1)</f>
        <v>0</v>
      </c>
      <c r="X29" s="28">
        <f>data3!X29/range*(2^resolution-1)</f>
        <v>0</v>
      </c>
      <c r="Y29" s="28">
        <f>data3!Y29/range*(2^resolution-1)</f>
        <v>0</v>
      </c>
      <c r="Z29" s="28">
        <f>data3!Z29/range*(2^resolution-1)</f>
        <v>0</v>
      </c>
      <c r="AA29" s="28">
        <f>data3!AA29/range*(2^resolution-1)</f>
        <v>0</v>
      </c>
      <c r="AB29" s="28">
        <f>data3!AB29/range*(2^resolution-1)</f>
        <v>0</v>
      </c>
      <c r="AC29" s="28">
        <f>data3!AC29/range*(2^resolution-1)</f>
        <v>0</v>
      </c>
      <c r="AD29" s="28">
        <f>data3!AD29/range*(2^resolution-1)</f>
        <v>0</v>
      </c>
      <c r="AE29" s="28">
        <f>data3!AE29/range*(2^resolution-1)</f>
        <v>0</v>
      </c>
      <c r="AF29" s="28">
        <f>data3!AF29/range*(2^resolution-1)</f>
        <v>0</v>
      </c>
      <c r="AG29" s="28">
        <f>data3!AG29/range*(2^resolution-1)</f>
        <v>0</v>
      </c>
    </row>
    <row r="30" spans="1:33">
      <c r="A30" s="29">
        <f>data0!A30</f>
        <v>-6</v>
      </c>
      <c r="B30" s="28">
        <f>data3!B30/range*(2^resolution-1)</f>
        <v>0</v>
      </c>
      <c r="C30" s="28">
        <f>data3!C30/range*(2^resolution-1)</f>
        <v>0</v>
      </c>
      <c r="D30" s="28">
        <f>data3!D30/range*(2^resolution-1)</f>
        <v>0</v>
      </c>
      <c r="E30" s="28">
        <f>data3!E30/range*(2^resolution-1)</f>
        <v>0</v>
      </c>
      <c r="F30" s="28">
        <f>data3!F30/range*(2^resolution-1)</f>
        <v>0</v>
      </c>
      <c r="G30" s="28">
        <f>data3!G30/range*(2^resolution-1)</f>
        <v>0</v>
      </c>
      <c r="H30" s="28">
        <f>data3!H30/range*(2^resolution-1)</f>
        <v>0</v>
      </c>
      <c r="I30" s="28">
        <f>data3!I30/range*(2^resolution-1)</f>
        <v>0</v>
      </c>
      <c r="J30" s="28">
        <f>data3!J30/range*(2^resolution-1)</f>
        <v>0</v>
      </c>
      <c r="K30" s="28">
        <f>data3!K30/range*(2^resolution-1)</f>
        <v>0</v>
      </c>
      <c r="L30" s="28">
        <f>data3!L30/range*(2^resolution-1)</f>
        <v>0</v>
      </c>
      <c r="M30" s="28">
        <f>data3!M30/range*(2^resolution-1)</f>
        <v>0</v>
      </c>
      <c r="N30" s="28">
        <f>data3!N30/range*(2^resolution-1)</f>
        <v>0</v>
      </c>
      <c r="O30" s="28">
        <f>data3!O30/range*(2^resolution-1)</f>
        <v>0</v>
      </c>
      <c r="P30" s="28">
        <f>data3!P30/range*(2^resolution-1)</f>
        <v>0</v>
      </c>
      <c r="Q30" s="28">
        <f>data3!Q30/range*(2^resolution-1)</f>
        <v>0</v>
      </c>
      <c r="R30" s="28">
        <f>data3!R30/range*(2^resolution-1)</f>
        <v>0</v>
      </c>
      <c r="S30" s="28">
        <f>data3!S30/range*(2^resolution-1)</f>
        <v>0</v>
      </c>
      <c r="T30" s="28">
        <f>data3!T30/range*(2^resolution-1)</f>
        <v>0</v>
      </c>
      <c r="U30" s="28">
        <f>data3!U30/range*(2^resolution-1)</f>
        <v>0</v>
      </c>
      <c r="V30" s="28">
        <f>data3!V30/range*(2^resolution-1)</f>
        <v>0</v>
      </c>
      <c r="W30" s="28">
        <f>data3!W30/range*(2^resolution-1)</f>
        <v>0</v>
      </c>
      <c r="X30" s="28">
        <f>data3!X30/range*(2^resolution-1)</f>
        <v>0</v>
      </c>
      <c r="Y30" s="28">
        <f>data3!Y30/range*(2^resolution-1)</f>
        <v>0</v>
      </c>
      <c r="Z30" s="28">
        <f>data3!Z30/range*(2^resolution-1)</f>
        <v>0</v>
      </c>
      <c r="AA30" s="28">
        <f>data3!AA30/range*(2^resolution-1)</f>
        <v>0</v>
      </c>
      <c r="AB30" s="28">
        <f>data3!AB30/range*(2^resolution-1)</f>
        <v>0</v>
      </c>
      <c r="AC30" s="28">
        <f>data3!AC30/range*(2^resolution-1)</f>
        <v>0</v>
      </c>
      <c r="AD30" s="28">
        <f>data3!AD30/range*(2^resolution-1)</f>
        <v>0</v>
      </c>
      <c r="AE30" s="28">
        <f>data3!AE30/range*(2^resolution-1)</f>
        <v>0</v>
      </c>
      <c r="AF30" s="28">
        <f>data3!AF30/range*(2^resolution-1)</f>
        <v>0</v>
      </c>
      <c r="AG30" s="28">
        <f>data3!AG30/range*(2^resolution-1)</f>
        <v>0</v>
      </c>
    </row>
    <row r="31" spans="1:33">
      <c r="A31" s="29">
        <f>data0!A31</f>
        <v>-3</v>
      </c>
      <c r="B31" s="28">
        <f>data3!B31/range*(2^resolution-1)</f>
        <v>0</v>
      </c>
      <c r="C31" s="28">
        <f>data3!C31/range*(2^resolution-1)</f>
        <v>0</v>
      </c>
      <c r="D31" s="28">
        <f>data3!D31/range*(2^resolution-1)</f>
        <v>0</v>
      </c>
      <c r="E31" s="28">
        <f>data3!E31/range*(2^resolution-1)</f>
        <v>0</v>
      </c>
      <c r="F31" s="28">
        <f>data3!F31/range*(2^resolution-1)</f>
        <v>0</v>
      </c>
      <c r="G31" s="28">
        <f>data3!G31/range*(2^resolution-1)</f>
        <v>0</v>
      </c>
      <c r="H31" s="28">
        <f>data3!H31/range*(2^resolution-1)</f>
        <v>0</v>
      </c>
      <c r="I31" s="28">
        <f>data3!I31/range*(2^resolution-1)</f>
        <v>0</v>
      </c>
      <c r="J31" s="28">
        <f>data3!J31/range*(2^resolution-1)</f>
        <v>0</v>
      </c>
      <c r="K31" s="28">
        <f>data3!K31/range*(2^resolution-1)</f>
        <v>0</v>
      </c>
      <c r="L31" s="28">
        <f>data3!L31/range*(2^resolution-1)</f>
        <v>0</v>
      </c>
      <c r="M31" s="28">
        <f>data3!M31/range*(2^resolution-1)</f>
        <v>0</v>
      </c>
      <c r="N31" s="28">
        <f>data3!N31/range*(2^resolution-1)</f>
        <v>0</v>
      </c>
      <c r="O31" s="28">
        <f>data3!O31/range*(2^resolution-1)</f>
        <v>0</v>
      </c>
      <c r="P31" s="28">
        <f>data3!P31/range*(2^resolution-1)</f>
        <v>0</v>
      </c>
      <c r="Q31" s="28">
        <f>data3!Q31/range*(2^resolution-1)</f>
        <v>0</v>
      </c>
      <c r="R31" s="28">
        <f>data3!R31/range*(2^resolution-1)</f>
        <v>0</v>
      </c>
      <c r="S31" s="28">
        <f>data3!S31/range*(2^resolution-1)</f>
        <v>0</v>
      </c>
      <c r="T31" s="28">
        <f>data3!T31/range*(2^resolution-1)</f>
        <v>0</v>
      </c>
      <c r="U31" s="28">
        <f>data3!U31/range*(2^resolution-1)</f>
        <v>0</v>
      </c>
      <c r="V31" s="28">
        <f>data3!V31/range*(2^resolution-1)</f>
        <v>0</v>
      </c>
      <c r="W31" s="28">
        <f>data3!W31/range*(2^resolution-1)</f>
        <v>0</v>
      </c>
      <c r="X31" s="28">
        <f>data3!X31/range*(2^resolution-1)</f>
        <v>0</v>
      </c>
      <c r="Y31" s="28">
        <f>data3!Y31/range*(2^resolution-1)</f>
        <v>0</v>
      </c>
      <c r="Z31" s="28">
        <f>data3!Z31/range*(2^resolution-1)</f>
        <v>0</v>
      </c>
      <c r="AA31" s="28">
        <f>data3!AA31/range*(2^resolution-1)</f>
        <v>0</v>
      </c>
      <c r="AB31" s="28">
        <f>data3!AB31/range*(2^resolution-1)</f>
        <v>0</v>
      </c>
      <c r="AC31" s="28">
        <f>data3!AC31/range*(2^resolution-1)</f>
        <v>0</v>
      </c>
      <c r="AD31" s="28">
        <f>data3!AD31/range*(2^resolution-1)</f>
        <v>0</v>
      </c>
      <c r="AE31" s="28">
        <f>data3!AE31/range*(2^resolution-1)</f>
        <v>0</v>
      </c>
      <c r="AF31" s="28">
        <f>data3!AF31/range*(2^resolution-1)</f>
        <v>0</v>
      </c>
      <c r="AG31" s="28">
        <f>data3!AG31/range*(2^resolution-1)</f>
        <v>0</v>
      </c>
    </row>
    <row r="32" spans="1:33">
      <c r="A32" s="29">
        <f>data0!A32</f>
        <v>0</v>
      </c>
      <c r="B32" s="28">
        <f>data3!B32/range*(2^resolution-1)</f>
        <v>0</v>
      </c>
      <c r="C32" s="28">
        <f>data3!C32/range*(2^resolution-1)</f>
        <v>0</v>
      </c>
      <c r="D32" s="28">
        <f>data3!D32/range*(2^resolution-1)</f>
        <v>0</v>
      </c>
      <c r="E32" s="28">
        <f>data3!E32/range*(2^resolution-1)</f>
        <v>0</v>
      </c>
      <c r="F32" s="28">
        <f>data3!F32/range*(2^resolution-1)</f>
        <v>0</v>
      </c>
      <c r="G32" s="28">
        <f>data3!G32/range*(2^resolution-1)</f>
        <v>0</v>
      </c>
      <c r="H32" s="28">
        <f>data3!H32/range*(2^resolution-1)</f>
        <v>0</v>
      </c>
      <c r="I32" s="28">
        <f>data3!I32/range*(2^resolution-1)</f>
        <v>0</v>
      </c>
      <c r="J32" s="28">
        <f>data3!J32/range*(2^resolution-1)</f>
        <v>0</v>
      </c>
      <c r="K32" s="28">
        <f>data3!K32/range*(2^resolution-1)</f>
        <v>0</v>
      </c>
      <c r="L32" s="28">
        <f>data3!L32/range*(2^resolution-1)</f>
        <v>0</v>
      </c>
      <c r="M32" s="28">
        <f>data3!M32/range*(2^resolution-1)</f>
        <v>0</v>
      </c>
      <c r="N32" s="28">
        <f>data3!N32/range*(2^resolution-1)</f>
        <v>0</v>
      </c>
      <c r="O32" s="28">
        <f>data3!O32/range*(2^resolution-1)</f>
        <v>0</v>
      </c>
      <c r="P32" s="28">
        <f>data3!P32/range*(2^resolution-1)</f>
        <v>0</v>
      </c>
      <c r="Q32" s="28">
        <f>data3!Q32/range*(2^resolution-1)</f>
        <v>0</v>
      </c>
      <c r="R32" s="28">
        <f>data3!R32/range*(2^resolution-1)</f>
        <v>0</v>
      </c>
      <c r="S32" s="28">
        <f>data3!S32/range*(2^resolution-1)</f>
        <v>0</v>
      </c>
      <c r="T32" s="28">
        <f>data3!T32/range*(2^resolution-1)</f>
        <v>0</v>
      </c>
      <c r="U32" s="28">
        <f>data3!U32/range*(2^resolution-1)</f>
        <v>0</v>
      </c>
      <c r="V32" s="28">
        <f>data3!V32/range*(2^resolution-1)</f>
        <v>0</v>
      </c>
      <c r="W32" s="28">
        <f>data3!W32/range*(2^resolution-1)</f>
        <v>0</v>
      </c>
      <c r="X32" s="28">
        <f>data3!X32/range*(2^resolution-1)</f>
        <v>0</v>
      </c>
      <c r="Y32" s="28">
        <f>data3!Y32/range*(2^resolution-1)</f>
        <v>0</v>
      </c>
      <c r="Z32" s="28">
        <f>data3!Z32/range*(2^resolution-1)</f>
        <v>0</v>
      </c>
      <c r="AA32" s="28">
        <f>data3!AA32/range*(2^resolution-1)</f>
        <v>0</v>
      </c>
      <c r="AB32" s="28">
        <f>data3!AB32/range*(2^resolution-1)</f>
        <v>0</v>
      </c>
      <c r="AC32" s="28">
        <f>data3!AC32/range*(2^resolution-1)</f>
        <v>0</v>
      </c>
      <c r="AD32" s="28">
        <f>data3!AD32/range*(2^resolution-1)</f>
        <v>0</v>
      </c>
      <c r="AE32" s="28">
        <f>data3!AE32/range*(2^resolution-1)</f>
        <v>0</v>
      </c>
      <c r="AF32" s="28">
        <f>data3!AF32/range*(2^resolution-1)</f>
        <v>0</v>
      </c>
      <c r="AG32" s="28">
        <f>data3!AG32/range*(2^resolution-1)</f>
        <v>0</v>
      </c>
    </row>
    <row r="33" spans="1:33">
      <c r="A33" s="29">
        <f>data0!A33</f>
        <v>3</v>
      </c>
      <c r="B33" s="28">
        <f>data3!B33/range*(2^resolution-1)</f>
        <v>0</v>
      </c>
      <c r="C33" s="28">
        <f>data3!C33/range*(2^resolution-1)</f>
        <v>0</v>
      </c>
      <c r="D33" s="28">
        <f>data3!D33/range*(2^resolution-1)</f>
        <v>0</v>
      </c>
      <c r="E33" s="28">
        <f>data3!E33/range*(2^resolution-1)</f>
        <v>0</v>
      </c>
      <c r="F33" s="28">
        <f>data3!F33/range*(2^resolution-1)</f>
        <v>0</v>
      </c>
      <c r="G33" s="28">
        <f>data3!G33/range*(2^resolution-1)</f>
        <v>0</v>
      </c>
      <c r="H33" s="28">
        <f>data3!H33/range*(2^resolution-1)</f>
        <v>0</v>
      </c>
      <c r="I33" s="28">
        <f>data3!I33/range*(2^resolution-1)</f>
        <v>0</v>
      </c>
      <c r="J33" s="28">
        <f>data3!J33/range*(2^resolution-1)</f>
        <v>0</v>
      </c>
      <c r="K33" s="28">
        <f>data3!K33/range*(2^resolution-1)</f>
        <v>0</v>
      </c>
      <c r="L33" s="28">
        <f>data3!L33/range*(2^resolution-1)</f>
        <v>0</v>
      </c>
      <c r="M33" s="28">
        <f>data3!M33/range*(2^resolution-1)</f>
        <v>0</v>
      </c>
      <c r="N33" s="28">
        <f>data3!N33/range*(2^resolution-1)</f>
        <v>0</v>
      </c>
      <c r="O33" s="28">
        <f>data3!O33/range*(2^resolution-1)</f>
        <v>0</v>
      </c>
      <c r="P33" s="28">
        <f>data3!P33/range*(2^resolution-1)</f>
        <v>0</v>
      </c>
      <c r="Q33" s="28">
        <f>data3!Q33/range*(2^resolution-1)</f>
        <v>0</v>
      </c>
      <c r="R33" s="28">
        <f>data3!R33/range*(2^resolution-1)</f>
        <v>0</v>
      </c>
      <c r="S33" s="28">
        <f>data3!S33/range*(2^resolution-1)</f>
        <v>0</v>
      </c>
      <c r="T33" s="28">
        <f>data3!T33/range*(2^resolution-1)</f>
        <v>0</v>
      </c>
      <c r="U33" s="28">
        <f>data3!U33/range*(2^resolution-1)</f>
        <v>0</v>
      </c>
      <c r="V33" s="28">
        <f>data3!V33/range*(2^resolution-1)</f>
        <v>0</v>
      </c>
      <c r="W33" s="28">
        <f>data3!W33/range*(2^resolution-1)</f>
        <v>0</v>
      </c>
      <c r="X33" s="28">
        <f>data3!X33/range*(2^resolution-1)</f>
        <v>0</v>
      </c>
      <c r="Y33" s="28">
        <f>data3!Y33/range*(2^resolution-1)</f>
        <v>0</v>
      </c>
      <c r="Z33" s="28">
        <f>data3!Z33/range*(2^resolution-1)</f>
        <v>0</v>
      </c>
      <c r="AA33" s="28">
        <f>data3!AA33/range*(2^resolution-1)</f>
        <v>0</v>
      </c>
      <c r="AB33" s="28">
        <f>data3!AB33/range*(2^resolution-1)</f>
        <v>0</v>
      </c>
      <c r="AC33" s="28">
        <f>data3!AC33/range*(2^resolution-1)</f>
        <v>0</v>
      </c>
      <c r="AD33" s="28">
        <f>data3!AD33/range*(2^resolution-1)</f>
        <v>0</v>
      </c>
      <c r="AE33" s="28">
        <f>data3!AE33/range*(2^resolution-1)</f>
        <v>0</v>
      </c>
      <c r="AF33" s="28">
        <f>data3!AF33/range*(2^resolution-1)</f>
        <v>0</v>
      </c>
      <c r="AG33" s="28">
        <f>data3!AG33/range*(2^resolution-1)</f>
        <v>0</v>
      </c>
    </row>
    <row r="34" spans="1:33">
      <c r="A34" s="29">
        <f>data0!A34</f>
        <v>6</v>
      </c>
      <c r="B34" s="28">
        <f>data3!B34/range*(2^resolution-1)</f>
        <v>0</v>
      </c>
      <c r="C34" s="28">
        <f>data3!C34/range*(2^resolution-1)</f>
        <v>0</v>
      </c>
      <c r="D34" s="28">
        <f>data3!D34/range*(2^resolution-1)</f>
        <v>0</v>
      </c>
      <c r="E34" s="28">
        <f>data3!E34/range*(2^resolution-1)</f>
        <v>0</v>
      </c>
      <c r="F34" s="28">
        <f>data3!F34/range*(2^resolution-1)</f>
        <v>0</v>
      </c>
      <c r="G34" s="28">
        <f>data3!G34/range*(2^resolution-1)</f>
        <v>0</v>
      </c>
      <c r="H34" s="28">
        <f>data3!H34/range*(2^resolution-1)</f>
        <v>0</v>
      </c>
      <c r="I34" s="28">
        <f>data3!I34/range*(2^resolution-1)</f>
        <v>0</v>
      </c>
      <c r="J34" s="28">
        <f>data3!J34/range*(2^resolution-1)</f>
        <v>0</v>
      </c>
      <c r="K34" s="28">
        <f>data3!K34/range*(2^resolution-1)</f>
        <v>0</v>
      </c>
      <c r="L34" s="28">
        <f>data3!L34/range*(2^resolution-1)</f>
        <v>0</v>
      </c>
      <c r="M34" s="28">
        <f>data3!M34/range*(2^resolution-1)</f>
        <v>0</v>
      </c>
      <c r="N34" s="28">
        <f>data3!N34/range*(2^resolution-1)</f>
        <v>0</v>
      </c>
      <c r="O34" s="28">
        <f>data3!O34/range*(2^resolution-1)</f>
        <v>0</v>
      </c>
      <c r="P34" s="28">
        <f>data3!P34/range*(2^resolution-1)</f>
        <v>0</v>
      </c>
      <c r="Q34" s="28">
        <f>data3!Q34/range*(2^resolution-1)</f>
        <v>0</v>
      </c>
      <c r="R34" s="28">
        <f>data3!R34/range*(2^resolution-1)</f>
        <v>0</v>
      </c>
      <c r="S34" s="28">
        <f>data3!S34/range*(2^resolution-1)</f>
        <v>0</v>
      </c>
      <c r="T34" s="28">
        <f>data3!T34/range*(2^resolution-1)</f>
        <v>0</v>
      </c>
      <c r="U34" s="28">
        <f>data3!U34/range*(2^resolution-1)</f>
        <v>0</v>
      </c>
      <c r="V34" s="28">
        <f>data3!V34/range*(2^resolution-1)</f>
        <v>0</v>
      </c>
      <c r="W34" s="28">
        <f>data3!W34/range*(2^resolution-1)</f>
        <v>0</v>
      </c>
      <c r="X34" s="28">
        <f>data3!X34/range*(2^resolution-1)</f>
        <v>0</v>
      </c>
      <c r="Y34" s="28">
        <f>data3!Y34/range*(2^resolution-1)</f>
        <v>0</v>
      </c>
      <c r="Z34" s="28">
        <f>data3!Z34/range*(2^resolution-1)</f>
        <v>0</v>
      </c>
      <c r="AA34" s="28">
        <f>data3!AA34/range*(2^resolution-1)</f>
        <v>0</v>
      </c>
      <c r="AB34" s="28">
        <f>data3!AB34/range*(2^resolution-1)</f>
        <v>0</v>
      </c>
      <c r="AC34" s="28">
        <f>data3!AC34/range*(2^resolution-1)</f>
        <v>0</v>
      </c>
      <c r="AD34" s="28">
        <f>data3!AD34/range*(2^resolution-1)</f>
        <v>0</v>
      </c>
      <c r="AE34" s="28">
        <f>data3!AE34/range*(2^resolution-1)</f>
        <v>0</v>
      </c>
      <c r="AF34" s="28">
        <f>data3!AF34/range*(2^resolution-1)</f>
        <v>0</v>
      </c>
      <c r="AG34" s="28">
        <f>data3!AG34/range*(2^resolution-1)</f>
        <v>0</v>
      </c>
    </row>
    <row r="35" spans="1:33">
      <c r="A35" s="29">
        <f>data0!A35</f>
        <v>9</v>
      </c>
      <c r="B35" s="28">
        <f>data3!B35/range*(2^resolution-1)</f>
        <v>0</v>
      </c>
      <c r="C35" s="28">
        <f>data3!C35/range*(2^resolution-1)</f>
        <v>0</v>
      </c>
      <c r="D35" s="28">
        <f>data3!D35/range*(2^resolution-1)</f>
        <v>0</v>
      </c>
      <c r="E35" s="28">
        <f>data3!E35/range*(2^resolution-1)</f>
        <v>0</v>
      </c>
      <c r="F35" s="28">
        <f>data3!F35/range*(2^resolution-1)</f>
        <v>0</v>
      </c>
      <c r="G35" s="28">
        <f>data3!G35/range*(2^resolution-1)</f>
        <v>0</v>
      </c>
      <c r="H35" s="28">
        <f>data3!H35/range*(2^resolution-1)</f>
        <v>0</v>
      </c>
      <c r="I35" s="28">
        <f>data3!I35/range*(2^resolution-1)</f>
        <v>0</v>
      </c>
      <c r="J35" s="28">
        <f>data3!J35/range*(2^resolution-1)</f>
        <v>0</v>
      </c>
      <c r="K35" s="28">
        <f>data3!K35/range*(2^resolution-1)</f>
        <v>0</v>
      </c>
      <c r="L35" s="28">
        <f>data3!L35/range*(2^resolution-1)</f>
        <v>0</v>
      </c>
      <c r="M35" s="28">
        <f>data3!M35/range*(2^resolution-1)</f>
        <v>0</v>
      </c>
      <c r="N35" s="28">
        <f>data3!N35/range*(2^resolution-1)</f>
        <v>0</v>
      </c>
      <c r="O35" s="28">
        <f>data3!O35/range*(2^resolution-1)</f>
        <v>0</v>
      </c>
      <c r="P35" s="28">
        <f>data3!P35/range*(2^resolution-1)</f>
        <v>0</v>
      </c>
      <c r="Q35" s="28">
        <f>data3!Q35/range*(2^resolution-1)</f>
        <v>0</v>
      </c>
      <c r="R35" s="28">
        <f>data3!R35/range*(2^resolution-1)</f>
        <v>0</v>
      </c>
      <c r="S35" s="28">
        <f>data3!S35/range*(2^resolution-1)</f>
        <v>0</v>
      </c>
      <c r="T35" s="28">
        <f>data3!T35/range*(2^resolution-1)</f>
        <v>0</v>
      </c>
      <c r="U35" s="28">
        <f>data3!U35/range*(2^resolution-1)</f>
        <v>0</v>
      </c>
      <c r="V35" s="28">
        <f>data3!V35/range*(2^resolution-1)</f>
        <v>0</v>
      </c>
      <c r="W35" s="28">
        <f>data3!W35/range*(2^resolution-1)</f>
        <v>0</v>
      </c>
      <c r="X35" s="28">
        <f>data3!X35/range*(2^resolution-1)</f>
        <v>0</v>
      </c>
      <c r="Y35" s="28">
        <f>data3!Y35/range*(2^resolution-1)</f>
        <v>0</v>
      </c>
      <c r="Z35" s="28">
        <f>data3!Z35/range*(2^resolution-1)</f>
        <v>0</v>
      </c>
      <c r="AA35" s="28">
        <f>data3!AA35/range*(2^resolution-1)</f>
        <v>0</v>
      </c>
      <c r="AB35" s="28">
        <f>data3!AB35/range*(2^resolution-1)</f>
        <v>0</v>
      </c>
      <c r="AC35" s="28">
        <f>data3!AC35/range*(2^resolution-1)</f>
        <v>0</v>
      </c>
      <c r="AD35" s="28">
        <f>data3!AD35/range*(2^resolution-1)</f>
        <v>0</v>
      </c>
      <c r="AE35" s="28">
        <f>data3!AE35/range*(2^resolution-1)</f>
        <v>0</v>
      </c>
      <c r="AF35" s="28">
        <f>data3!AF35/range*(2^resolution-1)</f>
        <v>0</v>
      </c>
      <c r="AG35" s="28">
        <f>data3!AG35/range*(2^resolution-1)</f>
        <v>0</v>
      </c>
    </row>
    <row r="36" spans="1:33">
      <c r="A36" s="29">
        <f>data0!A36</f>
        <v>12</v>
      </c>
      <c r="B36" s="28">
        <f>data3!B36/range*(2^resolution-1)</f>
        <v>0</v>
      </c>
      <c r="C36" s="28">
        <f>data3!C36/range*(2^resolution-1)</f>
        <v>0</v>
      </c>
      <c r="D36" s="28">
        <f>data3!D36/range*(2^resolution-1)</f>
        <v>0</v>
      </c>
      <c r="E36" s="28">
        <f>data3!E36/range*(2^resolution-1)</f>
        <v>0</v>
      </c>
      <c r="F36" s="28">
        <f>data3!F36/range*(2^resolution-1)</f>
        <v>0</v>
      </c>
      <c r="G36" s="28">
        <f>data3!G36/range*(2^resolution-1)</f>
        <v>0</v>
      </c>
      <c r="H36" s="28">
        <f>data3!H36/range*(2^resolution-1)</f>
        <v>0</v>
      </c>
      <c r="I36" s="28">
        <f>data3!I36/range*(2^resolution-1)</f>
        <v>0</v>
      </c>
      <c r="J36" s="28">
        <f>data3!J36/range*(2^resolution-1)</f>
        <v>0</v>
      </c>
      <c r="K36" s="28">
        <f>data3!K36/range*(2^resolution-1)</f>
        <v>0</v>
      </c>
      <c r="L36" s="28">
        <f>data3!L36/range*(2^resolution-1)</f>
        <v>0</v>
      </c>
      <c r="M36" s="28">
        <f>data3!M36/range*(2^resolution-1)</f>
        <v>0</v>
      </c>
      <c r="N36" s="28">
        <f>data3!N36/range*(2^resolution-1)</f>
        <v>0</v>
      </c>
      <c r="O36" s="28">
        <f>data3!O36/range*(2^resolution-1)</f>
        <v>0</v>
      </c>
      <c r="P36" s="28">
        <f>data3!P36/range*(2^resolution-1)</f>
        <v>0</v>
      </c>
      <c r="Q36" s="28">
        <f>data3!Q36/range*(2^resolution-1)</f>
        <v>0</v>
      </c>
      <c r="R36" s="28">
        <f>data3!R36/range*(2^resolution-1)</f>
        <v>0</v>
      </c>
      <c r="S36" s="28">
        <f>data3!S36/range*(2^resolution-1)</f>
        <v>0</v>
      </c>
      <c r="T36" s="28">
        <f>data3!T36/range*(2^resolution-1)</f>
        <v>0</v>
      </c>
      <c r="U36" s="28">
        <f>data3!U36/range*(2^resolution-1)</f>
        <v>0</v>
      </c>
      <c r="V36" s="28">
        <f>data3!V36/range*(2^resolution-1)</f>
        <v>0</v>
      </c>
      <c r="W36" s="28">
        <f>data3!W36/range*(2^resolution-1)</f>
        <v>0</v>
      </c>
      <c r="X36" s="28">
        <f>data3!X36/range*(2^resolution-1)</f>
        <v>0</v>
      </c>
      <c r="Y36" s="28">
        <f>data3!Y36/range*(2^resolution-1)</f>
        <v>0</v>
      </c>
      <c r="Z36" s="28">
        <f>data3!Z36/range*(2^resolution-1)</f>
        <v>0</v>
      </c>
      <c r="AA36" s="28">
        <f>data3!AA36/range*(2^resolution-1)</f>
        <v>0</v>
      </c>
      <c r="AB36" s="28">
        <f>data3!AB36/range*(2^resolution-1)</f>
        <v>0</v>
      </c>
      <c r="AC36" s="28">
        <f>data3!AC36/range*(2^resolution-1)</f>
        <v>0</v>
      </c>
      <c r="AD36" s="28">
        <f>data3!AD36/range*(2^resolution-1)</f>
        <v>0</v>
      </c>
      <c r="AE36" s="28">
        <f>data3!AE36/range*(2^resolution-1)</f>
        <v>0</v>
      </c>
      <c r="AF36" s="28">
        <f>data3!AF36/range*(2^resolution-1)</f>
        <v>0</v>
      </c>
      <c r="AG36" s="28">
        <f>data3!AG36/range*(2^resolution-1)</f>
        <v>0</v>
      </c>
    </row>
    <row r="37" spans="1:33">
      <c r="A37" s="29">
        <f>data0!A37</f>
        <v>15</v>
      </c>
      <c r="B37" s="28">
        <f>data3!B37/range*(2^resolution-1)</f>
        <v>0</v>
      </c>
      <c r="C37" s="28">
        <f>data3!C37/range*(2^resolution-1)</f>
        <v>0</v>
      </c>
      <c r="D37" s="28">
        <f>data3!D37/range*(2^resolution-1)</f>
        <v>0</v>
      </c>
      <c r="E37" s="28">
        <f>data3!E37/range*(2^resolution-1)</f>
        <v>0</v>
      </c>
      <c r="F37" s="28">
        <f>data3!F37/range*(2^resolution-1)</f>
        <v>0</v>
      </c>
      <c r="G37" s="28">
        <f>data3!G37/range*(2^resolution-1)</f>
        <v>0</v>
      </c>
      <c r="H37" s="28">
        <f>data3!H37/range*(2^resolution-1)</f>
        <v>0</v>
      </c>
      <c r="I37" s="28">
        <f>data3!I37/range*(2^resolution-1)</f>
        <v>0</v>
      </c>
      <c r="J37" s="28">
        <f>data3!J37/range*(2^resolution-1)</f>
        <v>0</v>
      </c>
      <c r="K37" s="28">
        <f>data3!K37/range*(2^resolution-1)</f>
        <v>0</v>
      </c>
      <c r="L37" s="28">
        <f>data3!L37/range*(2^resolution-1)</f>
        <v>0</v>
      </c>
      <c r="M37" s="28">
        <f>data3!M37/range*(2^resolution-1)</f>
        <v>0</v>
      </c>
      <c r="N37" s="28">
        <f>data3!N37/range*(2^resolution-1)</f>
        <v>0</v>
      </c>
      <c r="O37" s="28">
        <f>data3!O37/range*(2^resolution-1)</f>
        <v>0</v>
      </c>
      <c r="P37" s="28">
        <f>data3!P37/range*(2^resolution-1)</f>
        <v>0</v>
      </c>
      <c r="Q37" s="28">
        <f>data3!Q37/range*(2^resolution-1)</f>
        <v>0</v>
      </c>
      <c r="R37" s="28">
        <f>data3!R37/range*(2^resolution-1)</f>
        <v>0</v>
      </c>
      <c r="S37" s="28">
        <f>data3!S37/range*(2^resolution-1)</f>
        <v>0</v>
      </c>
      <c r="T37" s="28">
        <f>data3!T37/range*(2^resolution-1)</f>
        <v>0</v>
      </c>
      <c r="U37" s="28">
        <f>data3!U37/range*(2^resolution-1)</f>
        <v>0</v>
      </c>
      <c r="V37" s="28">
        <f>data3!V37/range*(2^resolution-1)</f>
        <v>0</v>
      </c>
      <c r="W37" s="28">
        <f>data3!W37/range*(2^resolution-1)</f>
        <v>0</v>
      </c>
      <c r="X37" s="28">
        <f>data3!X37/range*(2^resolution-1)</f>
        <v>0</v>
      </c>
      <c r="Y37" s="28">
        <f>data3!Y37/range*(2^resolution-1)</f>
        <v>0</v>
      </c>
      <c r="Z37" s="28">
        <f>data3!Z37/range*(2^resolution-1)</f>
        <v>0</v>
      </c>
      <c r="AA37" s="28">
        <f>data3!AA37/range*(2^resolution-1)</f>
        <v>0</v>
      </c>
      <c r="AB37" s="28">
        <f>data3!AB37/range*(2^resolution-1)</f>
        <v>0</v>
      </c>
      <c r="AC37" s="28">
        <f>data3!AC37/range*(2^resolution-1)</f>
        <v>0</v>
      </c>
      <c r="AD37" s="28">
        <f>data3!AD37/range*(2^resolution-1)</f>
        <v>0</v>
      </c>
      <c r="AE37" s="28">
        <f>data3!AE37/range*(2^resolution-1)</f>
        <v>0</v>
      </c>
      <c r="AF37" s="28">
        <f>data3!AF37/range*(2^resolution-1)</f>
        <v>0</v>
      </c>
      <c r="AG37" s="28">
        <f>data3!AG37/range*(2^resolution-1)</f>
        <v>0</v>
      </c>
    </row>
    <row r="38" spans="1:33">
      <c r="A38" s="29">
        <f>data0!A38</f>
        <v>18</v>
      </c>
      <c r="B38" s="28">
        <f>data3!B38/range*(2^resolution-1)</f>
        <v>0</v>
      </c>
      <c r="C38" s="28">
        <f>data3!C38/range*(2^resolution-1)</f>
        <v>0</v>
      </c>
      <c r="D38" s="28">
        <f>data3!D38/range*(2^resolution-1)</f>
        <v>0</v>
      </c>
      <c r="E38" s="28">
        <f>data3!E38/range*(2^resolution-1)</f>
        <v>0</v>
      </c>
      <c r="F38" s="28">
        <f>data3!F38/range*(2^resolution-1)</f>
        <v>0</v>
      </c>
      <c r="G38" s="28">
        <f>data3!G38/range*(2^resolution-1)</f>
        <v>0</v>
      </c>
      <c r="H38" s="28">
        <f>data3!H38/range*(2^resolution-1)</f>
        <v>0</v>
      </c>
      <c r="I38" s="28">
        <f>data3!I38/range*(2^resolution-1)</f>
        <v>0</v>
      </c>
      <c r="J38" s="28">
        <f>data3!J38/range*(2^resolution-1)</f>
        <v>0</v>
      </c>
      <c r="K38" s="28">
        <f>data3!K38/range*(2^resolution-1)</f>
        <v>0</v>
      </c>
      <c r="L38" s="28">
        <f>data3!L38/range*(2^resolution-1)</f>
        <v>0</v>
      </c>
      <c r="M38" s="28">
        <f>data3!M38/range*(2^resolution-1)</f>
        <v>0</v>
      </c>
      <c r="N38" s="28">
        <f>data3!N38/range*(2^resolution-1)</f>
        <v>0</v>
      </c>
      <c r="O38" s="28">
        <f>data3!O38/range*(2^resolution-1)</f>
        <v>0</v>
      </c>
      <c r="P38" s="28">
        <f>data3!P38/range*(2^resolution-1)</f>
        <v>0</v>
      </c>
      <c r="Q38" s="28">
        <f>data3!Q38/range*(2^resolution-1)</f>
        <v>0</v>
      </c>
      <c r="R38" s="28">
        <f>data3!R38/range*(2^resolution-1)</f>
        <v>0</v>
      </c>
      <c r="S38" s="28">
        <f>data3!S38/range*(2^resolution-1)</f>
        <v>0</v>
      </c>
      <c r="T38" s="28">
        <f>data3!T38/range*(2^resolution-1)</f>
        <v>0</v>
      </c>
      <c r="U38" s="28">
        <f>data3!U38/range*(2^resolution-1)</f>
        <v>0</v>
      </c>
      <c r="V38" s="28">
        <f>data3!V38/range*(2^resolution-1)</f>
        <v>0</v>
      </c>
      <c r="W38" s="28">
        <f>data3!W38/range*(2^resolution-1)</f>
        <v>0</v>
      </c>
      <c r="X38" s="28">
        <f>data3!X38/range*(2^resolution-1)</f>
        <v>0</v>
      </c>
      <c r="Y38" s="28">
        <f>data3!Y38/range*(2^resolution-1)</f>
        <v>0</v>
      </c>
      <c r="Z38" s="28">
        <f>data3!Z38/range*(2^resolution-1)</f>
        <v>0</v>
      </c>
      <c r="AA38" s="28">
        <f>data3!AA38/range*(2^resolution-1)</f>
        <v>0</v>
      </c>
      <c r="AB38" s="28">
        <f>data3!AB38/range*(2^resolution-1)</f>
        <v>0</v>
      </c>
      <c r="AC38" s="28">
        <f>data3!AC38/range*(2^resolution-1)</f>
        <v>0</v>
      </c>
      <c r="AD38" s="28">
        <f>data3!AD38/range*(2^resolution-1)</f>
        <v>0</v>
      </c>
      <c r="AE38" s="28">
        <f>data3!AE38/range*(2^resolution-1)</f>
        <v>0</v>
      </c>
      <c r="AF38" s="28">
        <f>data3!AF38/range*(2^resolution-1)</f>
        <v>0</v>
      </c>
      <c r="AG38" s="28">
        <f>data3!AG38/range*(2^resolution-1)</f>
        <v>0</v>
      </c>
    </row>
    <row r="39" spans="1:33">
      <c r="A39" s="29">
        <f>data0!A39</f>
        <v>21</v>
      </c>
      <c r="B39" s="28">
        <f>data3!B39/range*(2^resolution-1)</f>
        <v>0</v>
      </c>
      <c r="C39" s="28">
        <f>data3!C39/range*(2^resolution-1)</f>
        <v>0</v>
      </c>
      <c r="D39" s="28">
        <f>data3!D39/range*(2^resolution-1)</f>
        <v>0</v>
      </c>
      <c r="E39" s="28">
        <f>data3!E39/range*(2^resolution-1)</f>
        <v>0</v>
      </c>
      <c r="F39" s="28">
        <f>data3!F39/range*(2^resolution-1)</f>
        <v>0</v>
      </c>
      <c r="G39" s="28">
        <f>data3!G39/range*(2^resolution-1)</f>
        <v>0</v>
      </c>
      <c r="H39" s="28">
        <f>data3!H39/range*(2^resolution-1)</f>
        <v>0</v>
      </c>
      <c r="I39" s="28">
        <f>data3!I39/range*(2^resolution-1)</f>
        <v>0</v>
      </c>
      <c r="J39" s="28">
        <f>data3!J39/range*(2^resolution-1)</f>
        <v>0</v>
      </c>
      <c r="K39" s="28">
        <f>data3!K39/range*(2^resolution-1)</f>
        <v>0</v>
      </c>
      <c r="L39" s="28">
        <f>data3!L39/range*(2^resolution-1)</f>
        <v>0</v>
      </c>
      <c r="M39" s="28">
        <f>data3!M39/range*(2^resolution-1)</f>
        <v>0</v>
      </c>
      <c r="N39" s="28">
        <f>data3!N39/range*(2^resolution-1)</f>
        <v>0</v>
      </c>
      <c r="O39" s="28">
        <f>data3!O39/range*(2^resolution-1)</f>
        <v>0</v>
      </c>
      <c r="P39" s="28">
        <f>data3!P39/range*(2^resolution-1)</f>
        <v>0</v>
      </c>
      <c r="Q39" s="28">
        <f>data3!Q39/range*(2^resolution-1)</f>
        <v>0</v>
      </c>
      <c r="R39" s="28">
        <f>data3!R39/range*(2^resolution-1)</f>
        <v>0</v>
      </c>
      <c r="S39" s="28">
        <f>data3!S39/range*(2^resolution-1)</f>
        <v>0</v>
      </c>
      <c r="T39" s="28">
        <f>data3!T39/range*(2^resolution-1)</f>
        <v>0</v>
      </c>
      <c r="U39" s="28">
        <f>data3!U39/range*(2^resolution-1)</f>
        <v>0</v>
      </c>
      <c r="V39" s="28">
        <f>data3!V39/range*(2^resolution-1)</f>
        <v>0</v>
      </c>
      <c r="W39" s="28">
        <f>data3!W39/range*(2^resolution-1)</f>
        <v>0</v>
      </c>
      <c r="X39" s="28">
        <f>data3!X39/range*(2^resolution-1)</f>
        <v>0</v>
      </c>
      <c r="Y39" s="28">
        <f>data3!Y39/range*(2^resolution-1)</f>
        <v>0</v>
      </c>
      <c r="Z39" s="28">
        <f>data3!Z39/range*(2^resolution-1)</f>
        <v>0</v>
      </c>
      <c r="AA39" s="28">
        <f>data3!AA39/range*(2^resolution-1)</f>
        <v>0</v>
      </c>
      <c r="AB39" s="28">
        <f>data3!AB39/range*(2^resolution-1)</f>
        <v>0</v>
      </c>
      <c r="AC39" s="28">
        <f>data3!AC39/range*(2^resolution-1)</f>
        <v>0</v>
      </c>
      <c r="AD39" s="28">
        <f>data3!AD39/range*(2^resolution-1)</f>
        <v>0</v>
      </c>
      <c r="AE39" s="28">
        <f>data3!AE39/range*(2^resolution-1)</f>
        <v>0</v>
      </c>
      <c r="AF39" s="28">
        <f>data3!AF39/range*(2^resolution-1)</f>
        <v>0</v>
      </c>
      <c r="AG39" s="28">
        <f>data3!AG39/range*(2^resolution-1)</f>
        <v>0</v>
      </c>
    </row>
    <row r="40" spans="1:33">
      <c r="A40" s="29">
        <f>data0!A40</f>
        <v>24</v>
      </c>
      <c r="B40" s="28">
        <f>data3!B40/range*(2^resolution-1)</f>
        <v>0</v>
      </c>
      <c r="C40" s="28">
        <f>data3!C40/range*(2^resolution-1)</f>
        <v>0</v>
      </c>
      <c r="D40" s="28">
        <f>data3!D40/range*(2^resolution-1)</f>
        <v>0</v>
      </c>
      <c r="E40" s="28">
        <f>data3!E40/range*(2^resolution-1)</f>
        <v>0</v>
      </c>
      <c r="F40" s="28">
        <f>data3!F40/range*(2^resolution-1)</f>
        <v>0</v>
      </c>
      <c r="G40" s="28">
        <f>data3!G40/range*(2^resolution-1)</f>
        <v>0</v>
      </c>
      <c r="H40" s="28">
        <f>data3!H40/range*(2^resolution-1)</f>
        <v>0</v>
      </c>
      <c r="I40" s="28">
        <f>data3!I40/range*(2^resolution-1)</f>
        <v>0</v>
      </c>
      <c r="J40" s="28">
        <f>data3!J40/range*(2^resolution-1)</f>
        <v>0</v>
      </c>
      <c r="K40" s="28">
        <f>data3!K40/range*(2^resolution-1)</f>
        <v>0</v>
      </c>
      <c r="L40" s="28">
        <f>data3!L40/range*(2^resolution-1)</f>
        <v>0</v>
      </c>
      <c r="M40" s="28">
        <f>data3!M40/range*(2^resolution-1)</f>
        <v>0</v>
      </c>
      <c r="N40" s="28">
        <f>data3!N40/range*(2^resolution-1)</f>
        <v>0</v>
      </c>
      <c r="O40" s="28">
        <f>data3!O40/range*(2^resolution-1)</f>
        <v>0</v>
      </c>
      <c r="P40" s="28">
        <f>data3!P40/range*(2^resolution-1)</f>
        <v>0</v>
      </c>
      <c r="Q40" s="28">
        <f>data3!Q40/range*(2^resolution-1)</f>
        <v>0</v>
      </c>
      <c r="R40" s="28">
        <f>data3!R40/range*(2^resolution-1)</f>
        <v>0</v>
      </c>
      <c r="S40" s="28">
        <f>data3!S40/range*(2^resolution-1)</f>
        <v>0</v>
      </c>
      <c r="T40" s="28">
        <f>data3!T40/range*(2^resolution-1)</f>
        <v>0</v>
      </c>
      <c r="U40" s="28">
        <f>data3!U40/range*(2^resolution-1)</f>
        <v>0</v>
      </c>
      <c r="V40" s="28">
        <f>data3!V40/range*(2^resolution-1)</f>
        <v>0</v>
      </c>
      <c r="W40" s="28">
        <f>data3!W40/range*(2^resolution-1)</f>
        <v>0</v>
      </c>
      <c r="X40" s="28">
        <f>data3!X40/range*(2^resolution-1)</f>
        <v>0</v>
      </c>
      <c r="Y40" s="28">
        <f>data3!Y40/range*(2^resolution-1)</f>
        <v>0</v>
      </c>
      <c r="Z40" s="28">
        <f>data3!Z40/range*(2^resolution-1)</f>
        <v>0</v>
      </c>
      <c r="AA40" s="28">
        <f>data3!AA40/range*(2^resolution-1)</f>
        <v>0</v>
      </c>
      <c r="AB40" s="28">
        <f>data3!AB40/range*(2^resolution-1)</f>
        <v>0</v>
      </c>
      <c r="AC40" s="28">
        <f>data3!AC40/range*(2^resolution-1)</f>
        <v>0</v>
      </c>
      <c r="AD40" s="28">
        <f>data3!AD40/range*(2^resolution-1)</f>
        <v>0</v>
      </c>
      <c r="AE40" s="28">
        <f>data3!AE40/range*(2^resolution-1)</f>
        <v>0</v>
      </c>
      <c r="AF40" s="28">
        <f>data3!AF40/range*(2^resolution-1)</f>
        <v>0</v>
      </c>
      <c r="AG40" s="28">
        <f>data3!AG40/range*(2^resolution-1)</f>
        <v>0</v>
      </c>
    </row>
    <row r="41" spans="1:33">
      <c r="A41" s="29">
        <f>data0!A41</f>
        <v>27</v>
      </c>
      <c r="B41" s="28">
        <f>data3!B41/range*(2^resolution-1)</f>
        <v>0</v>
      </c>
      <c r="C41" s="28">
        <f>data3!C41/range*(2^resolution-1)</f>
        <v>0</v>
      </c>
      <c r="D41" s="28">
        <f>data3!D41/range*(2^resolution-1)</f>
        <v>0</v>
      </c>
      <c r="E41" s="28">
        <f>data3!E41/range*(2^resolution-1)</f>
        <v>0</v>
      </c>
      <c r="F41" s="28">
        <f>data3!F41/range*(2^resolution-1)</f>
        <v>0</v>
      </c>
      <c r="G41" s="28">
        <f>data3!G41/range*(2^resolution-1)</f>
        <v>0</v>
      </c>
      <c r="H41" s="28">
        <f>data3!H41/range*(2^resolution-1)</f>
        <v>0</v>
      </c>
      <c r="I41" s="28">
        <f>data3!I41/range*(2^resolution-1)</f>
        <v>0</v>
      </c>
      <c r="J41" s="28">
        <f>data3!J41/range*(2^resolution-1)</f>
        <v>0</v>
      </c>
      <c r="K41" s="28">
        <f>data3!K41/range*(2^resolution-1)</f>
        <v>0</v>
      </c>
      <c r="L41" s="28">
        <f>data3!L41/range*(2^resolution-1)</f>
        <v>0</v>
      </c>
      <c r="M41" s="28">
        <f>data3!M41/range*(2^resolution-1)</f>
        <v>0</v>
      </c>
      <c r="N41" s="28">
        <f>data3!N41/range*(2^resolution-1)</f>
        <v>0</v>
      </c>
      <c r="O41" s="28">
        <f>data3!O41/range*(2^resolution-1)</f>
        <v>0</v>
      </c>
      <c r="P41" s="28">
        <f>data3!P41/range*(2^resolution-1)</f>
        <v>0</v>
      </c>
      <c r="Q41" s="28">
        <f>data3!Q41/range*(2^resolution-1)</f>
        <v>0</v>
      </c>
      <c r="R41" s="28">
        <f>data3!R41/range*(2^resolution-1)</f>
        <v>0</v>
      </c>
      <c r="S41" s="28">
        <f>data3!S41/range*(2^resolution-1)</f>
        <v>0</v>
      </c>
      <c r="T41" s="28">
        <f>data3!T41/range*(2^resolution-1)</f>
        <v>0</v>
      </c>
      <c r="U41" s="28">
        <f>data3!U41/range*(2^resolution-1)</f>
        <v>0</v>
      </c>
      <c r="V41" s="28">
        <f>data3!V41/range*(2^resolution-1)</f>
        <v>0</v>
      </c>
      <c r="W41" s="28">
        <f>data3!W41/range*(2^resolution-1)</f>
        <v>0</v>
      </c>
      <c r="X41" s="28">
        <f>data3!X41/range*(2^resolution-1)</f>
        <v>0</v>
      </c>
      <c r="Y41" s="28">
        <f>data3!Y41/range*(2^resolution-1)</f>
        <v>0</v>
      </c>
      <c r="Z41" s="28">
        <f>data3!Z41/range*(2^resolution-1)</f>
        <v>0</v>
      </c>
      <c r="AA41" s="28">
        <f>data3!AA41/range*(2^resolution-1)</f>
        <v>0</v>
      </c>
      <c r="AB41" s="28">
        <f>data3!AB41/range*(2^resolution-1)</f>
        <v>0</v>
      </c>
      <c r="AC41" s="28">
        <f>data3!AC41/range*(2^resolution-1)</f>
        <v>0</v>
      </c>
      <c r="AD41" s="28">
        <f>data3!AD41/range*(2^resolution-1)</f>
        <v>0</v>
      </c>
      <c r="AE41" s="28">
        <f>data3!AE41/range*(2^resolution-1)</f>
        <v>0</v>
      </c>
      <c r="AF41" s="28">
        <f>data3!AF41/range*(2^resolution-1)</f>
        <v>0</v>
      </c>
      <c r="AG41" s="28">
        <f>data3!AG41/range*(2^resolution-1)</f>
        <v>0</v>
      </c>
    </row>
    <row r="42" spans="1:33">
      <c r="A42" s="29">
        <f>data0!A42</f>
        <v>30</v>
      </c>
      <c r="B42" s="28">
        <f>data3!B42/range*(2^resolution-1)</f>
        <v>0</v>
      </c>
      <c r="C42" s="28">
        <f>data3!C42/range*(2^resolution-1)</f>
        <v>0</v>
      </c>
      <c r="D42" s="28">
        <f>data3!D42/range*(2^resolution-1)</f>
        <v>0</v>
      </c>
      <c r="E42" s="28">
        <f>data3!E42/range*(2^resolution-1)</f>
        <v>0</v>
      </c>
      <c r="F42" s="28">
        <f>data3!F42/range*(2^resolution-1)</f>
        <v>0</v>
      </c>
      <c r="G42" s="28">
        <f>data3!G42/range*(2^resolution-1)</f>
        <v>0</v>
      </c>
      <c r="H42" s="28">
        <f>data3!H42/range*(2^resolution-1)</f>
        <v>0</v>
      </c>
      <c r="I42" s="28">
        <f>data3!I42/range*(2^resolution-1)</f>
        <v>0</v>
      </c>
      <c r="J42" s="28">
        <f>data3!J42/range*(2^resolution-1)</f>
        <v>0</v>
      </c>
      <c r="K42" s="28">
        <f>data3!K42/range*(2^resolution-1)</f>
        <v>0</v>
      </c>
      <c r="L42" s="28">
        <f>data3!L42/range*(2^resolution-1)</f>
        <v>0</v>
      </c>
      <c r="M42" s="28">
        <f>data3!M42/range*(2^resolution-1)</f>
        <v>0</v>
      </c>
      <c r="N42" s="28">
        <f>data3!N42/range*(2^resolution-1)</f>
        <v>0</v>
      </c>
      <c r="O42" s="28">
        <f>data3!O42/range*(2^resolution-1)</f>
        <v>0</v>
      </c>
      <c r="P42" s="28">
        <f>data3!P42/range*(2^resolution-1)</f>
        <v>0</v>
      </c>
      <c r="Q42" s="28">
        <f>data3!Q42/range*(2^resolution-1)</f>
        <v>0</v>
      </c>
      <c r="R42" s="28">
        <f>data3!R42/range*(2^resolution-1)</f>
        <v>0</v>
      </c>
      <c r="S42" s="28">
        <f>data3!S42/range*(2^resolution-1)</f>
        <v>0</v>
      </c>
      <c r="T42" s="28">
        <f>data3!T42/range*(2^resolution-1)</f>
        <v>0</v>
      </c>
      <c r="U42" s="28">
        <f>data3!U42/range*(2^resolution-1)</f>
        <v>0</v>
      </c>
      <c r="V42" s="28">
        <f>data3!V42/range*(2^resolution-1)</f>
        <v>0</v>
      </c>
      <c r="W42" s="28">
        <f>data3!W42/range*(2^resolution-1)</f>
        <v>0</v>
      </c>
      <c r="X42" s="28">
        <f>data3!X42/range*(2^resolution-1)</f>
        <v>0</v>
      </c>
      <c r="Y42" s="28">
        <f>data3!Y42/range*(2^resolution-1)</f>
        <v>0</v>
      </c>
      <c r="Z42" s="28">
        <f>data3!Z42/range*(2^resolution-1)</f>
        <v>0</v>
      </c>
      <c r="AA42" s="28">
        <f>data3!AA42/range*(2^resolution-1)</f>
        <v>0</v>
      </c>
      <c r="AB42" s="28">
        <f>data3!AB42/range*(2^resolution-1)</f>
        <v>0</v>
      </c>
      <c r="AC42" s="28">
        <f>data3!AC42/range*(2^resolution-1)</f>
        <v>0</v>
      </c>
      <c r="AD42" s="28">
        <f>data3!AD42/range*(2^resolution-1)</f>
        <v>0</v>
      </c>
      <c r="AE42" s="28">
        <f>data3!AE42/range*(2^resolution-1)</f>
        <v>0</v>
      </c>
      <c r="AF42" s="28">
        <f>data3!AF42/range*(2^resolution-1)</f>
        <v>0</v>
      </c>
      <c r="AG42" s="28">
        <f>data3!AG42/range*(2^resolution-1)</f>
        <v>0</v>
      </c>
    </row>
    <row r="43" spans="1:33">
      <c r="A43" s="29">
        <f>data0!A43</f>
        <v>33</v>
      </c>
      <c r="B43" s="28">
        <f>data3!B43/range*(2^resolution-1)</f>
        <v>0</v>
      </c>
      <c r="C43" s="28">
        <f>data3!C43/range*(2^resolution-1)</f>
        <v>0</v>
      </c>
      <c r="D43" s="28">
        <f>data3!D43/range*(2^resolution-1)</f>
        <v>0</v>
      </c>
      <c r="E43" s="28">
        <f>data3!E43/range*(2^resolution-1)</f>
        <v>0</v>
      </c>
      <c r="F43" s="28">
        <f>data3!F43/range*(2^resolution-1)</f>
        <v>0</v>
      </c>
      <c r="G43" s="28">
        <f>data3!G43/range*(2^resolution-1)</f>
        <v>0</v>
      </c>
      <c r="H43" s="28">
        <f>data3!H43/range*(2^resolution-1)</f>
        <v>0</v>
      </c>
      <c r="I43" s="28">
        <f>data3!I43/range*(2^resolution-1)</f>
        <v>0</v>
      </c>
      <c r="J43" s="28">
        <f>data3!J43/range*(2^resolution-1)</f>
        <v>0</v>
      </c>
      <c r="K43" s="28">
        <f>data3!K43/range*(2^resolution-1)</f>
        <v>0</v>
      </c>
      <c r="L43" s="28">
        <f>data3!L43/range*(2^resolution-1)</f>
        <v>0</v>
      </c>
      <c r="M43" s="28">
        <f>data3!M43/range*(2^resolution-1)</f>
        <v>0</v>
      </c>
      <c r="N43" s="28">
        <f>data3!N43/range*(2^resolution-1)</f>
        <v>0</v>
      </c>
      <c r="O43" s="28">
        <f>data3!O43/range*(2^resolution-1)</f>
        <v>0</v>
      </c>
      <c r="P43" s="28">
        <f>data3!P43/range*(2^resolution-1)</f>
        <v>0</v>
      </c>
      <c r="Q43" s="28">
        <f>data3!Q43/range*(2^resolution-1)</f>
        <v>0</v>
      </c>
      <c r="R43" s="28">
        <f>data3!R43/range*(2^resolution-1)</f>
        <v>0</v>
      </c>
      <c r="S43" s="28">
        <f>data3!S43/range*(2^resolution-1)</f>
        <v>0</v>
      </c>
      <c r="T43" s="28">
        <f>data3!T43/range*(2^resolution-1)</f>
        <v>0</v>
      </c>
      <c r="U43" s="28">
        <f>data3!U43/range*(2^resolution-1)</f>
        <v>0</v>
      </c>
      <c r="V43" s="28">
        <f>data3!V43/range*(2^resolution-1)</f>
        <v>0</v>
      </c>
      <c r="W43" s="28">
        <f>data3!W43/range*(2^resolution-1)</f>
        <v>0</v>
      </c>
      <c r="X43" s="28">
        <f>data3!X43/range*(2^resolution-1)</f>
        <v>0</v>
      </c>
      <c r="Y43" s="28">
        <f>data3!Y43/range*(2^resolution-1)</f>
        <v>0</v>
      </c>
      <c r="Z43" s="28">
        <f>data3!Z43/range*(2^resolution-1)</f>
        <v>0</v>
      </c>
      <c r="AA43" s="28">
        <f>data3!AA43/range*(2^resolution-1)</f>
        <v>0</v>
      </c>
      <c r="AB43" s="28">
        <f>data3!AB43/range*(2^resolution-1)</f>
        <v>0</v>
      </c>
      <c r="AC43" s="28">
        <f>data3!AC43/range*(2^resolution-1)</f>
        <v>0</v>
      </c>
      <c r="AD43" s="28">
        <f>data3!AD43/range*(2^resolution-1)</f>
        <v>0</v>
      </c>
      <c r="AE43" s="28">
        <f>data3!AE43/range*(2^resolution-1)</f>
        <v>0</v>
      </c>
      <c r="AF43" s="28">
        <f>data3!AF43/range*(2^resolution-1)</f>
        <v>0</v>
      </c>
      <c r="AG43" s="28">
        <f>data3!AG43/range*(2^resolution-1)</f>
        <v>0</v>
      </c>
    </row>
    <row r="44" spans="1:33">
      <c r="A44" s="29">
        <f>data0!A44</f>
        <v>36</v>
      </c>
      <c r="B44" s="28">
        <f>data3!B44/range*(2^resolution-1)</f>
        <v>0</v>
      </c>
      <c r="C44" s="28">
        <f>data3!C44/range*(2^resolution-1)</f>
        <v>0</v>
      </c>
      <c r="D44" s="28">
        <f>data3!D44/range*(2^resolution-1)</f>
        <v>0</v>
      </c>
      <c r="E44" s="28">
        <f>data3!E44/range*(2^resolution-1)</f>
        <v>0</v>
      </c>
      <c r="F44" s="28">
        <f>data3!F44/range*(2^resolution-1)</f>
        <v>0</v>
      </c>
      <c r="G44" s="28">
        <f>data3!G44/range*(2^resolution-1)</f>
        <v>0</v>
      </c>
      <c r="H44" s="28">
        <f>data3!H44/range*(2^resolution-1)</f>
        <v>0</v>
      </c>
      <c r="I44" s="28">
        <f>data3!I44/range*(2^resolution-1)</f>
        <v>0</v>
      </c>
      <c r="J44" s="28">
        <f>data3!J44/range*(2^resolution-1)</f>
        <v>0</v>
      </c>
      <c r="K44" s="28">
        <f>data3!K44/range*(2^resolution-1)</f>
        <v>0</v>
      </c>
      <c r="L44" s="28">
        <f>data3!L44/range*(2^resolution-1)</f>
        <v>0</v>
      </c>
      <c r="M44" s="28">
        <f>data3!M44/range*(2^resolution-1)</f>
        <v>0</v>
      </c>
      <c r="N44" s="28">
        <f>data3!N44/range*(2^resolution-1)</f>
        <v>0</v>
      </c>
      <c r="O44" s="28">
        <f>data3!O44/range*(2^resolution-1)</f>
        <v>0</v>
      </c>
      <c r="P44" s="28">
        <f>data3!P44/range*(2^resolution-1)</f>
        <v>0</v>
      </c>
      <c r="Q44" s="28">
        <f>data3!Q44/range*(2^resolution-1)</f>
        <v>0</v>
      </c>
      <c r="R44" s="28">
        <f>data3!R44/range*(2^resolution-1)</f>
        <v>0</v>
      </c>
      <c r="S44" s="28">
        <f>data3!S44/range*(2^resolution-1)</f>
        <v>0</v>
      </c>
      <c r="T44" s="28">
        <f>data3!T44/range*(2^resolution-1)</f>
        <v>0</v>
      </c>
      <c r="U44" s="28">
        <f>data3!U44/range*(2^resolution-1)</f>
        <v>0</v>
      </c>
      <c r="V44" s="28">
        <f>data3!V44/range*(2^resolution-1)</f>
        <v>0</v>
      </c>
      <c r="W44" s="28">
        <f>data3!W44/range*(2^resolution-1)</f>
        <v>0</v>
      </c>
      <c r="X44" s="28">
        <f>data3!X44/range*(2^resolution-1)</f>
        <v>0</v>
      </c>
      <c r="Y44" s="28">
        <f>data3!Y44/range*(2^resolution-1)</f>
        <v>0</v>
      </c>
      <c r="Z44" s="28">
        <f>data3!Z44/range*(2^resolution-1)</f>
        <v>0</v>
      </c>
      <c r="AA44" s="28">
        <f>data3!AA44/range*(2^resolution-1)</f>
        <v>0</v>
      </c>
      <c r="AB44" s="28">
        <f>data3!AB44/range*(2^resolution-1)</f>
        <v>0</v>
      </c>
      <c r="AC44" s="28">
        <f>data3!AC44/range*(2^resolution-1)</f>
        <v>0</v>
      </c>
      <c r="AD44" s="28">
        <f>data3!AD44/range*(2^resolution-1)</f>
        <v>0</v>
      </c>
      <c r="AE44" s="28">
        <f>data3!AE44/range*(2^resolution-1)</f>
        <v>0</v>
      </c>
      <c r="AF44" s="28">
        <f>data3!AF44/range*(2^resolution-1)</f>
        <v>0</v>
      </c>
      <c r="AG44" s="28">
        <f>data3!AG44/range*(2^resolution-1)</f>
        <v>0</v>
      </c>
    </row>
    <row r="45" spans="1:33">
      <c r="A45" s="29">
        <f>data0!A45</f>
        <v>39</v>
      </c>
      <c r="B45" s="28">
        <f>data3!B45/range*(2^resolution-1)</f>
        <v>0</v>
      </c>
      <c r="C45" s="28">
        <f>data3!C45/range*(2^resolution-1)</f>
        <v>0</v>
      </c>
      <c r="D45" s="28">
        <f>data3!D45/range*(2^resolution-1)</f>
        <v>0</v>
      </c>
      <c r="E45" s="28">
        <f>data3!E45/range*(2^resolution-1)</f>
        <v>0</v>
      </c>
      <c r="F45" s="28">
        <f>data3!F45/range*(2^resolution-1)</f>
        <v>0</v>
      </c>
      <c r="G45" s="28">
        <f>data3!G45/range*(2^resolution-1)</f>
        <v>0</v>
      </c>
      <c r="H45" s="28">
        <f>data3!H45/range*(2^resolution-1)</f>
        <v>0</v>
      </c>
      <c r="I45" s="28">
        <f>data3!I45/range*(2^resolution-1)</f>
        <v>0</v>
      </c>
      <c r="J45" s="28">
        <f>data3!J45/range*(2^resolution-1)</f>
        <v>0</v>
      </c>
      <c r="K45" s="28">
        <f>data3!K45/range*(2^resolution-1)</f>
        <v>0</v>
      </c>
      <c r="L45" s="28">
        <f>data3!L45/range*(2^resolution-1)</f>
        <v>0</v>
      </c>
      <c r="M45" s="28">
        <f>data3!M45/range*(2^resolution-1)</f>
        <v>0</v>
      </c>
      <c r="N45" s="28">
        <f>data3!N45/range*(2^resolution-1)</f>
        <v>0</v>
      </c>
      <c r="O45" s="28">
        <f>data3!O45/range*(2^resolution-1)</f>
        <v>0</v>
      </c>
      <c r="P45" s="28">
        <f>data3!P45/range*(2^resolution-1)</f>
        <v>0</v>
      </c>
      <c r="Q45" s="28">
        <f>data3!Q45/range*(2^resolution-1)</f>
        <v>0</v>
      </c>
      <c r="R45" s="28">
        <f>data3!R45/range*(2^resolution-1)</f>
        <v>0</v>
      </c>
      <c r="S45" s="28">
        <f>data3!S45/range*(2^resolution-1)</f>
        <v>0</v>
      </c>
      <c r="T45" s="28">
        <f>data3!T45/range*(2^resolution-1)</f>
        <v>0</v>
      </c>
      <c r="U45" s="28">
        <f>data3!U45/range*(2^resolution-1)</f>
        <v>0</v>
      </c>
      <c r="V45" s="28">
        <f>data3!V45/range*(2^resolution-1)</f>
        <v>0</v>
      </c>
      <c r="W45" s="28">
        <f>data3!W45/range*(2^resolution-1)</f>
        <v>0</v>
      </c>
      <c r="X45" s="28">
        <f>data3!X45/range*(2^resolution-1)</f>
        <v>0</v>
      </c>
      <c r="Y45" s="28">
        <f>data3!Y45/range*(2^resolution-1)</f>
        <v>0</v>
      </c>
      <c r="Z45" s="28">
        <f>data3!Z45/range*(2^resolution-1)</f>
        <v>0</v>
      </c>
      <c r="AA45" s="28">
        <f>data3!AA45/range*(2^resolution-1)</f>
        <v>0</v>
      </c>
      <c r="AB45" s="28">
        <f>data3!AB45/range*(2^resolution-1)</f>
        <v>0</v>
      </c>
      <c r="AC45" s="28">
        <f>data3!AC45/range*(2^resolution-1)</f>
        <v>0</v>
      </c>
      <c r="AD45" s="28">
        <f>data3!AD45/range*(2^resolution-1)</f>
        <v>0</v>
      </c>
      <c r="AE45" s="28">
        <f>data3!AE45/range*(2^resolution-1)</f>
        <v>0</v>
      </c>
      <c r="AF45" s="28">
        <f>data3!AF45/range*(2^resolution-1)</f>
        <v>0</v>
      </c>
      <c r="AG45" s="28">
        <f>data3!AG45/range*(2^resolution-1)</f>
        <v>0</v>
      </c>
    </row>
    <row r="46" spans="1:33">
      <c r="A46" s="29">
        <f>data0!A46</f>
        <v>42</v>
      </c>
      <c r="B46" s="28">
        <f>data3!B46/range*(2^resolution-1)</f>
        <v>0</v>
      </c>
      <c r="C46" s="28">
        <f>data3!C46/range*(2^resolution-1)</f>
        <v>0</v>
      </c>
      <c r="D46" s="28">
        <f>data3!D46/range*(2^resolution-1)</f>
        <v>0</v>
      </c>
      <c r="E46" s="28">
        <f>data3!E46/range*(2^resolution-1)</f>
        <v>0</v>
      </c>
      <c r="F46" s="28">
        <f>data3!F46/range*(2^resolution-1)</f>
        <v>0</v>
      </c>
      <c r="G46" s="28">
        <f>data3!G46/range*(2^resolution-1)</f>
        <v>0</v>
      </c>
      <c r="H46" s="28">
        <f>data3!H46/range*(2^resolution-1)</f>
        <v>0</v>
      </c>
      <c r="I46" s="28">
        <f>data3!I46/range*(2^resolution-1)</f>
        <v>0</v>
      </c>
      <c r="J46" s="28">
        <f>data3!J46/range*(2^resolution-1)</f>
        <v>0</v>
      </c>
      <c r="K46" s="28">
        <f>data3!K46/range*(2^resolution-1)</f>
        <v>0</v>
      </c>
      <c r="L46" s="28">
        <f>data3!L46/range*(2^resolution-1)</f>
        <v>0</v>
      </c>
      <c r="M46" s="28">
        <f>data3!M46/range*(2^resolution-1)</f>
        <v>0</v>
      </c>
      <c r="N46" s="28">
        <f>data3!N46/range*(2^resolution-1)</f>
        <v>0</v>
      </c>
      <c r="O46" s="28">
        <f>data3!O46/range*(2^resolution-1)</f>
        <v>0</v>
      </c>
      <c r="P46" s="28">
        <f>data3!P46/range*(2^resolution-1)</f>
        <v>0</v>
      </c>
      <c r="Q46" s="28">
        <f>data3!Q46/range*(2^resolution-1)</f>
        <v>0</v>
      </c>
      <c r="R46" s="28">
        <f>data3!R46/range*(2^resolution-1)</f>
        <v>0</v>
      </c>
      <c r="S46" s="28">
        <f>data3!S46/range*(2^resolution-1)</f>
        <v>0</v>
      </c>
      <c r="T46" s="28">
        <f>data3!T46/range*(2^resolution-1)</f>
        <v>0</v>
      </c>
      <c r="U46" s="28">
        <f>data3!U46/range*(2^resolution-1)</f>
        <v>0</v>
      </c>
      <c r="V46" s="28">
        <f>data3!V46/range*(2^resolution-1)</f>
        <v>0</v>
      </c>
      <c r="W46" s="28">
        <f>data3!W46/range*(2^resolution-1)</f>
        <v>0</v>
      </c>
      <c r="X46" s="28">
        <f>data3!X46/range*(2^resolution-1)</f>
        <v>0</v>
      </c>
      <c r="Y46" s="28">
        <f>data3!Y46/range*(2^resolution-1)</f>
        <v>0</v>
      </c>
      <c r="Z46" s="28">
        <f>data3!Z46/range*(2^resolution-1)</f>
        <v>0</v>
      </c>
      <c r="AA46" s="28">
        <f>data3!AA46/range*(2^resolution-1)</f>
        <v>0</v>
      </c>
      <c r="AB46" s="28">
        <f>data3!AB46/range*(2^resolution-1)</f>
        <v>0</v>
      </c>
      <c r="AC46" s="28">
        <f>data3!AC46/range*(2^resolution-1)</f>
        <v>0</v>
      </c>
      <c r="AD46" s="28">
        <f>data3!AD46/range*(2^resolution-1)</f>
        <v>0</v>
      </c>
      <c r="AE46" s="28">
        <f>data3!AE46/range*(2^resolution-1)</f>
        <v>0</v>
      </c>
      <c r="AF46" s="28">
        <f>data3!AF46/range*(2^resolution-1)</f>
        <v>0</v>
      </c>
      <c r="AG46" s="28">
        <f>data3!AG46/range*(2^resolution-1)</f>
        <v>0</v>
      </c>
    </row>
    <row r="47" spans="1:33">
      <c r="A47" s="29">
        <f>data0!A47</f>
        <v>45</v>
      </c>
      <c r="B47" s="28">
        <f>data3!B47/range*(2^resolution-1)</f>
        <v>0</v>
      </c>
      <c r="C47" s="28">
        <f>data3!C47/range*(2^resolution-1)</f>
        <v>0</v>
      </c>
      <c r="D47" s="28">
        <f>data3!D47/range*(2^resolution-1)</f>
        <v>0</v>
      </c>
      <c r="E47" s="28">
        <f>data3!E47/range*(2^resolution-1)</f>
        <v>0</v>
      </c>
      <c r="F47" s="28">
        <f>data3!F47/range*(2^resolution-1)</f>
        <v>0</v>
      </c>
      <c r="G47" s="28">
        <f>data3!G47/range*(2^resolution-1)</f>
        <v>0</v>
      </c>
      <c r="H47" s="28">
        <f>data3!H47/range*(2^resolution-1)</f>
        <v>0</v>
      </c>
      <c r="I47" s="28">
        <f>data3!I47/range*(2^resolution-1)</f>
        <v>0</v>
      </c>
      <c r="J47" s="28">
        <f>data3!J47/range*(2^resolution-1)</f>
        <v>0</v>
      </c>
      <c r="K47" s="28">
        <f>data3!K47/range*(2^resolution-1)</f>
        <v>0</v>
      </c>
      <c r="L47" s="28">
        <f>data3!L47/range*(2^resolution-1)</f>
        <v>0</v>
      </c>
      <c r="M47" s="28">
        <f>data3!M47/range*(2^resolution-1)</f>
        <v>0</v>
      </c>
      <c r="N47" s="28">
        <f>data3!N47/range*(2^resolution-1)</f>
        <v>0</v>
      </c>
      <c r="O47" s="28">
        <f>data3!O47/range*(2^resolution-1)</f>
        <v>0</v>
      </c>
      <c r="P47" s="28">
        <f>data3!P47/range*(2^resolution-1)</f>
        <v>0</v>
      </c>
      <c r="Q47" s="28">
        <f>data3!Q47/range*(2^resolution-1)</f>
        <v>0</v>
      </c>
      <c r="R47" s="28">
        <f>data3!R47/range*(2^resolution-1)</f>
        <v>0</v>
      </c>
      <c r="S47" s="28">
        <f>data3!S47/range*(2^resolution-1)</f>
        <v>0</v>
      </c>
      <c r="T47" s="28">
        <f>data3!T47/range*(2^resolution-1)</f>
        <v>0</v>
      </c>
      <c r="U47" s="28">
        <f>data3!U47/range*(2^resolution-1)</f>
        <v>0</v>
      </c>
      <c r="V47" s="28">
        <f>data3!V47/range*(2^resolution-1)</f>
        <v>0</v>
      </c>
      <c r="W47" s="28">
        <f>data3!W47/range*(2^resolution-1)</f>
        <v>0</v>
      </c>
      <c r="X47" s="28">
        <f>data3!X47/range*(2^resolution-1)</f>
        <v>0</v>
      </c>
      <c r="Y47" s="28">
        <f>data3!Y47/range*(2^resolution-1)</f>
        <v>0</v>
      </c>
      <c r="Z47" s="28">
        <f>data3!Z47/range*(2^resolution-1)</f>
        <v>0</v>
      </c>
      <c r="AA47" s="28">
        <f>data3!AA47/range*(2^resolution-1)</f>
        <v>0</v>
      </c>
      <c r="AB47" s="28">
        <f>data3!AB47/range*(2^resolution-1)</f>
        <v>0</v>
      </c>
      <c r="AC47" s="28">
        <f>data3!AC47/range*(2^resolution-1)</f>
        <v>0</v>
      </c>
      <c r="AD47" s="28">
        <f>data3!AD47/range*(2^resolution-1)</f>
        <v>0</v>
      </c>
      <c r="AE47" s="28">
        <f>data3!AE47/range*(2^resolution-1)</f>
        <v>0</v>
      </c>
      <c r="AF47" s="28">
        <f>data3!AF47/range*(2^resolution-1)</f>
        <v>0</v>
      </c>
      <c r="AG47" s="28">
        <f>data3!AG47/range*(2^resolution-1)</f>
        <v>0</v>
      </c>
    </row>
    <row r="48" spans="1:33">
      <c r="A48" s="29">
        <f>data0!A48</f>
        <v>48</v>
      </c>
      <c r="B48" s="28">
        <f>data3!B48/range*(2^resolution-1)</f>
        <v>0</v>
      </c>
      <c r="C48" s="28">
        <f>data3!C48/range*(2^resolution-1)</f>
        <v>0</v>
      </c>
      <c r="D48" s="28">
        <f>data3!D48/range*(2^resolution-1)</f>
        <v>0</v>
      </c>
      <c r="E48" s="28">
        <f>data3!E48/range*(2^resolution-1)</f>
        <v>0</v>
      </c>
      <c r="F48" s="28">
        <f>data3!F48/range*(2^resolution-1)</f>
        <v>0</v>
      </c>
      <c r="G48" s="28">
        <f>data3!G48/range*(2^resolution-1)</f>
        <v>0</v>
      </c>
      <c r="H48" s="28">
        <f>data3!H48/range*(2^resolution-1)</f>
        <v>0</v>
      </c>
      <c r="I48" s="28">
        <f>data3!I48/range*(2^resolution-1)</f>
        <v>0</v>
      </c>
      <c r="J48" s="28">
        <f>data3!J48/range*(2^resolution-1)</f>
        <v>0</v>
      </c>
      <c r="K48" s="28">
        <f>data3!K48/range*(2^resolution-1)</f>
        <v>0</v>
      </c>
      <c r="L48" s="28">
        <f>data3!L48/range*(2^resolution-1)</f>
        <v>0</v>
      </c>
      <c r="M48" s="28">
        <f>data3!M48/range*(2^resolution-1)</f>
        <v>0</v>
      </c>
      <c r="N48" s="28">
        <f>data3!N48/range*(2^resolution-1)</f>
        <v>0</v>
      </c>
      <c r="O48" s="28">
        <f>data3!O48/range*(2^resolution-1)</f>
        <v>0</v>
      </c>
      <c r="P48" s="28">
        <f>data3!P48/range*(2^resolution-1)</f>
        <v>0</v>
      </c>
      <c r="Q48" s="28">
        <f>data3!Q48/range*(2^resolution-1)</f>
        <v>0</v>
      </c>
      <c r="R48" s="28">
        <f>data3!R48/range*(2^resolution-1)</f>
        <v>0</v>
      </c>
      <c r="S48" s="28">
        <f>data3!S48/range*(2^resolution-1)</f>
        <v>0</v>
      </c>
      <c r="T48" s="28">
        <f>data3!T48/range*(2^resolution-1)</f>
        <v>0</v>
      </c>
      <c r="U48" s="28">
        <f>data3!U48/range*(2^resolution-1)</f>
        <v>0</v>
      </c>
      <c r="V48" s="28">
        <f>data3!V48/range*(2^resolution-1)</f>
        <v>0</v>
      </c>
      <c r="W48" s="28">
        <f>data3!W48/range*(2^resolution-1)</f>
        <v>0</v>
      </c>
      <c r="X48" s="28">
        <f>data3!X48/range*(2^resolution-1)</f>
        <v>0</v>
      </c>
      <c r="Y48" s="28">
        <f>data3!Y48/range*(2^resolution-1)</f>
        <v>0</v>
      </c>
      <c r="Z48" s="28">
        <f>data3!Z48/range*(2^resolution-1)</f>
        <v>0</v>
      </c>
      <c r="AA48" s="28">
        <f>data3!AA48/range*(2^resolution-1)</f>
        <v>0</v>
      </c>
      <c r="AB48" s="28">
        <f>data3!AB48/range*(2^resolution-1)</f>
        <v>0</v>
      </c>
      <c r="AC48" s="28">
        <f>data3!AC48/range*(2^resolution-1)</f>
        <v>0</v>
      </c>
      <c r="AD48" s="28">
        <f>data3!AD48/range*(2^resolution-1)</f>
        <v>0</v>
      </c>
      <c r="AE48" s="28">
        <f>data3!AE48/range*(2^resolution-1)</f>
        <v>0</v>
      </c>
      <c r="AF48" s="28">
        <f>data3!AF48/range*(2^resolution-1)</f>
        <v>0</v>
      </c>
      <c r="AG48" s="28">
        <f>data3!AG48/range*(2^resolution-1)</f>
        <v>0</v>
      </c>
    </row>
    <row r="49" spans="1:33">
      <c r="A49" s="29">
        <f>data0!A49</f>
        <v>51</v>
      </c>
      <c r="B49" s="28">
        <f>data3!B49/range*(2^resolution-1)</f>
        <v>0</v>
      </c>
      <c r="C49" s="28">
        <f>data3!C49/range*(2^resolution-1)</f>
        <v>0</v>
      </c>
      <c r="D49" s="28">
        <f>data3!D49/range*(2^resolution-1)</f>
        <v>0</v>
      </c>
      <c r="E49" s="28">
        <f>data3!E49/range*(2^resolution-1)</f>
        <v>0</v>
      </c>
      <c r="F49" s="28">
        <f>data3!F49/range*(2^resolution-1)</f>
        <v>0</v>
      </c>
      <c r="G49" s="28">
        <f>data3!G49/range*(2^resolution-1)</f>
        <v>0</v>
      </c>
      <c r="H49" s="28">
        <f>data3!H49/range*(2^resolution-1)</f>
        <v>0</v>
      </c>
      <c r="I49" s="28">
        <f>data3!I49/range*(2^resolution-1)</f>
        <v>0</v>
      </c>
      <c r="J49" s="28">
        <f>data3!J49/range*(2^resolution-1)</f>
        <v>0</v>
      </c>
      <c r="K49" s="28">
        <f>data3!K49/range*(2^resolution-1)</f>
        <v>0</v>
      </c>
      <c r="L49" s="28">
        <f>data3!L49/range*(2^resolution-1)</f>
        <v>0</v>
      </c>
      <c r="M49" s="28">
        <f>data3!M49/range*(2^resolution-1)</f>
        <v>0</v>
      </c>
      <c r="N49" s="28">
        <f>data3!N49/range*(2^resolution-1)</f>
        <v>0</v>
      </c>
      <c r="O49" s="28">
        <f>data3!O49/range*(2^resolution-1)</f>
        <v>0</v>
      </c>
      <c r="P49" s="28">
        <f>data3!P49/range*(2^resolution-1)</f>
        <v>0</v>
      </c>
      <c r="Q49" s="28">
        <f>data3!Q49/range*(2^resolution-1)</f>
        <v>0</v>
      </c>
      <c r="R49" s="28">
        <f>data3!R49/range*(2^resolution-1)</f>
        <v>0</v>
      </c>
      <c r="S49" s="28">
        <f>data3!S49/range*(2^resolution-1)</f>
        <v>0</v>
      </c>
      <c r="T49" s="28">
        <f>data3!T49/range*(2^resolution-1)</f>
        <v>0</v>
      </c>
      <c r="U49" s="28">
        <f>data3!U49/range*(2^resolution-1)</f>
        <v>0</v>
      </c>
      <c r="V49" s="28">
        <f>data3!V49/range*(2^resolution-1)</f>
        <v>0</v>
      </c>
      <c r="W49" s="28">
        <f>data3!W49/range*(2^resolution-1)</f>
        <v>0</v>
      </c>
      <c r="X49" s="28">
        <f>data3!X49/range*(2^resolution-1)</f>
        <v>0</v>
      </c>
      <c r="Y49" s="28">
        <f>data3!Y49/range*(2^resolution-1)</f>
        <v>0</v>
      </c>
      <c r="Z49" s="28">
        <f>data3!Z49/range*(2^resolution-1)</f>
        <v>0</v>
      </c>
      <c r="AA49" s="28">
        <f>data3!AA49/range*(2^resolution-1)</f>
        <v>0</v>
      </c>
      <c r="AB49" s="28">
        <f>data3!AB49/range*(2^resolution-1)</f>
        <v>0</v>
      </c>
      <c r="AC49" s="28">
        <f>data3!AC49/range*(2^resolution-1)</f>
        <v>0</v>
      </c>
      <c r="AD49" s="28">
        <f>data3!AD49/range*(2^resolution-1)</f>
        <v>0</v>
      </c>
      <c r="AE49" s="28">
        <f>data3!AE49/range*(2^resolution-1)</f>
        <v>0</v>
      </c>
      <c r="AF49" s="28">
        <f>data3!AF49/range*(2^resolution-1)</f>
        <v>0</v>
      </c>
      <c r="AG49" s="28">
        <f>data3!AG49/range*(2^resolution-1)</f>
        <v>0</v>
      </c>
    </row>
    <row r="50" spans="1:33">
      <c r="A50" s="29">
        <f>data0!A50</f>
        <v>54</v>
      </c>
      <c r="B50" s="28">
        <f>data3!B50/range*(2^resolution-1)</f>
        <v>0</v>
      </c>
      <c r="C50" s="28">
        <f>data3!C50/range*(2^resolution-1)</f>
        <v>0</v>
      </c>
      <c r="D50" s="28">
        <f>data3!D50/range*(2^resolution-1)</f>
        <v>0</v>
      </c>
      <c r="E50" s="28">
        <f>data3!E50/range*(2^resolution-1)</f>
        <v>0</v>
      </c>
      <c r="F50" s="28">
        <f>data3!F50/range*(2^resolution-1)</f>
        <v>0</v>
      </c>
      <c r="G50" s="28">
        <f>data3!G50/range*(2^resolution-1)</f>
        <v>0</v>
      </c>
      <c r="H50" s="28">
        <f>data3!H50/range*(2^resolution-1)</f>
        <v>0</v>
      </c>
      <c r="I50" s="28">
        <f>data3!I50/range*(2^resolution-1)</f>
        <v>0</v>
      </c>
      <c r="J50" s="28">
        <f>data3!J50/range*(2^resolution-1)</f>
        <v>0</v>
      </c>
      <c r="K50" s="28">
        <f>data3!K50/range*(2^resolution-1)</f>
        <v>0</v>
      </c>
      <c r="L50" s="28">
        <f>data3!L50/range*(2^resolution-1)</f>
        <v>0</v>
      </c>
      <c r="M50" s="28">
        <f>data3!M50/range*(2^resolution-1)</f>
        <v>0</v>
      </c>
      <c r="N50" s="28">
        <f>data3!N50/range*(2^resolution-1)</f>
        <v>0</v>
      </c>
      <c r="O50" s="28">
        <f>data3!O50/range*(2^resolution-1)</f>
        <v>0</v>
      </c>
      <c r="P50" s="28">
        <f>data3!P50/range*(2^resolution-1)</f>
        <v>0</v>
      </c>
      <c r="Q50" s="28">
        <f>data3!Q50/range*(2^resolution-1)</f>
        <v>0</v>
      </c>
      <c r="R50" s="28">
        <f>data3!R50/range*(2^resolution-1)</f>
        <v>0</v>
      </c>
      <c r="S50" s="28">
        <f>data3!S50/range*(2^resolution-1)</f>
        <v>0</v>
      </c>
      <c r="T50" s="28">
        <f>data3!T50/range*(2^resolution-1)</f>
        <v>0</v>
      </c>
      <c r="U50" s="28">
        <f>data3!U50/range*(2^resolution-1)</f>
        <v>0</v>
      </c>
      <c r="V50" s="28">
        <f>data3!V50/range*(2^resolution-1)</f>
        <v>0</v>
      </c>
      <c r="W50" s="28">
        <f>data3!W50/range*(2^resolution-1)</f>
        <v>0</v>
      </c>
      <c r="X50" s="28">
        <f>data3!X50/range*(2^resolution-1)</f>
        <v>0</v>
      </c>
      <c r="Y50" s="28">
        <f>data3!Y50/range*(2^resolution-1)</f>
        <v>0</v>
      </c>
      <c r="Z50" s="28">
        <f>data3!Z50/range*(2^resolution-1)</f>
        <v>0</v>
      </c>
      <c r="AA50" s="28">
        <f>data3!AA50/range*(2^resolution-1)</f>
        <v>0</v>
      </c>
      <c r="AB50" s="28">
        <f>data3!AB50/range*(2^resolution-1)</f>
        <v>0</v>
      </c>
      <c r="AC50" s="28">
        <f>data3!AC50/range*(2^resolution-1)</f>
        <v>0</v>
      </c>
      <c r="AD50" s="28">
        <f>data3!AD50/range*(2^resolution-1)</f>
        <v>0</v>
      </c>
      <c r="AE50" s="28">
        <f>data3!AE50/range*(2^resolution-1)</f>
        <v>0</v>
      </c>
      <c r="AF50" s="28">
        <f>data3!AF50/range*(2^resolution-1)</f>
        <v>0</v>
      </c>
      <c r="AG50" s="28">
        <f>data3!AG50/range*(2^resolution-1)</f>
        <v>0</v>
      </c>
    </row>
    <row r="51" spans="1:33">
      <c r="A51" s="29">
        <f>data0!A51</f>
        <v>57</v>
      </c>
      <c r="B51" s="28">
        <f>data3!B51/range*(2^resolution-1)</f>
        <v>0</v>
      </c>
      <c r="C51" s="28">
        <f>data3!C51/range*(2^resolution-1)</f>
        <v>0</v>
      </c>
      <c r="D51" s="28">
        <f>data3!D51/range*(2^resolution-1)</f>
        <v>0</v>
      </c>
      <c r="E51" s="28">
        <f>data3!E51/range*(2^resolution-1)</f>
        <v>0</v>
      </c>
      <c r="F51" s="28">
        <f>data3!F51/range*(2^resolution-1)</f>
        <v>0</v>
      </c>
      <c r="G51" s="28">
        <f>data3!G51/range*(2^resolution-1)</f>
        <v>0</v>
      </c>
      <c r="H51" s="28">
        <f>data3!H51/range*(2^resolution-1)</f>
        <v>0</v>
      </c>
      <c r="I51" s="28">
        <f>data3!I51/range*(2^resolution-1)</f>
        <v>0</v>
      </c>
      <c r="J51" s="28">
        <f>data3!J51/range*(2^resolution-1)</f>
        <v>0</v>
      </c>
      <c r="K51" s="28">
        <f>data3!K51/range*(2^resolution-1)</f>
        <v>0</v>
      </c>
      <c r="L51" s="28">
        <f>data3!L51/range*(2^resolution-1)</f>
        <v>0</v>
      </c>
      <c r="M51" s="28">
        <f>data3!M51/range*(2^resolution-1)</f>
        <v>0</v>
      </c>
      <c r="N51" s="28">
        <f>data3!N51/range*(2^resolution-1)</f>
        <v>0</v>
      </c>
      <c r="O51" s="28">
        <f>data3!O51/range*(2^resolution-1)</f>
        <v>0</v>
      </c>
      <c r="P51" s="28">
        <f>data3!P51/range*(2^resolution-1)</f>
        <v>0</v>
      </c>
      <c r="Q51" s="28">
        <f>data3!Q51/range*(2^resolution-1)</f>
        <v>0</v>
      </c>
      <c r="R51" s="28">
        <f>data3!R51/range*(2^resolution-1)</f>
        <v>0</v>
      </c>
      <c r="S51" s="28">
        <f>data3!S51/range*(2^resolution-1)</f>
        <v>0</v>
      </c>
      <c r="T51" s="28">
        <f>data3!T51/range*(2^resolution-1)</f>
        <v>0</v>
      </c>
      <c r="U51" s="28">
        <f>data3!U51/range*(2^resolution-1)</f>
        <v>0</v>
      </c>
      <c r="V51" s="28">
        <f>data3!V51/range*(2^resolution-1)</f>
        <v>0</v>
      </c>
      <c r="W51" s="28">
        <f>data3!W51/range*(2^resolution-1)</f>
        <v>0</v>
      </c>
      <c r="X51" s="28">
        <f>data3!X51/range*(2^resolution-1)</f>
        <v>0</v>
      </c>
      <c r="Y51" s="28">
        <f>data3!Y51/range*(2^resolution-1)</f>
        <v>0</v>
      </c>
      <c r="Z51" s="28">
        <f>data3!Z51/range*(2^resolution-1)</f>
        <v>0</v>
      </c>
      <c r="AA51" s="28">
        <f>data3!AA51/range*(2^resolution-1)</f>
        <v>0</v>
      </c>
      <c r="AB51" s="28">
        <f>data3!AB51/range*(2^resolution-1)</f>
        <v>0</v>
      </c>
      <c r="AC51" s="28">
        <f>data3!AC51/range*(2^resolution-1)</f>
        <v>0</v>
      </c>
      <c r="AD51" s="28">
        <f>data3!AD51/range*(2^resolution-1)</f>
        <v>0</v>
      </c>
      <c r="AE51" s="28">
        <f>data3!AE51/range*(2^resolution-1)</f>
        <v>0</v>
      </c>
      <c r="AF51" s="28">
        <f>data3!AF51/range*(2^resolution-1)</f>
        <v>0</v>
      </c>
      <c r="AG51" s="28">
        <f>data3!AG51/range*(2^resolution-1)</f>
        <v>0</v>
      </c>
    </row>
    <row r="52" spans="1:33">
      <c r="A52" s="29">
        <f>data0!A52</f>
        <v>60</v>
      </c>
      <c r="B52" s="28">
        <f>data3!B52/range*(2^resolution-1)</f>
        <v>0</v>
      </c>
      <c r="C52" s="28">
        <f>data3!C52/range*(2^resolution-1)</f>
        <v>0</v>
      </c>
      <c r="D52" s="28">
        <f>data3!D52/range*(2^resolution-1)</f>
        <v>0</v>
      </c>
      <c r="E52" s="28">
        <f>data3!E52/range*(2^resolution-1)</f>
        <v>0</v>
      </c>
      <c r="F52" s="28">
        <f>data3!F52/range*(2^resolution-1)</f>
        <v>0</v>
      </c>
      <c r="G52" s="28">
        <f>data3!G52/range*(2^resolution-1)</f>
        <v>0</v>
      </c>
      <c r="H52" s="28">
        <f>data3!H52/range*(2^resolution-1)</f>
        <v>0</v>
      </c>
      <c r="I52" s="28">
        <f>data3!I52/range*(2^resolution-1)</f>
        <v>0</v>
      </c>
      <c r="J52" s="28">
        <f>data3!J52/range*(2^resolution-1)</f>
        <v>0</v>
      </c>
      <c r="K52" s="28">
        <f>data3!K52/range*(2^resolution-1)</f>
        <v>0</v>
      </c>
      <c r="L52" s="28">
        <f>data3!L52/range*(2^resolution-1)</f>
        <v>0</v>
      </c>
      <c r="M52" s="28">
        <f>data3!M52/range*(2^resolution-1)</f>
        <v>0</v>
      </c>
      <c r="N52" s="28">
        <f>data3!N52/range*(2^resolution-1)</f>
        <v>0</v>
      </c>
      <c r="O52" s="28">
        <f>data3!O52/range*(2^resolution-1)</f>
        <v>0</v>
      </c>
      <c r="P52" s="28">
        <f>data3!P52/range*(2^resolution-1)</f>
        <v>0</v>
      </c>
      <c r="Q52" s="28">
        <f>data3!Q52/range*(2^resolution-1)</f>
        <v>0</v>
      </c>
      <c r="R52" s="28">
        <f>data3!R52/range*(2^resolution-1)</f>
        <v>0</v>
      </c>
      <c r="S52" s="28">
        <f>data3!S52/range*(2^resolution-1)</f>
        <v>0</v>
      </c>
      <c r="T52" s="28">
        <f>data3!T52/range*(2^resolution-1)</f>
        <v>0</v>
      </c>
      <c r="U52" s="28">
        <f>data3!U52/range*(2^resolution-1)</f>
        <v>0</v>
      </c>
      <c r="V52" s="28">
        <f>data3!V52/range*(2^resolution-1)</f>
        <v>0</v>
      </c>
      <c r="W52" s="28">
        <f>data3!W52/range*(2^resolution-1)</f>
        <v>0</v>
      </c>
      <c r="X52" s="28">
        <f>data3!X52/range*(2^resolution-1)</f>
        <v>0</v>
      </c>
      <c r="Y52" s="28">
        <f>data3!Y52/range*(2^resolution-1)</f>
        <v>0</v>
      </c>
      <c r="Z52" s="28">
        <f>data3!Z52/range*(2^resolution-1)</f>
        <v>0</v>
      </c>
      <c r="AA52" s="28">
        <f>data3!AA52/range*(2^resolution-1)</f>
        <v>0</v>
      </c>
      <c r="AB52" s="28">
        <f>data3!AB52/range*(2^resolution-1)</f>
        <v>0</v>
      </c>
      <c r="AC52" s="28">
        <f>data3!AC52/range*(2^resolution-1)</f>
        <v>0</v>
      </c>
      <c r="AD52" s="28">
        <f>data3!AD52/range*(2^resolution-1)</f>
        <v>0</v>
      </c>
      <c r="AE52" s="28">
        <f>data3!AE52/range*(2^resolution-1)</f>
        <v>0</v>
      </c>
      <c r="AF52" s="28">
        <f>data3!AF52/range*(2^resolution-1)</f>
        <v>0</v>
      </c>
      <c r="AG52" s="28">
        <f>data3!AG52/range*(2^resolution-1)</f>
        <v>0</v>
      </c>
    </row>
    <row r="53" spans="1:33">
      <c r="A53" s="29">
        <f>data0!A53</f>
        <v>63</v>
      </c>
      <c r="B53" s="28">
        <f>data3!B53/range*(2^resolution-1)</f>
        <v>0</v>
      </c>
      <c r="C53" s="28">
        <f>data3!C53/range*(2^resolution-1)</f>
        <v>0</v>
      </c>
      <c r="D53" s="28">
        <f>data3!D53/range*(2^resolution-1)</f>
        <v>0</v>
      </c>
      <c r="E53" s="28">
        <f>data3!E53/range*(2^resolution-1)</f>
        <v>0</v>
      </c>
      <c r="F53" s="28">
        <f>data3!F53/range*(2^resolution-1)</f>
        <v>0</v>
      </c>
      <c r="G53" s="28">
        <f>data3!G53/range*(2^resolution-1)</f>
        <v>0</v>
      </c>
      <c r="H53" s="28">
        <f>data3!H53/range*(2^resolution-1)</f>
        <v>0</v>
      </c>
      <c r="I53" s="28">
        <f>data3!I53/range*(2^resolution-1)</f>
        <v>0</v>
      </c>
      <c r="J53" s="28">
        <f>data3!J53/range*(2^resolution-1)</f>
        <v>0</v>
      </c>
      <c r="K53" s="28">
        <f>data3!K53/range*(2^resolution-1)</f>
        <v>0</v>
      </c>
      <c r="L53" s="28">
        <f>data3!L53/range*(2^resolution-1)</f>
        <v>0</v>
      </c>
      <c r="M53" s="28">
        <f>data3!M53/range*(2^resolution-1)</f>
        <v>0</v>
      </c>
      <c r="N53" s="28">
        <f>data3!N53/range*(2^resolution-1)</f>
        <v>0</v>
      </c>
      <c r="O53" s="28">
        <f>data3!O53/range*(2^resolution-1)</f>
        <v>0</v>
      </c>
      <c r="P53" s="28">
        <f>data3!P53/range*(2^resolution-1)</f>
        <v>0</v>
      </c>
      <c r="Q53" s="28">
        <f>data3!Q53/range*(2^resolution-1)</f>
        <v>0</v>
      </c>
      <c r="R53" s="28">
        <f>data3!R53/range*(2^resolution-1)</f>
        <v>0</v>
      </c>
      <c r="S53" s="28">
        <f>data3!S53/range*(2^resolution-1)</f>
        <v>0</v>
      </c>
      <c r="T53" s="28">
        <f>data3!T53/range*(2^resolution-1)</f>
        <v>0</v>
      </c>
      <c r="U53" s="28">
        <f>data3!U53/range*(2^resolution-1)</f>
        <v>0</v>
      </c>
      <c r="V53" s="28">
        <f>data3!V53/range*(2^resolution-1)</f>
        <v>0</v>
      </c>
      <c r="W53" s="28">
        <f>data3!W53/range*(2^resolution-1)</f>
        <v>0</v>
      </c>
      <c r="X53" s="28">
        <f>data3!X53/range*(2^resolution-1)</f>
        <v>0</v>
      </c>
      <c r="Y53" s="28">
        <f>data3!Y53/range*(2^resolution-1)</f>
        <v>0</v>
      </c>
      <c r="Z53" s="28">
        <f>data3!Z53/range*(2^resolution-1)</f>
        <v>0</v>
      </c>
      <c r="AA53" s="28">
        <f>data3!AA53/range*(2^resolution-1)</f>
        <v>0</v>
      </c>
      <c r="AB53" s="28">
        <f>data3!AB53/range*(2^resolution-1)</f>
        <v>0</v>
      </c>
      <c r="AC53" s="28">
        <f>data3!AC53/range*(2^resolution-1)</f>
        <v>0</v>
      </c>
      <c r="AD53" s="28">
        <f>data3!AD53/range*(2^resolution-1)</f>
        <v>0</v>
      </c>
      <c r="AE53" s="28">
        <f>data3!AE53/range*(2^resolution-1)</f>
        <v>0</v>
      </c>
      <c r="AF53" s="28">
        <f>data3!AF53/range*(2^resolution-1)</f>
        <v>0</v>
      </c>
      <c r="AG53" s="28">
        <f>data3!AG53/range*(2^resolution-1)</f>
        <v>0</v>
      </c>
    </row>
    <row r="54" spans="1:33">
      <c r="A54" s="29">
        <f>data0!A54</f>
        <v>66</v>
      </c>
      <c r="B54" s="28">
        <f>data3!B54/range*(2^resolution-1)</f>
        <v>0</v>
      </c>
      <c r="C54" s="28">
        <f>data3!C54/range*(2^resolution-1)</f>
        <v>0</v>
      </c>
      <c r="D54" s="28">
        <f>data3!D54/range*(2^resolution-1)</f>
        <v>0</v>
      </c>
      <c r="E54" s="28">
        <f>data3!E54/range*(2^resolution-1)</f>
        <v>0</v>
      </c>
      <c r="F54" s="28">
        <f>data3!F54/range*(2^resolution-1)</f>
        <v>0</v>
      </c>
      <c r="G54" s="28">
        <f>data3!G54/range*(2^resolution-1)</f>
        <v>0</v>
      </c>
      <c r="H54" s="28">
        <f>data3!H54/range*(2^resolution-1)</f>
        <v>0</v>
      </c>
      <c r="I54" s="28">
        <f>data3!I54/range*(2^resolution-1)</f>
        <v>0</v>
      </c>
      <c r="J54" s="28">
        <f>data3!J54/range*(2^resolution-1)</f>
        <v>0</v>
      </c>
      <c r="K54" s="28">
        <f>data3!K54/range*(2^resolution-1)</f>
        <v>0</v>
      </c>
      <c r="L54" s="28">
        <f>data3!L54/range*(2^resolution-1)</f>
        <v>0</v>
      </c>
      <c r="M54" s="28">
        <f>data3!M54/range*(2^resolution-1)</f>
        <v>0</v>
      </c>
      <c r="N54" s="28">
        <f>data3!N54/range*(2^resolution-1)</f>
        <v>0</v>
      </c>
      <c r="O54" s="28">
        <f>data3!O54/range*(2^resolution-1)</f>
        <v>0</v>
      </c>
      <c r="P54" s="28">
        <f>data3!P54/range*(2^resolution-1)</f>
        <v>0</v>
      </c>
      <c r="Q54" s="28">
        <f>data3!Q54/range*(2^resolution-1)</f>
        <v>0</v>
      </c>
      <c r="R54" s="28">
        <f>data3!R54/range*(2^resolution-1)</f>
        <v>0</v>
      </c>
      <c r="S54" s="28">
        <f>data3!S54/range*(2^resolution-1)</f>
        <v>0</v>
      </c>
      <c r="T54" s="28">
        <f>data3!T54/range*(2^resolution-1)</f>
        <v>0</v>
      </c>
      <c r="U54" s="28">
        <f>data3!U54/range*(2^resolution-1)</f>
        <v>0</v>
      </c>
      <c r="V54" s="28">
        <f>data3!V54/range*(2^resolution-1)</f>
        <v>0</v>
      </c>
      <c r="W54" s="28">
        <f>data3!W54/range*(2^resolution-1)</f>
        <v>0</v>
      </c>
      <c r="X54" s="28">
        <f>data3!X54/range*(2^resolution-1)</f>
        <v>0</v>
      </c>
      <c r="Y54" s="28">
        <f>data3!Y54/range*(2^resolution-1)</f>
        <v>0</v>
      </c>
      <c r="Z54" s="28">
        <f>data3!Z54/range*(2^resolution-1)</f>
        <v>0</v>
      </c>
      <c r="AA54" s="28">
        <f>data3!AA54/range*(2^resolution-1)</f>
        <v>0</v>
      </c>
      <c r="AB54" s="28">
        <f>data3!AB54/range*(2^resolution-1)</f>
        <v>0</v>
      </c>
      <c r="AC54" s="28">
        <f>data3!AC54/range*(2^resolution-1)</f>
        <v>0</v>
      </c>
      <c r="AD54" s="28">
        <f>data3!AD54/range*(2^resolution-1)</f>
        <v>0</v>
      </c>
      <c r="AE54" s="28">
        <f>data3!AE54/range*(2^resolution-1)</f>
        <v>0</v>
      </c>
      <c r="AF54" s="28">
        <f>data3!AF54/range*(2^resolution-1)</f>
        <v>0</v>
      </c>
      <c r="AG54" s="28">
        <f>data3!AG54/range*(2^resolution-1)</f>
        <v>0</v>
      </c>
    </row>
    <row r="55" spans="1:33">
      <c r="A55" s="29">
        <f>data0!A55</f>
        <v>69</v>
      </c>
      <c r="B55" s="28">
        <f>data3!B55/range*(2^resolution-1)</f>
        <v>0</v>
      </c>
      <c r="C55" s="28">
        <f>data3!C55/range*(2^resolution-1)</f>
        <v>0</v>
      </c>
      <c r="D55" s="28">
        <f>data3!D55/range*(2^resolution-1)</f>
        <v>0</v>
      </c>
      <c r="E55" s="28">
        <f>data3!E55/range*(2^resolution-1)</f>
        <v>0</v>
      </c>
      <c r="F55" s="28">
        <f>data3!F55/range*(2^resolution-1)</f>
        <v>0</v>
      </c>
      <c r="G55" s="28">
        <f>data3!G55/range*(2^resolution-1)</f>
        <v>0</v>
      </c>
      <c r="H55" s="28">
        <f>data3!H55/range*(2^resolution-1)</f>
        <v>0</v>
      </c>
      <c r="I55" s="28">
        <f>data3!I55/range*(2^resolution-1)</f>
        <v>0</v>
      </c>
      <c r="J55" s="28">
        <f>data3!J55/range*(2^resolution-1)</f>
        <v>0</v>
      </c>
      <c r="K55" s="28">
        <f>data3!K55/range*(2^resolution-1)</f>
        <v>0</v>
      </c>
      <c r="L55" s="28">
        <f>data3!L55/range*(2^resolution-1)</f>
        <v>0</v>
      </c>
      <c r="M55" s="28">
        <f>data3!M55/range*(2^resolution-1)</f>
        <v>0</v>
      </c>
      <c r="N55" s="28">
        <f>data3!N55/range*(2^resolution-1)</f>
        <v>0</v>
      </c>
      <c r="O55" s="28">
        <f>data3!O55/range*(2^resolution-1)</f>
        <v>0</v>
      </c>
      <c r="P55" s="28">
        <f>data3!P55/range*(2^resolution-1)</f>
        <v>0</v>
      </c>
      <c r="Q55" s="28">
        <f>data3!Q55/range*(2^resolution-1)</f>
        <v>0</v>
      </c>
      <c r="R55" s="28">
        <f>data3!R55/range*(2^resolution-1)</f>
        <v>0</v>
      </c>
      <c r="S55" s="28">
        <f>data3!S55/range*(2^resolution-1)</f>
        <v>0</v>
      </c>
      <c r="T55" s="28">
        <f>data3!T55/range*(2^resolution-1)</f>
        <v>0</v>
      </c>
      <c r="U55" s="28">
        <f>data3!U55/range*(2^resolution-1)</f>
        <v>0</v>
      </c>
      <c r="V55" s="28">
        <f>data3!V55/range*(2^resolution-1)</f>
        <v>0</v>
      </c>
      <c r="W55" s="28">
        <f>data3!W55/range*(2^resolution-1)</f>
        <v>0</v>
      </c>
      <c r="X55" s="28">
        <f>data3!X55/range*(2^resolution-1)</f>
        <v>0</v>
      </c>
      <c r="Y55" s="28">
        <f>data3!Y55/range*(2^resolution-1)</f>
        <v>0</v>
      </c>
      <c r="Z55" s="28">
        <f>data3!Z55/range*(2^resolution-1)</f>
        <v>0</v>
      </c>
      <c r="AA55" s="28">
        <f>data3!AA55/range*(2^resolution-1)</f>
        <v>0</v>
      </c>
      <c r="AB55" s="28">
        <f>data3!AB55/range*(2^resolution-1)</f>
        <v>0</v>
      </c>
      <c r="AC55" s="28">
        <f>data3!AC55/range*(2^resolution-1)</f>
        <v>0</v>
      </c>
      <c r="AD55" s="28">
        <f>data3!AD55/range*(2^resolution-1)</f>
        <v>0</v>
      </c>
      <c r="AE55" s="28">
        <f>data3!AE55/range*(2^resolution-1)</f>
        <v>0</v>
      </c>
      <c r="AF55" s="28">
        <f>data3!AF55/range*(2^resolution-1)</f>
        <v>0</v>
      </c>
      <c r="AG55" s="28">
        <f>data3!AG55/range*(2^resolution-1)</f>
        <v>0</v>
      </c>
    </row>
    <row r="56" spans="1:33">
      <c r="A56" s="29">
        <f>data0!A56</f>
        <v>72</v>
      </c>
      <c r="B56" s="28">
        <f>data3!B56/range*(2^resolution-1)</f>
        <v>0</v>
      </c>
      <c r="C56" s="28">
        <f>data3!C56/range*(2^resolution-1)</f>
        <v>0</v>
      </c>
      <c r="D56" s="28">
        <f>data3!D56/range*(2^resolution-1)</f>
        <v>0</v>
      </c>
      <c r="E56" s="28">
        <f>data3!E56/range*(2^resolution-1)</f>
        <v>0</v>
      </c>
      <c r="F56" s="28">
        <f>data3!F56/range*(2^resolution-1)</f>
        <v>0</v>
      </c>
      <c r="G56" s="28">
        <f>data3!G56/range*(2^resolution-1)</f>
        <v>0</v>
      </c>
      <c r="H56" s="28">
        <f>data3!H56/range*(2^resolution-1)</f>
        <v>0</v>
      </c>
      <c r="I56" s="28">
        <f>data3!I56/range*(2^resolution-1)</f>
        <v>0</v>
      </c>
      <c r="J56" s="28">
        <f>data3!J56/range*(2^resolution-1)</f>
        <v>0</v>
      </c>
      <c r="K56" s="28">
        <f>data3!K56/range*(2^resolution-1)</f>
        <v>0</v>
      </c>
      <c r="L56" s="28">
        <f>data3!L56/range*(2^resolution-1)</f>
        <v>0</v>
      </c>
      <c r="M56" s="28">
        <f>data3!M56/range*(2^resolution-1)</f>
        <v>0</v>
      </c>
      <c r="N56" s="28">
        <f>data3!N56/range*(2^resolution-1)</f>
        <v>0</v>
      </c>
      <c r="O56" s="28">
        <f>data3!O56/range*(2^resolution-1)</f>
        <v>0</v>
      </c>
      <c r="P56" s="28">
        <f>data3!P56/range*(2^resolution-1)</f>
        <v>0</v>
      </c>
      <c r="Q56" s="28">
        <f>data3!Q56/range*(2^resolution-1)</f>
        <v>0</v>
      </c>
      <c r="R56" s="28">
        <f>data3!R56/range*(2^resolution-1)</f>
        <v>0</v>
      </c>
      <c r="S56" s="28">
        <f>data3!S56/range*(2^resolution-1)</f>
        <v>0</v>
      </c>
      <c r="T56" s="28">
        <f>data3!T56/range*(2^resolution-1)</f>
        <v>0</v>
      </c>
      <c r="U56" s="28">
        <f>data3!U56/range*(2^resolution-1)</f>
        <v>0</v>
      </c>
      <c r="V56" s="28">
        <f>data3!V56/range*(2^resolution-1)</f>
        <v>0</v>
      </c>
      <c r="W56" s="28">
        <f>data3!W56/range*(2^resolution-1)</f>
        <v>0</v>
      </c>
      <c r="X56" s="28">
        <f>data3!X56/range*(2^resolution-1)</f>
        <v>0</v>
      </c>
      <c r="Y56" s="28">
        <f>data3!Y56/range*(2^resolution-1)</f>
        <v>0</v>
      </c>
      <c r="Z56" s="28">
        <f>data3!Z56/range*(2^resolution-1)</f>
        <v>0</v>
      </c>
      <c r="AA56" s="28">
        <f>data3!AA56/range*(2^resolution-1)</f>
        <v>0</v>
      </c>
      <c r="AB56" s="28">
        <f>data3!AB56/range*(2^resolution-1)</f>
        <v>0</v>
      </c>
      <c r="AC56" s="28">
        <f>data3!AC56/range*(2^resolution-1)</f>
        <v>0</v>
      </c>
      <c r="AD56" s="28">
        <f>data3!AD56/range*(2^resolution-1)</f>
        <v>0</v>
      </c>
      <c r="AE56" s="28">
        <f>data3!AE56/range*(2^resolution-1)</f>
        <v>0</v>
      </c>
      <c r="AF56" s="28">
        <f>data3!AF56/range*(2^resolution-1)</f>
        <v>0</v>
      </c>
      <c r="AG56" s="28">
        <f>data3!AG56/range*(2^resolution-1)</f>
        <v>0</v>
      </c>
    </row>
    <row r="57" spans="1:33">
      <c r="A57" s="29">
        <f>data0!A57</f>
        <v>75</v>
      </c>
      <c r="B57" s="28">
        <f>data3!B57/range*(2^resolution-1)</f>
        <v>0</v>
      </c>
      <c r="C57" s="28">
        <f>data3!C57/range*(2^resolution-1)</f>
        <v>0</v>
      </c>
      <c r="D57" s="28">
        <f>data3!D57/range*(2^resolution-1)</f>
        <v>0</v>
      </c>
      <c r="E57" s="28">
        <f>data3!E57/range*(2^resolution-1)</f>
        <v>0</v>
      </c>
      <c r="F57" s="28">
        <f>data3!F57/range*(2^resolution-1)</f>
        <v>0</v>
      </c>
      <c r="G57" s="28">
        <f>data3!G57/range*(2^resolution-1)</f>
        <v>0</v>
      </c>
      <c r="H57" s="28">
        <f>data3!H57/range*(2^resolution-1)</f>
        <v>0</v>
      </c>
      <c r="I57" s="28">
        <f>data3!I57/range*(2^resolution-1)</f>
        <v>0</v>
      </c>
      <c r="J57" s="28">
        <f>data3!J57/range*(2^resolution-1)</f>
        <v>0</v>
      </c>
      <c r="K57" s="28">
        <f>data3!K57/range*(2^resolution-1)</f>
        <v>0</v>
      </c>
      <c r="L57" s="28">
        <f>data3!L57/range*(2^resolution-1)</f>
        <v>0</v>
      </c>
      <c r="M57" s="28">
        <f>data3!M57/range*(2^resolution-1)</f>
        <v>0</v>
      </c>
      <c r="N57" s="28">
        <f>data3!N57/range*(2^resolution-1)</f>
        <v>0</v>
      </c>
      <c r="O57" s="28">
        <f>data3!O57/range*(2^resolution-1)</f>
        <v>0</v>
      </c>
      <c r="P57" s="28">
        <f>data3!P57/range*(2^resolution-1)</f>
        <v>0</v>
      </c>
      <c r="Q57" s="28">
        <f>data3!Q57/range*(2^resolution-1)</f>
        <v>0</v>
      </c>
      <c r="R57" s="28">
        <f>data3!R57/range*(2^resolution-1)</f>
        <v>0</v>
      </c>
      <c r="S57" s="28">
        <f>data3!S57/range*(2^resolution-1)</f>
        <v>0</v>
      </c>
      <c r="T57" s="28">
        <f>data3!T57/range*(2^resolution-1)</f>
        <v>0</v>
      </c>
      <c r="U57" s="28">
        <f>data3!U57/range*(2^resolution-1)</f>
        <v>0</v>
      </c>
      <c r="V57" s="28">
        <f>data3!V57/range*(2^resolution-1)</f>
        <v>0</v>
      </c>
      <c r="W57" s="28">
        <f>data3!W57/range*(2^resolution-1)</f>
        <v>0</v>
      </c>
      <c r="X57" s="28">
        <f>data3!X57/range*(2^resolution-1)</f>
        <v>0</v>
      </c>
      <c r="Y57" s="28">
        <f>data3!Y57/range*(2^resolution-1)</f>
        <v>0</v>
      </c>
      <c r="Z57" s="28">
        <f>data3!Z57/range*(2^resolution-1)</f>
        <v>0</v>
      </c>
      <c r="AA57" s="28">
        <f>data3!AA57/range*(2^resolution-1)</f>
        <v>0</v>
      </c>
      <c r="AB57" s="28">
        <f>data3!AB57/range*(2^resolution-1)</f>
        <v>0</v>
      </c>
      <c r="AC57" s="28">
        <f>data3!AC57/range*(2^resolution-1)</f>
        <v>0</v>
      </c>
      <c r="AD57" s="28">
        <f>data3!AD57/range*(2^resolution-1)</f>
        <v>0</v>
      </c>
      <c r="AE57" s="28">
        <f>data3!AE57/range*(2^resolution-1)</f>
        <v>0</v>
      </c>
      <c r="AF57" s="28">
        <f>data3!AF57/range*(2^resolution-1)</f>
        <v>0</v>
      </c>
      <c r="AG57" s="28">
        <f>data3!AG57/range*(2^resolution-1)</f>
        <v>0</v>
      </c>
    </row>
    <row r="58" spans="1:33">
      <c r="A58" s="29">
        <f>data0!A58</f>
        <v>78</v>
      </c>
      <c r="B58" s="28">
        <f>data3!B58/range*(2^resolution-1)</f>
        <v>0</v>
      </c>
      <c r="C58" s="28">
        <f>data3!C58/range*(2^resolution-1)</f>
        <v>0</v>
      </c>
      <c r="D58" s="28">
        <f>data3!D58/range*(2^resolution-1)</f>
        <v>0</v>
      </c>
      <c r="E58" s="28">
        <f>data3!E58/range*(2^resolution-1)</f>
        <v>0</v>
      </c>
      <c r="F58" s="28">
        <f>data3!F58/range*(2^resolution-1)</f>
        <v>0</v>
      </c>
      <c r="G58" s="28">
        <f>data3!G58/range*(2^resolution-1)</f>
        <v>0</v>
      </c>
      <c r="H58" s="28">
        <f>data3!H58/range*(2^resolution-1)</f>
        <v>0</v>
      </c>
      <c r="I58" s="28">
        <f>data3!I58/range*(2^resolution-1)</f>
        <v>0</v>
      </c>
      <c r="J58" s="28">
        <f>data3!J58/range*(2^resolution-1)</f>
        <v>0</v>
      </c>
      <c r="K58" s="28">
        <f>data3!K58/range*(2^resolution-1)</f>
        <v>0</v>
      </c>
      <c r="L58" s="28">
        <f>data3!L58/range*(2^resolution-1)</f>
        <v>0</v>
      </c>
      <c r="M58" s="28">
        <f>data3!M58/range*(2^resolution-1)</f>
        <v>0</v>
      </c>
      <c r="N58" s="28">
        <f>data3!N58/range*(2^resolution-1)</f>
        <v>0</v>
      </c>
      <c r="O58" s="28">
        <f>data3!O58/range*(2^resolution-1)</f>
        <v>0</v>
      </c>
      <c r="P58" s="28">
        <f>data3!P58/range*(2^resolution-1)</f>
        <v>0</v>
      </c>
      <c r="Q58" s="28">
        <f>data3!Q58/range*(2^resolution-1)</f>
        <v>0</v>
      </c>
      <c r="R58" s="28">
        <f>data3!R58/range*(2^resolution-1)</f>
        <v>0</v>
      </c>
      <c r="S58" s="28">
        <f>data3!S58/range*(2^resolution-1)</f>
        <v>0</v>
      </c>
      <c r="T58" s="28">
        <f>data3!T58/range*(2^resolution-1)</f>
        <v>0</v>
      </c>
      <c r="U58" s="28">
        <f>data3!U58/range*(2^resolution-1)</f>
        <v>0</v>
      </c>
      <c r="V58" s="28">
        <f>data3!V58/range*(2^resolution-1)</f>
        <v>0</v>
      </c>
      <c r="W58" s="28">
        <f>data3!W58/range*(2^resolution-1)</f>
        <v>0</v>
      </c>
      <c r="X58" s="28">
        <f>data3!X58/range*(2^resolution-1)</f>
        <v>0</v>
      </c>
      <c r="Y58" s="28">
        <f>data3!Y58/range*(2^resolution-1)</f>
        <v>0</v>
      </c>
      <c r="Z58" s="28">
        <f>data3!Z58/range*(2^resolution-1)</f>
        <v>0</v>
      </c>
      <c r="AA58" s="28">
        <f>data3!AA58/range*(2^resolution-1)</f>
        <v>0</v>
      </c>
      <c r="AB58" s="28">
        <f>data3!AB58/range*(2^resolution-1)</f>
        <v>0</v>
      </c>
      <c r="AC58" s="28">
        <f>data3!AC58/range*(2^resolution-1)</f>
        <v>0</v>
      </c>
      <c r="AD58" s="28">
        <f>data3!AD58/range*(2^resolution-1)</f>
        <v>0</v>
      </c>
      <c r="AE58" s="28">
        <f>data3!AE58/range*(2^resolution-1)</f>
        <v>0</v>
      </c>
      <c r="AF58" s="28">
        <f>data3!AF58/range*(2^resolution-1)</f>
        <v>0</v>
      </c>
      <c r="AG58" s="28">
        <f>data3!AG58/range*(2^resolution-1)</f>
        <v>0</v>
      </c>
    </row>
    <row r="59" spans="1:33">
      <c r="A59" s="29">
        <f>data0!A59</f>
        <v>81</v>
      </c>
      <c r="B59" s="28">
        <f>data3!B59/range*(2^resolution-1)</f>
        <v>0</v>
      </c>
      <c r="C59" s="28">
        <f>data3!C59/range*(2^resolution-1)</f>
        <v>0</v>
      </c>
      <c r="D59" s="28">
        <f>data3!D59/range*(2^resolution-1)</f>
        <v>0</v>
      </c>
      <c r="E59" s="28">
        <f>data3!E59/range*(2^resolution-1)</f>
        <v>0</v>
      </c>
      <c r="F59" s="28">
        <f>data3!F59/range*(2^resolution-1)</f>
        <v>0</v>
      </c>
      <c r="G59" s="28">
        <f>data3!G59/range*(2^resolution-1)</f>
        <v>0</v>
      </c>
      <c r="H59" s="28">
        <f>data3!H59/range*(2^resolution-1)</f>
        <v>0</v>
      </c>
      <c r="I59" s="28">
        <f>data3!I59/range*(2^resolution-1)</f>
        <v>0</v>
      </c>
      <c r="J59" s="28">
        <f>data3!J59/range*(2^resolution-1)</f>
        <v>0</v>
      </c>
      <c r="K59" s="28">
        <f>data3!K59/range*(2^resolution-1)</f>
        <v>0</v>
      </c>
      <c r="L59" s="28">
        <f>data3!L59/range*(2^resolution-1)</f>
        <v>0</v>
      </c>
      <c r="M59" s="28">
        <f>data3!M59/range*(2^resolution-1)</f>
        <v>0</v>
      </c>
      <c r="N59" s="28">
        <f>data3!N59/range*(2^resolution-1)</f>
        <v>0</v>
      </c>
      <c r="O59" s="28">
        <f>data3!O59/range*(2^resolution-1)</f>
        <v>0</v>
      </c>
      <c r="P59" s="28">
        <f>data3!P59/range*(2^resolution-1)</f>
        <v>0</v>
      </c>
      <c r="Q59" s="28">
        <f>data3!Q59/range*(2^resolution-1)</f>
        <v>0</v>
      </c>
      <c r="R59" s="28">
        <f>data3!R59/range*(2^resolution-1)</f>
        <v>0</v>
      </c>
      <c r="S59" s="28">
        <f>data3!S59/range*(2^resolution-1)</f>
        <v>0</v>
      </c>
      <c r="T59" s="28">
        <f>data3!T59/range*(2^resolution-1)</f>
        <v>0</v>
      </c>
      <c r="U59" s="28">
        <f>data3!U59/range*(2^resolution-1)</f>
        <v>0</v>
      </c>
      <c r="V59" s="28">
        <f>data3!V59/range*(2^resolution-1)</f>
        <v>0</v>
      </c>
      <c r="W59" s="28">
        <f>data3!W59/range*(2^resolution-1)</f>
        <v>0</v>
      </c>
      <c r="X59" s="28">
        <f>data3!X59/range*(2^resolution-1)</f>
        <v>0</v>
      </c>
      <c r="Y59" s="28">
        <f>data3!Y59/range*(2^resolution-1)</f>
        <v>0</v>
      </c>
      <c r="Z59" s="28">
        <f>data3!Z59/range*(2^resolution-1)</f>
        <v>0</v>
      </c>
      <c r="AA59" s="28">
        <f>data3!AA59/range*(2^resolution-1)</f>
        <v>0</v>
      </c>
      <c r="AB59" s="28">
        <f>data3!AB59/range*(2^resolution-1)</f>
        <v>0</v>
      </c>
      <c r="AC59" s="28">
        <f>data3!AC59/range*(2^resolution-1)</f>
        <v>0</v>
      </c>
      <c r="AD59" s="28">
        <f>data3!AD59/range*(2^resolution-1)</f>
        <v>0</v>
      </c>
      <c r="AE59" s="28">
        <f>data3!AE59/range*(2^resolution-1)</f>
        <v>0</v>
      </c>
      <c r="AF59" s="28">
        <f>data3!AF59/range*(2^resolution-1)</f>
        <v>0</v>
      </c>
      <c r="AG59" s="28">
        <f>data3!AG59/range*(2^resolution-1)</f>
        <v>0</v>
      </c>
    </row>
    <row r="60" spans="1:33">
      <c r="A60" s="29">
        <f>data0!A60</f>
        <v>84</v>
      </c>
      <c r="B60" s="28">
        <f>data3!B60/range*(2^resolution-1)</f>
        <v>0</v>
      </c>
      <c r="C60" s="28">
        <f>data3!C60/range*(2^resolution-1)</f>
        <v>0</v>
      </c>
      <c r="D60" s="28">
        <f>data3!D60/range*(2^resolution-1)</f>
        <v>0</v>
      </c>
      <c r="E60" s="28">
        <f>data3!E60/range*(2^resolution-1)</f>
        <v>0</v>
      </c>
      <c r="F60" s="28">
        <f>data3!F60/range*(2^resolution-1)</f>
        <v>0</v>
      </c>
      <c r="G60" s="28">
        <f>data3!G60/range*(2^resolution-1)</f>
        <v>0</v>
      </c>
      <c r="H60" s="28">
        <f>data3!H60/range*(2^resolution-1)</f>
        <v>0</v>
      </c>
      <c r="I60" s="28">
        <f>data3!I60/range*(2^resolution-1)</f>
        <v>0</v>
      </c>
      <c r="J60" s="28">
        <f>data3!J60/range*(2^resolution-1)</f>
        <v>0</v>
      </c>
      <c r="K60" s="28">
        <f>data3!K60/range*(2^resolution-1)</f>
        <v>0</v>
      </c>
      <c r="L60" s="28">
        <f>data3!L60/range*(2^resolution-1)</f>
        <v>0</v>
      </c>
      <c r="M60" s="28">
        <f>data3!M60/range*(2^resolution-1)</f>
        <v>0</v>
      </c>
      <c r="N60" s="28">
        <f>data3!N60/range*(2^resolution-1)</f>
        <v>0</v>
      </c>
      <c r="O60" s="28">
        <f>data3!O60/range*(2^resolution-1)</f>
        <v>0</v>
      </c>
      <c r="P60" s="28">
        <f>data3!P60/range*(2^resolution-1)</f>
        <v>0</v>
      </c>
      <c r="Q60" s="28">
        <f>data3!Q60/range*(2^resolution-1)</f>
        <v>0</v>
      </c>
      <c r="R60" s="28">
        <f>data3!R60/range*(2^resolution-1)</f>
        <v>0</v>
      </c>
      <c r="S60" s="28">
        <f>data3!S60/range*(2^resolution-1)</f>
        <v>0</v>
      </c>
      <c r="T60" s="28">
        <f>data3!T60/range*(2^resolution-1)</f>
        <v>0</v>
      </c>
      <c r="U60" s="28">
        <f>data3!U60/range*(2^resolution-1)</f>
        <v>0</v>
      </c>
      <c r="V60" s="28">
        <f>data3!V60/range*(2^resolution-1)</f>
        <v>0</v>
      </c>
      <c r="W60" s="28">
        <f>data3!W60/range*(2^resolution-1)</f>
        <v>0</v>
      </c>
      <c r="X60" s="28">
        <f>data3!X60/range*(2^resolution-1)</f>
        <v>0</v>
      </c>
      <c r="Y60" s="28">
        <f>data3!Y60/range*(2^resolution-1)</f>
        <v>0</v>
      </c>
      <c r="Z60" s="28">
        <f>data3!Z60/range*(2^resolution-1)</f>
        <v>0</v>
      </c>
      <c r="AA60" s="28">
        <f>data3!AA60/range*(2^resolution-1)</f>
        <v>0</v>
      </c>
      <c r="AB60" s="28">
        <f>data3!AB60/range*(2^resolution-1)</f>
        <v>0</v>
      </c>
      <c r="AC60" s="28">
        <f>data3!AC60/range*(2^resolution-1)</f>
        <v>0</v>
      </c>
      <c r="AD60" s="28">
        <f>data3!AD60/range*(2^resolution-1)</f>
        <v>0</v>
      </c>
      <c r="AE60" s="28">
        <f>data3!AE60/range*(2^resolution-1)</f>
        <v>0</v>
      </c>
      <c r="AF60" s="28">
        <f>data3!AF60/range*(2^resolution-1)</f>
        <v>0</v>
      </c>
      <c r="AG60" s="28">
        <f>data3!AG60/range*(2^resolution-1)</f>
        <v>0</v>
      </c>
    </row>
    <row r="61" spans="1:33">
      <c r="A61" s="29">
        <f>data0!A61</f>
        <v>87</v>
      </c>
      <c r="B61" s="28">
        <f>data3!B61/range*(2^resolution-1)</f>
        <v>0</v>
      </c>
      <c r="C61" s="28">
        <f>data3!C61/range*(2^resolution-1)</f>
        <v>0</v>
      </c>
      <c r="D61" s="28">
        <f>data3!D61/range*(2^resolution-1)</f>
        <v>0</v>
      </c>
      <c r="E61" s="28">
        <f>data3!E61/range*(2^resolution-1)</f>
        <v>0</v>
      </c>
      <c r="F61" s="28">
        <f>data3!F61/range*(2^resolution-1)</f>
        <v>0</v>
      </c>
      <c r="G61" s="28">
        <f>data3!G61/range*(2^resolution-1)</f>
        <v>0</v>
      </c>
      <c r="H61" s="28">
        <f>data3!H61/range*(2^resolution-1)</f>
        <v>0</v>
      </c>
      <c r="I61" s="28">
        <f>data3!I61/range*(2^resolution-1)</f>
        <v>0</v>
      </c>
      <c r="J61" s="28">
        <f>data3!J61/range*(2^resolution-1)</f>
        <v>0</v>
      </c>
      <c r="K61" s="28">
        <f>data3!K61/range*(2^resolution-1)</f>
        <v>0</v>
      </c>
      <c r="L61" s="28">
        <f>data3!L61/range*(2^resolution-1)</f>
        <v>0</v>
      </c>
      <c r="M61" s="28">
        <f>data3!M61/range*(2^resolution-1)</f>
        <v>0</v>
      </c>
      <c r="N61" s="28">
        <f>data3!N61/range*(2^resolution-1)</f>
        <v>0</v>
      </c>
      <c r="O61" s="28">
        <f>data3!O61/range*(2^resolution-1)</f>
        <v>0</v>
      </c>
      <c r="P61" s="28">
        <f>data3!P61/range*(2^resolution-1)</f>
        <v>0</v>
      </c>
      <c r="Q61" s="28">
        <f>data3!Q61/range*(2^resolution-1)</f>
        <v>0</v>
      </c>
      <c r="R61" s="28">
        <f>data3!R61/range*(2^resolution-1)</f>
        <v>0</v>
      </c>
      <c r="S61" s="28">
        <f>data3!S61/range*(2^resolution-1)</f>
        <v>0</v>
      </c>
      <c r="T61" s="28">
        <f>data3!T61/range*(2^resolution-1)</f>
        <v>0</v>
      </c>
      <c r="U61" s="28">
        <f>data3!U61/range*(2^resolution-1)</f>
        <v>0</v>
      </c>
      <c r="V61" s="28">
        <f>data3!V61/range*(2^resolution-1)</f>
        <v>0</v>
      </c>
      <c r="W61" s="28">
        <f>data3!W61/range*(2^resolution-1)</f>
        <v>0</v>
      </c>
      <c r="X61" s="28">
        <f>data3!X61/range*(2^resolution-1)</f>
        <v>0</v>
      </c>
      <c r="Y61" s="28">
        <f>data3!Y61/range*(2^resolution-1)</f>
        <v>0</v>
      </c>
      <c r="Z61" s="28">
        <f>data3!Z61/range*(2^resolution-1)</f>
        <v>0</v>
      </c>
      <c r="AA61" s="28">
        <f>data3!AA61/range*(2^resolution-1)</f>
        <v>0</v>
      </c>
      <c r="AB61" s="28">
        <f>data3!AB61/range*(2^resolution-1)</f>
        <v>0</v>
      </c>
      <c r="AC61" s="28">
        <f>data3!AC61/range*(2^resolution-1)</f>
        <v>0</v>
      </c>
      <c r="AD61" s="28">
        <f>data3!AD61/range*(2^resolution-1)</f>
        <v>0</v>
      </c>
      <c r="AE61" s="28">
        <f>data3!AE61/range*(2^resolution-1)</f>
        <v>0</v>
      </c>
      <c r="AF61" s="28">
        <f>data3!AF61/range*(2^resolution-1)</f>
        <v>0</v>
      </c>
      <c r="AG61" s="28">
        <f>data3!AG61/range*(2^resolution-1)</f>
        <v>0</v>
      </c>
    </row>
    <row r="62" spans="1:33">
      <c r="A62" s="29">
        <f>data0!A62</f>
        <v>90</v>
      </c>
      <c r="B62" s="28">
        <f>data3!B62/range*(2^resolution-1)</f>
        <v>0</v>
      </c>
      <c r="C62" s="28">
        <f>data3!C62/range*(2^resolution-1)</f>
        <v>0</v>
      </c>
      <c r="D62" s="28">
        <f>data3!D62/range*(2^resolution-1)</f>
        <v>0</v>
      </c>
      <c r="E62" s="28">
        <f>data3!E62/range*(2^resolution-1)</f>
        <v>0</v>
      </c>
      <c r="F62" s="28">
        <f>data3!F62/range*(2^resolution-1)</f>
        <v>0</v>
      </c>
      <c r="G62" s="28">
        <f>data3!G62/range*(2^resolution-1)</f>
        <v>0</v>
      </c>
      <c r="H62" s="28">
        <f>data3!H62/range*(2^resolution-1)</f>
        <v>0</v>
      </c>
      <c r="I62" s="28">
        <f>data3!I62/range*(2^resolution-1)</f>
        <v>0</v>
      </c>
      <c r="J62" s="28">
        <f>data3!J62/range*(2^resolution-1)</f>
        <v>0</v>
      </c>
      <c r="K62" s="28">
        <f>data3!K62/range*(2^resolution-1)</f>
        <v>0</v>
      </c>
      <c r="L62" s="28">
        <f>data3!L62/range*(2^resolution-1)</f>
        <v>0</v>
      </c>
      <c r="M62" s="28">
        <f>data3!M62/range*(2^resolution-1)</f>
        <v>0</v>
      </c>
      <c r="N62" s="28">
        <f>data3!N62/range*(2^resolution-1)</f>
        <v>0</v>
      </c>
      <c r="O62" s="28">
        <f>data3!O62/range*(2^resolution-1)</f>
        <v>0</v>
      </c>
      <c r="P62" s="28">
        <f>data3!P62/range*(2^resolution-1)</f>
        <v>0</v>
      </c>
      <c r="Q62" s="28">
        <f>data3!Q62/range*(2^resolution-1)</f>
        <v>0</v>
      </c>
      <c r="R62" s="28">
        <f>data3!R62/range*(2^resolution-1)</f>
        <v>0</v>
      </c>
      <c r="S62" s="28">
        <f>data3!S62/range*(2^resolution-1)</f>
        <v>0</v>
      </c>
      <c r="T62" s="28">
        <f>data3!T62/range*(2^resolution-1)</f>
        <v>0</v>
      </c>
      <c r="U62" s="28">
        <f>data3!U62/range*(2^resolution-1)</f>
        <v>0</v>
      </c>
      <c r="V62" s="28">
        <f>data3!V62/range*(2^resolution-1)</f>
        <v>0</v>
      </c>
      <c r="W62" s="28">
        <f>data3!W62/range*(2^resolution-1)</f>
        <v>0</v>
      </c>
      <c r="X62" s="28">
        <f>data3!X62/range*(2^resolution-1)</f>
        <v>0</v>
      </c>
      <c r="Y62" s="28">
        <f>data3!Y62/range*(2^resolution-1)</f>
        <v>0</v>
      </c>
      <c r="Z62" s="28">
        <f>data3!Z62/range*(2^resolution-1)</f>
        <v>0</v>
      </c>
      <c r="AA62" s="28">
        <f>data3!AA62/range*(2^resolution-1)</f>
        <v>0</v>
      </c>
      <c r="AB62" s="28">
        <f>data3!AB62/range*(2^resolution-1)</f>
        <v>0</v>
      </c>
      <c r="AC62" s="28">
        <f>data3!AC62/range*(2^resolution-1)</f>
        <v>0</v>
      </c>
      <c r="AD62" s="28">
        <f>data3!AD62/range*(2^resolution-1)</f>
        <v>0</v>
      </c>
      <c r="AE62" s="28">
        <f>data3!AE62/range*(2^resolution-1)</f>
        <v>0</v>
      </c>
      <c r="AF62" s="28">
        <f>data3!AF62/range*(2^resolution-1)</f>
        <v>0</v>
      </c>
      <c r="AG62" s="28">
        <f>data3!AG62/range*(2^resolution-1)</f>
        <v>0</v>
      </c>
    </row>
    <row r="63" spans="1:33"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</row>
    <row r="64" spans="1:33"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</row>
    <row r="65" spans="2:33"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</row>
    <row r="66" spans="2:33"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</row>
    <row r="67" spans="2:33"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</row>
    <row r="68" spans="2:33"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</row>
    <row r="69" spans="2:33"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</row>
    <row r="70" spans="2:33"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</row>
    <row r="71" spans="2:33"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</row>
    <row r="72" spans="2:33"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</row>
    <row r="73" spans="2:33"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</row>
    <row r="74" spans="2:33"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</row>
    <row r="75" spans="2:33"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</row>
    <row r="76" spans="2:33"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</row>
    <row r="77" spans="2:33"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</row>
    <row r="78" spans="2:33"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</row>
    <row r="79" spans="2:33"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</row>
    <row r="80" spans="2:33"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</row>
    <row r="81" spans="2:33"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</row>
    <row r="82" spans="2:33"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</row>
    <row r="83" spans="2:33"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</row>
    <row r="84" spans="2:33"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</row>
    <row r="85" spans="2:33"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</row>
    <row r="86" spans="2:33"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</row>
    <row r="87" spans="2:33"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</row>
    <row r="88" spans="2:33"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</row>
    <row r="89" spans="2:33"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</row>
    <row r="90" spans="2:33"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</row>
    <row r="91" spans="2:33"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</row>
    <row r="92" spans="2:33"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</row>
    <row r="93" spans="2:33"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</row>
    <row r="94" spans="2:33"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</row>
    <row r="95" spans="2:33"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</row>
    <row r="96" spans="2:33"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</row>
    <row r="97" spans="2:33"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</row>
    <row r="98" spans="2:33"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</row>
    <row r="99" spans="2:33"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</row>
    <row r="100" spans="2:33"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</row>
    <row r="101" spans="2:33"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</row>
    <row r="102" spans="2:33"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</row>
    <row r="103" spans="2:33"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</row>
    <row r="104" spans="2:33"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</row>
    <row r="105" spans="2:33"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</row>
    <row r="106" spans="2:33"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</row>
    <row r="107" spans="2:33"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</row>
    <row r="108" spans="2:33"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</row>
    <row r="109" spans="2:33"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</row>
    <row r="110" spans="2:33"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</row>
    <row r="111" spans="2:33"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</row>
    <row r="112" spans="2:33"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</row>
    <row r="113" spans="2:33"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</row>
    <row r="114" spans="2:33"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</row>
    <row r="115" spans="2:33"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</row>
    <row r="116" spans="2:33"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</row>
    <row r="117" spans="2:33"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</row>
    <row r="118" spans="2:33"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</row>
    <row r="119" spans="2:33"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</row>
    <row r="120" spans="2:33"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</row>
    <row r="121" spans="2:33"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</row>
    <row r="122" spans="2:33"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</row>
    <row r="123" spans="2:33"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</row>
    <row r="124" spans="2:33"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</row>
    <row r="125" spans="2:33"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</row>
    <row r="126" spans="2:33"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</row>
    <row r="127" spans="2:33"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</row>
    <row r="128" spans="2:33"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</row>
    <row r="129" spans="2:33"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</row>
    <row r="130" spans="2:33"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</row>
    <row r="131" spans="2:33"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</row>
    <row r="132" spans="2:33"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</row>
    <row r="133" spans="2:33"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</row>
    <row r="134" spans="2:33"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</row>
    <row r="135" spans="2:33"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</row>
    <row r="136" spans="2:33"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</row>
    <row r="137" spans="2:33"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</row>
    <row r="138" spans="2:33"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</row>
    <row r="139" spans="2:33"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</row>
    <row r="140" spans="2:33"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</row>
    <row r="141" spans="2:33"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</row>
    <row r="142" spans="2:33"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</row>
    <row r="143" spans="2:33"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</row>
    <row r="144" spans="2:33"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</row>
    <row r="145" spans="2:33"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</row>
    <row r="146" spans="2:33"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</row>
    <row r="147" spans="2:33"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</row>
    <row r="148" spans="2:33"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</row>
    <row r="149" spans="2:33"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</row>
    <row r="150" spans="2:33"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</row>
    <row r="151" spans="2:33"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</row>
    <row r="152" spans="2:33"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</row>
    <row r="153" spans="2:33"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</row>
    <row r="154" spans="2:33"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</row>
    <row r="155" spans="2:33"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</row>
    <row r="156" spans="2:33"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</row>
    <row r="157" spans="2:33"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</row>
    <row r="158" spans="2:33"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</row>
    <row r="159" spans="2:33"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</row>
    <row r="160" spans="2:33"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</row>
    <row r="161" spans="2:33"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</row>
    <row r="162" spans="2:33"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</row>
    <row r="163" spans="2:33"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</row>
    <row r="164" spans="2:33"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</row>
    <row r="165" spans="2:33"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</row>
    <row r="166" spans="2:33"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</row>
    <row r="167" spans="2:33"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</row>
    <row r="168" spans="2:33"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</row>
    <row r="169" spans="2:33"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</row>
    <row r="170" spans="2:33"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</row>
    <row r="171" spans="2:33"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</row>
    <row r="172" spans="2:33"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</row>
    <row r="173" spans="2:33"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</row>
    <row r="174" spans="2:33"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</row>
    <row r="175" spans="2:33"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</row>
    <row r="176" spans="2:33"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</row>
    <row r="177" spans="2:33"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</row>
    <row r="178" spans="2:33"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</row>
    <row r="179" spans="2:33"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</row>
    <row r="180" spans="2:33"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</row>
    <row r="181" spans="2:33"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</row>
    <row r="182" spans="2:33"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Summary</vt:lpstr>
      <vt:lpstr>4-axis|Calc</vt:lpstr>
      <vt:lpstr>scale0</vt:lpstr>
      <vt:lpstr>scale1</vt:lpstr>
      <vt:lpstr>scale2</vt:lpstr>
      <vt:lpstr>scale3</vt:lpstr>
      <vt:lpstr>data0</vt:lpstr>
      <vt:lpstr>data1</vt:lpstr>
      <vt:lpstr>data2</vt:lpstr>
      <vt:lpstr>data3</vt:lpstr>
      <vt:lpstr>count0</vt:lpstr>
      <vt:lpstr>count1</vt:lpstr>
      <vt:lpstr>count2</vt:lpstr>
      <vt:lpstr>count3</vt:lpstr>
      <vt:lpstr>Comp35en</vt:lpstr>
      <vt:lpstr>Comp38</vt:lpstr>
      <vt:lpstr>Irdr</vt:lpstr>
      <vt:lpstr>Summary!Print_Area</vt:lpstr>
      <vt:lpstr>range</vt:lpstr>
      <vt:lpstr>RangeN</vt:lpstr>
      <vt:lpstr>resolution</vt:lpstr>
      <vt:lpstr>v_0</vt:lpstr>
      <vt:lpstr>v_1</vt:lpstr>
      <vt:lpstr>v_2</vt:lpstr>
      <vt:lpstr>v_3</vt:lpstr>
      <vt:lpstr>xOffset</vt:lpstr>
      <vt:lpstr>yOffset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2013-04-26T22:03:43Z</dcterms:modified>
</cp:coreProperties>
</file>