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5970" windowWidth="18345" windowHeight="6030" activeTab="2"/>
  </bookViews>
  <sheets>
    <sheet name="Summary" sheetId="2" r:id="rId1"/>
    <sheet name="Calculations" sheetId="4" r:id="rId2"/>
    <sheet name="data0" sheetId="3" r:id="rId3"/>
  </sheets>
  <functionGroups/>
  <definedNames>
    <definedName name="LoFilterIndex">Summary!$K$20</definedName>
    <definedName name="Lux">Summary!$K$14</definedName>
    <definedName name="maxComp">Calculations!#REF!</definedName>
    <definedName name="minComp">Summary!$F$1</definedName>
    <definedName name="partNumber">Summary!$J$19</definedName>
    <definedName name="_xlnm.Print_Area" localSheetId="2">data0!$B$1:$AL$6</definedName>
    <definedName name="_xlnm.Print_Area" localSheetId="0">Summary!$A$1:$H$12</definedName>
    <definedName name="xOffset">Summary!$K$12</definedName>
    <definedName name="yOffset">Summary!$K$13</definedName>
  </definedNames>
  <calcPr calcId="125725"/>
</workbook>
</file>

<file path=xl/calcChain.xml><?xml version="1.0" encoding="utf-8"?>
<calcChain xmlns="http://schemas.openxmlformats.org/spreadsheetml/2006/main">
  <c r="I33" i="4"/>
  <c r="I32"/>
  <c r="I31"/>
  <c r="I30"/>
  <c r="I35" l="1"/>
  <c r="S40" s="1"/>
  <c r="I34"/>
  <c r="S39" s="1"/>
  <c r="H3" i="2"/>
  <c r="C1"/>
  <c r="A1"/>
  <c r="A1" i="4"/>
  <c r="L23"/>
  <c r="K23"/>
  <c r="J23"/>
  <c r="I23"/>
  <c r="L22"/>
  <c r="K22"/>
  <c r="J22"/>
  <c r="I22"/>
  <c r="L21"/>
  <c r="K21"/>
  <c r="J21"/>
  <c r="I21"/>
  <c r="L20"/>
  <c r="K20"/>
  <c r="K24" s="1"/>
  <c r="J20"/>
  <c r="I20"/>
  <c r="I24" s="1"/>
  <c r="Z23"/>
  <c r="Z22"/>
  <c r="Z21"/>
  <c r="Z20"/>
  <c r="Z19"/>
  <c r="Z33"/>
  <c r="Y33"/>
  <c r="X33"/>
  <c r="W33"/>
  <c r="V33"/>
  <c r="U33"/>
  <c r="T33"/>
  <c r="S33"/>
  <c r="Z32"/>
  <c r="Y32"/>
  <c r="X32"/>
  <c r="W32"/>
  <c r="V32"/>
  <c r="U32"/>
  <c r="T32"/>
  <c r="S32"/>
  <c r="Z31"/>
  <c r="Y31"/>
  <c r="X31"/>
  <c r="W31"/>
  <c r="V31"/>
  <c r="U31"/>
  <c r="T31"/>
  <c r="S31"/>
  <c r="Z30"/>
  <c r="Y30"/>
  <c r="X30"/>
  <c r="W30"/>
  <c r="V30"/>
  <c r="U30"/>
  <c r="T30"/>
  <c r="S30"/>
  <c r="D11"/>
  <c r="Z35" l="1"/>
  <c r="AF40" s="1"/>
  <c r="Z34"/>
  <c r="AF39" s="1"/>
  <c r="J24"/>
  <c r="L24"/>
  <c r="F39" s="1"/>
  <c r="X35"/>
  <c r="AD40" s="1"/>
  <c r="S34"/>
  <c r="Y39" s="1"/>
  <c r="U34"/>
  <c r="AA39" s="1"/>
  <c r="W34"/>
  <c r="AC39" s="1"/>
  <c r="U35"/>
  <c r="AA40" s="1"/>
  <c r="P30"/>
  <c r="T35"/>
  <c r="Z40" s="1"/>
  <c r="Y35"/>
  <c r="AE40" s="1"/>
  <c r="Y34"/>
  <c r="AE39" s="1"/>
  <c r="X34"/>
  <c r="AD39" s="1"/>
  <c r="W35"/>
  <c r="AC40" s="1"/>
  <c r="V35"/>
  <c r="AB40" s="1"/>
  <c r="V34"/>
  <c r="AB39" s="1"/>
  <c r="T34"/>
  <c r="Z39" s="1"/>
  <c r="S35"/>
  <c r="Y40" s="1"/>
  <c r="Z25"/>
  <c r="L25"/>
  <c r="F40" s="1"/>
  <c r="K25"/>
  <c r="J25"/>
  <c r="I25"/>
  <c r="Z24"/>
  <c r="P40"/>
  <c r="P39"/>
  <c r="R33"/>
  <c r="P33"/>
  <c r="R32"/>
  <c r="P32"/>
  <c r="R31"/>
  <c r="P31"/>
  <c r="R30"/>
  <c r="N33"/>
  <c r="M33"/>
  <c r="L33"/>
  <c r="K33"/>
  <c r="J33"/>
  <c r="H33"/>
  <c r="G33"/>
  <c r="N32"/>
  <c r="M32"/>
  <c r="L32"/>
  <c r="K32"/>
  <c r="J32"/>
  <c r="H32"/>
  <c r="G32"/>
  <c r="N31"/>
  <c r="M31"/>
  <c r="L31"/>
  <c r="K31"/>
  <c r="J31"/>
  <c r="H31"/>
  <c r="G31"/>
  <c r="N30"/>
  <c r="M30"/>
  <c r="L30"/>
  <c r="K30"/>
  <c r="J30"/>
  <c r="H30"/>
  <c r="G30"/>
  <c r="X23"/>
  <c r="X22"/>
  <c r="X21"/>
  <c r="X20"/>
  <c r="Y23"/>
  <c r="W23"/>
  <c r="V23"/>
  <c r="U23"/>
  <c r="T23"/>
  <c r="S23"/>
  <c r="Y22"/>
  <c r="W22"/>
  <c r="V22"/>
  <c r="U22"/>
  <c r="T22"/>
  <c r="S22"/>
  <c r="Y21"/>
  <c r="W21"/>
  <c r="V21"/>
  <c r="U21"/>
  <c r="T21"/>
  <c r="S21"/>
  <c r="Y20"/>
  <c r="W20"/>
  <c r="V20"/>
  <c r="U20"/>
  <c r="T20"/>
  <c r="S20"/>
  <c r="H23"/>
  <c r="H22"/>
  <c r="H21"/>
  <c r="H20"/>
  <c r="P34" l="1"/>
  <c r="Q30"/>
  <c r="P35"/>
  <c r="R34"/>
  <c r="Q33"/>
  <c r="R35"/>
  <c r="Q32"/>
  <c r="Q31"/>
  <c r="N34"/>
  <c r="X39" s="1"/>
  <c r="M34"/>
  <c r="W39" s="1"/>
  <c r="L34"/>
  <c r="V39" s="1"/>
  <c r="K34"/>
  <c r="U39" s="1"/>
  <c r="J34"/>
  <c r="T39" s="1"/>
  <c r="H34"/>
  <c r="R39" s="1"/>
  <c r="G34"/>
  <c r="Q39" s="1"/>
  <c r="O31"/>
  <c r="O32"/>
  <c r="O33"/>
  <c r="O30"/>
  <c r="S24"/>
  <c r="I39" s="1"/>
  <c r="U24"/>
  <c r="K39" s="1"/>
  <c r="W24"/>
  <c r="M39" s="1"/>
  <c r="R22"/>
  <c r="D31"/>
  <c r="F32"/>
  <c r="F33"/>
  <c r="T24"/>
  <c r="J39" s="1"/>
  <c r="V24"/>
  <c r="L39" s="1"/>
  <c r="Y24"/>
  <c r="O39" s="1"/>
  <c r="R21"/>
  <c r="P23"/>
  <c r="P20"/>
  <c r="P21"/>
  <c r="P22"/>
  <c r="R23"/>
  <c r="Q23" s="1"/>
  <c r="F30"/>
  <c r="F31"/>
  <c r="D33"/>
  <c r="E33" s="1"/>
  <c r="R20"/>
  <c r="D30"/>
  <c r="D32"/>
  <c r="H35"/>
  <c r="R40" s="1"/>
  <c r="J35"/>
  <c r="T40" s="1"/>
  <c r="L35"/>
  <c r="V40" s="1"/>
  <c r="N35"/>
  <c r="X40" s="1"/>
  <c r="X25"/>
  <c r="N40" s="1"/>
  <c r="G35"/>
  <c r="Q40" s="1"/>
  <c r="K35"/>
  <c r="U40" s="1"/>
  <c r="M35"/>
  <c r="W40" s="1"/>
  <c r="T25"/>
  <c r="J40" s="1"/>
  <c r="V25"/>
  <c r="L40" s="1"/>
  <c r="Y25"/>
  <c r="O40" s="1"/>
  <c r="X24"/>
  <c r="N39" s="1"/>
  <c r="S25"/>
  <c r="I40" s="1"/>
  <c r="U25"/>
  <c r="K40" s="1"/>
  <c r="W25"/>
  <c r="M40" s="1"/>
  <c r="H25"/>
  <c r="B40" s="1"/>
  <c r="C40"/>
  <c r="D40"/>
  <c r="H24"/>
  <c r="B39" s="1"/>
  <c r="C39"/>
  <c r="D39"/>
  <c r="N23"/>
  <c r="M23"/>
  <c r="N22"/>
  <c r="M22"/>
  <c r="N21"/>
  <c r="M21"/>
  <c r="N20"/>
  <c r="M20"/>
  <c r="G23"/>
  <c r="G22"/>
  <c r="G21"/>
  <c r="G20"/>
  <c r="B12"/>
  <c r="O20" l="1"/>
  <c r="D34"/>
  <c r="E31"/>
  <c r="F3"/>
  <c r="D3"/>
  <c r="F4"/>
  <c r="D4"/>
  <c r="F6"/>
  <c r="D6"/>
  <c r="E30"/>
  <c r="F34"/>
  <c r="E34" s="1"/>
  <c r="F5"/>
  <c r="D5"/>
  <c r="O21"/>
  <c r="O34"/>
  <c r="Q34"/>
  <c r="O35"/>
  <c r="Q22"/>
  <c r="Q35"/>
  <c r="C30"/>
  <c r="P24"/>
  <c r="C32"/>
  <c r="C34"/>
  <c r="C33"/>
  <c r="E32"/>
  <c r="C31"/>
  <c r="O22"/>
  <c r="O23"/>
  <c r="Q21"/>
  <c r="R24"/>
  <c r="R25"/>
  <c r="P25"/>
  <c r="D35"/>
  <c r="F35"/>
  <c r="Q20"/>
  <c r="D20"/>
  <c r="F20"/>
  <c r="D22"/>
  <c r="F22"/>
  <c r="N24"/>
  <c r="H39" s="1"/>
  <c r="D21"/>
  <c r="F21"/>
  <c r="D23"/>
  <c r="F23"/>
  <c r="E39"/>
  <c r="M24"/>
  <c r="G39" s="1"/>
  <c r="E40"/>
  <c r="M25"/>
  <c r="G40" s="1"/>
  <c r="N25"/>
  <c r="H40" s="1"/>
  <c r="G25"/>
  <c r="G24"/>
  <c r="G19"/>
  <c r="A38" s="1"/>
  <c r="M3" i="2"/>
  <c r="C1" i="3"/>
  <c r="A4" i="2"/>
  <c r="K6" l="1"/>
  <c r="A39" i="4"/>
  <c r="D7"/>
  <c r="F7"/>
  <c r="A40"/>
  <c r="F8"/>
  <c r="D8"/>
  <c r="O36"/>
  <c r="C6"/>
  <c r="C3"/>
  <c r="Q24"/>
  <c r="O24"/>
  <c r="E35"/>
  <c r="C35"/>
  <c r="Q25"/>
  <c r="O25"/>
  <c r="D25"/>
  <c r="F25"/>
  <c r="E21"/>
  <c r="C21"/>
  <c r="E22"/>
  <c r="C22"/>
  <c r="D24"/>
  <c r="F24"/>
  <c r="E23"/>
  <c r="C23"/>
  <c r="E20"/>
  <c r="C20"/>
  <c r="D1" i="3"/>
  <c r="H19" i="4"/>
  <c r="B38" s="1"/>
  <c r="C5" l="1"/>
  <c r="C36"/>
  <c r="E4"/>
  <c r="E6"/>
  <c r="E5"/>
  <c r="C4"/>
  <c r="K4" i="2"/>
  <c r="E4" s="1"/>
  <c r="K3"/>
  <c r="E3" s="1"/>
  <c r="E3" i="4"/>
  <c r="O26"/>
  <c r="E24"/>
  <c r="C24"/>
  <c r="E25"/>
  <c r="C25"/>
  <c r="E1" i="3"/>
  <c r="I19" i="4"/>
  <c r="C38" s="1"/>
  <c r="C26" l="1"/>
  <c r="C8"/>
  <c r="P4" s="1"/>
  <c r="E8"/>
  <c r="P9" s="1"/>
  <c r="E7"/>
  <c r="H9" s="1"/>
  <c r="L3" i="2"/>
  <c r="D3" s="1"/>
  <c r="L4"/>
  <c r="D4" s="1"/>
  <c r="C7" i="4"/>
  <c r="F1" i="3"/>
  <c r="J19" i="4"/>
  <c r="D38" s="1"/>
  <c r="F3" i="2" l="1"/>
  <c r="F4"/>
  <c r="H4" i="4"/>
  <c r="H3" s="1"/>
  <c r="H5" s="1"/>
  <c r="H6" s="1"/>
  <c r="C9"/>
  <c r="P3"/>
  <c r="P5" s="1"/>
  <c r="P6" s="1"/>
  <c r="P7" s="1"/>
  <c r="P8" s="1"/>
  <c r="G1" i="3"/>
  <c r="K19" i="4"/>
  <c r="E38" s="1"/>
  <c r="Q9"/>
  <c r="Q8"/>
  <c r="Q7"/>
  <c r="Q4"/>
  <c r="Q5"/>
  <c r="Q6"/>
  <c r="K7" i="2" l="1"/>
  <c r="H7" i="4"/>
  <c r="H1" i="3"/>
  <c r="L19" i="4"/>
  <c r="F38" s="1"/>
  <c r="H8" l="1"/>
  <c r="I1" i="3"/>
  <c r="M19" i="4"/>
  <c r="G38" s="1"/>
  <c r="I4"/>
  <c r="I6"/>
  <c r="I5"/>
  <c r="I8"/>
  <c r="I9"/>
  <c r="I7"/>
  <c r="J1" i="3" l="1"/>
  <c r="N19" i="4"/>
  <c r="H38" s="1"/>
  <c r="K1" i="3" l="1"/>
  <c r="S19" i="4"/>
  <c r="I38" s="1"/>
  <c r="L1" i="3" l="1"/>
  <c r="T19" i="4"/>
  <c r="J38" s="1"/>
  <c r="M1" i="3" l="1"/>
  <c r="U19" i="4"/>
  <c r="K38" s="1"/>
  <c r="N1" i="3" l="1"/>
  <c r="V19" i="4"/>
  <c r="L38" s="1"/>
  <c r="O1" i="3" l="1"/>
  <c r="W19" i="4"/>
  <c r="M38" s="1"/>
  <c r="P1" i="3" l="1"/>
  <c r="X19" i="4"/>
  <c r="N38" s="1"/>
  <c r="Q1" i="3" l="1"/>
  <c r="Y19" i="4"/>
  <c r="O38" s="1"/>
  <c r="R1" i="3" l="1"/>
  <c r="P38" i="4"/>
  <c r="S1" i="3" l="1"/>
  <c r="G29" i="4"/>
  <c r="Q38" s="1"/>
  <c r="T1" i="3" l="1"/>
  <c r="H29" i="4"/>
  <c r="R38" s="1"/>
  <c r="U1" i="3" l="1"/>
  <c r="I29" i="4"/>
  <c r="S38" s="1"/>
  <c r="V1" i="3" l="1"/>
  <c r="J29" i="4"/>
  <c r="T38" s="1"/>
  <c r="W1" i="3" l="1"/>
  <c r="K29" i="4"/>
  <c r="U38" s="1"/>
  <c r="X1" i="3" l="1"/>
  <c r="L29" i="4"/>
  <c r="V38" s="1"/>
  <c r="Y1" i="3" l="1"/>
  <c r="M29" i="4"/>
  <c r="W38" s="1"/>
  <c r="Z1" i="3" l="1"/>
  <c r="N29" i="4"/>
  <c r="X38" s="1"/>
  <c r="AA1" i="3" l="1"/>
  <c r="S29" i="4"/>
  <c r="Y38" s="1"/>
  <c r="AB1" i="3" l="1"/>
  <c r="T29" i="4"/>
  <c r="Z38" s="1"/>
  <c r="AC1" i="3" l="1"/>
  <c r="U29" i="4"/>
  <c r="AA38" s="1"/>
  <c r="AD1" i="3" l="1"/>
  <c r="V29" i="4"/>
  <c r="AB38" s="1"/>
  <c r="AE1" i="3" l="1"/>
  <c r="W29" i="4"/>
  <c r="AC38" s="1"/>
  <c r="AF1" i="3" l="1"/>
  <c r="X29" i="4"/>
  <c r="AD38" s="1"/>
  <c r="AG1" i="3" l="1"/>
  <c r="Y29" i="4"/>
  <c r="AE38" s="1"/>
  <c r="Z29" l="1"/>
  <c r="AF38" s="1"/>
  <c r="AH1" i="3"/>
  <c r="AI1" l="1"/>
  <c r="AJ1" l="1"/>
  <c r="AK1" l="1"/>
</calcChain>
</file>

<file path=xl/sharedStrings.xml><?xml version="1.0" encoding="utf-8"?>
<sst xmlns="http://schemas.openxmlformats.org/spreadsheetml/2006/main" count="102" uniqueCount="57">
  <si>
    <t>#</t>
  </si>
  <si>
    <t>Label</t>
  </si>
  <si>
    <t>Unit</t>
  </si>
  <si>
    <t>Conditions</t>
  </si>
  <si>
    <t>Sub Label</t>
  </si>
  <si>
    <t>average</t>
  </si>
  <si>
    <t>stdev</t>
  </si>
  <si>
    <t>Mean</t>
  </si>
  <si>
    <t>LED</t>
  </si>
  <si>
    <t>QTH</t>
  </si>
  <si>
    <t>%</t>
  </si>
  <si>
    <t>#/devices</t>
  </si>
  <si>
    <t>Test</t>
  </si>
  <si>
    <t>Export</t>
  </si>
  <si>
    <t>Stdev</t>
  </si>
  <si>
    <t>Hi</t>
  </si>
  <si>
    <t>HI</t>
  </si>
  <si>
    <t>LO</t>
  </si>
  <si>
    <t>Match</t>
  </si>
  <si>
    <t>Lo</t>
  </si>
  <si>
    <t>Hi Range LS 2 LS</t>
  </si>
  <si>
    <t>Lo Range LS 2 LS</t>
  </si>
  <si>
    <r>
      <t>LED</t>
    </r>
    <r>
      <rPr>
        <vertAlign val="subscript"/>
        <sz val="14"/>
        <color theme="1"/>
        <rFont val="Calibri"/>
        <family val="2"/>
        <scheme val="minor"/>
      </rPr>
      <t>HI</t>
    </r>
  </si>
  <si>
    <r>
      <t>QTH</t>
    </r>
    <r>
      <rPr>
        <vertAlign val="subscript"/>
        <sz val="14"/>
        <color theme="1"/>
        <rFont val="Calibri"/>
        <family val="2"/>
        <scheme val="minor"/>
      </rPr>
      <t>HI</t>
    </r>
  </si>
  <si>
    <r>
      <t>QTH</t>
    </r>
    <r>
      <rPr>
        <vertAlign val="subscript"/>
        <sz val="14"/>
        <color theme="1"/>
        <rFont val="Calibri"/>
        <family val="2"/>
        <scheme val="minor"/>
      </rPr>
      <t>LO</t>
    </r>
  </si>
  <si>
    <r>
      <t>LED</t>
    </r>
    <r>
      <rPr>
        <vertAlign val="subscript"/>
        <sz val="14"/>
        <color theme="1"/>
        <rFont val="Calibri"/>
        <family val="2"/>
        <scheme val="minor"/>
      </rPr>
      <t>LO</t>
    </r>
  </si>
  <si>
    <t>LS2LS HI</t>
  </si>
  <si>
    <t>LS2LS LO</t>
  </si>
  <si>
    <t>LS 2 LS</t>
  </si>
  <si>
    <t>Hi Range</t>
  </si>
  <si>
    <t>Lo Range</t>
  </si>
  <si>
    <t>Hi/Lo Lux</t>
  </si>
  <si>
    <r>
      <t>3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</si>
  <si>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3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</si>
  <si>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All</t>
  </si>
  <si>
    <t>Cell0</t>
  </si>
  <si>
    <t>Cell1</t>
  </si>
  <si>
    <t>Cell2</t>
  </si>
  <si>
    <t>Cell3</t>
  </si>
  <si>
    <t>All Cells Distribution</t>
  </si>
  <si>
    <t>Gain Error</t>
  </si>
  <si>
    <r>
      <rPr>
        <sz val="11"/>
        <color theme="1"/>
        <rFont val="Symbol"/>
        <family val="1"/>
        <charset val="2"/>
      </rPr>
      <t>3s</t>
    </r>
    <r>
      <rPr>
        <sz val="11"/>
        <color theme="1"/>
        <rFont val="Calibri"/>
        <family val="2"/>
        <scheme val="minor"/>
      </rPr>
      <t xml:space="preserve"> Min</t>
    </r>
  </si>
  <si>
    <r>
      <rPr>
        <sz val="11"/>
        <color theme="1"/>
        <rFont val="Symbol"/>
        <family val="1"/>
        <charset val="2"/>
      </rPr>
      <t>3s</t>
    </r>
    <r>
      <rPr>
        <sz val="11"/>
        <color theme="1"/>
        <rFont val="Calibri"/>
        <family val="2"/>
        <scheme val="minor"/>
      </rPr>
      <t xml:space="preserve"> Max</t>
    </r>
  </si>
  <si>
    <t>Setup</t>
  </si>
  <si>
    <t>X=</t>
  </si>
  <si>
    <t>Y=</t>
  </si>
  <si>
    <t>Lux=</t>
  </si>
  <si>
    <t>QTH=</t>
  </si>
  <si>
    <t>OD=</t>
  </si>
  <si>
    <t>Comp38=</t>
  </si>
  <si>
    <t>Glass Xmit</t>
  </si>
  <si>
    <t>LoFilterIndex=</t>
  </si>
  <si>
    <t>NG</t>
  </si>
  <si>
    <t>Vled=</t>
  </si>
  <si>
    <t>LS2LS</t>
  </si>
  <si>
    <t>Ignore Gain Error, additional attenuation was added for high QTH results</t>
  </si>
  <si>
    <t>29035-1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</si>
</sst>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6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0" fillId="0" borderId="0" xfId="0" applyFont="1" applyAlignment="1">
      <alignment horizontal="left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3" xfId="0" applyBorder="1" applyAlignment="1">
      <alignment horizontal="center"/>
    </xf>
    <xf numFmtId="164" fontId="0" fillId="0" borderId="1" xfId="0" applyNumberFormat="1" applyBorder="1"/>
    <xf numFmtId="164" fontId="0" fillId="0" borderId="5" xfId="0" applyNumberFormat="1" applyBorder="1"/>
    <xf numFmtId="165" fontId="0" fillId="0" borderId="1" xfId="0" applyNumberFormat="1" applyBorder="1"/>
    <xf numFmtId="165" fontId="0" fillId="0" borderId="5" xfId="0" applyNumberFormat="1" applyBorder="1"/>
    <xf numFmtId="164" fontId="0" fillId="0" borderId="0" xfId="0" applyNumberFormat="1" applyFill="1" applyBorder="1"/>
    <xf numFmtId="0" fontId="0" fillId="0" borderId="0" xfId="0" applyBorder="1" applyAlignment="1">
      <alignment horizontal="center"/>
    </xf>
    <xf numFmtId="0" fontId="2" fillId="0" borderId="10" xfId="0" applyFont="1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Border="1" applyAlignment="1">
      <alignment horizontal="left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/>
    <xf numFmtId="164" fontId="0" fillId="0" borderId="16" xfId="0" applyNumberFormat="1" applyBorder="1" applyAlignment="1">
      <alignment horizontal="center"/>
    </xf>
    <xf numFmtId="164" fontId="0" fillId="0" borderId="16" xfId="0" applyNumberFormat="1" applyBorder="1"/>
    <xf numFmtId="0" fontId="0" fillId="0" borderId="15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vertical="center"/>
    </xf>
    <xf numFmtId="2" fontId="0" fillId="0" borderId="0" xfId="0" applyNumberFormat="1" applyFill="1" applyBorder="1" applyAlignment="1"/>
    <xf numFmtId="0" fontId="0" fillId="2" borderId="20" xfId="0" applyFill="1" applyBorder="1" applyAlignment="1"/>
    <xf numFmtId="0" fontId="0" fillId="2" borderId="4" xfId="0" applyFill="1" applyBorder="1" applyAlignment="1">
      <alignment horizontal="right"/>
    </xf>
    <xf numFmtId="0" fontId="0" fillId="0" borderId="5" xfId="0" applyBorder="1" applyAlignment="1">
      <alignment horizontal="center"/>
    </xf>
    <xf numFmtId="2" fontId="0" fillId="2" borderId="4" xfId="0" applyNumberFormat="1" applyFill="1" applyBorder="1"/>
    <xf numFmtId="2" fontId="0" fillId="2" borderId="6" xfId="0" applyNumberFormat="1" applyFill="1" applyBorder="1"/>
    <xf numFmtId="0" fontId="0" fillId="0" borderId="7" xfId="0" applyBorder="1"/>
    <xf numFmtId="164" fontId="0" fillId="0" borderId="7" xfId="0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1" fontId="0" fillId="2" borderId="19" xfId="0" applyNumberFormat="1" applyFill="1" applyBorder="1" applyAlignment="1">
      <alignment horizontal="right"/>
    </xf>
    <xf numFmtId="0" fontId="0" fillId="0" borderId="12" xfId="0" applyBorder="1"/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164" fontId="0" fillId="0" borderId="24" xfId="0" applyNumberFormat="1" applyBorder="1"/>
    <xf numFmtId="164" fontId="0" fillId="0" borderId="25" xfId="0" applyNumberFormat="1" applyBorder="1"/>
    <xf numFmtId="164" fontId="0" fillId="0" borderId="26" xfId="0" applyNumberFormat="1" applyBorder="1"/>
    <xf numFmtId="164" fontId="0" fillId="0" borderId="27" xfId="0" applyNumberFormat="1" applyBorder="1"/>
    <xf numFmtId="164" fontId="0" fillId="0" borderId="28" xfId="0" applyNumberFormat="1" applyBorder="1"/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 applyAlignment="1">
      <alignment vertical="top"/>
    </xf>
    <xf numFmtId="165" fontId="0" fillId="0" borderId="4" xfId="0" applyNumberFormat="1" applyBorder="1"/>
    <xf numFmtId="164" fontId="0" fillId="0" borderId="4" xfId="0" applyNumberFormat="1" applyBorder="1"/>
    <xf numFmtId="0" fontId="0" fillId="0" borderId="36" xfId="0" applyBorder="1" applyAlignment="1">
      <alignment horizontal="center"/>
    </xf>
    <xf numFmtId="0" fontId="0" fillId="0" borderId="33" xfId="0" applyBorder="1"/>
    <xf numFmtId="0" fontId="0" fillId="0" borderId="33" xfId="0" applyBorder="1" applyAlignment="1">
      <alignment vertical="top"/>
    </xf>
    <xf numFmtId="0" fontId="0" fillId="0" borderId="21" xfId="0" applyBorder="1" applyAlignment="1">
      <alignment vertical="top"/>
    </xf>
    <xf numFmtId="165" fontId="0" fillId="0" borderId="24" xfId="0" applyNumberFormat="1" applyBorder="1"/>
    <xf numFmtId="165" fontId="0" fillId="0" borderId="0" xfId="0" applyNumberFormat="1" applyBorder="1"/>
    <xf numFmtId="165" fontId="0" fillId="0" borderId="25" xfId="0" applyNumberFormat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top"/>
    </xf>
    <xf numFmtId="165" fontId="3" fillId="0" borderId="0" xfId="0" applyNumberFormat="1" applyFont="1" applyBorder="1" applyAlignment="1">
      <alignment horizontal="center" vertical="top"/>
    </xf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33" xfId="0" applyNumberFormat="1" applyBorder="1"/>
    <xf numFmtId="165" fontId="0" fillId="0" borderId="22" xfId="0" applyNumberFormat="1" applyBorder="1"/>
    <xf numFmtId="165" fontId="0" fillId="0" borderId="23" xfId="0" applyNumberFormat="1" applyBorder="1"/>
    <xf numFmtId="165" fontId="0" fillId="0" borderId="27" xfId="0" applyNumberFormat="1" applyBorder="1"/>
    <xf numFmtId="165" fontId="0" fillId="0" borderId="28" xfId="0" applyNumberFormat="1" applyBorder="1"/>
    <xf numFmtId="0" fontId="0" fillId="0" borderId="0" xfId="0" applyBorder="1" applyAlignment="1">
      <alignment vertical="top"/>
    </xf>
    <xf numFmtId="164" fontId="0" fillId="0" borderId="0" xfId="0" applyNumberFormat="1" applyBorder="1" applyAlignment="1">
      <alignment horizontal="center" vertical="top"/>
    </xf>
    <xf numFmtId="0" fontId="0" fillId="0" borderId="0" xfId="0" applyFont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14" xfId="0" applyBorder="1"/>
    <xf numFmtId="164" fontId="0" fillId="0" borderId="13" xfId="0" applyNumberFormat="1" applyFill="1" applyBorder="1"/>
    <xf numFmtId="10" fontId="0" fillId="0" borderId="13" xfId="0" applyNumberFormat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164" fontId="0" fillId="0" borderId="33" xfId="0" applyNumberFormat="1" applyBorder="1"/>
    <xf numFmtId="0" fontId="0" fillId="0" borderId="0" xfId="0" applyBorder="1" applyAlignment="1">
      <alignment horizontal="center"/>
    </xf>
    <xf numFmtId="164" fontId="0" fillId="0" borderId="0" xfId="0" applyNumberFormat="1" applyFont="1"/>
    <xf numFmtId="0" fontId="0" fillId="2" borderId="0" xfId="0" applyFill="1"/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right"/>
    </xf>
    <xf numFmtId="0" fontId="0" fillId="3" borderId="14" xfId="0" applyFill="1" applyBorder="1" applyAlignment="1">
      <alignment horizontal="left"/>
    </xf>
    <xf numFmtId="164" fontId="0" fillId="3" borderId="17" xfId="0" applyNumberFormat="1" applyFill="1" applyBorder="1"/>
    <xf numFmtId="0" fontId="0" fillId="0" borderId="15" xfId="0" applyFill="1" applyBorder="1"/>
    <xf numFmtId="1" fontId="0" fillId="0" borderId="14" xfId="0" applyNumberFormat="1" applyFill="1" applyBorder="1" applyAlignment="1">
      <alignment horizontal="left"/>
    </xf>
    <xf numFmtId="10" fontId="0" fillId="0" borderId="13" xfId="0" applyNumberFormat="1" applyFill="1" applyBorder="1" applyAlignment="1">
      <alignment horizontal="right"/>
    </xf>
    <xf numFmtId="0" fontId="0" fillId="3" borderId="13" xfId="0" applyFill="1" applyBorder="1" applyAlignment="1">
      <alignment horizontal="right"/>
    </xf>
    <xf numFmtId="0" fontId="0" fillId="3" borderId="14" xfId="0" applyFill="1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5" fontId="0" fillId="3" borderId="14" xfId="0" applyNumberFormat="1" applyFill="1" applyBorder="1" applyAlignment="1">
      <alignment horizontal="left"/>
    </xf>
    <xf numFmtId="0" fontId="0" fillId="3" borderId="13" xfId="0" applyFill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5" fillId="0" borderId="10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2" borderId="9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64" fontId="0" fillId="0" borderId="30" xfId="0" applyNumberFormat="1" applyBorder="1" applyAlignment="1">
      <alignment horizontal="center" vertical="top"/>
    </xf>
    <xf numFmtId="164" fontId="0" fillId="0" borderId="31" xfId="0" applyNumberFormat="1" applyBorder="1" applyAlignment="1">
      <alignment horizontal="center" vertical="top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9" xfId="0" applyBorder="1" applyAlignment="1">
      <alignment horizontal="left" vertical="top"/>
    </xf>
    <xf numFmtId="0" fontId="0" fillId="0" borderId="18" xfId="0" applyBorder="1" applyAlignment="1">
      <alignment horizontal="center"/>
    </xf>
    <xf numFmtId="0" fontId="0" fillId="0" borderId="36" xfId="0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Calculations!$H$2</c:f>
              <c:strCache>
                <c:ptCount val="1"/>
                <c:pt idx="0">
                  <c:v>Hi Range LS 2 LS</c:v>
                </c:pt>
              </c:strCache>
            </c:strRef>
          </c:tx>
          <c:cat>
            <c:numRef>
              <c:f>Calculations!$H$4:$H$11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Calculations!$I$4:$I$11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241652864"/>
        <c:axId val="241655168"/>
      </c:barChart>
      <c:catAx>
        <c:axId val="2416528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41655168"/>
        <c:crosses val="autoZero"/>
        <c:auto val="1"/>
        <c:lblAlgn val="ctr"/>
        <c:lblOffset val="100"/>
      </c:catAx>
      <c:valAx>
        <c:axId val="2416551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241652864"/>
        <c:crosses val="autoZero"/>
        <c:crossBetween val="between"/>
      </c:valAx>
    </c:plotArea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Calculations!$P$2</c:f>
              <c:strCache>
                <c:ptCount val="1"/>
                <c:pt idx="0">
                  <c:v>Lo Range LS 2 LS</c:v>
                </c:pt>
              </c:strCache>
            </c:strRef>
          </c:tx>
          <c:cat>
            <c:numRef>
              <c:f>Calculations!$P$4:$P$11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Calculations!$Q$4:$Q$11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242228224"/>
        <c:axId val="242238592"/>
      </c:barChart>
      <c:catAx>
        <c:axId val="2422282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  <c:layout/>
        </c:title>
        <c:numFmt formatCode="0.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42238592"/>
        <c:crosses val="autoZero"/>
        <c:auto val="1"/>
        <c:lblAlgn val="ctr"/>
        <c:lblOffset val="100"/>
      </c:catAx>
      <c:valAx>
        <c:axId val="242238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242228224"/>
        <c:crosses val="autoZero"/>
        <c:crossBetween val="between"/>
      </c:valAx>
    </c:plotArea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Calculations!$P$2</c:f>
              <c:strCache>
                <c:ptCount val="1"/>
                <c:pt idx="0">
                  <c:v>Lo Range LS 2 LS</c:v>
                </c:pt>
              </c:strCache>
            </c:strRef>
          </c:tx>
          <c:cat>
            <c:numRef>
              <c:f>Calculations!$P$4:$P$9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Calculations!$Q$4:$Q$9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242410624"/>
        <c:axId val="242412544"/>
      </c:barChart>
      <c:catAx>
        <c:axId val="2424106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  <c:layout/>
        </c:title>
        <c:numFmt formatCode="0.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42412544"/>
        <c:crosses val="autoZero"/>
        <c:auto val="1"/>
        <c:lblAlgn val="ctr"/>
        <c:lblOffset val="100"/>
      </c:catAx>
      <c:valAx>
        <c:axId val="2424125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242410624"/>
        <c:crosses val="autoZero"/>
        <c:crossBetween val="between"/>
      </c:valAx>
    </c:plotArea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Calculations!$H$2</c:f>
              <c:strCache>
                <c:ptCount val="1"/>
                <c:pt idx="0">
                  <c:v>Hi Range LS 2 LS</c:v>
                </c:pt>
              </c:strCache>
            </c:strRef>
          </c:tx>
          <c:cat>
            <c:numRef>
              <c:f>Calculations!$H$4:$H$9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Calculations!$I$4:$I$9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241740416"/>
        <c:axId val="241746688"/>
      </c:barChart>
      <c:catAx>
        <c:axId val="241740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241746688"/>
        <c:crosses val="autoZero"/>
        <c:auto val="1"/>
        <c:lblAlgn val="ctr"/>
        <c:lblOffset val="100"/>
      </c:catAx>
      <c:valAx>
        <c:axId val="2417466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241740416"/>
        <c:crosses val="autoZero"/>
        <c:crossBetween val="between"/>
      </c:valAx>
    </c:plotArea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83344</xdr:colOff>
      <xdr:row>4</xdr:row>
      <xdr:rowOff>47625</xdr:rowOff>
    </xdr:from>
    <xdr:to>
      <xdr:col>4</xdr:col>
      <xdr:colOff>324530</xdr:colOff>
      <xdr:row>14</xdr:row>
      <xdr:rowOff>119063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76994</xdr:colOff>
      <xdr:row>14</xdr:row>
      <xdr:rowOff>118003</xdr:rowOff>
    </xdr:from>
    <xdr:to>
      <xdr:col>4</xdr:col>
      <xdr:colOff>325740</xdr:colOff>
      <xdr:row>25</xdr:row>
      <xdr:rowOff>22753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154216</xdr:colOff>
      <xdr:row>1</xdr:row>
      <xdr:rowOff>3022</xdr:rowOff>
    </xdr:from>
    <xdr:to>
      <xdr:col>23</xdr:col>
      <xdr:colOff>278795</xdr:colOff>
      <xdr:row>11</xdr:row>
      <xdr:rowOff>57450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122465</xdr:colOff>
      <xdr:row>0</xdr:row>
      <xdr:rowOff>176893</xdr:rowOff>
    </xdr:from>
    <xdr:to>
      <xdr:col>14</xdr:col>
      <xdr:colOff>491973</xdr:colOff>
      <xdr:row>11</xdr:row>
      <xdr:rowOff>27214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1"/>
  <sheetViews>
    <sheetView showGridLines="0" zoomScale="80" zoomScaleNormal="80" workbookViewId="0">
      <selection activeCell="E4" sqref="E4"/>
    </sheetView>
  </sheetViews>
  <sheetFormatPr defaultRowHeight="15"/>
  <cols>
    <col min="1" max="1" width="4.5703125" bestFit="1" customWidth="1"/>
    <col min="2" max="2" width="18" customWidth="1"/>
    <col min="3" max="3" width="22.140625" bestFit="1" customWidth="1"/>
    <col min="4" max="4" width="8.42578125" bestFit="1" customWidth="1"/>
    <col min="5" max="5" width="8.28515625" bestFit="1" customWidth="1"/>
    <col min="6" max="6" width="10.85546875" bestFit="1" customWidth="1"/>
    <col min="7" max="7" width="5.7109375" bestFit="1" customWidth="1"/>
    <col min="8" max="8" width="17" bestFit="1" customWidth="1"/>
    <col min="9" max="9" width="10.28515625" customWidth="1"/>
    <col min="10" max="10" width="14.5703125" style="3" customWidth="1"/>
    <col min="11" max="11" width="9.140625" style="3"/>
  </cols>
  <sheetData>
    <row r="1" spans="1:13" ht="15.75" thickBot="1">
      <c r="A1" s="109" t="str">
        <f>J19</f>
        <v>29035-1</v>
      </c>
      <c r="B1" s="110"/>
      <c r="C1" s="110" t="str">
        <f>K19</f>
        <v>NG</v>
      </c>
      <c r="D1" s="110"/>
      <c r="E1" s="110"/>
      <c r="F1" s="35"/>
      <c r="G1" s="89"/>
      <c r="H1" s="27" t="s">
        <v>31</v>
      </c>
    </row>
    <row r="2" spans="1:13">
      <c r="A2" s="28" t="s">
        <v>0</v>
      </c>
      <c r="B2" s="2" t="s">
        <v>1</v>
      </c>
      <c r="C2" s="2" t="s">
        <v>4</v>
      </c>
      <c r="D2" s="87" t="s">
        <v>41</v>
      </c>
      <c r="E2" s="4" t="s">
        <v>7</v>
      </c>
      <c r="F2" s="87" t="s">
        <v>42</v>
      </c>
      <c r="G2" s="4" t="s">
        <v>2</v>
      </c>
      <c r="H2" s="29" t="s">
        <v>3</v>
      </c>
      <c r="J2" s="15" t="s">
        <v>13</v>
      </c>
      <c r="K2" s="16" t="s">
        <v>7</v>
      </c>
      <c r="L2" s="16" t="s">
        <v>14</v>
      </c>
      <c r="M2" s="17" t="s">
        <v>0</v>
      </c>
    </row>
    <row r="3" spans="1:13">
      <c r="A3" s="30">
        <v>1</v>
      </c>
      <c r="B3" s="111" t="s">
        <v>28</v>
      </c>
      <c r="C3" s="2" t="s">
        <v>29</v>
      </c>
      <c r="D3" s="5" t="e">
        <f>E3-1.5*L3</f>
        <v>#DIV/0!</v>
      </c>
      <c r="E3" s="5" t="e">
        <f>K3</f>
        <v>#DIV/0!</v>
      </c>
      <c r="F3" s="5" t="e">
        <f>E3+1.5*L3</f>
        <v>#DIV/0!</v>
      </c>
      <c r="G3" s="4" t="s">
        <v>10</v>
      </c>
      <c r="H3" s="113" t="str">
        <f>K19</f>
        <v>NG</v>
      </c>
      <c r="I3" s="1"/>
      <c r="J3" s="18" t="s">
        <v>26</v>
      </c>
      <c r="K3" s="19" t="e">
        <f>Calculations!D7</f>
        <v>#DIV/0!</v>
      </c>
      <c r="L3" s="20" t="e">
        <f>Calculations!F7</f>
        <v>#DIV/0!</v>
      </c>
      <c r="M3" s="104">
        <f>Calculations!D11</f>
        <v>0</v>
      </c>
    </row>
    <row r="4" spans="1:13" ht="15.75" thickBot="1">
      <c r="A4" s="31">
        <f>A3+0.01</f>
        <v>1.01</v>
      </c>
      <c r="B4" s="112"/>
      <c r="C4" s="32" t="s">
        <v>30</v>
      </c>
      <c r="D4" s="33" t="e">
        <f>E4-1.5*L4</f>
        <v>#DIV/0!</v>
      </c>
      <c r="E4" s="33" t="e">
        <f t="shared" ref="E4" si="0">K4</f>
        <v>#DIV/0!</v>
      </c>
      <c r="F4" s="33" t="e">
        <f>E4+1.5*L4</f>
        <v>#DIV/0!</v>
      </c>
      <c r="G4" s="34" t="s">
        <v>10</v>
      </c>
      <c r="H4" s="114"/>
      <c r="I4" s="1"/>
      <c r="J4" s="23" t="s">
        <v>27</v>
      </c>
      <c r="K4" s="21" t="e">
        <f>Calculations!D8</f>
        <v>#DIV/0!</v>
      </c>
      <c r="L4" s="22" t="e">
        <f>Calculations!F8</f>
        <v>#DIV/0!</v>
      </c>
      <c r="M4" s="105"/>
    </row>
    <row r="5" spans="1:13" ht="15.75" thickBot="1">
      <c r="A5" s="26"/>
      <c r="B5" s="26"/>
      <c r="C5" s="26"/>
      <c r="D5" s="26"/>
      <c r="E5" s="26"/>
      <c r="F5" s="26"/>
      <c r="G5" s="26"/>
      <c r="H5" s="26"/>
      <c r="J5" s="24"/>
      <c r="K5" s="19"/>
      <c r="L5" s="20"/>
      <c r="M5" s="25"/>
    </row>
    <row r="6" spans="1:13">
      <c r="A6" s="26"/>
      <c r="B6" s="26"/>
      <c r="C6" s="26"/>
      <c r="D6" s="26"/>
      <c r="E6" s="26"/>
      <c r="F6" s="26"/>
      <c r="G6" s="26"/>
      <c r="H6" s="26"/>
      <c r="J6" s="99" t="s">
        <v>40</v>
      </c>
      <c r="K6" s="100">
        <f>AVERAGE(Calculations!D3:D4)/(K21*Lux)-1</f>
        <v>-1</v>
      </c>
      <c r="L6" s="20"/>
      <c r="M6" s="25"/>
    </row>
    <row r="7" spans="1:13" ht="15.75" thickBot="1">
      <c r="A7" s="26"/>
      <c r="B7" s="26"/>
      <c r="C7" s="26"/>
      <c r="D7" s="26"/>
      <c r="E7" s="26"/>
      <c r="F7" s="26"/>
      <c r="G7" s="26"/>
      <c r="H7" s="26"/>
      <c r="J7" s="90" t="s">
        <v>54</v>
      </c>
      <c r="K7" s="101" t="e">
        <f>MAX(ABS(D3),ABS(D4),ABS(F3),ABS(F4))</f>
        <v>#DIV/0!</v>
      </c>
    </row>
    <row r="8" spans="1:13" ht="15" customHeight="1">
      <c r="A8" s="26"/>
      <c r="B8" s="26"/>
      <c r="C8" s="26"/>
      <c r="D8" s="26"/>
      <c r="E8" s="26"/>
      <c r="F8" s="26"/>
      <c r="G8" s="26"/>
      <c r="H8" s="26"/>
      <c r="J8" s="106" t="s">
        <v>55</v>
      </c>
      <c r="K8" s="106"/>
      <c r="L8" s="106"/>
    </row>
    <row r="9" spans="1:13">
      <c r="A9" s="26"/>
      <c r="B9" s="26"/>
      <c r="C9" s="26"/>
      <c r="D9" s="26"/>
      <c r="E9" s="26"/>
      <c r="F9" s="26"/>
      <c r="G9" s="26"/>
      <c r="H9" s="26"/>
      <c r="J9" s="106"/>
      <c r="K9" s="106"/>
      <c r="L9" s="106"/>
    </row>
    <row r="10" spans="1:13" ht="15.75" thickBot="1">
      <c r="A10" s="26"/>
      <c r="B10" s="26"/>
      <c r="C10" s="26"/>
      <c r="D10" s="26"/>
      <c r="E10" s="26"/>
      <c r="F10" s="26"/>
      <c r="G10" s="26"/>
      <c r="H10" s="26"/>
      <c r="J10" s="106"/>
      <c r="K10" s="106"/>
      <c r="L10" s="106"/>
    </row>
    <row r="11" spans="1:13">
      <c r="A11" s="26"/>
      <c r="B11" s="26"/>
      <c r="C11" s="26"/>
      <c r="D11" s="26"/>
      <c r="E11" s="26"/>
      <c r="F11" s="26"/>
      <c r="G11" s="26"/>
      <c r="H11" s="26"/>
      <c r="J11" s="107" t="s">
        <v>43</v>
      </c>
      <c r="K11" s="108"/>
    </row>
    <row r="12" spans="1:13">
      <c r="A12" s="26"/>
      <c r="B12" s="26"/>
      <c r="C12" s="26"/>
      <c r="D12" s="26"/>
      <c r="E12" s="26"/>
      <c r="F12" s="26"/>
      <c r="G12" s="26"/>
      <c r="H12" s="26"/>
      <c r="J12" s="91" t="s">
        <v>44</v>
      </c>
      <c r="K12" s="102">
        <v>12</v>
      </c>
    </row>
    <row r="13" spans="1:13">
      <c r="A13" s="26"/>
      <c r="B13" s="26"/>
      <c r="C13" s="26"/>
      <c r="D13" s="26"/>
      <c r="E13" s="26"/>
      <c r="F13" s="26"/>
      <c r="G13" s="26"/>
      <c r="H13" s="26"/>
      <c r="J13" s="91" t="s">
        <v>45</v>
      </c>
      <c r="K13" s="102">
        <v>4</v>
      </c>
    </row>
    <row r="14" spans="1:13">
      <c r="J14" s="91" t="s">
        <v>46</v>
      </c>
      <c r="K14" s="95">
        <v>500</v>
      </c>
    </row>
    <row r="15" spans="1:13">
      <c r="J15" s="91" t="s">
        <v>47</v>
      </c>
      <c r="K15" s="92">
        <v>183</v>
      </c>
    </row>
    <row r="16" spans="1:13">
      <c r="J16" s="91" t="s">
        <v>48</v>
      </c>
      <c r="K16" s="92">
        <v>0.7</v>
      </c>
    </row>
    <row r="17" spans="10:11">
      <c r="J17" s="91" t="s">
        <v>53</v>
      </c>
      <c r="K17" s="92">
        <v>2.7450000000000001</v>
      </c>
    </row>
    <row r="18" spans="10:11">
      <c r="J18" s="96" t="s">
        <v>49</v>
      </c>
      <c r="K18" s="92">
        <v>0</v>
      </c>
    </row>
    <row r="19" spans="10:11">
      <c r="J19" s="103" t="s">
        <v>56</v>
      </c>
      <c r="K19" s="98" t="s">
        <v>52</v>
      </c>
    </row>
    <row r="20" spans="10:11">
      <c r="J20" s="97" t="s">
        <v>51</v>
      </c>
      <c r="K20" s="92">
        <v>0</v>
      </c>
    </row>
    <row r="21" spans="10:11" ht="15.75" thickBot="1">
      <c r="J21" s="94" t="s">
        <v>50</v>
      </c>
      <c r="K21" s="93">
        <v>1</v>
      </c>
    </row>
  </sheetData>
  <mergeCells count="7">
    <mergeCell ref="M3:M4"/>
    <mergeCell ref="J8:L10"/>
    <mergeCell ref="J11:K11"/>
    <mergeCell ref="A1:B1"/>
    <mergeCell ref="C1:E1"/>
    <mergeCell ref="B3:B4"/>
    <mergeCell ref="H3:H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C40"/>
  <sheetViews>
    <sheetView showGridLines="0" topLeftCell="A9" zoomScale="70" zoomScaleNormal="70" workbookViewId="0">
      <selection activeCell="G17" sqref="G17"/>
    </sheetView>
  </sheetViews>
  <sheetFormatPr defaultRowHeight="15"/>
  <cols>
    <col min="1" max="1" width="7" bestFit="1" customWidth="1"/>
    <col min="2" max="2" width="6.140625" bestFit="1" customWidth="1"/>
    <col min="3" max="14" width="9.140625" customWidth="1"/>
    <col min="15" max="18" width="9.28515625" bestFit="1" customWidth="1"/>
    <col min="19" max="19" width="9.42578125" bestFit="1" customWidth="1"/>
    <col min="20" max="20" width="8" bestFit="1" customWidth="1"/>
    <col min="21" max="21" width="7.85546875" bestFit="1" customWidth="1"/>
    <col min="22" max="22" width="8" bestFit="1" customWidth="1"/>
    <col min="23" max="32" width="7" bestFit="1" customWidth="1"/>
    <col min="33" max="35" width="6.85546875" bestFit="1" customWidth="1"/>
    <col min="36" max="36" width="6.7109375" customWidth="1"/>
    <col min="37" max="38" width="7.140625" customWidth="1"/>
    <col min="39" max="39" width="6.140625" bestFit="1" customWidth="1"/>
    <col min="40" max="40" width="8" customWidth="1"/>
    <col min="41" max="41" width="9" customWidth="1"/>
    <col min="42" max="42" width="7.7109375" customWidth="1"/>
    <col min="43" max="43" width="7.140625" customWidth="1"/>
    <col min="44" max="44" width="7.42578125" customWidth="1"/>
    <col min="45" max="45" width="6.140625" bestFit="1" customWidth="1"/>
    <col min="46" max="46" width="7" customWidth="1"/>
    <col min="47" max="49" width="6.140625" bestFit="1" customWidth="1"/>
    <col min="50" max="50" width="7.42578125" customWidth="1"/>
    <col min="51" max="51" width="7.5703125" customWidth="1"/>
  </cols>
  <sheetData>
    <row r="1" spans="1:55" ht="15.75" thickBot="1">
      <c r="A1" s="135" t="str">
        <f>Lux &amp; "Lux"</f>
        <v>500Lux</v>
      </c>
      <c r="B1" s="136"/>
      <c r="C1" s="118" t="s">
        <v>34</v>
      </c>
      <c r="D1" s="119"/>
      <c r="E1" s="119"/>
      <c r="F1" s="120"/>
      <c r="H1" s="76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36"/>
    </row>
    <row r="2" spans="1:55">
      <c r="A2" s="125" t="s">
        <v>12</v>
      </c>
      <c r="B2" s="126"/>
      <c r="C2" s="38" t="s">
        <v>32</v>
      </c>
      <c r="D2" s="39" t="s">
        <v>5</v>
      </c>
      <c r="E2" s="39" t="s">
        <v>33</v>
      </c>
      <c r="F2" s="8" t="s">
        <v>6</v>
      </c>
      <c r="H2" s="134" t="s">
        <v>20</v>
      </c>
      <c r="I2" s="129"/>
      <c r="J2" s="78"/>
      <c r="K2" s="78"/>
      <c r="L2" s="78"/>
      <c r="M2" s="78"/>
      <c r="N2" s="78"/>
      <c r="O2" s="78"/>
      <c r="P2" s="129" t="s">
        <v>21</v>
      </c>
      <c r="Q2" s="129"/>
      <c r="R2" s="78"/>
      <c r="S2" s="78"/>
      <c r="T2" s="78"/>
      <c r="U2" s="78"/>
      <c r="V2" s="78"/>
      <c r="W2" s="78"/>
      <c r="X2" s="78"/>
      <c r="Y2" s="79"/>
    </row>
    <row r="3" spans="1:55">
      <c r="A3" s="115" t="s">
        <v>16</v>
      </c>
      <c r="B3" s="56" t="s">
        <v>8</v>
      </c>
      <c r="C3" s="53">
        <f>D3-1.5*F3</f>
        <v>0</v>
      </c>
      <c r="D3" s="11">
        <f>AVERAGE(G20:N20,S20:Z20,G30:N30,S30:Z30)</f>
        <v>0</v>
      </c>
      <c r="E3" s="11">
        <f>D3+1.5*F3</f>
        <v>0</v>
      </c>
      <c r="F3" s="12">
        <f>STDEV(G20:N20,S20:Z20,G30:N30,S30:Z30)</f>
        <v>0</v>
      </c>
      <c r="H3" s="80" t="e">
        <f>(H9-H4)/5</f>
        <v>#DIV/0!</v>
      </c>
      <c r="I3" s="78"/>
      <c r="J3" s="78"/>
      <c r="K3" s="78"/>
      <c r="L3" s="78"/>
      <c r="M3" s="78"/>
      <c r="N3" s="78"/>
      <c r="O3" s="78"/>
      <c r="P3" s="13" t="e">
        <f>(P9-P4)/5</f>
        <v>#DIV/0!</v>
      </c>
      <c r="Q3" s="78"/>
      <c r="R3" s="78"/>
      <c r="S3" s="78"/>
      <c r="T3" s="78"/>
      <c r="U3" s="78"/>
      <c r="V3" s="78"/>
      <c r="W3" s="78"/>
      <c r="X3" s="78"/>
      <c r="Y3" s="79"/>
    </row>
    <row r="4" spans="1:55">
      <c r="A4" s="115"/>
      <c r="B4" s="56" t="s">
        <v>9</v>
      </c>
      <c r="C4" s="53">
        <f t="shared" ref="C4:C8" si="0">D4-1.5*F4</f>
        <v>0</v>
      </c>
      <c r="D4" s="11">
        <f t="shared" ref="D4:D8" si="1">AVERAGE(G21:N21,S21:Z21,G31:N31,S31:Z31)</f>
        <v>0</v>
      </c>
      <c r="E4" s="11">
        <f t="shared" ref="E4:E8" si="2">D4+1.5*F4</f>
        <v>0</v>
      </c>
      <c r="F4" s="12">
        <f t="shared" ref="F4:F8" si="3">STDEV(G21:N21,S21:Z21,G31:N31,S31:Z31)</f>
        <v>0</v>
      </c>
      <c r="H4" s="81" t="e">
        <f>C7</f>
        <v>#DIV/0!</v>
      </c>
      <c r="I4" s="78" t="e">
        <f>histogram($A$39:$AF$39,$H$4:H$9,H4)</f>
        <v>#VALUE!</v>
      </c>
      <c r="J4" s="78"/>
      <c r="K4" s="78"/>
      <c r="L4" s="78"/>
      <c r="M4" s="78"/>
      <c r="N4" s="78"/>
      <c r="O4" s="78"/>
      <c r="P4" s="20" t="e">
        <f>C8</f>
        <v>#DIV/0!</v>
      </c>
      <c r="Q4" s="78" t="e">
        <f>histogram($A$40:$AF$40,$P$4:P$9,P4)</f>
        <v>#VALUE!</v>
      </c>
      <c r="R4" s="78"/>
      <c r="S4" s="78"/>
      <c r="T4" s="78"/>
      <c r="U4" s="78"/>
      <c r="V4" s="78"/>
      <c r="W4" s="78"/>
      <c r="X4" s="78"/>
      <c r="Y4" s="79"/>
    </row>
    <row r="5" spans="1:55">
      <c r="A5" s="115" t="s">
        <v>17</v>
      </c>
      <c r="B5" s="56" t="s">
        <v>9</v>
      </c>
      <c r="C5" s="53">
        <f t="shared" si="0"/>
        <v>0</v>
      </c>
      <c r="D5" s="11">
        <f t="shared" si="1"/>
        <v>0</v>
      </c>
      <c r="E5" s="11">
        <f t="shared" si="2"/>
        <v>0</v>
      </c>
      <c r="F5" s="12">
        <f t="shared" si="3"/>
        <v>0</v>
      </c>
      <c r="H5" s="81" t="e">
        <f>H4+H$3</f>
        <v>#DIV/0!</v>
      </c>
      <c r="I5" s="78" t="e">
        <f>histogram($A$39:$AF$39,$H$4:H$9,H5)</f>
        <v>#VALUE!</v>
      </c>
      <c r="J5" s="78"/>
      <c r="K5" s="78"/>
      <c r="L5" s="78"/>
      <c r="M5" s="78"/>
      <c r="N5" s="78"/>
      <c r="O5" s="78"/>
      <c r="P5" s="20" t="e">
        <f>P4+P$3</f>
        <v>#DIV/0!</v>
      </c>
      <c r="Q5" s="78" t="e">
        <f>histogram($A$40:$AF$40,$P$4:P$9,P5)</f>
        <v>#VALUE!</v>
      </c>
      <c r="R5" s="78"/>
      <c r="S5" s="78"/>
      <c r="T5" s="78"/>
      <c r="U5" s="78"/>
      <c r="V5" s="78"/>
      <c r="W5" s="78"/>
      <c r="X5" s="78"/>
      <c r="Y5" s="79"/>
    </row>
    <row r="6" spans="1:55">
      <c r="A6" s="115"/>
      <c r="B6" s="56" t="s">
        <v>8</v>
      </c>
      <c r="C6" s="53">
        <f t="shared" si="0"/>
        <v>0</v>
      </c>
      <c r="D6" s="11">
        <f t="shared" si="1"/>
        <v>0</v>
      </c>
      <c r="E6" s="11">
        <f t="shared" si="2"/>
        <v>0</v>
      </c>
      <c r="F6" s="12">
        <f t="shared" si="3"/>
        <v>0</v>
      </c>
      <c r="H6" s="81" t="e">
        <f>H5+H$3</f>
        <v>#DIV/0!</v>
      </c>
      <c r="I6" s="78" t="e">
        <f>histogram($A$39:$AF$39,$H$4:H$9,H6)</f>
        <v>#VALUE!</v>
      </c>
      <c r="J6" s="78"/>
      <c r="K6" s="78"/>
      <c r="L6" s="78"/>
      <c r="M6" s="78"/>
      <c r="N6" s="78"/>
      <c r="O6" s="78"/>
      <c r="P6" s="20" t="e">
        <f>P5+P$3</f>
        <v>#DIV/0!</v>
      </c>
      <c r="Q6" s="78" t="e">
        <f>histogram($A$40:$AF$40,$P$4:P$9,P6)</f>
        <v>#VALUE!</v>
      </c>
      <c r="R6" s="78"/>
      <c r="S6" s="78"/>
      <c r="T6" s="78"/>
      <c r="U6" s="78"/>
      <c r="V6" s="78"/>
      <c r="W6" s="78"/>
      <c r="X6" s="78"/>
      <c r="Y6" s="79"/>
    </row>
    <row r="7" spans="1:55">
      <c r="A7" s="115" t="s">
        <v>18</v>
      </c>
      <c r="B7" s="57" t="s">
        <v>15</v>
      </c>
      <c r="C7" s="54" t="e">
        <f t="shared" si="0"/>
        <v>#DIV/0!</v>
      </c>
      <c r="D7" s="9" t="e">
        <f>AVERAGE(G24:N24,S24:Z24,G34:N34,S34:Z34)</f>
        <v>#DIV/0!</v>
      </c>
      <c r="E7" s="9" t="e">
        <f t="shared" si="2"/>
        <v>#DIV/0!</v>
      </c>
      <c r="F7" s="10" t="e">
        <f t="shared" si="3"/>
        <v>#DIV/0!</v>
      </c>
      <c r="H7" s="81" t="e">
        <f>H6+H$3</f>
        <v>#DIV/0!</v>
      </c>
      <c r="I7" s="78" t="e">
        <f>histogram($A$39:$AF$39,$H$4:H$9,H7)</f>
        <v>#VALUE!</v>
      </c>
      <c r="J7" s="78"/>
      <c r="K7" s="78"/>
      <c r="L7" s="78"/>
      <c r="M7" s="78"/>
      <c r="N7" s="78"/>
      <c r="O7" s="78"/>
      <c r="P7" s="20" t="e">
        <f>P6+P$3</f>
        <v>#DIV/0!</v>
      </c>
      <c r="Q7" s="78" t="e">
        <f>histogram($A$40:$AF$40,$P$4:P$9,P7)</f>
        <v>#VALUE!</v>
      </c>
      <c r="R7" s="78"/>
      <c r="S7" s="78"/>
      <c r="T7" s="78"/>
      <c r="U7" s="78"/>
      <c r="V7" s="78"/>
      <c r="W7" s="78"/>
      <c r="X7" s="78"/>
      <c r="Y7" s="79"/>
      <c r="AZ7" s="7"/>
      <c r="BA7" s="7"/>
      <c r="BB7" s="7"/>
      <c r="BC7" s="7"/>
    </row>
    <row r="8" spans="1:55" ht="15.75" thickBot="1">
      <c r="A8" s="124"/>
      <c r="B8" s="58" t="s">
        <v>19</v>
      </c>
      <c r="C8" s="54" t="e">
        <f t="shared" si="0"/>
        <v>#DIV/0!</v>
      </c>
      <c r="D8" s="9" t="e">
        <f t="shared" si="1"/>
        <v>#DIV/0!</v>
      </c>
      <c r="E8" s="9" t="e">
        <f t="shared" si="2"/>
        <v>#DIV/0!</v>
      </c>
      <c r="F8" s="10" t="e">
        <f t="shared" si="3"/>
        <v>#DIV/0!</v>
      </c>
      <c r="H8" s="81" t="e">
        <f>H7+H$3</f>
        <v>#DIV/0!</v>
      </c>
      <c r="I8" s="78" t="e">
        <f>histogram($A$39:$AF$39,$H$4:H$9,H8)</f>
        <v>#VALUE!</v>
      </c>
      <c r="J8" s="78"/>
      <c r="K8" s="78"/>
      <c r="L8" s="78"/>
      <c r="M8" s="78"/>
      <c r="N8" s="78"/>
      <c r="O8" s="78"/>
      <c r="P8" s="20" t="e">
        <f>P7+P$3</f>
        <v>#DIV/0!</v>
      </c>
      <c r="Q8" s="78" t="e">
        <f>histogram($A$40:$AF$40,$P$4:P$9,P8)</f>
        <v>#VALUE!</v>
      </c>
      <c r="R8" s="78"/>
      <c r="S8" s="78"/>
      <c r="T8" s="78"/>
      <c r="U8" s="78"/>
      <c r="V8" s="78"/>
      <c r="W8" s="78"/>
      <c r="X8" s="78"/>
      <c r="Y8" s="79"/>
      <c r="AZ8" s="7"/>
      <c r="BA8" s="7"/>
      <c r="BB8" s="7"/>
      <c r="BC8" s="7"/>
    </row>
    <row r="9" spans="1:55" ht="15.75" thickBot="1">
      <c r="A9" s="50"/>
      <c r="B9" s="51"/>
      <c r="C9" s="116" t="e">
        <f>MAX(ABS(C7),ABS(C8),ABS(E7),ABS(E8))</f>
        <v>#DIV/0!</v>
      </c>
      <c r="D9" s="117"/>
      <c r="E9" s="117"/>
      <c r="F9" s="52"/>
      <c r="H9" s="81" t="e">
        <f>E7</f>
        <v>#DIV/0!</v>
      </c>
      <c r="I9" s="78" t="e">
        <f>histogram($A$39:$AF$39,$H$4:H$9,H9)</f>
        <v>#VALUE!</v>
      </c>
      <c r="J9" s="78"/>
      <c r="K9" s="78"/>
      <c r="L9" s="78"/>
      <c r="M9" s="78"/>
      <c r="N9" s="78"/>
      <c r="O9" s="78"/>
      <c r="P9" s="20" t="e">
        <f>E8</f>
        <v>#DIV/0!</v>
      </c>
      <c r="Q9" s="78" t="e">
        <f>histogram($A$40:$AF$40,$P$4:P$9,P9)</f>
        <v>#VALUE!</v>
      </c>
      <c r="R9" s="78"/>
      <c r="S9" s="78"/>
      <c r="T9" s="78"/>
      <c r="U9" s="78"/>
      <c r="V9" s="78"/>
      <c r="W9" s="78"/>
      <c r="X9" s="78"/>
      <c r="Y9" s="79"/>
    </row>
    <row r="10" spans="1:55" ht="15.75" thickBot="1">
      <c r="A10" s="73"/>
      <c r="B10" s="73"/>
      <c r="C10" s="74"/>
      <c r="D10" s="74"/>
      <c r="E10" s="74"/>
      <c r="F10" s="73"/>
      <c r="H10" s="81"/>
      <c r="I10" s="78"/>
      <c r="J10" s="78"/>
      <c r="K10" s="78"/>
      <c r="L10" s="78"/>
      <c r="M10" s="78"/>
      <c r="N10" s="78"/>
      <c r="O10" s="78"/>
      <c r="P10" s="20"/>
      <c r="Q10" s="78"/>
      <c r="R10" s="78"/>
      <c r="S10" s="78"/>
      <c r="T10" s="78"/>
      <c r="U10" s="78"/>
      <c r="V10" s="78"/>
      <c r="W10" s="78"/>
      <c r="X10" s="78"/>
      <c r="Y10" s="79"/>
    </row>
    <row r="11" spans="1:55">
      <c r="A11" s="73"/>
      <c r="B11" s="130" t="s">
        <v>11</v>
      </c>
      <c r="C11" s="131"/>
      <c r="D11" s="36">
        <f>COUNT(data0!B2:AG2)</f>
        <v>0</v>
      </c>
      <c r="E11" s="74"/>
      <c r="F11" s="73"/>
      <c r="H11" s="81"/>
      <c r="I11" s="78"/>
      <c r="J11" s="78"/>
      <c r="K11" s="78"/>
      <c r="L11" s="78"/>
      <c r="M11" s="78"/>
      <c r="N11" s="78"/>
      <c r="O11" s="78"/>
      <c r="P11" s="20"/>
      <c r="Q11" s="78"/>
      <c r="R11" s="78"/>
      <c r="S11" s="78"/>
      <c r="T11" s="78"/>
      <c r="U11" s="78"/>
      <c r="V11" s="78"/>
      <c r="W11" s="78"/>
      <c r="X11" s="78"/>
      <c r="Y11" s="79"/>
    </row>
    <row r="12" spans="1:55" ht="15.75" thickBot="1">
      <c r="A12" s="73"/>
      <c r="B12" s="132" t="str">
        <f>setCalcEnable(D12)</f>
        <v>setCalcEnable=</v>
      </c>
      <c r="C12" s="133"/>
      <c r="D12" s="37">
        <v>1</v>
      </c>
      <c r="E12" s="74"/>
      <c r="F12" s="73"/>
      <c r="H12" s="82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9"/>
    </row>
    <row r="13" spans="1:55">
      <c r="A13" s="73"/>
      <c r="B13" s="73"/>
      <c r="C13" s="74"/>
      <c r="D13" s="74"/>
      <c r="E13" s="74"/>
      <c r="F13" s="73"/>
      <c r="H13" s="127" t="s">
        <v>39</v>
      </c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79"/>
    </row>
    <row r="14" spans="1:55" ht="15.75" thickBot="1">
      <c r="A14" s="73"/>
      <c r="B14" s="73"/>
      <c r="C14" s="74"/>
      <c r="D14" s="74"/>
      <c r="E14" s="74"/>
      <c r="F14" s="73"/>
      <c r="H14" s="83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5"/>
    </row>
    <row r="15" spans="1:55">
      <c r="A15" s="73"/>
      <c r="B15" s="73"/>
      <c r="C15" s="74"/>
      <c r="D15" s="74"/>
      <c r="E15" s="74"/>
      <c r="F15" s="73"/>
    </row>
    <row r="16" spans="1:55">
      <c r="A16" s="73"/>
      <c r="B16" s="73"/>
      <c r="C16" s="74"/>
      <c r="D16" s="74"/>
      <c r="E16" s="74"/>
      <c r="F16" s="73"/>
    </row>
    <row r="17" spans="1:30" ht="15.75" thickBot="1"/>
    <row r="18" spans="1:30" ht="15.75" thickBot="1">
      <c r="C18" s="118" t="s">
        <v>35</v>
      </c>
      <c r="D18" s="119"/>
      <c r="E18" s="119"/>
      <c r="F18" s="120"/>
      <c r="G18" s="121" t="s">
        <v>35</v>
      </c>
      <c r="H18" s="122"/>
      <c r="I18" s="122"/>
      <c r="J18" s="122"/>
      <c r="K18" s="122"/>
      <c r="L18" s="122"/>
      <c r="M18" s="122"/>
      <c r="N18" s="123"/>
      <c r="O18" s="118" t="s">
        <v>36</v>
      </c>
      <c r="P18" s="119"/>
      <c r="Q18" s="119"/>
      <c r="R18" s="119"/>
      <c r="S18" s="121" t="s">
        <v>36</v>
      </c>
      <c r="T18" s="122"/>
      <c r="U18" s="122"/>
      <c r="V18" s="122"/>
      <c r="W18" s="122"/>
      <c r="X18" s="122"/>
      <c r="Y18" s="122"/>
      <c r="Z18" s="123"/>
    </row>
    <row r="19" spans="1:30">
      <c r="A19" s="125" t="s">
        <v>12</v>
      </c>
      <c r="B19" s="126"/>
      <c r="C19" s="38" t="s">
        <v>32</v>
      </c>
      <c r="D19" s="39" t="s">
        <v>5</v>
      </c>
      <c r="E19" s="39" t="s">
        <v>33</v>
      </c>
      <c r="F19" s="8" t="s">
        <v>6</v>
      </c>
      <c r="G19" s="42">
        <f>data0!B1</f>
        <v>0</v>
      </c>
      <c r="H19" s="43">
        <f>data0!C1</f>
        <v>1</v>
      </c>
      <c r="I19" s="43">
        <f>data0!D1</f>
        <v>2</v>
      </c>
      <c r="J19" s="43">
        <f>data0!E1</f>
        <v>3</v>
      </c>
      <c r="K19" s="43">
        <f>data0!F1</f>
        <v>4</v>
      </c>
      <c r="L19" s="43">
        <f>data0!G1</f>
        <v>5</v>
      </c>
      <c r="M19" s="43">
        <f>data0!H1</f>
        <v>6</v>
      </c>
      <c r="N19" s="44">
        <f>data0!I1</f>
        <v>7</v>
      </c>
      <c r="O19" s="38" t="s">
        <v>32</v>
      </c>
      <c r="P19" s="39" t="s">
        <v>5</v>
      </c>
      <c r="Q19" s="39" t="s">
        <v>33</v>
      </c>
      <c r="R19" s="55" t="s">
        <v>6</v>
      </c>
      <c r="S19" s="42">
        <f>data0!J1</f>
        <v>8</v>
      </c>
      <c r="T19" s="43">
        <f>data0!K1</f>
        <v>9</v>
      </c>
      <c r="U19" s="43">
        <f>data0!L1</f>
        <v>10</v>
      </c>
      <c r="V19" s="43">
        <f>data0!M1</f>
        <v>11</v>
      </c>
      <c r="W19" s="43">
        <f>data0!N1</f>
        <v>12</v>
      </c>
      <c r="X19" s="43">
        <f>data0!O1</f>
        <v>13</v>
      </c>
      <c r="Y19" s="43">
        <f>data0!P1</f>
        <v>14</v>
      </c>
      <c r="Z19" s="44">
        <f>data0!Q1</f>
        <v>15</v>
      </c>
    </row>
    <row r="20" spans="1:30">
      <c r="A20" s="115" t="s">
        <v>16</v>
      </c>
      <c r="B20" s="56" t="s">
        <v>8</v>
      </c>
      <c r="C20" s="53">
        <f>D20-1.5*F20</f>
        <v>0</v>
      </c>
      <c r="D20" s="11">
        <f t="shared" ref="D20:D25" si="4">AVERAGE(G20:N20)</f>
        <v>0</v>
      </c>
      <c r="E20" s="11">
        <f>D20+1.5*F20</f>
        <v>0</v>
      </c>
      <c r="F20" s="12">
        <f t="shared" ref="F20:F25" si="5">STDEV(G20:N20)</f>
        <v>0</v>
      </c>
      <c r="G20" s="59">
        <f>data0!B2</f>
        <v>0</v>
      </c>
      <c r="H20" s="60">
        <f>data0!C2</f>
        <v>0</v>
      </c>
      <c r="I20" s="60">
        <f>data0!D2</f>
        <v>0</v>
      </c>
      <c r="J20" s="60">
        <f>data0!E2</f>
        <v>0</v>
      </c>
      <c r="K20" s="60">
        <f>data0!F2</f>
        <v>0</v>
      </c>
      <c r="L20" s="60">
        <f>data0!G2</f>
        <v>0</v>
      </c>
      <c r="M20" s="60">
        <f>data0!H2</f>
        <v>0</v>
      </c>
      <c r="N20" s="61">
        <f>data0!I2</f>
        <v>0</v>
      </c>
      <c r="O20" s="53">
        <f>P20-1.5*R20</f>
        <v>0</v>
      </c>
      <c r="P20" s="11">
        <f t="shared" ref="P20:P25" si="6">AVERAGE(S20:Z20)</f>
        <v>0</v>
      </c>
      <c r="Q20" s="11">
        <f>P20+1.5*R20</f>
        <v>0</v>
      </c>
      <c r="R20" s="68">
        <f t="shared" ref="R20:R25" si="7">STDEV(S20:Z20)</f>
        <v>0</v>
      </c>
      <c r="S20" s="59">
        <f>data0!J2</f>
        <v>0</v>
      </c>
      <c r="T20" s="60">
        <f>data0!K2</f>
        <v>0</v>
      </c>
      <c r="U20" s="60">
        <f>data0!L2</f>
        <v>0</v>
      </c>
      <c r="V20" s="60">
        <f>data0!M2</f>
        <v>0</v>
      </c>
      <c r="W20" s="60">
        <f>data0!N2</f>
        <v>0</v>
      </c>
      <c r="X20" s="60">
        <f>data0!O2</f>
        <v>0</v>
      </c>
      <c r="Y20" s="60">
        <f>data0!P2</f>
        <v>0</v>
      </c>
      <c r="Z20" s="61">
        <f>data0!Q2</f>
        <v>0</v>
      </c>
    </row>
    <row r="21" spans="1:30">
      <c r="A21" s="115"/>
      <c r="B21" s="56" t="s">
        <v>9</v>
      </c>
      <c r="C21" s="53">
        <f t="shared" ref="C21:C25" si="8">D21-1.5*F21</f>
        <v>0</v>
      </c>
      <c r="D21" s="11">
        <f t="shared" si="4"/>
        <v>0</v>
      </c>
      <c r="E21" s="11">
        <f t="shared" ref="E21:E25" si="9">D21+1.5*F21</f>
        <v>0</v>
      </c>
      <c r="F21" s="12">
        <f t="shared" si="5"/>
        <v>0</v>
      </c>
      <c r="G21" s="59">
        <f>data0!B3</f>
        <v>0</v>
      </c>
      <c r="H21" s="60">
        <f>data0!C3</f>
        <v>0</v>
      </c>
      <c r="I21" s="60">
        <f>data0!D3</f>
        <v>0</v>
      </c>
      <c r="J21" s="60">
        <f>data0!E3</f>
        <v>0</v>
      </c>
      <c r="K21" s="60">
        <f>data0!F3</f>
        <v>0</v>
      </c>
      <c r="L21" s="60">
        <f>data0!G3</f>
        <v>0</v>
      </c>
      <c r="M21" s="60">
        <f>data0!H3</f>
        <v>0</v>
      </c>
      <c r="N21" s="61">
        <f>data0!I3</f>
        <v>0</v>
      </c>
      <c r="O21" s="53">
        <f t="shared" ref="O21:O25" si="10">P21-1.5*R21</f>
        <v>0</v>
      </c>
      <c r="P21" s="11">
        <f t="shared" si="6"/>
        <v>0</v>
      </c>
      <c r="Q21" s="11">
        <f t="shared" ref="Q21:Q25" si="11">P21+1.5*R21</f>
        <v>0</v>
      </c>
      <c r="R21" s="68">
        <f t="shared" si="7"/>
        <v>0</v>
      </c>
      <c r="S21" s="59">
        <f>data0!J3</f>
        <v>0</v>
      </c>
      <c r="T21" s="60">
        <f>data0!K3</f>
        <v>0</v>
      </c>
      <c r="U21" s="60">
        <f>data0!L3</f>
        <v>0</v>
      </c>
      <c r="V21" s="60">
        <f>data0!M3</f>
        <v>0</v>
      </c>
      <c r="W21" s="60">
        <f>data0!N3</f>
        <v>0</v>
      </c>
      <c r="X21" s="60">
        <f>data0!O3</f>
        <v>0</v>
      </c>
      <c r="Y21" s="60">
        <f>data0!P3</f>
        <v>0</v>
      </c>
      <c r="Z21" s="61">
        <f>data0!Q3</f>
        <v>0</v>
      </c>
    </row>
    <row r="22" spans="1:30">
      <c r="A22" s="115" t="s">
        <v>17</v>
      </c>
      <c r="B22" s="56" t="s">
        <v>9</v>
      </c>
      <c r="C22" s="53">
        <f t="shared" si="8"/>
        <v>0</v>
      </c>
      <c r="D22" s="11">
        <f t="shared" si="4"/>
        <v>0</v>
      </c>
      <c r="E22" s="11">
        <f t="shared" si="9"/>
        <v>0</v>
      </c>
      <c r="F22" s="12">
        <f t="shared" si="5"/>
        <v>0</v>
      </c>
      <c r="G22" s="59">
        <f>data0!B4</f>
        <v>0</v>
      </c>
      <c r="H22" s="60">
        <f>data0!C4</f>
        <v>0</v>
      </c>
      <c r="I22" s="60">
        <f>data0!D4</f>
        <v>0</v>
      </c>
      <c r="J22" s="60">
        <f>data0!E4</f>
        <v>0</v>
      </c>
      <c r="K22" s="60">
        <f>data0!F4</f>
        <v>0</v>
      </c>
      <c r="L22" s="60">
        <f>data0!G4</f>
        <v>0</v>
      </c>
      <c r="M22" s="60">
        <f>data0!H4</f>
        <v>0</v>
      </c>
      <c r="N22" s="61">
        <f>data0!I4</f>
        <v>0</v>
      </c>
      <c r="O22" s="53">
        <f t="shared" si="10"/>
        <v>0</v>
      </c>
      <c r="P22" s="11">
        <f t="shared" si="6"/>
        <v>0</v>
      </c>
      <c r="Q22" s="11">
        <f t="shared" si="11"/>
        <v>0</v>
      </c>
      <c r="R22" s="68">
        <f t="shared" si="7"/>
        <v>0</v>
      </c>
      <c r="S22" s="59">
        <f>data0!J4</f>
        <v>0</v>
      </c>
      <c r="T22" s="60">
        <f>data0!K4</f>
        <v>0</v>
      </c>
      <c r="U22" s="60">
        <f>data0!L4</f>
        <v>0</v>
      </c>
      <c r="V22" s="60">
        <f>data0!M4</f>
        <v>0</v>
      </c>
      <c r="W22" s="60">
        <f>data0!N4</f>
        <v>0</v>
      </c>
      <c r="X22" s="60">
        <f>data0!O4</f>
        <v>0</v>
      </c>
      <c r="Y22" s="60">
        <f>data0!P4</f>
        <v>0</v>
      </c>
      <c r="Z22" s="61">
        <f>data0!Q4</f>
        <v>0</v>
      </c>
    </row>
    <row r="23" spans="1:30">
      <c r="A23" s="115"/>
      <c r="B23" s="56" t="s">
        <v>8</v>
      </c>
      <c r="C23" s="53">
        <f t="shared" si="8"/>
        <v>0</v>
      </c>
      <c r="D23" s="11">
        <f t="shared" si="4"/>
        <v>0</v>
      </c>
      <c r="E23" s="11">
        <f t="shared" si="9"/>
        <v>0</v>
      </c>
      <c r="F23" s="12">
        <f t="shared" si="5"/>
        <v>0</v>
      </c>
      <c r="G23" s="59">
        <f>data0!B5</f>
        <v>0</v>
      </c>
      <c r="H23" s="60">
        <f>data0!C5</f>
        <v>0</v>
      </c>
      <c r="I23" s="60">
        <f>data0!D5</f>
        <v>0</v>
      </c>
      <c r="J23" s="60">
        <f>data0!E5</f>
        <v>0</v>
      </c>
      <c r="K23" s="60">
        <f>data0!F5</f>
        <v>0</v>
      </c>
      <c r="L23" s="60">
        <f>data0!G5</f>
        <v>0</v>
      </c>
      <c r="M23" s="60">
        <f>data0!H5</f>
        <v>0</v>
      </c>
      <c r="N23" s="61">
        <f>data0!I5</f>
        <v>0</v>
      </c>
      <c r="O23" s="53">
        <f t="shared" si="10"/>
        <v>0</v>
      </c>
      <c r="P23" s="11">
        <f t="shared" si="6"/>
        <v>0</v>
      </c>
      <c r="Q23" s="11">
        <f t="shared" si="11"/>
        <v>0</v>
      </c>
      <c r="R23" s="68">
        <f t="shared" si="7"/>
        <v>0</v>
      </c>
      <c r="S23" s="59">
        <f>data0!J5</f>
        <v>0</v>
      </c>
      <c r="T23" s="60">
        <f>data0!K5</f>
        <v>0</v>
      </c>
      <c r="U23" s="60">
        <f>data0!L5</f>
        <v>0</v>
      </c>
      <c r="V23" s="60">
        <f>data0!M5</f>
        <v>0</v>
      </c>
      <c r="W23" s="60">
        <f>data0!N5</f>
        <v>0</v>
      </c>
      <c r="X23" s="60">
        <f>data0!O5</f>
        <v>0</v>
      </c>
      <c r="Y23" s="60">
        <f>data0!P5</f>
        <v>0</v>
      </c>
      <c r="Z23" s="61">
        <f>data0!Q5</f>
        <v>0</v>
      </c>
    </row>
    <row r="24" spans="1:30">
      <c r="A24" s="115" t="s">
        <v>18</v>
      </c>
      <c r="B24" s="57" t="s">
        <v>15</v>
      </c>
      <c r="C24" s="54" t="e">
        <f t="shared" si="8"/>
        <v>#DIV/0!</v>
      </c>
      <c r="D24" s="9" t="e">
        <f t="shared" si="4"/>
        <v>#DIV/0!</v>
      </c>
      <c r="E24" s="9" t="e">
        <f t="shared" si="9"/>
        <v>#DIV/0!</v>
      </c>
      <c r="F24" s="10" t="e">
        <f t="shared" si="5"/>
        <v>#DIV/0!</v>
      </c>
      <c r="G24" s="45" t="e">
        <f>(G20-G21)/((G20+G21)/2)</f>
        <v>#DIV/0!</v>
      </c>
      <c r="H24" s="20" t="e">
        <f t="shared" ref="H24" si="12">(H20-H21)/((H20+H21)/2)</f>
        <v>#DIV/0!</v>
      </c>
      <c r="I24" s="20" t="e">
        <f t="shared" ref="I24:L24" si="13">(I20-I21)/((I20+I21)/2)</f>
        <v>#DIV/0!</v>
      </c>
      <c r="J24" s="20" t="e">
        <f t="shared" si="13"/>
        <v>#DIV/0!</v>
      </c>
      <c r="K24" s="20" t="e">
        <f t="shared" si="13"/>
        <v>#DIV/0!</v>
      </c>
      <c r="L24" s="20" t="e">
        <f t="shared" si="13"/>
        <v>#DIV/0!</v>
      </c>
      <c r="M24" s="20" t="e">
        <f>(M20-M21)/((M20+M21)/2)</f>
        <v>#DIV/0!</v>
      </c>
      <c r="N24" s="46" t="e">
        <f>(N20-N21)/((N20+N21)/2)</f>
        <v>#DIV/0!</v>
      </c>
      <c r="O24" s="54" t="e">
        <f t="shared" si="10"/>
        <v>#DIV/0!</v>
      </c>
      <c r="P24" s="9" t="e">
        <f t="shared" si="6"/>
        <v>#DIV/0!</v>
      </c>
      <c r="Q24" s="9" t="e">
        <f t="shared" si="11"/>
        <v>#DIV/0!</v>
      </c>
      <c r="R24" s="86" t="e">
        <f t="shared" si="7"/>
        <v>#DIV/0!</v>
      </c>
      <c r="S24" s="45" t="e">
        <f t="shared" ref="S24:X24" si="14">(S20-S21)/((S20+S21)/2)</f>
        <v>#DIV/0!</v>
      </c>
      <c r="T24" s="20" t="e">
        <f t="shared" si="14"/>
        <v>#DIV/0!</v>
      </c>
      <c r="U24" s="20" t="e">
        <f t="shared" si="14"/>
        <v>#DIV/0!</v>
      </c>
      <c r="V24" s="20" t="e">
        <f t="shared" si="14"/>
        <v>#DIV/0!</v>
      </c>
      <c r="W24" s="20" t="e">
        <f t="shared" si="14"/>
        <v>#DIV/0!</v>
      </c>
      <c r="X24" s="20" t="e">
        <f t="shared" si="14"/>
        <v>#DIV/0!</v>
      </c>
      <c r="Y24" s="20" t="e">
        <f>(Y20-Y21)/((Y20+Y21)/2)</f>
        <v>#DIV/0!</v>
      </c>
      <c r="Z24" s="46" t="e">
        <f>(Z20-Z21)/((Z20+Z21)/2)</f>
        <v>#DIV/0!</v>
      </c>
    </row>
    <row r="25" spans="1:30" ht="15.75" thickBot="1">
      <c r="A25" s="124"/>
      <c r="B25" s="58" t="s">
        <v>19</v>
      </c>
      <c r="C25" s="54" t="e">
        <f t="shared" si="8"/>
        <v>#DIV/0!</v>
      </c>
      <c r="D25" s="9" t="e">
        <f t="shared" si="4"/>
        <v>#DIV/0!</v>
      </c>
      <c r="E25" s="9" t="e">
        <f t="shared" si="9"/>
        <v>#DIV/0!</v>
      </c>
      <c r="F25" s="10" t="e">
        <f t="shared" si="5"/>
        <v>#DIV/0!</v>
      </c>
      <c r="G25" s="47" t="e">
        <f>(G23-G22)/((G22+G23)/2)</f>
        <v>#DIV/0!</v>
      </c>
      <c r="H25" s="48" t="e">
        <f t="shared" ref="H25" si="15">(H23-H22)/((H22+H23)/2)</f>
        <v>#DIV/0!</v>
      </c>
      <c r="I25" s="48" t="e">
        <f t="shared" ref="I25:L25" si="16">(I23-I22)/((I22+I23)/2)</f>
        <v>#DIV/0!</v>
      </c>
      <c r="J25" s="48" t="e">
        <f t="shared" si="16"/>
        <v>#DIV/0!</v>
      </c>
      <c r="K25" s="48" t="e">
        <f t="shared" si="16"/>
        <v>#DIV/0!</v>
      </c>
      <c r="L25" s="48" t="e">
        <f t="shared" si="16"/>
        <v>#DIV/0!</v>
      </c>
      <c r="M25" s="48" t="e">
        <f>(M23-M22)/((M22+M23)/2)</f>
        <v>#DIV/0!</v>
      </c>
      <c r="N25" s="49" t="e">
        <f>(N23-N22)/((N22+N23)/2)</f>
        <v>#DIV/0!</v>
      </c>
      <c r="O25" s="54" t="e">
        <f t="shared" si="10"/>
        <v>#DIV/0!</v>
      </c>
      <c r="P25" s="9" t="e">
        <f t="shared" si="6"/>
        <v>#DIV/0!</v>
      </c>
      <c r="Q25" s="9" t="e">
        <f t="shared" si="11"/>
        <v>#DIV/0!</v>
      </c>
      <c r="R25" s="86" t="e">
        <f t="shared" si="7"/>
        <v>#DIV/0!</v>
      </c>
      <c r="S25" s="47" t="e">
        <f t="shared" ref="S25:X25" si="17">(S23-S22)/((S22+S23)/2)</f>
        <v>#DIV/0!</v>
      </c>
      <c r="T25" s="48" t="e">
        <f t="shared" si="17"/>
        <v>#DIV/0!</v>
      </c>
      <c r="U25" s="48" t="e">
        <f t="shared" si="17"/>
        <v>#DIV/0!</v>
      </c>
      <c r="V25" s="48" t="e">
        <f t="shared" si="17"/>
        <v>#DIV/0!</v>
      </c>
      <c r="W25" s="48" t="e">
        <f t="shared" si="17"/>
        <v>#DIV/0!</v>
      </c>
      <c r="X25" s="48" t="e">
        <f t="shared" si="17"/>
        <v>#DIV/0!</v>
      </c>
      <c r="Y25" s="48" t="e">
        <f>(Y23-Y22)/((Y22+Y23)/2)</f>
        <v>#DIV/0!</v>
      </c>
      <c r="Z25" s="49" t="e">
        <f>(Z23-Z22)/((Z22+Z23)/2)</f>
        <v>#DIV/0!</v>
      </c>
    </row>
    <row r="26" spans="1:30" ht="15.75" thickBot="1">
      <c r="A26" s="50"/>
      <c r="B26" s="51"/>
      <c r="C26" s="116" t="e">
        <f>MAX(ABS(C24),ABS(C25),ABS(E24),ABS(E25))</f>
        <v>#DIV/0!</v>
      </c>
      <c r="D26" s="117"/>
      <c r="E26" s="117"/>
      <c r="F26" s="52"/>
      <c r="L26" s="20"/>
      <c r="M26" s="20"/>
      <c r="N26" s="20"/>
      <c r="O26" s="116" t="e">
        <f>MAX(ABS(O24),ABS(O25),ABS(Q24),ABS(Q25))</f>
        <v>#DIV/0!</v>
      </c>
      <c r="P26" s="117"/>
      <c r="Q26" s="117"/>
      <c r="R26" s="52"/>
      <c r="S26" s="20"/>
      <c r="W26" s="20"/>
      <c r="X26" s="20"/>
      <c r="Y26" s="20"/>
      <c r="Z26" s="20"/>
      <c r="AA26" s="20"/>
      <c r="AB26" s="20"/>
      <c r="AC26" s="20"/>
      <c r="AD26" s="20"/>
    </row>
    <row r="27" spans="1:30" ht="15.75" thickBot="1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</row>
    <row r="28" spans="1:30" ht="15.75" thickBot="1">
      <c r="C28" s="118" t="s">
        <v>37</v>
      </c>
      <c r="D28" s="119"/>
      <c r="E28" s="119"/>
      <c r="F28" s="120"/>
      <c r="G28" s="121" t="s">
        <v>37</v>
      </c>
      <c r="H28" s="122"/>
      <c r="I28" s="122"/>
      <c r="J28" s="122"/>
      <c r="K28" s="122"/>
      <c r="L28" s="122"/>
      <c r="M28" s="122"/>
      <c r="N28" s="123"/>
      <c r="O28" s="118" t="s">
        <v>38</v>
      </c>
      <c r="P28" s="119"/>
      <c r="Q28" s="119"/>
      <c r="R28" s="120"/>
      <c r="S28" s="122" t="s">
        <v>38</v>
      </c>
      <c r="T28" s="122"/>
      <c r="U28" s="122"/>
      <c r="V28" s="122"/>
      <c r="W28" s="122"/>
      <c r="X28" s="122"/>
      <c r="Y28" s="122"/>
      <c r="Z28" s="123"/>
    </row>
    <row r="29" spans="1:30">
      <c r="A29" s="125" t="s">
        <v>12</v>
      </c>
      <c r="B29" s="126"/>
      <c r="C29" s="38" t="s">
        <v>32</v>
      </c>
      <c r="D29" s="39" t="s">
        <v>5</v>
      </c>
      <c r="E29" s="39" t="s">
        <v>33</v>
      </c>
      <c r="F29" s="8" t="s">
        <v>6</v>
      </c>
      <c r="G29" s="42">
        <f>data0!R1</f>
        <v>16</v>
      </c>
      <c r="H29" s="43">
        <f>data0!S1</f>
        <v>17</v>
      </c>
      <c r="I29" s="43">
        <f>data0!T1</f>
        <v>18</v>
      </c>
      <c r="J29" s="43">
        <f>data0!U1</f>
        <v>19</v>
      </c>
      <c r="K29" s="43">
        <f>data0!V1</f>
        <v>20</v>
      </c>
      <c r="L29" s="43">
        <f>data0!W1</f>
        <v>21</v>
      </c>
      <c r="M29" s="43">
        <f>data0!X1</f>
        <v>22</v>
      </c>
      <c r="N29" s="44">
        <f>data0!Y1</f>
        <v>23</v>
      </c>
      <c r="O29" s="41" t="s">
        <v>32</v>
      </c>
      <c r="P29" s="39" t="s">
        <v>5</v>
      </c>
      <c r="Q29" s="39" t="s">
        <v>33</v>
      </c>
      <c r="R29" s="8" t="s">
        <v>6</v>
      </c>
      <c r="S29" s="43">
        <f>data0!Z1</f>
        <v>24</v>
      </c>
      <c r="T29" s="43">
        <f>data0!AA1</f>
        <v>25</v>
      </c>
      <c r="U29" s="43">
        <f>data0!AB1</f>
        <v>26</v>
      </c>
      <c r="V29" s="43">
        <f>data0!AC1</f>
        <v>27</v>
      </c>
      <c r="W29" s="43">
        <f>data0!AD1</f>
        <v>28</v>
      </c>
      <c r="X29" s="43">
        <f>data0!AE1</f>
        <v>29</v>
      </c>
      <c r="Y29" s="43">
        <f>data0!AF1</f>
        <v>30</v>
      </c>
      <c r="Z29" s="44">
        <f>data0!AG1</f>
        <v>31</v>
      </c>
    </row>
    <row r="30" spans="1:30">
      <c r="A30" s="115" t="s">
        <v>16</v>
      </c>
      <c r="B30" s="56" t="s">
        <v>8</v>
      </c>
      <c r="C30" s="53">
        <f>D30-1.5*F30</f>
        <v>0</v>
      </c>
      <c r="D30" s="11">
        <f t="shared" ref="D30:D35" si="18">AVERAGE(G30:N30)</f>
        <v>0</v>
      </c>
      <c r="E30" s="11">
        <f>D30+1.5*F30</f>
        <v>0</v>
      </c>
      <c r="F30" s="12">
        <f t="shared" ref="F30:F35" si="19">STDEV(G30:N30)</f>
        <v>0</v>
      </c>
      <c r="G30" s="59">
        <f>data0!R2</f>
        <v>0</v>
      </c>
      <c r="H30" s="60">
        <f>data0!S2</f>
        <v>0</v>
      </c>
      <c r="I30" s="60">
        <f>data0!T2</f>
        <v>0</v>
      </c>
      <c r="J30" s="60">
        <f>data0!U2</f>
        <v>0</v>
      </c>
      <c r="K30" s="60">
        <f>data0!V2</f>
        <v>0</v>
      </c>
      <c r="L30" s="60">
        <f>data0!W2</f>
        <v>0</v>
      </c>
      <c r="M30" s="60">
        <f>data0!X2</f>
        <v>0</v>
      </c>
      <c r="N30" s="61">
        <f>data0!Y2</f>
        <v>0</v>
      </c>
      <c r="O30" s="53">
        <f>P30-1.5*R30</f>
        <v>0</v>
      </c>
      <c r="P30" s="11">
        <f t="shared" ref="P30:P35" si="20">AVERAGE(S30:Z30)</f>
        <v>0</v>
      </c>
      <c r="Q30" s="11">
        <f>P30+1.5*R30</f>
        <v>0</v>
      </c>
      <c r="R30" s="12">
        <f t="shared" ref="R30:R35" si="21">STDEV(S30:Z30)</f>
        <v>0</v>
      </c>
      <c r="S30" s="69">
        <f>data0!Z2</f>
        <v>0</v>
      </c>
      <c r="T30" s="69">
        <f>data0!AA2</f>
        <v>0</v>
      </c>
      <c r="U30" s="69">
        <f>data0!AB2</f>
        <v>0</v>
      </c>
      <c r="V30" s="69">
        <f>data0!AC2</f>
        <v>0</v>
      </c>
      <c r="W30" s="69">
        <f>data0!AD2</f>
        <v>0</v>
      </c>
      <c r="X30" s="69">
        <f>data0!AE2</f>
        <v>0</v>
      </c>
      <c r="Y30" s="69">
        <f>data0!AF2</f>
        <v>0</v>
      </c>
      <c r="Z30" s="70">
        <f>data0!AG2</f>
        <v>0</v>
      </c>
    </row>
    <row r="31" spans="1:30">
      <c r="A31" s="115"/>
      <c r="B31" s="56" t="s">
        <v>9</v>
      </c>
      <c r="C31" s="53">
        <f t="shared" ref="C31:C35" si="22">D31-1.5*F31</f>
        <v>0</v>
      </c>
      <c r="D31" s="11">
        <f t="shared" si="18"/>
        <v>0</v>
      </c>
      <c r="E31" s="11">
        <f t="shared" ref="E31:E35" si="23">D31+1.5*F31</f>
        <v>0</v>
      </c>
      <c r="F31" s="12">
        <f t="shared" si="19"/>
        <v>0</v>
      </c>
      <c r="G31" s="59">
        <f>data0!R3</f>
        <v>0</v>
      </c>
      <c r="H31" s="60">
        <f>data0!S3</f>
        <v>0</v>
      </c>
      <c r="I31" s="60">
        <f>data0!T3</f>
        <v>0</v>
      </c>
      <c r="J31" s="60">
        <f>data0!U3</f>
        <v>0</v>
      </c>
      <c r="K31" s="60">
        <f>data0!V3</f>
        <v>0</v>
      </c>
      <c r="L31" s="60">
        <f>data0!W3</f>
        <v>0</v>
      </c>
      <c r="M31" s="60">
        <f>data0!X3</f>
        <v>0</v>
      </c>
      <c r="N31" s="61">
        <f>data0!Y3</f>
        <v>0</v>
      </c>
      <c r="O31" s="53">
        <f t="shared" ref="O31:O35" si="24">P31-1.5*R31</f>
        <v>0</v>
      </c>
      <c r="P31" s="11">
        <f t="shared" si="20"/>
        <v>0</v>
      </c>
      <c r="Q31" s="11">
        <f t="shared" ref="Q31:Q35" si="25">P31+1.5*R31</f>
        <v>0</v>
      </c>
      <c r="R31" s="12">
        <f t="shared" si="21"/>
        <v>0</v>
      </c>
      <c r="S31" s="60">
        <f>data0!Z3</f>
        <v>0</v>
      </c>
      <c r="T31" s="60">
        <f>data0!AA3</f>
        <v>0</v>
      </c>
      <c r="U31" s="60">
        <f>data0!AB3</f>
        <v>0</v>
      </c>
      <c r="V31" s="60">
        <f>data0!AC3</f>
        <v>0</v>
      </c>
      <c r="W31" s="60">
        <f>data0!AD3</f>
        <v>0</v>
      </c>
      <c r="X31" s="60">
        <f>data0!AE3</f>
        <v>0</v>
      </c>
      <c r="Y31" s="60">
        <f>data0!AF3</f>
        <v>0</v>
      </c>
      <c r="Z31" s="61">
        <f>data0!AG3</f>
        <v>0</v>
      </c>
    </row>
    <row r="32" spans="1:30">
      <c r="A32" s="115" t="s">
        <v>17</v>
      </c>
      <c r="B32" s="56" t="s">
        <v>9</v>
      </c>
      <c r="C32" s="53">
        <f t="shared" si="22"/>
        <v>0</v>
      </c>
      <c r="D32" s="11">
        <f t="shared" si="18"/>
        <v>0</v>
      </c>
      <c r="E32" s="11">
        <f t="shared" si="23"/>
        <v>0</v>
      </c>
      <c r="F32" s="12">
        <f t="shared" si="19"/>
        <v>0</v>
      </c>
      <c r="G32" s="59">
        <f>data0!R4</f>
        <v>0</v>
      </c>
      <c r="H32" s="60">
        <f>data0!S4</f>
        <v>0</v>
      </c>
      <c r="I32" s="60">
        <f>data0!T4</f>
        <v>0</v>
      </c>
      <c r="J32" s="60">
        <f>data0!U4</f>
        <v>0</v>
      </c>
      <c r="K32" s="60">
        <f>data0!V4</f>
        <v>0</v>
      </c>
      <c r="L32" s="60">
        <f>data0!W4</f>
        <v>0</v>
      </c>
      <c r="M32" s="60">
        <f>data0!X4</f>
        <v>0</v>
      </c>
      <c r="N32" s="61">
        <f>data0!Y4</f>
        <v>0</v>
      </c>
      <c r="O32" s="53">
        <f t="shared" si="24"/>
        <v>0</v>
      </c>
      <c r="P32" s="11">
        <f t="shared" si="20"/>
        <v>0</v>
      </c>
      <c r="Q32" s="11">
        <f t="shared" si="25"/>
        <v>0</v>
      </c>
      <c r="R32" s="12">
        <f t="shared" si="21"/>
        <v>0</v>
      </c>
      <c r="S32" s="60">
        <f>data0!Z4</f>
        <v>0</v>
      </c>
      <c r="T32" s="60">
        <f>data0!AA4</f>
        <v>0</v>
      </c>
      <c r="U32" s="60">
        <f>data0!AB4</f>
        <v>0</v>
      </c>
      <c r="V32" s="60">
        <f>data0!AC4</f>
        <v>0</v>
      </c>
      <c r="W32" s="60">
        <f>data0!AD4</f>
        <v>0</v>
      </c>
      <c r="X32" s="60">
        <f>data0!AE4</f>
        <v>0</v>
      </c>
      <c r="Y32" s="60">
        <f>data0!AF4</f>
        <v>0</v>
      </c>
      <c r="Z32" s="61">
        <f>data0!AG4</f>
        <v>0</v>
      </c>
    </row>
    <row r="33" spans="1:33">
      <c r="A33" s="115"/>
      <c r="B33" s="56" t="s">
        <v>8</v>
      </c>
      <c r="C33" s="53">
        <f t="shared" si="22"/>
        <v>0</v>
      </c>
      <c r="D33" s="11">
        <f t="shared" si="18"/>
        <v>0</v>
      </c>
      <c r="E33" s="11">
        <f t="shared" si="23"/>
        <v>0</v>
      </c>
      <c r="F33" s="12">
        <f t="shared" si="19"/>
        <v>0</v>
      </c>
      <c r="G33" s="59">
        <f>data0!R5</f>
        <v>0</v>
      </c>
      <c r="H33" s="60">
        <f>data0!S5</f>
        <v>0</v>
      </c>
      <c r="I33" s="60">
        <f>data0!T5</f>
        <v>0</v>
      </c>
      <c r="J33" s="60">
        <f>data0!U5</f>
        <v>0</v>
      </c>
      <c r="K33" s="60">
        <f>data0!V5</f>
        <v>0</v>
      </c>
      <c r="L33" s="60">
        <f>data0!W5</f>
        <v>0</v>
      </c>
      <c r="M33" s="60">
        <f>data0!X5</f>
        <v>0</v>
      </c>
      <c r="N33" s="61">
        <f>data0!Y5</f>
        <v>0</v>
      </c>
      <c r="O33" s="53">
        <f t="shared" si="24"/>
        <v>0</v>
      </c>
      <c r="P33" s="11">
        <f t="shared" si="20"/>
        <v>0</v>
      </c>
      <c r="Q33" s="11">
        <f t="shared" si="25"/>
        <v>0</v>
      </c>
      <c r="R33" s="12">
        <f t="shared" si="21"/>
        <v>0</v>
      </c>
      <c r="S33" s="71">
        <f>data0!Z5</f>
        <v>0</v>
      </c>
      <c r="T33" s="71">
        <f>data0!AA5</f>
        <v>0</v>
      </c>
      <c r="U33" s="71">
        <f>data0!AB5</f>
        <v>0</v>
      </c>
      <c r="V33" s="71">
        <f>data0!AC5</f>
        <v>0</v>
      </c>
      <c r="W33" s="71">
        <f>data0!AD5</f>
        <v>0</v>
      </c>
      <c r="X33" s="71">
        <f>data0!AE5</f>
        <v>0</v>
      </c>
      <c r="Y33" s="71">
        <f>data0!AF5</f>
        <v>0</v>
      </c>
      <c r="Z33" s="72">
        <f>data0!AG5</f>
        <v>0</v>
      </c>
    </row>
    <row r="34" spans="1:33">
      <c r="A34" s="115" t="s">
        <v>18</v>
      </c>
      <c r="B34" s="57" t="s">
        <v>15</v>
      </c>
      <c r="C34" s="54" t="e">
        <f t="shared" si="22"/>
        <v>#DIV/0!</v>
      </c>
      <c r="D34" s="9" t="e">
        <f t="shared" si="18"/>
        <v>#DIV/0!</v>
      </c>
      <c r="E34" s="9" t="e">
        <f t="shared" si="23"/>
        <v>#DIV/0!</v>
      </c>
      <c r="F34" s="10" t="e">
        <f t="shared" si="19"/>
        <v>#DIV/0!</v>
      </c>
      <c r="G34" s="45" t="e">
        <f t="shared" ref="G34:L34" si="26">(G30-G31)/((G30+G31)/2)</f>
        <v>#DIV/0!</v>
      </c>
      <c r="H34" s="20" t="e">
        <f t="shared" si="26"/>
        <v>#DIV/0!</v>
      </c>
      <c r="I34" s="20" t="e">
        <f t="shared" ref="I34" si="27">(I30-I31)/((I30+I31)/2)</f>
        <v>#DIV/0!</v>
      </c>
      <c r="J34" s="20" t="e">
        <f t="shared" si="26"/>
        <v>#DIV/0!</v>
      </c>
      <c r="K34" s="20" t="e">
        <f t="shared" si="26"/>
        <v>#DIV/0!</v>
      </c>
      <c r="L34" s="20" t="e">
        <f t="shared" si="26"/>
        <v>#DIV/0!</v>
      </c>
      <c r="M34" s="20" t="e">
        <f t="shared" ref="M34:N34" si="28">(M30-M31)/((M30+M31)/2)</f>
        <v>#DIV/0!</v>
      </c>
      <c r="N34" s="46" t="e">
        <f t="shared" si="28"/>
        <v>#DIV/0!</v>
      </c>
      <c r="O34" s="54" t="e">
        <f t="shared" si="24"/>
        <v>#DIV/0!</v>
      </c>
      <c r="P34" s="9" t="e">
        <f t="shared" si="20"/>
        <v>#DIV/0!</v>
      </c>
      <c r="Q34" s="9" t="e">
        <f t="shared" si="25"/>
        <v>#DIV/0!</v>
      </c>
      <c r="R34" s="10" t="e">
        <f t="shared" si="21"/>
        <v>#DIV/0!</v>
      </c>
      <c r="S34" s="20" t="e">
        <f t="shared" ref="S34:X34" si="29">(S30-S31)/((S30+S31)/2)</f>
        <v>#DIV/0!</v>
      </c>
      <c r="T34" s="20" t="e">
        <f t="shared" si="29"/>
        <v>#DIV/0!</v>
      </c>
      <c r="U34" s="20" t="e">
        <f t="shared" si="29"/>
        <v>#DIV/0!</v>
      </c>
      <c r="V34" s="20" t="e">
        <f t="shared" si="29"/>
        <v>#DIV/0!</v>
      </c>
      <c r="W34" s="20" t="e">
        <f t="shared" si="29"/>
        <v>#DIV/0!</v>
      </c>
      <c r="X34" s="20" t="e">
        <f t="shared" si="29"/>
        <v>#DIV/0!</v>
      </c>
      <c r="Y34" s="20" t="e">
        <f>(Y30-Y31)/((Y30+Y31)/2)</f>
        <v>#DIV/0!</v>
      </c>
      <c r="Z34" s="46" t="e">
        <f>(Z30-Z31)/((Z30+Z31)/2)</f>
        <v>#DIV/0!</v>
      </c>
    </row>
    <row r="35" spans="1:33" ht="15.75" thickBot="1">
      <c r="A35" s="124"/>
      <c r="B35" s="58" t="s">
        <v>19</v>
      </c>
      <c r="C35" s="54" t="e">
        <f t="shared" si="22"/>
        <v>#DIV/0!</v>
      </c>
      <c r="D35" s="9" t="e">
        <f t="shared" si="18"/>
        <v>#DIV/0!</v>
      </c>
      <c r="E35" s="9" t="e">
        <f t="shared" si="23"/>
        <v>#DIV/0!</v>
      </c>
      <c r="F35" s="10" t="e">
        <f t="shared" si="19"/>
        <v>#DIV/0!</v>
      </c>
      <c r="G35" s="47" t="e">
        <f t="shared" ref="G35:L35" si="30">(G33-G32)/((G32+G33)/2)</f>
        <v>#DIV/0!</v>
      </c>
      <c r="H35" s="48" t="e">
        <f t="shared" si="30"/>
        <v>#DIV/0!</v>
      </c>
      <c r="I35" s="48" t="e">
        <f t="shared" ref="I35" si="31">(I33-I32)/((I32+I33)/2)</f>
        <v>#DIV/0!</v>
      </c>
      <c r="J35" s="48" t="e">
        <f t="shared" si="30"/>
        <v>#DIV/0!</v>
      </c>
      <c r="K35" s="48" t="e">
        <f t="shared" si="30"/>
        <v>#DIV/0!</v>
      </c>
      <c r="L35" s="48" t="e">
        <f t="shared" si="30"/>
        <v>#DIV/0!</v>
      </c>
      <c r="M35" s="48" t="e">
        <f t="shared" ref="M35:N35" si="32">(M33-M32)/((M32+M33)/2)</f>
        <v>#DIV/0!</v>
      </c>
      <c r="N35" s="49" t="e">
        <f t="shared" si="32"/>
        <v>#DIV/0!</v>
      </c>
      <c r="O35" s="54" t="e">
        <f t="shared" si="24"/>
        <v>#DIV/0!</v>
      </c>
      <c r="P35" s="9" t="e">
        <f t="shared" si="20"/>
        <v>#DIV/0!</v>
      </c>
      <c r="Q35" s="9" t="e">
        <f t="shared" si="25"/>
        <v>#DIV/0!</v>
      </c>
      <c r="R35" s="10" t="e">
        <f t="shared" si="21"/>
        <v>#DIV/0!</v>
      </c>
      <c r="S35" s="48" t="e">
        <f t="shared" ref="S35:X35" si="33">(S33-S32)/((S32+S33)/2)</f>
        <v>#DIV/0!</v>
      </c>
      <c r="T35" s="48" t="e">
        <f t="shared" si="33"/>
        <v>#DIV/0!</v>
      </c>
      <c r="U35" s="48" t="e">
        <f t="shared" si="33"/>
        <v>#DIV/0!</v>
      </c>
      <c r="V35" s="48" t="e">
        <f t="shared" si="33"/>
        <v>#DIV/0!</v>
      </c>
      <c r="W35" s="48" t="e">
        <f t="shared" si="33"/>
        <v>#DIV/0!</v>
      </c>
      <c r="X35" s="48" t="e">
        <f t="shared" si="33"/>
        <v>#DIV/0!</v>
      </c>
      <c r="Y35" s="48" t="e">
        <f>(Y33-Y32)/((Y32+Y33)/2)</f>
        <v>#DIV/0!</v>
      </c>
      <c r="Z35" s="49" t="e">
        <f>(Z33-Z32)/((Z32+Z33)/2)</f>
        <v>#DIV/0!</v>
      </c>
    </row>
    <row r="36" spans="1:33" ht="15.75" thickBot="1">
      <c r="A36" s="50"/>
      <c r="B36" s="51"/>
      <c r="C36" s="116" t="e">
        <f>MAX(ABS(C34),ABS(C35),ABS(E34),ABS(E35))</f>
        <v>#DIV/0!</v>
      </c>
      <c r="D36" s="117"/>
      <c r="E36" s="117"/>
      <c r="F36" s="52"/>
      <c r="O36" s="116" t="e">
        <f>MAX(ABS(O34),ABS(O35),ABS(Q34),ABS(Q35))</f>
        <v>#DIV/0!</v>
      </c>
      <c r="P36" s="117"/>
      <c r="Q36" s="117"/>
      <c r="R36" s="52"/>
    </row>
    <row r="38" spans="1:33">
      <c r="A38">
        <f>G19</f>
        <v>0</v>
      </c>
      <c r="B38">
        <f t="shared" ref="B38:H38" si="34">H19</f>
        <v>1</v>
      </c>
      <c r="C38">
        <f t="shared" si="34"/>
        <v>2</v>
      </c>
      <c r="D38">
        <f t="shared" si="34"/>
        <v>3</v>
      </c>
      <c r="E38">
        <f t="shared" si="34"/>
        <v>4</v>
      </c>
      <c r="F38">
        <f t="shared" si="34"/>
        <v>5</v>
      </c>
      <c r="G38">
        <f t="shared" si="34"/>
        <v>6</v>
      </c>
      <c r="H38">
        <f t="shared" si="34"/>
        <v>7</v>
      </c>
      <c r="I38" s="75">
        <f>S19</f>
        <v>8</v>
      </c>
      <c r="J38" s="75">
        <f t="shared" ref="J38:P38" si="35">T19</f>
        <v>9</v>
      </c>
      <c r="K38" s="75">
        <f t="shared" si="35"/>
        <v>10</v>
      </c>
      <c r="L38" s="75">
        <f t="shared" si="35"/>
        <v>11</v>
      </c>
      <c r="M38" s="75">
        <f t="shared" si="35"/>
        <v>12</v>
      </c>
      <c r="N38" s="75">
        <f t="shared" si="35"/>
        <v>13</v>
      </c>
      <c r="O38" s="75">
        <f t="shared" si="35"/>
        <v>14</v>
      </c>
      <c r="P38" s="75">
        <f t="shared" si="35"/>
        <v>15</v>
      </c>
      <c r="Q38" s="75">
        <f>G29</f>
        <v>16</v>
      </c>
      <c r="R38" s="75">
        <f t="shared" ref="R38:X38" si="36">H29</f>
        <v>17</v>
      </c>
      <c r="S38" s="75">
        <f t="shared" si="36"/>
        <v>18</v>
      </c>
      <c r="T38" s="75">
        <f t="shared" si="36"/>
        <v>19</v>
      </c>
      <c r="U38" s="75">
        <f t="shared" si="36"/>
        <v>20</v>
      </c>
      <c r="V38" s="75">
        <f t="shared" si="36"/>
        <v>21</v>
      </c>
      <c r="W38" s="75">
        <f t="shared" si="36"/>
        <v>22</v>
      </c>
      <c r="X38" s="75">
        <f t="shared" si="36"/>
        <v>23</v>
      </c>
      <c r="Y38" s="75">
        <f>S29</f>
        <v>24</v>
      </c>
      <c r="Z38" s="75">
        <f t="shared" ref="Z38:AF38" si="37">T29</f>
        <v>25</v>
      </c>
      <c r="AA38" s="75">
        <f t="shared" si="37"/>
        <v>26</v>
      </c>
      <c r="AB38" s="75">
        <f t="shared" si="37"/>
        <v>27</v>
      </c>
      <c r="AC38" s="75">
        <f t="shared" si="37"/>
        <v>28</v>
      </c>
      <c r="AD38" s="75">
        <f t="shared" si="37"/>
        <v>29</v>
      </c>
      <c r="AE38" s="75">
        <f t="shared" si="37"/>
        <v>30</v>
      </c>
      <c r="AF38" s="75">
        <f t="shared" si="37"/>
        <v>31</v>
      </c>
      <c r="AG38" s="75"/>
    </row>
    <row r="39" spans="1:33">
      <c r="A39" s="7" t="e">
        <f>G24</f>
        <v>#DIV/0!</v>
      </c>
      <c r="B39" s="7" t="e">
        <f t="shared" ref="B39:B40" si="38">H24</f>
        <v>#DIV/0!</v>
      </c>
      <c r="C39" s="7" t="e">
        <f t="shared" ref="C39:C40" si="39">I24</f>
        <v>#DIV/0!</v>
      </c>
      <c r="D39" s="7" t="e">
        <f t="shared" ref="D39:D40" si="40">J24</f>
        <v>#DIV/0!</v>
      </c>
      <c r="E39" s="7" t="e">
        <f t="shared" ref="E39:E40" si="41">K24</f>
        <v>#DIV/0!</v>
      </c>
      <c r="F39" s="7" t="e">
        <f t="shared" ref="F39:F40" si="42">L24</f>
        <v>#DIV/0!</v>
      </c>
      <c r="G39" s="7" t="e">
        <f t="shared" ref="G39:G40" si="43">M24</f>
        <v>#DIV/0!</v>
      </c>
      <c r="H39" s="7" t="e">
        <f t="shared" ref="H39:H40" si="44">N24</f>
        <v>#DIV/0!</v>
      </c>
      <c r="I39" s="88" t="e">
        <f>S24</f>
        <v>#DIV/0!</v>
      </c>
      <c r="J39" s="88" t="e">
        <f t="shared" ref="J39:J40" si="45">T24</f>
        <v>#DIV/0!</v>
      </c>
      <c r="K39" s="88" t="e">
        <f t="shared" ref="K39:K40" si="46">U24</f>
        <v>#DIV/0!</v>
      </c>
      <c r="L39" s="88" t="e">
        <f t="shared" ref="L39:L40" si="47">V24</f>
        <v>#DIV/0!</v>
      </c>
      <c r="M39" s="88" t="e">
        <f t="shared" ref="M39:M40" si="48">W24</f>
        <v>#DIV/0!</v>
      </c>
      <c r="N39" s="88" t="e">
        <f t="shared" ref="N39:N40" si="49">X24</f>
        <v>#DIV/0!</v>
      </c>
      <c r="O39" s="88" t="e">
        <f t="shared" ref="O39:O40" si="50">Y24</f>
        <v>#DIV/0!</v>
      </c>
      <c r="P39" s="88" t="e">
        <f t="shared" ref="P39:P40" si="51">Z24</f>
        <v>#DIV/0!</v>
      </c>
      <c r="Q39" s="88" t="e">
        <f>G34</f>
        <v>#DIV/0!</v>
      </c>
      <c r="R39" s="88" t="e">
        <f t="shared" ref="R39:S40" si="52">H34</f>
        <v>#DIV/0!</v>
      </c>
      <c r="S39" s="88" t="e">
        <f t="shared" si="52"/>
        <v>#DIV/0!</v>
      </c>
      <c r="T39" s="88" t="e">
        <f t="shared" ref="T39:T40" si="53">J34</f>
        <v>#DIV/0!</v>
      </c>
      <c r="U39" s="88" t="e">
        <f t="shared" ref="U39:U40" si="54">K34</f>
        <v>#DIV/0!</v>
      </c>
      <c r="V39" s="88" t="e">
        <f t="shared" ref="V39:V40" si="55">L34</f>
        <v>#DIV/0!</v>
      </c>
      <c r="W39" s="88" t="e">
        <f t="shared" ref="W39:W40" si="56">M34</f>
        <v>#DIV/0!</v>
      </c>
      <c r="X39" s="88" t="e">
        <f t="shared" ref="X39:X40" si="57">N34</f>
        <v>#DIV/0!</v>
      </c>
      <c r="Y39" s="88" t="e">
        <f>S34</f>
        <v>#DIV/0!</v>
      </c>
      <c r="Z39" s="88" t="e">
        <f t="shared" ref="Z39:Z40" si="58">T34</f>
        <v>#DIV/0!</v>
      </c>
      <c r="AA39" s="88" t="e">
        <f t="shared" ref="AA39:AA40" si="59">U34</f>
        <v>#DIV/0!</v>
      </c>
      <c r="AB39" s="88" t="e">
        <f t="shared" ref="AB39:AB40" si="60">V34</f>
        <v>#DIV/0!</v>
      </c>
      <c r="AC39" s="88" t="e">
        <f t="shared" ref="AC39:AC40" si="61">W34</f>
        <v>#DIV/0!</v>
      </c>
      <c r="AD39" s="88" t="e">
        <f t="shared" ref="AD39:AD40" si="62">X34</f>
        <v>#DIV/0!</v>
      </c>
      <c r="AE39" s="88" t="e">
        <f t="shared" ref="AE39:AF40" si="63">Y34</f>
        <v>#DIV/0!</v>
      </c>
      <c r="AF39" s="88" t="e">
        <f t="shared" si="63"/>
        <v>#DIV/0!</v>
      </c>
    </row>
    <row r="40" spans="1:33">
      <c r="A40" s="7" t="e">
        <f>G25</f>
        <v>#DIV/0!</v>
      </c>
      <c r="B40" s="7" t="e">
        <f t="shared" si="38"/>
        <v>#DIV/0!</v>
      </c>
      <c r="C40" s="7" t="e">
        <f t="shared" si="39"/>
        <v>#DIV/0!</v>
      </c>
      <c r="D40" s="7" t="e">
        <f t="shared" si="40"/>
        <v>#DIV/0!</v>
      </c>
      <c r="E40" s="7" t="e">
        <f t="shared" si="41"/>
        <v>#DIV/0!</v>
      </c>
      <c r="F40" s="7" t="e">
        <f t="shared" si="42"/>
        <v>#DIV/0!</v>
      </c>
      <c r="G40" s="7" t="e">
        <f t="shared" si="43"/>
        <v>#DIV/0!</v>
      </c>
      <c r="H40" s="7" t="e">
        <f t="shared" si="44"/>
        <v>#DIV/0!</v>
      </c>
      <c r="I40" s="88" t="e">
        <f>S25</f>
        <v>#DIV/0!</v>
      </c>
      <c r="J40" s="88" t="e">
        <f t="shared" si="45"/>
        <v>#DIV/0!</v>
      </c>
      <c r="K40" s="88" t="e">
        <f t="shared" si="46"/>
        <v>#DIV/0!</v>
      </c>
      <c r="L40" s="88" t="e">
        <f t="shared" si="47"/>
        <v>#DIV/0!</v>
      </c>
      <c r="M40" s="88" t="e">
        <f t="shared" si="48"/>
        <v>#DIV/0!</v>
      </c>
      <c r="N40" s="88" t="e">
        <f t="shared" si="49"/>
        <v>#DIV/0!</v>
      </c>
      <c r="O40" s="88" t="e">
        <f t="shared" si="50"/>
        <v>#DIV/0!</v>
      </c>
      <c r="P40" s="88" t="e">
        <f t="shared" si="51"/>
        <v>#DIV/0!</v>
      </c>
      <c r="Q40" s="88" t="e">
        <f>G35</f>
        <v>#DIV/0!</v>
      </c>
      <c r="R40" s="88" t="e">
        <f t="shared" si="52"/>
        <v>#DIV/0!</v>
      </c>
      <c r="S40" s="88" t="e">
        <f t="shared" si="52"/>
        <v>#DIV/0!</v>
      </c>
      <c r="T40" s="88" t="e">
        <f t="shared" si="53"/>
        <v>#DIV/0!</v>
      </c>
      <c r="U40" s="88" t="e">
        <f t="shared" si="54"/>
        <v>#DIV/0!</v>
      </c>
      <c r="V40" s="88" t="e">
        <f t="shared" si="55"/>
        <v>#DIV/0!</v>
      </c>
      <c r="W40" s="88" t="e">
        <f t="shared" si="56"/>
        <v>#DIV/0!</v>
      </c>
      <c r="X40" s="88" t="e">
        <f t="shared" si="57"/>
        <v>#DIV/0!</v>
      </c>
      <c r="Y40" s="88" t="e">
        <f>S35</f>
        <v>#DIV/0!</v>
      </c>
      <c r="Z40" s="88" t="e">
        <f t="shared" si="58"/>
        <v>#DIV/0!</v>
      </c>
      <c r="AA40" s="88" t="e">
        <f t="shared" si="59"/>
        <v>#DIV/0!</v>
      </c>
      <c r="AB40" s="88" t="e">
        <f t="shared" si="60"/>
        <v>#DIV/0!</v>
      </c>
      <c r="AC40" s="88" t="e">
        <f t="shared" si="61"/>
        <v>#DIV/0!</v>
      </c>
      <c r="AD40" s="88" t="e">
        <f t="shared" si="62"/>
        <v>#DIV/0!</v>
      </c>
      <c r="AE40" s="88" t="e">
        <f t="shared" si="63"/>
        <v>#DIV/0!</v>
      </c>
      <c r="AF40" s="88" t="e">
        <f t="shared" si="63"/>
        <v>#DIV/0!</v>
      </c>
    </row>
  </sheetData>
  <mergeCells count="32">
    <mergeCell ref="S28:Z28"/>
    <mergeCell ref="C28:F28"/>
    <mergeCell ref="A19:B19"/>
    <mergeCell ref="A20:A21"/>
    <mergeCell ref="A22:A23"/>
    <mergeCell ref="A24:A25"/>
    <mergeCell ref="S18:Z18"/>
    <mergeCell ref="C1:F1"/>
    <mergeCell ref="C18:F18"/>
    <mergeCell ref="C26:E26"/>
    <mergeCell ref="O18:R18"/>
    <mergeCell ref="O26:Q26"/>
    <mergeCell ref="H13:X13"/>
    <mergeCell ref="P2:Q2"/>
    <mergeCell ref="B11:C11"/>
    <mergeCell ref="B12:C12"/>
    <mergeCell ref="A2:B2"/>
    <mergeCell ref="A7:A8"/>
    <mergeCell ref="H2:I2"/>
    <mergeCell ref="C9:E9"/>
    <mergeCell ref="A1:B1"/>
    <mergeCell ref="A3:A4"/>
    <mergeCell ref="A5:A6"/>
    <mergeCell ref="C36:E36"/>
    <mergeCell ref="O28:R28"/>
    <mergeCell ref="O36:Q36"/>
    <mergeCell ref="G18:N18"/>
    <mergeCell ref="A30:A31"/>
    <mergeCell ref="A32:A33"/>
    <mergeCell ref="A34:A35"/>
    <mergeCell ref="G28:N28"/>
    <mergeCell ref="A29:B29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L13"/>
  <sheetViews>
    <sheetView tabSelected="1" zoomScale="70" zoomScaleNormal="70" workbookViewId="0">
      <selection activeCell="B2" sqref="B2:AG6"/>
    </sheetView>
  </sheetViews>
  <sheetFormatPr defaultRowHeight="18.75"/>
  <cols>
    <col min="1" max="1" width="8.140625" style="66" bestFit="1" customWidth="1"/>
    <col min="2" max="2" width="11.7109375" style="40" customWidth="1"/>
    <col min="3" max="3" width="9.140625" style="40" customWidth="1"/>
    <col min="4" max="4" width="6.140625" style="40" customWidth="1"/>
    <col min="5" max="5" width="7.7109375" style="40" customWidth="1"/>
    <col min="6" max="12" width="6.5703125" style="40" bestFit="1" customWidth="1"/>
    <col min="13" max="13" width="7.28515625" style="40" customWidth="1"/>
    <col min="14" max="14" width="6.5703125" style="40" bestFit="1" customWidth="1"/>
    <col min="15" max="15" width="5.85546875" style="40" customWidth="1"/>
    <col min="16" max="16" width="8.28515625" style="40" customWidth="1"/>
    <col min="17" max="25" width="6.5703125" style="40" bestFit="1" customWidth="1"/>
    <col min="26" max="26" width="4.85546875" style="40" bestFit="1" customWidth="1"/>
    <col min="27" max="31" width="6.5703125" style="40" bestFit="1" customWidth="1"/>
    <col min="32" max="33" width="5.85546875" style="40" bestFit="1" customWidth="1"/>
    <col min="34" max="34" width="6.5703125" style="40" bestFit="1" customWidth="1"/>
    <col min="35" max="37" width="3.42578125" style="40" bestFit="1" customWidth="1"/>
    <col min="38" max="38" width="6.42578125" style="40" bestFit="1" customWidth="1"/>
    <col min="39" max="16384" width="9.140625" style="40"/>
  </cols>
  <sheetData>
    <row r="1" spans="1:38">
      <c r="A1" s="62"/>
      <c r="B1" s="40">
        <v>0</v>
      </c>
      <c r="C1" s="40">
        <f>B1+1</f>
        <v>1</v>
      </c>
      <c r="D1" s="40">
        <f t="shared" ref="D1:AG1" si="0">C1+1</f>
        <v>2</v>
      </c>
      <c r="E1" s="40">
        <f t="shared" si="0"/>
        <v>3</v>
      </c>
      <c r="F1" s="40">
        <f t="shared" si="0"/>
        <v>4</v>
      </c>
      <c r="G1" s="40">
        <f t="shared" si="0"/>
        <v>5</v>
      </c>
      <c r="H1" s="40">
        <f t="shared" si="0"/>
        <v>6</v>
      </c>
      <c r="I1" s="40">
        <f t="shared" si="0"/>
        <v>7</v>
      </c>
      <c r="J1" s="40">
        <f t="shared" si="0"/>
        <v>8</v>
      </c>
      <c r="K1" s="40">
        <f t="shared" si="0"/>
        <v>9</v>
      </c>
      <c r="L1" s="40">
        <f t="shared" si="0"/>
        <v>10</v>
      </c>
      <c r="M1" s="40">
        <f t="shared" si="0"/>
        <v>11</v>
      </c>
      <c r="N1" s="40">
        <f t="shared" si="0"/>
        <v>12</v>
      </c>
      <c r="O1" s="40">
        <f t="shared" si="0"/>
        <v>13</v>
      </c>
      <c r="P1" s="40">
        <f t="shared" si="0"/>
        <v>14</v>
      </c>
      <c r="Q1" s="40">
        <f t="shared" si="0"/>
        <v>15</v>
      </c>
      <c r="R1" s="40">
        <f t="shared" si="0"/>
        <v>16</v>
      </c>
      <c r="S1" s="40">
        <f t="shared" si="0"/>
        <v>17</v>
      </c>
      <c r="T1" s="40">
        <f t="shared" si="0"/>
        <v>18</v>
      </c>
      <c r="U1" s="40">
        <f t="shared" si="0"/>
        <v>19</v>
      </c>
      <c r="V1" s="40">
        <f t="shared" si="0"/>
        <v>20</v>
      </c>
      <c r="W1" s="40">
        <f t="shared" si="0"/>
        <v>21</v>
      </c>
      <c r="X1" s="40">
        <f t="shared" si="0"/>
        <v>22</v>
      </c>
      <c r="Y1" s="40">
        <f t="shared" si="0"/>
        <v>23</v>
      </c>
      <c r="Z1" s="40">
        <f t="shared" si="0"/>
        <v>24</v>
      </c>
      <c r="AA1" s="40">
        <f t="shared" si="0"/>
        <v>25</v>
      </c>
      <c r="AB1" s="40">
        <f t="shared" si="0"/>
        <v>26</v>
      </c>
      <c r="AC1" s="40">
        <f t="shared" si="0"/>
        <v>27</v>
      </c>
      <c r="AD1" s="40">
        <f t="shared" si="0"/>
        <v>28</v>
      </c>
      <c r="AE1" s="40">
        <f t="shared" si="0"/>
        <v>29</v>
      </c>
      <c r="AF1" s="40">
        <f t="shared" si="0"/>
        <v>30</v>
      </c>
      <c r="AG1" s="40">
        <f t="shared" si="0"/>
        <v>31</v>
      </c>
      <c r="AH1" s="40">
        <f t="shared" ref="AH1" si="1">AG1+1</f>
        <v>32</v>
      </c>
      <c r="AI1" s="40">
        <f t="shared" ref="AI1" si="2">AH1+1</f>
        <v>33</v>
      </c>
      <c r="AJ1" s="40">
        <f t="shared" ref="AJ1" si="3">AI1+1</f>
        <v>34</v>
      </c>
      <c r="AK1" s="40">
        <f t="shared" ref="AK1" si="4">AJ1+1</f>
        <v>35</v>
      </c>
    </row>
    <row r="2" spans="1:38" ht="20.25">
      <c r="A2" s="63" t="s">
        <v>22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J2" s="6"/>
      <c r="AK2" s="6"/>
      <c r="AL2" s="6"/>
    </row>
    <row r="3" spans="1:38" ht="20.25">
      <c r="A3" s="63" t="s">
        <v>23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J3" s="6"/>
      <c r="AK3" s="6"/>
      <c r="AL3" s="6"/>
    </row>
    <row r="4" spans="1:38" ht="20.25">
      <c r="A4" s="63" t="s">
        <v>24</v>
      </c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J4" s="6"/>
      <c r="AK4" s="6"/>
      <c r="AL4" s="6"/>
    </row>
    <row r="5" spans="1:38" ht="20.25">
      <c r="A5" s="63" t="s">
        <v>25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J5" s="6"/>
      <c r="AK5" s="6"/>
      <c r="AL5" s="6"/>
    </row>
    <row r="6" spans="1:38" s="6" customFormat="1">
      <c r="A6" s="64"/>
    </row>
    <row r="7" spans="1:38">
      <c r="A7" s="63"/>
      <c r="B7" s="65"/>
      <c r="C7" s="65"/>
      <c r="D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</row>
    <row r="8" spans="1:38">
      <c r="B8" s="14"/>
      <c r="E8" s="67"/>
    </row>
    <row r="9" spans="1:38">
      <c r="B9" s="14"/>
      <c r="E9" s="67"/>
    </row>
    <row r="10" spans="1:38">
      <c r="B10" s="14"/>
      <c r="E10" s="67"/>
    </row>
    <row r="11" spans="1:38">
      <c r="B11" s="14"/>
      <c r="E11" s="67"/>
    </row>
    <row r="12" spans="1:38">
      <c r="B12" s="14"/>
    </row>
    <row r="13" spans="1:38">
      <c r="B13" s="14"/>
    </row>
  </sheetData>
  <pageMargins left="0.7" right="0.7" top="0.75" bottom="0.75" header="0.3" footer="0.3"/>
  <pageSetup paperSize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Summary</vt:lpstr>
      <vt:lpstr>Calculations</vt:lpstr>
      <vt:lpstr>data0</vt:lpstr>
      <vt:lpstr>LoFilterIndex</vt:lpstr>
      <vt:lpstr>Lux</vt:lpstr>
      <vt:lpstr>minComp</vt:lpstr>
      <vt:lpstr>partNumber</vt:lpstr>
      <vt:lpstr>data0!Print_Area</vt:lpstr>
      <vt:lpstr>Summary!Print_Area</vt:lpstr>
      <vt:lpstr>xOffset</vt:lpstr>
      <vt:lpstr>yOffset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2013-04-22T21:15:58Z</dcterms:modified>
</cp:coreProperties>
</file>