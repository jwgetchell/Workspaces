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charts/chart2.xml" ContentType="application/vnd.openxmlformats-officedocument.drawingml.char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charts/chart1.xml" ContentType="application/vnd.openxmlformats-officedocument.drawingml.char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filterPrivacy="1" codeName="ThisWorkbook" defaultThemeVersion="124226"/>
  <bookViews>
    <workbookView xWindow="60" yWindow="90" windowWidth="18180" windowHeight="19050" activeTab="1"/>
  </bookViews>
  <sheets>
    <sheet name="Summary" sheetId="2" r:id="rId1"/>
    <sheet name="Calculations" sheetId="4" r:id="rId2"/>
    <sheet name="data0" sheetId="1" r:id="rId3"/>
  </sheets>
  <functionGroups/>
  <definedNames>
    <definedName name="LUT_0">Summary!$E$4</definedName>
    <definedName name="LUT_1">Summary!$E$5</definedName>
    <definedName name="LUT_2">Summary!$E$6</definedName>
    <definedName name="LUT_3">Summary!$E$7</definedName>
    <definedName name="LUT_4">Summary!$E$8</definedName>
    <definedName name="LUT_5">Summary!$E$9</definedName>
    <definedName name="LUT_6">Summary!$E$10</definedName>
    <definedName name="LUT_7">Summary!$E$11</definedName>
  </definedNames>
  <calcPr calcId="125725"/>
</workbook>
</file>

<file path=xl/calcChain.xml><?xml version="1.0" encoding="utf-8"?>
<calcChain xmlns="http://schemas.openxmlformats.org/spreadsheetml/2006/main">
  <c r="D2" i="4"/>
  <c r="AQ2" i="1"/>
  <c r="AP2"/>
  <c r="AM46"/>
  <c r="AO46" s="1"/>
  <c r="AL46"/>
  <c r="AN46" s="1"/>
  <c r="AN45"/>
  <c r="AM45"/>
  <c r="AO45" s="1"/>
  <c r="AL45"/>
  <c r="AM44"/>
  <c r="AO44" s="1"/>
  <c r="AL44"/>
  <c r="AN44" s="1"/>
  <c r="AM43"/>
  <c r="AO43" s="1"/>
  <c r="AL43"/>
  <c r="AN43" s="1"/>
  <c r="AM42"/>
  <c r="AO42" s="1"/>
  <c r="AL42"/>
  <c r="AN42" s="1"/>
  <c r="AM41"/>
  <c r="AO41" s="1"/>
  <c r="AL41"/>
  <c r="AN41" s="1"/>
  <c r="AM40"/>
  <c r="AO40" s="1"/>
  <c r="AL40"/>
  <c r="AN40" s="1"/>
  <c r="AM39"/>
  <c r="AO39" s="1"/>
  <c r="AL39"/>
  <c r="AN39" s="1"/>
  <c r="AM38"/>
  <c r="AO38" s="1"/>
  <c r="AL38"/>
  <c r="AN38" s="1"/>
  <c r="AM37"/>
  <c r="AO37" s="1"/>
  <c r="AL37"/>
  <c r="AN37" s="1"/>
  <c r="AM36"/>
  <c r="AO36" s="1"/>
  <c r="AL36"/>
  <c r="AN36" s="1"/>
  <c r="AM35"/>
  <c r="AO35" s="1"/>
  <c r="AL35"/>
  <c r="AN35" s="1"/>
  <c r="AM34"/>
  <c r="AO34" s="1"/>
  <c r="AL34"/>
  <c r="AN34" s="1"/>
  <c r="AM33"/>
  <c r="AO33" s="1"/>
  <c r="AL33"/>
  <c r="AN33" s="1"/>
  <c r="AM32"/>
  <c r="AO32" s="1"/>
  <c r="AL32"/>
  <c r="AN32" s="1"/>
  <c r="AM31"/>
  <c r="AO31" s="1"/>
  <c r="AL31"/>
  <c r="AN31" s="1"/>
  <c r="AM30"/>
  <c r="AO30" s="1"/>
  <c r="AL30"/>
  <c r="AN30" s="1"/>
  <c r="AM29"/>
  <c r="AO29" s="1"/>
  <c r="AL29"/>
  <c r="AN29" s="1"/>
  <c r="AM28"/>
  <c r="AO28" s="1"/>
  <c r="AL28"/>
  <c r="AN28" s="1"/>
  <c r="AM27"/>
  <c r="AO27" s="1"/>
  <c r="AL27"/>
  <c r="AN27" s="1"/>
  <c r="AM26"/>
  <c r="AO26" s="1"/>
  <c r="AL26"/>
  <c r="AN26" s="1"/>
  <c r="AM25"/>
  <c r="AO25" s="1"/>
  <c r="AL25"/>
  <c r="AN25" s="1"/>
  <c r="AM24"/>
  <c r="AO24" s="1"/>
  <c r="AL24"/>
  <c r="AN24" s="1"/>
  <c r="AM23"/>
  <c r="AO23" s="1"/>
  <c r="AL23"/>
  <c r="AN23" s="1"/>
  <c r="AM22"/>
  <c r="AO22" s="1"/>
  <c r="AL22"/>
  <c r="AN22" s="1"/>
  <c r="AM21"/>
  <c r="AO21" s="1"/>
  <c r="AL21"/>
  <c r="AN21" s="1"/>
  <c r="AM20"/>
  <c r="AO20" s="1"/>
  <c r="AL20"/>
  <c r="AN20" s="1"/>
  <c r="AM19"/>
  <c r="AO19" s="1"/>
  <c r="AL19"/>
  <c r="AN19" s="1"/>
  <c r="AM18"/>
  <c r="AO18" s="1"/>
  <c r="AL18"/>
  <c r="AN18" s="1"/>
  <c r="AM17"/>
  <c r="AO17" s="1"/>
  <c r="AL17"/>
  <c r="AN17" s="1"/>
  <c r="AM16"/>
  <c r="AO16" s="1"/>
  <c r="AL16"/>
  <c r="AN16" s="1"/>
  <c r="AM15"/>
  <c r="AO15" s="1"/>
  <c r="AL15"/>
  <c r="AN15" s="1"/>
  <c r="AM14"/>
  <c r="AO14" s="1"/>
  <c r="AL14"/>
  <c r="AN14" s="1"/>
  <c r="AM13"/>
  <c r="AO13" s="1"/>
  <c r="AL13"/>
  <c r="AN13" s="1"/>
  <c r="AM12"/>
  <c r="AO12" s="1"/>
  <c r="AL12"/>
  <c r="AN12" s="1"/>
  <c r="AM11"/>
  <c r="AO11" s="1"/>
  <c r="AL11"/>
  <c r="AN11" s="1"/>
  <c r="AM10"/>
  <c r="AO10" s="1"/>
  <c r="AL10"/>
  <c r="AN10" s="1"/>
  <c r="AM9"/>
  <c r="AO9" s="1"/>
  <c r="AL9"/>
  <c r="AN9" s="1"/>
  <c r="AM8"/>
  <c r="AO8" s="1"/>
  <c r="AL8"/>
  <c r="AN8" s="1"/>
  <c r="AM7"/>
  <c r="AO7" s="1"/>
  <c r="AL7"/>
  <c r="AN7" s="1"/>
  <c r="AM6"/>
  <c r="AO6" s="1"/>
  <c r="AL6"/>
  <c r="AN6" s="1"/>
  <c r="AM5"/>
  <c r="AO5" s="1"/>
  <c r="AL5"/>
  <c r="AN5" s="1"/>
  <c r="AM4"/>
  <c r="AO4" s="1"/>
  <c r="AL4"/>
  <c r="AN4" s="1"/>
  <c r="AM3"/>
  <c r="AO3" s="1"/>
  <c r="AL3"/>
  <c r="AN3" s="1"/>
  <c r="AO2"/>
  <c r="AN2"/>
  <c r="AM2"/>
  <c r="AL2"/>
  <c r="AI100"/>
  <c r="AH100"/>
  <c r="AG100"/>
  <c r="AF100"/>
  <c r="AE100"/>
  <c r="AD100"/>
  <c r="AC100"/>
  <c r="AB100"/>
  <c r="AA100"/>
  <c r="Z100"/>
  <c r="Y100"/>
  <c r="X100"/>
  <c r="W100"/>
  <c r="V100"/>
  <c r="U100"/>
  <c r="T100"/>
  <c r="S100"/>
  <c r="R100"/>
  <c r="Q100"/>
  <c r="P100"/>
  <c r="O100"/>
  <c r="N100"/>
  <c r="M100"/>
  <c r="L100"/>
  <c r="K100"/>
  <c r="J100"/>
  <c r="I100"/>
  <c r="H100"/>
  <c r="G100"/>
  <c r="F100"/>
  <c r="AI99"/>
  <c r="AH99"/>
  <c r="AG99"/>
  <c r="AF99"/>
  <c r="AE99"/>
  <c r="AD99"/>
  <c r="AC99"/>
  <c r="AB99"/>
  <c r="AA99"/>
  <c r="Z99"/>
  <c r="Y99"/>
  <c r="X99"/>
  <c r="W99"/>
  <c r="V99"/>
  <c r="U99"/>
  <c r="T99"/>
  <c r="S99"/>
  <c r="R99"/>
  <c r="Q99"/>
  <c r="P99"/>
  <c r="O99"/>
  <c r="N99"/>
  <c r="M99"/>
  <c r="L99"/>
  <c r="K99"/>
  <c r="J99"/>
  <c r="I99"/>
  <c r="H99"/>
  <c r="G99"/>
  <c r="F99"/>
  <c r="AI98"/>
  <c r="AH98"/>
  <c r="AG98"/>
  <c r="AF98"/>
  <c r="AE98"/>
  <c r="AD98"/>
  <c r="AC98"/>
  <c r="AB98"/>
  <c r="AA98"/>
  <c r="Z98"/>
  <c r="Y98"/>
  <c r="X98"/>
  <c r="W98"/>
  <c r="V98"/>
  <c r="U98"/>
  <c r="T98"/>
  <c r="S98"/>
  <c r="R98"/>
  <c r="Q98"/>
  <c r="P98"/>
  <c r="O98"/>
  <c r="N98"/>
  <c r="M98"/>
  <c r="L98"/>
  <c r="K98"/>
  <c r="J98"/>
  <c r="I98"/>
  <c r="H98"/>
  <c r="G98"/>
  <c r="F98"/>
  <c r="AI97"/>
  <c r="AH97"/>
  <c r="AG97"/>
  <c r="AF97"/>
  <c r="AE97"/>
  <c r="AD97"/>
  <c r="AC97"/>
  <c r="AB97"/>
  <c r="AA97"/>
  <c r="Z97"/>
  <c r="Y97"/>
  <c r="X97"/>
  <c r="W97"/>
  <c r="V97"/>
  <c r="U97"/>
  <c r="T97"/>
  <c r="S97"/>
  <c r="R97"/>
  <c r="Q97"/>
  <c r="P97"/>
  <c r="O97"/>
  <c r="N97"/>
  <c r="M97"/>
  <c r="L97"/>
  <c r="K97"/>
  <c r="J97"/>
  <c r="I97"/>
  <c r="H97"/>
  <c r="G97"/>
  <c r="F97"/>
  <c r="AI96"/>
  <c r="AI144" s="1"/>
  <c r="AH96"/>
  <c r="AH144" s="1"/>
  <c r="AG96"/>
  <c r="AG144" s="1"/>
  <c r="AF96"/>
  <c r="AF144" s="1"/>
  <c r="AE96"/>
  <c r="AE144" s="1"/>
  <c r="AD96"/>
  <c r="AD144" s="1"/>
  <c r="AC96"/>
  <c r="AC144" s="1"/>
  <c r="AB96"/>
  <c r="AB144" s="1"/>
  <c r="AA96"/>
  <c r="AA144" s="1"/>
  <c r="Z96"/>
  <c r="Z144" s="1"/>
  <c r="Y96"/>
  <c r="Y144" s="1"/>
  <c r="X96"/>
  <c r="X144" s="1"/>
  <c r="W96"/>
  <c r="W144" s="1"/>
  <c r="V96"/>
  <c r="V144" s="1"/>
  <c r="U96"/>
  <c r="U144" s="1"/>
  <c r="T96"/>
  <c r="T144" s="1"/>
  <c r="S96"/>
  <c r="S144" s="1"/>
  <c r="R96"/>
  <c r="R144" s="1"/>
  <c r="Q96"/>
  <c r="Q144" s="1"/>
  <c r="P96"/>
  <c r="P144" s="1"/>
  <c r="O96"/>
  <c r="O144" s="1"/>
  <c r="N96"/>
  <c r="N144" s="1"/>
  <c r="M96"/>
  <c r="M144" s="1"/>
  <c r="L96"/>
  <c r="L144" s="1"/>
  <c r="K96"/>
  <c r="K144" s="1"/>
  <c r="J96"/>
  <c r="J144" s="1"/>
  <c r="I96"/>
  <c r="I144" s="1"/>
  <c r="H96"/>
  <c r="H144" s="1"/>
  <c r="G96"/>
  <c r="G144" s="1"/>
  <c r="F96"/>
  <c r="F144" s="1"/>
  <c r="AI94"/>
  <c r="AH94"/>
  <c r="AG94"/>
  <c r="AF94"/>
  <c r="AE94"/>
  <c r="AD94"/>
  <c r="AC94"/>
  <c r="AB94"/>
  <c r="AA94"/>
  <c r="Z94"/>
  <c r="Y94"/>
  <c r="X94"/>
  <c r="W94"/>
  <c r="V94"/>
  <c r="U94"/>
  <c r="T94"/>
  <c r="S94"/>
  <c r="R94"/>
  <c r="Q94"/>
  <c r="P94"/>
  <c r="O94"/>
  <c r="N94"/>
  <c r="M94"/>
  <c r="L94"/>
  <c r="K94"/>
  <c r="J94"/>
  <c r="I94"/>
  <c r="H94"/>
  <c r="G94"/>
  <c r="F94"/>
  <c r="AI93"/>
  <c r="AH93"/>
  <c r="AG93"/>
  <c r="AF93"/>
  <c r="AE93"/>
  <c r="AD93"/>
  <c r="AC93"/>
  <c r="AB93"/>
  <c r="AA93"/>
  <c r="Z93"/>
  <c r="Y93"/>
  <c r="X93"/>
  <c r="W93"/>
  <c r="V93"/>
  <c r="U93"/>
  <c r="T93"/>
  <c r="S93"/>
  <c r="R93"/>
  <c r="Q93"/>
  <c r="P93"/>
  <c r="O93"/>
  <c r="N93"/>
  <c r="M93"/>
  <c r="L93"/>
  <c r="K93"/>
  <c r="J93"/>
  <c r="I93"/>
  <c r="H93"/>
  <c r="G93"/>
  <c r="F93"/>
  <c r="AI92"/>
  <c r="AH92"/>
  <c r="AG92"/>
  <c r="AF92"/>
  <c r="AE92"/>
  <c r="AD92"/>
  <c r="AC92"/>
  <c r="AB92"/>
  <c r="AA92"/>
  <c r="Z92"/>
  <c r="Y92"/>
  <c r="X92"/>
  <c r="W92"/>
  <c r="V92"/>
  <c r="U92"/>
  <c r="T92"/>
  <c r="S92"/>
  <c r="R92"/>
  <c r="Q92"/>
  <c r="P92"/>
  <c r="O92"/>
  <c r="N92"/>
  <c r="M92"/>
  <c r="L92"/>
  <c r="K92"/>
  <c r="J92"/>
  <c r="I92"/>
  <c r="H92"/>
  <c r="G92"/>
  <c r="F92"/>
  <c r="AI91"/>
  <c r="AH91"/>
  <c r="AG91"/>
  <c r="AF91"/>
  <c r="AE91"/>
  <c r="AD91"/>
  <c r="AC91"/>
  <c r="AB91"/>
  <c r="AA91"/>
  <c r="Z91"/>
  <c r="Y91"/>
  <c r="X91"/>
  <c r="W91"/>
  <c r="V91"/>
  <c r="U91"/>
  <c r="T91"/>
  <c r="S91"/>
  <c r="R91"/>
  <c r="Q91"/>
  <c r="P91"/>
  <c r="O91"/>
  <c r="N91"/>
  <c r="M91"/>
  <c r="L91"/>
  <c r="K91"/>
  <c r="J91"/>
  <c r="I91"/>
  <c r="H91"/>
  <c r="G91"/>
  <c r="F91"/>
  <c r="AI90"/>
  <c r="AI138" s="1"/>
  <c r="AH90"/>
  <c r="AH138" s="1"/>
  <c r="AG90"/>
  <c r="AG138" s="1"/>
  <c r="AF90"/>
  <c r="AF138" s="1"/>
  <c r="AE90"/>
  <c r="AE138" s="1"/>
  <c r="AD90"/>
  <c r="AD138" s="1"/>
  <c r="AC90"/>
  <c r="AC138" s="1"/>
  <c r="AB90"/>
  <c r="AB138" s="1"/>
  <c r="AA90"/>
  <c r="AA138" s="1"/>
  <c r="Z90"/>
  <c r="Z138" s="1"/>
  <c r="Y90"/>
  <c r="Y138" s="1"/>
  <c r="X90"/>
  <c r="X138" s="1"/>
  <c r="W90"/>
  <c r="W138" s="1"/>
  <c r="V90"/>
  <c r="V138" s="1"/>
  <c r="U90"/>
  <c r="U138" s="1"/>
  <c r="T90"/>
  <c r="T138" s="1"/>
  <c r="S90"/>
  <c r="S138" s="1"/>
  <c r="R90"/>
  <c r="R138" s="1"/>
  <c r="Q90"/>
  <c r="Q138" s="1"/>
  <c r="P90"/>
  <c r="P138" s="1"/>
  <c r="O90"/>
  <c r="O138" s="1"/>
  <c r="N90"/>
  <c r="N138" s="1"/>
  <c r="M90"/>
  <c r="M138" s="1"/>
  <c r="L90"/>
  <c r="L138" s="1"/>
  <c r="K90"/>
  <c r="K138" s="1"/>
  <c r="J90"/>
  <c r="J138" s="1"/>
  <c r="I90"/>
  <c r="I138" s="1"/>
  <c r="H90"/>
  <c r="H138" s="1"/>
  <c r="G90"/>
  <c r="G138" s="1"/>
  <c r="F90"/>
  <c r="F138" s="1"/>
  <c r="AI88"/>
  <c r="AH88"/>
  <c r="AG88"/>
  <c r="AF88"/>
  <c r="AE88"/>
  <c r="AD88"/>
  <c r="AC88"/>
  <c r="AB88"/>
  <c r="AA88"/>
  <c r="Z88"/>
  <c r="Y88"/>
  <c r="X88"/>
  <c r="W88"/>
  <c r="V88"/>
  <c r="U88"/>
  <c r="T88"/>
  <c r="S88"/>
  <c r="R88"/>
  <c r="Q88"/>
  <c r="P88"/>
  <c r="O88"/>
  <c r="N88"/>
  <c r="M88"/>
  <c r="L88"/>
  <c r="K88"/>
  <c r="J88"/>
  <c r="I88"/>
  <c r="H88"/>
  <c r="G88"/>
  <c r="F88"/>
  <c r="AI87"/>
  <c r="AH87"/>
  <c r="AG87"/>
  <c r="AF87"/>
  <c r="AE87"/>
  <c r="AD87"/>
  <c r="AC87"/>
  <c r="AB87"/>
  <c r="AA87"/>
  <c r="Z87"/>
  <c r="Y87"/>
  <c r="X87"/>
  <c r="W87"/>
  <c r="V87"/>
  <c r="U87"/>
  <c r="T87"/>
  <c r="S87"/>
  <c r="R87"/>
  <c r="Q87"/>
  <c r="P87"/>
  <c r="O87"/>
  <c r="N87"/>
  <c r="M87"/>
  <c r="L87"/>
  <c r="K87"/>
  <c r="J87"/>
  <c r="I87"/>
  <c r="H87"/>
  <c r="G87"/>
  <c r="F87"/>
  <c r="AI86"/>
  <c r="AH86"/>
  <c r="AG86"/>
  <c r="AF86"/>
  <c r="AE86"/>
  <c r="AD86"/>
  <c r="AC86"/>
  <c r="AB86"/>
  <c r="AA86"/>
  <c r="Z86"/>
  <c r="Y86"/>
  <c r="X86"/>
  <c r="W86"/>
  <c r="V86"/>
  <c r="U86"/>
  <c r="T86"/>
  <c r="S86"/>
  <c r="R86"/>
  <c r="Q86"/>
  <c r="P86"/>
  <c r="O86"/>
  <c r="N86"/>
  <c r="M86"/>
  <c r="L86"/>
  <c r="K86"/>
  <c r="J86"/>
  <c r="I86"/>
  <c r="H86"/>
  <c r="G86"/>
  <c r="F86"/>
  <c r="AI85"/>
  <c r="AH85"/>
  <c r="AG85"/>
  <c r="AF85"/>
  <c r="AE85"/>
  <c r="AD85"/>
  <c r="AC85"/>
  <c r="AB85"/>
  <c r="AA85"/>
  <c r="Z85"/>
  <c r="Y85"/>
  <c r="X85"/>
  <c r="W85"/>
  <c r="V85"/>
  <c r="U85"/>
  <c r="T85"/>
  <c r="S85"/>
  <c r="R85"/>
  <c r="Q85"/>
  <c r="P85"/>
  <c r="O85"/>
  <c r="N85"/>
  <c r="M85"/>
  <c r="L85"/>
  <c r="K85"/>
  <c r="J85"/>
  <c r="I85"/>
  <c r="H85"/>
  <c r="G85"/>
  <c r="F85"/>
  <c r="AI84"/>
  <c r="AI132" s="1"/>
  <c r="AH84"/>
  <c r="AH132" s="1"/>
  <c r="AG84"/>
  <c r="AG132" s="1"/>
  <c r="AF84"/>
  <c r="AF132" s="1"/>
  <c r="AE84"/>
  <c r="AE132" s="1"/>
  <c r="AD84"/>
  <c r="AD132" s="1"/>
  <c r="AC84"/>
  <c r="AC132" s="1"/>
  <c r="AB84"/>
  <c r="AB132" s="1"/>
  <c r="AA84"/>
  <c r="AA132" s="1"/>
  <c r="Z84"/>
  <c r="Z132" s="1"/>
  <c r="Y84"/>
  <c r="Y132" s="1"/>
  <c r="X84"/>
  <c r="X132" s="1"/>
  <c r="W84"/>
  <c r="W132" s="1"/>
  <c r="V84"/>
  <c r="V132" s="1"/>
  <c r="U84"/>
  <c r="U132" s="1"/>
  <c r="T84"/>
  <c r="T132" s="1"/>
  <c r="S84"/>
  <c r="S132" s="1"/>
  <c r="R84"/>
  <c r="R132" s="1"/>
  <c r="Q84"/>
  <c r="Q132" s="1"/>
  <c r="P84"/>
  <c r="P132" s="1"/>
  <c r="O84"/>
  <c r="O132" s="1"/>
  <c r="N84"/>
  <c r="N132" s="1"/>
  <c r="M84"/>
  <c r="M132" s="1"/>
  <c r="L84"/>
  <c r="L132" s="1"/>
  <c r="K84"/>
  <c r="K132" s="1"/>
  <c r="J84"/>
  <c r="J132" s="1"/>
  <c r="I84"/>
  <c r="I132" s="1"/>
  <c r="H84"/>
  <c r="H132" s="1"/>
  <c r="G84"/>
  <c r="G132" s="1"/>
  <c r="F84"/>
  <c r="F132" s="1"/>
  <c r="AI82"/>
  <c r="AH82"/>
  <c r="AG82"/>
  <c r="AF82"/>
  <c r="AE82"/>
  <c r="AD82"/>
  <c r="AC82"/>
  <c r="AB82"/>
  <c r="AA82"/>
  <c r="Z82"/>
  <c r="Y82"/>
  <c r="X82"/>
  <c r="W82"/>
  <c r="V82"/>
  <c r="U82"/>
  <c r="T82"/>
  <c r="S82"/>
  <c r="R82"/>
  <c r="Q82"/>
  <c r="P82"/>
  <c r="O82"/>
  <c r="N82"/>
  <c r="M82"/>
  <c r="L82"/>
  <c r="K82"/>
  <c r="J82"/>
  <c r="I82"/>
  <c r="H82"/>
  <c r="G82"/>
  <c r="F82"/>
  <c r="AI81"/>
  <c r="AH81"/>
  <c r="AG81"/>
  <c r="AF81"/>
  <c r="AE81"/>
  <c r="AD81"/>
  <c r="AC81"/>
  <c r="AB81"/>
  <c r="AA81"/>
  <c r="Z81"/>
  <c r="Y81"/>
  <c r="X81"/>
  <c r="W81"/>
  <c r="V81"/>
  <c r="U81"/>
  <c r="T81"/>
  <c r="S81"/>
  <c r="R81"/>
  <c r="Q81"/>
  <c r="P81"/>
  <c r="O81"/>
  <c r="N81"/>
  <c r="M81"/>
  <c r="L81"/>
  <c r="K81"/>
  <c r="J81"/>
  <c r="I81"/>
  <c r="H81"/>
  <c r="G81"/>
  <c r="F81"/>
  <c r="AI80"/>
  <c r="AH80"/>
  <c r="AG80"/>
  <c r="AF80"/>
  <c r="AE80"/>
  <c r="AD80"/>
  <c r="AC80"/>
  <c r="AB80"/>
  <c r="AA80"/>
  <c r="Z80"/>
  <c r="Y80"/>
  <c r="X80"/>
  <c r="W80"/>
  <c r="V80"/>
  <c r="U80"/>
  <c r="T80"/>
  <c r="S80"/>
  <c r="R80"/>
  <c r="Q80"/>
  <c r="P80"/>
  <c r="O80"/>
  <c r="N80"/>
  <c r="M80"/>
  <c r="L80"/>
  <c r="K80"/>
  <c r="J80"/>
  <c r="I80"/>
  <c r="H80"/>
  <c r="G80"/>
  <c r="F80"/>
  <c r="AI79"/>
  <c r="AH79"/>
  <c r="AG79"/>
  <c r="AF79"/>
  <c r="AE79"/>
  <c r="AD79"/>
  <c r="AC79"/>
  <c r="AB79"/>
  <c r="AA79"/>
  <c r="Z79"/>
  <c r="Y79"/>
  <c r="X79"/>
  <c r="W79"/>
  <c r="V79"/>
  <c r="U79"/>
  <c r="T79"/>
  <c r="S79"/>
  <c r="R79"/>
  <c r="Q79"/>
  <c r="P79"/>
  <c r="O79"/>
  <c r="N79"/>
  <c r="M79"/>
  <c r="L79"/>
  <c r="K79"/>
  <c r="J79"/>
  <c r="I79"/>
  <c r="H79"/>
  <c r="G79"/>
  <c r="F79"/>
  <c r="AI78"/>
  <c r="AI126" s="1"/>
  <c r="AH78"/>
  <c r="AH126" s="1"/>
  <c r="AG78"/>
  <c r="AG126" s="1"/>
  <c r="AF78"/>
  <c r="AF126" s="1"/>
  <c r="AE78"/>
  <c r="AE126" s="1"/>
  <c r="AD78"/>
  <c r="AD126" s="1"/>
  <c r="AC78"/>
  <c r="AC126" s="1"/>
  <c r="AB78"/>
  <c r="AB126" s="1"/>
  <c r="AA78"/>
  <c r="AA126" s="1"/>
  <c r="Z78"/>
  <c r="Z126" s="1"/>
  <c r="Y78"/>
  <c r="Y126" s="1"/>
  <c r="X78"/>
  <c r="X126" s="1"/>
  <c r="W78"/>
  <c r="W126" s="1"/>
  <c r="V78"/>
  <c r="V126" s="1"/>
  <c r="U78"/>
  <c r="U126" s="1"/>
  <c r="T78"/>
  <c r="T126" s="1"/>
  <c r="S78"/>
  <c r="S126" s="1"/>
  <c r="R78"/>
  <c r="R126" s="1"/>
  <c r="Q78"/>
  <c r="Q126" s="1"/>
  <c r="P78"/>
  <c r="P126" s="1"/>
  <c r="O78"/>
  <c r="O126" s="1"/>
  <c r="N78"/>
  <c r="N126" s="1"/>
  <c r="M78"/>
  <c r="M126" s="1"/>
  <c r="L78"/>
  <c r="L126" s="1"/>
  <c r="K78"/>
  <c r="K126" s="1"/>
  <c r="J78"/>
  <c r="J126" s="1"/>
  <c r="I78"/>
  <c r="I126" s="1"/>
  <c r="H78"/>
  <c r="H126" s="1"/>
  <c r="G78"/>
  <c r="G126" s="1"/>
  <c r="F78"/>
  <c r="F126" s="1"/>
  <c r="AI76"/>
  <c r="AH76"/>
  <c r="AG76"/>
  <c r="AF76"/>
  <c r="AE76"/>
  <c r="AD76"/>
  <c r="AC76"/>
  <c r="AB76"/>
  <c r="AA76"/>
  <c r="Z76"/>
  <c r="Y76"/>
  <c r="X76"/>
  <c r="W76"/>
  <c r="V76"/>
  <c r="U76"/>
  <c r="T76"/>
  <c r="S76"/>
  <c r="R76"/>
  <c r="Q76"/>
  <c r="P76"/>
  <c r="O76"/>
  <c r="N76"/>
  <c r="M76"/>
  <c r="L76"/>
  <c r="K76"/>
  <c r="J76"/>
  <c r="I76"/>
  <c r="H76"/>
  <c r="G76"/>
  <c r="F76"/>
  <c r="AI75"/>
  <c r="AH75"/>
  <c r="AG75"/>
  <c r="AF75"/>
  <c r="AE75"/>
  <c r="AD75"/>
  <c r="AC75"/>
  <c r="AB75"/>
  <c r="AA75"/>
  <c r="Z75"/>
  <c r="Y75"/>
  <c r="X75"/>
  <c r="W75"/>
  <c r="V75"/>
  <c r="U75"/>
  <c r="T75"/>
  <c r="S75"/>
  <c r="R75"/>
  <c r="Q75"/>
  <c r="P75"/>
  <c r="O75"/>
  <c r="N75"/>
  <c r="M75"/>
  <c r="L75"/>
  <c r="K75"/>
  <c r="J75"/>
  <c r="I75"/>
  <c r="H75"/>
  <c r="G75"/>
  <c r="F75"/>
  <c r="AI74"/>
  <c r="AH74"/>
  <c r="AG74"/>
  <c r="AF74"/>
  <c r="AE74"/>
  <c r="AD74"/>
  <c r="AC74"/>
  <c r="AB74"/>
  <c r="AA74"/>
  <c r="Z74"/>
  <c r="Y74"/>
  <c r="X74"/>
  <c r="W74"/>
  <c r="V74"/>
  <c r="U74"/>
  <c r="T74"/>
  <c r="S74"/>
  <c r="R74"/>
  <c r="Q74"/>
  <c r="P74"/>
  <c r="O74"/>
  <c r="N74"/>
  <c r="M74"/>
  <c r="L74"/>
  <c r="K74"/>
  <c r="J74"/>
  <c r="I74"/>
  <c r="H74"/>
  <c r="G74"/>
  <c r="F74"/>
  <c r="AI73"/>
  <c r="AH73"/>
  <c r="AG73"/>
  <c r="AF73"/>
  <c r="AE73"/>
  <c r="AD73"/>
  <c r="AC73"/>
  <c r="AB73"/>
  <c r="AA73"/>
  <c r="Z73"/>
  <c r="Y73"/>
  <c r="X73"/>
  <c r="W73"/>
  <c r="V73"/>
  <c r="U73"/>
  <c r="T73"/>
  <c r="S73"/>
  <c r="R73"/>
  <c r="Q73"/>
  <c r="P73"/>
  <c r="O73"/>
  <c r="N73"/>
  <c r="M73"/>
  <c r="L73"/>
  <c r="K73"/>
  <c r="J73"/>
  <c r="I73"/>
  <c r="H73"/>
  <c r="G73"/>
  <c r="F73"/>
  <c r="AI72"/>
  <c r="AI120" s="1"/>
  <c r="AH72"/>
  <c r="AH120" s="1"/>
  <c r="AG72"/>
  <c r="AG120" s="1"/>
  <c r="AF72"/>
  <c r="AF120" s="1"/>
  <c r="AE72"/>
  <c r="AE120" s="1"/>
  <c r="AD72"/>
  <c r="AD120" s="1"/>
  <c r="AC72"/>
  <c r="AC120" s="1"/>
  <c r="AB72"/>
  <c r="AB120" s="1"/>
  <c r="AA72"/>
  <c r="AA120" s="1"/>
  <c r="Z72"/>
  <c r="Z120" s="1"/>
  <c r="Y72"/>
  <c r="Y120" s="1"/>
  <c r="X72"/>
  <c r="X120" s="1"/>
  <c r="W72"/>
  <c r="W120" s="1"/>
  <c r="V72"/>
  <c r="V120" s="1"/>
  <c r="U72"/>
  <c r="U120" s="1"/>
  <c r="T72"/>
  <c r="T120" s="1"/>
  <c r="S72"/>
  <c r="S120" s="1"/>
  <c r="R72"/>
  <c r="R120" s="1"/>
  <c r="Q72"/>
  <c r="Q120" s="1"/>
  <c r="P72"/>
  <c r="P120" s="1"/>
  <c r="O72"/>
  <c r="O120" s="1"/>
  <c r="N72"/>
  <c r="N120" s="1"/>
  <c r="M72"/>
  <c r="M120" s="1"/>
  <c r="L72"/>
  <c r="L120" s="1"/>
  <c r="K72"/>
  <c r="K120" s="1"/>
  <c r="J72"/>
  <c r="J120" s="1"/>
  <c r="I72"/>
  <c r="I120" s="1"/>
  <c r="H72"/>
  <c r="H120" s="1"/>
  <c r="G72"/>
  <c r="G120" s="1"/>
  <c r="F72"/>
  <c r="F120" s="1"/>
  <c r="AI70"/>
  <c r="AH70"/>
  <c r="AG70"/>
  <c r="AF70"/>
  <c r="AE70"/>
  <c r="AD70"/>
  <c r="AC70"/>
  <c r="AB70"/>
  <c r="AA70"/>
  <c r="Z70"/>
  <c r="Y70"/>
  <c r="X70"/>
  <c r="W70"/>
  <c r="V70"/>
  <c r="U70"/>
  <c r="T70"/>
  <c r="S70"/>
  <c r="R70"/>
  <c r="Q70"/>
  <c r="P70"/>
  <c r="O70"/>
  <c r="N70"/>
  <c r="M70"/>
  <c r="L70"/>
  <c r="K70"/>
  <c r="J70"/>
  <c r="I70"/>
  <c r="H70"/>
  <c r="G70"/>
  <c r="F70"/>
  <c r="AI69"/>
  <c r="AH69"/>
  <c r="AG69"/>
  <c r="AF69"/>
  <c r="AE69"/>
  <c r="AD69"/>
  <c r="AC69"/>
  <c r="AB69"/>
  <c r="AA69"/>
  <c r="Z69"/>
  <c r="Y69"/>
  <c r="X69"/>
  <c r="W69"/>
  <c r="V69"/>
  <c r="U69"/>
  <c r="T69"/>
  <c r="S69"/>
  <c r="R69"/>
  <c r="Q69"/>
  <c r="P69"/>
  <c r="O69"/>
  <c r="N69"/>
  <c r="M69"/>
  <c r="L69"/>
  <c r="K69"/>
  <c r="J69"/>
  <c r="I69"/>
  <c r="H69"/>
  <c r="G69"/>
  <c r="F69"/>
  <c r="AI68"/>
  <c r="AH68"/>
  <c r="AG68"/>
  <c r="AF68"/>
  <c r="AE68"/>
  <c r="AD68"/>
  <c r="AC68"/>
  <c r="AB68"/>
  <c r="AA68"/>
  <c r="Z68"/>
  <c r="Y68"/>
  <c r="X68"/>
  <c r="W68"/>
  <c r="V68"/>
  <c r="U68"/>
  <c r="T68"/>
  <c r="S68"/>
  <c r="R68"/>
  <c r="Q68"/>
  <c r="P68"/>
  <c r="O68"/>
  <c r="N68"/>
  <c r="M68"/>
  <c r="L68"/>
  <c r="K68"/>
  <c r="J68"/>
  <c r="I68"/>
  <c r="H68"/>
  <c r="G68"/>
  <c r="F68"/>
  <c r="AI67"/>
  <c r="AH67"/>
  <c r="AG67"/>
  <c r="AF67"/>
  <c r="AE67"/>
  <c r="AD67"/>
  <c r="AC67"/>
  <c r="AB67"/>
  <c r="AA67"/>
  <c r="Z67"/>
  <c r="Y67"/>
  <c r="X67"/>
  <c r="W67"/>
  <c r="V67"/>
  <c r="U67"/>
  <c r="T67"/>
  <c r="S67"/>
  <c r="R67"/>
  <c r="Q67"/>
  <c r="P67"/>
  <c r="O67"/>
  <c r="N67"/>
  <c r="M67"/>
  <c r="L67"/>
  <c r="K67"/>
  <c r="J67"/>
  <c r="I67"/>
  <c r="H67"/>
  <c r="G67"/>
  <c r="F67"/>
  <c r="AI66"/>
  <c r="AI114" s="1"/>
  <c r="AH66"/>
  <c r="AH114" s="1"/>
  <c r="AG66"/>
  <c r="AG114" s="1"/>
  <c r="AF66"/>
  <c r="AF114" s="1"/>
  <c r="AE66"/>
  <c r="AE114" s="1"/>
  <c r="AD66"/>
  <c r="AD114" s="1"/>
  <c r="AC66"/>
  <c r="AC114" s="1"/>
  <c r="AB66"/>
  <c r="AB114" s="1"/>
  <c r="AA66"/>
  <c r="AA114" s="1"/>
  <c r="Z66"/>
  <c r="Z114" s="1"/>
  <c r="Y66"/>
  <c r="Y114" s="1"/>
  <c r="X66"/>
  <c r="X114" s="1"/>
  <c r="W66"/>
  <c r="W114" s="1"/>
  <c r="V66"/>
  <c r="V114" s="1"/>
  <c r="U66"/>
  <c r="U114" s="1"/>
  <c r="T66"/>
  <c r="T114" s="1"/>
  <c r="S66"/>
  <c r="S114" s="1"/>
  <c r="R66"/>
  <c r="R114" s="1"/>
  <c r="Q66"/>
  <c r="Q114" s="1"/>
  <c r="P66"/>
  <c r="P114" s="1"/>
  <c r="O66"/>
  <c r="O114" s="1"/>
  <c r="N66"/>
  <c r="N114" s="1"/>
  <c r="M66"/>
  <c r="M114" s="1"/>
  <c r="L66"/>
  <c r="L114" s="1"/>
  <c r="K66"/>
  <c r="K114" s="1"/>
  <c r="J66"/>
  <c r="J114" s="1"/>
  <c r="I66"/>
  <c r="I114" s="1"/>
  <c r="H66"/>
  <c r="H114" s="1"/>
  <c r="G66"/>
  <c r="G114" s="1"/>
  <c r="F66"/>
  <c r="F114" s="1"/>
  <c r="AI64"/>
  <c r="AH64"/>
  <c r="AG64"/>
  <c r="AF64"/>
  <c r="AE64"/>
  <c r="AD64"/>
  <c r="AC64"/>
  <c r="AB64"/>
  <c r="AA64"/>
  <c r="Z64"/>
  <c r="Y64"/>
  <c r="X64"/>
  <c r="W64"/>
  <c r="V64"/>
  <c r="U64"/>
  <c r="T64"/>
  <c r="S64"/>
  <c r="R64"/>
  <c r="Q64"/>
  <c r="P64"/>
  <c r="O64"/>
  <c r="N64"/>
  <c r="M64"/>
  <c r="L64"/>
  <c r="K64"/>
  <c r="J64"/>
  <c r="I64"/>
  <c r="H64"/>
  <c r="G64"/>
  <c r="F64"/>
  <c r="AI63"/>
  <c r="AH63"/>
  <c r="AG63"/>
  <c r="AF63"/>
  <c r="AE63"/>
  <c r="AD63"/>
  <c r="AC63"/>
  <c r="AB63"/>
  <c r="AA63"/>
  <c r="Z63"/>
  <c r="Y63"/>
  <c r="X63"/>
  <c r="W63"/>
  <c r="V63"/>
  <c r="U63"/>
  <c r="T63"/>
  <c r="S63"/>
  <c r="R63"/>
  <c r="Q63"/>
  <c r="P63"/>
  <c r="O63"/>
  <c r="N63"/>
  <c r="M63"/>
  <c r="L63"/>
  <c r="K63"/>
  <c r="J63"/>
  <c r="I63"/>
  <c r="H63"/>
  <c r="G63"/>
  <c r="F63"/>
  <c r="AI62"/>
  <c r="AH62"/>
  <c r="AG62"/>
  <c r="AF62"/>
  <c r="AE62"/>
  <c r="AD62"/>
  <c r="AC62"/>
  <c r="AB62"/>
  <c r="AA62"/>
  <c r="Z62"/>
  <c r="Y62"/>
  <c r="X62"/>
  <c r="W62"/>
  <c r="V62"/>
  <c r="U62"/>
  <c r="T62"/>
  <c r="S62"/>
  <c r="R62"/>
  <c r="Q62"/>
  <c r="P62"/>
  <c r="O62"/>
  <c r="N62"/>
  <c r="M62"/>
  <c r="L62"/>
  <c r="K62"/>
  <c r="J62"/>
  <c r="I62"/>
  <c r="H62"/>
  <c r="G62"/>
  <c r="F62"/>
  <c r="AI61"/>
  <c r="AH61"/>
  <c r="AG61"/>
  <c r="AF61"/>
  <c r="AE61"/>
  <c r="AD61"/>
  <c r="AC61"/>
  <c r="AB61"/>
  <c r="AA61"/>
  <c r="Z61"/>
  <c r="Y61"/>
  <c r="X61"/>
  <c r="W61"/>
  <c r="V61"/>
  <c r="U61"/>
  <c r="T61"/>
  <c r="S61"/>
  <c r="R61"/>
  <c r="Q61"/>
  <c r="P61"/>
  <c r="O61"/>
  <c r="N61"/>
  <c r="M61"/>
  <c r="L61"/>
  <c r="K61"/>
  <c r="J61"/>
  <c r="I61"/>
  <c r="H61"/>
  <c r="G61"/>
  <c r="F61"/>
  <c r="AI60"/>
  <c r="AI108" s="1"/>
  <c r="AH60"/>
  <c r="AH108" s="1"/>
  <c r="AG60"/>
  <c r="AG108" s="1"/>
  <c r="AF60"/>
  <c r="AF108" s="1"/>
  <c r="AE60"/>
  <c r="AE108" s="1"/>
  <c r="AD60"/>
  <c r="AD108" s="1"/>
  <c r="AC60"/>
  <c r="AC108" s="1"/>
  <c r="AB60"/>
  <c r="AB108" s="1"/>
  <c r="AA60"/>
  <c r="AA108" s="1"/>
  <c r="Z60"/>
  <c r="Z108" s="1"/>
  <c r="Y60"/>
  <c r="Y108" s="1"/>
  <c r="X60"/>
  <c r="X108" s="1"/>
  <c r="W60"/>
  <c r="W108" s="1"/>
  <c r="V60"/>
  <c r="V108" s="1"/>
  <c r="U60"/>
  <c r="U108" s="1"/>
  <c r="T60"/>
  <c r="T108" s="1"/>
  <c r="S60"/>
  <c r="S108" s="1"/>
  <c r="R60"/>
  <c r="R108" s="1"/>
  <c r="Q60"/>
  <c r="Q108" s="1"/>
  <c r="P60"/>
  <c r="P108" s="1"/>
  <c r="O60"/>
  <c r="O108" s="1"/>
  <c r="N60"/>
  <c r="N108" s="1"/>
  <c r="M60"/>
  <c r="M108" s="1"/>
  <c r="L60"/>
  <c r="L108" s="1"/>
  <c r="K60"/>
  <c r="K108" s="1"/>
  <c r="J60"/>
  <c r="J108" s="1"/>
  <c r="I60"/>
  <c r="I108" s="1"/>
  <c r="H60"/>
  <c r="H108" s="1"/>
  <c r="G60"/>
  <c r="G108" s="1"/>
  <c r="F60"/>
  <c r="F108" s="1"/>
  <c r="AI58"/>
  <c r="AH58"/>
  <c r="AG58"/>
  <c r="AF58"/>
  <c r="AE58"/>
  <c r="AD58"/>
  <c r="AC58"/>
  <c r="AB58"/>
  <c r="AA58"/>
  <c r="Z58"/>
  <c r="Y58"/>
  <c r="X58"/>
  <c r="W58"/>
  <c r="V58"/>
  <c r="U58"/>
  <c r="T58"/>
  <c r="S58"/>
  <c r="R58"/>
  <c r="Q58"/>
  <c r="P58"/>
  <c r="O58"/>
  <c r="N58"/>
  <c r="M58"/>
  <c r="L58"/>
  <c r="K58"/>
  <c r="J58"/>
  <c r="I58"/>
  <c r="H58"/>
  <c r="G58"/>
  <c r="F58"/>
  <c r="AI57"/>
  <c r="AH57"/>
  <c r="AG57"/>
  <c r="AF57"/>
  <c r="AE57"/>
  <c r="AD57"/>
  <c r="AC57"/>
  <c r="AB57"/>
  <c r="AA57"/>
  <c r="Z57"/>
  <c r="Y57"/>
  <c r="X57"/>
  <c r="W57"/>
  <c r="V57"/>
  <c r="U57"/>
  <c r="T57"/>
  <c r="S57"/>
  <c r="R57"/>
  <c r="Q57"/>
  <c r="P57"/>
  <c r="O57"/>
  <c r="N57"/>
  <c r="M57"/>
  <c r="L57"/>
  <c r="K57"/>
  <c r="J57"/>
  <c r="I57"/>
  <c r="H57"/>
  <c r="G57"/>
  <c r="F57"/>
  <c r="AI56"/>
  <c r="AH56"/>
  <c r="AG56"/>
  <c r="AF56"/>
  <c r="AE56"/>
  <c r="AD56"/>
  <c r="AC56"/>
  <c r="AB56"/>
  <c r="AA56"/>
  <c r="Z56"/>
  <c r="Y56"/>
  <c r="X56"/>
  <c r="W56"/>
  <c r="V56"/>
  <c r="U56"/>
  <c r="T56"/>
  <c r="S56"/>
  <c r="R56"/>
  <c r="Q56"/>
  <c r="P56"/>
  <c r="O56"/>
  <c r="N56"/>
  <c r="M56"/>
  <c r="L56"/>
  <c r="K56"/>
  <c r="J56"/>
  <c r="I56"/>
  <c r="H56"/>
  <c r="G56"/>
  <c r="F56"/>
  <c r="AI55"/>
  <c r="AH55"/>
  <c r="AG55"/>
  <c r="AF55"/>
  <c r="AE55"/>
  <c r="AD55"/>
  <c r="AC55"/>
  <c r="AB55"/>
  <c r="AA55"/>
  <c r="Z55"/>
  <c r="Y55"/>
  <c r="X55"/>
  <c r="W55"/>
  <c r="V55"/>
  <c r="U55"/>
  <c r="T55"/>
  <c r="S55"/>
  <c r="R55"/>
  <c r="Q55"/>
  <c r="P55"/>
  <c r="O55"/>
  <c r="N55"/>
  <c r="M55"/>
  <c r="L55"/>
  <c r="K55"/>
  <c r="J55"/>
  <c r="I55"/>
  <c r="H55"/>
  <c r="G55"/>
  <c r="F55"/>
  <c r="AI54"/>
  <c r="AI102" s="1"/>
  <c r="AH54"/>
  <c r="AH102" s="1"/>
  <c r="AG54"/>
  <c r="AG102" s="1"/>
  <c r="AF54"/>
  <c r="AF102" s="1"/>
  <c r="AE54"/>
  <c r="AE102" s="1"/>
  <c r="AD54"/>
  <c r="AD102" s="1"/>
  <c r="AC54"/>
  <c r="AC102" s="1"/>
  <c r="AB54"/>
  <c r="AB102" s="1"/>
  <c r="AA54"/>
  <c r="AA102" s="1"/>
  <c r="Z54"/>
  <c r="Z102" s="1"/>
  <c r="Y54"/>
  <c r="Y102" s="1"/>
  <c r="X54"/>
  <c r="X102" s="1"/>
  <c r="W54"/>
  <c r="W102" s="1"/>
  <c r="V54"/>
  <c r="V102" s="1"/>
  <c r="U54"/>
  <c r="U102" s="1"/>
  <c r="T54"/>
  <c r="T102" s="1"/>
  <c r="S54"/>
  <c r="S102" s="1"/>
  <c r="R54"/>
  <c r="R102" s="1"/>
  <c r="Q54"/>
  <c r="Q102" s="1"/>
  <c r="P54"/>
  <c r="P102" s="1"/>
  <c r="O54"/>
  <c r="O102" s="1"/>
  <c r="N54"/>
  <c r="N102" s="1"/>
  <c r="M54"/>
  <c r="M102" s="1"/>
  <c r="L54"/>
  <c r="L102" s="1"/>
  <c r="K54"/>
  <c r="K102" s="1"/>
  <c r="J54"/>
  <c r="J102" s="1"/>
  <c r="I54"/>
  <c r="I102" s="1"/>
  <c r="H54"/>
  <c r="H102" s="1"/>
  <c r="G54"/>
  <c r="G102" s="1"/>
  <c r="F54"/>
  <c r="F102" s="1"/>
  <c r="AI52"/>
  <c r="AH52"/>
  <c r="AG52"/>
  <c r="AF52"/>
  <c r="AE52"/>
  <c r="AD52"/>
  <c r="AC52"/>
  <c r="AB52"/>
  <c r="AA52"/>
  <c r="Z52"/>
  <c r="Y52"/>
  <c r="X52"/>
  <c r="W52"/>
  <c r="V52"/>
  <c r="U52"/>
  <c r="T52"/>
  <c r="S52"/>
  <c r="R52"/>
  <c r="Q52"/>
  <c r="P52"/>
  <c r="O52"/>
  <c r="N52"/>
  <c r="M52"/>
  <c r="L52"/>
  <c r="K52"/>
  <c r="J52"/>
  <c r="I52"/>
  <c r="H52"/>
  <c r="G52"/>
  <c r="F52"/>
  <c r="AI51"/>
  <c r="AH51"/>
  <c r="AG51"/>
  <c r="AF51"/>
  <c r="AE51"/>
  <c r="AD51"/>
  <c r="AC51"/>
  <c r="AB51"/>
  <c r="AA51"/>
  <c r="Z51"/>
  <c r="Y51"/>
  <c r="X51"/>
  <c r="W51"/>
  <c r="V51"/>
  <c r="U51"/>
  <c r="T51"/>
  <c r="S51"/>
  <c r="R51"/>
  <c r="Q51"/>
  <c r="P51"/>
  <c r="O51"/>
  <c r="N51"/>
  <c r="M51"/>
  <c r="L51"/>
  <c r="K51"/>
  <c r="J51"/>
  <c r="I51"/>
  <c r="H51"/>
  <c r="G51"/>
  <c r="F51"/>
  <c r="AI50"/>
  <c r="AH50"/>
  <c r="AG50"/>
  <c r="AF50"/>
  <c r="AE50"/>
  <c r="AD50"/>
  <c r="AC50"/>
  <c r="AB50"/>
  <c r="AA50"/>
  <c r="Z50"/>
  <c r="Y50"/>
  <c r="X50"/>
  <c r="W50"/>
  <c r="V50"/>
  <c r="U50"/>
  <c r="T50"/>
  <c r="S50"/>
  <c r="R50"/>
  <c r="Q50"/>
  <c r="P50"/>
  <c r="O50"/>
  <c r="N50"/>
  <c r="M50"/>
  <c r="L50"/>
  <c r="K50"/>
  <c r="J50"/>
  <c r="I50"/>
  <c r="H50"/>
  <c r="G50"/>
  <c r="F50"/>
  <c r="AI49"/>
  <c r="AH49"/>
  <c r="AG49"/>
  <c r="AF49"/>
  <c r="AE49"/>
  <c r="AD49"/>
  <c r="AC49"/>
  <c r="AB49"/>
  <c r="AA49"/>
  <c r="Z49"/>
  <c r="Y49"/>
  <c r="X49"/>
  <c r="W49"/>
  <c r="V49"/>
  <c r="U49"/>
  <c r="T49"/>
  <c r="S49"/>
  <c r="R49"/>
  <c r="Q49"/>
  <c r="P49"/>
  <c r="O49"/>
  <c r="N49"/>
  <c r="M49"/>
  <c r="L49"/>
  <c r="K49"/>
  <c r="J49"/>
  <c r="I49"/>
  <c r="H49"/>
  <c r="G49"/>
  <c r="F49"/>
  <c r="AI48"/>
  <c r="AH48"/>
  <c r="AG48"/>
  <c r="AF48"/>
  <c r="AE48"/>
  <c r="AD48"/>
  <c r="AC48"/>
  <c r="AB48"/>
  <c r="AA48"/>
  <c r="Z48"/>
  <c r="Y48"/>
  <c r="X48"/>
  <c r="W48"/>
  <c r="V48"/>
  <c r="U48"/>
  <c r="T48"/>
  <c r="S48"/>
  <c r="R48"/>
  <c r="Q48"/>
  <c r="P48"/>
  <c r="O48"/>
  <c r="N48"/>
  <c r="M48"/>
  <c r="L48"/>
  <c r="K48"/>
  <c r="J48"/>
  <c r="I48"/>
  <c r="H48"/>
  <c r="G48"/>
  <c r="F48"/>
  <c r="E144"/>
  <c r="E149" s="1"/>
  <c r="E138"/>
  <c r="E143" s="1"/>
  <c r="E132"/>
  <c r="E137" s="1"/>
  <c r="E126"/>
  <c r="E131" s="1"/>
  <c r="E120"/>
  <c r="E125" s="1"/>
  <c r="E114"/>
  <c r="E119" s="1"/>
  <c r="E108"/>
  <c r="E113" s="1"/>
  <c r="AK46"/>
  <c r="AK45"/>
  <c r="AK44"/>
  <c r="AK43"/>
  <c r="AK42"/>
  <c r="AK41"/>
  <c r="AK40"/>
  <c r="AK39"/>
  <c r="AK38"/>
  <c r="AK37"/>
  <c r="AK36"/>
  <c r="AK35"/>
  <c r="AK34"/>
  <c r="AK33"/>
  <c r="AK32"/>
  <c r="AK31"/>
  <c r="AK30"/>
  <c r="AK29"/>
  <c r="AK28"/>
  <c r="AK27"/>
  <c r="AK26"/>
  <c r="AK25"/>
  <c r="AK24"/>
  <c r="AK23"/>
  <c r="AK22"/>
  <c r="AK21"/>
  <c r="AK20"/>
  <c r="AK19"/>
  <c r="AK18"/>
  <c r="AK17"/>
  <c r="AK16"/>
  <c r="AK15"/>
  <c r="AK14"/>
  <c r="AK13"/>
  <c r="AK12"/>
  <c r="AK11"/>
  <c r="AK10"/>
  <c r="AK9"/>
  <c r="AK8"/>
  <c r="AK7"/>
  <c r="AK6"/>
  <c r="AK5"/>
  <c r="AK4"/>
  <c r="AK3"/>
  <c r="AK2"/>
  <c r="E100"/>
  <c r="E99"/>
  <c r="E98"/>
  <c r="E97"/>
  <c r="E96"/>
  <c r="E94"/>
  <c r="E93"/>
  <c r="E92"/>
  <c r="E91"/>
  <c r="E90"/>
  <c r="E88"/>
  <c r="E87"/>
  <c r="E86"/>
  <c r="E85"/>
  <c r="E84"/>
  <c r="E82"/>
  <c r="E81"/>
  <c r="E80"/>
  <c r="E79"/>
  <c r="E78"/>
  <c r="E76"/>
  <c r="E75"/>
  <c r="E74"/>
  <c r="E73"/>
  <c r="E72"/>
  <c r="E70"/>
  <c r="E69"/>
  <c r="E68"/>
  <c r="E67"/>
  <c r="E66"/>
  <c r="E64"/>
  <c r="E63"/>
  <c r="E62"/>
  <c r="E61"/>
  <c r="E60"/>
  <c r="E58"/>
  <c r="E57"/>
  <c r="E56"/>
  <c r="E55"/>
  <c r="E54"/>
  <c r="E102" s="1"/>
  <c r="E107" s="1"/>
  <c r="E52"/>
  <c r="E51"/>
  <c r="E50"/>
  <c r="E49"/>
  <c r="E48"/>
  <c r="D100"/>
  <c r="AK100" s="1"/>
  <c r="D99"/>
  <c r="AK99" s="1"/>
  <c r="D98"/>
  <c r="AK98" s="1"/>
  <c r="D97"/>
  <c r="AK97" s="1"/>
  <c r="D96"/>
  <c r="AK96" s="1"/>
  <c r="D94"/>
  <c r="AK94" s="1"/>
  <c r="D93"/>
  <c r="AK93" s="1"/>
  <c r="D92"/>
  <c r="AK92" s="1"/>
  <c r="D91"/>
  <c r="AK91" s="1"/>
  <c r="D90"/>
  <c r="AK90" s="1"/>
  <c r="D88"/>
  <c r="AK88" s="1"/>
  <c r="D87"/>
  <c r="AK87" s="1"/>
  <c r="D86"/>
  <c r="AK86" s="1"/>
  <c r="D85"/>
  <c r="AK85" s="1"/>
  <c r="D84"/>
  <c r="AK84" s="1"/>
  <c r="D82"/>
  <c r="AK82" s="1"/>
  <c r="D81"/>
  <c r="AK81" s="1"/>
  <c r="D80"/>
  <c r="AK80" s="1"/>
  <c r="D79"/>
  <c r="AK79" s="1"/>
  <c r="D78"/>
  <c r="AK78" s="1"/>
  <c r="D76"/>
  <c r="AK76" s="1"/>
  <c r="D75"/>
  <c r="AK75" s="1"/>
  <c r="D74"/>
  <c r="AK74" s="1"/>
  <c r="D73"/>
  <c r="AK73" s="1"/>
  <c r="D72"/>
  <c r="AK72" s="1"/>
  <c r="D70"/>
  <c r="AK70" s="1"/>
  <c r="D69"/>
  <c r="AK69" s="1"/>
  <c r="D68"/>
  <c r="AK68" s="1"/>
  <c r="D67"/>
  <c r="AK67" s="1"/>
  <c r="D66"/>
  <c r="AK66" s="1"/>
  <c r="D64"/>
  <c r="AK64" s="1"/>
  <c r="D63"/>
  <c r="AK63" s="1"/>
  <c r="D62"/>
  <c r="AK62" s="1"/>
  <c r="D61"/>
  <c r="AK61" s="1"/>
  <c r="D60"/>
  <c r="AK60" s="1"/>
  <c r="D58"/>
  <c r="AK58" s="1"/>
  <c r="D57"/>
  <c r="AK57" s="1"/>
  <c r="D56"/>
  <c r="AK56" s="1"/>
  <c r="D55"/>
  <c r="AK55" s="1"/>
  <c r="D54"/>
  <c r="AK54" s="1"/>
  <c r="D52"/>
  <c r="AK52" s="1"/>
  <c r="D51"/>
  <c r="AK51" s="1"/>
  <c r="D50"/>
  <c r="AK50" s="1"/>
  <c r="D49"/>
  <c r="AK49" s="1"/>
  <c r="D48"/>
  <c r="AK48" s="1"/>
  <c r="B96"/>
  <c r="B90"/>
  <c r="B84"/>
  <c r="B78"/>
  <c r="B72"/>
  <c r="B66"/>
  <c r="B60"/>
  <c r="C149"/>
  <c r="C148"/>
  <c r="C147"/>
  <c r="C146"/>
  <c r="C145"/>
  <c r="C144"/>
  <c r="B144"/>
  <c r="C143"/>
  <c r="C142"/>
  <c r="C141"/>
  <c r="C140"/>
  <c r="C139"/>
  <c r="C138"/>
  <c r="B138"/>
  <c r="C137"/>
  <c r="C136"/>
  <c r="C135"/>
  <c r="C134"/>
  <c r="C133"/>
  <c r="C132"/>
  <c r="B132"/>
  <c r="C131"/>
  <c r="C130"/>
  <c r="C129"/>
  <c r="C128"/>
  <c r="C127"/>
  <c r="C126"/>
  <c r="B126"/>
  <c r="C125"/>
  <c r="C124"/>
  <c r="C123"/>
  <c r="C122"/>
  <c r="C121"/>
  <c r="C120"/>
  <c r="B120"/>
  <c r="C119"/>
  <c r="C118"/>
  <c r="C117"/>
  <c r="C116"/>
  <c r="C115"/>
  <c r="C114"/>
  <c r="B114"/>
  <c r="B108"/>
  <c r="C113"/>
  <c r="C112"/>
  <c r="C111"/>
  <c r="C110"/>
  <c r="C109"/>
  <c r="C108"/>
  <c r="C103"/>
  <c r="C54"/>
  <c r="C102" s="1"/>
  <c r="C49"/>
  <c r="C55" s="1"/>
  <c r="B20"/>
  <c r="B29" s="1"/>
  <c r="B38" s="1"/>
  <c r="B12"/>
  <c r="B21" s="1"/>
  <c r="B30" s="1"/>
  <c r="B39" s="1"/>
  <c r="B3"/>
  <c r="B4" s="1"/>
  <c r="B5" s="1"/>
  <c r="C12"/>
  <c r="C21" s="1"/>
  <c r="C30" s="1"/>
  <c r="C39" s="1"/>
  <c r="C11"/>
  <c r="C20" s="1"/>
  <c r="C29" s="1"/>
  <c r="C38" s="1"/>
  <c r="C4"/>
  <c r="C13" s="1"/>
  <c r="C22" s="1"/>
  <c r="C31" s="1"/>
  <c r="C40" s="1"/>
  <c r="E11" i="2"/>
  <c r="E10"/>
  <c r="E9"/>
  <c r="E8"/>
  <c r="E7"/>
  <c r="E6"/>
  <c r="E5"/>
  <c r="E4"/>
  <c r="F11"/>
  <c r="F5"/>
  <c r="F6" s="1"/>
  <c r="F7" s="1"/>
  <c r="F8" s="1"/>
  <c r="F9" s="1"/>
  <c r="F10" s="1"/>
  <c r="AJ46" i="1"/>
  <c r="AJ45"/>
  <c r="AJ44"/>
  <c r="AJ43"/>
  <c r="AJ42"/>
  <c r="AJ41"/>
  <c r="AJ40"/>
  <c r="AJ39"/>
  <c r="AJ38"/>
  <c r="AJ37"/>
  <c r="AJ36"/>
  <c r="AJ35"/>
  <c r="AJ34"/>
  <c r="AJ33"/>
  <c r="AJ32"/>
  <c r="AJ31"/>
  <c r="AJ30"/>
  <c r="AJ29"/>
  <c r="AJ28"/>
  <c r="AJ27"/>
  <c r="AJ26"/>
  <c r="AJ25"/>
  <c r="AJ24"/>
  <c r="AJ23"/>
  <c r="AJ22"/>
  <c r="AJ21"/>
  <c r="AJ20"/>
  <c r="AJ19"/>
  <c r="AJ18"/>
  <c r="AJ17"/>
  <c r="AJ16"/>
  <c r="AJ15"/>
  <c r="AJ14"/>
  <c r="AJ13"/>
  <c r="AJ12"/>
  <c r="AJ11"/>
  <c r="AJ10"/>
  <c r="AJ9"/>
  <c r="AJ8"/>
  <c r="AJ7"/>
  <c r="AJ6"/>
  <c r="AJ5"/>
  <c r="AJ4"/>
  <c r="AJ3"/>
  <c r="AJ2"/>
  <c r="E1"/>
  <c r="F1" s="1"/>
  <c r="G1" s="1"/>
  <c r="H1" s="1"/>
  <c r="I1" s="1"/>
  <c r="J1" s="1"/>
  <c r="K1" s="1"/>
  <c r="L1" s="1"/>
  <c r="M1" s="1"/>
  <c r="N1" s="1"/>
  <c r="O1" s="1"/>
  <c r="P1" s="1"/>
  <c r="Q1" s="1"/>
  <c r="R1" s="1"/>
  <c r="S1" s="1"/>
  <c r="T1" s="1"/>
  <c r="U1" s="1"/>
  <c r="V1" s="1"/>
  <c r="W1" s="1"/>
  <c r="X1" s="1"/>
  <c r="Y1" s="1"/>
  <c r="Z1" s="1"/>
  <c r="AA1" s="1"/>
  <c r="AB1" s="1"/>
  <c r="AC1" s="1"/>
  <c r="AD1" s="1"/>
  <c r="AE1" s="1"/>
  <c r="AF1" s="1"/>
  <c r="AG1" s="1"/>
  <c r="AH1" s="1"/>
  <c r="AI1" s="1"/>
  <c r="A3"/>
  <c r="A4" s="1"/>
  <c r="A5" s="1"/>
  <c r="A6" s="1"/>
  <c r="A7" s="1"/>
  <c r="A8" s="1"/>
  <c r="A9" s="1"/>
  <c r="A10" s="1"/>
  <c r="A11" s="1"/>
  <c r="A12" s="1"/>
  <c r="A13" s="1"/>
  <c r="A14" s="1"/>
  <c r="A15" s="1"/>
  <c r="A16" s="1"/>
  <c r="A17" s="1"/>
  <c r="A18" s="1"/>
  <c r="A19" s="1"/>
  <c r="A20" s="1"/>
  <c r="A21" s="1"/>
  <c r="A22" s="1"/>
  <c r="A23" s="1"/>
  <c r="A24" s="1"/>
  <c r="A25" s="1"/>
  <c r="A26" s="1"/>
  <c r="A27" s="1"/>
  <c r="A28" s="1"/>
  <c r="A29" s="1"/>
  <c r="A30" s="1"/>
  <c r="A31" s="1"/>
  <c r="A32" s="1"/>
  <c r="A33" s="1"/>
  <c r="A34" s="1"/>
  <c r="A35" s="1"/>
  <c r="A36" s="1"/>
  <c r="A37" s="1"/>
  <c r="A38" s="1"/>
  <c r="A39" s="1"/>
  <c r="A40" s="1"/>
  <c r="A41" s="1"/>
  <c r="A42" s="1"/>
  <c r="A43" s="1"/>
  <c r="A44" s="1"/>
  <c r="A45" s="1"/>
  <c r="A46" s="1"/>
  <c r="F107" l="1"/>
  <c r="F106"/>
  <c r="F105"/>
  <c r="F104"/>
  <c r="F103"/>
  <c r="G107"/>
  <c r="G106"/>
  <c r="G105"/>
  <c r="G104"/>
  <c r="G103"/>
  <c r="H107"/>
  <c r="H106"/>
  <c r="H105"/>
  <c r="H104"/>
  <c r="H103"/>
  <c r="I107"/>
  <c r="I106"/>
  <c r="I105"/>
  <c r="I104"/>
  <c r="I103"/>
  <c r="J107"/>
  <c r="J106"/>
  <c r="J105"/>
  <c r="J104"/>
  <c r="J103"/>
  <c r="K107"/>
  <c r="K106"/>
  <c r="K105"/>
  <c r="K104"/>
  <c r="K103"/>
  <c r="L107"/>
  <c r="L106"/>
  <c r="L105"/>
  <c r="L104"/>
  <c r="L103"/>
  <c r="M107"/>
  <c r="M106"/>
  <c r="M105"/>
  <c r="M104"/>
  <c r="M103"/>
  <c r="N107"/>
  <c r="N106"/>
  <c r="N105"/>
  <c r="N104"/>
  <c r="N103"/>
  <c r="O107"/>
  <c r="O106"/>
  <c r="O105"/>
  <c r="O104"/>
  <c r="O103"/>
  <c r="P107"/>
  <c r="P106"/>
  <c r="P105"/>
  <c r="P104"/>
  <c r="P103"/>
  <c r="Q107"/>
  <c r="Q106"/>
  <c r="Q105"/>
  <c r="Q104"/>
  <c r="Q103"/>
  <c r="R107"/>
  <c r="R106"/>
  <c r="R105"/>
  <c r="R104"/>
  <c r="R103"/>
  <c r="S107"/>
  <c r="S106"/>
  <c r="S105"/>
  <c r="S104"/>
  <c r="S103"/>
  <c r="T107"/>
  <c r="T106"/>
  <c r="T105"/>
  <c r="T104"/>
  <c r="T103"/>
  <c r="U107"/>
  <c r="U106"/>
  <c r="U105"/>
  <c r="U104"/>
  <c r="U103"/>
  <c r="V107"/>
  <c r="V106"/>
  <c r="V105"/>
  <c r="V104"/>
  <c r="V103"/>
  <c r="W107"/>
  <c r="W106"/>
  <c r="W105"/>
  <c r="W104"/>
  <c r="W103"/>
  <c r="X107"/>
  <c r="X106"/>
  <c r="X105"/>
  <c r="X104"/>
  <c r="X103"/>
  <c r="Y107"/>
  <c r="Y106"/>
  <c r="Y105"/>
  <c r="Y104"/>
  <c r="Y103"/>
  <c r="Z107"/>
  <c r="Z106"/>
  <c r="Z105"/>
  <c r="Z104"/>
  <c r="Z103"/>
  <c r="AA107"/>
  <c r="AA106"/>
  <c r="AA105"/>
  <c r="AA104"/>
  <c r="AA103"/>
  <c r="AB107"/>
  <c r="AB106"/>
  <c r="AB105"/>
  <c r="AB104"/>
  <c r="AB103"/>
  <c r="AC107"/>
  <c r="AC106"/>
  <c r="AC105"/>
  <c r="AC104"/>
  <c r="AC103"/>
  <c r="AD107"/>
  <c r="AD106"/>
  <c r="AD105"/>
  <c r="AD104"/>
  <c r="AD103"/>
  <c r="AE107"/>
  <c r="AE106"/>
  <c r="AE105"/>
  <c r="AE104"/>
  <c r="AE103"/>
  <c r="AF107"/>
  <c r="AF106"/>
  <c r="AF105"/>
  <c r="AF104"/>
  <c r="AF103"/>
  <c r="AG107"/>
  <c r="AG106"/>
  <c r="AG105"/>
  <c r="AG104"/>
  <c r="AG103"/>
  <c r="AH107"/>
  <c r="AH106"/>
  <c r="AH105"/>
  <c r="AH104"/>
  <c r="AH103"/>
  <c r="AI107"/>
  <c r="AI106"/>
  <c r="AI105"/>
  <c r="AI104"/>
  <c r="AI103"/>
  <c r="F113"/>
  <c r="F112"/>
  <c r="F111"/>
  <c r="F110"/>
  <c r="F109"/>
  <c r="G113"/>
  <c r="G112"/>
  <c r="G111"/>
  <c r="G110"/>
  <c r="G109"/>
  <c r="H113"/>
  <c r="H112"/>
  <c r="H111"/>
  <c r="H110"/>
  <c r="H109"/>
  <c r="I113"/>
  <c r="I112"/>
  <c r="I111"/>
  <c r="I110"/>
  <c r="I109"/>
  <c r="J113"/>
  <c r="J112"/>
  <c r="J111"/>
  <c r="J110"/>
  <c r="J109"/>
  <c r="K113"/>
  <c r="K112"/>
  <c r="K111"/>
  <c r="K110"/>
  <c r="K109"/>
  <c r="L113"/>
  <c r="L112"/>
  <c r="L111"/>
  <c r="L110"/>
  <c r="L109"/>
  <c r="M113"/>
  <c r="M112"/>
  <c r="M111"/>
  <c r="M110"/>
  <c r="M109"/>
  <c r="N113"/>
  <c r="N112"/>
  <c r="N111"/>
  <c r="N110"/>
  <c r="N109"/>
  <c r="O113"/>
  <c r="O112"/>
  <c r="O111"/>
  <c r="O110"/>
  <c r="O109"/>
  <c r="P113"/>
  <c r="P112"/>
  <c r="P111"/>
  <c r="P110"/>
  <c r="P109"/>
  <c r="Q113"/>
  <c r="Q112"/>
  <c r="Q111"/>
  <c r="Q110"/>
  <c r="Q109"/>
  <c r="R113"/>
  <c r="R112"/>
  <c r="R111"/>
  <c r="R110"/>
  <c r="R109"/>
  <c r="S113"/>
  <c r="S112"/>
  <c r="S111"/>
  <c r="S110"/>
  <c r="S109"/>
  <c r="T113"/>
  <c r="T112"/>
  <c r="T111"/>
  <c r="T110"/>
  <c r="T109"/>
  <c r="U113"/>
  <c r="U112"/>
  <c r="U111"/>
  <c r="U110"/>
  <c r="U109"/>
  <c r="V113"/>
  <c r="V112"/>
  <c r="V111"/>
  <c r="V110"/>
  <c r="V109"/>
  <c r="W113"/>
  <c r="W112"/>
  <c r="W111"/>
  <c r="W110"/>
  <c r="W109"/>
  <c r="X113"/>
  <c r="X112"/>
  <c r="X111"/>
  <c r="X110"/>
  <c r="X109"/>
  <c r="Y113"/>
  <c r="Y112"/>
  <c r="Y111"/>
  <c r="Y110"/>
  <c r="Y109"/>
  <c r="Z113"/>
  <c r="Z112"/>
  <c r="Z111"/>
  <c r="Z110"/>
  <c r="Z109"/>
  <c r="AA113"/>
  <c r="AA112"/>
  <c r="AA111"/>
  <c r="AA110"/>
  <c r="AA109"/>
  <c r="AB113"/>
  <c r="AB112"/>
  <c r="AB111"/>
  <c r="AB110"/>
  <c r="AB109"/>
  <c r="AC113"/>
  <c r="AC112"/>
  <c r="AC111"/>
  <c r="AC110"/>
  <c r="AC109"/>
  <c r="AD113"/>
  <c r="AD112"/>
  <c r="AD111"/>
  <c r="AD110"/>
  <c r="AD109"/>
  <c r="AE113"/>
  <c r="AE112"/>
  <c r="AE111"/>
  <c r="AE110"/>
  <c r="AE109"/>
  <c r="AF113"/>
  <c r="AF112"/>
  <c r="AF111"/>
  <c r="AF110"/>
  <c r="AF109"/>
  <c r="AG113"/>
  <c r="AG112"/>
  <c r="AG111"/>
  <c r="AG110"/>
  <c r="AG109"/>
  <c r="AH113"/>
  <c r="AH112"/>
  <c r="AH111"/>
  <c r="AH110"/>
  <c r="AH109"/>
  <c r="AI113"/>
  <c r="AI112"/>
  <c r="AI111"/>
  <c r="AI110"/>
  <c r="AI109"/>
  <c r="F119"/>
  <c r="F118"/>
  <c r="F117"/>
  <c r="F116"/>
  <c r="F115"/>
  <c r="G119"/>
  <c r="G118"/>
  <c r="G117"/>
  <c r="G116"/>
  <c r="G115"/>
  <c r="H119"/>
  <c r="H118"/>
  <c r="H117"/>
  <c r="H116"/>
  <c r="H115"/>
  <c r="I119"/>
  <c r="I118"/>
  <c r="I117"/>
  <c r="I116"/>
  <c r="I115"/>
  <c r="J119"/>
  <c r="J118"/>
  <c r="J117"/>
  <c r="J116"/>
  <c r="J115"/>
  <c r="K119"/>
  <c r="K118"/>
  <c r="K117"/>
  <c r="K116"/>
  <c r="K115"/>
  <c r="L119"/>
  <c r="L118"/>
  <c r="L117"/>
  <c r="L116"/>
  <c r="L115"/>
  <c r="M119"/>
  <c r="M118"/>
  <c r="M117"/>
  <c r="M116"/>
  <c r="M115"/>
  <c r="N119"/>
  <c r="N118"/>
  <c r="N117"/>
  <c r="N116"/>
  <c r="N115"/>
  <c r="O119"/>
  <c r="O118"/>
  <c r="O117"/>
  <c r="O116"/>
  <c r="O115"/>
  <c r="P119"/>
  <c r="P118"/>
  <c r="P117"/>
  <c r="P116"/>
  <c r="P115"/>
  <c r="Q119"/>
  <c r="Q118"/>
  <c r="Q117"/>
  <c r="Q116"/>
  <c r="Q115"/>
  <c r="R119"/>
  <c r="R118"/>
  <c r="R117"/>
  <c r="R116"/>
  <c r="R115"/>
  <c r="S119"/>
  <c r="S118"/>
  <c r="S117"/>
  <c r="S116"/>
  <c r="S115"/>
  <c r="T119"/>
  <c r="T118"/>
  <c r="T117"/>
  <c r="T116"/>
  <c r="T115"/>
  <c r="U119"/>
  <c r="U118"/>
  <c r="U117"/>
  <c r="U116"/>
  <c r="U115"/>
  <c r="V119"/>
  <c r="V118"/>
  <c r="V117"/>
  <c r="V116"/>
  <c r="V115"/>
  <c r="W119"/>
  <c r="W118"/>
  <c r="W117"/>
  <c r="W116"/>
  <c r="W115"/>
  <c r="X119"/>
  <c r="X118"/>
  <c r="X117"/>
  <c r="X116"/>
  <c r="X115"/>
  <c r="Y119"/>
  <c r="Y118"/>
  <c r="Y117"/>
  <c r="Y116"/>
  <c r="Y115"/>
  <c r="Z119"/>
  <c r="Z118"/>
  <c r="Z117"/>
  <c r="Z116"/>
  <c r="Z115"/>
  <c r="AA119"/>
  <c r="AA118"/>
  <c r="AA117"/>
  <c r="AA116"/>
  <c r="AA115"/>
  <c r="AB119"/>
  <c r="AB118"/>
  <c r="AB117"/>
  <c r="AB116"/>
  <c r="AB115"/>
  <c r="AC119"/>
  <c r="AC118"/>
  <c r="AC117"/>
  <c r="AC116"/>
  <c r="AC115"/>
  <c r="AD119"/>
  <c r="AD118"/>
  <c r="AD117"/>
  <c r="AD116"/>
  <c r="AD115"/>
  <c r="AE119"/>
  <c r="AE118"/>
  <c r="AE117"/>
  <c r="AE116"/>
  <c r="AE115"/>
  <c r="AF119"/>
  <c r="AF118"/>
  <c r="AF117"/>
  <c r="AF116"/>
  <c r="AF115"/>
  <c r="AG119"/>
  <c r="AG118"/>
  <c r="AG117"/>
  <c r="AG116"/>
  <c r="AG115"/>
  <c r="AH119"/>
  <c r="AH118"/>
  <c r="AH117"/>
  <c r="AH116"/>
  <c r="AH115"/>
  <c r="AI119"/>
  <c r="AI118"/>
  <c r="AI117"/>
  <c r="AI116"/>
  <c r="AI115"/>
  <c r="F125"/>
  <c r="F124"/>
  <c r="F123"/>
  <c r="F122"/>
  <c r="F121"/>
  <c r="G125"/>
  <c r="G124"/>
  <c r="G123"/>
  <c r="G122"/>
  <c r="G121"/>
  <c r="H125"/>
  <c r="H124"/>
  <c r="H123"/>
  <c r="H122"/>
  <c r="H121"/>
  <c r="I125"/>
  <c r="I124"/>
  <c r="I123"/>
  <c r="I122"/>
  <c r="I121"/>
  <c r="J125"/>
  <c r="J124"/>
  <c r="J123"/>
  <c r="J122"/>
  <c r="J121"/>
  <c r="K125"/>
  <c r="K124"/>
  <c r="K123"/>
  <c r="K122"/>
  <c r="K121"/>
  <c r="L125"/>
  <c r="L124"/>
  <c r="L123"/>
  <c r="L122"/>
  <c r="L121"/>
  <c r="M125"/>
  <c r="M124"/>
  <c r="M123"/>
  <c r="M122"/>
  <c r="M121"/>
  <c r="N125"/>
  <c r="N124"/>
  <c r="N123"/>
  <c r="N122"/>
  <c r="N121"/>
  <c r="O125"/>
  <c r="O124"/>
  <c r="O123"/>
  <c r="O122"/>
  <c r="O121"/>
  <c r="P125"/>
  <c r="P124"/>
  <c r="P123"/>
  <c r="P122"/>
  <c r="P121"/>
  <c r="Q125"/>
  <c r="Q124"/>
  <c r="Q123"/>
  <c r="Q122"/>
  <c r="Q121"/>
  <c r="R125"/>
  <c r="R124"/>
  <c r="R123"/>
  <c r="R122"/>
  <c r="R121"/>
  <c r="S125"/>
  <c r="S124"/>
  <c r="S123"/>
  <c r="S122"/>
  <c r="S121"/>
  <c r="T125"/>
  <c r="T124"/>
  <c r="T123"/>
  <c r="T122"/>
  <c r="T121"/>
  <c r="U125"/>
  <c r="U124"/>
  <c r="U123"/>
  <c r="U122"/>
  <c r="U121"/>
  <c r="V125"/>
  <c r="V124"/>
  <c r="V123"/>
  <c r="V122"/>
  <c r="V121"/>
  <c r="W125"/>
  <c r="W124"/>
  <c r="W123"/>
  <c r="W122"/>
  <c r="W121"/>
  <c r="X125"/>
  <c r="X124"/>
  <c r="X123"/>
  <c r="X122"/>
  <c r="X121"/>
  <c r="Y125"/>
  <c r="Y124"/>
  <c r="Y123"/>
  <c r="Y122"/>
  <c r="Y121"/>
  <c r="Z125"/>
  <c r="Z124"/>
  <c r="Z123"/>
  <c r="Z122"/>
  <c r="Z121"/>
  <c r="AA125"/>
  <c r="AA124"/>
  <c r="AA123"/>
  <c r="AA122"/>
  <c r="AA121"/>
  <c r="AB125"/>
  <c r="AB124"/>
  <c r="AB123"/>
  <c r="AB122"/>
  <c r="AB121"/>
  <c r="AC125"/>
  <c r="AC124"/>
  <c r="AC123"/>
  <c r="AC122"/>
  <c r="AC121"/>
  <c r="AD125"/>
  <c r="AD124"/>
  <c r="AD123"/>
  <c r="AD122"/>
  <c r="AD121"/>
  <c r="AE125"/>
  <c r="AE124"/>
  <c r="AE123"/>
  <c r="AE122"/>
  <c r="AE121"/>
  <c r="AF125"/>
  <c r="AF124"/>
  <c r="AF123"/>
  <c r="AF122"/>
  <c r="AF121"/>
  <c r="AG125"/>
  <c r="AG124"/>
  <c r="AG123"/>
  <c r="AG122"/>
  <c r="AG121"/>
  <c r="AH125"/>
  <c r="AH124"/>
  <c r="AH123"/>
  <c r="AH122"/>
  <c r="AH121"/>
  <c r="AI125"/>
  <c r="AI124"/>
  <c r="AI123"/>
  <c r="AI122"/>
  <c r="AI121"/>
  <c r="F131"/>
  <c r="F130"/>
  <c r="F129"/>
  <c r="F128"/>
  <c r="F127"/>
  <c r="G131"/>
  <c r="G130"/>
  <c r="G129"/>
  <c r="G128"/>
  <c r="G127"/>
  <c r="H131"/>
  <c r="H130"/>
  <c r="H129"/>
  <c r="H128"/>
  <c r="H127"/>
  <c r="I131"/>
  <c r="I130"/>
  <c r="I129"/>
  <c r="I128"/>
  <c r="I127"/>
  <c r="J131"/>
  <c r="J130"/>
  <c r="J129"/>
  <c r="J128"/>
  <c r="J127"/>
  <c r="K131"/>
  <c r="K130"/>
  <c r="K129"/>
  <c r="K128"/>
  <c r="K127"/>
  <c r="L131"/>
  <c r="L130"/>
  <c r="L129"/>
  <c r="L128"/>
  <c r="L127"/>
  <c r="M131"/>
  <c r="M130"/>
  <c r="M129"/>
  <c r="M128"/>
  <c r="M127"/>
  <c r="N131"/>
  <c r="N130"/>
  <c r="N129"/>
  <c r="N128"/>
  <c r="N127"/>
  <c r="O131"/>
  <c r="O130"/>
  <c r="O129"/>
  <c r="O128"/>
  <c r="O127"/>
  <c r="P131"/>
  <c r="P130"/>
  <c r="P129"/>
  <c r="P128"/>
  <c r="P127"/>
  <c r="Q131"/>
  <c r="Q130"/>
  <c r="Q129"/>
  <c r="Q128"/>
  <c r="Q127"/>
  <c r="R131"/>
  <c r="R130"/>
  <c r="R129"/>
  <c r="R128"/>
  <c r="R127"/>
  <c r="S131"/>
  <c r="S130"/>
  <c r="S129"/>
  <c r="S128"/>
  <c r="S127"/>
  <c r="T131"/>
  <c r="T130"/>
  <c r="T129"/>
  <c r="T128"/>
  <c r="T127"/>
  <c r="U131"/>
  <c r="U130"/>
  <c r="U129"/>
  <c r="U128"/>
  <c r="U127"/>
  <c r="V131"/>
  <c r="V130"/>
  <c r="V129"/>
  <c r="V128"/>
  <c r="V127"/>
  <c r="W131"/>
  <c r="W130"/>
  <c r="W129"/>
  <c r="W128"/>
  <c r="W127"/>
  <c r="X131"/>
  <c r="X130"/>
  <c r="X129"/>
  <c r="X128"/>
  <c r="X127"/>
  <c r="Y131"/>
  <c r="Y130"/>
  <c r="Y129"/>
  <c r="Y128"/>
  <c r="Y127"/>
  <c r="Z131"/>
  <c r="Z130"/>
  <c r="Z129"/>
  <c r="Z128"/>
  <c r="Z127"/>
  <c r="AA131"/>
  <c r="AA130"/>
  <c r="AA129"/>
  <c r="AA128"/>
  <c r="AA127"/>
  <c r="AB131"/>
  <c r="AB130"/>
  <c r="AB129"/>
  <c r="AB128"/>
  <c r="AB127"/>
  <c r="AC131"/>
  <c r="AC130"/>
  <c r="AC129"/>
  <c r="AC128"/>
  <c r="AC127"/>
  <c r="AD131"/>
  <c r="AD130"/>
  <c r="AD129"/>
  <c r="AD128"/>
  <c r="AD127"/>
  <c r="AE131"/>
  <c r="AE130"/>
  <c r="AE129"/>
  <c r="AE128"/>
  <c r="AE127"/>
  <c r="AF131"/>
  <c r="AF130"/>
  <c r="AF129"/>
  <c r="AF128"/>
  <c r="AF127"/>
  <c r="AG131"/>
  <c r="AG130"/>
  <c r="AG129"/>
  <c r="AG128"/>
  <c r="AG127"/>
  <c r="AH131"/>
  <c r="AH130"/>
  <c r="AH129"/>
  <c r="AH128"/>
  <c r="AH127"/>
  <c r="AI131"/>
  <c r="AI130"/>
  <c r="AI129"/>
  <c r="AI128"/>
  <c r="AI127"/>
  <c r="F137"/>
  <c r="F136"/>
  <c r="F135"/>
  <c r="F134"/>
  <c r="F133"/>
  <c r="G137"/>
  <c r="G136"/>
  <c r="G135"/>
  <c r="G134"/>
  <c r="G133"/>
  <c r="H137"/>
  <c r="H136"/>
  <c r="H135"/>
  <c r="H134"/>
  <c r="H133"/>
  <c r="I137"/>
  <c r="I136"/>
  <c r="I135"/>
  <c r="I134"/>
  <c r="I133"/>
  <c r="J137"/>
  <c r="J136"/>
  <c r="J135"/>
  <c r="J134"/>
  <c r="J133"/>
  <c r="K137"/>
  <c r="K136"/>
  <c r="K135"/>
  <c r="K134"/>
  <c r="K133"/>
  <c r="L137"/>
  <c r="L136"/>
  <c r="L135"/>
  <c r="L134"/>
  <c r="L133"/>
  <c r="M137"/>
  <c r="M136"/>
  <c r="M135"/>
  <c r="M134"/>
  <c r="M133"/>
  <c r="N137"/>
  <c r="N136"/>
  <c r="N135"/>
  <c r="N134"/>
  <c r="N133"/>
  <c r="O137"/>
  <c r="O136"/>
  <c r="O135"/>
  <c r="O134"/>
  <c r="O133"/>
  <c r="P137"/>
  <c r="P136"/>
  <c r="P135"/>
  <c r="P134"/>
  <c r="P133"/>
  <c r="Q137"/>
  <c r="Q136"/>
  <c r="Q135"/>
  <c r="Q134"/>
  <c r="Q133"/>
  <c r="R137"/>
  <c r="R136"/>
  <c r="R135"/>
  <c r="R134"/>
  <c r="R133"/>
  <c r="S137"/>
  <c r="S136"/>
  <c r="S135"/>
  <c r="S134"/>
  <c r="S133"/>
  <c r="T137"/>
  <c r="T136"/>
  <c r="T135"/>
  <c r="T134"/>
  <c r="T133"/>
  <c r="U137"/>
  <c r="U136"/>
  <c r="U135"/>
  <c r="U134"/>
  <c r="U133"/>
  <c r="V137"/>
  <c r="V136"/>
  <c r="V135"/>
  <c r="V134"/>
  <c r="V133"/>
  <c r="W137"/>
  <c r="W136"/>
  <c r="W135"/>
  <c r="W134"/>
  <c r="W133"/>
  <c r="X137"/>
  <c r="X136"/>
  <c r="X135"/>
  <c r="X134"/>
  <c r="X133"/>
  <c r="Y137"/>
  <c r="Y136"/>
  <c r="Y135"/>
  <c r="Y134"/>
  <c r="Y133"/>
  <c r="Z137"/>
  <c r="Z136"/>
  <c r="Z135"/>
  <c r="Z134"/>
  <c r="Z133"/>
  <c r="AA137"/>
  <c r="AA136"/>
  <c r="AA135"/>
  <c r="AA134"/>
  <c r="AA133"/>
  <c r="AB137"/>
  <c r="AB136"/>
  <c r="AB135"/>
  <c r="AB134"/>
  <c r="AB133"/>
  <c r="AC137"/>
  <c r="AC136"/>
  <c r="AC135"/>
  <c r="AC134"/>
  <c r="AC133"/>
  <c r="AD137"/>
  <c r="AD136"/>
  <c r="AD135"/>
  <c r="AD134"/>
  <c r="AD133"/>
  <c r="AE137"/>
  <c r="AE136"/>
  <c r="AE135"/>
  <c r="AE134"/>
  <c r="AE133"/>
  <c r="AF137"/>
  <c r="AF136"/>
  <c r="AF135"/>
  <c r="AF134"/>
  <c r="AF133"/>
  <c r="AG137"/>
  <c r="AG136"/>
  <c r="AG135"/>
  <c r="AG134"/>
  <c r="AG133"/>
  <c r="AH137"/>
  <c r="AH136"/>
  <c r="AH135"/>
  <c r="AH134"/>
  <c r="AH133"/>
  <c r="AI137"/>
  <c r="AI136"/>
  <c r="AI135"/>
  <c r="AI134"/>
  <c r="AI133"/>
  <c r="F143"/>
  <c r="F142"/>
  <c r="F141"/>
  <c r="F140"/>
  <c r="F139"/>
  <c r="G143"/>
  <c r="G142"/>
  <c r="G141"/>
  <c r="G140"/>
  <c r="G139"/>
  <c r="H143"/>
  <c r="H142"/>
  <c r="H141"/>
  <c r="H140"/>
  <c r="H139"/>
  <c r="I143"/>
  <c r="I142"/>
  <c r="I141"/>
  <c r="I140"/>
  <c r="I139"/>
  <c r="J143"/>
  <c r="J142"/>
  <c r="J141"/>
  <c r="J140"/>
  <c r="J139"/>
  <c r="K143"/>
  <c r="K142"/>
  <c r="K141"/>
  <c r="K140"/>
  <c r="K139"/>
  <c r="L143"/>
  <c r="L142"/>
  <c r="L141"/>
  <c r="L140"/>
  <c r="L139"/>
  <c r="M143"/>
  <c r="M142"/>
  <c r="M141"/>
  <c r="M140"/>
  <c r="M139"/>
  <c r="N143"/>
  <c r="N142"/>
  <c r="N141"/>
  <c r="N140"/>
  <c r="N139"/>
  <c r="O143"/>
  <c r="O142"/>
  <c r="O141"/>
  <c r="O140"/>
  <c r="O139"/>
  <c r="P143"/>
  <c r="P142"/>
  <c r="P141"/>
  <c r="P140"/>
  <c r="P139"/>
  <c r="Q143"/>
  <c r="Q142"/>
  <c r="Q141"/>
  <c r="Q140"/>
  <c r="Q139"/>
  <c r="R143"/>
  <c r="R142"/>
  <c r="R141"/>
  <c r="R140"/>
  <c r="R139"/>
  <c r="S143"/>
  <c r="S142"/>
  <c r="S141"/>
  <c r="S140"/>
  <c r="S139"/>
  <c r="T143"/>
  <c r="T142"/>
  <c r="T141"/>
  <c r="T140"/>
  <c r="T139"/>
  <c r="U143"/>
  <c r="U142"/>
  <c r="U141"/>
  <c r="U140"/>
  <c r="U139"/>
  <c r="V143"/>
  <c r="V142"/>
  <c r="V141"/>
  <c r="V140"/>
  <c r="V139"/>
  <c r="W143"/>
  <c r="W142"/>
  <c r="W141"/>
  <c r="W140"/>
  <c r="W139"/>
  <c r="X143"/>
  <c r="X142"/>
  <c r="X141"/>
  <c r="X140"/>
  <c r="X139"/>
  <c r="Y143"/>
  <c r="Y142"/>
  <c r="Y141"/>
  <c r="Y140"/>
  <c r="Y139"/>
  <c r="Z143"/>
  <c r="Z142"/>
  <c r="Z141"/>
  <c r="Z140"/>
  <c r="Z139"/>
  <c r="AA143"/>
  <c r="AA142"/>
  <c r="AA141"/>
  <c r="AA140"/>
  <c r="AA139"/>
  <c r="AB143"/>
  <c r="AB142"/>
  <c r="AB141"/>
  <c r="AB140"/>
  <c r="AB139"/>
  <c r="AC143"/>
  <c r="AC142"/>
  <c r="AC141"/>
  <c r="AC140"/>
  <c r="AC139"/>
  <c r="AD143"/>
  <c r="AD142"/>
  <c r="AD141"/>
  <c r="AD140"/>
  <c r="AD139"/>
  <c r="AE143"/>
  <c r="AE142"/>
  <c r="AE141"/>
  <c r="AE140"/>
  <c r="AE139"/>
  <c r="AF143"/>
  <c r="AF142"/>
  <c r="AF141"/>
  <c r="AF140"/>
  <c r="AF139"/>
  <c r="AG143"/>
  <c r="AG142"/>
  <c r="AG141"/>
  <c r="AG140"/>
  <c r="AG139"/>
  <c r="AH143"/>
  <c r="AH142"/>
  <c r="AH141"/>
  <c r="AH140"/>
  <c r="AH139"/>
  <c r="AI143"/>
  <c r="AI142"/>
  <c r="AI141"/>
  <c r="AI140"/>
  <c r="AI139"/>
  <c r="F149"/>
  <c r="F148"/>
  <c r="F147"/>
  <c r="F146"/>
  <c r="F145"/>
  <c r="G149"/>
  <c r="G148"/>
  <c r="G147"/>
  <c r="G146"/>
  <c r="G145"/>
  <c r="H149"/>
  <c r="H148"/>
  <c r="H147"/>
  <c r="H146"/>
  <c r="H145"/>
  <c r="I149"/>
  <c r="I148"/>
  <c r="I147"/>
  <c r="I146"/>
  <c r="I145"/>
  <c r="J149"/>
  <c r="J148"/>
  <c r="J147"/>
  <c r="J146"/>
  <c r="J145"/>
  <c r="K149"/>
  <c r="K148"/>
  <c r="K147"/>
  <c r="K146"/>
  <c r="K145"/>
  <c r="L149"/>
  <c r="L148"/>
  <c r="L147"/>
  <c r="L146"/>
  <c r="L145"/>
  <c r="M149"/>
  <c r="M148"/>
  <c r="M147"/>
  <c r="M146"/>
  <c r="M145"/>
  <c r="N149"/>
  <c r="N148"/>
  <c r="N147"/>
  <c r="N146"/>
  <c r="N145"/>
  <c r="O149"/>
  <c r="O148"/>
  <c r="O147"/>
  <c r="O146"/>
  <c r="O145"/>
  <c r="P149"/>
  <c r="P148"/>
  <c r="P147"/>
  <c r="P146"/>
  <c r="P145"/>
  <c r="Q149"/>
  <c r="Q148"/>
  <c r="Q147"/>
  <c r="Q146"/>
  <c r="Q145"/>
  <c r="R149"/>
  <c r="R148"/>
  <c r="R147"/>
  <c r="R146"/>
  <c r="R145"/>
  <c r="S149"/>
  <c r="S148"/>
  <c r="S147"/>
  <c r="S146"/>
  <c r="S145"/>
  <c r="T149"/>
  <c r="T148"/>
  <c r="T147"/>
  <c r="T146"/>
  <c r="T145"/>
  <c r="U149"/>
  <c r="U148"/>
  <c r="U147"/>
  <c r="U146"/>
  <c r="U145"/>
  <c r="V149"/>
  <c r="V148"/>
  <c r="V147"/>
  <c r="V146"/>
  <c r="V145"/>
  <c r="W149"/>
  <c r="W148"/>
  <c r="W147"/>
  <c r="W146"/>
  <c r="W145"/>
  <c r="X149"/>
  <c r="X148"/>
  <c r="X147"/>
  <c r="X146"/>
  <c r="X145"/>
  <c r="Y149"/>
  <c r="Y148"/>
  <c r="Y147"/>
  <c r="Y146"/>
  <c r="Y145"/>
  <c r="Z149"/>
  <c r="Z148"/>
  <c r="Z147"/>
  <c r="Z146"/>
  <c r="Z145"/>
  <c r="AA149"/>
  <c r="AA148"/>
  <c r="AA147"/>
  <c r="AA146"/>
  <c r="AA145"/>
  <c r="AB149"/>
  <c r="AB148"/>
  <c r="AB147"/>
  <c r="AB146"/>
  <c r="AB145"/>
  <c r="AC149"/>
  <c r="AC148"/>
  <c r="AC147"/>
  <c r="AC146"/>
  <c r="AC145"/>
  <c r="AD149"/>
  <c r="AD148"/>
  <c r="AD147"/>
  <c r="AD146"/>
  <c r="AD145"/>
  <c r="AE149"/>
  <c r="AE148"/>
  <c r="AE147"/>
  <c r="AE146"/>
  <c r="AE145"/>
  <c r="AF149"/>
  <c r="AF148"/>
  <c r="AF147"/>
  <c r="AF146"/>
  <c r="AF145"/>
  <c r="AG149"/>
  <c r="AG148"/>
  <c r="AG147"/>
  <c r="AG146"/>
  <c r="AG145"/>
  <c r="AH149"/>
  <c r="AH148"/>
  <c r="AH147"/>
  <c r="AH146"/>
  <c r="AH145"/>
  <c r="AI149"/>
  <c r="AI148"/>
  <c r="AI147"/>
  <c r="AI146"/>
  <c r="AI145"/>
  <c r="E104"/>
  <c r="E105"/>
  <c r="E106"/>
  <c r="E145"/>
  <c r="E146"/>
  <c r="E147"/>
  <c r="E148"/>
  <c r="E139"/>
  <c r="E140"/>
  <c r="E141"/>
  <c r="E142"/>
  <c r="E133"/>
  <c r="E134"/>
  <c r="E135"/>
  <c r="E136"/>
  <c r="E127"/>
  <c r="E128"/>
  <c r="E129"/>
  <c r="E130"/>
  <c r="E121"/>
  <c r="E122"/>
  <c r="E123"/>
  <c r="E124"/>
  <c r="E115"/>
  <c r="E116"/>
  <c r="E117"/>
  <c r="E118"/>
  <c r="E109"/>
  <c r="E110"/>
  <c r="E111"/>
  <c r="E112"/>
  <c r="D102"/>
  <c r="D108"/>
  <c r="D114"/>
  <c r="D120"/>
  <c r="D126"/>
  <c r="D132"/>
  <c r="D138"/>
  <c r="D144"/>
  <c r="AJ48"/>
  <c r="AL48" s="1"/>
  <c r="B7" i="4" s="1"/>
  <c r="AJ49" i="1"/>
  <c r="AL49" s="1"/>
  <c r="B8" i="4" s="1"/>
  <c r="AJ50" i="1"/>
  <c r="AL50" s="1"/>
  <c r="B9" i="4" s="1"/>
  <c r="AJ51" i="1"/>
  <c r="AL51" s="1"/>
  <c r="B10" i="4" s="1"/>
  <c r="AJ52" i="1"/>
  <c r="AL52" s="1"/>
  <c r="B11" i="4" s="1"/>
  <c r="AJ54" i="1"/>
  <c r="AJ55"/>
  <c r="AJ56"/>
  <c r="AJ57"/>
  <c r="AJ58"/>
  <c r="AJ60"/>
  <c r="AJ61"/>
  <c r="AJ62"/>
  <c r="AJ63"/>
  <c r="AJ64"/>
  <c r="AJ66"/>
  <c r="AJ67"/>
  <c r="AJ68"/>
  <c r="AJ69"/>
  <c r="AJ70"/>
  <c r="AJ72"/>
  <c r="AJ73"/>
  <c r="AJ74"/>
  <c r="AJ75"/>
  <c r="AJ76"/>
  <c r="AJ78"/>
  <c r="AJ79"/>
  <c r="AJ80"/>
  <c r="AJ81"/>
  <c r="AJ82"/>
  <c r="AJ84"/>
  <c r="AJ85"/>
  <c r="AJ86"/>
  <c r="AJ87"/>
  <c r="AJ88"/>
  <c r="AJ90"/>
  <c r="AJ91"/>
  <c r="AJ92"/>
  <c r="AJ93"/>
  <c r="AJ94"/>
  <c r="AJ96"/>
  <c r="AJ97"/>
  <c r="AJ98"/>
  <c r="AJ99"/>
  <c r="AJ100"/>
  <c r="E103"/>
  <c r="D103"/>
  <c r="D104"/>
  <c r="D105"/>
  <c r="D106"/>
  <c r="D145"/>
  <c r="D146"/>
  <c r="D147"/>
  <c r="D148"/>
  <c r="D139"/>
  <c r="D140"/>
  <c r="D141"/>
  <c r="D142"/>
  <c r="D133"/>
  <c r="D134"/>
  <c r="D135"/>
  <c r="D136"/>
  <c r="D127"/>
  <c r="D128"/>
  <c r="D129"/>
  <c r="D130"/>
  <c r="D121"/>
  <c r="D122"/>
  <c r="D123"/>
  <c r="D124"/>
  <c r="D115"/>
  <c r="D116"/>
  <c r="D117"/>
  <c r="D118"/>
  <c r="D109"/>
  <c r="D110"/>
  <c r="D111"/>
  <c r="D112"/>
  <c r="C104"/>
  <c r="C61"/>
  <c r="C5"/>
  <c r="B13"/>
  <c r="C50"/>
  <c r="C60"/>
  <c r="B6"/>
  <c r="A10" i="4" l="1"/>
  <c r="A9"/>
  <c r="A8"/>
  <c r="A7"/>
  <c r="D113" i="1"/>
  <c r="AK112"/>
  <c r="AJ112"/>
  <c r="AL112" s="1"/>
  <c r="D10" i="4" s="1"/>
  <c r="AK111" i="1"/>
  <c r="AJ111"/>
  <c r="AL111" s="1"/>
  <c r="D9" i="4" s="1"/>
  <c r="AK110" i="1"/>
  <c r="AJ110"/>
  <c r="AL110" s="1"/>
  <c r="D8" i="4" s="1"/>
  <c r="AK109" i="1"/>
  <c r="AJ109"/>
  <c r="AL109" s="1"/>
  <c r="D7" i="4" s="1"/>
  <c r="D119" i="1"/>
  <c r="AK118"/>
  <c r="AJ118"/>
  <c r="AL118" s="1"/>
  <c r="E10" i="4" s="1"/>
  <c r="AK117" i="1"/>
  <c r="AJ117"/>
  <c r="AL117" s="1"/>
  <c r="E9" i="4" s="1"/>
  <c r="AK116" i="1"/>
  <c r="AJ116"/>
  <c r="AL116" s="1"/>
  <c r="E8" i="4" s="1"/>
  <c r="AK115" i="1"/>
  <c r="AJ115"/>
  <c r="AL115" s="1"/>
  <c r="E7" i="4" s="1"/>
  <c r="D125" i="1"/>
  <c r="AK124"/>
  <c r="AJ124"/>
  <c r="AL124" s="1"/>
  <c r="F10" i="4" s="1"/>
  <c r="AK123" i="1"/>
  <c r="AJ123"/>
  <c r="AL123" s="1"/>
  <c r="F9" i="4" s="1"/>
  <c r="AK122" i="1"/>
  <c r="AJ122"/>
  <c r="AL122" s="1"/>
  <c r="F8" i="4" s="1"/>
  <c r="AK121" i="1"/>
  <c r="AJ121"/>
  <c r="AL121" s="1"/>
  <c r="F7" i="4" s="1"/>
  <c r="D131" i="1"/>
  <c r="AK130"/>
  <c r="AJ130"/>
  <c r="AL130" s="1"/>
  <c r="G10" i="4" s="1"/>
  <c r="AK129" i="1"/>
  <c r="AJ129"/>
  <c r="AL129" s="1"/>
  <c r="G9" i="4" s="1"/>
  <c r="AK128" i="1"/>
  <c r="AJ128"/>
  <c r="AL128" s="1"/>
  <c r="G8" i="4" s="1"/>
  <c r="AK127" i="1"/>
  <c r="AJ127"/>
  <c r="AL127" s="1"/>
  <c r="G7" i="4" s="1"/>
  <c r="D137" i="1"/>
  <c r="AK136"/>
  <c r="AJ136"/>
  <c r="AL136" s="1"/>
  <c r="H10" i="4" s="1"/>
  <c r="AK135" i="1"/>
  <c r="AJ135"/>
  <c r="AL135" s="1"/>
  <c r="H9" i="4" s="1"/>
  <c r="AK134" i="1"/>
  <c r="AJ134"/>
  <c r="AL134" s="1"/>
  <c r="H8" i="4" s="1"/>
  <c r="AK133" i="1"/>
  <c r="AJ133"/>
  <c r="AL133" s="1"/>
  <c r="H7" i="4" s="1"/>
  <c r="D143" i="1"/>
  <c r="AK142"/>
  <c r="AJ142"/>
  <c r="AL142" s="1"/>
  <c r="I10" i="4" s="1"/>
  <c r="AK141" i="1"/>
  <c r="AJ141"/>
  <c r="AL141" s="1"/>
  <c r="I9" i="4" s="1"/>
  <c r="AK140" i="1"/>
  <c r="AJ140"/>
  <c r="AL140" s="1"/>
  <c r="I8" i="4" s="1"/>
  <c r="AK139" i="1"/>
  <c r="AJ139"/>
  <c r="AL139" s="1"/>
  <c r="I7" i="4" s="1"/>
  <c r="D149" i="1"/>
  <c r="AK148"/>
  <c r="AJ148"/>
  <c r="AL148" s="1"/>
  <c r="J10" i="4" s="1"/>
  <c r="AK147" i="1"/>
  <c r="AJ147"/>
  <c r="AL147" s="1"/>
  <c r="J9" i="4" s="1"/>
  <c r="AK146" i="1"/>
  <c r="AJ146"/>
  <c r="AL146" s="1"/>
  <c r="J8" i="4" s="1"/>
  <c r="AK145" i="1"/>
  <c r="AJ145"/>
  <c r="AL145" s="1"/>
  <c r="J7" i="4" s="1"/>
  <c r="D107" i="1"/>
  <c r="AK106"/>
  <c r="AJ106"/>
  <c r="AL106" s="1"/>
  <c r="C10" i="4" s="1"/>
  <c r="AK105" i="1"/>
  <c r="AJ105"/>
  <c r="AL105" s="1"/>
  <c r="C9" i="4" s="1"/>
  <c r="AK104" i="1"/>
  <c r="AJ104"/>
  <c r="AL104" s="1"/>
  <c r="C8" i="4" s="1"/>
  <c r="AK103" i="1"/>
  <c r="AJ103"/>
  <c r="AL103" s="1"/>
  <c r="C7" i="4" s="1"/>
  <c r="AK144" i="1"/>
  <c r="AJ144"/>
  <c r="AL144" s="1"/>
  <c r="J6" i="4" s="1"/>
  <c r="J5" s="1"/>
  <c r="AK138" i="1"/>
  <c r="AJ138"/>
  <c r="AL138" s="1"/>
  <c r="I6" i="4" s="1"/>
  <c r="I5" s="1"/>
  <c r="AK132" i="1"/>
  <c r="AJ132"/>
  <c r="AL132" s="1"/>
  <c r="H6" i="4" s="1"/>
  <c r="H5" s="1"/>
  <c r="AK126" i="1"/>
  <c r="AJ126"/>
  <c r="AL126" s="1"/>
  <c r="G6" i="4" s="1"/>
  <c r="G5" s="1"/>
  <c r="AK120" i="1"/>
  <c r="AJ120"/>
  <c r="AL120" s="1"/>
  <c r="F6" i="4" s="1"/>
  <c r="F5" s="1"/>
  <c r="AK114" i="1"/>
  <c r="AJ114"/>
  <c r="AL114" s="1"/>
  <c r="E6" i="4" s="1"/>
  <c r="E5" s="1"/>
  <c r="AK108" i="1"/>
  <c r="AJ108"/>
  <c r="AL108" s="1"/>
  <c r="D6" i="4" s="1"/>
  <c r="D5" s="1"/>
  <c r="AK102" i="1"/>
  <c r="AJ102"/>
  <c r="AL102" s="1"/>
  <c r="C6" i="4" s="1"/>
  <c r="C5" s="1"/>
  <c r="C66" i="1"/>
  <c r="C51"/>
  <c r="C56"/>
  <c r="B14"/>
  <c r="B22"/>
  <c r="B31" s="1"/>
  <c r="B40" s="1"/>
  <c r="C6"/>
  <c r="C14"/>
  <c r="C23" s="1"/>
  <c r="C32" s="1"/>
  <c r="C41" s="1"/>
  <c r="C67"/>
  <c r="B7"/>
  <c r="J2" i="4"/>
  <c r="AK107" i="1" l="1"/>
  <c r="AJ107"/>
  <c r="AL107" s="1"/>
  <c r="C11" i="4" s="1"/>
  <c r="AK149" i="1"/>
  <c r="AJ149"/>
  <c r="AL149" s="1"/>
  <c r="J11" i="4" s="1"/>
  <c r="AK143" i="1"/>
  <c r="AJ143"/>
  <c r="AL143" s="1"/>
  <c r="I11" i="4" s="1"/>
  <c r="AK137" i="1"/>
  <c r="AJ137"/>
  <c r="AL137" s="1"/>
  <c r="H11" i="4" s="1"/>
  <c r="AK131" i="1"/>
  <c r="AJ131"/>
  <c r="AL131" s="1"/>
  <c r="G11" i="4" s="1"/>
  <c r="AK125" i="1"/>
  <c r="AJ125"/>
  <c r="AL125" s="1"/>
  <c r="F11" i="4" s="1"/>
  <c r="AK119" i="1"/>
  <c r="AJ119"/>
  <c r="AL119" s="1"/>
  <c r="E11" i="4" s="1"/>
  <c r="AK113" i="1"/>
  <c r="AJ113"/>
  <c r="AL113" s="1"/>
  <c r="D11" i="4" s="1"/>
  <c r="C73" i="1"/>
  <c r="C7"/>
  <c r="C15"/>
  <c r="C24" s="1"/>
  <c r="C33" s="1"/>
  <c r="C42" s="1"/>
  <c r="B23"/>
  <c r="B32" s="1"/>
  <c r="B41" s="1"/>
  <c r="B15"/>
  <c r="C105"/>
  <c r="C62"/>
  <c r="C52"/>
  <c r="C57"/>
  <c r="C72"/>
  <c r="B8"/>
  <c r="G2" i="4"/>
  <c r="C78" i="1" l="1"/>
  <c r="C106"/>
  <c r="C63"/>
  <c r="C58"/>
  <c r="C68"/>
  <c r="B24"/>
  <c r="B33" s="1"/>
  <c r="B42" s="1"/>
  <c r="B16"/>
  <c r="C8"/>
  <c r="C16"/>
  <c r="C25" s="1"/>
  <c r="C34" s="1"/>
  <c r="C43" s="1"/>
  <c r="C79"/>
  <c r="B9"/>
  <c r="C85" l="1"/>
  <c r="C9"/>
  <c r="C17"/>
  <c r="C26" s="1"/>
  <c r="C35" s="1"/>
  <c r="C44" s="1"/>
  <c r="B25"/>
  <c r="B34" s="1"/>
  <c r="B43" s="1"/>
  <c r="B17"/>
  <c r="C74"/>
  <c r="C107"/>
  <c r="C64"/>
  <c r="C69"/>
  <c r="C84"/>
  <c r="B10"/>
  <c r="C90" l="1"/>
  <c r="C75"/>
  <c r="C70"/>
  <c r="C80"/>
  <c r="B26"/>
  <c r="B35" s="1"/>
  <c r="B44" s="1"/>
  <c r="B18"/>
  <c r="C10"/>
  <c r="C19" s="1"/>
  <c r="C28" s="1"/>
  <c r="C37" s="1"/>
  <c r="C46" s="1"/>
  <c r="C18"/>
  <c r="C27" s="1"/>
  <c r="C36" s="1"/>
  <c r="C45" s="1"/>
  <c r="C91"/>
  <c r="C97" l="1"/>
  <c r="B27"/>
  <c r="B36" s="1"/>
  <c r="B45" s="1"/>
  <c r="B19"/>
  <c r="B28" s="1"/>
  <c r="B37" s="1"/>
  <c r="B46" s="1"/>
  <c r="C86"/>
  <c r="C76"/>
  <c r="C81"/>
  <c r="C96"/>
  <c r="C87" l="1"/>
  <c r="C82"/>
  <c r="C92"/>
  <c r="C98" l="1"/>
  <c r="C88"/>
  <c r="C93"/>
  <c r="C99" l="1"/>
  <c r="C94"/>
  <c r="C100" l="1"/>
</calcChain>
</file>

<file path=xl/comments1.xml><?xml version="1.0" encoding="utf-8"?>
<comments xmlns="http://schemas.openxmlformats.org/spreadsheetml/2006/main">
  <authors>
    <author>Author</author>
  </authors>
  <commentList>
    <comment ref="E2" authorId="0">
      <text>
        <r>
          <rPr>
            <b/>
            <sz val="8"/>
            <color indexed="81"/>
            <rFont val="Tahoma"/>
            <family val="2"/>
          </rPr>
          <t>0: No Glass
1: G10</t>
        </r>
        <r>
          <rPr>
            <sz val="8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<sst xmlns="http://schemas.openxmlformats.org/spreadsheetml/2006/main" count="26" uniqueCount="20">
  <si>
    <t>IRDR</t>
  </si>
  <si>
    <t>Index</t>
  </si>
  <si>
    <t>Part #</t>
  </si>
  <si>
    <t>average</t>
  </si>
  <si>
    <t>FW</t>
  </si>
  <si>
    <t>No Glass</t>
  </si>
  <si>
    <t>G10</t>
  </si>
  <si>
    <t>LUT</t>
  </si>
  <si>
    <t>FSR</t>
  </si>
  <si>
    <t>Glass?</t>
  </si>
  <si>
    <t>amb</t>
  </si>
  <si>
    <t>Closed</t>
  </si>
  <si>
    <t>std</t>
  </si>
  <si>
    <t>x</t>
  </si>
  <si>
    <t>y</t>
  </si>
  <si>
    <t>min</t>
  </si>
  <si>
    <t>max</t>
  </si>
  <si>
    <t>Lowest Trip Point=</t>
  </si>
  <si>
    <t>Self Rise=</t>
  </si>
  <si>
    <t>Washout=</t>
  </si>
</sst>
</file>

<file path=xl/styles.xml><?xml version="1.0" encoding="utf-8"?>
<styleSheet xmlns="http://schemas.openxmlformats.org/spreadsheetml/2006/main">
  <numFmts count="2">
    <numFmt numFmtId="164" formatCode="0.0"/>
    <numFmt numFmtId="165" formatCode="0.0%"/>
  </numFmts>
  <fonts count="4">
    <font>
      <sz val="11"/>
      <color theme="1"/>
      <name val="Calibri"/>
      <family val="2"/>
      <scheme val="minor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sz val="12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92D050"/>
        <bgColor indexed="64"/>
      </patternFill>
    </fill>
  </fills>
  <borders count="4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21">
    <xf numFmtId="0" fontId="0" fillId="0" borderId="0" xfId="0"/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164" fontId="0" fillId="0" borderId="0" xfId="0" applyNumberFormat="1" applyAlignment="1">
      <alignment horizontal="center"/>
    </xf>
    <xf numFmtId="165" fontId="0" fillId="0" borderId="0" xfId="0" applyNumberFormat="1" applyAlignment="1">
      <alignment horizontal="center"/>
    </xf>
    <xf numFmtId="2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164" fontId="0" fillId="0" borderId="0" xfId="0" applyNumberFormat="1"/>
    <xf numFmtId="0" fontId="0" fillId="2" borderId="0" xfId="0" applyFill="1" applyAlignment="1">
      <alignment horizontal="center"/>
    </xf>
    <xf numFmtId="164" fontId="0" fillId="3" borderId="0" xfId="0" applyNumberFormat="1" applyFill="1"/>
    <xf numFmtId="0" fontId="3" fillId="4" borderId="1" xfId="0" applyFont="1" applyFill="1" applyBorder="1" applyAlignment="1">
      <alignment horizontal="right"/>
    </xf>
    <xf numFmtId="0" fontId="3" fillId="4" borderId="2" xfId="0" applyFont="1" applyFill="1" applyBorder="1" applyAlignment="1">
      <alignment horizontal="right"/>
    </xf>
    <xf numFmtId="0" fontId="3" fillId="4" borderId="3" xfId="0" applyFont="1" applyFill="1" applyBorder="1" applyAlignment="1">
      <alignment horizontal="left"/>
    </xf>
    <xf numFmtId="164" fontId="3" fillId="4" borderId="3" xfId="0" applyNumberFormat="1" applyFont="1" applyFill="1" applyBorder="1" applyAlignment="1">
      <alignment horizontal="left"/>
    </xf>
    <xf numFmtId="1" fontId="3" fillId="4" borderId="3" xfId="0" applyNumberFormat="1" applyFont="1" applyFill="1" applyBorder="1" applyAlignment="1">
      <alignment horizontal="left"/>
    </xf>
  </cellXfs>
  <cellStyles count="1"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400"/>
            </a:pPr>
            <a:r>
              <a:rPr lang="en-US" sz="1400"/>
              <a:t>Self Rise vs. Ambient &amp; Dark xTalk</a:t>
            </a:r>
          </a:p>
        </c:rich>
      </c:tx>
      <c:layout/>
    </c:title>
    <c:plotArea>
      <c:layout/>
      <c:scatterChart>
        <c:scatterStyle val="lineMarker"/>
        <c:ser>
          <c:idx val="0"/>
          <c:order val="0"/>
          <c:tx>
            <c:strRef>
              <c:f>Calculations!$C$6</c:f>
              <c:strCache>
                <c:ptCount val="1"/>
                <c:pt idx="0">
                  <c:v>84.8</c:v>
                </c:pt>
              </c:strCache>
            </c:strRef>
          </c:tx>
          <c:xVal>
            <c:numRef>
              <c:f>Calculations!$B$7:$B$11</c:f>
              <c:numCache>
                <c:formatCode>0.0</c:formatCode>
                <c:ptCount val="5"/>
                <c:pt idx="0">
                  <c:v>21.607639166513561</c:v>
                </c:pt>
                <c:pt idx="1">
                  <c:v>24.140046301099506</c:v>
                </c:pt>
                <c:pt idx="2">
                  <c:v>32.666665945917849</c:v>
                </c:pt>
                <c:pt idx="3">
                  <c:v>45.872685675776601</c:v>
                </c:pt>
                <c:pt idx="4">
                  <c:v>99.86110963243388</c:v>
                </c:pt>
              </c:numCache>
            </c:numRef>
          </c:xVal>
          <c:yVal>
            <c:numRef>
              <c:f>Calculations!$C$7:$C$11</c:f>
              <c:numCache>
                <c:formatCode>0.0</c:formatCode>
                <c:ptCount val="5"/>
                <c:pt idx="0">
                  <c:v>0</c:v>
                </c:pt>
                <c:pt idx="1">
                  <c:v>1.5833334273823616</c:v>
                </c:pt>
                <c:pt idx="2">
                  <c:v>3.6273148745789916</c:v>
                </c:pt>
                <c:pt idx="3">
                  <c:v>5.1550926041737615</c:v>
                </c:pt>
                <c:pt idx="4">
                  <c:v>9.2349541378401536</c:v>
                </c:pt>
              </c:numCache>
            </c:numRef>
          </c:yVal>
        </c:ser>
        <c:ser>
          <c:idx val="1"/>
          <c:order val="1"/>
          <c:tx>
            <c:strRef>
              <c:f>Calculations!$D$6</c:f>
              <c:strCache>
                <c:ptCount val="1"/>
                <c:pt idx="0">
                  <c:v>160.7</c:v>
                </c:pt>
              </c:strCache>
            </c:strRef>
          </c:tx>
          <c:xVal>
            <c:numRef>
              <c:f>Calculations!$B$7:$B$11</c:f>
              <c:numCache>
                <c:formatCode>0.0</c:formatCode>
                <c:ptCount val="5"/>
                <c:pt idx="0">
                  <c:v>21.607639166513561</c:v>
                </c:pt>
                <c:pt idx="1">
                  <c:v>24.140046301099506</c:v>
                </c:pt>
                <c:pt idx="2">
                  <c:v>32.666665945917849</c:v>
                </c:pt>
                <c:pt idx="3">
                  <c:v>45.872685675776601</c:v>
                </c:pt>
                <c:pt idx="4">
                  <c:v>99.86110963243388</c:v>
                </c:pt>
              </c:numCache>
            </c:numRef>
          </c:xVal>
          <c:yVal>
            <c:numRef>
              <c:f>Calculations!$D$7:$D$11</c:f>
              <c:numCache>
                <c:formatCode>0.0</c:formatCode>
                <c:ptCount val="5"/>
                <c:pt idx="0">
                  <c:v>0</c:v>
                </c:pt>
                <c:pt idx="1">
                  <c:v>2.6921296731193758</c:v>
                </c:pt>
                <c:pt idx="2">
                  <c:v>6.1111112586675311</c:v>
                </c:pt>
                <c:pt idx="3">
                  <c:v>8.840278088108688</c:v>
                </c:pt>
                <c:pt idx="4">
                  <c:v>14.881944676130338</c:v>
                </c:pt>
              </c:numCache>
            </c:numRef>
          </c:yVal>
        </c:ser>
        <c:ser>
          <c:idx val="2"/>
          <c:order val="2"/>
          <c:tx>
            <c:strRef>
              <c:f>Calculations!$E$6</c:f>
              <c:strCache>
                <c:ptCount val="1"/>
                <c:pt idx="0">
                  <c:v>227.6</c:v>
                </c:pt>
              </c:strCache>
            </c:strRef>
          </c:tx>
          <c:xVal>
            <c:numRef>
              <c:f>Calculations!$B$7:$B$11</c:f>
              <c:numCache>
                <c:formatCode>0.0</c:formatCode>
                <c:ptCount val="5"/>
                <c:pt idx="0">
                  <c:v>21.607639166513561</c:v>
                </c:pt>
                <c:pt idx="1">
                  <c:v>24.140046301099506</c:v>
                </c:pt>
                <c:pt idx="2">
                  <c:v>32.666665945917849</c:v>
                </c:pt>
                <c:pt idx="3">
                  <c:v>45.872685675776601</c:v>
                </c:pt>
                <c:pt idx="4">
                  <c:v>99.86110963243388</c:v>
                </c:pt>
              </c:numCache>
            </c:numRef>
          </c:xVal>
          <c:yVal>
            <c:numRef>
              <c:f>Calculations!$E$7:$E$11</c:f>
              <c:numCache>
                <c:formatCode>0.0</c:formatCode>
                <c:ptCount val="5"/>
                <c:pt idx="0">
                  <c:v>0</c:v>
                </c:pt>
                <c:pt idx="1">
                  <c:v>3.7604167014554464</c:v>
                </c:pt>
                <c:pt idx="2">
                  <c:v>8.178240853044878</c:v>
                </c:pt>
                <c:pt idx="3">
                  <c:v>12.177083390900711</c:v>
                </c:pt>
                <c:pt idx="4">
                  <c:v>22.151621078018149</c:v>
                </c:pt>
              </c:numCache>
            </c:numRef>
          </c:yVal>
        </c:ser>
        <c:ser>
          <c:idx val="3"/>
          <c:order val="3"/>
          <c:tx>
            <c:strRef>
              <c:f>Calculations!$F$6</c:f>
              <c:strCache>
                <c:ptCount val="1"/>
                <c:pt idx="0">
                  <c:v>261.3</c:v>
                </c:pt>
              </c:strCache>
            </c:strRef>
          </c:tx>
          <c:xVal>
            <c:numRef>
              <c:f>Calculations!$B$7:$B$11</c:f>
              <c:numCache>
                <c:formatCode>0.0</c:formatCode>
                <c:ptCount val="5"/>
                <c:pt idx="0">
                  <c:v>21.607639166513561</c:v>
                </c:pt>
                <c:pt idx="1">
                  <c:v>24.140046301099506</c:v>
                </c:pt>
                <c:pt idx="2">
                  <c:v>32.666665945917849</c:v>
                </c:pt>
                <c:pt idx="3">
                  <c:v>45.872685675776601</c:v>
                </c:pt>
                <c:pt idx="4">
                  <c:v>99.86110963243388</c:v>
                </c:pt>
              </c:numCache>
            </c:numRef>
          </c:xVal>
          <c:yVal>
            <c:numRef>
              <c:f>Calculations!$F$7:$F$11</c:f>
              <c:numCache>
                <c:formatCode>0.0</c:formatCode>
                <c:ptCount val="5"/>
                <c:pt idx="0">
                  <c:v>0</c:v>
                </c:pt>
                <c:pt idx="1">
                  <c:v>4.2881946022518811</c:v>
                </c:pt>
                <c:pt idx="2">
                  <c:v>9.5763891674384158</c:v>
                </c:pt>
                <c:pt idx="3">
                  <c:v>14.386574502407004</c:v>
                </c:pt>
                <c:pt idx="4">
                  <c:v>27.327547103341203</c:v>
                </c:pt>
              </c:numCache>
            </c:numRef>
          </c:yVal>
        </c:ser>
        <c:ser>
          <c:idx val="4"/>
          <c:order val="4"/>
          <c:tx>
            <c:strRef>
              <c:f>Calculations!$G$6</c:f>
              <c:strCache>
                <c:ptCount val="1"/>
                <c:pt idx="0">
                  <c:v>294.8</c:v>
                </c:pt>
              </c:strCache>
            </c:strRef>
          </c:tx>
          <c:xVal>
            <c:numRef>
              <c:f>Calculations!$B$7:$B$11</c:f>
              <c:numCache>
                <c:formatCode>0.0</c:formatCode>
                <c:ptCount val="5"/>
                <c:pt idx="0">
                  <c:v>21.607639166513561</c:v>
                </c:pt>
                <c:pt idx="1">
                  <c:v>24.140046301099506</c:v>
                </c:pt>
                <c:pt idx="2">
                  <c:v>32.666665945917849</c:v>
                </c:pt>
                <c:pt idx="3">
                  <c:v>45.872685675776601</c:v>
                </c:pt>
                <c:pt idx="4">
                  <c:v>99.86110963243388</c:v>
                </c:pt>
              </c:numCache>
            </c:numRef>
          </c:xVal>
          <c:yVal>
            <c:numRef>
              <c:f>Calculations!$G$7:$G$11</c:f>
              <c:numCache>
                <c:formatCode>0.0</c:formatCode>
                <c:ptCount val="5"/>
                <c:pt idx="0">
                  <c:v>0</c:v>
                </c:pt>
                <c:pt idx="1">
                  <c:v>4.9930558153816182</c:v>
                </c:pt>
                <c:pt idx="2">
                  <c:v>11.032407682182061</c:v>
                </c:pt>
                <c:pt idx="3">
                  <c:v>17.119213532423601</c:v>
                </c:pt>
                <c:pt idx="4">
                  <c:v>34.431713956227114</c:v>
                </c:pt>
              </c:numCache>
            </c:numRef>
          </c:yVal>
        </c:ser>
        <c:ser>
          <c:idx val="5"/>
          <c:order val="5"/>
          <c:tx>
            <c:strRef>
              <c:f>Calculations!$H$6</c:f>
              <c:strCache>
                <c:ptCount val="1"/>
                <c:pt idx="0">
                  <c:v>309.7</c:v>
                </c:pt>
              </c:strCache>
            </c:strRef>
          </c:tx>
          <c:xVal>
            <c:numRef>
              <c:f>Calculations!$B$7:$B$11</c:f>
              <c:numCache>
                <c:formatCode>0.0</c:formatCode>
                <c:ptCount val="5"/>
                <c:pt idx="0">
                  <c:v>21.607639166513561</c:v>
                </c:pt>
                <c:pt idx="1">
                  <c:v>24.140046301099506</c:v>
                </c:pt>
                <c:pt idx="2">
                  <c:v>32.666665945917849</c:v>
                </c:pt>
                <c:pt idx="3">
                  <c:v>45.872685675776601</c:v>
                </c:pt>
                <c:pt idx="4">
                  <c:v>99.86110963243388</c:v>
                </c:pt>
              </c:numCache>
            </c:numRef>
          </c:xVal>
          <c:yVal>
            <c:numRef>
              <c:f>Calculations!$H$7:$H$11</c:f>
              <c:numCache>
                <c:formatCode>0.0</c:formatCode>
                <c:ptCount val="5"/>
                <c:pt idx="0">
                  <c:v>0</c:v>
                </c:pt>
                <c:pt idx="1">
                  <c:v>5.2546298375818878</c:v>
                </c:pt>
                <c:pt idx="2">
                  <c:v>11.797454005443594</c:v>
                </c:pt>
                <c:pt idx="3">
                  <c:v>18.503472627813203</c:v>
                </c:pt>
                <c:pt idx="4">
                  <c:v>38.947918039436139</c:v>
                </c:pt>
              </c:numCache>
            </c:numRef>
          </c:yVal>
        </c:ser>
        <c:ser>
          <c:idx val="6"/>
          <c:order val="6"/>
          <c:tx>
            <c:strRef>
              <c:f>Calculations!$I$6</c:f>
              <c:strCache>
                <c:ptCount val="1"/>
                <c:pt idx="0">
                  <c:v>360.0</c:v>
                </c:pt>
              </c:strCache>
            </c:strRef>
          </c:tx>
          <c:xVal>
            <c:numRef>
              <c:f>Calculations!$B$7:$B$11</c:f>
              <c:numCache>
                <c:formatCode>0.0</c:formatCode>
                <c:ptCount val="5"/>
                <c:pt idx="0">
                  <c:v>21.607639166513561</c:v>
                </c:pt>
                <c:pt idx="1">
                  <c:v>24.140046301099506</c:v>
                </c:pt>
                <c:pt idx="2">
                  <c:v>32.666665945917849</c:v>
                </c:pt>
                <c:pt idx="3">
                  <c:v>45.872685675776601</c:v>
                </c:pt>
                <c:pt idx="4">
                  <c:v>99.86110963243388</c:v>
                </c:pt>
              </c:numCache>
            </c:numRef>
          </c:xVal>
          <c:yVal>
            <c:numRef>
              <c:f>Calculations!$I$7:$I$11</c:f>
              <c:numCache>
                <c:formatCode>0.0</c:formatCode>
                <c:ptCount val="5"/>
                <c:pt idx="0">
                  <c:v>0</c:v>
                </c:pt>
                <c:pt idx="1">
                  <c:v>6.3506947745271543</c:v>
                </c:pt>
                <c:pt idx="2">
                  <c:v>14.128472662640785</c:v>
                </c:pt>
                <c:pt idx="3">
                  <c:v>23.218750611057558</c:v>
                </c:pt>
                <c:pt idx="4">
                  <c:v>54.68865899915626</c:v>
                </c:pt>
              </c:numCache>
            </c:numRef>
          </c:yVal>
        </c:ser>
        <c:ser>
          <c:idx val="7"/>
          <c:order val="7"/>
          <c:tx>
            <c:strRef>
              <c:f>Calculations!$J$6</c:f>
              <c:strCache>
                <c:ptCount val="1"/>
                <c:pt idx="0">
                  <c:v>412.2</c:v>
                </c:pt>
              </c:strCache>
            </c:strRef>
          </c:tx>
          <c:xVal>
            <c:numRef>
              <c:f>Calculations!$B$7:$B$11</c:f>
              <c:numCache>
                <c:formatCode>0.0</c:formatCode>
                <c:ptCount val="5"/>
                <c:pt idx="0">
                  <c:v>21.607639166513561</c:v>
                </c:pt>
                <c:pt idx="1">
                  <c:v>24.140046301099506</c:v>
                </c:pt>
                <c:pt idx="2">
                  <c:v>32.666665945917849</c:v>
                </c:pt>
                <c:pt idx="3">
                  <c:v>45.872685675776601</c:v>
                </c:pt>
                <c:pt idx="4">
                  <c:v>99.86110963243388</c:v>
                </c:pt>
              </c:numCache>
            </c:numRef>
          </c:xVal>
          <c:yVal>
            <c:numRef>
              <c:f>Calculations!$J$7:$J$11</c:f>
              <c:numCache>
                <c:formatCode>0.0</c:formatCode>
                <c:ptCount val="5"/>
                <c:pt idx="0">
                  <c:v>0</c:v>
                </c:pt>
                <c:pt idx="1">
                  <c:v>7.2604167099861012</c:v>
                </c:pt>
                <c:pt idx="2">
                  <c:v>17.67708347482969</c:v>
                </c:pt>
                <c:pt idx="3">
                  <c:v>28.045139837324516</c:v>
                </c:pt>
                <c:pt idx="4">
                  <c:v>71.893520059465018</c:v>
                </c:pt>
              </c:numCache>
            </c:numRef>
          </c:yVal>
        </c:ser>
        <c:axId val="184819072"/>
        <c:axId val="188885632"/>
      </c:scatterChart>
      <c:valAx>
        <c:axId val="184819072"/>
        <c:scaling>
          <c:orientation val="minMax"/>
          <c:max val="100"/>
          <c:min val="20"/>
        </c:scaling>
        <c:axPos val="b"/>
        <c:title>
          <c:tx>
            <c:rich>
              <a:bodyPr/>
              <a:lstStyle/>
              <a:p>
                <a:pPr>
                  <a:defRPr sz="1400" b="0"/>
                </a:pPr>
                <a:r>
                  <a:rPr lang="en-US" sz="1400" b="0"/>
                  <a:t>Ambient (Washout counts dec.); 100=1.6kLux</a:t>
                </a:r>
              </a:p>
            </c:rich>
          </c:tx>
          <c:layout/>
        </c:title>
        <c:numFmt formatCode="0.0" sourceLinked="1"/>
        <c:tickLblPos val="nextTo"/>
        <c:crossAx val="188885632"/>
        <c:crosses val="autoZero"/>
        <c:crossBetween val="midCat"/>
      </c:valAx>
      <c:valAx>
        <c:axId val="188885632"/>
        <c:scaling>
          <c:orientation val="minMax"/>
        </c:scaling>
        <c:axPos val="l"/>
        <c:majorGridlines/>
        <c:title>
          <c:tx>
            <c:rich>
              <a:bodyPr rot="-5400000" vert="horz"/>
              <a:lstStyle/>
              <a:p>
                <a:pPr>
                  <a:defRPr sz="1400" b="0"/>
                </a:pPr>
                <a:r>
                  <a:rPr lang="en-US" sz="1400" b="0"/>
                  <a:t>Self Rise (</a:t>
                </a:r>
                <a:r>
                  <a:rPr lang="el-GR" sz="1400" b="0"/>
                  <a:t>Δ </a:t>
                </a:r>
                <a:r>
                  <a:rPr lang="en-US" sz="1400" b="0"/>
                  <a:t>counts from Dark)</a:t>
                </a:r>
              </a:p>
            </c:rich>
          </c:tx>
          <c:layout/>
        </c:title>
        <c:numFmt formatCode="0.0" sourceLinked="1"/>
        <c:tickLblPos val="nextTo"/>
        <c:crossAx val="184819072"/>
        <c:crosses val="autoZero"/>
        <c:crossBetween val="midCat"/>
      </c:valAx>
    </c:plotArea>
    <c:legend>
      <c:legendPos val="r"/>
      <c:layout/>
    </c:legend>
    <c:plotVisOnly val="1"/>
  </c:chart>
  <c:printSettings>
    <c:headerFooter/>
    <c:pageMargins b="0.75000000000000089" l="0.70000000000000062" r="0.70000000000000062" t="0.75000000000000089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400"/>
            </a:pPr>
            <a:r>
              <a:rPr lang="en-US" sz="1400"/>
              <a:t>Self Rise vs. Dark xTalk &amp; Ambient</a:t>
            </a:r>
          </a:p>
        </c:rich>
      </c:tx>
      <c:layout/>
    </c:title>
    <c:plotArea>
      <c:layout/>
      <c:scatterChart>
        <c:scatterStyle val="lineMarker"/>
        <c:ser>
          <c:idx val="0"/>
          <c:order val="0"/>
          <c:tx>
            <c:strRef>
              <c:f>Calculations!$B$8</c:f>
              <c:strCache>
                <c:ptCount val="1"/>
                <c:pt idx="0">
                  <c:v>24.1</c:v>
                </c:pt>
              </c:strCache>
            </c:strRef>
          </c:tx>
          <c:xVal>
            <c:numRef>
              <c:f>Calculations!$C$6:$J$6</c:f>
              <c:numCache>
                <c:formatCode>0.0</c:formatCode>
                <c:ptCount val="8"/>
                <c:pt idx="0">
                  <c:v>84.771990992275448</c:v>
                </c:pt>
                <c:pt idx="1">
                  <c:v>160.70601882134707</c:v>
                </c:pt>
                <c:pt idx="2">
                  <c:v>227.64583376221822</c:v>
                </c:pt>
                <c:pt idx="3">
                  <c:v>261.26388917462168</c:v>
                </c:pt>
                <c:pt idx="4">
                  <c:v>294.76041695733409</c:v>
                </c:pt>
                <c:pt idx="5">
                  <c:v>309.72916700744446</c:v>
                </c:pt>
                <c:pt idx="6">
                  <c:v>360.03472256346794</c:v>
                </c:pt>
                <c:pt idx="7">
                  <c:v>412.21527844454857</c:v>
                </c:pt>
              </c:numCache>
            </c:numRef>
          </c:xVal>
          <c:yVal>
            <c:numRef>
              <c:f>Calculations!$C$8:$J$8</c:f>
              <c:numCache>
                <c:formatCode>0.0</c:formatCode>
                <c:ptCount val="8"/>
                <c:pt idx="0">
                  <c:v>1.5833334273823616</c:v>
                </c:pt>
                <c:pt idx="1">
                  <c:v>2.6921296731193758</c:v>
                </c:pt>
                <c:pt idx="2">
                  <c:v>3.7604167014554464</c:v>
                </c:pt>
                <c:pt idx="3">
                  <c:v>4.2881946022518811</c:v>
                </c:pt>
                <c:pt idx="4">
                  <c:v>4.9930558153816182</c:v>
                </c:pt>
                <c:pt idx="5">
                  <c:v>5.2546298375818878</c:v>
                </c:pt>
                <c:pt idx="6">
                  <c:v>6.3506947745271543</c:v>
                </c:pt>
                <c:pt idx="7">
                  <c:v>7.2604167099861012</c:v>
                </c:pt>
              </c:numCache>
            </c:numRef>
          </c:yVal>
        </c:ser>
        <c:ser>
          <c:idx val="1"/>
          <c:order val="1"/>
          <c:tx>
            <c:strRef>
              <c:f>Calculations!$B$9</c:f>
              <c:strCache>
                <c:ptCount val="1"/>
                <c:pt idx="0">
                  <c:v>32.7</c:v>
                </c:pt>
              </c:strCache>
            </c:strRef>
          </c:tx>
          <c:xVal>
            <c:numRef>
              <c:f>Calculations!$C$6:$J$6</c:f>
              <c:numCache>
                <c:formatCode>0.0</c:formatCode>
                <c:ptCount val="8"/>
                <c:pt idx="0">
                  <c:v>84.771990992275448</c:v>
                </c:pt>
                <c:pt idx="1">
                  <c:v>160.70601882134707</c:v>
                </c:pt>
                <c:pt idx="2">
                  <c:v>227.64583376221822</c:v>
                </c:pt>
                <c:pt idx="3">
                  <c:v>261.26388917462168</c:v>
                </c:pt>
                <c:pt idx="4">
                  <c:v>294.76041695733409</c:v>
                </c:pt>
                <c:pt idx="5">
                  <c:v>309.72916700744446</c:v>
                </c:pt>
                <c:pt idx="6">
                  <c:v>360.03472256346794</c:v>
                </c:pt>
                <c:pt idx="7">
                  <c:v>412.21527844454857</c:v>
                </c:pt>
              </c:numCache>
            </c:numRef>
          </c:xVal>
          <c:yVal>
            <c:numRef>
              <c:f>Calculations!$C$9:$J$9</c:f>
              <c:numCache>
                <c:formatCode>0.0</c:formatCode>
                <c:ptCount val="8"/>
                <c:pt idx="0">
                  <c:v>3.6273148745789916</c:v>
                </c:pt>
                <c:pt idx="1">
                  <c:v>6.1111112586675311</c:v>
                </c:pt>
                <c:pt idx="2">
                  <c:v>8.178240853044878</c:v>
                </c:pt>
                <c:pt idx="3">
                  <c:v>9.5763891674384158</c:v>
                </c:pt>
                <c:pt idx="4">
                  <c:v>11.032407682182061</c:v>
                </c:pt>
                <c:pt idx="5">
                  <c:v>11.797454005443594</c:v>
                </c:pt>
                <c:pt idx="6">
                  <c:v>14.128472662640785</c:v>
                </c:pt>
                <c:pt idx="7">
                  <c:v>17.67708347482969</c:v>
                </c:pt>
              </c:numCache>
            </c:numRef>
          </c:yVal>
        </c:ser>
        <c:ser>
          <c:idx val="2"/>
          <c:order val="2"/>
          <c:tx>
            <c:strRef>
              <c:f>Calculations!$B$10</c:f>
              <c:strCache>
                <c:ptCount val="1"/>
                <c:pt idx="0">
                  <c:v>45.9</c:v>
                </c:pt>
              </c:strCache>
            </c:strRef>
          </c:tx>
          <c:xVal>
            <c:numRef>
              <c:f>Calculations!$C$6:$J$6</c:f>
              <c:numCache>
                <c:formatCode>0.0</c:formatCode>
                <c:ptCount val="8"/>
                <c:pt idx="0">
                  <c:v>84.771990992275448</c:v>
                </c:pt>
                <c:pt idx="1">
                  <c:v>160.70601882134707</c:v>
                </c:pt>
                <c:pt idx="2">
                  <c:v>227.64583376221822</c:v>
                </c:pt>
                <c:pt idx="3">
                  <c:v>261.26388917462168</c:v>
                </c:pt>
                <c:pt idx="4">
                  <c:v>294.76041695733409</c:v>
                </c:pt>
                <c:pt idx="5">
                  <c:v>309.72916700744446</c:v>
                </c:pt>
                <c:pt idx="6">
                  <c:v>360.03472256346794</c:v>
                </c:pt>
                <c:pt idx="7">
                  <c:v>412.21527844454857</c:v>
                </c:pt>
              </c:numCache>
            </c:numRef>
          </c:xVal>
          <c:yVal>
            <c:numRef>
              <c:f>Calculations!$C$10:$J$10</c:f>
              <c:numCache>
                <c:formatCode>0.0</c:formatCode>
                <c:ptCount val="8"/>
                <c:pt idx="0">
                  <c:v>5.1550926041737615</c:v>
                </c:pt>
                <c:pt idx="1">
                  <c:v>8.840278088108688</c:v>
                </c:pt>
                <c:pt idx="2">
                  <c:v>12.177083390900711</c:v>
                </c:pt>
                <c:pt idx="3">
                  <c:v>14.386574502407004</c:v>
                </c:pt>
                <c:pt idx="4">
                  <c:v>17.119213532423601</c:v>
                </c:pt>
                <c:pt idx="5">
                  <c:v>18.503472627813203</c:v>
                </c:pt>
                <c:pt idx="6">
                  <c:v>23.218750611057558</c:v>
                </c:pt>
                <c:pt idx="7">
                  <c:v>28.045139837324516</c:v>
                </c:pt>
              </c:numCache>
            </c:numRef>
          </c:yVal>
        </c:ser>
        <c:ser>
          <c:idx val="3"/>
          <c:order val="3"/>
          <c:tx>
            <c:strRef>
              <c:f>Calculations!$B$11</c:f>
              <c:strCache>
                <c:ptCount val="1"/>
                <c:pt idx="0">
                  <c:v>99.9</c:v>
                </c:pt>
              </c:strCache>
            </c:strRef>
          </c:tx>
          <c:xVal>
            <c:numRef>
              <c:f>Calculations!$C$6:$J$6</c:f>
              <c:numCache>
                <c:formatCode>0.0</c:formatCode>
                <c:ptCount val="8"/>
                <c:pt idx="0">
                  <c:v>84.771990992275448</c:v>
                </c:pt>
                <c:pt idx="1">
                  <c:v>160.70601882134707</c:v>
                </c:pt>
                <c:pt idx="2">
                  <c:v>227.64583376221822</c:v>
                </c:pt>
                <c:pt idx="3">
                  <c:v>261.26388917462168</c:v>
                </c:pt>
                <c:pt idx="4">
                  <c:v>294.76041695733409</c:v>
                </c:pt>
                <c:pt idx="5">
                  <c:v>309.72916700744446</c:v>
                </c:pt>
                <c:pt idx="6">
                  <c:v>360.03472256346794</c:v>
                </c:pt>
                <c:pt idx="7">
                  <c:v>412.21527844454857</c:v>
                </c:pt>
              </c:numCache>
            </c:numRef>
          </c:xVal>
          <c:yVal>
            <c:numRef>
              <c:f>Calculations!$C$11:$J$11</c:f>
              <c:numCache>
                <c:formatCode>0.0</c:formatCode>
                <c:ptCount val="8"/>
                <c:pt idx="0">
                  <c:v>9.2349541378401536</c:v>
                </c:pt>
                <c:pt idx="1">
                  <c:v>14.881944676130338</c:v>
                </c:pt>
                <c:pt idx="2">
                  <c:v>22.151621078018149</c:v>
                </c:pt>
                <c:pt idx="3">
                  <c:v>27.327547103341203</c:v>
                </c:pt>
                <c:pt idx="4">
                  <c:v>34.431713956227114</c:v>
                </c:pt>
                <c:pt idx="5">
                  <c:v>38.947918039436139</c:v>
                </c:pt>
                <c:pt idx="6">
                  <c:v>54.68865899915626</c:v>
                </c:pt>
                <c:pt idx="7">
                  <c:v>71.893520059465018</c:v>
                </c:pt>
              </c:numCache>
            </c:numRef>
          </c:yVal>
        </c:ser>
        <c:axId val="198622208"/>
        <c:axId val="198628480"/>
      </c:scatterChart>
      <c:valAx>
        <c:axId val="198622208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 sz="1400" b="0"/>
                </a:pPr>
                <a:r>
                  <a:rPr lang="en-US" sz="1400" b="0"/>
                  <a:t>Dark xTalk (counts)</a:t>
                </a:r>
              </a:p>
            </c:rich>
          </c:tx>
          <c:layout/>
        </c:title>
        <c:numFmt formatCode="0.0" sourceLinked="1"/>
        <c:tickLblPos val="nextTo"/>
        <c:crossAx val="198628480"/>
        <c:crosses val="autoZero"/>
        <c:crossBetween val="midCat"/>
      </c:valAx>
      <c:valAx>
        <c:axId val="198628480"/>
        <c:scaling>
          <c:orientation val="minMax"/>
        </c:scaling>
        <c:axPos val="l"/>
        <c:majorGridlines/>
        <c:title>
          <c:tx>
            <c:rich>
              <a:bodyPr rot="-5400000" vert="horz"/>
              <a:lstStyle/>
              <a:p>
                <a:pPr>
                  <a:defRPr sz="1400" b="0"/>
                </a:pPr>
                <a:r>
                  <a:rPr lang="en-US" sz="1400" b="0"/>
                  <a:t>Self Rise (</a:t>
                </a:r>
                <a:r>
                  <a:rPr lang="el-GR" sz="1400" b="0"/>
                  <a:t>Δ </a:t>
                </a:r>
                <a:r>
                  <a:rPr lang="en-US" sz="1400" b="0"/>
                  <a:t>counts from Dark)</a:t>
                </a:r>
              </a:p>
            </c:rich>
          </c:tx>
          <c:layout/>
        </c:title>
        <c:numFmt formatCode="0.0" sourceLinked="1"/>
        <c:tickLblPos val="nextTo"/>
        <c:crossAx val="198622208"/>
        <c:crosses val="autoZero"/>
        <c:crossBetween val="midCat"/>
      </c:valAx>
    </c:plotArea>
    <c:legend>
      <c:legendPos val="r"/>
      <c:layout/>
    </c:legend>
    <c:plotVisOnly val="1"/>
  </c:chart>
  <c:printSettings>
    <c:headerFooter/>
    <c:pageMargins b="0.75000000000000111" l="0.70000000000000062" r="0.70000000000000062" t="0.75000000000000111" header="0.30000000000000032" footer="0.30000000000000032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12</xdr:row>
      <xdr:rowOff>0</xdr:rowOff>
    </xdr:from>
    <xdr:to>
      <xdr:col>9</xdr:col>
      <xdr:colOff>587828</xdr:colOff>
      <xdr:row>31</xdr:row>
      <xdr:rowOff>38100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32</xdr:row>
      <xdr:rowOff>0</xdr:rowOff>
    </xdr:from>
    <xdr:to>
      <xdr:col>9</xdr:col>
      <xdr:colOff>587828</xdr:colOff>
      <xdr:row>51</xdr:row>
      <xdr:rowOff>38100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2"/>
  <dimension ref="B2:J14"/>
  <sheetViews>
    <sheetView workbookViewId="0"/>
  </sheetViews>
  <sheetFormatPr defaultRowHeight="15"/>
  <cols>
    <col min="5" max="5" width="9.140625" style="4"/>
    <col min="6" max="6" width="9.140625" style="2"/>
  </cols>
  <sheetData>
    <row r="2" spans="2:10">
      <c r="E2" s="4" t="s">
        <v>9</v>
      </c>
      <c r="F2" s="2" t="s">
        <v>7</v>
      </c>
      <c r="G2" s="11" t="s">
        <v>5</v>
      </c>
      <c r="H2" s="11"/>
      <c r="I2" s="11" t="s">
        <v>6</v>
      </c>
      <c r="J2" s="11"/>
    </row>
    <row r="3" spans="2:10">
      <c r="B3" t="s">
        <v>2</v>
      </c>
      <c r="C3">
        <v>29177</v>
      </c>
      <c r="E3" s="4">
        <v>0</v>
      </c>
      <c r="F3" s="2" t="s">
        <v>0</v>
      </c>
      <c r="G3" s="2" t="s">
        <v>1</v>
      </c>
      <c r="H3" s="2" t="s">
        <v>8</v>
      </c>
      <c r="I3" s="2" t="s">
        <v>1</v>
      </c>
      <c r="J3" s="2" t="s">
        <v>8</v>
      </c>
    </row>
    <row r="4" spans="2:10">
      <c r="E4" s="4">
        <f>IF(E$3,I4,G4)</f>
        <v>19</v>
      </c>
      <c r="F4" s="2">
        <v>0</v>
      </c>
      <c r="G4" s="2">
        <v>19</v>
      </c>
      <c r="H4" s="3">
        <v>0.3479003531632166</v>
      </c>
      <c r="I4" s="2">
        <v>25</v>
      </c>
      <c r="J4" s="4">
        <v>0.46261817175757314</v>
      </c>
    </row>
    <row r="5" spans="2:10">
      <c r="E5" s="4">
        <f t="shared" ref="E5:E11" si="0">IF(E$3,I5,G5)</f>
        <v>33</v>
      </c>
      <c r="F5" s="2">
        <f>F4+1</f>
        <v>1</v>
      </c>
      <c r="G5" s="2">
        <v>33</v>
      </c>
      <c r="H5" s="3">
        <v>0.63580153019920127</v>
      </c>
      <c r="I5" s="2">
        <v>38</v>
      </c>
      <c r="J5" s="4">
        <v>0.85198316595772894</v>
      </c>
    </row>
    <row r="6" spans="2:10">
      <c r="E6" s="4">
        <f t="shared" si="0"/>
        <v>39</v>
      </c>
      <c r="F6" s="2">
        <f t="shared" ref="F6:F11" si="1">F5+1</f>
        <v>2</v>
      </c>
      <c r="G6" s="2">
        <v>39</v>
      </c>
      <c r="H6" s="3">
        <v>0.89012214227888187</v>
      </c>
      <c r="I6" s="2">
        <v>49</v>
      </c>
      <c r="J6" s="4">
        <v>1.3642429471788711</v>
      </c>
    </row>
    <row r="7" spans="2:10">
      <c r="E7" s="4">
        <f t="shared" si="0"/>
        <v>42</v>
      </c>
      <c r="F7" s="2">
        <f t="shared" si="1"/>
        <v>3</v>
      </c>
      <c r="G7" s="2">
        <v>42</v>
      </c>
      <c r="H7" s="3">
        <v>1.0172824483187222</v>
      </c>
      <c r="I7" s="2">
        <v>53</v>
      </c>
      <c r="J7" s="4">
        <v>1.8189905962384949</v>
      </c>
    </row>
    <row r="8" spans="2:10">
      <c r="E8" s="4">
        <f t="shared" si="0"/>
        <v>44</v>
      </c>
      <c r="F8" s="2">
        <f t="shared" si="1"/>
        <v>4</v>
      </c>
      <c r="G8" s="2">
        <v>44</v>
      </c>
      <c r="H8" s="3">
        <v>1.1020559856786156</v>
      </c>
      <c r="I8" s="2">
        <v>57</v>
      </c>
      <c r="J8" s="4">
        <v>2.42532079498466</v>
      </c>
    </row>
    <row r="9" spans="2:10">
      <c r="E9" s="4">
        <f t="shared" si="0"/>
        <v>46</v>
      </c>
      <c r="F9" s="2">
        <f t="shared" si="1"/>
        <v>5</v>
      </c>
      <c r="G9" s="2">
        <v>46</v>
      </c>
      <c r="H9" s="3">
        <v>1.1868295230385091</v>
      </c>
      <c r="I9" s="3">
        <v>58</v>
      </c>
      <c r="J9" s="4">
        <v>2.7284858943577421</v>
      </c>
    </row>
    <row r="10" spans="2:10">
      <c r="E10" s="4">
        <f t="shared" si="0"/>
        <v>49</v>
      </c>
      <c r="F10" s="2">
        <f t="shared" si="1"/>
        <v>6</v>
      </c>
      <c r="G10" s="2">
        <v>49</v>
      </c>
      <c r="H10" s="3">
        <v>1.3139898290783496</v>
      </c>
      <c r="I10" s="2">
        <v>65</v>
      </c>
      <c r="J10" s="4">
        <v>3.7895637421635309</v>
      </c>
    </row>
    <row r="11" spans="2:10">
      <c r="E11" s="4">
        <f t="shared" si="0"/>
        <v>51</v>
      </c>
      <c r="F11" s="2">
        <f t="shared" si="1"/>
        <v>7</v>
      </c>
      <c r="G11" s="2">
        <v>51</v>
      </c>
      <c r="H11" s="3">
        <v>1.5200307045895283</v>
      </c>
      <c r="I11" s="2">
        <v>71</v>
      </c>
      <c r="J11" s="4">
        <v>5.0519255907491187</v>
      </c>
    </row>
    <row r="13" spans="2:10">
      <c r="B13" s="1" t="s">
        <v>13</v>
      </c>
      <c r="C13">
        <v>4.5</v>
      </c>
    </row>
    <row r="14" spans="2:10">
      <c r="B14" s="1" t="s">
        <v>14</v>
      </c>
      <c r="C14">
        <v>13.8</v>
      </c>
    </row>
  </sheetData>
  <mergeCells count="2">
    <mergeCell ref="G2:H2"/>
    <mergeCell ref="I2:J2"/>
  </mergeCells>
  <dataValidations disablePrompts="1" count="1">
    <dataValidation type="list" allowBlank="1" showInputMessage="1" showErrorMessage="1" sqref="E3">
      <formula1>$F$4:$F$5</formula1>
    </dataValidation>
  </dataValidations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3"/>
  <dimension ref="A1:J11"/>
  <sheetViews>
    <sheetView tabSelected="1" zoomScale="70" zoomScaleNormal="70" workbookViewId="0">
      <selection activeCell="N12" sqref="N12"/>
    </sheetView>
  </sheetViews>
  <sheetFormatPr defaultRowHeight="15"/>
  <cols>
    <col min="1" max="16384" width="9.140625" style="6"/>
  </cols>
  <sheetData>
    <row r="1" spans="1:10" ht="15.75" thickBot="1"/>
    <row r="2" spans="1:10" ht="16.5" thickBot="1">
      <c r="B2" s="16" t="s">
        <v>17</v>
      </c>
      <c r="C2" s="17"/>
      <c r="D2" s="18">
        <f>ROUND(data0!AQ2+1,0)</f>
        <v>25</v>
      </c>
      <c r="E2" s="16" t="s">
        <v>18</v>
      </c>
      <c r="F2" s="17"/>
      <c r="G2" s="19">
        <f>interpolate(B7:B11,J7:J11,D2)</f>
        <v>8.3109914380478607</v>
      </c>
      <c r="H2" s="16" t="s">
        <v>19</v>
      </c>
      <c r="I2" s="17"/>
      <c r="J2" s="20">
        <f>interpolate(B7:B11,A7:A11,D2)*1000</f>
        <v>413.07371960748185</v>
      </c>
    </row>
    <row r="4" spans="1:10">
      <c r="B4" s="6" t="s">
        <v>10</v>
      </c>
      <c r="C4" s="6">
        <v>0</v>
      </c>
      <c r="D4" s="6">
        <v>1</v>
      </c>
      <c r="E4" s="6">
        <v>2</v>
      </c>
      <c r="F4" s="6">
        <v>3</v>
      </c>
      <c r="G4" s="6">
        <v>4</v>
      </c>
      <c r="H4" s="6">
        <v>5</v>
      </c>
      <c r="I4" s="6">
        <v>6</v>
      </c>
      <c r="J4" s="6">
        <v>7</v>
      </c>
    </row>
    <row r="5" spans="1:10">
      <c r="C5" s="8">
        <f>C6/255</f>
        <v>0.33243918036186448</v>
      </c>
      <c r="D5" s="8">
        <f t="shared" ref="D5:J5" si="0">D6/255</f>
        <v>0.63021968165234143</v>
      </c>
      <c r="E5" s="8">
        <f t="shared" si="0"/>
        <v>0.8927287598518362</v>
      </c>
      <c r="F5" s="8">
        <f t="shared" si="0"/>
        <v>1.0245642712730263</v>
      </c>
      <c r="G5" s="8">
        <f t="shared" si="0"/>
        <v>1.1559232037542513</v>
      </c>
      <c r="H5" s="8">
        <f t="shared" si="0"/>
        <v>1.2146241843429195</v>
      </c>
      <c r="I5" s="8">
        <f t="shared" si="0"/>
        <v>1.4119008727979134</v>
      </c>
      <c r="J5" s="8">
        <f t="shared" si="0"/>
        <v>1.616530503704112</v>
      </c>
    </row>
    <row r="6" spans="1:10">
      <c r="B6" s="7"/>
      <c r="C6" s="7">
        <f>data0!AL102</f>
        <v>84.771990992275448</v>
      </c>
      <c r="D6" s="7">
        <f>data0!AL108</f>
        <v>160.70601882134707</v>
      </c>
      <c r="E6" s="7">
        <f>data0!AL114</f>
        <v>227.64583376221822</v>
      </c>
      <c r="F6" s="7">
        <f>data0!AL120</f>
        <v>261.26388917462168</v>
      </c>
      <c r="G6" s="7">
        <f>data0!AL126</f>
        <v>294.76041695733409</v>
      </c>
      <c r="H6" s="7">
        <f>data0!AL132</f>
        <v>309.72916700744446</v>
      </c>
      <c r="I6" s="7">
        <f>data0!AL138</f>
        <v>360.03472256346794</v>
      </c>
      <c r="J6" s="7">
        <f>data0!AL144</f>
        <v>412.21527844454857</v>
      </c>
    </row>
    <row r="7" spans="1:10">
      <c r="A7" s="9">
        <f t="shared" ref="A7:A9" si="1">A$11*B7/B$11</f>
        <v>0.35702191529792265</v>
      </c>
      <c r="B7" s="7">
        <f>data0!AL48</f>
        <v>21.607639166513561</v>
      </c>
      <c r="C7" s="7">
        <f>data0!AL103</f>
        <v>0</v>
      </c>
      <c r="D7" s="7">
        <f>data0!AL109</f>
        <v>0</v>
      </c>
      <c r="E7" s="7">
        <f>data0!AL115</f>
        <v>0</v>
      </c>
      <c r="F7" s="7">
        <f>data0!AL121</f>
        <v>0</v>
      </c>
      <c r="G7" s="7">
        <f>data0!AL127</f>
        <v>0</v>
      </c>
      <c r="H7" s="7">
        <f>data0!AL133</f>
        <v>0</v>
      </c>
      <c r="I7" s="7">
        <f>data0!AL139</f>
        <v>0</v>
      </c>
      <c r="J7" s="7">
        <f>data0!AL145</f>
        <v>0</v>
      </c>
    </row>
    <row r="8" spans="1:10">
      <c r="A8" s="9">
        <f t="shared" si="1"/>
        <v>0.39886474868368027</v>
      </c>
      <c r="B8" s="7">
        <f>data0!AL49</f>
        <v>24.140046301099506</v>
      </c>
      <c r="C8" s="7">
        <f>data0!AL104</f>
        <v>1.5833334273823616</v>
      </c>
      <c r="D8" s="7">
        <f>data0!AL110</f>
        <v>2.6921296731193758</v>
      </c>
      <c r="E8" s="7">
        <f>data0!AL116</f>
        <v>3.7604167014554464</v>
      </c>
      <c r="F8" s="7">
        <f>data0!AL122</f>
        <v>4.2881946022518811</v>
      </c>
      <c r="G8" s="7">
        <f>data0!AL128</f>
        <v>4.9930558153816182</v>
      </c>
      <c r="H8" s="7">
        <f>data0!AL134</f>
        <v>5.2546298375818878</v>
      </c>
      <c r="I8" s="7">
        <f>data0!AL140</f>
        <v>6.3506947745271543</v>
      </c>
      <c r="J8" s="7">
        <f>data0!AL146</f>
        <v>7.2604167099861012</v>
      </c>
    </row>
    <row r="9" spans="1:10">
      <c r="A9" s="9">
        <f t="shared" si="1"/>
        <v>0.53974964837821382</v>
      </c>
      <c r="B9" s="7">
        <f>data0!AL50</f>
        <v>32.666665945917849</v>
      </c>
      <c r="C9" s="7">
        <f>data0!AL105</f>
        <v>3.6273148745789916</v>
      </c>
      <c r="D9" s="7">
        <f>data0!AL111</f>
        <v>6.1111112586675311</v>
      </c>
      <c r="E9" s="7">
        <f>data0!AL117</f>
        <v>8.178240853044878</v>
      </c>
      <c r="F9" s="7">
        <f>data0!AL123</f>
        <v>9.5763891674384158</v>
      </c>
      <c r="G9" s="7">
        <f>data0!AL129</f>
        <v>11.032407682182061</v>
      </c>
      <c r="H9" s="7">
        <f>data0!AL135</f>
        <v>11.797454005443594</v>
      </c>
      <c r="I9" s="7">
        <f>data0!AL141</f>
        <v>14.128472662640785</v>
      </c>
      <c r="J9" s="7">
        <f>data0!AL147</f>
        <v>17.67708347482969</v>
      </c>
    </row>
    <row r="10" spans="1:10">
      <c r="A10" s="9">
        <f>A$11*B10/B$11</f>
        <v>0.75795203601911565</v>
      </c>
      <c r="B10" s="7">
        <f>data0!AL51</f>
        <v>45.872685675776601</v>
      </c>
      <c r="C10" s="7">
        <f>data0!AL106</f>
        <v>5.1550926041737615</v>
      </c>
      <c r="D10" s="7">
        <f>data0!AL112</f>
        <v>8.840278088108688</v>
      </c>
      <c r="E10" s="7">
        <f>data0!AL118</f>
        <v>12.177083390900711</v>
      </c>
      <c r="F10" s="7">
        <f>data0!AL124</f>
        <v>14.386574502407004</v>
      </c>
      <c r="G10" s="7">
        <f>data0!AL130</f>
        <v>17.119213532423601</v>
      </c>
      <c r="H10" s="7">
        <f>data0!AL136</f>
        <v>18.503472627813203</v>
      </c>
      <c r="I10" s="7">
        <f>data0!AL142</f>
        <v>23.218750611057558</v>
      </c>
      <c r="J10" s="7">
        <f>data0!AL148</f>
        <v>28.045139837324516</v>
      </c>
    </row>
    <row r="11" spans="1:10">
      <c r="A11" s="14">
        <v>1.65</v>
      </c>
      <c r="B11" s="7">
        <f>data0!AL52</f>
        <v>99.86110963243388</v>
      </c>
      <c r="C11" s="7">
        <f>data0!AL107</f>
        <v>9.2349541378401536</v>
      </c>
      <c r="D11" s="7">
        <f>data0!AL113</f>
        <v>14.881944676130338</v>
      </c>
      <c r="E11" s="7">
        <f>data0!AL119</f>
        <v>22.151621078018149</v>
      </c>
      <c r="F11" s="7">
        <f>data0!AL125</f>
        <v>27.327547103341203</v>
      </c>
      <c r="G11" s="7">
        <f>data0!AL131</f>
        <v>34.431713956227114</v>
      </c>
      <c r="H11" s="7">
        <f>data0!AL137</f>
        <v>38.947918039436139</v>
      </c>
      <c r="I11" s="7">
        <f>data0!AL143</f>
        <v>54.68865899915626</v>
      </c>
      <c r="J11" s="7">
        <f>data0!AL149</f>
        <v>71.893520059465018</v>
      </c>
    </row>
  </sheetData>
  <mergeCells count="3">
    <mergeCell ref="B2:C2"/>
    <mergeCell ref="E2:F2"/>
    <mergeCell ref="H2:I2"/>
  </mergeCells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1"/>
  <dimension ref="A1:AQ1020"/>
  <sheetViews>
    <sheetView zoomScale="80" zoomScaleNormal="80" workbookViewId="0">
      <selection activeCell="AQ2" sqref="AQ2"/>
    </sheetView>
  </sheetViews>
  <sheetFormatPr defaultRowHeight="15"/>
  <cols>
    <col min="1" max="2" width="9.140625" style="4"/>
    <col min="3" max="3" width="9.140625" style="4" customWidth="1"/>
    <col min="37" max="37" width="9.140625" style="5"/>
    <col min="38" max="38" width="9.140625" style="6"/>
  </cols>
  <sheetData>
    <row r="1" spans="1:43">
      <c r="A1" s="4" t="s">
        <v>1</v>
      </c>
      <c r="B1" s="4" t="s">
        <v>4</v>
      </c>
      <c r="C1" s="4" t="s">
        <v>0</v>
      </c>
      <c r="D1" s="4">
        <v>0</v>
      </c>
      <c r="E1" s="4">
        <f>D1+1</f>
        <v>1</v>
      </c>
      <c r="F1" s="4">
        <f t="shared" ref="F1:AI1" si="0">E1+1</f>
        <v>2</v>
      </c>
      <c r="G1" s="4">
        <f t="shared" si="0"/>
        <v>3</v>
      </c>
      <c r="H1" s="4">
        <f t="shared" si="0"/>
        <v>4</v>
      </c>
      <c r="I1" s="4">
        <f t="shared" si="0"/>
        <v>5</v>
      </c>
      <c r="J1" s="4">
        <f t="shared" si="0"/>
        <v>6</v>
      </c>
      <c r="K1" s="4">
        <f t="shared" si="0"/>
        <v>7</v>
      </c>
      <c r="L1" s="4">
        <f t="shared" si="0"/>
        <v>8</v>
      </c>
      <c r="M1" s="4">
        <f t="shared" si="0"/>
        <v>9</v>
      </c>
      <c r="N1" s="4">
        <f t="shared" si="0"/>
        <v>10</v>
      </c>
      <c r="O1" s="4">
        <f t="shared" si="0"/>
        <v>11</v>
      </c>
      <c r="P1" s="4">
        <f t="shared" si="0"/>
        <v>12</v>
      </c>
      <c r="Q1" s="4">
        <f t="shared" si="0"/>
        <v>13</v>
      </c>
      <c r="R1" s="4">
        <f t="shared" si="0"/>
        <v>14</v>
      </c>
      <c r="S1" s="4">
        <f t="shared" si="0"/>
        <v>15</v>
      </c>
      <c r="T1" s="4">
        <f t="shared" si="0"/>
        <v>16</v>
      </c>
      <c r="U1" s="4">
        <f t="shared" si="0"/>
        <v>17</v>
      </c>
      <c r="V1" s="4">
        <f t="shared" si="0"/>
        <v>18</v>
      </c>
      <c r="W1" s="4">
        <f t="shared" si="0"/>
        <v>19</v>
      </c>
      <c r="X1" s="4">
        <f t="shared" si="0"/>
        <v>20</v>
      </c>
      <c r="Y1" s="4">
        <f t="shared" si="0"/>
        <v>21</v>
      </c>
      <c r="Z1" s="4">
        <f t="shared" si="0"/>
        <v>22</v>
      </c>
      <c r="AA1" s="4">
        <f t="shared" si="0"/>
        <v>23</v>
      </c>
      <c r="AB1" s="4">
        <f t="shared" si="0"/>
        <v>24</v>
      </c>
      <c r="AC1" s="4">
        <f t="shared" si="0"/>
        <v>25</v>
      </c>
      <c r="AD1" s="4">
        <f t="shared" si="0"/>
        <v>26</v>
      </c>
      <c r="AE1" s="4">
        <f t="shared" si="0"/>
        <v>27</v>
      </c>
      <c r="AF1" s="4">
        <f t="shared" si="0"/>
        <v>28</v>
      </c>
      <c r="AG1" s="4">
        <f t="shared" si="0"/>
        <v>29</v>
      </c>
      <c r="AH1" s="4">
        <f t="shared" si="0"/>
        <v>30</v>
      </c>
      <c r="AI1" s="4">
        <f t="shared" si="0"/>
        <v>31</v>
      </c>
      <c r="AJ1" t="s">
        <v>3</v>
      </c>
      <c r="AK1" s="5" t="s">
        <v>12</v>
      </c>
      <c r="AL1" s="10" t="s">
        <v>15</v>
      </c>
      <c r="AM1" s="10" t="s">
        <v>16</v>
      </c>
    </row>
    <row r="2" spans="1:43">
      <c r="A2" s="4">
        <v>0</v>
      </c>
      <c r="B2" s="4" t="s">
        <v>11</v>
      </c>
      <c r="C2" s="4" t="s">
        <v>10</v>
      </c>
      <c r="D2" s="1"/>
      <c r="E2" s="1">
        <v>0.16535432636737823</v>
      </c>
      <c r="F2" s="1">
        <v>0.16535432636737823</v>
      </c>
      <c r="G2" s="1"/>
      <c r="H2" s="1">
        <v>0.16535432636737823</v>
      </c>
      <c r="I2" s="1">
        <v>0.17322835326194763</v>
      </c>
      <c r="J2" s="1">
        <v>0.16535432636737823</v>
      </c>
      <c r="K2" s="1"/>
      <c r="L2" s="1">
        <v>0.18110236525535583</v>
      </c>
      <c r="M2" s="1">
        <v>0.16535432636737823</v>
      </c>
      <c r="N2" s="1">
        <v>0.16855315619613975</v>
      </c>
      <c r="O2" s="1"/>
      <c r="P2" s="1">
        <v>0.18110236525535583</v>
      </c>
      <c r="Q2" s="1"/>
      <c r="R2" s="1">
        <v>0.18110236525535583</v>
      </c>
      <c r="S2" s="1">
        <v>0.16535432636737823</v>
      </c>
      <c r="T2" s="1">
        <v>0.18159449100494385</v>
      </c>
      <c r="U2" s="1">
        <v>0.16535432636737823</v>
      </c>
      <c r="V2" s="1">
        <v>0.16387795913033187</v>
      </c>
      <c r="W2" s="1">
        <v>0.17322835326194763</v>
      </c>
      <c r="X2" s="1">
        <v>0.17322835326194763</v>
      </c>
      <c r="Y2" s="1">
        <v>0.17322835326194763</v>
      </c>
      <c r="Z2" s="1">
        <v>0.16092519264202565</v>
      </c>
      <c r="AA2" s="1">
        <v>0.16855315619613975</v>
      </c>
      <c r="AB2" s="1">
        <v>0.16855315619613975</v>
      </c>
      <c r="AC2" s="1">
        <v>0.17618110531475395</v>
      </c>
      <c r="AD2" s="1">
        <v>0.15649605891667306</v>
      </c>
      <c r="AE2" s="1">
        <v>0.16387795913033187</v>
      </c>
      <c r="AF2" s="1">
        <v>0.17322835326194763</v>
      </c>
      <c r="AG2" s="1">
        <v>0.18110236525535583</v>
      </c>
      <c r="AH2" s="1">
        <v>0.16855315619613975</v>
      </c>
      <c r="AI2">
        <v>0.16855315619613975</v>
      </c>
      <c r="AJ2">
        <f>AVERAGE(D2:AI2)</f>
        <v>0.17013889107490993</v>
      </c>
      <c r="AK2" s="5">
        <f>STDEV(D2:AI2)</f>
        <v>6.8457985640715318E-3</v>
      </c>
      <c r="AL2" s="6">
        <f>MIN(D2:AI2)</f>
        <v>0.15649605891667306</v>
      </c>
      <c r="AM2">
        <f>MAX(D2:AI2)</f>
        <v>0.18159449100494385</v>
      </c>
      <c r="AN2" s="13">
        <f>AL2*127</f>
        <v>19.874999482417479</v>
      </c>
      <c r="AO2" s="15">
        <f>AM2*127</f>
        <v>23.062500357627869</v>
      </c>
      <c r="AP2" s="7">
        <f>127*(AJ2+3*AK2)</f>
        <v>24.215888419424815</v>
      </c>
      <c r="AQ2" s="13">
        <f>MAX(AO2,AP2)</f>
        <v>24.215888419424815</v>
      </c>
    </row>
    <row r="3" spans="1:43">
      <c r="A3" s="4">
        <f>A2+1</f>
        <v>1</v>
      </c>
      <c r="B3" s="4" t="str">
        <f>B2</f>
        <v>Closed</v>
      </c>
      <c r="C3" s="4">
        <v>0</v>
      </c>
      <c r="D3" s="1"/>
      <c r="E3" s="1">
        <v>0.28578431537721816</v>
      </c>
      <c r="F3" s="1">
        <v>0.41642157032254939</v>
      </c>
      <c r="G3" s="1"/>
      <c r="H3" s="1">
        <v>0.35674019648679806</v>
      </c>
      <c r="I3" s="1">
        <v>0.30588235479651715</v>
      </c>
      <c r="J3" s="1">
        <v>0.30588235479651715</v>
      </c>
      <c r="K3" s="1"/>
      <c r="L3" s="1">
        <v>0.34730392305874358</v>
      </c>
      <c r="M3" s="1">
        <v>0.29730392207263734</v>
      </c>
      <c r="N3" s="1">
        <v>0.41936274556552661</v>
      </c>
      <c r="O3" s="1"/>
      <c r="P3" s="1">
        <v>0.29105392313909295</v>
      </c>
      <c r="Q3" s="1"/>
      <c r="R3" s="1">
        <v>0.31470588275468819</v>
      </c>
      <c r="S3" s="1">
        <v>0.32953431510603898</v>
      </c>
      <c r="T3" s="1">
        <v>0.31519607892031692</v>
      </c>
      <c r="U3" s="1">
        <v>0.29583333392499711</v>
      </c>
      <c r="V3" s="1">
        <v>0.29178921721291307</v>
      </c>
      <c r="W3" s="1">
        <v>0.38799019655322325</v>
      </c>
      <c r="X3" s="1">
        <v>0.34117647244357596</v>
      </c>
      <c r="Y3" s="1">
        <v>0.35502451013992814</v>
      </c>
      <c r="Z3" s="1">
        <v>0.29816176515876081</v>
      </c>
      <c r="AA3" s="1">
        <v>0.30073529459175419</v>
      </c>
      <c r="AB3" s="1">
        <v>0.37034313778744499</v>
      </c>
      <c r="AC3" s="1">
        <v>0.38799019655322325</v>
      </c>
      <c r="AD3" s="1">
        <v>0.37622549194961274</v>
      </c>
      <c r="AE3" s="1">
        <v>0.32941176470588235</v>
      </c>
      <c r="AF3" s="1">
        <v>0.3053921585144731</v>
      </c>
      <c r="AG3" s="1">
        <v>0.34276960942889656</v>
      </c>
      <c r="AH3" s="1">
        <v>0.31372549065626137</v>
      </c>
      <c r="AI3">
        <v>0.29411764775275018</v>
      </c>
      <c r="AJ3">
        <f t="shared" ref="AJ3:AJ46" si="1">AVERAGE(D3:AI3)</f>
        <v>0.33243918036186448</v>
      </c>
      <c r="AK3" s="5">
        <f t="shared" ref="AK3:AK46" si="2">STDEV(D3:AI3)</f>
        <v>3.9480172074789571E-2</v>
      </c>
      <c r="AL3" s="10">
        <f t="shared" ref="AL3:AL46" si="3">MIN(D3:AI3)</f>
        <v>0.28578431537721816</v>
      </c>
      <c r="AM3" s="1">
        <f t="shared" ref="AM3:AM46" si="4">MAX(D3:AI3)</f>
        <v>0.41936274556552661</v>
      </c>
      <c r="AN3" s="13">
        <f t="shared" ref="AN3:AN46" si="5">AL3*127</f>
        <v>36.294608052906703</v>
      </c>
      <c r="AO3" s="13">
        <f t="shared" ref="AO3:AO46" si="6">AM3*127</f>
        <v>53.259068686821877</v>
      </c>
    </row>
    <row r="4" spans="1:43">
      <c r="A4" s="4">
        <f t="shared" ref="A4:A46" si="7">A3+1</f>
        <v>2</v>
      </c>
      <c r="B4" s="4" t="str">
        <f t="shared" ref="B4:B10" si="8">B3</f>
        <v>Closed</v>
      </c>
      <c r="C4" s="4">
        <f>C3+1</f>
        <v>1</v>
      </c>
      <c r="D4" s="1"/>
      <c r="E4" s="1">
        <v>0.55294117693077116</v>
      </c>
      <c r="F4" s="1">
        <v>0.7637254911748802</v>
      </c>
      <c r="G4" s="1"/>
      <c r="H4" s="1">
        <v>0.64816176509302037</v>
      </c>
      <c r="I4" s="1">
        <v>0.58897058957932047</v>
      </c>
      <c r="J4" s="1">
        <v>0.60147058976923717</v>
      </c>
      <c r="K4" s="1"/>
      <c r="L4" s="1">
        <v>0.64031862830560582</v>
      </c>
      <c r="M4" s="1">
        <v>0.59105392278847746</v>
      </c>
      <c r="N4" s="1">
        <v>0.7430147062329685</v>
      </c>
      <c r="O4" s="1"/>
      <c r="P4" s="1">
        <v>0.57279411809263281</v>
      </c>
      <c r="Q4" s="1"/>
      <c r="R4" s="1">
        <v>0.61666666706841367</v>
      </c>
      <c r="S4" s="1">
        <v>0.63370098164122479</v>
      </c>
      <c r="T4" s="1">
        <v>0.59154411883769087</v>
      </c>
      <c r="U4" s="1">
        <v>0.57647058875277168</v>
      </c>
      <c r="V4" s="1">
        <v>0.58051470773038916</v>
      </c>
      <c r="W4" s="1">
        <v>0.70171568651555805</v>
      </c>
      <c r="X4" s="1">
        <v>0.62512255077999013</v>
      </c>
      <c r="Y4" s="1">
        <v>0.66678921753431064</v>
      </c>
      <c r="Z4" s="1">
        <v>0.58026960953115947</v>
      </c>
      <c r="AA4" s="1">
        <v>0.57720588288479946</v>
      </c>
      <c r="AB4" s="1">
        <v>0.70980392319022445</v>
      </c>
      <c r="AC4" s="1">
        <v>0.70502451130294008</v>
      </c>
      <c r="AD4" s="1">
        <v>0.7412990230774763</v>
      </c>
      <c r="AE4" s="1">
        <v>0.62340686454953553</v>
      </c>
      <c r="AF4" s="1">
        <v>0.59399509902920244</v>
      </c>
      <c r="AG4" s="1">
        <v>0.6390931381825723</v>
      </c>
      <c r="AH4" s="1">
        <v>0.59031862871465735</v>
      </c>
      <c r="AI4">
        <v>0.56053921732339351</v>
      </c>
      <c r="AJ4">
        <f t="shared" si="1"/>
        <v>0.63021968165234143</v>
      </c>
      <c r="AK4" s="5">
        <f t="shared" si="2"/>
        <v>6.0538140103089742E-2</v>
      </c>
      <c r="AL4" s="10">
        <f t="shared" si="3"/>
        <v>0.55294117693077116</v>
      </c>
      <c r="AM4" s="1">
        <f t="shared" si="4"/>
        <v>0.7637254911748802</v>
      </c>
      <c r="AN4" s="13">
        <f t="shared" si="5"/>
        <v>70.223529470207936</v>
      </c>
      <c r="AO4" s="13">
        <f t="shared" si="6"/>
        <v>96.993137379209784</v>
      </c>
    </row>
    <row r="5" spans="1:43">
      <c r="A5" s="4">
        <f t="shared" si="7"/>
        <v>3</v>
      </c>
      <c r="B5" s="4" t="str">
        <f t="shared" si="8"/>
        <v>Closed</v>
      </c>
      <c r="C5" s="4">
        <f t="shared" ref="C5:C10" si="9">C4+1</f>
        <v>2</v>
      </c>
      <c r="D5" s="1"/>
      <c r="E5" s="1">
        <v>0.7665441184578573</v>
      </c>
      <c r="F5" s="1">
        <v>1.1289215688831082</v>
      </c>
      <c r="G5" s="1"/>
      <c r="H5" s="1">
        <v>0.91127451017645056</v>
      </c>
      <c r="I5" s="1">
        <v>0.83504902136137749</v>
      </c>
      <c r="J5" s="1">
        <v>0.83137255226280171</v>
      </c>
      <c r="K5" s="1"/>
      <c r="L5" s="1">
        <v>0.91433823577507267</v>
      </c>
      <c r="M5" s="1">
        <v>0.82769608189370114</v>
      </c>
      <c r="N5" s="1">
        <v>1.0582107855043574</v>
      </c>
      <c r="O5" s="1"/>
      <c r="P5" s="1">
        <v>0.77046568685156458</v>
      </c>
      <c r="Q5" s="1"/>
      <c r="R5" s="1">
        <v>0.88308823687188764</v>
      </c>
      <c r="S5" s="1">
        <v>0.91470588577144285</v>
      </c>
      <c r="T5" s="1">
        <v>0.83161764738706911</v>
      </c>
      <c r="U5" s="1">
        <v>0.82610294473375756</v>
      </c>
      <c r="V5" s="1">
        <v>0.83125000325049836</v>
      </c>
      <c r="W5" s="1">
        <v>0.9996323532477368</v>
      </c>
      <c r="X5" s="1">
        <v>0.91360294141021425</v>
      </c>
      <c r="Y5" s="1">
        <v>0.93333333425369913</v>
      </c>
      <c r="Z5" s="1">
        <v>0.81556372595037896</v>
      </c>
      <c r="AA5" s="1">
        <v>0.79203431552992765</v>
      </c>
      <c r="AB5" s="1">
        <v>1.0019607874400476</v>
      </c>
      <c r="AC5" s="1">
        <v>0.9931372585542062</v>
      </c>
      <c r="AD5" s="1">
        <v>1.0729166669807597</v>
      </c>
      <c r="AE5" s="1">
        <v>0.88737745230250498</v>
      </c>
      <c r="AF5" s="1">
        <v>0.8399509819699269</v>
      </c>
      <c r="AG5" s="1">
        <v>0.90968137615059008</v>
      </c>
      <c r="AH5" s="1">
        <v>0.82843137596752126</v>
      </c>
      <c r="AI5">
        <v>0.78541666706110913</v>
      </c>
      <c r="AJ5">
        <f t="shared" si="1"/>
        <v>0.8927287598518362</v>
      </c>
      <c r="AK5" s="5">
        <f t="shared" si="2"/>
        <v>9.6385125844726041E-2</v>
      </c>
      <c r="AL5" s="10">
        <f t="shared" si="3"/>
        <v>0.7665441184578573</v>
      </c>
      <c r="AM5" s="1">
        <f t="shared" si="4"/>
        <v>1.1289215688831082</v>
      </c>
      <c r="AN5" s="13">
        <f t="shared" si="5"/>
        <v>97.351103044147877</v>
      </c>
      <c r="AO5" s="13">
        <f t="shared" si="6"/>
        <v>143.37303924815475</v>
      </c>
    </row>
    <row r="6" spans="1:43">
      <c r="A6" s="4">
        <f t="shared" si="7"/>
        <v>4</v>
      </c>
      <c r="B6" s="4" t="str">
        <f t="shared" si="8"/>
        <v>Closed</v>
      </c>
      <c r="C6" s="4">
        <f t="shared" si="9"/>
        <v>3</v>
      </c>
      <c r="D6" s="1"/>
      <c r="E6" s="1">
        <v>0.89129902069621225</v>
      </c>
      <c r="F6" s="1">
        <v>1.32732843171586</v>
      </c>
      <c r="G6" s="1"/>
      <c r="H6" s="1">
        <v>1.0509803937784596</v>
      </c>
      <c r="I6" s="1">
        <v>0.96544117804835827</v>
      </c>
      <c r="J6" s="1">
        <v>0.95269607890616448</v>
      </c>
      <c r="K6" s="1"/>
      <c r="L6" s="1">
        <v>1.0515931388399764</v>
      </c>
      <c r="M6" s="1">
        <v>0.93602941252437288</v>
      </c>
      <c r="N6" s="1">
        <v>1.2117647064580381</v>
      </c>
      <c r="O6" s="1"/>
      <c r="P6" s="1">
        <v>0.88872549143784185</v>
      </c>
      <c r="Q6" s="1"/>
      <c r="R6" s="1">
        <v>1.007843138876499</v>
      </c>
      <c r="S6" s="1">
        <v>1.0430147061160966</v>
      </c>
      <c r="T6" s="1">
        <v>0.92598039351549799</v>
      </c>
      <c r="U6" s="1">
        <v>0.93321078524139578</v>
      </c>
      <c r="V6" s="1">
        <v>0.93321078524139578</v>
      </c>
      <c r="W6" s="1">
        <v>1.1655637290333307</v>
      </c>
      <c r="X6" s="1">
        <v>1.0620098048857614</v>
      </c>
      <c r="Y6" s="1">
        <v>1.0667892163655921</v>
      </c>
      <c r="Z6" s="1">
        <v>0.9131127454192085</v>
      </c>
      <c r="AA6" s="1">
        <v>0.91764706206672331</v>
      </c>
      <c r="AB6" s="1">
        <v>1.1375000016069881</v>
      </c>
      <c r="AC6" s="1">
        <v>1.1620098053482271</v>
      </c>
      <c r="AD6" s="1">
        <v>1.2435049023908362</v>
      </c>
      <c r="AE6" s="1">
        <v>1.0007352946495054</v>
      </c>
      <c r="AF6" s="1">
        <v>0.96825980533133538</v>
      </c>
      <c r="AG6" s="1">
        <v>1.0156862756639136</v>
      </c>
      <c r="AH6" s="1">
        <v>0.98725490223835499</v>
      </c>
      <c r="AI6">
        <v>0.9040441179757609</v>
      </c>
      <c r="AJ6">
        <f t="shared" si="1"/>
        <v>1.0245642712730263</v>
      </c>
      <c r="AK6" s="5">
        <f t="shared" si="2"/>
        <v>0.11670350344212714</v>
      </c>
      <c r="AL6" s="10">
        <f t="shared" si="3"/>
        <v>0.88872549143784185</v>
      </c>
      <c r="AM6" s="1">
        <f t="shared" si="4"/>
        <v>1.32732843171586</v>
      </c>
      <c r="AN6" s="13">
        <f t="shared" si="5"/>
        <v>112.86813741260592</v>
      </c>
      <c r="AO6" s="13">
        <f t="shared" si="6"/>
        <v>168.57071082791421</v>
      </c>
    </row>
    <row r="7" spans="1:43">
      <c r="A7" s="4">
        <f t="shared" si="7"/>
        <v>5</v>
      </c>
      <c r="B7" s="4" t="str">
        <f t="shared" si="8"/>
        <v>Closed</v>
      </c>
      <c r="C7" s="4">
        <f t="shared" si="9"/>
        <v>4</v>
      </c>
      <c r="D7" s="1"/>
      <c r="E7" s="1">
        <v>0.98946078562396855</v>
      </c>
      <c r="F7" s="1">
        <v>1.5606617658672963</v>
      </c>
      <c r="G7" s="1"/>
      <c r="H7" s="1">
        <v>1.1686274512068313</v>
      </c>
      <c r="I7" s="1">
        <v>1.0588235305658742</v>
      </c>
      <c r="J7" s="1">
        <v>1.0828431407026216</v>
      </c>
      <c r="K7" s="1"/>
      <c r="L7" s="1">
        <v>1.1844362756566089</v>
      </c>
      <c r="M7" s="1">
        <v>1.0482843155659936</v>
      </c>
      <c r="N7" s="1">
        <v>1.3376225524746319</v>
      </c>
      <c r="O7" s="1"/>
      <c r="P7" s="1">
        <v>0.99031862940858395</v>
      </c>
      <c r="Q7" s="1"/>
      <c r="R7" s="1">
        <v>1.127083333698558</v>
      </c>
      <c r="S7" s="1">
        <v>1.160784313944625</v>
      </c>
      <c r="T7" s="1">
        <v>1.0545343151352569</v>
      </c>
      <c r="U7" s="1">
        <v>1.0409313730233549</v>
      </c>
      <c r="V7" s="1">
        <v>1.0544117661229535</v>
      </c>
      <c r="W7" s="1">
        <v>1.2997549026670372</v>
      </c>
      <c r="X7" s="1">
        <v>1.2117647061087922</v>
      </c>
      <c r="Y7" s="1">
        <v>1.1921568634317201</v>
      </c>
      <c r="Z7" s="1">
        <v>1.036887255500929</v>
      </c>
      <c r="AA7" s="1">
        <v>1.0235294124513281</v>
      </c>
      <c r="AB7" s="1">
        <v>1.2587009834089116</v>
      </c>
      <c r="AC7" s="1">
        <v>1.325245098506703</v>
      </c>
      <c r="AD7" s="1">
        <v>1.4859068632043679</v>
      </c>
      <c r="AE7" s="1">
        <v>1.1333333350722588</v>
      </c>
      <c r="AF7" s="1">
        <v>1.0693627456239625</v>
      </c>
      <c r="AG7" s="1">
        <v>1.1609068630733437</v>
      </c>
      <c r="AH7" s="1">
        <v>1.1512254909849635</v>
      </c>
      <c r="AI7">
        <v>1.0023284323333179</v>
      </c>
      <c r="AJ7">
        <f t="shared" si="1"/>
        <v>1.1559232037542513</v>
      </c>
      <c r="AK7" s="5">
        <f t="shared" si="2"/>
        <v>0.14551433321189355</v>
      </c>
      <c r="AL7" s="10">
        <f t="shared" si="3"/>
        <v>0.98946078562396855</v>
      </c>
      <c r="AM7" s="1">
        <f t="shared" si="4"/>
        <v>1.5606617658672963</v>
      </c>
      <c r="AN7" s="13">
        <f t="shared" si="5"/>
        <v>125.66151977424401</v>
      </c>
      <c r="AO7" s="13">
        <f t="shared" si="6"/>
        <v>198.20404426514662</v>
      </c>
    </row>
    <row r="8" spans="1:43">
      <c r="A8" s="4">
        <f t="shared" si="7"/>
        <v>6</v>
      </c>
      <c r="B8" s="4" t="str">
        <f t="shared" si="8"/>
        <v>Closed</v>
      </c>
      <c r="C8" s="4">
        <f t="shared" si="9"/>
        <v>5</v>
      </c>
      <c r="D8" s="1"/>
      <c r="E8" s="1">
        <v>1.0549019621721669</v>
      </c>
      <c r="F8" s="1">
        <v>1.6401960809057687</v>
      </c>
      <c r="G8" s="1"/>
      <c r="H8" s="1">
        <v>1.2279411775954798</v>
      </c>
      <c r="I8" s="1">
        <v>1.1098039222552496</v>
      </c>
      <c r="J8" s="1">
        <v>1.132475491695097</v>
      </c>
      <c r="K8" s="1"/>
      <c r="L8" s="1">
        <v>1.2370098046223432</v>
      </c>
      <c r="M8" s="1">
        <v>1.0988970601602512</v>
      </c>
      <c r="N8" s="1">
        <v>1.3998774526092936</v>
      </c>
      <c r="O8" s="1"/>
      <c r="P8" s="1">
        <v>1.0395833337716027</v>
      </c>
      <c r="Q8" s="1"/>
      <c r="R8" s="1">
        <v>1.1729166680926402</v>
      </c>
      <c r="S8" s="1">
        <v>1.1926470594809335</v>
      </c>
      <c r="T8" s="1">
        <v>1.0861519640348121</v>
      </c>
      <c r="U8" s="1">
        <v>1.081127454297544</v>
      </c>
      <c r="V8" s="1">
        <v>1.1053921578123289</v>
      </c>
      <c r="W8" s="1">
        <v>1.3921568629715373</v>
      </c>
      <c r="X8" s="1">
        <v>1.2627450996608127</v>
      </c>
      <c r="Y8" s="1">
        <v>1.254901961010753</v>
      </c>
      <c r="Z8" s="1">
        <v>1.0835784347764417</v>
      </c>
      <c r="AA8" s="1">
        <v>1.0845588238581139</v>
      </c>
      <c r="AB8" s="1">
        <v>1.3214460791252991</v>
      </c>
      <c r="AC8" s="1">
        <v>1.3803921603396827</v>
      </c>
      <c r="AD8" s="1">
        <v>1.6274509812979137</v>
      </c>
      <c r="AE8" s="1">
        <v>1.1840686286196989</v>
      </c>
      <c r="AF8" s="1">
        <v>1.1176470590426641</v>
      </c>
      <c r="AG8" s="1">
        <v>1.2120098042498142</v>
      </c>
      <c r="AH8" s="1">
        <v>1.2196078447588519</v>
      </c>
      <c r="AI8">
        <v>1.075367648041734</v>
      </c>
      <c r="AJ8">
        <f t="shared" si="1"/>
        <v>1.2146241843429195</v>
      </c>
      <c r="AK8" s="5">
        <f t="shared" si="2"/>
        <v>0.15938489683782434</v>
      </c>
      <c r="AL8" s="10">
        <f t="shared" si="3"/>
        <v>1.0395833337716027</v>
      </c>
      <c r="AM8" s="1">
        <f t="shared" si="4"/>
        <v>1.6401960809057687</v>
      </c>
      <c r="AN8" s="13">
        <f t="shared" si="5"/>
        <v>132.02708338899356</v>
      </c>
      <c r="AO8" s="13">
        <f t="shared" si="6"/>
        <v>208.30490227503262</v>
      </c>
    </row>
    <row r="9" spans="1:43">
      <c r="A9" s="4">
        <f t="shared" si="7"/>
        <v>7</v>
      </c>
      <c r="B9" s="4" t="str">
        <f t="shared" si="8"/>
        <v>Closed</v>
      </c>
      <c r="C9" s="4">
        <f t="shared" si="9"/>
        <v>6</v>
      </c>
      <c r="D9" s="1"/>
      <c r="E9" s="1">
        <v>1.2142156875190124</v>
      </c>
      <c r="F9" s="1">
        <v>1.9324754911529667</v>
      </c>
      <c r="G9" s="1"/>
      <c r="H9" s="1">
        <v>1.388480395151704</v>
      </c>
      <c r="I9" s="1">
        <v>1.2784313732356418</v>
      </c>
      <c r="J9" s="1">
        <v>1.3077205897473236</v>
      </c>
      <c r="K9" s="1"/>
      <c r="L9" s="1">
        <v>1.4730392166796853</v>
      </c>
      <c r="M9" s="1">
        <v>1.2547794119984497</v>
      </c>
      <c r="N9" s="1">
        <v>1.60392157093567</v>
      </c>
      <c r="O9" s="1"/>
      <c r="P9" s="1">
        <v>1.1709558834301252</v>
      </c>
      <c r="Q9" s="1"/>
      <c r="R9" s="1">
        <v>1.3850490202579429</v>
      </c>
      <c r="S9" s="1">
        <v>1.3924019611125593</v>
      </c>
      <c r="T9" s="1">
        <v>1.2590686304458216</v>
      </c>
      <c r="U9" s="1">
        <v>1.2705882352941176</v>
      </c>
      <c r="V9" s="1">
        <v>1.2784313732356418</v>
      </c>
      <c r="W9" s="1">
        <v>1.6158088251290952</v>
      </c>
      <c r="X9" s="1">
        <v>1.4632352956954171</v>
      </c>
      <c r="Y9" s="1">
        <v>1.4400735323700835</v>
      </c>
      <c r="Z9" s="1">
        <v>1.2383578436412648</v>
      </c>
      <c r="AA9" s="1">
        <v>1.2498774515063156</v>
      </c>
      <c r="AB9" s="1">
        <v>1.4823529416147401</v>
      </c>
      <c r="AC9" s="1">
        <v>1.6004901985911761</v>
      </c>
      <c r="AD9" s="1">
        <v>2.0158088246762169</v>
      </c>
      <c r="AE9" s="1">
        <v>1.3802696113273794</v>
      </c>
      <c r="AF9" s="1">
        <v>1.3212009811006924</v>
      </c>
      <c r="AG9" s="1">
        <v>1.4056372561875512</v>
      </c>
      <c r="AH9" s="1">
        <v>1.4550245118710925</v>
      </c>
      <c r="AI9">
        <v>1.2436274516359702</v>
      </c>
      <c r="AJ9">
        <f t="shared" si="1"/>
        <v>1.4119008727979134</v>
      </c>
      <c r="AK9" s="5">
        <f t="shared" si="2"/>
        <v>0.20295315149227566</v>
      </c>
      <c r="AL9" s="10">
        <f t="shared" si="3"/>
        <v>1.1709558834301252</v>
      </c>
      <c r="AM9" s="1">
        <f t="shared" si="4"/>
        <v>2.0158088246762169</v>
      </c>
      <c r="AN9" s="13">
        <f t="shared" si="5"/>
        <v>148.71139719562589</v>
      </c>
      <c r="AO9" s="13">
        <f t="shared" si="6"/>
        <v>256.00772073387952</v>
      </c>
    </row>
    <row r="10" spans="1:43">
      <c r="A10" s="4">
        <f t="shared" si="7"/>
        <v>8</v>
      </c>
      <c r="B10" s="4" t="str">
        <f t="shared" si="8"/>
        <v>Closed</v>
      </c>
      <c r="C10" s="4">
        <f t="shared" si="9"/>
        <v>7</v>
      </c>
      <c r="D10" s="1"/>
      <c r="E10" s="1">
        <v>1.3860294123563697</v>
      </c>
      <c r="F10" s="1">
        <v>2.1888480423077685</v>
      </c>
      <c r="G10" s="1"/>
      <c r="H10" s="1">
        <v>1.5640931382117902</v>
      </c>
      <c r="I10" s="1">
        <v>1.4493872573051383</v>
      </c>
      <c r="J10" s="1">
        <v>1.4808823534670998</v>
      </c>
      <c r="K10" s="1"/>
      <c r="L10" s="1">
        <v>1.671200986140791</v>
      </c>
      <c r="M10" s="1">
        <v>1.412867647913449</v>
      </c>
      <c r="N10" s="1">
        <v>1.780392157768502</v>
      </c>
      <c r="O10" s="1"/>
      <c r="P10" s="1">
        <v>1.3225490202360293</v>
      </c>
      <c r="Q10" s="1"/>
      <c r="R10" s="1">
        <v>1.5857843171147739</v>
      </c>
      <c r="S10" s="1">
        <v>1.5924019637791549</v>
      </c>
      <c r="T10" s="1">
        <v>1.4629901976708104</v>
      </c>
      <c r="U10" s="1">
        <v>1.3873774514917065</v>
      </c>
      <c r="V10" s="1">
        <v>1.4784313732210328</v>
      </c>
      <c r="W10" s="1">
        <v>1.8116421633564375</v>
      </c>
      <c r="X10" s="1">
        <v>1.666666672685567</v>
      </c>
      <c r="Y10" s="1">
        <v>1.6631127513287698</v>
      </c>
      <c r="Z10" s="1">
        <v>1.4518382375512053</v>
      </c>
      <c r="AA10" s="1">
        <v>1.4236519611125593</v>
      </c>
      <c r="AB10" s="1">
        <v>1.6855392205802833</v>
      </c>
      <c r="AC10" s="1">
        <v>1.8480392162044368</v>
      </c>
      <c r="AD10" s="1">
        <v>2.5083333361966935</v>
      </c>
      <c r="AE10" s="1">
        <v>1.5686274516670142</v>
      </c>
      <c r="AF10" s="1">
        <v>1.5177696136209895</v>
      </c>
      <c r="AG10" s="1">
        <v>1.6063725511817371</v>
      </c>
      <c r="AH10" s="1">
        <v>1.6900735340355073</v>
      </c>
      <c r="AI10">
        <v>1.4414215715054204</v>
      </c>
      <c r="AJ10">
        <f t="shared" si="1"/>
        <v>1.616530503704112</v>
      </c>
      <c r="AK10" s="5">
        <f t="shared" si="2"/>
        <v>0.2551895793622303</v>
      </c>
      <c r="AL10" s="10">
        <f t="shared" si="3"/>
        <v>1.3225490202360293</v>
      </c>
      <c r="AM10" s="1">
        <f t="shared" si="4"/>
        <v>2.5083333361966935</v>
      </c>
      <c r="AN10" s="13">
        <f t="shared" si="5"/>
        <v>167.96372556997571</v>
      </c>
      <c r="AO10" s="13">
        <f t="shared" si="6"/>
        <v>318.55833369698007</v>
      </c>
    </row>
    <row r="11" spans="1:43">
      <c r="A11" s="4">
        <f t="shared" si="7"/>
        <v>9</v>
      </c>
      <c r="B11" s="4">
        <v>4</v>
      </c>
      <c r="C11" s="4" t="str">
        <f>C2</f>
        <v>amb</v>
      </c>
      <c r="D11" s="1"/>
      <c r="E11" s="1">
        <v>0.18110236525535583</v>
      </c>
      <c r="F11" s="1">
        <v>0.18110236525535583</v>
      </c>
      <c r="G11" s="1"/>
      <c r="H11" s="1">
        <v>0.18110236525535583</v>
      </c>
      <c r="I11" s="1">
        <v>0.19143700355198234</v>
      </c>
      <c r="J11" s="1">
        <v>0.17347440880257636</v>
      </c>
      <c r="K11" s="1"/>
      <c r="L11" s="1">
        <v>0.20472441613674164</v>
      </c>
      <c r="M11" s="1">
        <v>0.17618110531475395</v>
      </c>
      <c r="N11" s="1">
        <v>0.19685038924217224</v>
      </c>
      <c r="O11" s="1"/>
      <c r="P11" s="1">
        <v>0.19881890376564115</v>
      </c>
      <c r="Q11" s="1"/>
      <c r="R11" s="1">
        <v>0.19685038924217224</v>
      </c>
      <c r="S11" s="1">
        <v>0.18503937125205994</v>
      </c>
      <c r="T11" s="1">
        <v>0.20472441613674164</v>
      </c>
      <c r="U11" s="1">
        <v>0.18380905443336815</v>
      </c>
      <c r="V11" s="1">
        <v>0.19685038924217224</v>
      </c>
      <c r="W11" s="1">
        <v>0.18897637724876404</v>
      </c>
      <c r="X11" s="1">
        <v>0.18380905443336815</v>
      </c>
      <c r="Y11" s="1">
        <v>0.18897637724876404</v>
      </c>
      <c r="Z11" s="1">
        <v>0.18110236525535583</v>
      </c>
      <c r="AA11" s="1">
        <v>0.18897637724876404</v>
      </c>
      <c r="AB11" s="1">
        <v>0.18380905443336815</v>
      </c>
      <c r="AC11" s="1">
        <v>0.20472441613674164</v>
      </c>
      <c r="AD11" s="1">
        <v>0.18897637724876404</v>
      </c>
      <c r="AE11" s="1">
        <v>0.19685038924217224</v>
      </c>
      <c r="AF11" s="1">
        <v>0.18897637724876404</v>
      </c>
      <c r="AG11" s="1">
        <v>0.19685038924217224</v>
      </c>
      <c r="AH11" s="1">
        <v>0.19685038924217224</v>
      </c>
      <c r="AI11">
        <v>0.19119094067718834</v>
      </c>
      <c r="AJ11">
        <f t="shared" si="1"/>
        <v>0.19007910473306697</v>
      </c>
      <c r="AK11" s="5">
        <f t="shared" si="2"/>
        <v>8.6349883612977536E-3</v>
      </c>
      <c r="AL11" s="10">
        <f t="shared" si="3"/>
        <v>0.17347440880257636</v>
      </c>
      <c r="AM11" s="1">
        <f t="shared" si="4"/>
        <v>0.20472441613674164</v>
      </c>
      <c r="AN11" s="13">
        <f t="shared" si="5"/>
        <v>22.031249917927198</v>
      </c>
      <c r="AO11" s="13">
        <f t="shared" si="6"/>
        <v>26.000000849366188</v>
      </c>
      <c r="AP11" s="7"/>
    </row>
    <row r="12" spans="1:43">
      <c r="A12" s="4">
        <f t="shared" si="7"/>
        <v>10</v>
      </c>
      <c r="B12" s="4">
        <f>B11</f>
        <v>4</v>
      </c>
      <c r="C12" s="4">
        <f t="shared" ref="C12:C46" si="10">C3</f>
        <v>0</v>
      </c>
      <c r="D12" s="1"/>
      <c r="E12" s="1">
        <v>0.28627451165926221</v>
      </c>
      <c r="F12" s="1">
        <v>0.42181372698031222</v>
      </c>
      <c r="G12" s="1"/>
      <c r="H12" s="1">
        <v>0.36752451125751523</v>
      </c>
      <c r="I12" s="1">
        <v>0.31017157022713449</v>
      </c>
      <c r="J12" s="1">
        <v>0.3137254915839317</v>
      </c>
      <c r="K12" s="1"/>
      <c r="L12" s="1">
        <v>0.34926470725559722</v>
      </c>
      <c r="M12" s="1">
        <v>0.29914215725718762</v>
      </c>
      <c r="N12" s="1">
        <v>0.42328431442489517</v>
      </c>
      <c r="O12" s="1"/>
      <c r="P12" s="1">
        <v>0.29411764844667676</v>
      </c>
      <c r="Q12" s="1"/>
      <c r="R12" s="1">
        <v>0.32156862930632107</v>
      </c>
      <c r="S12" s="1">
        <v>0.33688725584424012</v>
      </c>
      <c r="T12" s="1">
        <v>0.32156862930632107</v>
      </c>
      <c r="U12" s="1">
        <v>0.30588235479651715</v>
      </c>
      <c r="V12" s="1">
        <v>0.30183823622178796</v>
      </c>
      <c r="W12" s="1">
        <v>0.39509804072200921</v>
      </c>
      <c r="X12" s="1">
        <v>0.34901960923099051</v>
      </c>
      <c r="Y12" s="1">
        <v>0.36286764878998784</v>
      </c>
      <c r="Z12" s="1">
        <v>0.30674019788264062</v>
      </c>
      <c r="AA12" s="1">
        <v>0.31286764849780824</v>
      </c>
      <c r="AB12" s="1">
        <v>0.37634804102012376</v>
      </c>
      <c r="AC12" s="1">
        <v>0.39595588415737865</v>
      </c>
      <c r="AD12" s="1">
        <v>0.38431372687804932</v>
      </c>
      <c r="AE12" s="1">
        <v>0.33174019621613243</v>
      </c>
      <c r="AF12" s="1">
        <v>0.3111519623255613</v>
      </c>
      <c r="AG12" s="1">
        <v>0.34705882503413688</v>
      </c>
      <c r="AH12" s="1">
        <v>0.31924019708302714</v>
      </c>
      <c r="AI12">
        <v>0.29803921614645745</v>
      </c>
      <c r="AJ12">
        <f t="shared" si="1"/>
        <v>0.33864833105748154</v>
      </c>
      <c r="AK12" s="5">
        <f t="shared" si="2"/>
        <v>3.9717622725646447E-2</v>
      </c>
      <c r="AL12" s="10">
        <f t="shared" si="3"/>
        <v>0.28627451165926221</v>
      </c>
      <c r="AM12" s="1">
        <f t="shared" si="4"/>
        <v>0.42328431442489517</v>
      </c>
      <c r="AN12" s="13">
        <f t="shared" si="5"/>
        <v>36.356862980726298</v>
      </c>
      <c r="AO12" s="13">
        <f t="shared" si="6"/>
        <v>53.757107931961684</v>
      </c>
    </row>
    <row r="13" spans="1:43">
      <c r="A13" s="4">
        <f t="shared" si="7"/>
        <v>11</v>
      </c>
      <c r="B13" s="4">
        <f t="shared" ref="B13:B19" si="11">B12</f>
        <v>4</v>
      </c>
      <c r="C13" s="4">
        <f t="shared" si="10"/>
        <v>1</v>
      </c>
      <c r="D13" s="1"/>
      <c r="E13" s="1">
        <v>0.56078431558083086</v>
      </c>
      <c r="F13" s="1">
        <v>0.77254902006072157</v>
      </c>
      <c r="G13" s="1"/>
      <c r="H13" s="1">
        <v>0.65857843486409562</v>
      </c>
      <c r="I13" s="1">
        <v>0.60049019673583559</v>
      </c>
      <c r="J13" s="1">
        <v>0.61188725581502212</v>
      </c>
      <c r="K13" s="1"/>
      <c r="L13" s="1">
        <v>0.65477941536627637</v>
      </c>
      <c r="M13" s="1">
        <v>0.59644607932982496</v>
      </c>
      <c r="N13" s="1">
        <v>0.75306372710448855</v>
      </c>
      <c r="O13" s="1"/>
      <c r="P13" s="1">
        <v>0.5803921587180858</v>
      </c>
      <c r="Q13" s="1"/>
      <c r="R13" s="1">
        <v>0.62830882509987729</v>
      </c>
      <c r="S13" s="1">
        <v>0.64546568682234662</v>
      </c>
      <c r="T13" s="1">
        <v>0.60392156908032946</v>
      </c>
      <c r="U13" s="1">
        <v>0.58823529550550036</v>
      </c>
      <c r="V13" s="1">
        <v>0.59571078525600485</v>
      </c>
      <c r="W13" s="1">
        <v>0.7099264722025278</v>
      </c>
      <c r="X13" s="1">
        <v>0.63872549114566224</v>
      </c>
      <c r="Y13" s="1">
        <v>0.67843137370312911</v>
      </c>
      <c r="Z13" s="1">
        <v>0.58848039353010706</v>
      </c>
      <c r="AA13" s="1">
        <v>0.58823529550550036</v>
      </c>
      <c r="AB13" s="1">
        <v>0.72046568726061611</v>
      </c>
      <c r="AC13" s="1">
        <v>0.71372549158393173</v>
      </c>
      <c r="AD13" s="1">
        <v>0.75110294406174449</v>
      </c>
      <c r="AE13" s="1">
        <v>0.63075980534594434</v>
      </c>
      <c r="AF13" s="1">
        <v>0.60392157001530422</v>
      </c>
      <c r="AG13" s="1">
        <v>0.65073529435139077</v>
      </c>
      <c r="AH13" s="1">
        <v>0.60367647105572275</v>
      </c>
      <c r="AI13">
        <v>0.57218137372504263</v>
      </c>
      <c r="AJ13">
        <f t="shared" si="1"/>
        <v>0.6407770529194764</v>
      </c>
      <c r="AK13" s="5">
        <f t="shared" si="2"/>
        <v>6.0275975954650819E-2</v>
      </c>
      <c r="AL13" s="10">
        <f t="shared" si="3"/>
        <v>0.56078431558083086</v>
      </c>
      <c r="AM13" s="1">
        <f t="shared" si="4"/>
        <v>0.77254902006072157</v>
      </c>
      <c r="AN13" s="13">
        <f t="shared" si="5"/>
        <v>71.219608078765518</v>
      </c>
      <c r="AO13" s="13">
        <f t="shared" si="6"/>
        <v>98.113725547711638</v>
      </c>
    </row>
    <row r="14" spans="1:43">
      <c r="A14" s="4">
        <f t="shared" si="7"/>
        <v>12</v>
      </c>
      <c r="B14" s="4">
        <f t="shared" si="11"/>
        <v>4</v>
      </c>
      <c r="C14" s="4">
        <f t="shared" si="10"/>
        <v>2</v>
      </c>
      <c r="D14" s="1"/>
      <c r="E14" s="1">
        <v>0.77647058845442885</v>
      </c>
      <c r="F14" s="1">
        <v>1.1437500011180437</v>
      </c>
      <c r="G14" s="1"/>
      <c r="H14" s="1">
        <v>0.92598039351549799</v>
      </c>
      <c r="I14" s="1">
        <v>0.84779411875734145</v>
      </c>
      <c r="J14" s="1">
        <v>0.843995100530047</v>
      </c>
      <c r="K14" s="1"/>
      <c r="L14" s="1">
        <v>0.93774509869661982</v>
      </c>
      <c r="M14" s="1">
        <v>0.83786764991487939</v>
      </c>
      <c r="N14" s="1">
        <v>1.0725490198274343</v>
      </c>
      <c r="O14" s="1"/>
      <c r="P14" s="1">
        <v>0.78639706217629068</v>
      </c>
      <c r="Q14" s="1"/>
      <c r="R14" s="1">
        <v>0.8991421574836268</v>
      </c>
      <c r="S14" s="1">
        <v>0.92941176724784513</v>
      </c>
      <c r="T14" s="1">
        <v>0.85085784406492526</v>
      </c>
      <c r="U14" s="1">
        <v>0.84215686534549672</v>
      </c>
      <c r="V14" s="1">
        <v>0.84607843373920399</v>
      </c>
      <c r="W14" s="1">
        <v>1.0159313736885203</v>
      </c>
      <c r="X14" s="1">
        <v>0.93174019709375555</v>
      </c>
      <c r="Y14" s="1">
        <v>0.94889706242509986</v>
      </c>
      <c r="Z14" s="1">
        <v>0.82757353288139779</v>
      </c>
      <c r="AA14" s="1">
        <v>0.80735294212605435</v>
      </c>
      <c r="AB14" s="1">
        <v>1.0161764728672364</v>
      </c>
      <c r="AC14" s="1">
        <v>1.0078431400306085</v>
      </c>
      <c r="AD14" s="1">
        <v>1.0872549051455422</v>
      </c>
      <c r="AE14" s="1">
        <v>0.89840686340980669</v>
      </c>
      <c r="AF14" s="1">
        <v>0.85196078517565543</v>
      </c>
      <c r="AG14" s="1">
        <v>0.92549019885413786</v>
      </c>
      <c r="AH14" s="1">
        <v>0.84301470843162019</v>
      </c>
      <c r="AI14">
        <v>0.80000000138785321</v>
      </c>
      <c r="AJ14">
        <f t="shared" si="1"/>
        <v>0.90747549201440658</v>
      </c>
      <c r="AK14" s="5">
        <f t="shared" si="2"/>
        <v>9.6927043814836841E-2</v>
      </c>
      <c r="AL14" s="10">
        <f t="shared" si="3"/>
        <v>0.77647058845442885</v>
      </c>
      <c r="AM14" s="1">
        <f t="shared" si="4"/>
        <v>1.1437500011180437</v>
      </c>
      <c r="AN14" s="13">
        <f t="shared" si="5"/>
        <v>98.611764733712462</v>
      </c>
      <c r="AO14" s="13">
        <f t="shared" si="6"/>
        <v>145.25625014199156</v>
      </c>
    </row>
    <row r="15" spans="1:43">
      <c r="A15" s="4">
        <f t="shared" si="7"/>
        <v>13</v>
      </c>
      <c r="B15" s="4">
        <f t="shared" si="11"/>
        <v>4</v>
      </c>
      <c r="C15" s="4">
        <f t="shared" si="10"/>
        <v>3</v>
      </c>
      <c r="D15" s="1"/>
      <c r="E15" s="1">
        <v>0.90196078476660391</v>
      </c>
      <c r="F15" s="1">
        <v>1.3449754932128331</v>
      </c>
      <c r="G15" s="1"/>
      <c r="H15" s="1">
        <v>1.0687500005624457</v>
      </c>
      <c r="I15" s="1">
        <v>0.98174019668470414</v>
      </c>
      <c r="J15" s="1">
        <v>0.9666666681713918</v>
      </c>
      <c r="K15" s="1"/>
      <c r="L15" s="1">
        <v>1.0745098053630642</v>
      </c>
      <c r="M15" s="1">
        <v>0.94620098159328903</v>
      </c>
      <c r="N15" s="1">
        <v>1.2348039222844676</v>
      </c>
      <c r="O15" s="1"/>
      <c r="P15" s="1">
        <v>0.90465686303727766</v>
      </c>
      <c r="Q15" s="1"/>
      <c r="R15" s="1">
        <v>1.0237745104759348</v>
      </c>
      <c r="S15" s="1">
        <v>1.0584558836453795</v>
      </c>
      <c r="T15" s="1">
        <v>0.94411764733639414</v>
      </c>
      <c r="U15" s="1">
        <v>0.95183823883679564</v>
      </c>
      <c r="V15" s="1">
        <v>0.94877451317996586</v>
      </c>
      <c r="W15" s="1">
        <v>1.1844362770444623</v>
      </c>
      <c r="X15" s="1">
        <v>1.083333336751835</v>
      </c>
      <c r="Y15" s="1">
        <v>1.0823529446534081</v>
      </c>
      <c r="Z15" s="1">
        <v>0.92708333462622816</v>
      </c>
      <c r="AA15" s="1">
        <v>0.93431372773997923</v>
      </c>
      <c r="AB15" s="1">
        <v>1.1546568633294574</v>
      </c>
      <c r="AC15" s="1">
        <v>1.1834558849460355</v>
      </c>
      <c r="AD15" s="1">
        <v>1.2631127478518323</v>
      </c>
      <c r="AE15" s="1">
        <v>1.0155637266516102</v>
      </c>
      <c r="AF15" s="1">
        <v>0.98112745162318737</v>
      </c>
      <c r="AG15" s="1">
        <v>1.0324754913972107</v>
      </c>
      <c r="AH15" s="1">
        <v>1.0039215716369012</v>
      </c>
      <c r="AI15">
        <v>0.92022059132509371</v>
      </c>
      <c r="AJ15">
        <f t="shared" si="1"/>
        <v>1.0413807206936219</v>
      </c>
      <c r="AK15" s="5">
        <f t="shared" si="2"/>
        <v>0.1185628821734826</v>
      </c>
      <c r="AL15" s="10">
        <f t="shared" si="3"/>
        <v>0.90196078476660391</v>
      </c>
      <c r="AM15" s="1">
        <f t="shared" si="4"/>
        <v>1.3449754932128331</v>
      </c>
      <c r="AN15" s="13">
        <f t="shared" si="5"/>
        <v>114.5490196653587</v>
      </c>
      <c r="AO15" s="13">
        <f t="shared" si="6"/>
        <v>170.81188763802979</v>
      </c>
    </row>
    <row r="16" spans="1:43">
      <c r="A16" s="4">
        <f t="shared" si="7"/>
        <v>14</v>
      </c>
      <c r="B16" s="4">
        <f t="shared" si="11"/>
        <v>4</v>
      </c>
      <c r="C16" s="4">
        <f t="shared" si="10"/>
        <v>4</v>
      </c>
      <c r="D16" s="1"/>
      <c r="E16" s="1">
        <v>1.0035539245999912</v>
      </c>
      <c r="F16" s="1">
        <v>1.5843137289671336</v>
      </c>
      <c r="G16" s="1"/>
      <c r="H16" s="1">
        <v>1.1875000009641927</v>
      </c>
      <c r="I16" s="1">
        <v>1.0762254919427647</v>
      </c>
      <c r="J16" s="1">
        <v>1.1012254925481244</v>
      </c>
      <c r="K16" s="1"/>
      <c r="L16" s="1">
        <v>1.2140931403593105</v>
      </c>
      <c r="M16" s="1">
        <v>1.0621323542473107</v>
      </c>
      <c r="N16" s="1">
        <v>1.3609068648122689</v>
      </c>
      <c r="O16" s="1"/>
      <c r="P16" s="1">
        <v>1.0068627479321817</v>
      </c>
      <c r="Q16" s="1"/>
      <c r="R16" s="1">
        <v>1.1449754913574925</v>
      </c>
      <c r="S16" s="1">
        <v>1.1778186303800813</v>
      </c>
      <c r="T16" s="1">
        <v>1.0738970595448478</v>
      </c>
      <c r="U16" s="1">
        <v>1.0604166677258178</v>
      </c>
      <c r="V16" s="1">
        <v>1.0734068630299731</v>
      </c>
      <c r="W16" s="1">
        <v>1.323161765297546</v>
      </c>
      <c r="X16" s="1">
        <v>1.2345588242598609</v>
      </c>
      <c r="Y16" s="1">
        <v>1.215318630482344</v>
      </c>
      <c r="Z16" s="1">
        <v>1.0550245111844703</v>
      </c>
      <c r="AA16" s="1">
        <v>1.0437500032066716</v>
      </c>
      <c r="AB16" s="1">
        <v>1.276593139205201</v>
      </c>
      <c r="AC16" s="1">
        <v>1.3450980422251364</v>
      </c>
      <c r="AD16" s="1">
        <v>1.5083333396736314</v>
      </c>
      <c r="AE16" s="1">
        <v>1.1488970597511998</v>
      </c>
      <c r="AF16" s="1">
        <v>1.0859068660102054</v>
      </c>
      <c r="AG16" s="1">
        <v>1.184313728032159</v>
      </c>
      <c r="AH16" s="1">
        <v>1.1694852975434533</v>
      </c>
      <c r="AI16">
        <v>1.0208333341806544</v>
      </c>
      <c r="AJ16">
        <f t="shared" si="1"/>
        <v>1.1755038147949637</v>
      </c>
      <c r="AK16" s="5">
        <f t="shared" si="2"/>
        <v>0.14748860369941835</v>
      </c>
      <c r="AL16" s="10">
        <f t="shared" si="3"/>
        <v>1.0035539245999912</v>
      </c>
      <c r="AM16" s="1">
        <f t="shared" si="4"/>
        <v>1.5843137289671336</v>
      </c>
      <c r="AN16" s="13">
        <f t="shared" si="5"/>
        <v>127.45134842419888</v>
      </c>
      <c r="AO16" s="13">
        <f t="shared" si="6"/>
        <v>201.20784357882596</v>
      </c>
    </row>
    <row r="17" spans="1:41">
      <c r="A17" s="4">
        <f t="shared" si="7"/>
        <v>15</v>
      </c>
      <c r="B17" s="4">
        <f t="shared" si="11"/>
        <v>4</v>
      </c>
      <c r="C17" s="4">
        <f t="shared" si="10"/>
        <v>5</v>
      </c>
      <c r="D17" s="1"/>
      <c r="E17" s="1">
        <v>1.0670343143901988</v>
      </c>
      <c r="F17" s="1">
        <v>1.6628676533041631</v>
      </c>
      <c r="G17" s="1"/>
      <c r="H17" s="1">
        <v>1.2512254935419918</v>
      </c>
      <c r="I17" s="1">
        <v>1.1292892189367729</v>
      </c>
      <c r="J17" s="1">
        <v>1.1519607850587836</v>
      </c>
      <c r="K17" s="1"/>
      <c r="L17" s="1">
        <v>1.2707107866146401</v>
      </c>
      <c r="M17" s="1">
        <v>1.1109068633659798</v>
      </c>
      <c r="N17" s="1">
        <v>1.417401961368673</v>
      </c>
      <c r="O17" s="1"/>
      <c r="P17" s="1">
        <v>1.0574754914305373</v>
      </c>
      <c r="Q17" s="1"/>
      <c r="R17" s="1">
        <v>1.1922794124440235</v>
      </c>
      <c r="S17" s="1">
        <v>1.2123774541870636</v>
      </c>
      <c r="T17" s="1">
        <v>1.1071078451386853</v>
      </c>
      <c r="U17" s="1">
        <v>1.1002451004496976</v>
      </c>
      <c r="V17" s="1">
        <v>1.1240196114077288</v>
      </c>
      <c r="W17" s="1">
        <v>1.4183823534670998</v>
      </c>
      <c r="X17" s="1">
        <v>1.2904411800502453</v>
      </c>
      <c r="Y17" s="1">
        <v>1.2781862752110351</v>
      </c>
      <c r="Z17" s="1">
        <v>1.1042892178557082</v>
      </c>
      <c r="AA17" s="1">
        <v>1.1064950989230591</v>
      </c>
      <c r="AB17" s="1">
        <v>1.3386029445730587</v>
      </c>
      <c r="AC17" s="1">
        <v>1.4036764726773197</v>
      </c>
      <c r="AD17" s="1">
        <v>1.651348046147648</v>
      </c>
      <c r="AE17" s="1">
        <v>1.2000000002191347</v>
      </c>
      <c r="AF17" s="1">
        <v>1.1330882383181768</v>
      </c>
      <c r="AG17" s="1">
        <v>1.235294118333681</v>
      </c>
      <c r="AH17" s="1">
        <v>1.2431372551210955</v>
      </c>
      <c r="AI17">
        <v>1.0933823557607099</v>
      </c>
      <c r="AJ17">
        <f t="shared" si="1"/>
        <v>1.2352305758628486</v>
      </c>
      <c r="AK17" s="5">
        <f t="shared" si="2"/>
        <v>0.16132557082427262</v>
      </c>
      <c r="AL17" s="10">
        <f t="shared" si="3"/>
        <v>1.0574754914305373</v>
      </c>
      <c r="AM17" s="1">
        <f t="shared" si="4"/>
        <v>1.6628676533041631</v>
      </c>
      <c r="AN17" s="13">
        <f t="shared" si="5"/>
        <v>134.29938741167825</v>
      </c>
      <c r="AO17" s="13">
        <f t="shared" si="6"/>
        <v>211.1841919696287</v>
      </c>
    </row>
    <row r="18" spans="1:41">
      <c r="A18" s="4">
        <f t="shared" si="7"/>
        <v>16</v>
      </c>
      <c r="B18" s="4">
        <f t="shared" si="11"/>
        <v>4</v>
      </c>
      <c r="C18" s="4">
        <f t="shared" si="10"/>
        <v>6</v>
      </c>
      <c r="D18" s="1"/>
      <c r="E18" s="1">
        <v>1.2349264712967709</v>
      </c>
      <c r="F18" s="1">
        <v>1.9593137322979814</v>
      </c>
      <c r="G18" s="1"/>
      <c r="H18" s="1">
        <v>1.4131127466246778</v>
      </c>
      <c r="I18" s="1">
        <v>1.3015931402862657</v>
      </c>
      <c r="J18" s="1">
        <v>1.3305147070834851</v>
      </c>
      <c r="K18" s="1"/>
      <c r="L18" s="1">
        <v>1.5095588297966649</v>
      </c>
      <c r="M18" s="1">
        <v>1.271200981509744</v>
      </c>
      <c r="N18" s="1">
        <v>1.6257352951256667</v>
      </c>
      <c r="O18" s="1"/>
      <c r="P18" s="1">
        <v>1.188970589111833</v>
      </c>
      <c r="Q18" s="1"/>
      <c r="R18" s="1">
        <v>1.4110294127288987</v>
      </c>
      <c r="S18" s="1">
        <v>1.4441176477970337</v>
      </c>
      <c r="T18" s="1">
        <v>1.283210785869582</v>
      </c>
      <c r="U18" s="1">
        <v>1.2705882352941176</v>
      </c>
      <c r="V18" s="1">
        <v>1.2985294149786819</v>
      </c>
      <c r="W18" s="1">
        <v>1.6488970659015809</v>
      </c>
      <c r="X18" s="1">
        <v>1.4976715756032397</v>
      </c>
      <c r="Y18" s="1">
        <v>1.4653186289045741</v>
      </c>
      <c r="Z18" s="1">
        <v>1.2602941205688551</v>
      </c>
      <c r="AA18" s="1">
        <v>1.2748774518788446</v>
      </c>
      <c r="AB18" s="1">
        <v>1.507843143624418</v>
      </c>
      <c r="AC18" s="1">
        <v>1.6311274516670142</v>
      </c>
      <c r="AD18" s="1">
        <v>2.0436274541943682</v>
      </c>
      <c r="AE18" s="1">
        <v>1.4030637276158029</v>
      </c>
      <c r="AF18" s="1">
        <v>1.3401960817330023</v>
      </c>
      <c r="AG18" s="1">
        <v>1.4311274544719388</v>
      </c>
      <c r="AH18" s="1">
        <v>1.4824754910927047</v>
      </c>
      <c r="AI18">
        <v>1.2648284340240792</v>
      </c>
      <c r="AJ18">
        <f t="shared" si="1"/>
        <v>1.436805558188216</v>
      </c>
      <c r="AK18" s="5">
        <f t="shared" si="2"/>
        <v>0.20614477211168711</v>
      </c>
      <c r="AL18" s="10">
        <f t="shared" si="3"/>
        <v>1.188970589111833</v>
      </c>
      <c r="AM18" s="1">
        <f t="shared" si="4"/>
        <v>2.0436274541943682</v>
      </c>
      <c r="AN18" s="13">
        <f t="shared" si="5"/>
        <v>150.99926481720277</v>
      </c>
      <c r="AO18" s="13">
        <f t="shared" si="6"/>
        <v>259.54068668268474</v>
      </c>
    </row>
    <row r="19" spans="1:41">
      <c r="A19" s="4">
        <f t="shared" si="7"/>
        <v>17</v>
      </c>
      <c r="B19" s="4">
        <f t="shared" si="11"/>
        <v>4</v>
      </c>
      <c r="C19" s="4">
        <f t="shared" si="10"/>
        <v>7</v>
      </c>
      <c r="D19" s="1"/>
      <c r="E19" s="1">
        <v>1.4078431384090115</v>
      </c>
      <c r="F19" s="1">
        <v>2.2214460801625369</v>
      </c>
      <c r="G19" s="1"/>
      <c r="H19" s="1">
        <v>1.590686277606908</v>
      </c>
      <c r="I19" s="1">
        <v>1.4756127459380557</v>
      </c>
      <c r="J19" s="1">
        <v>1.5095588297966649</v>
      </c>
      <c r="K19" s="1"/>
      <c r="L19" s="1">
        <v>1.7117647092132007</v>
      </c>
      <c r="M19" s="1">
        <v>1.4344362778041293</v>
      </c>
      <c r="N19" s="1">
        <v>1.8121323594056509</v>
      </c>
      <c r="O19" s="1"/>
      <c r="P19" s="1">
        <v>1.3431372580282828</v>
      </c>
      <c r="Q19" s="1"/>
      <c r="R19" s="1">
        <v>1.6156862761167918</v>
      </c>
      <c r="S19" s="1">
        <v>1.6164215701906119</v>
      </c>
      <c r="T19" s="1">
        <v>1.486519608731546</v>
      </c>
      <c r="U19" s="1">
        <v>1.4155637261841227</v>
      </c>
      <c r="V19" s="1">
        <v>1.5033088301691939</v>
      </c>
      <c r="W19" s="1">
        <v>1.8488970630966566</v>
      </c>
      <c r="X19" s="1">
        <v>1.7013480431674157</v>
      </c>
      <c r="Y19" s="1">
        <v>1.6905637300847207</v>
      </c>
      <c r="Z19" s="1">
        <v>1.4784313732210328</v>
      </c>
      <c r="AA19" s="1">
        <v>1.4524509826127221</v>
      </c>
      <c r="AB19" s="1">
        <v>1.7110294151393806</v>
      </c>
      <c r="AC19" s="1">
        <v>1.8854166694971568</v>
      </c>
      <c r="AD19" s="1">
        <v>2.541176471493992</v>
      </c>
      <c r="AE19" s="1">
        <v>1.5939951009390985</v>
      </c>
      <c r="AF19" s="1">
        <v>1.5436274552169968</v>
      </c>
      <c r="AG19" s="1">
        <v>1.6346813730238114</v>
      </c>
      <c r="AH19" s="1">
        <v>1.7213235321728622</v>
      </c>
      <c r="AI19">
        <v>1.4680147071752478</v>
      </c>
      <c r="AJ19">
        <f t="shared" si="1"/>
        <v>1.6450027260962143</v>
      </c>
      <c r="AK19" s="5">
        <f t="shared" si="2"/>
        <v>0.25817028935668646</v>
      </c>
      <c r="AL19" s="10">
        <f t="shared" si="3"/>
        <v>1.3431372580282828</v>
      </c>
      <c r="AM19" s="1">
        <f t="shared" si="4"/>
        <v>2.541176471493992</v>
      </c>
      <c r="AN19" s="13">
        <f t="shared" si="5"/>
        <v>170.5784317695919</v>
      </c>
      <c r="AO19" s="13">
        <f t="shared" si="6"/>
        <v>322.72941187973697</v>
      </c>
    </row>
    <row r="20" spans="1:41">
      <c r="A20" s="4">
        <f t="shared" si="7"/>
        <v>18</v>
      </c>
      <c r="B20" s="4">
        <f>B11-1</f>
        <v>3</v>
      </c>
      <c r="C20" s="4" t="str">
        <f t="shared" si="10"/>
        <v>amb</v>
      </c>
      <c r="D20" s="1"/>
      <c r="E20" s="1">
        <v>0.25196850299835205</v>
      </c>
      <c r="F20" s="1">
        <v>0.25196850299835205</v>
      </c>
      <c r="G20" s="1"/>
      <c r="H20" s="1">
        <v>0.25196850299835205</v>
      </c>
      <c r="I20" s="1">
        <v>0.2524606219958514</v>
      </c>
      <c r="J20" s="1">
        <v>0.24507873575203121</v>
      </c>
      <c r="K20" s="1"/>
      <c r="L20" s="1">
        <v>0.26771652360912412</v>
      </c>
      <c r="M20" s="1">
        <v>0.25196850299835205</v>
      </c>
      <c r="N20" s="1">
        <v>0.26747046411037445</v>
      </c>
      <c r="O20" s="1"/>
      <c r="P20" s="1">
        <v>0.26771652360912412</v>
      </c>
      <c r="Q20" s="1"/>
      <c r="R20" s="1">
        <v>0.26008857449050993</v>
      </c>
      <c r="S20" s="1">
        <v>0.25984251499176025</v>
      </c>
      <c r="T20" s="1">
        <v>0.27559053897857666</v>
      </c>
      <c r="U20" s="1">
        <v>0.25221456249710172</v>
      </c>
      <c r="V20" s="1">
        <v>0.24581692146603018</v>
      </c>
      <c r="W20" s="1">
        <v>0.25984251499176025</v>
      </c>
      <c r="X20" s="1">
        <v>0.25984251499176025</v>
      </c>
      <c r="Y20" s="1">
        <v>0.25246062537189573</v>
      </c>
      <c r="Z20" s="1">
        <v>0.24483267625328153</v>
      </c>
      <c r="AA20" s="1">
        <v>0.25984251499176025</v>
      </c>
      <c r="AB20" s="1">
        <v>0.25196850299835205</v>
      </c>
      <c r="AC20" s="1">
        <v>0.26894684135913849</v>
      </c>
      <c r="AD20" s="1">
        <v>0.25246062537189573</v>
      </c>
      <c r="AE20" s="1">
        <v>0.26008857449050993</v>
      </c>
      <c r="AF20" s="1">
        <v>0.25984251499176025</v>
      </c>
      <c r="AG20" s="1">
        <v>0.26771652698516846</v>
      </c>
      <c r="AH20" s="1">
        <v>0.26008857449050993</v>
      </c>
      <c r="AI20">
        <v>0.24507873575203121</v>
      </c>
      <c r="AJ20">
        <f t="shared" si="1"/>
        <v>0.25721784209384135</v>
      </c>
      <c r="AK20" s="5">
        <f t="shared" si="2"/>
        <v>8.27152121374293E-3</v>
      </c>
      <c r="AL20" s="10">
        <f t="shared" si="3"/>
        <v>0.24483267625328153</v>
      </c>
      <c r="AM20" s="1">
        <f t="shared" si="4"/>
        <v>0.27559053897857666</v>
      </c>
      <c r="AN20" s="13">
        <f t="shared" si="5"/>
        <v>31.093749884166755</v>
      </c>
      <c r="AO20" s="13">
        <f t="shared" si="6"/>
        <v>34.999998450279236</v>
      </c>
    </row>
    <row r="21" spans="1:41">
      <c r="A21" s="4">
        <f t="shared" si="7"/>
        <v>19</v>
      </c>
      <c r="B21" s="4">
        <f t="shared" ref="B21:B46" si="12">B12-1</f>
        <v>3</v>
      </c>
      <c r="C21" s="4">
        <f t="shared" si="10"/>
        <v>0</v>
      </c>
      <c r="D21" s="1"/>
      <c r="E21" s="1">
        <v>0.29399509943437341</v>
      </c>
      <c r="F21" s="1">
        <v>0.43382353018604075</v>
      </c>
      <c r="G21" s="1"/>
      <c r="H21" s="1">
        <v>0.37524509903262643</v>
      </c>
      <c r="I21" s="1">
        <v>0.3212009813344362</v>
      </c>
      <c r="J21" s="1">
        <v>0.32156862837134625</v>
      </c>
      <c r="K21" s="1"/>
      <c r="L21" s="1">
        <v>0.35784313811683188</v>
      </c>
      <c r="M21" s="1">
        <v>0.31360294257162835</v>
      </c>
      <c r="N21" s="1">
        <v>0.42928921928738845</v>
      </c>
      <c r="O21" s="1"/>
      <c r="P21" s="1">
        <v>0.30196078523409131</v>
      </c>
      <c r="Q21" s="1"/>
      <c r="R21" s="1">
        <v>0.33431372658586972</v>
      </c>
      <c r="S21" s="1">
        <v>0.34644607892031692</v>
      </c>
      <c r="T21" s="1">
        <v>0.32928921708143227</v>
      </c>
      <c r="U21" s="1">
        <v>0.31151960936247136</v>
      </c>
      <c r="V21" s="1">
        <v>0.30845588288616899</v>
      </c>
      <c r="W21" s="1">
        <v>0.40367647199069751</v>
      </c>
      <c r="X21" s="1">
        <v>0.35686274601840506</v>
      </c>
      <c r="Y21" s="1">
        <v>0.36948529545436887</v>
      </c>
      <c r="Z21" s="1">
        <v>0.31642156985460546</v>
      </c>
      <c r="AA21" s="1">
        <v>0.31409313862084176</v>
      </c>
      <c r="AB21" s="1">
        <v>0.38419117786574597</v>
      </c>
      <c r="AC21" s="1">
        <v>0.4034313739660908</v>
      </c>
      <c r="AD21" s="1">
        <v>0.39178921662855382</v>
      </c>
      <c r="AE21" s="1">
        <v>0.33774509847383288</v>
      </c>
      <c r="AF21" s="1">
        <v>0.31433823664544847</v>
      </c>
      <c r="AG21" s="1">
        <v>0.35674019700610171</v>
      </c>
      <c r="AH21" s="1">
        <v>0.32671568782306187</v>
      </c>
      <c r="AI21">
        <v>0.30588235479651715</v>
      </c>
      <c r="AJ21">
        <f t="shared" si="1"/>
        <v>0.34666394457589977</v>
      </c>
      <c r="AK21" s="5">
        <f t="shared" si="2"/>
        <v>3.9934325861560316E-2</v>
      </c>
      <c r="AL21" s="10">
        <f t="shared" si="3"/>
        <v>0.29399509943437341</v>
      </c>
      <c r="AM21" s="1">
        <f t="shared" si="4"/>
        <v>0.43382353018604075</v>
      </c>
      <c r="AN21" s="13">
        <f t="shared" si="5"/>
        <v>37.33737762816542</v>
      </c>
      <c r="AO21" s="13">
        <f t="shared" si="6"/>
        <v>55.095588333627177</v>
      </c>
    </row>
    <row r="22" spans="1:41">
      <c r="A22" s="4">
        <f t="shared" si="7"/>
        <v>20</v>
      </c>
      <c r="B22" s="4">
        <f t="shared" si="12"/>
        <v>3</v>
      </c>
      <c r="C22" s="4">
        <f t="shared" si="10"/>
        <v>1</v>
      </c>
      <c r="D22" s="1"/>
      <c r="E22" s="1">
        <v>0.57573529508183985</v>
      </c>
      <c r="F22" s="1">
        <v>0.7897058855084812</v>
      </c>
      <c r="G22" s="1"/>
      <c r="H22" s="1">
        <v>0.67144608115594762</v>
      </c>
      <c r="I22" s="1">
        <v>0.61617647403595499</v>
      </c>
      <c r="J22" s="1">
        <v>0.6268382384592448</v>
      </c>
      <c r="K22" s="1"/>
      <c r="L22" s="1">
        <v>0.66593137560229676</v>
      </c>
      <c r="M22" s="1">
        <v>0.61200980761764101</v>
      </c>
      <c r="N22" s="1">
        <v>0.76703431450707071</v>
      </c>
      <c r="O22" s="1"/>
      <c r="P22" s="1">
        <v>0.59571078525600485</v>
      </c>
      <c r="Q22" s="1"/>
      <c r="R22" s="1">
        <v>0.64007353028099911</v>
      </c>
      <c r="S22" s="1">
        <v>0.65514706251960175</v>
      </c>
      <c r="T22" s="1">
        <v>0.6192401993435388</v>
      </c>
      <c r="U22" s="1">
        <v>0.60024509871122889</v>
      </c>
      <c r="V22" s="1">
        <v>0.60514705943619362</v>
      </c>
      <c r="W22" s="1">
        <v>0.72463235367893009</v>
      </c>
      <c r="X22" s="1">
        <v>0.65257353104934024</v>
      </c>
      <c r="Y22" s="1">
        <v>0.69387254936976683</v>
      </c>
      <c r="Z22" s="1">
        <v>0.60477941216645292</v>
      </c>
      <c r="AA22" s="1">
        <v>0.59681372636673502</v>
      </c>
      <c r="AB22" s="1">
        <v>0.73492647210939555</v>
      </c>
      <c r="AC22" s="1">
        <v>0.7307598042940977</v>
      </c>
      <c r="AD22" s="1">
        <v>0.76850490380882053</v>
      </c>
      <c r="AE22" s="1">
        <v>0.64056372633021252</v>
      </c>
      <c r="AF22" s="1">
        <v>0.61200980482732548</v>
      </c>
      <c r="AG22" s="1">
        <v>0.66372549338083642</v>
      </c>
      <c r="AH22" s="1">
        <v>0.61519608193752817</v>
      </c>
      <c r="AI22">
        <v>0.58419117693077116</v>
      </c>
      <c r="AJ22">
        <f t="shared" si="1"/>
        <v>0.65418482384319465</v>
      </c>
      <c r="AK22" s="5">
        <f t="shared" si="2"/>
        <v>6.1399219890904883E-2</v>
      </c>
      <c r="AL22" s="10">
        <f t="shared" si="3"/>
        <v>0.57573529508183985</v>
      </c>
      <c r="AM22" s="1">
        <f t="shared" si="4"/>
        <v>0.7897058855084812</v>
      </c>
      <c r="AN22" s="13">
        <f t="shared" si="5"/>
        <v>73.118382475393659</v>
      </c>
      <c r="AO22" s="13">
        <f t="shared" si="6"/>
        <v>100.29264745957711</v>
      </c>
    </row>
    <row r="23" spans="1:41">
      <c r="A23" s="4">
        <f t="shared" si="7"/>
        <v>21</v>
      </c>
      <c r="B23" s="4">
        <f t="shared" si="12"/>
        <v>3</v>
      </c>
      <c r="C23" s="4">
        <f t="shared" si="10"/>
        <v>2</v>
      </c>
      <c r="D23" s="1"/>
      <c r="E23" s="1">
        <v>0.78909314044696444</v>
      </c>
      <c r="F23" s="1">
        <v>1.1672794152055777</v>
      </c>
      <c r="G23" s="1"/>
      <c r="H23" s="1">
        <v>0.94399509832409079</v>
      </c>
      <c r="I23" s="1">
        <v>0.86446078606041188</v>
      </c>
      <c r="J23" s="1">
        <v>0.86262255040015656</v>
      </c>
      <c r="K23" s="1"/>
      <c r="L23" s="1">
        <v>0.96090686574724371</v>
      </c>
      <c r="M23" s="1">
        <v>0.85490196262504536</v>
      </c>
      <c r="N23" s="1">
        <v>1.0900735324285193</v>
      </c>
      <c r="O23" s="1"/>
      <c r="P23" s="1">
        <v>0.80036764957887285</v>
      </c>
      <c r="Q23" s="1"/>
      <c r="R23" s="1">
        <v>0.91446078774683615</v>
      </c>
      <c r="S23" s="1">
        <v>0.94460784477346083</v>
      </c>
      <c r="T23" s="1">
        <v>0.86335784401835913</v>
      </c>
      <c r="U23" s="1">
        <v>0.85649509978498894</v>
      </c>
      <c r="V23" s="1">
        <v>0.85588235472347218</v>
      </c>
      <c r="W23" s="1">
        <v>1.0393382387637509</v>
      </c>
      <c r="X23" s="1">
        <v>0.95306372895982916</v>
      </c>
      <c r="Y23" s="1">
        <v>0.96862745352235491</v>
      </c>
      <c r="Z23" s="1">
        <v>0.84644608077611405</v>
      </c>
      <c r="AA23" s="1">
        <v>0.81936274533178288</v>
      </c>
      <c r="AB23" s="1">
        <v>1.0350490207619527</v>
      </c>
      <c r="AC23" s="1">
        <v>1.0299019622452119</v>
      </c>
      <c r="AD23" s="1">
        <v>1.105269609954135</v>
      </c>
      <c r="AE23" s="1">
        <v>0.91678921898059984</v>
      </c>
      <c r="AF23" s="1">
        <v>0.86740196445116813</v>
      </c>
      <c r="AG23" s="1">
        <v>0.94362745267503401</v>
      </c>
      <c r="AH23" s="1">
        <v>0.85808823694493253</v>
      </c>
      <c r="AI23">
        <v>0.81813725520874936</v>
      </c>
      <c r="AJ23">
        <f t="shared" si="1"/>
        <v>0.92480029260887497</v>
      </c>
      <c r="AK23" s="5">
        <f t="shared" si="2"/>
        <v>9.9261093361127539E-2</v>
      </c>
      <c r="AL23" s="10">
        <f t="shared" si="3"/>
        <v>0.78909314044696444</v>
      </c>
      <c r="AM23" s="1">
        <f t="shared" si="4"/>
        <v>1.1672794152055777</v>
      </c>
      <c r="AN23" s="13">
        <f t="shared" si="5"/>
        <v>100.21482883676448</v>
      </c>
      <c r="AO23" s="13">
        <f t="shared" si="6"/>
        <v>148.24448573110837</v>
      </c>
    </row>
    <row r="24" spans="1:41">
      <c r="A24" s="4">
        <f t="shared" si="7"/>
        <v>22</v>
      </c>
      <c r="B24" s="4">
        <f t="shared" si="12"/>
        <v>3</v>
      </c>
      <c r="C24" s="4">
        <f t="shared" si="10"/>
        <v>3</v>
      </c>
      <c r="D24" s="1"/>
      <c r="E24" s="1">
        <v>0.91825980712824007</v>
      </c>
      <c r="F24" s="1">
        <v>1.3713235308580538</v>
      </c>
      <c r="G24" s="1"/>
      <c r="H24" s="1">
        <v>1.0887254932931825</v>
      </c>
      <c r="I24" s="1">
        <v>1.0015931404031375</v>
      </c>
      <c r="J24" s="1">
        <v>0.98823529445319713</v>
      </c>
      <c r="K24" s="1"/>
      <c r="L24" s="1">
        <v>1.1041666688434049</v>
      </c>
      <c r="M24" s="1">
        <v>0.96507353216555769</v>
      </c>
      <c r="N24" s="1">
        <v>1.2535539248921708</v>
      </c>
      <c r="O24" s="1"/>
      <c r="P24" s="1">
        <v>0.92095588539891382</v>
      </c>
      <c r="Q24" s="1"/>
      <c r="R24" s="1">
        <v>1.0430147091328514</v>
      </c>
      <c r="S24" s="1">
        <v>1.0743872551283999</v>
      </c>
      <c r="T24" s="1">
        <v>0.9601715716734236</v>
      </c>
      <c r="U24" s="1">
        <v>0.96715686537471468</v>
      </c>
      <c r="V24" s="1">
        <v>0.96335784599331076</v>
      </c>
      <c r="W24" s="1">
        <v>1.2161764712310306</v>
      </c>
      <c r="X24" s="1">
        <v>1.1118872566185161</v>
      </c>
      <c r="Y24" s="1">
        <v>1.1057598060033484</v>
      </c>
      <c r="Z24" s="1">
        <v>0.94767157125432844</v>
      </c>
      <c r="AA24" s="1">
        <v>0.95294117761008879</v>
      </c>
      <c r="AB24" s="1">
        <v>1.1770833363062612</v>
      </c>
      <c r="AC24" s="1">
        <v>1.2087009814805261</v>
      </c>
      <c r="AD24" s="1">
        <v>1.2887254914232329</v>
      </c>
      <c r="AE24" s="1">
        <v>1.0333333352982415</v>
      </c>
      <c r="AF24" s="1">
        <v>0.99987745423089058</v>
      </c>
      <c r="AG24" s="1">
        <v>1.0528186301171196</v>
      </c>
      <c r="AH24" s="1">
        <v>1.0212009823716739</v>
      </c>
      <c r="AI24">
        <v>0.94105392341666361</v>
      </c>
      <c r="AJ24">
        <f t="shared" si="1"/>
        <v>1.0621187385963142</v>
      </c>
      <c r="AK24" s="5">
        <f t="shared" si="2"/>
        <v>0.12150979171914911</v>
      </c>
      <c r="AL24" s="10">
        <f t="shared" si="3"/>
        <v>0.91825980712824007</v>
      </c>
      <c r="AM24" s="1">
        <f t="shared" si="4"/>
        <v>1.3713235308580538</v>
      </c>
      <c r="AN24" s="13">
        <f t="shared" si="5"/>
        <v>116.61899550528649</v>
      </c>
      <c r="AO24" s="13">
        <f t="shared" si="6"/>
        <v>174.15808841897282</v>
      </c>
    </row>
    <row r="25" spans="1:41">
      <c r="A25" s="4">
        <f t="shared" si="7"/>
        <v>23</v>
      </c>
      <c r="B25" s="4">
        <f t="shared" si="12"/>
        <v>3</v>
      </c>
      <c r="C25" s="4">
        <f t="shared" si="10"/>
        <v>4</v>
      </c>
      <c r="D25" s="1"/>
      <c r="E25" s="1">
        <v>1.019852943236337</v>
      </c>
      <c r="F25" s="1">
        <v>1.6169117662398254</v>
      </c>
      <c r="G25" s="1"/>
      <c r="H25" s="1">
        <v>1.2102941209779066</v>
      </c>
      <c r="I25" s="1">
        <v>1.0954656889698668</v>
      </c>
      <c r="J25" s="1">
        <v>1.1253676479718848</v>
      </c>
      <c r="K25" s="1"/>
      <c r="L25" s="1">
        <v>1.2471813736812156</v>
      </c>
      <c r="M25" s="1">
        <v>1.0792892193458243</v>
      </c>
      <c r="N25" s="1">
        <v>1.3857843143098494</v>
      </c>
      <c r="O25" s="1"/>
      <c r="P25" s="1">
        <v>1.0254901978022912</v>
      </c>
      <c r="Q25" s="1"/>
      <c r="R25" s="1">
        <v>1.1642156895487479</v>
      </c>
      <c r="S25" s="1">
        <v>1.1998774525946847</v>
      </c>
      <c r="T25" s="1">
        <v>1.0912990225515529</v>
      </c>
      <c r="U25" s="1">
        <v>1.0774509828807055</v>
      </c>
      <c r="V25" s="1">
        <v>1.0914215715638562</v>
      </c>
      <c r="W25" s="1">
        <v>1.3583333355538985</v>
      </c>
      <c r="X25" s="1">
        <v>1.2656862771102027</v>
      </c>
      <c r="Y25" s="1">
        <v>1.2390931388691944</v>
      </c>
      <c r="Z25" s="1">
        <v>1.0775735323586701</v>
      </c>
      <c r="AA25" s="1">
        <v>1.0674019625812186</v>
      </c>
      <c r="AB25" s="1">
        <v>1.2984068633951977</v>
      </c>
      <c r="AC25" s="1">
        <v>1.3803921577685019</v>
      </c>
      <c r="AD25" s="1">
        <v>1.5370098085526158</v>
      </c>
      <c r="AE25" s="1">
        <v>1.1700980426049701</v>
      </c>
      <c r="AF25" s="1">
        <v>1.1057598060033484</v>
      </c>
      <c r="AG25" s="1">
        <v>1.2084558834559194</v>
      </c>
      <c r="AH25" s="1">
        <v>1.1939951000041238</v>
      </c>
      <c r="AI25">
        <v>1.0459558854281319</v>
      </c>
      <c r="AJ25">
        <f t="shared" si="1"/>
        <v>1.1991875476059459</v>
      </c>
      <c r="AK25" s="5">
        <f t="shared" si="2"/>
        <v>0.15158404584916726</v>
      </c>
      <c r="AL25" s="10">
        <f t="shared" si="3"/>
        <v>1.019852943236337</v>
      </c>
      <c r="AM25" s="1">
        <f t="shared" si="4"/>
        <v>1.6169117662398254</v>
      </c>
      <c r="AN25" s="13">
        <f t="shared" si="5"/>
        <v>129.52132379101479</v>
      </c>
      <c r="AO25" s="13">
        <f t="shared" si="6"/>
        <v>205.34779431245781</v>
      </c>
    </row>
    <row r="26" spans="1:41">
      <c r="A26" s="4">
        <f t="shared" si="7"/>
        <v>24</v>
      </c>
      <c r="B26" s="4">
        <f t="shared" si="12"/>
        <v>3</v>
      </c>
      <c r="C26" s="4">
        <f t="shared" si="10"/>
        <v>5</v>
      </c>
      <c r="D26" s="1"/>
      <c r="E26" s="1">
        <v>1.0901960814408227</v>
      </c>
      <c r="F26" s="1">
        <v>1.6981617688475286</v>
      </c>
      <c r="G26" s="1"/>
      <c r="H26" s="1">
        <v>1.272058825749977</v>
      </c>
      <c r="I26" s="1">
        <v>1.1504901980652529</v>
      </c>
      <c r="J26" s="1">
        <v>1.1758578461832276</v>
      </c>
      <c r="K26" s="1"/>
      <c r="L26" s="1">
        <v>1.3062500008811042</v>
      </c>
      <c r="M26" s="1">
        <v>1.1333333363427835</v>
      </c>
      <c r="N26" s="1">
        <v>1.4533088256988456</v>
      </c>
      <c r="O26" s="1"/>
      <c r="P26" s="1">
        <v>1.0774509832299515</v>
      </c>
      <c r="Q26" s="1"/>
      <c r="R26" s="1">
        <v>1.2158088265315574</v>
      </c>
      <c r="S26" s="1">
        <v>1.2319852961555999</v>
      </c>
      <c r="T26" s="1">
        <v>1.1240196088365479</v>
      </c>
      <c r="U26" s="1">
        <v>1.1183823542705937</v>
      </c>
      <c r="V26" s="1">
        <v>1.1432598063393551</v>
      </c>
      <c r="W26" s="1">
        <v>1.449632355329745</v>
      </c>
      <c r="X26" s="1">
        <v>1.322549021390139</v>
      </c>
      <c r="Y26" s="1">
        <v>1.3019607873231758</v>
      </c>
      <c r="Z26" s="1">
        <v>1.1265931380949183</v>
      </c>
      <c r="AA26" s="1">
        <v>1.1329656893058735</v>
      </c>
      <c r="AB26" s="1">
        <v>1.3686274525873801</v>
      </c>
      <c r="AC26" s="1">
        <v>1.4388480457276398</v>
      </c>
      <c r="AD26" s="1">
        <v>1.684068632432643</v>
      </c>
      <c r="AE26" s="1">
        <v>1.2243872573927921</v>
      </c>
      <c r="AF26" s="1">
        <v>1.1566176486804205</v>
      </c>
      <c r="AG26" s="1">
        <v>1.2593137284704283</v>
      </c>
      <c r="AH26" s="1">
        <v>1.2669117672332362</v>
      </c>
      <c r="AI26">
        <v>1.1209558835289641</v>
      </c>
      <c r="AJ26">
        <f t="shared" si="1"/>
        <v>1.260888709854463</v>
      </c>
      <c r="AK26" s="5">
        <f t="shared" si="2"/>
        <v>0.16575360453580273</v>
      </c>
      <c r="AL26" s="10">
        <f t="shared" si="3"/>
        <v>1.0774509832299515</v>
      </c>
      <c r="AM26" s="1">
        <f t="shared" si="4"/>
        <v>1.6981617688475286</v>
      </c>
      <c r="AN26" s="13">
        <f t="shared" si="5"/>
        <v>136.83627487020385</v>
      </c>
      <c r="AO26" s="13">
        <f t="shared" si="6"/>
        <v>215.66654464363612</v>
      </c>
    </row>
    <row r="27" spans="1:41">
      <c r="A27" s="4">
        <f t="shared" si="7"/>
        <v>25</v>
      </c>
      <c r="B27" s="4">
        <f t="shared" si="12"/>
        <v>3</v>
      </c>
      <c r="C27" s="4">
        <f t="shared" si="10"/>
        <v>6</v>
      </c>
      <c r="D27" s="1"/>
      <c r="E27" s="1">
        <v>1.2649509830363825</v>
      </c>
      <c r="F27" s="1">
        <v>2.0013480435180311</v>
      </c>
      <c r="G27" s="1"/>
      <c r="H27" s="1">
        <v>1.4390931442179078</v>
      </c>
      <c r="I27" s="1">
        <v>1.3295343150914301</v>
      </c>
      <c r="J27" s="1">
        <v>1.3591911786400219</v>
      </c>
      <c r="K27" s="1"/>
      <c r="L27" s="1">
        <v>1.5507352979305913</v>
      </c>
      <c r="M27" s="1">
        <v>1.2996323560894121</v>
      </c>
      <c r="N27" s="1">
        <v>1.6699754960177575</v>
      </c>
      <c r="O27" s="1"/>
      <c r="P27" s="1">
        <v>1.2192401988760513</v>
      </c>
      <c r="Q27" s="1"/>
      <c r="R27" s="1">
        <v>1.4428921596530606</v>
      </c>
      <c r="S27" s="1">
        <v>1.4415441205177237</v>
      </c>
      <c r="T27" s="1">
        <v>1.3062500013467655</v>
      </c>
      <c r="U27" s="1">
        <v>1.2705882352941176</v>
      </c>
      <c r="V27" s="1">
        <v>1.3254901976854194</v>
      </c>
      <c r="W27" s="1">
        <v>1.6862745146541034</v>
      </c>
      <c r="X27" s="1">
        <v>1.5375000046018292</v>
      </c>
      <c r="Y27" s="1">
        <v>1.5020833400461604</v>
      </c>
      <c r="Z27" s="1">
        <v>1.2959558831491307</v>
      </c>
      <c r="AA27" s="1">
        <v>1.3050245126307596</v>
      </c>
      <c r="AB27" s="1">
        <v>1.5356617694172789</v>
      </c>
      <c r="AC27" s="1">
        <v>1.6727941233007346</v>
      </c>
      <c r="AD27" s="1">
        <v>2.0866421575128449</v>
      </c>
      <c r="AE27" s="1">
        <v>1.42745098106417</v>
      </c>
      <c r="AF27" s="1">
        <v>1.3683823545627734</v>
      </c>
      <c r="AG27" s="1">
        <v>1.4655637269291808</v>
      </c>
      <c r="AH27" s="1">
        <v>1.514828437325709</v>
      </c>
      <c r="AI27">
        <v>1.2986519614198044</v>
      </c>
      <c r="AJ27">
        <f t="shared" si="1"/>
        <v>1.4673066479455241</v>
      </c>
      <c r="AK27" s="5">
        <f t="shared" si="2"/>
        <v>0.21155506364109697</v>
      </c>
      <c r="AL27" s="10">
        <f t="shared" si="3"/>
        <v>1.2192401988760513</v>
      </c>
      <c r="AM27" s="1">
        <f t="shared" si="4"/>
        <v>2.0866421575128449</v>
      </c>
      <c r="AN27" s="13">
        <f t="shared" si="5"/>
        <v>154.8435052572585</v>
      </c>
      <c r="AO27" s="13">
        <f t="shared" si="6"/>
        <v>265.00355400413127</v>
      </c>
    </row>
    <row r="28" spans="1:41">
      <c r="A28" s="4">
        <f t="shared" si="7"/>
        <v>26</v>
      </c>
      <c r="B28" s="4">
        <f t="shared" si="12"/>
        <v>3</v>
      </c>
      <c r="C28" s="4">
        <f t="shared" si="10"/>
        <v>7</v>
      </c>
      <c r="D28" s="1"/>
      <c r="E28" s="1">
        <v>1.4432598066899707</v>
      </c>
      <c r="F28" s="1">
        <v>2.2676470652514813</v>
      </c>
      <c r="G28" s="1"/>
      <c r="H28" s="1">
        <v>1.6278186283348237</v>
      </c>
      <c r="I28" s="1">
        <v>1.5162990254733493</v>
      </c>
      <c r="J28" s="1">
        <v>1.5718137294437518</v>
      </c>
      <c r="K28" s="1"/>
      <c r="L28" s="1">
        <v>1.7631127453683053</v>
      </c>
      <c r="M28" s="1">
        <v>1.4685049032244613</v>
      </c>
      <c r="N28" s="1">
        <v>1.8596813761793516</v>
      </c>
      <c r="O28" s="1"/>
      <c r="P28" s="1">
        <v>1.3757352953009745</v>
      </c>
      <c r="Q28" s="1"/>
      <c r="R28" s="1">
        <v>1.6590686339227592</v>
      </c>
      <c r="S28" s="1">
        <v>1.649264712938491</v>
      </c>
      <c r="T28" s="1">
        <v>1.5164215744856526</v>
      </c>
      <c r="U28" s="1">
        <v>1.4474264731082847</v>
      </c>
      <c r="V28" s="1">
        <v>1.536029416454189</v>
      </c>
      <c r="W28" s="1">
        <v>1.8877450999968193</v>
      </c>
      <c r="X28" s="1">
        <v>1.7476715698180829</v>
      </c>
      <c r="Y28" s="1">
        <v>1.7415441192029153</v>
      </c>
      <c r="Z28" s="1">
        <v>1.5218137310270001</v>
      </c>
      <c r="AA28" s="1">
        <v>1.4860294119838406</v>
      </c>
      <c r="AB28" s="1">
        <v>1.7488970599411164</v>
      </c>
      <c r="AC28" s="1">
        <v>1.9332107852267868</v>
      </c>
      <c r="AD28" s="1">
        <v>2.5952205933703509</v>
      </c>
      <c r="AE28" s="1">
        <v>1.6312500006793176</v>
      </c>
      <c r="AF28" s="1">
        <v>1.5806372569326093</v>
      </c>
      <c r="AG28" s="1">
        <v>1.6763480446575318</v>
      </c>
      <c r="AH28" s="1">
        <v>1.7569852947531377</v>
      </c>
      <c r="AI28">
        <v>1.5085784376982381</v>
      </c>
      <c r="AJ28">
        <f t="shared" si="1"/>
        <v>1.6858523996838362</v>
      </c>
      <c r="AK28" s="5">
        <f t="shared" si="2"/>
        <v>0.26233956136409525</v>
      </c>
      <c r="AL28" s="10">
        <f t="shared" si="3"/>
        <v>1.3757352953009745</v>
      </c>
      <c r="AM28" s="1">
        <f t="shared" si="4"/>
        <v>2.5952205933703509</v>
      </c>
      <c r="AN28" s="13">
        <f t="shared" si="5"/>
        <v>174.71838250322375</v>
      </c>
      <c r="AO28" s="13">
        <f t="shared" si="6"/>
        <v>329.59301535803456</v>
      </c>
    </row>
    <row r="29" spans="1:41">
      <c r="A29" s="4">
        <f t="shared" si="7"/>
        <v>27</v>
      </c>
      <c r="B29" s="4">
        <f t="shared" si="12"/>
        <v>2</v>
      </c>
      <c r="C29" s="4" t="str">
        <f t="shared" si="10"/>
        <v>amb</v>
      </c>
      <c r="D29" s="1"/>
      <c r="E29" s="1">
        <v>0.35433071851730347</v>
      </c>
      <c r="F29" s="1">
        <v>0.34399607253726572</v>
      </c>
      <c r="G29" s="1"/>
      <c r="H29" s="1">
        <v>0.34645670652389526</v>
      </c>
      <c r="I29" s="1">
        <v>0.37450786901172251</v>
      </c>
      <c r="J29" s="1">
        <v>0.35162402165587991</v>
      </c>
      <c r="K29" s="1"/>
      <c r="L29" s="1">
        <v>0.37450786901172251</v>
      </c>
      <c r="M29" s="1">
        <v>0.35433071851730347</v>
      </c>
      <c r="N29" s="1">
        <v>0.37007874250411987</v>
      </c>
      <c r="O29" s="1"/>
      <c r="P29" s="1">
        <v>0.36220472003333271</v>
      </c>
      <c r="Q29" s="1"/>
      <c r="R29" s="1">
        <v>0.35925197077449411</v>
      </c>
      <c r="S29" s="1">
        <v>0.36220473051071167</v>
      </c>
      <c r="T29" s="1">
        <v>0.37450786901172251</v>
      </c>
      <c r="U29" s="1">
        <v>0.3304626039462164</v>
      </c>
      <c r="V29" s="1">
        <v>0.37007874250411987</v>
      </c>
      <c r="W29" s="1">
        <v>0.37007874250411987</v>
      </c>
      <c r="X29" s="1">
        <v>0.35187008453067392</v>
      </c>
      <c r="Y29" s="1">
        <v>0.36220473051071167</v>
      </c>
      <c r="Z29" s="1">
        <v>0.35162402165587991</v>
      </c>
      <c r="AA29" s="1">
        <v>0.36220473051071167</v>
      </c>
      <c r="AB29" s="1">
        <v>0.35433071851730347</v>
      </c>
      <c r="AC29" s="1">
        <v>0.37795275449752808</v>
      </c>
      <c r="AD29" s="1">
        <v>0.36220473051071167</v>
      </c>
      <c r="AE29" s="1">
        <v>0.37007874250411987</v>
      </c>
      <c r="AF29" s="1">
        <v>0.36220473051071167</v>
      </c>
      <c r="AG29" s="1">
        <v>0.37007874250411987</v>
      </c>
      <c r="AH29" s="1">
        <v>0.36687991989310831</v>
      </c>
      <c r="AI29">
        <v>0.36220473051071167</v>
      </c>
      <c r="AJ29">
        <f t="shared" si="1"/>
        <v>0.36120224941556378</v>
      </c>
      <c r="AK29" s="5">
        <f t="shared" si="2"/>
        <v>1.0953345573671138E-2</v>
      </c>
      <c r="AL29" s="10">
        <f t="shared" si="3"/>
        <v>0.3304626039462164</v>
      </c>
      <c r="AM29" s="1">
        <f t="shared" si="4"/>
        <v>0.37795275449752808</v>
      </c>
      <c r="AN29" s="13">
        <f t="shared" si="5"/>
        <v>41.968750701169483</v>
      </c>
      <c r="AO29" s="13">
        <f t="shared" si="6"/>
        <v>47.999999821186066</v>
      </c>
    </row>
    <row r="30" spans="1:41">
      <c r="A30" s="4">
        <f t="shared" si="7"/>
        <v>28</v>
      </c>
      <c r="B30" s="4">
        <f t="shared" si="12"/>
        <v>2</v>
      </c>
      <c r="C30" s="4">
        <f t="shared" si="10"/>
        <v>0</v>
      </c>
      <c r="D30" s="1"/>
      <c r="E30" s="1">
        <v>0.30049019708645108</v>
      </c>
      <c r="F30" s="1">
        <v>0.44142156906526392</v>
      </c>
      <c r="G30" s="1"/>
      <c r="H30" s="1">
        <v>0.37647058915565995</v>
      </c>
      <c r="I30" s="1">
        <v>0.32352941256819989</v>
      </c>
      <c r="J30" s="1">
        <v>0.3289215691095474</v>
      </c>
      <c r="K30" s="1"/>
      <c r="L30" s="1">
        <v>0.36531862786733638</v>
      </c>
      <c r="M30" s="1">
        <v>0.31960784417449262</v>
      </c>
      <c r="N30" s="1">
        <v>0.43553921891485942</v>
      </c>
      <c r="O30" s="1"/>
      <c r="P30" s="1">
        <v>0.30833333387386563</v>
      </c>
      <c r="Q30" s="1"/>
      <c r="R30" s="1">
        <v>0.34117647127485745</v>
      </c>
      <c r="S30" s="1">
        <v>0.3528186310525509</v>
      </c>
      <c r="T30" s="1">
        <v>0.33284313843822949</v>
      </c>
      <c r="U30" s="1">
        <v>0.31556372676848199</v>
      </c>
      <c r="V30" s="1">
        <v>0.30980392202150586</v>
      </c>
      <c r="W30" s="1">
        <v>0.40796568742131484</v>
      </c>
      <c r="X30" s="1">
        <v>0.36470588280581961</v>
      </c>
      <c r="Y30" s="1">
        <v>0.37671568718026666</v>
      </c>
      <c r="Z30" s="1">
        <v>0.32193627540825631</v>
      </c>
      <c r="AA30" s="1">
        <v>0.32156862837134625</v>
      </c>
      <c r="AB30" s="1">
        <v>0.39215686366546387</v>
      </c>
      <c r="AC30" s="1">
        <v>0.40968137359356177</v>
      </c>
      <c r="AD30" s="1">
        <v>0.39963235341596837</v>
      </c>
      <c r="AE30" s="1">
        <v>0.3450980401433566</v>
      </c>
      <c r="AF30" s="1">
        <v>0.32181372639595296</v>
      </c>
      <c r="AG30" s="1">
        <v>0.36470588280581961</v>
      </c>
      <c r="AH30" s="1">
        <v>0.33504902065968983</v>
      </c>
      <c r="AI30">
        <v>0.30882353109179761</v>
      </c>
      <c r="AJ30">
        <f t="shared" si="1"/>
        <v>0.35265522978999692</v>
      </c>
      <c r="AK30" s="5">
        <f t="shared" si="2"/>
        <v>4.0430262823195708E-2</v>
      </c>
      <c r="AL30" s="10">
        <f t="shared" si="3"/>
        <v>0.30049019708645108</v>
      </c>
      <c r="AM30" s="1">
        <f t="shared" si="4"/>
        <v>0.44142156906526392</v>
      </c>
      <c r="AN30" s="13">
        <f t="shared" si="5"/>
        <v>38.162255029979285</v>
      </c>
      <c r="AO30" s="13">
        <f t="shared" si="6"/>
        <v>56.060539271288519</v>
      </c>
    </row>
    <row r="31" spans="1:41">
      <c r="A31" s="4">
        <f t="shared" si="7"/>
        <v>29</v>
      </c>
      <c r="B31" s="4">
        <f t="shared" si="12"/>
        <v>2</v>
      </c>
      <c r="C31" s="4">
        <f t="shared" si="10"/>
        <v>1</v>
      </c>
      <c r="D31" s="1"/>
      <c r="E31" s="1">
        <v>0.58259803977082758</v>
      </c>
      <c r="F31" s="1">
        <v>0.80049019859117621</v>
      </c>
      <c r="G31" s="1"/>
      <c r="H31" s="1">
        <v>0.67916666893105881</v>
      </c>
      <c r="I31" s="1">
        <v>0.62585784600791983</v>
      </c>
      <c r="J31" s="1">
        <v>0.63602941496407284</v>
      </c>
      <c r="K31" s="1"/>
      <c r="L31" s="1">
        <v>0.67892157090645211</v>
      </c>
      <c r="M31" s="1">
        <v>0.6218137286019092</v>
      </c>
      <c r="N31" s="1">
        <v>0.77696078496930354</v>
      </c>
      <c r="O31" s="1"/>
      <c r="P31" s="1">
        <v>0.60318627500650934</v>
      </c>
      <c r="Q31" s="1"/>
      <c r="R31" s="1">
        <v>0.65208333465088086</v>
      </c>
      <c r="S31" s="1">
        <v>0.66887255189757722</v>
      </c>
      <c r="T31" s="1">
        <v>0.62867647329089693</v>
      </c>
      <c r="U31" s="1">
        <v>0.60796568695200137</v>
      </c>
      <c r="V31" s="1">
        <v>0.61580882699904493</v>
      </c>
      <c r="W31" s="1">
        <v>0.73737745445093839</v>
      </c>
      <c r="X31" s="1">
        <v>0.66250000325780289</v>
      </c>
      <c r="Y31" s="1">
        <v>0.70441176803673011</v>
      </c>
      <c r="Z31" s="1">
        <v>0.61568627798674158</v>
      </c>
      <c r="AA31" s="1">
        <v>0.6090686288776388</v>
      </c>
      <c r="AB31" s="1">
        <v>0.7487745128279808</v>
      </c>
      <c r="AC31" s="1">
        <v>0.74056372900365619</v>
      </c>
      <c r="AD31" s="1">
        <v>0.77781862874387531</v>
      </c>
      <c r="AE31" s="1">
        <v>0.65490196449499505</v>
      </c>
      <c r="AF31" s="1">
        <v>0.62365196146180524</v>
      </c>
      <c r="AG31" s="1">
        <v>0.678186276832632</v>
      </c>
      <c r="AH31" s="1">
        <v>0.62745098316786341</v>
      </c>
      <c r="AI31">
        <v>0.59313725855420618</v>
      </c>
      <c r="AJ31">
        <f t="shared" si="1"/>
        <v>0.66488743886061097</v>
      </c>
      <c r="AK31" s="5">
        <f t="shared" si="2"/>
        <v>6.1918788352261639E-2</v>
      </c>
      <c r="AL31" s="10">
        <f t="shared" si="3"/>
        <v>0.58259803977082758</v>
      </c>
      <c r="AM31" s="1">
        <f t="shared" si="4"/>
        <v>0.80049019859117621</v>
      </c>
      <c r="AN31" s="13">
        <f t="shared" si="5"/>
        <v>73.989951050895101</v>
      </c>
      <c r="AO31" s="13">
        <f t="shared" si="6"/>
        <v>101.66225522107938</v>
      </c>
    </row>
    <row r="32" spans="1:41">
      <c r="A32" s="4">
        <f t="shared" si="7"/>
        <v>30</v>
      </c>
      <c r="B32" s="4">
        <f t="shared" si="12"/>
        <v>2</v>
      </c>
      <c r="C32" s="4">
        <f t="shared" si="10"/>
        <v>2</v>
      </c>
      <c r="D32" s="1"/>
      <c r="E32" s="1">
        <v>0.80379902192336672</v>
      </c>
      <c r="F32" s="1">
        <v>1.186764708278226</v>
      </c>
      <c r="G32" s="1"/>
      <c r="H32" s="1">
        <v>0.95649510130432303</v>
      </c>
      <c r="I32" s="1">
        <v>0.87953431666920001</v>
      </c>
      <c r="J32" s="1">
        <v>0.87806372595037896</v>
      </c>
      <c r="K32" s="1"/>
      <c r="L32" s="1">
        <v>0.98946078561392481</v>
      </c>
      <c r="M32" s="1">
        <v>0.87218137359264869</v>
      </c>
      <c r="N32" s="1">
        <v>1.1062500020525619</v>
      </c>
      <c r="O32" s="1"/>
      <c r="P32" s="1">
        <v>0.81139706068617456</v>
      </c>
      <c r="Q32" s="1"/>
      <c r="R32" s="1">
        <v>0.93075980638318201</v>
      </c>
      <c r="S32" s="1">
        <v>0.96017156933598657</v>
      </c>
      <c r="T32" s="1">
        <v>0.87659314037391955</v>
      </c>
      <c r="U32" s="1">
        <v>0.86960784410144765</v>
      </c>
      <c r="V32" s="1">
        <v>0.87328431447054822</v>
      </c>
      <c r="W32" s="1">
        <v>1.0560049044370068</v>
      </c>
      <c r="X32" s="1">
        <v>0.97316176697757895</v>
      </c>
      <c r="Y32" s="1">
        <v>0.98223039388802702</v>
      </c>
      <c r="Z32" s="1">
        <v>0.8595588253254034</v>
      </c>
      <c r="AA32" s="1">
        <v>0.8334558854719587</v>
      </c>
      <c r="AB32" s="1">
        <v>1.0519607870209524</v>
      </c>
      <c r="AC32" s="1">
        <v>1.0448529417462209</v>
      </c>
      <c r="AD32" s="1">
        <v>1.1220588246396943</v>
      </c>
      <c r="AE32" s="1">
        <v>0.93321078662924906</v>
      </c>
      <c r="AF32" s="1">
        <v>0.88026961074302013</v>
      </c>
      <c r="AG32" s="1">
        <v>0.95931372624986311</v>
      </c>
      <c r="AH32" s="1">
        <v>0.87414215755667168</v>
      </c>
      <c r="AI32">
        <v>0.82843137596752126</v>
      </c>
      <c r="AJ32">
        <f t="shared" si="1"/>
        <v>0.94048202805144687</v>
      </c>
      <c r="AK32" s="5">
        <f t="shared" si="2"/>
        <v>0.10075730481383978</v>
      </c>
      <c r="AL32" s="10">
        <f t="shared" si="3"/>
        <v>0.80379902192336672</v>
      </c>
      <c r="AM32" s="1">
        <f t="shared" si="4"/>
        <v>1.186764708278226</v>
      </c>
      <c r="AN32" s="13">
        <f t="shared" si="5"/>
        <v>102.08247578426757</v>
      </c>
      <c r="AO32" s="13">
        <f t="shared" si="6"/>
        <v>150.71911795133471</v>
      </c>
    </row>
    <row r="33" spans="1:41">
      <c r="A33" s="4">
        <f t="shared" si="7"/>
        <v>31</v>
      </c>
      <c r="B33" s="4">
        <f t="shared" si="12"/>
        <v>2</v>
      </c>
      <c r="C33" s="4">
        <f t="shared" si="10"/>
        <v>3</v>
      </c>
      <c r="D33" s="1"/>
      <c r="E33" s="1">
        <v>0.93419117872767587</v>
      </c>
      <c r="F33" s="1">
        <v>1.400735301261439</v>
      </c>
      <c r="G33" s="1"/>
      <c r="H33" s="1">
        <v>1.1057598060033484</v>
      </c>
      <c r="I33" s="1">
        <v>1.01740196299027</v>
      </c>
      <c r="J33" s="1">
        <v>1.0041666696615079</v>
      </c>
      <c r="K33" s="1"/>
      <c r="L33" s="1">
        <v>1.1416666738259806</v>
      </c>
      <c r="M33" s="1">
        <v>0.98137255080190355</v>
      </c>
      <c r="N33" s="1">
        <v>1.2823529427834586</v>
      </c>
      <c r="O33" s="1"/>
      <c r="P33" s="1">
        <v>0.93161764946930548</v>
      </c>
      <c r="Q33" s="1"/>
      <c r="R33" s="1">
        <v>1.0594362767815007</v>
      </c>
      <c r="S33" s="1">
        <v>1.0930147087237998</v>
      </c>
      <c r="T33" s="1">
        <v>0.97622549228516275</v>
      </c>
      <c r="U33" s="1">
        <v>0.98149509981420691</v>
      </c>
      <c r="V33" s="1">
        <v>0.98075980574038679</v>
      </c>
      <c r="W33" s="1">
        <v>1.247058829782056</v>
      </c>
      <c r="X33" s="1">
        <v>1.1427696140053882</v>
      </c>
      <c r="Y33" s="1">
        <v>1.1212009815535708</v>
      </c>
      <c r="Z33" s="1">
        <v>0.96213235587027723</v>
      </c>
      <c r="AA33" s="1">
        <v>0.96887254967518588</v>
      </c>
      <c r="AB33" s="1">
        <v>1.1971813743240109</v>
      </c>
      <c r="AC33" s="1">
        <v>1.2278186341519377</v>
      </c>
      <c r="AD33" s="1">
        <v>1.3057598043662295</v>
      </c>
      <c r="AE33" s="1">
        <v>1.0537990222155464</v>
      </c>
      <c r="AF33" s="1">
        <v>1.0120098064489225</v>
      </c>
      <c r="AG33" s="1">
        <v>1.0707107859134091</v>
      </c>
      <c r="AH33" s="1">
        <v>1.0337009816266158</v>
      </c>
      <c r="AI33">
        <v>0.95330882464699884</v>
      </c>
      <c r="AJ33">
        <f t="shared" si="1"/>
        <v>1.0809822104981517</v>
      </c>
      <c r="AK33" s="5">
        <f t="shared" si="2"/>
        <v>0.12584679224660217</v>
      </c>
      <c r="AL33" s="10">
        <f t="shared" si="3"/>
        <v>0.93161764946930548</v>
      </c>
      <c r="AM33" s="1">
        <f t="shared" si="4"/>
        <v>1.400735301261439</v>
      </c>
      <c r="AN33" s="13">
        <f t="shared" si="5"/>
        <v>118.3154414826018</v>
      </c>
      <c r="AO33" s="13">
        <f t="shared" si="6"/>
        <v>177.89338326020274</v>
      </c>
    </row>
    <row r="34" spans="1:41">
      <c r="A34" s="4">
        <f t="shared" si="7"/>
        <v>32</v>
      </c>
      <c r="B34" s="4">
        <f t="shared" si="12"/>
        <v>2</v>
      </c>
      <c r="C34" s="4">
        <f t="shared" si="10"/>
        <v>4</v>
      </c>
      <c r="D34" s="1"/>
      <c r="E34" s="1">
        <v>1.0420343144632438</v>
      </c>
      <c r="F34" s="1">
        <v>1.6552696145413552</v>
      </c>
      <c r="G34" s="1"/>
      <c r="H34" s="1">
        <v>1.2376225507215541</v>
      </c>
      <c r="I34" s="1">
        <v>1.1137254918030663</v>
      </c>
      <c r="J34" s="1">
        <v>1.1487745167724057</v>
      </c>
      <c r="K34" s="1"/>
      <c r="L34" s="1">
        <v>1.297181378151564</v>
      </c>
      <c r="M34" s="1">
        <v>1.0973039241544171</v>
      </c>
      <c r="N34" s="1">
        <v>1.4234068685375592</v>
      </c>
      <c r="O34" s="1"/>
      <c r="P34" s="1">
        <v>1.0375000010080198</v>
      </c>
      <c r="Q34" s="1"/>
      <c r="R34" s="1">
        <v>1.182598041859912</v>
      </c>
      <c r="S34" s="1">
        <v>1.216666667280244</v>
      </c>
      <c r="T34" s="1">
        <v>1.109068629335539</v>
      </c>
      <c r="U34" s="1">
        <v>1.0942401988468333</v>
      </c>
      <c r="V34" s="1">
        <v>1.1068627471140786</v>
      </c>
      <c r="W34" s="1">
        <v>1.4078431439750334</v>
      </c>
      <c r="X34" s="1">
        <v>1.315686281580551</v>
      </c>
      <c r="Y34" s="1">
        <v>1.262254902194528</v>
      </c>
      <c r="Z34" s="1">
        <v>1.09448529687144</v>
      </c>
      <c r="AA34" s="1">
        <v>1.0921568630664957</v>
      </c>
      <c r="AB34" s="1">
        <v>1.3171568697281912</v>
      </c>
      <c r="AC34" s="1">
        <v>1.4012254973106524</v>
      </c>
      <c r="AD34" s="1">
        <v>1.5601715718779494</v>
      </c>
      <c r="AE34" s="1">
        <v>1.1916666687703601</v>
      </c>
      <c r="AF34" s="1">
        <v>1.1208333345166608</v>
      </c>
      <c r="AG34" s="1">
        <v>1.2330882423794738</v>
      </c>
      <c r="AH34" s="1">
        <v>1.199632354570078</v>
      </c>
      <c r="AI34">
        <v>1.064093139249028</v>
      </c>
      <c r="AJ34">
        <f t="shared" si="1"/>
        <v>1.2230573744696382</v>
      </c>
      <c r="AK34" s="5">
        <f t="shared" si="2"/>
        <v>0.15780137373374239</v>
      </c>
      <c r="AL34" s="10">
        <f t="shared" si="3"/>
        <v>1.0375000010080198</v>
      </c>
      <c r="AM34" s="1">
        <f t="shared" si="4"/>
        <v>1.6552696145413552</v>
      </c>
      <c r="AN34" s="13">
        <f t="shared" si="5"/>
        <v>131.7625001280185</v>
      </c>
      <c r="AO34" s="13">
        <f t="shared" si="6"/>
        <v>210.2192410467521</v>
      </c>
    </row>
    <row r="35" spans="1:41">
      <c r="A35" s="4">
        <f t="shared" si="7"/>
        <v>33</v>
      </c>
      <c r="B35" s="4">
        <f t="shared" si="12"/>
        <v>2</v>
      </c>
      <c r="C35" s="4">
        <f t="shared" si="10"/>
        <v>5</v>
      </c>
      <c r="D35" s="1"/>
      <c r="E35" s="1">
        <v>1.1145833348891898</v>
      </c>
      <c r="F35" s="1">
        <v>1.7408088251290952</v>
      </c>
      <c r="G35" s="1"/>
      <c r="H35" s="1">
        <v>1.304411764998062</v>
      </c>
      <c r="I35" s="1">
        <v>1.1693627459599691</v>
      </c>
      <c r="J35" s="1">
        <v>1.2012254917300216</v>
      </c>
      <c r="K35" s="1"/>
      <c r="L35" s="1">
        <v>1.3573529457636908</v>
      </c>
      <c r="M35" s="1">
        <v>1.1530637273236233</v>
      </c>
      <c r="N35" s="1">
        <v>1.4927696151111056</v>
      </c>
      <c r="O35" s="1"/>
      <c r="P35" s="1">
        <v>1.0927696106991931</v>
      </c>
      <c r="Q35" s="1"/>
      <c r="R35" s="1">
        <v>1.23272059022942</v>
      </c>
      <c r="S35" s="1">
        <v>1.2511029420749229</v>
      </c>
      <c r="T35" s="1">
        <v>1.1420343210957213</v>
      </c>
      <c r="U35" s="1">
        <v>1.1363970590791865</v>
      </c>
      <c r="V35" s="1">
        <v>1.1612745111479479</v>
      </c>
      <c r="W35" s="1">
        <v>1.5029411831322839</v>
      </c>
      <c r="X35" s="1">
        <v>1.383210789930879</v>
      </c>
      <c r="Y35" s="1">
        <v>1.3267156878084529</v>
      </c>
      <c r="Z35" s="1">
        <v>1.1458333404771253</v>
      </c>
      <c r="AA35" s="1">
        <v>1.1589460799141842</v>
      </c>
      <c r="AB35" s="1">
        <v>1.387377451469793</v>
      </c>
      <c r="AC35" s="1">
        <v>1.4593137317136222</v>
      </c>
      <c r="AD35" s="1">
        <v>1.7105392190901672</v>
      </c>
      <c r="AE35" s="1">
        <v>1.2469362756566089</v>
      </c>
      <c r="AF35" s="1">
        <v>1.1725490202798563</v>
      </c>
      <c r="AG35" s="1">
        <v>1.2881127463617161</v>
      </c>
      <c r="AH35" s="1">
        <v>1.2756127471067742</v>
      </c>
      <c r="AI35">
        <v>1.146078438501732</v>
      </c>
      <c r="AJ35">
        <f t="shared" si="1"/>
        <v>1.2871868220990497</v>
      </c>
      <c r="AK35" s="5">
        <f t="shared" si="2"/>
        <v>0.17225856975190351</v>
      </c>
      <c r="AL35" s="10">
        <f t="shared" si="3"/>
        <v>1.0927696106991931</v>
      </c>
      <c r="AM35" s="1">
        <f t="shared" si="4"/>
        <v>1.7408088251290952</v>
      </c>
      <c r="AN35" s="13">
        <f t="shared" si="5"/>
        <v>138.78174055879754</v>
      </c>
      <c r="AO35" s="13">
        <f t="shared" si="6"/>
        <v>221.08272079139508</v>
      </c>
    </row>
    <row r="36" spans="1:41">
      <c r="A36" s="4">
        <f t="shared" si="7"/>
        <v>34</v>
      </c>
      <c r="B36" s="4">
        <f t="shared" si="12"/>
        <v>2</v>
      </c>
      <c r="C36" s="4">
        <f t="shared" si="10"/>
        <v>6</v>
      </c>
      <c r="D36" s="1"/>
      <c r="E36" s="1">
        <v>1.2952205890753106</v>
      </c>
      <c r="F36" s="1">
        <v>2.0602941184359436</v>
      </c>
      <c r="G36" s="1"/>
      <c r="H36" s="1">
        <v>1.4812500049159223</v>
      </c>
      <c r="I36" s="1">
        <v>1.3583333404332985</v>
      </c>
      <c r="J36" s="1">
        <v>1.3959558893159469</v>
      </c>
      <c r="K36" s="1"/>
      <c r="L36" s="1">
        <v>1.6147058935288121</v>
      </c>
      <c r="M36" s="1">
        <v>1.3283088252012272</v>
      </c>
      <c r="N36" s="1">
        <v>1.7089460819302236</v>
      </c>
      <c r="O36" s="1"/>
      <c r="P36" s="1">
        <v>1.2442401973859352</v>
      </c>
      <c r="Q36" s="1"/>
      <c r="R36" s="1">
        <v>1.467034315076821</v>
      </c>
      <c r="S36" s="1">
        <v>1.4634803937200238</v>
      </c>
      <c r="T36" s="1">
        <v>1.3292892219462231</v>
      </c>
      <c r="U36" s="1">
        <v>1.2938725494943997</v>
      </c>
      <c r="V36" s="1">
        <v>1.3459558827400793</v>
      </c>
      <c r="W36" s="1">
        <v>1.7381127468584214</v>
      </c>
      <c r="X36" s="1">
        <v>1.6253676478203167</v>
      </c>
      <c r="Y36" s="1">
        <v>1.5352941223803689</v>
      </c>
      <c r="Z36" s="1">
        <v>1.3220588302203253</v>
      </c>
      <c r="AA36" s="1">
        <v>1.3463235297769893</v>
      </c>
      <c r="AB36" s="1">
        <v>1.5604166699025561</v>
      </c>
      <c r="AC36" s="1">
        <v>1.7023284352658425</v>
      </c>
      <c r="AD36" s="1">
        <v>2.1214460844575775</v>
      </c>
      <c r="AE36" s="1">
        <v>1.4649509862795764</v>
      </c>
      <c r="AF36" s="1">
        <v>1.3936274534255704</v>
      </c>
      <c r="AG36" s="1">
        <v>1.4982843206647565</v>
      </c>
      <c r="AH36" s="1">
        <v>1.546446082499974</v>
      </c>
      <c r="AI36">
        <v>1.3382352998443678</v>
      </c>
      <c r="AJ36">
        <f t="shared" si="1"/>
        <v>1.5029547967628447</v>
      </c>
      <c r="AK36" s="5">
        <f t="shared" si="2"/>
        <v>0.21811745076624348</v>
      </c>
      <c r="AL36" s="10">
        <f t="shared" si="3"/>
        <v>1.2442401973859352</v>
      </c>
      <c r="AM36" s="1">
        <f t="shared" si="4"/>
        <v>2.1214460844575775</v>
      </c>
      <c r="AN36" s="13">
        <f t="shared" si="5"/>
        <v>158.01850506801375</v>
      </c>
      <c r="AO36" s="13">
        <f t="shared" si="6"/>
        <v>269.42365272611232</v>
      </c>
    </row>
    <row r="37" spans="1:41">
      <c r="A37" s="4">
        <f t="shared" si="7"/>
        <v>35</v>
      </c>
      <c r="B37" s="4">
        <f t="shared" si="12"/>
        <v>2</v>
      </c>
      <c r="C37" s="4">
        <f t="shared" si="10"/>
        <v>7</v>
      </c>
      <c r="D37" s="1"/>
      <c r="E37" s="1">
        <v>1.487500002692618</v>
      </c>
      <c r="F37" s="1">
        <v>2.3303921595507977</v>
      </c>
      <c r="G37" s="1"/>
      <c r="H37" s="1">
        <v>1.6742647114483749</v>
      </c>
      <c r="I37" s="1">
        <v>1.5531862781766583</v>
      </c>
      <c r="J37" s="1">
        <v>1.5840686292771031</v>
      </c>
      <c r="K37" s="1"/>
      <c r="L37" s="1">
        <v>1.8151960904983913</v>
      </c>
      <c r="M37" s="1">
        <v>1.504044124243014</v>
      </c>
      <c r="N37" s="1">
        <v>1.9004901972763679</v>
      </c>
      <c r="O37" s="1"/>
      <c r="P37" s="1">
        <v>1.4042892226182362</v>
      </c>
      <c r="Q37" s="1"/>
      <c r="R37" s="1">
        <v>1.6890931419370805</v>
      </c>
      <c r="S37" s="1">
        <v>1.6786764758912955</v>
      </c>
      <c r="T37" s="1">
        <v>1.548897062746041</v>
      </c>
      <c r="U37" s="1">
        <v>1.5125000002711793</v>
      </c>
      <c r="V37" s="1">
        <v>1.568014708665364</v>
      </c>
      <c r="W37" s="1">
        <v>1.9486519740127466</v>
      </c>
      <c r="X37" s="1">
        <v>1.8035539343295728</v>
      </c>
      <c r="Y37" s="1">
        <v>1.7767157006351386</v>
      </c>
      <c r="Z37" s="1">
        <v>1.5564951015088488</v>
      </c>
      <c r="AA37" s="1">
        <v>1.5392156907740762</v>
      </c>
      <c r="AB37" s="1">
        <v>1.7691176609410082</v>
      </c>
      <c r="AC37" s="1">
        <v>1.9786764762419111</v>
      </c>
      <c r="AD37" s="1">
        <v>2.634191179282817</v>
      </c>
      <c r="AE37" s="1">
        <v>1.6678921628086005</v>
      </c>
      <c r="AF37" s="1">
        <v>1.6178921715739896</v>
      </c>
      <c r="AG37" s="1">
        <v>1.7128676503239308</v>
      </c>
      <c r="AH37" s="1">
        <v>1.8107843260554706</v>
      </c>
      <c r="AI37">
        <v>1.5491421607706477</v>
      </c>
      <c r="AJ37">
        <f t="shared" si="1"/>
        <v>1.7265114442426395</v>
      </c>
      <c r="AK37" s="5">
        <f t="shared" si="2"/>
        <v>0.26584584843761505</v>
      </c>
      <c r="AL37" s="10">
        <f t="shared" si="3"/>
        <v>1.4042892226182362</v>
      </c>
      <c r="AM37" s="1">
        <f t="shared" si="4"/>
        <v>2.634191179282817</v>
      </c>
      <c r="AN37" s="13">
        <f t="shared" si="5"/>
        <v>178.34473127251599</v>
      </c>
      <c r="AO37" s="13">
        <f t="shared" si="6"/>
        <v>334.54227976891775</v>
      </c>
    </row>
    <row r="38" spans="1:41">
      <c r="A38" s="4">
        <f t="shared" si="7"/>
        <v>36</v>
      </c>
      <c r="B38" s="4">
        <f t="shared" si="12"/>
        <v>1</v>
      </c>
      <c r="C38" s="4" t="str">
        <f t="shared" si="10"/>
        <v>amb</v>
      </c>
      <c r="D38" s="1"/>
      <c r="E38" s="1">
        <v>0.77952754497528076</v>
      </c>
      <c r="F38" s="1">
        <v>0.75590549816843122</v>
      </c>
      <c r="G38" s="1"/>
      <c r="H38" s="1">
        <v>0.75590550899505615</v>
      </c>
      <c r="I38" s="1">
        <v>0.82455709797795862</v>
      </c>
      <c r="J38" s="1">
        <v>0.77878934552427381</v>
      </c>
      <c r="K38" s="1"/>
      <c r="L38" s="1">
        <v>0.85039371252059937</v>
      </c>
      <c r="M38" s="1">
        <v>0.73228345136158168</v>
      </c>
      <c r="N38" s="1">
        <v>0.77878934552427381</v>
      </c>
      <c r="O38" s="1"/>
      <c r="P38" s="1">
        <v>0.80167325062211603</v>
      </c>
      <c r="Q38" s="1"/>
      <c r="R38" s="1">
        <v>0.80314958095550537</v>
      </c>
      <c r="S38" s="1">
        <v>0.78641729464288801</v>
      </c>
      <c r="T38" s="1">
        <v>0.79404530150350183</v>
      </c>
      <c r="U38" s="1">
        <v>0.74704722384922206</v>
      </c>
      <c r="V38" s="1">
        <v>0.81003934144973755</v>
      </c>
      <c r="W38" s="1">
        <v>0.81102359294891357</v>
      </c>
      <c r="X38" s="1">
        <v>0.79527556896209717</v>
      </c>
      <c r="Y38" s="1">
        <v>0.79527556896209717</v>
      </c>
      <c r="Z38" s="1">
        <v>0.79527556896209717</v>
      </c>
      <c r="AA38" s="1">
        <v>0.79527556896209717</v>
      </c>
      <c r="AB38" s="1">
        <v>0.74827754904981703</v>
      </c>
      <c r="AC38" s="1">
        <v>0.81692914664745331</v>
      </c>
      <c r="AD38" s="1">
        <v>0.80314958095550537</v>
      </c>
      <c r="AE38" s="1">
        <v>0.72317911416757852</v>
      </c>
      <c r="AF38" s="1">
        <v>0.79429131746292114</v>
      </c>
      <c r="AG38" s="1">
        <v>0.77116139640565962</v>
      </c>
      <c r="AH38" s="1">
        <v>0.82677167654037476</v>
      </c>
      <c r="AI38">
        <v>0.75590549816843122</v>
      </c>
      <c r="AJ38">
        <f t="shared" si="1"/>
        <v>0.78630794986168406</v>
      </c>
      <c r="AK38" s="5">
        <f t="shared" si="2"/>
        <v>3.0141106510847244E-2</v>
      </c>
      <c r="AL38" s="10">
        <f t="shared" si="3"/>
        <v>0.72317911416757852</v>
      </c>
      <c r="AM38" s="1">
        <f t="shared" si="4"/>
        <v>0.85039371252059937</v>
      </c>
      <c r="AN38" s="13">
        <f t="shared" si="5"/>
        <v>91.843747499282472</v>
      </c>
      <c r="AO38" s="13">
        <f t="shared" si="6"/>
        <v>108.00000149011612</v>
      </c>
    </row>
    <row r="39" spans="1:41">
      <c r="A39" s="4">
        <f t="shared" si="7"/>
        <v>37</v>
      </c>
      <c r="B39" s="4">
        <f t="shared" si="12"/>
        <v>1</v>
      </c>
      <c r="C39" s="4">
        <f t="shared" si="10"/>
        <v>0</v>
      </c>
      <c r="D39" s="1"/>
      <c r="E39" s="1">
        <v>0.31335784442604098</v>
      </c>
      <c r="F39" s="1">
        <v>0.46017157155655181</v>
      </c>
      <c r="G39" s="1"/>
      <c r="H39" s="1">
        <v>0.39313725855420617</v>
      </c>
      <c r="I39" s="1">
        <v>0.33884804283140924</v>
      </c>
      <c r="J39" s="1">
        <v>0.34375000332354333</v>
      </c>
      <c r="K39" s="1"/>
      <c r="L39" s="1">
        <v>0.38455882652425299</v>
      </c>
      <c r="M39" s="1">
        <v>0.33112745179666903</v>
      </c>
      <c r="N39" s="1">
        <v>0.45490196285878909</v>
      </c>
      <c r="O39" s="1"/>
      <c r="P39" s="1">
        <v>0.32058823882949117</v>
      </c>
      <c r="Q39" s="1"/>
      <c r="R39" s="1">
        <v>0.35698529747086488</v>
      </c>
      <c r="S39" s="1">
        <v>0.3670343165961551</v>
      </c>
      <c r="T39" s="1">
        <v>0.35024509969870471</v>
      </c>
      <c r="U39" s="1">
        <v>0.33088235342281636</v>
      </c>
      <c r="V39" s="1">
        <v>0.3251225522847152</v>
      </c>
      <c r="W39" s="1">
        <v>0.42769608189461422</v>
      </c>
      <c r="X39" s="1">
        <v>0.3796568660321189</v>
      </c>
      <c r="Y39" s="1">
        <v>0.39411765065263299</v>
      </c>
      <c r="Z39" s="1">
        <v>0.33676470915659096</v>
      </c>
      <c r="AA39" s="1">
        <v>0.33848039567808386</v>
      </c>
      <c r="AB39" s="1">
        <v>0.40759804247531528</v>
      </c>
      <c r="AC39" s="1">
        <v>0.42830882718896163</v>
      </c>
      <c r="AD39" s="1">
        <v>0.41409314059305424</v>
      </c>
      <c r="AE39" s="1">
        <v>0.36299019762766821</v>
      </c>
      <c r="AF39" s="1">
        <v>0.33664215944579567</v>
      </c>
      <c r="AG39" s="1">
        <v>0.38174019924127589</v>
      </c>
      <c r="AH39" s="1">
        <v>0.34926470725103193</v>
      </c>
      <c r="AI39">
        <v>0.32561274577735688</v>
      </c>
      <c r="AJ39">
        <f t="shared" si="1"/>
        <v>0.36865468678476709</v>
      </c>
      <c r="AK39" s="5">
        <f t="shared" si="2"/>
        <v>4.1846875402007266E-2</v>
      </c>
      <c r="AL39" s="10">
        <f t="shared" si="3"/>
        <v>0.31335784442604098</v>
      </c>
      <c r="AM39" s="1">
        <f t="shared" si="4"/>
        <v>0.46017157155655181</v>
      </c>
      <c r="AN39" s="13">
        <f t="shared" si="5"/>
        <v>39.796446242107201</v>
      </c>
      <c r="AO39" s="13">
        <f t="shared" si="6"/>
        <v>58.441789587682081</v>
      </c>
    </row>
    <row r="40" spans="1:41">
      <c r="A40" s="4">
        <f t="shared" si="7"/>
        <v>38</v>
      </c>
      <c r="B40" s="4">
        <f t="shared" si="12"/>
        <v>1</v>
      </c>
      <c r="C40" s="4">
        <f t="shared" si="10"/>
        <v>1</v>
      </c>
      <c r="D40" s="1"/>
      <c r="E40" s="1">
        <v>0.6044117676861146</v>
      </c>
      <c r="F40" s="1">
        <v>0.82757353031021708</v>
      </c>
      <c r="G40" s="1"/>
      <c r="H40" s="1">
        <v>0.70134804015796559</v>
      </c>
      <c r="I40" s="1">
        <v>0.64963235439477018</v>
      </c>
      <c r="J40" s="1">
        <v>0.65968137433861984</v>
      </c>
      <c r="K40" s="1"/>
      <c r="L40" s="1">
        <v>0.70355392237942593</v>
      </c>
      <c r="M40" s="1">
        <v>0.64375000180420927</v>
      </c>
      <c r="N40" s="1">
        <v>0.80232843365931117</v>
      </c>
      <c r="O40" s="1"/>
      <c r="P40" s="1">
        <v>0.62573529699561647</v>
      </c>
      <c r="Q40" s="1"/>
      <c r="R40" s="1">
        <v>0.67279412029128449</v>
      </c>
      <c r="S40" s="1">
        <v>0.68995098201375382</v>
      </c>
      <c r="T40" s="1">
        <v>0.65196078562853388</v>
      </c>
      <c r="U40" s="1">
        <v>0.62941176736471705</v>
      </c>
      <c r="V40" s="1">
        <v>0.63676470810291819</v>
      </c>
      <c r="W40" s="1">
        <v>0.76323529627977638</v>
      </c>
      <c r="X40" s="1">
        <v>0.69191176621060746</v>
      </c>
      <c r="Y40" s="1">
        <v>0.72892157049740058</v>
      </c>
      <c r="Z40" s="1">
        <v>0.63811274723825506</v>
      </c>
      <c r="AA40" s="1">
        <v>0.63455882588145784</v>
      </c>
      <c r="AB40" s="1">
        <v>0.77083333504258422</v>
      </c>
      <c r="AC40" s="1">
        <v>0.76776960973500041</v>
      </c>
      <c r="AD40" s="1">
        <v>0.8035539287781599</v>
      </c>
      <c r="AE40" s="1">
        <v>0.67781862979572194</v>
      </c>
      <c r="AF40" s="1">
        <v>0.64779412014519466</v>
      </c>
      <c r="AG40" s="1">
        <v>0.70024509904723542</v>
      </c>
      <c r="AH40" s="1">
        <v>0.650612746493197</v>
      </c>
      <c r="AI40">
        <v>0.61740196299026995</v>
      </c>
      <c r="AJ40">
        <f t="shared" si="1"/>
        <v>0.68858024900971548</v>
      </c>
      <c r="AK40" s="5">
        <f t="shared" si="2"/>
        <v>6.2994020367328318E-2</v>
      </c>
      <c r="AL40" s="10">
        <f t="shared" si="3"/>
        <v>0.6044117676861146</v>
      </c>
      <c r="AM40" s="1">
        <f t="shared" si="4"/>
        <v>0.82757353031021708</v>
      </c>
      <c r="AN40" s="13">
        <f t="shared" si="5"/>
        <v>76.760294496136552</v>
      </c>
      <c r="AO40" s="13">
        <f t="shared" si="6"/>
        <v>105.10183834939757</v>
      </c>
    </row>
    <row r="41" spans="1:41">
      <c r="A41" s="4">
        <f t="shared" si="7"/>
        <v>39</v>
      </c>
      <c r="B41" s="4">
        <f t="shared" si="12"/>
        <v>1</v>
      </c>
      <c r="C41" s="4">
        <f t="shared" si="10"/>
        <v>2</v>
      </c>
      <c r="D41" s="1"/>
      <c r="E41" s="1">
        <v>0.82953431450707071</v>
      </c>
      <c r="F41" s="1">
        <v>1.2404411831176749</v>
      </c>
      <c r="G41" s="1"/>
      <c r="H41" s="1">
        <v>1.0143382425620859</v>
      </c>
      <c r="I41" s="1">
        <v>0.90661764838824088</v>
      </c>
      <c r="J41" s="1">
        <v>0.90539216314460713</v>
      </c>
      <c r="K41" s="1"/>
      <c r="L41" s="1">
        <v>1.0977941199406689</v>
      </c>
      <c r="M41" s="1">
        <v>0.89436275203730542</v>
      </c>
      <c r="N41" s="1">
        <v>1.165563731457965</v>
      </c>
      <c r="O41" s="1"/>
      <c r="P41" s="1">
        <v>0.83982843340319746</v>
      </c>
      <c r="Q41" s="1"/>
      <c r="R41" s="1">
        <v>0.96066176538519998</v>
      </c>
      <c r="S41" s="1">
        <v>0.98909314369015833</v>
      </c>
      <c r="T41" s="1">
        <v>0.90796568752357776</v>
      </c>
      <c r="U41" s="1">
        <v>0.89975490857865292</v>
      </c>
      <c r="V41" s="1">
        <v>0.9011029477139898</v>
      </c>
      <c r="W41" s="1">
        <v>1.111519614461006</v>
      </c>
      <c r="X41" s="1">
        <v>1.0822303953781431</v>
      </c>
      <c r="Y41" s="1">
        <v>1.0151960856482094</v>
      </c>
      <c r="Z41" s="1">
        <v>0.88664216356370229</v>
      </c>
      <c r="AA41" s="1">
        <v>0.8617647073140331</v>
      </c>
      <c r="AB41" s="1">
        <v>1.0827205939985374</v>
      </c>
      <c r="AC41" s="1">
        <v>1.0829656920231441</v>
      </c>
      <c r="AD41" s="1">
        <v>1.1567402025721236</v>
      </c>
      <c r="AE41" s="1">
        <v>0.96176470649593016</v>
      </c>
      <c r="AF41" s="1">
        <v>0.90821078554818446</v>
      </c>
      <c r="AG41" s="1">
        <v>0.98725490803994675</v>
      </c>
      <c r="AH41" s="1">
        <v>0.90012255561556298</v>
      </c>
      <c r="AI41">
        <v>0.85955882509257275</v>
      </c>
      <c r="AJ41">
        <f t="shared" si="1"/>
        <v>0.97959786211857403</v>
      </c>
      <c r="AK41" s="5">
        <f t="shared" si="2"/>
        <v>0.11209452361724255</v>
      </c>
      <c r="AL41" s="10">
        <f t="shared" si="3"/>
        <v>0.82953431450707071</v>
      </c>
      <c r="AM41" s="1">
        <f t="shared" si="4"/>
        <v>1.2404411831176749</v>
      </c>
      <c r="AN41" s="13">
        <f t="shared" si="5"/>
        <v>105.35085794239798</v>
      </c>
      <c r="AO41" s="13">
        <f t="shared" si="6"/>
        <v>157.53603025594472</v>
      </c>
    </row>
    <row r="42" spans="1:41">
      <c r="A42" s="4">
        <f t="shared" si="7"/>
        <v>40</v>
      </c>
      <c r="B42" s="4">
        <f t="shared" si="12"/>
        <v>1</v>
      </c>
      <c r="C42" s="4">
        <f t="shared" si="10"/>
        <v>3</v>
      </c>
      <c r="D42" s="1"/>
      <c r="E42" s="1">
        <v>0.96274509859435697</v>
      </c>
      <c r="F42" s="1">
        <v>1.4734068655573269</v>
      </c>
      <c r="G42" s="1"/>
      <c r="H42" s="1">
        <v>1.206617650579588</v>
      </c>
      <c r="I42" s="1">
        <v>1.0487745103727588</v>
      </c>
      <c r="J42" s="1">
        <v>1.0454656868077377</v>
      </c>
      <c r="K42" s="1"/>
      <c r="L42" s="1">
        <v>1.2870098175517484</v>
      </c>
      <c r="M42" s="1">
        <v>1.010784318411321</v>
      </c>
      <c r="N42" s="1">
        <v>1.3721813762523964</v>
      </c>
      <c r="O42" s="1"/>
      <c r="P42" s="1">
        <v>0.96299019661896368</v>
      </c>
      <c r="Q42" s="1"/>
      <c r="R42" s="1">
        <v>1.0946078454080386</v>
      </c>
      <c r="S42" s="1">
        <v>1.1225490206889077</v>
      </c>
      <c r="T42" s="1">
        <v>1.0087009833395189</v>
      </c>
      <c r="U42" s="1">
        <v>1.0128676539487844</v>
      </c>
      <c r="V42" s="1">
        <v>1.012254908654437</v>
      </c>
      <c r="W42" s="1">
        <v>1.3286764719760886</v>
      </c>
      <c r="X42" s="1">
        <v>1.2795343278012439</v>
      </c>
      <c r="Y42" s="1">
        <v>1.158946084793584</v>
      </c>
      <c r="Z42" s="1">
        <v>0.99301470697072203</v>
      </c>
      <c r="AA42" s="1">
        <v>1.0183823576306597</v>
      </c>
      <c r="AB42" s="1">
        <v>1.2311274581826201</v>
      </c>
      <c r="AC42" s="1">
        <v>1.2886029449528924</v>
      </c>
      <c r="AD42" s="1">
        <v>1.3441176524349288</v>
      </c>
      <c r="AE42" s="1">
        <v>1.0862745104759348</v>
      </c>
      <c r="AF42" s="1">
        <v>1.045220588783131</v>
      </c>
      <c r="AG42" s="1">
        <v>1.107352948042692</v>
      </c>
      <c r="AH42" s="1">
        <v>1.0670343204237083</v>
      </c>
      <c r="AI42">
        <v>0.98750000653021475</v>
      </c>
      <c r="AJ42">
        <f t="shared" si="1"/>
        <v>1.1317311226586779</v>
      </c>
      <c r="AK42" s="5">
        <f t="shared" si="2"/>
        <v>0.14457563724466257</v>
      </c>
      <c r="AL42" s="10">
        <f t="shared" si="3"/>
        <v>0.96274509859435697</v>
      </c>
      <c r="AM42" s="1">
        <f t="shared" si="4"/>
        <v>1.4734068655573269</v>
      </c>
      <c r="AN42" s="13">
        <f t="shared" si="5"/>
        <v>122.26862752148334</v>
      </c>
      <c r="AO42" s="13">
        <f t="shared" si="6"/>
        <v>187.12267192578051</v>
      </c>
    </row>
    <row r="43" spans="1:41">
      <c r="A43" s="4">
        <f t="shared" si="7"/>
        <v>41</v>
      </c>
      <c r="B43" s="4">
        <f t="shared" si="12"/>
        <v>1</v>
      </c>
      <c r="C43" s="4">
        <f t="shared" si="10"/>
        <v>4</v>
      </c>
      <c r="D43" s="1"/>
      <c r="E43" s="1">
        <v>1.0881127505398849</v>
      </c>
      <c r="F43" s="1">
        <v>1.7475490208057796</v>
      </c>
      <c r="G43" s="1"/>
      <c r="H43" s="1">
        <v>1.3819852946654838</v>
      </c>
      <c r="I43" s="1">
        <v>1.150612751956956</v>
      </c>
      <c r="J43" s="1">
        <v>1.2246323553881808</v>
      </c>
      <c r="K43" s="1"/>
      <c r="L43" s="1">
        <v>1.4844362838522476</v>
      </c>
      <c r="M43" s="1">
        <v>1.1300245104394122</v>
      </c>
      <c r="N43" s="1">
        <v>1.5372549158685347</v>
      </c>
      <c r="O43" s="1"/>
      <c r="P43" s="1">
        <v>1.0758578493095496</v>
      </c>
      <c r="Q43" s="1"/>
      <c r="R43" s="1">
        <v>1.2205882356739512</v>
      </c>
      <c r="S43" s="1">
        <v>1.2511029471880666</v>
      </c>
      <c r="T43" s="1">
        <v>1.1452205954156085</v>
      </c>
      <c r="U43" s="1">
        <v>1.126470589082615</v>
      </c>
      <c r="V43" s="1">
        <v>1.1458333404771253</v>
      </c>
      <c r="W43" s="1">
        <v>1.5167892182410201</v>
      </c>
      <c r="X43" s="1">
        <v>1.4737745223530367</v>
      </c>
      <c r="Y43" s="1">
        <v>1.334068630854873</v>
      </c>
      <c r="Z43" s="1">
        <v>1.1415441245808466</v>
      </c>
      <c r="AA43" s="1">
        <v>1.1735294146865023</v>
      </c>
      <c r="AB43" s="1">
        <v>1.3596813769974545</v>
      </c>
      <c r="AC43" s="1">
        <v>1.4984068640672108</v>
      </c>
      <c r="AD43" s="1">
        <v>1.6122549062978258</v>
      </c>
      <c r="AE43" s="1">
        <v>1.2296568695693186</v>
      </c>
      <c r="AF43" s="1">
        <v>1.1577205946705504</v>
      </c>
      <c r="AG43" s="1">
        <v>1.2925245128809384</v>
      </c>
      <c r="AH43" s="1">
        <v>1.2479166728681794</v>
      </c>
      <c r="AI43">
        <v>1.1080882421165121</v>
      </c>
      <c r="AJ43">
        <f t="shared" si="1"/>
        <v>1.2909495329943579</v>
      </c>
      <c r="AK43" s="5">
        <f t="shared" si="2"/>
        <v>0.18169651692980107</v>
      </c>
      <c r="AL43" s="10">
        <f t="shared" si="3"/>
        <v>1.0758578493095496</v>
      </c>
      <c r="AM43" s="1">
        <f t="shared" si="4"/>
        <v>1.7475490208057796</v>
      </c>
      <c r="AN43" s="13">
        <f t="shared" si="5"/>
        <v>136.6339468623128</v>
      </c>
      <c r="AO43" s="13">
        <f t="shared" si="6"/>
        <v>221.93872564233399</v>
      </c>
    </row>
    <row r="44" spans="1:41">
      <c r="A44" s="4">
        <f t="shared" si="7"/>
        <v>42</v>
      </c>
      <c r="B44" s="4">
        <f t="shared" si="12"/>
        <v>1</v>
      </c>
      <c r="C44" s="4">
        <f t="shared" si="10"/>
        <v>5</v>
      </c>
      <c r="D44" s="1"/>
      <c r="E44" s="1">
        <v>1.1714460840485259</v>
      </c>
      <c r="F44" s="1">
        <v>1.8393382459221517</v>
      </c>
      <c r="G44" s="1"/>
      <c r="H44" s="1">
        <v>1.4640931503810719</v>
      </c>
      <c r="I44" s="1">
        <v>1.2186274563564974</v>
      </c>
      <c r="J44" s="1">
        <v>1.2919117682850829</v>
      </c>
      <c r="K44" s="1"/>
      <c r="L44" s="1">
        <v>1.5627451052852706</v>
      </c>
      <c r="M44" s="1">
        <v>1.1959558890803772</v>
      </c>
      <c r="N44" s="1">
        <v>1.6251225632998874</v>
      </c>
      <c r="O44" s="1"/>
      <c r="P44" s="1">
        <v>1.1376225505992039</v>
      </c>
      <c r="Q44" s="1"/>
      <c r="R44" s="1">
        <v>1.2839460848228019</v>
      </c>
      <c r="S44" s="1">
        <v>1.2946078488931936</v>
      </c>
      <c r="T44" s="1">
        <v>1.180514710958974</v>
      </c>
      <c r="U44" s="1">
        <v>1.1708333389870091</v>
      </c>
      <c r="V44" s="1">
        <v>1.2072303982122856</v>
      </c>
      <c r="W44" s="1">
        <v>1.6335784451488187</v>
      </c>
      <c r="X44" s="1">
        <v>1.5430147168756116</v>
      </c>
      <c r="Y44" s="1">
        <v>1.41139706276065</v>
      </c>
      <c r="Z44" s="1">
        <v>1.2167892186007663</v>
      </c>
      <c r="AA44" s="1">
        <v>1.2703431395485121</v>
      </c>
      <c r="AB44" s="1">
        <v>1.4332107895218273</v>
      </c>
      <c r="AC44" s="1">
        <v>1.5743872691676313</v>
      </c>
      <c r="AD44" s="1">
        <v>1.7659313791705404</v>
      </c>
      <c r="AE44" s="1">
        <v>1.2980392212376874</v>
      </c>
      <c r="AF44" s="1">
        <v>1.2252451030208784</v>
      </c>
      <c r="AG44" s="1">
        <v>1.3660539256372288</v>
      </c>
      <c r="AH44" s="1">
        <v>1.3319853002168969</v>
      </c>
      <c r="AI44">
        <v>1.2047794153950377</v>
      </c>
      <c r="AJ44">
        <f t="shared" si="1"/>
        <v>1.3673611178309044</v>
      </c>
      <c r="AK44" s="5">
        <f t="shared" si="2"/>
        <v>0.19523277486965376</v>
      </c>
      <c r="AL44" s="10">
        <f t="shared" si="3"/>
        <v>1.1376225505992039</v>
      </c>
      <c r="AM44" s="1">
        <f t="shared" si="4"/>
        <v>1.8393382459221517</v>
      </c>
      <c r="AN44" s="13">
        <f t="shared" si="5"/>
        <v>144.47806392609891</v>
      </c>
      <c r="AO44" s="13">
        <f t="shared" si="6"/>
        <v>233.59595723211325</v>
      </c>
    </row>
    <row r="45" spans="1:41">
      <c r="A45" s="4">
        <f t="shared" si="7"/>
        <v>43</v>
      </c>
      <c r="B45" s="4">
        <f t="shared" si="12"/>
        <v>1</v>
      </c>
      <c r="C45" s="4">
        <f t="shared" si="10"/>
        <v>6</v>
      </c>
      <c r="D45" s="1"/>
      <c r="E45" s="1">
        <v>1.3850490225442484</v>
      </c>
      <c r="F45" s="1">
        <v>2.1879902041571979</v>
      </c>
      <c r="G45" s="1"/>
      <c r="H45" s="1">
        <v>1.6909313798681194</v>
      </c>
      <c r="I45" s="1">
        <v>1.4580882364482273</v>
      </c>
      <c r="J45" s="1">
        <v>1.547794130926623</v>
      </c>
      <c r="K45" s="1"/>
      <c r="L45" s="1">
        <v>1.8686274786863257</v>
      </c>
      <c r="M45" s="1">
        <v>1.418259807915299</v>
      </c>
      <c r="N45" s="1">
        <v>1.9003676540492211</v>
      </c>
      <c r="O45" s="1"/>
      <c r="P45" s="1">
        <v>1.3671568641767782</v>
      </c>
      <c r="Q45" s="1"/>
      <c r="R45" s="1">
        <v>1.5475490236107041</v>
      </c>
      <c r="S45" s="1">
        <v>1.5272058875683476</v>
      </c>
      <c r="T45" s="1">
        <v>1.386642159704192</v>
      </c>
      <c r="U45" s="1">
        <v>1.3549019632094046</v>
      </c>
      <c r="V45" s="1">
        <v>1.4286764734954227</v>
      </c>
      <c r="W45" s="1">
        <v>1.9242647114483749</v>
      </c>
      <c r="X45" s="1">
        <v>1.79227941608166</v>
      </c>
      <c r="Y45" s="1">
        <v>1.6601715808186461</v>
      </c>
      <c r="Z45" s="1">
        <v>1.4687500128485993</v>
      </c>
      <c r="AA45" s="1">
        <v>1.547303932306229</v>
      </c>
      <c r="AB45" s="1">
        <v>1.6335784451488187</v>
      </c>
      <c r="AC45" s="1">
        <v>1.8699754989979898</v>
      </c>
      <c r="AD45" s="1">
        <v>2.1941176487534655</v>
      </c>
      <c r="AE45" s="1">
        <v>1.5359068644032174</v>
      </c>
      <c r="AF45" s="1">
        <v>1.5047794127069851</v>
      </c>
      <c r="AG45" s="1">
        <v>1.6180147205862929</v>
      </c>
      <c r="AH45" s="1">
        <v>1.6477941305760075</v>
      </c>
      <c r="AI45">
        <v>1.4457107985355691</v>
      </c>
      <c r="AJ45">
        <f t="shared" si="1"/>
        <v>1.626366202206369</v>
      </c>
      <c r="AK45" s="5">
        <f t="shared" si="2"/>
        <v>0.23445885559701676</v>
      </c>
      <c r="AL45" s="10">
        <f t="shared" si="3"/>
        <v>1.3549019632094046</v>
      </c>
      <c r="AM45" s="1">
        <f t="shared" si="4"/>
        <v>2.1941176487534655</v>
      </c>
      <c r="AN45" s="13">
        <f t="shared" si="5"/>
        <v>172.07254932759437</v>
      </c>
      <c r="AO45" s="13">
        <f t="shared" si="6"/>
        <v>278.65294139169009</v>
      </c>
    </row>
    <row r="46" spans="1:41">
      <c r="A46" s="4">
        <f t="shared" si="7"/>
        <v>44</v>
      </c>
      <c r="B46" s="4">
        <f t="shared" si="12"/>
        <v>1</v>
      </c>
      <c r="C46" s="4">
        <f t="shared" si="10"/>
        <v>7</v>
      </c>
      <c r="D46" s="1"/>
      <c r="E46" s="1">
        <v>1.6102941179100205</v>
      </c>
      <c r="F46" s="1">
        <v>2.5035539288365958</v>
      </c>
      <c r="G46" s="1"/>
      <c r="H46" s="1">
        <v>1.9289215739159022</v>
      </c>
      <c r="I46" s="1">
        <v>1.7123774600598742</v>
      </c>
      <c r="J46" s="1">
        <v>1.8018382390413215</v>
      </c>
      <c r="K46" s="1"/>
      <c r="L46" s="1">
        <v>2.1379902187077438</v>
      </c>
      <c r="M46" s="1">
        <v>1.6275735435459544</v>
      </c>
      <c r="N46" s="1">
        <v>2.1610294123344564</v>
      </c>
      <c r="O46" s="1"/>
      <c r="P46" s="1">
        <v>1.6324754984282395</v>
      </c>
      <c r="Q46" s="1"/>
      <c r="R46" s="1">
        <v>1.7906862880377208</v>
      </c>
      <c r="S46" s="1">
        <v>1.773039230266038</v>
      </c>
      <c r="T46" s="1">
        <v>1.6395833467516829</v>
      </c>
      <c r="U46" s="1">
        <v>1.5844362763140132</v>
      </c>
      <c r="V46" s="1">
        <v>1.6881127556238105</v>
      </c>
      <c r="W46" s="1">
        <v>2.1674019609742308</v>
      </c>
      <c r="X46" s="1">
        <v>2.0327206171391641</v>
      </c>
      <c r="Y46" s="1">
        <v>1.9438725534169112</v>
      </c>
      <c r="Z46" s="1">
        <v>1.7637254962149789</v>
      </c>
      <c r="AA46" s="1">
        <v>1.8285539237234523</v>
      </c>
      <c r="AB46" s="1">
        <v>1.8783088318346177</v>
      </c>
      <c r="AC46" s="1">
        <v>2.190808831440175</v>
      </c>
      <c r="AD46" s="1">
        <v>2.7278186395837394</v>
      </c>
      <c r="AE46" s="1">
        <v>1.7933823663083945</v>
      </c>
      <c r="AF46" s="1">
        <v>1.7772058875683476</v>
      </c>
      <c r="AG46" s="1">
        <v>1.8686274598626529</v>
      </c>
      <c r="AH46" s="1">
        <v>1.9751225515542661</v>
      </c>
      <c r="AI46">
        <v>1.7191176557365586</v>
      </c>
      <c r="AJ46">
        <f t="shared" si="1"/>
        <v>1.898465876486328</v>
      </c>
      <c r="AK46" s="5">
        <f t="shared" si="2"/>
        <v>0.27425250640877419</v>
      </c>
      <c r="AL46" s="10">
        <f t="shared" si="3"/>
        <v>1.5844362763140132</v>
      </c>
      <c r="AM46" s="1">
        <f t="shared" si="4"/>
        <v>2.7278186395837394</v>
      </c>
      <c r="AN46" s="13">
        <f t="shared" si="5"/>
        <v>201.22340709187966</v>
      </c>
      <c r="AO46" s="13">
        <f t="shared" si="6"/>
        <v>346.4329672271349</v>
      </c>
    </row>
    <row r="47" spans="1:41"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J47" s="1"/>
    </row>
    <row r="48" spans="1:41">
      <c r="B48" s="12" t="s">
        <v>10</v>
      </c>
      <c r="C48" s="4">
        <v>0</v>
      </c>
      <c r="D48" s="1" t="str">
        <f>IF(D$2&lt;&gt;"",VLOOKUP($C48,$A$2:D$46,D$1+4),"")</f>
        <v/>
      </c>
      <c r="E48" s="1">
        <f>IF(E$2&lt;&gt;"",VLOOKUP($C48,$A$2:E$46,E$1+4),"")</f>
        <v>0.16535432636737823</v>
      </c>
      <c r="F48" s="1">
        <f>IF(F$2&lt;&gt;"",VLOOKUP($C48,$A$2:F$46,F$1+4),"")</f>
        <v>0.16535432636737823</v>
      </c>
      <c r="G48" s="1" t="str">
        <f>IF(G$2&lt;&gt;"",VLOOKUP($C48,$A$2:G$46,G$1+4),"")</f>
        <v/>
      </c>
      <c r="H48" s="1">
        <f>IF(H$2&lt;&gt;"",VLOOKUP($C48,$A$2:H$46,H$1+4),"")</f>
        <v>0.16535432636737823</v>
      </c>
      <c r="I48" s="1">
        <f>IF(I$2&lt;&gt;"",VLOOKUP($C48,$A$2:I$46,I$1+4),"")</f>
        <v>0.17322835326194763</v>
      </c>
      <c r="J48" s="1">
        <f>IF(J$2&lt;&gt;"",VLOOKUP($C48,$A$2:J$46,J$1+4),"")</f>
        <v>0.16535432636737823</v>
      </c>
      <c r="K48" s="1" t="str">
        <f>IF(K$2&lt;&gt;"",VLOOKUP($C48,$A$2:K$46,K$1+4),"")</f>
        <v/>
      </c>
      <c r="L48" s="1">
        <f>IF(L$2&lt;&gt;"",VLOOKUP($C48,$A$2:L$46,L$1+4),"")</f>
        <v>0.18110236525535583</v>
      </c>
      <c r="M48" s="1">
        <f>IF(M$2&lt;&gt;"",VLOOKUP($C48,$A$2:M$46,M$1+4),"")</f>
        <v>0.16535432636737823</v>
      </c>
      <c r="N48" s="1">
        <f>IF(N$2&lt;&gt;"",VLOOKUP($C48,$A$2:N$46,N$1+4),"")</f>
        <v>0.16855315619613975</v>
      </c>
      <c r="O48" s="1" t="str">
        <f>IF(O$2&lt;&gt;"",VLOOKUP($C48,$A$2:O$46,O$1+4),"")</f>
        <v/>
      </c>
      <c r="P48" s="1">
        <f>IF(P$2&lt;&gt;"",VLOOKUP($C48,$A$2:P$46,P$1+4),"")</f>
        <v>0.18110236525535583</v>
      </c>
      <c r="Q48" s="1" t="str">
        <f>IF(Q$2&lt;&gt;"",VLOOKUP($C48,$A$2:Q$46,Q$1+4),"")</f>
        <v/>
      </c>
      <c r="R48" s="1">
        <f>IF(R$2&lt;&gt;"",VLOOKUP($C48,$A$2:R$46,R$1+4),"")</f>
        <v>0.18110236525535583</v>
      </c>
      <c r="S48" s="1">
        <f>IF(S$2&lt;&gt;"",VLOOKUP($C48,$A$2:S$46,S$1+4),"")</f>
        <v>0.16535432636737823</v>
      </c>
      <c r="T48" s="1">
        <f>IF(T$2&lt;&gt;"",VLOOKUP($C48,$A$2:T$46,T$1+4),"")</f>
        <v>0.18159449100494385</v>
      </c>
      <c r="U48" s="1">
        <f>IF(U$2&lt;&gt;"",VLOOKUP($C48,$A$2:U$46,U$1+4),"")</f>
        <v>0.16535432636737823</v>
      </c>
      <c r="V48" s="1">
        <f>IF(V$2&lt;&gt;"",VLOOKUP($C48,$A$2:V$46,V$1+4),"")</f>
        <v>0.16387795913033187</v>
      </c>
      <c r="W48" s="1">
        <f>IF(W$2&lt;&gt;"",VLOOKUP($C48,$A$2:W$46,W$1+4),"")</f>
        <v>0.17322835326194763</v>
      </c>
      <c r="X48" s="1">
        <f>IF(X$2&lt;&gt;"",VLOOKUP($C48,$A$2:X$46,X$1+4),"")</f>
        <v>0.17322835326194763</v>
      </c>
      <c r="Y48" s="1">
        <f>IF(Y$2&lt;&gt;"",VLOOKUP($C48,$A$2:Y$46,Y$1+4),"")</f>
        <v>0.17322835326194763</v>
      </c>
      <c r="Z48" s="1">
        <f>IF(Z$2&lt;&gt;"",VLOOKUP($C48,$A$2:Z$46,Z$1+4),"")</f>
        <v>0.16092519264202565</v>
      </c>
      <c r="AA48" s="1">
        <f>IF(AA$2&lt;&gt;"",VLOOKUP($C48,$A$2:AA$46,AA$1+4),"")</f>
        <v>0.16855315619613975</v>
      </c>
      <c r="AB48" s="1">
        <f>IF(AB$2&lt;&gt;"",VLOOKUP($C48,$A$2:AB$46,AB$1+4),"")</f>
        <v>0.16855315619613975</v>
      </c>
      <c r="AC48" s="1">
        <f>IF(AC$2&lt;&gt;"",VLOOKUP($C48,$A$2:AC$46,AC$1+4),"")</f>
        <v>0.17618110531475395</v>
      </c>
      <c r="AD48" s="1">
        <f>IF(AD$2&lt;&gt;"",VLOOKUP($C48,$A$2:AD$46,AD$1+4),"")</f>
        <v>0.15649605891667306</v>
      </c>
      <c r="AE48" s="1">
        <f>IF(AE$2&lt;&gt;"",VLOOKUP($C48,$A$2:AE$46,AE$1+4),"")</f>
        <v>0.16387795913033187</v>
      </c>
      <c r="AF48" s="1">
        <f>IF(AF$2&lt;&gt;"",VLOOKUP($C48,$A$2:AF$46,AF$1+4),"")</f>
        <v>0.17322835326194763</v>
      </c>
      <c r="AG48" s="1">
        <f>IF(AG$2&lt;&gt;"",VLOOKUP($C48,$A$2:AG$46,AG$1+4),"")</f>
        <v>0.18110236525535583</v>
      </c>
      <c r="AH48" s="1">
        <f>IF(AH$2&lt;&gt;"",VLOOKUP($C48,$A$2:AH$46,AH$1+4),"")</f>
        <v>0.16855315619613975</v>
      </c>
      <c r="AI48" s="1">
        <f>IF(AI$2&lt;&gt;"",VLOOKUP($C48,$A$2:AI$46,AI$1+4),"")</f>
        <v>0.16855315619613975</v>
      </c>
      <c r="AJ48" s="1">
        <f t="shared" ref="AJ48:AJ110" si="13">AVERAGE(D48:AI48)</f>
        <v>0.17013889107490993</v>
      </c>
      <c r="AK48" s="5">
        <f t="shared" ref="AK48:AK110" si="14">STDEV(D48:AI48)</f>
        <v>6.8457985640715318E-3</v>
      </c>
      <c r="AL48" s="7">
        <f>127*AJ48</f>
        <v>21.607639166513561</v>
      </c>
    </row>
    <row r="49" spans="2:38">
      <c r="B49" s="12"/>
      <c r="C49" s="4">
        <f>C48+9</f>
        <v>9</v>
      </c>
      <c r="D49" s="1" t="str">
        <f>IF(D$2&lt;&gt;"",VLOOKUP($C49,$A$2:D$46,D$1+4),"")</f>
        <v/>
      </c>
      <c r="E49" s="1">
        <f>IF(E$2&lt;&gt;"",VLOOKUP($C49,$A$2:E$46,E$1+4),"")</f>
        <v>0.18110236525535583</v>
      </c>
      <c r="F49" s="1">
        <f>IF(F$2&lt;&gt;"",VLOOKUP($C49,$A$2:F$46,F$1+4),"")</f>
        <v>0.18110236525535583</v>
      </c>
      <c r="G49" s="1" t="str">
        <f>IF(G$2&lt;&gt;"",VLOOKUP($C49,$A$2:G$46,G$1+4),"")</f>
        <v/>
      </c>
      <c r="H49" s="1">
        <f>IF(H$2&lt;&gt;"",VLOOKUP($C49,$A$2:H$46,H$1+4),"")</f>
        <v>0.18110236525535583</v>
      </c>
      <c r="I49" s="1">
        <f>IF(I$2&lt;&gt;"",VLOOKUP($C49,$A$2:I$46,I$1+4),"")</f>
        <v>0.19143700355198234</v>
      </c>
      <c r="J49" s="1">
        <f>IF(J$2&lt;&gt;"",VLOOKUP($C49,$A$2:J$46,J$1+4),"")</f>
        <v>0.17347440880257636</v>
      </c>
      <c r="K49" s="1" t="str">
        <f>IF(K$2&lt;&gt;"",VLOOKUP($C49,$A$2:K$46,K$1+4),"")</f>
        <v/>
      </c>
      <c r="L49" s="1">
        <f>IF(L$2&lt;&gt;"",VLOOKUP($C49,$A$2:L$46,L$1+4),"")</f>
        <v>0.20472441613674164</v>
      </c>
      <c r="M49" s="1">
        <f>IF(M$2&lt;&gt;"",VLOOKUP($C49,$A$2:M$46,M$1+4),"")</f>
        <v>0.17618110531475395</v>
      </c>
      <c r="N49" s="1">
        <f>IF(N$2&lt;&gt;"",VLOOKUP($C49,$A$2:N$46,N$1+4),"")</f>
        <v>0.19685038924217224</v>
      </c>
      <c r="O49" s="1" t="str">
        <f>IF(O$2&lt;&gt;"",VLOOKUP($C49,$A$2:O$46,O$1+4),"")</f>
        <v/>
      </c>
      <c r="P49" s="1">
        <f>IF(P$2&lt;&gt;"",VLOOKUP($C49,$A$2:P$46,P$1+4),"")</f>
        <v>0.19881890376564115</v>
      </c>
      <c r="Q49" s="1" t="str">
        <f>IF(Q$2&lt;&gt;"",VLOOKUP($C49,$A$2:Q$46,Q$1+4),"")</f>
        <v/>
      </c>
      <c r="R49" s="1">
        <f>IF(R$2&lt;&gt;"",VLOOKUP($C49,$A$2:R$46,R$1+4),"")</f>
        <v>0.19685038924217224</v>
      </c>
      <c r="S49" s="1">
        <f>IF(S$2&lt;&gt;"",VLOOKUP($C49,$A$2:S$46,S$1+4),"")</f>
        <v>0.18503937125205994</v>
      </c>
      <c r="T49" s="1">
        <f>IF(T$2&lt;&gt;"",VLOOKUP($C49,$A$2:T$46,T$1+4),"")</f>
        <v>0.20472441613674164</v>
      </c>
      <c r="U49" s="1">
        <f>IF(U$2&lt;&gt;"",VLOOKUP($C49,$A$2:U$46,U$1+4),"")</f>
        <v>0.18380905443336815</v>
      </c>
      <c r="V49" s="1">
        <f>IF(V$2&lt;&gt;"",VLOOKUP($C49,$A$2:V$46,V$1+4),"")</f>
        <v>0.19685038924217224</v>
      </c>
      <c r="W49" s="1">
        <f>IF(W$2&lt;&gt;"",VLOOKUP($C49,$A$2:W$46,W$1+4),"")</f>
        <v>0.18897637724876404</v>
      </c>
      <c r="X49" s="1">
        <f>IF(X$2&lt;&gt;"",VLOOKUP($C49,$A$2:X$46,X$1+4),"")</f>
        <v>0.18380905443336815</v>
      </c>
      <c r="Y49" s="1">
        <f>IF(Y$2&lt;&gt;"",VLOOKUP($C49,$A$2:Y$46,Y$1+4),"")</f>
        <v>0.18897637724876404</v>
      </c>
      <c r="Z49" s="1">
        <f>IF(Z$2&lt;&gt;"",VLOOKUP($C49,$A$2:Z$46,Z$1+4),"")</f>
        <v>0.18110236525535583</v>
      </c>
      <c r="AA49" s="1">
        <f>IF(AA$2&lt;&gt;"",VLOOKUP($C49,$A$2:AA$46,AA$1+4),"")</f>
        <v>0.18897637724876404</v>
      </c>
      <c r="AB49" s="1">
        <f>IF(AB$2&lt;&gt;"",VLOOKUP($C49,$A$2:AB$46,AB$1+4),"")</f>
        <v>0.18380905443336815</v>
      </c>
      <c r="AC49" s="1">
        <f>IF(AC$2&lt;&gt;"",VLOOKUP($C49,$A$2:AC$46,AC$1+4),"")</f>
        <v>0.20472441613674164</v>
      </c>
      <c r="AD49" s="1">
        <f>IF(AD$2&lt;&gt;"",VLOOKUP($C49,$A$2:AD$46,AD$1+4),"")</f>
        <v>0.18897637724876404</v>
      </c>
      <c r="AE49" s="1">
        <f>IF(AE$2&lt;&gt;"",VLOOKUP($C49,$A$2:AE$46,AE$1+4),"")</f>
        <v>0.19685038924217224</v>
      </c>
      <c r="AF49" s="1">
        <f>IF(AF$2&lt;&gt;"",VLOOKUP($C49,$A$2:AF$46,AF$1+4),"")</f>
        <v>0.18897637724876404</v>
      </c>
      <c r="AG49" s="1">
        <f>IF(AG$2&lt;&gt;"",VLOOKUP($C49,$A$2:AG$46,AG$1+4),"")</f>
        <v>0.19685038924217224</v>
      </c>
      <c r="AH49" s="1">
        <f>IF(AH$2&lt;&gt;"",VLOOKUP($C49,$A$2:AH$46,AH$1+4),"")</f>
        <v>0.19685038924217224</v>
      </c>
      <c r="AI49" s="1">
        <f>IF(AI$2&lt;&gt;"",VLOOKUP($C49,$A$2:AI$46,AI$1+4),"")</f>
        <v>0.19119094067718834</v>
      </c>
      <c r="AJ49" s="1">
        <f t="shared" si="13"/>
        <v>0.19007910473306697</v>
      </c>
      <c r="AK49" s="5">
        <f t="shared" si="14"/>
        <v>8.6349883612977536E-3</v>
      </c>
      <c r="AL49" s="7">
        <f t="shared" ref="AL49:AL52" si="15">127*AJ49</f>
        <v>24.140046301099506</v>
      </c>
    </row>
    <row r="50" spans="2:38">
      <c r="B50" s="12"/>
      <c r="C50" s="4">
        <f t="shared" ref="C50:C52" si="16">C49+9</f>
        <v>18</v>
      </c>
      <c r="D50" s="1" t="str">
        <f>IF(D$2&lt;&gt;"",VLOOKUP($C50,$A$2:D$46,D$1+4),"")</f>
        <v/>
      </c>
      <c r="E50" s="1">
        <f>IF(E$2&lt;&gt;"",VLOOKUP($C50,$A$2:E$46,E$1+4),"")</f>
        <v>0.25196850299835205</v>
      </c>
      <c r="F50" s="1">
        <f>IF(F$2&lt;&gt;"",VLOOKUP($C50,$A$2:F$46,F$1+4),"")</f>
        <v>0.25196850299835205</v>
      </c>
      <c r="G50" s="1" t="str">
        <f>IF(G$2&lt;&gt;"",VLOOKUP($C50,$A$2:G$46,G$1+4),"")</f>
        <v/>
      </c>
      <c r="H50" s="1">
        <f>IF(H$2&lt;&gt;"",VLOOKUP($C50,$A$2:H$46,H$1+4),"")</f>
        <v>0.25196850299835205</v>
      </c>
      <c r="I50" s="1">
        <f>IF(I$2&lt;&gt;"",VLOOKUP($C50,$A$2:I$46,I$1+4),"")</f>
        <v>0.2524606219958514</v>
      </c>
      <c r="J50" s="1">
        <f>IF(J$2&lt;&gt;"",VLOOKUP($C50,$A$2:J$46,J$1+4),"")</f>
        <v>0.24507873575203121</v>
      </c>
      <c r="K50" s="1" t="str">
        <f>IF(K$2&lt;&gt;"",VLOOKUP($C50,$A$2:K$46,K$1+4),"")</f>
        <v/>
      </c>
      <c r="L50" s="1">
        <f>IF(L$2&lt;&gt;"",VLOOKUP($C50,$A$2:L$46,L$1+4),"")</f>
        <v>0.26771652360912412</v>
      </c>
      <c r="M50" s="1">
        <f>IF(M$2&lt;&gt;"",VLOOKUP($C50,$A$2:M$46,M$1+4),"")</f>
        <v>0.25196850299835205</v>
      </c>
      <c r="N50" s="1">
        <f>IF(N$2&lt;&gt;"",VLOOKUP($C50,$A$2:N$46,N$1+4),"")</f>
        <v>0.26747046411037445</v>
      </c>
      <c r="O50" s="1" t="str">
        <f>IF(O$2&lt;&gt;"",VLOOKUP($C50,$A$2:O$46,O$1+4),"")</f>
        <v/>
      </c>
      <c r="P50" s="1">
        <f>IF(P$2&lt;&gt;"",VLOOKUP($C50,$A$2:P$46,P$1+4),"")</f>
        <v>0.26771652360912412</v>
      </c>
      <c r="Q50" s="1" t="str">
        <f>IF(Q$2&lt;&gt;"",VLOOKUP($C50,$A$2:Q$46,Q$1+4),"")</f>
        <v/>
      </c>
      <c r="R50" s="1">
        <f>IF(R$2&lt;&gt;"",VLOOKUP($C50,$A$2:R$46,R$1+4),"")</f>
        <v>0.26008857449050993</v>
      </c>
      <c r="S50" s="1">
        <f>IF(S$2&lt;&gt;"",VLOOKUP($C50,$A$2:S$46,S$1+4),"")</f>
        <v>0.25984251499176025</v>
      </c>
      <c r="T50" s="1">
        <f>IF(T$2&lt;&gt;"",VLOOKUP($C50,$A$2:T$46,T$1+4),"")</f>
        <v>0.27559053897857666</v>
      </c>
      <c r="U50" s="1">
        <f>IF(U$2&lt;&gt;"",VLOOKUP($C50,$A$2:U$46,U$1+4),"")</f>
        <v>0.25221456249710172</v>
      </c>
      <c r="V50" s="1">
        <f>IF(V$2&lt;&gt;"",VLOOKUP($C50,$A$2:V$46,V$1+4),"")</f>
        <v>0.24581692146603018</v>
      </c>
      <c r="W50" s="1">
        <f>IF(W$2&lt;&gt;"",VLOOKUP($C50,$A$2:W$46,W$1+4),"")</f>
        <v>0.25984251499176025</v>
      </c>
      <c r="X50" s="1">
        <f>IF(X$2&lt;&gt;"",VLOOKUP($C50,$A$2:X$46,X$1+4),"")</f>
        <v>0.25984251499176025</v>
      </c>
      <c r="Y50" s="1">
        <f>IF(Y$2&lt;&gt;"",VLOOKUP($C50,$A$2:Y$46,Y$1+4),"")</f>
        <v>0.25246062537189573</v>
      </c>
      <c r="Z50" s="1">
        <f>IF(Z$2&lt;&gt;"",VLOOKUP($C50,$A$2:Z$46,Z$1+4),"")</f>
        <v>0.24483267625328153</v>
      </c>
      <c r="AA50" s="1">
        <f>IF(AA$2&lt;&gt;"",VLOOKUP($C50,$A$2:AA$46,AA$1+4),"")</f>
        <v>0.25984251499176025</v>
      </c>
      <c r="AB50" s="1">
        <f>IF(AB$2&lt;&gt;"",VLOOKUP($C50,$A$2:AB$46,AB$1+4),"")</f>
        <v>0.25196850299835205</v>
      </c>
      <c r="AC50" s="1">
        <f>IF(AC$2&lt;&gt;"",VLOOKUP($C50,$A$2:AC$46,AC$1+4),"")</f>
        <v>0.26894684135913849</v>
      </c>
      <c r="AD50" s="1">
        <f>IF(AD$2&lt;&gt;"",VLOOKUP($C50,$A$2:AD$46,AD$1+4),"")</f>
        <v>0.25246062537189573</v>
      </c>
      <c r="AE50" s="1">
        <f>IF(AE$2&lt;&gt;"",VLOOKUP($C50,$A$2:AE$46,AE$1+4),"")</f>
        <v>0.26008857449050993</v>
      </c>
      <c r="AF50" s="1">
        <f>IF(AF$2&lt;&gt;"",VLOOKUP($C50,$A$2:AF$46,AF$1+4),"")</f>
        <v>0.25984251499176025</v>
      </c>
      <c r="AG50" s="1">
        <f>IF(AG$2&lt;&gt;"",VLOOKUP($C50,$A$2:AG$46,AG$1+4),"")</f>
        <v>0.26771652698516846</v>
      </c>
      <c r="AH50" s="1">
        <f>IF(AH$2&lt;&gt;"",VLOOKUP($C50,$A$2:AH$46,AH$1+4),"")</f>
        <v>0.26008857449050993</v>
      </c>
      <c r="AI50" s="1">
        <f>IF(AI$2&lt;&gt;"",VLOOKUP($C50,$A$2:AI$46,AI$1+4),"")</f>
        <v>0.24507873575203121</v>
      </c>
      <c r="AJ50" s="1">
        <f t="shared" si="13"/>
        <v>0.25721784209384135</v>
      </c>
      <c r="AK50" s="5">
        <f t="shared" si="14"/>
        <v>8.27152121374293E-3</v>
      </c>
      <c r="AL50" s="7">
        <f t="shared" si="15"/>
        <v>32.666665945917849</v>
      </c>
    </row>
    <row r="51" spans="2:38">
      <c r="B51" s="12"/>
      <c r="C51" s="4">
        <f t="shared" si="16"/>
        <v>27</v>
      </c>
      <c r="D51" s="1" t="str">
        <f>IF(D$2&lt;&gt;"",VLOOKUP($C51,$A$2:D$46,D$1+4),"")</f>
        <v/>
      </c>
      <c r="E51" s="1">
        <f>IF(E$2&lt;&gt;"",VLOOKUP($C51,$A$2:E$46,E$1+4),"")</f>
        <v>0.35433071851730347</v>
      </c>
      <c r="F51" s="1">
        <f>IF(F$2&lt;&gt;"",VLOOKUP($C51,$A$2:F$46,F$1+4),"")</f>
        <v>0.34399607253726572</v>
      </c>
      <c r="G51" s="1" t="str">
        <f>IF(G$2&lt;&gt;"",VLOOKUP($C51,$A$2:G$46,G$1+4),"")</f>
        <v/>
      </c>
      <c r="H51" s="1">
        <f>IF(H$2&lt;&gt;"",VLOOKUP($C51,$A$2:H$46,H$1+4),"")</f>
        <v>0.34645670652389526</v>
      </c>
      <c r="I51" s="1">
        <f>IF(I$2&lt;&gt;"",VLOOKUP($C51,$A$2:I$46,I$1+4),"")</f>
        <v>0.37450786901172251</v>
      </c>
      <c r="J51" s="1">
        <f>IF(J$2&lt;&gt;"",VLOOKUP($C51,$A$2:J$46,J$1+4),"")</f>
        <v>0.35162402165587991</v>
      </c>
      <c r="K51" s="1" t="str">
        <f>IF(K$2&lt;&gt;"",VLOOKUP($C51,$A$2:K$46,K$1+4),"")</f>
        <v/>
      </c>
      <c r="L51" s="1">
        <f>IF(L$2&lt;&gt;"",VLOOKUP($C51,$A$2:L$46,L$1+4),"")</f>
        <v>0.37450786901172251</v>
      </c>
      <c r="M51" s="1">
        <f>IF(M$2&lt;&gt;"",VLOOKUP($C51,$A$2:M$46,M$1+4),"")</f>
        <v>0.35433071851730347</v>
      </c>
      <c r="N51" s="1">
        <f>IF(N$2&lt;&gt;"",VLOOKUP($C51,$A$2:N$46,N$1+4),"")</f>
        <v>0.37007874250411987</v>
      </c>
      <c r="O51" s="1" t="str">
        <f>IF(O$2&lt;&gt;"",VLOOKUP($C51,$A$2:O$46,O$1+4),"")</f>
        <v/>
      </c>
      <c r="P51" s="1">
        <f>IF(P$2&lt;&gt;"",VLOOKUP($C51,$A$2:P$46,P$1+4),"")</f>
        <v>0.36220472003333271</v>
      </c>
      <c r="Q51" s="1" t="str">
        <f>IF(Q$2&lt;&gt;"",VLOOKUP($C51,$A$2:Q$46,Q$1+4),"")</f>
        <v/>
      </c>
      <c r="R51" s="1">
        <f>IF(R$2&lt;&gt;"",VLOOKUP($C51,$A$2:R$46,R$1+4),"")</f>
        <v>0.35925197077449411</v>
      </c>
      <c r="S51" s="1">
        <f>IF(S$2&lt;&gt;"",VLOOKUP($C51,$A$2:S$46,S$1+4),"")</f>
        <v>0.36220473051071167</v>
      </c>
      <c r="T51" s="1">
        <f>IF(T$2&lt;&gt;"",VLOOKUP($C51,$A$2:T$46,T$1+4),"")</f>
        <v>0.37450786901172251</v>
      </c>
      <c r="U51" s="1">
        <f>IF(U$2&lt;&gt;"",VLOOKUP($C51,$A$2:U$46,U$1+4),"")</f>
        <v>0.3304626039462164</v>
      </c>
      <c r="V51" s="1">
        <f>IF(V$2&lt;&gt;"",VLOOKUP($C51,$A$2:V$46,V$1+4),"")</f>
        <v>0.37007874250411987</v>
      </c>
      <c r="W51" s="1">
        <f>IF(W$2&lt;&gt;"",VLOOKUP($C51,$A$2:W$46,W$1+4),"")</f>
        <v>0.37007874250411987</v>
      </c>
      <c r="X51" s="1">
        <f>IF(X$2&lt;&gt;"",VLOOKUP($C51,$A$2:X$46,X$1+4),"")</f>
        <v>0.35187008453067392</v>
      </c>
      <c r="Y51" s="1">
        <f>IF(Y$2&lt;&gt;"",VLOOKUP($C51,$A$2:Y$46,Y$1+4),"")</f>
        <v>0.36220473051071167</v>
      </c>
      <c r="Z51" s="1">
        <f>IF(Z$2&lt;&gt;"",VLOOKUP($C51,$A$2:Z$46,Z$1+4),"")</f>
        <v>0.35162402165587991</v>
      </c>
      <c r="AA51" s="1">
        <f>IF(AA$2&lt;&gt;"",VLOOKUP($C51,$A$2:AA$46,AA$1+4),"")</f>
        <v>0.36220473051071167</v>
      </c>
      <c r="AB51" s="1">
        <f>IF(AB$2&lt;&gt;"",VLOOKUP($C51,$A$2:AB$46,AB$1+4),"")</f>
        <v>0.35433071851730347</v>
      </c>
      <c r="AC51" s="1">
        <f>IF(AC$2&lt;&gt;"",VLOOKUP($C51,$A$2:AC$46,AC$1+4),"")</f>
        <v>0.37795275449752808</v>
      </c>
      <c r="AD51" s="1">
        <f>IF(AD$2&lt;&gt;"",VLOOKUP($C51,$A$2:AD$46,AD$1+4),"")</f>
        <v>0.36220473051071167</v>
      </c>
      <c r="AE51" s="1">
        <f>IF(AE$2&lt;&gt;"",VLOOKUP($C51,$A$2:AE$46,AE$1+4),"")</f>
        <v>0.37007874250411987</v>
      </c>
      <c r="AF51" s="1">
        <f>IF(AF$2&lt;&gt;"",VLOOKUP($C51,$A$2:AF$46,AF$1+4),"")</f>
        <v>0.36220473051071167</v>
      </c>
      <c r="AG51" s="1">
        <f>IF(AG$2&lt;&gt;"",VLOOKUP($C51,$A$2:AG$46,AG$1+4),"")</f>
        <v>0.37007874250411987</v>
      </c>
      <c r="AH51" s="1">
        <f>IF(AH$2&lt;&gt;"",VLOOKUP($C51,$A$2:AH$46,AH$1+4),"")</f>
        <v>0.36687991989310831</v>
      </c>
      <c r="AI51" s="1">
        <f>IF(AI$2&lt;&gt;"",VLOOKUP($C51,$A$2:AI$46,AI$1+4),"")</f>
        <v>0.36220473051071167</v>
      </c>
      <c r="AJ51" s="1">
        <f t="shared" si="13"/>
        <v>0.36120224941556378</v>
      </c>
      <c r="AK51" s="5">
        <f t="shared" si="14"/>
        <v>1.0953345573671138E-2</v>
      </c>
      <c r="AL51" s="7">
        <f t="shared" si="15"/>
        <v>45.872685675776601</v>
      </c>
    </row>
    <row r="52" spans="2:38">
      <c r="B52" s="12"/>
      <c r="C52" s="4">
        <f t="shared" si="16"/>
        <v>36</v>
      </c>
      <c r="D52" s="1" t="str">
        <f>IF(D$2&lt;&gt;"",VLOOKUP($C52,$A$2:D$46,D$1+4),"")</f>
        <v/>
      </c>
      <c r="E52" s="1">
        <f>IF(E$2&lt;&gt;"",VLOOKUP($C52,$A$2:E$46,E$1+4),"")</f>
        <v>0.77952754497528076</v>
      </c>
      <c r="F52" s="1">
        <f>IF(F$2&lt;&gt;"",VLOOKUP($C52,$A$2:F$46,F$1+4),"")</f>
        <v>0.75590549816843122</v>
      </c>
      <c r="G52" s="1" t="str">
        <f>IF(G$2&lt;&gt;"",VLOOKUP($C52,$A$2:G$46,G$1+4),"")</f>
        <v/>
      </c>
      <c r="H52" s="1">
        <f>IF(H$2&lt;&gt;"",VLOOKUP($C52,$A$2:H$46,H$1+4),"")</f>
        <v>0.75590550899505615</v>
      </c>
      <c r="I52" s="1">
        <f>IF(I$2&lt;&gt;"",VLOOKUP($C52,$A$2:I$46,I$1+4),"")</f>
        <v>0.82455709797795862</v>
      </c>
      <c r="J52" s="1">
        <f>IF(J$2&lt;&gt;"",VLOOKUP($C52,$A$2:J$46,J$1+4),"")</f>
        <v>0.77878934552427381</v>
      </c>
      <c r="K52" s="1" t="str">
        <f>IF(K$2&lt;&gt;"",VLOOKUP($C52,$A$2:K$46,K$1+4),"")</f>
        <v/>
      </c>
      <c r="L52" s="1">
        <f>IF(L$2&lt;&gt;"",VLOOKUP($C52,$A$2:L$46,L$1+4),"")</f>
        <v>0.85039371252059937</v>
      </c>
      <c r="M52" s="1">
        <f>IF(M$2&lt;&gt;"",VLOOKUP($C52,$A$2:M$46,M$1+4),"")</f>
        <v>0.73228345136158168</v>
      </c>
      <c r="N52" s="1">
        <f>IF(N$2&lt;&gt;"",VLOOKUP($C52,$A$2:N$46,N$1+4),"")</f>
        <v>0.77878934552427381</v>
      </c>
      <c r="O52" s="1" t="str">
        <f>IF(O$2&lt;&gt;"",VLOOKUP($C52,$A$2:O$46,O$1+4),"")</f>
        <v/>
      </c>
      <c r="P52" s="1">
        <f>IF(P$2&lt;&gt;"",VLOOKUP($C52,$A$2:P$46,P$1+4),"")</f>
        <v>0.80167325062211603</v>
      </c>
      <c r="Q52" s="1" t="str">
        <f>IF(Q$2&lt;&gt;"",VLOOKUP($C52,$A$2:Q$46,Q$1+4),"")</f>
        <v/>
      </c>
      <c r="R52" s="1">
        <f>IF(R$2&lt;&gt;"",VLOOKUP($C52,$A$2:R$46,R$1+4),"")</f>
        <v>0.80314958095550537</v>
      </c>
      <c r="S52" s="1">
        <f>IF(S$2&lt;&gt;"",VLOOKUP($C52,$A$2:S$46,S$1+4),"")</f>
        <v>0.78641729464288801</v>
      </c>
      <c r="T52" s="1">
        <f>IF(T$2&lt;&gt;"",VLOOKUP($C52,$A$2:T$46,T$1+4),"")</f>
        <v>0.79404530150350183</v>
      </c>
      <c r="U52" s="1">
        <f>IF(U$2&lt;&gt;"",VLOOKUP($C52,$A$2:U$46,U$1+4),"")</f>
        <v>0.74704722384922206</v>
      </c>
      <c r="V52" s="1">
        <f>IF(V$2&lt;&gt;"",VLOOKUP($C52,$A$2:V$46,V$1+4),"")</f>
        <v>0.81003934144973755</v>
      </c>
      <c r="W52" s="1">
        <f>IF(W$2&lt;&gt;"",VLOOKUP($C52,$A$2:W$46,W$1+4),"")</f>
        <v>0.81102359294891357</v>
      </c>
      <c r="X52" s="1">
        <f>IF(X$2&lt;&gt;"",VLOOKUP($C52,$A$2:X$46,X$1+4),"")</f>
        <v>0.79527556896209717</v>
      </c>
      <c r="Y52" s="1">
        <f>IF(Y$2&lt;&gt;"",VLOOKUP($C52,$A$2:Y$46,Y$1+4),"")</f>
        <v>0.79527556896209717</v>
      </c>
      <c r="Z52" s="1">
        <f>IF(Z$2&lt;&gt;"",VLOOKUP($C52,$A$2:Z$46,Z$1+4),"")</f>
        <v>0.79527556896209717</v>
      </c>
      <c r="AA52" s="1">
        <f>IF(AA$2&lt;&gt;"",VLOOKUP($C52,$A$2:AA$46,AA$1+4),"")</f>
        <v>0.79527556896209717</v>
      </c>
      <c r="AB52" s="1">
        <f>IF(AB$2&lt;&gt;"",VLOOKUP($C52,$A$2:AB$46,AB$1+4),"")</f>
        <v>0.74827754904981703</v>
      </c>
      <c r="AC52" s="1">
        <f>IF(AC$2&lt;&gt;"",VLOOKUP($C52,$A$2:AC$46,AC$1+4),"")</f>
        <v>0.81692914664745331</v>
      </c>
      <c r="AD52" s="1">
        <f>IF(AD$2&lt;&gt;"",VLOOKUP($C52,$A$2:AD$46,AD$1+4),"")</f>
        <v>0.80314958095550537</v>
      </c>
      <c r="AE52" s="1">
        <f>IF(AE$2&lt;&gt;"",VLOOKUP($C52,$A$2:AE$46,AE$1+4),"")</f>
        <v>0.72317911416757852</v>
      </c>
      <c r="AF52" s="1">
        <f>IF(AF$2&lt;&gt;"",VLOOKUP($C52,$A$2:AF$46,AF$1+4),"")</f>
        <v>0.79429131746292114</v>
      </c>
      <c r="AG52" s="1">
        <f>IF(AG$2&lt;&gt;"",VLOOKUP($C52,$A$2:AG$46,AG$1+4),"")</f>
        <v>0.77116139640565962</v>
      </c>
      <c r="AH52" s="1">
        <f>IF(AH$2&lt;&gt;"",VLOOKUP($C52,$A$2:AH$46,AH$1+4),"")</f>
        <v>0.82677167654037476</v>
      </c>
      <c r="AI52" s="1">
        <f>IF(AI$2&lt;&gt;"",VLOOKUP($C52,$A$2:AI$46,AI$1+4),"")</f>
        <v>0.75590549816843122</v>
      </c>
      <c r="AJ52" s="1">
        <f t="shared" si="13"/>
        <v>0.78630794986168406</v>
      </c>
      <c r="AK52" s="5">
        <f t="shared" si="14"/>
        <v>3.0141106510847244E-2</v>
      </c>
      <c r="AL52" s="7">
        <f t="shared" si="15"/>
        <v>99.86110963243388</v>
      </c>
    </row>
    <row r="53" spans="2:38"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1"/>
      <c r="AJ53" s="1"/>
    </row>
    <row r="54" spans="2:38">
      <c r="B54" s="12">
        <v>0</v>
      </c>
      <c r="C54" s="4">
        <f>C48+1</f>
        <v>1</v>
      </c>
      <c r="D54" s="1" t="str">
        <f>IF(D$2&lt;&gt;"",VLOOKUP($C54,$A$2:D$46,D$1+4),"")</f>
        <v/>
      </c>
      <c r="E54" s="1">
        <f>IF(E$2&lt;&gt;"",VLOOKUP($C54,$A$2:E$46,E$1+4),"")</f>
        <v>0.28578431537721816</v>
      </c>
      <c r="F54" s="1">
        <f>IF(F$2&lt;&gt;"",VLOOKUP($C54,$A$2:F$46,F$1+4),"")</f>
        <v>0.41642157032254939</v>
      </c>
      <c r="G54" s="1" t="str">
        <f>IF(G$2&lt;&gt;"",VLOOKUP($C54,$A$2:G$46,G$1+4),"")</f>
        <v/>
      </c>
      <c r="H54" s="1">
        <f>IF(H$2&lt;&gt;"",VLOOKUP($C54,$A$2:H$46,H$1+4),"")</f>
        <v>0.35674019648679806</v>
      </c>
      <c r="I54" s="1">
        <f>IF(I$2&lt;&gt;"",VLOOKUP($C54,$A$2:I$46,I$1+4),"")</f>
        <v>0.30588235479651715</v>
      </c>
      <c r="J54" s="1">
        <f>IF(J$2&lt;&gt;"",VLOOKUP($C54,$A$2:J$46,J$1+4),"")</f>
        <v>0.30588235479651715</v>
      </c>
      <c r="K54" s="1" t="str">
        <f>IF(K$2&lt;&gt;"",VLOOKUP($C54,$A$2:K$46,K$1+4),"")</f>
        <v/>
      </c>
      <c r="L54" s="1">
        <f>IF(L$2&lt;&gt;"",VLOOKUP($C54,$A$2:L$46,L$1+4),"")</f>
        <v>0.34730392305874358</v>
      </c>
      <c r="M54" s="1">
        <f>IF(M$2&lt;&gt;"",VLOOKUP($C54,$A$2:M$46,M$1+4),"")</f>
        <v>0.29730392207263734</v>
      </c>
      <c r="N54" s="1">
        <f>IF(N$2&lt;&gt;"",VLOOKUP($C54,$A$2:N$46,N$1+4),"")</f>
        <v>0.41936274556552661</v>
      </c>
      <c r="O54" s="1" t="str">
        <f>IF(O$2&lt;&gt;"",VLOOKUP($C54,$A$2:O$46,O$1+4),"")</f>
        <v/>
      </c>
      <c r="P54" s="1">
        <f>IF(P$2&lt;&gt;"",VLOOKUP($C54,$A$2:P$46,P$1+4),"")</f>
        <v>0.29105392313909295</v>
      </c>
      <c r="Q54" s="1" t="str">
        <f>IF(Q$2&lt;&gt;"",VLOOKUP($C54,$A$2:Q$46,Q$1+4),"")</f>
        <v/>
      </c>
      <c r="R54" s="1">
        <f>IF(R$2&lt;&gt;"",VLOOKUP($C54,$A$2:R$46,R$1+4),"")</f>
        <v>0.31470588275468819</v>
      </c>
      <c r="S54" s="1">
        <f>IF(S$2&lt;&gt;"",VLOOKUP($C54,$A$2:S$46,S$1+4),"")</f>
        <v>0.32953431510603898</v>
      </c>
      <c r="T54" s="1">
        <f>IF(T$2&lt;&gt;"",VLOOKUP($C54,$A$2:T$46,T$1+4),"")</f>
        <v>0.31519607892031692</v>
      </c>
      <c r="U54" s="1">
        <f>IF(U$2&lt;&gt;"",VLOOKUP($C54,$A$2:U$46,U$1+4),"")</f>
        <v>0.29583333392499711</v>
      </c>
      <c r="V54" s="1">
        <f>IF(V$2&lt;&gt;"",VLOOKUP($C54,$A$2:V$46,V$1+4),"")</f>
        <v>0.29178921721291307</v>
      </c>
      <c r="W54" s="1">
        <f>IF(W$2&lt;&gt;"",VLOOKUP($C54,$A$2:W$46,W$1+4),"")</f>
        <v>0.38799019655322325</v>
      </c>
      <c r="X54" s="1">
        <f>IF(X$2&lt;&gt;"",VLOOKUP($C54,$A$2:X$46,X$1+4),"")</f>
        <v>0.34117647244357596</v>
      </c>
      <c r="Y54" s="1">
        <f>IF(Y$2&lt;&gt;"",VLOOKUP($C54,$A$2:Y$46,Y$1+4),"")</f>
        <v>0.35502451013992814</v>
      </c>
      <c r="Z54" s="1">
        <f>IF(Z$2&lt;&gt;"",VLOOKUP($C54,$A$2:Z$46,Z$1+4),"")</f>
        <v>0.29816176515876081</v>
      </c>
      <c r="AA54" s="1">
        <f>IF(AA$2&lt;&gt;"",VLOOKUP($C54,$A$2:AA$46,AA$1+4),"")</f>
        <v>0.30073529459175419</v>
      </c>
      <c r="AB54" s="1">
        <f>IF(AB$2&lt;&gt;"",VLOOKUP($C54,$A$2:AB$46,AB$1+4),"")</f>
        <v>0.37034313778744499</v>
      </c>
      <c r="AC54" s="1">
        <f>IF(AC$2&lt;&gt;"",VLOOKUP($C54,$A$2:AC$46,AC$1+4),"")</f>
        <v>0.38799019655322325</v>
      </c>
      <c r="AD54" s="1">
        <f>IF(AD$2&lt;&gt;"",VLOOKUP($C54,$A$2:AD$46,AD$1+4),"")</f>
        <v>0.37622549194961274</v>
      </c>
      <c r="AE54" s="1">
        <f>IF(AE$2&lt;&gt;"",VLOOKUP($C54,$A$2:AE$46,AE$1+4),"")</f>
        <v>0.32941176470588235</v>
      </c>
      <c r="AF54" s="1">
        <f>IF(AF$2&lt;&gt;"",VLOOKUP($C54,$A$2:AF$46,AF$1+4),"")</f>
        <v>0.3053921585144731</v>
      </c>
      <c r="AG54" s="1">
        <f>IF(AG$2&lt;&gt;"",VLOOKUP($C54,$A$2:AG$46,AG$1+4),"")</f>
        <v>0.34276960942889656</v>
      </c>
      <c r="AH54" s="1">
        <f>IF(AH$2&lt;&gt;"",VLOOKUP($C54,$A$2:AH$46,AH$1+4),"")</f>
        <v>0.31372549065626137</v>
      </c>
      <c r="AI54" s="1">
        <f>IF(AI$2&lt;&gt;"",VLOOKUP($C54,$A$2:AI$46,AI$1+4),"")</f>
        <v>0.29411764775275018</v>
      </c>
      <c r="AJ54" s="1">
        <f t="shared" si="13"/>
        <v>0.33243918036186448</v>
      </c>
      <c r="AK54" s="5">
        <f t="shared" si="14"/>
        <v>3.9480172074789571E-2</v>
      </c>
    </row>
    <row r="55" spans="2:38">
      <c r="B55" s="12"/>
      <c r="C55" s="4">
        <f t="shared" ref="C55:C58" si="17">C49+1</f>
        <v>10</v>
      </c>
      <c r="D55" s="1" t="str">
        <f>IF(D$2&lt;&gt;"",VLOOKUP($C55,$A$2:D$46,D$1+4),"")</f>
        <v/>
      </c>
      <c r="E55" s="1">
        <f>IF(E$2&lt;&gt;"",VLOOKUP($C55,$A$2:E$46,E$1+4),"")</f>
        <v>0.28627451165926221</v>
      </c>
      <c r="F55" s="1">
        <f>IF(F$2&lt;&gt;"",VLOOKUP($C55,$A$2:F$46,F$1+4),"")</f>
        <v>0.42181372698031222</v>
      </c>
      <c r="G55" s="1" t="str">
        <f>IF(G$2&lt;&gt;"",VLOOKUP($C55,$A$2:G$46,G$1+4),"")</f>
        <v/>
      </c>
      <c r="H55" s="1">
        <f>IF(H$2&lt;&gt;"",VLOOKUP($C55,$A$2:H$46,H$1+4),"")</f>
        <v>0.36752451125751523</v>
      </c>
      <c r="I55" s="1">
        <f>IF(I$2&lt;&gt;"",VLOOKUP($C55,$A$2:I$46,I$1+4),"")</f>
        <v>0.31017157022713449</v>
      </c>
      <c r="J55" s="1">
        <f>IF(J$2&lt;&gt;"",VLOOKUP($C55,$A$2:J$46,J$1+4),"")</f>
        <v>0.3137254915839317</v>
      </c>
      <c r="K55" s="1" t="str">
        <f>IF(K$2&lt;&gt;"",VLOOKUP($C55,$A$2:K$46,K$1+4),"")</f>
        <v/>
      </c>
      <c r="L55" s="1">
        <f>IF(L$2&lt;&gt;"",VLOOKUP($C55,$A$2:L$46,L$1+4),"")</f>
        <v>0.34926470725559722</v>
      </c>
      <c r="M55" s="1">
        <f>IF(M$2&lt;&gt;"",VLOOKUP($C55,$A$2:M$46,M$1+4),"")</f>
        <v>0.29914215725718762</v>
      </c>
      <c r="N55" s="1">
        <f>IF(N$2&lt;&gt;"",VLOOKUP($C55,$A$2:N$46,N$1+4),"")</f>
        <v>0.42328431442489517</v>
      </c>
      <c r="O55" s="1" t="str">
        <f>IF(O$2&lt;&gt;"",VLOOKUP($C55,$A$2:O$46,O$1+4),"")</f>
        <v/>
      </c>
      <c r="P55" s="1">
        <f>IF(P$2&lt;&gt;"",VLOOKUP($C55,$A$2:P$46,P$1+4),"")</f>
        <v>0.29411764844667676</v>
      </c>
      <c r="Q55" s="1" t="str">
        <f>IF(Q$2&lt;&gt;"",VLOOKUP($C55,$A$2:Q$46,Q$1+4),"")</f>
        <v/>
      </c>
      <c r="R55" s="1">
        <f>IF(R$2&lt;&gt;"",VLOOKUP($C55,$A$2:R$46,R$1+4),"")</f>
        <v>0.32156862930632107</v>
      </c>
      <c r="S55" s="1">
        <f>IF(S$2&lt;&gt;"",VLOOKUP($C55,$A$2:S$46,S$1+4),"")</f>
        <v>0.33688725584424012</v>
      </c>
      <c r="T55" s="1">
        <f>IF(T$2&lt;&gt;"",VLOOKUP($C55,$A$2:T$46,T$1+4),"")</f>
        <v>0.32156862930632107</v>
      </c>
      <c r="U55" s="1">
        <f>IF(U$2&lt;&gt;"",VLOOKUP($C55,$A$2:U$46,U$1+4),"")</f>
        <v>0.30588235479651715</v>
      </c>
      <c r="V55" s="1">
        <f>IF(V$2&lt;&gt;"",VLOOKUP($C55,$A$2:V$46,V$1+4),"")</f>
        <v>0.30183823622178796</v>
      </c>
      <c r="W55" s="1">
        <f>IF(W$2&lt;&gt;"",VLOOKUP($C55,$A$2:W$46,W$1+4),"")</f>
        <v>0.39509804072200921</v>
      </c>
      <c r="X55" s="1">
        <f>IF(X$2&lt;&gt;"",VLOOKUP($C55,$A$2:X$46,X$1+4),"")</f>
        <v>0.34901960923099051</v>
      </c>
      <c r="Y55" s="1">
        <f>IF(Y$2&lt;&gt;"",VLOOKUP($C55,$A$2:Y$46,Y$1+4),"")</f>
        <v>0.36286764878998784</v>
      </c>
      <c r="Z55" s="1">
        <f>IF(Z$2&lt;&gt;"",VLOOKUP($C55,$A$2:Z$46,Z$1+4),"")</f>
        <v>0.30674019788264062</v>
      </c>
      <c r="AA55" s="1">
        <f>IF(AA$2&lt;&gt;"",VLOOKUP($C55,$A$2:AA$46,AA$1+4),"")</f>
        <v>0.31286764849780824</v>
      </c>
      <c r="AB55" s="1">
        <f>IF(AB$2&lt;&gt;"",VLOOKUP($C55,$A$2:AB$46,AB$1+4),"")</f>
        <v>0.37634804102012376</v>
      </c>
      <c r="AC55" s="1">
        <f>IF(AC$2&lt;&gt;"",VLOOKUP($C55,$A$2:AC$46,AC$1+4),"")</f>
        <v>0.39595588415737865</v>
      </c>
      <c r="AD55" s="1">
        <f>IF(AD$2&lt;&gt;"",VLOOKUP($C55,$A$2:AD$46,AD$1+4),"")</f>
        <v>0.38431372687804932</v>
      </c>
      <c r="AE55" s="1">
        <f>IF(AE$2&lt;&gt;"",VLOOKUP($C55,$A$2:AE$46,AE$1+4),"")</f>
        <v>0.33174019621613243</v>
      </c>
      <c r="AF55" s="1">
        <f>IF(AF$2&lt;&gt;"",VLOOKUP($C55,$A$2:AF$46,AF$1+4),"")</f>
        <v>0.3111519623255613</v>
      </c>
      <c r="AG55" s="1">
        <f>IF(AG$2&lt;&gt;"",VLOOKUP($C55,$A$2:AG$46,AG$1+4),"")</f>
        <v>0.34705882503413688</v>
      </c>
      <c r="AH55" s="1">
        <f>IF(AH$2&lt;&gt;"",VLOOKUP($C55,$A$2:AH$46,AH$1+4),"")</f>
        <v>0.31924019708302714</v>
      </c>
      <c r="AI55" s="1">
        <f>IF(AI$2&lt;&gt;"",VLOOKUP($C55,$A$2:AI$46,AI$1+4),"")</f>
        <v>0.29803921614645745</v>
      </c>
      <c r="AJ55" s="1">
        <f t="shared" si="13"/>
        <v>0.33864833105748154</v>
      </c>
      <c r="AK55" s="5">
        <f t="shared" si="14"/>
        <v>3.9717622725646447E-2</v>
      </c>
    </row>
    <row r="56" spans="2:38">
      <c r="B56" s="12"/>
      <c r="C56" s="4">
        <f t="shared" si="17"/>
        <v>19</v>
      </c>
      <c r="D56" s="1" t="str">
        <f>IF(D$2&lt;&gt;"",VLOOKUP($C56,$A$2:D$46,D$1+4),"")</f>
        <v/>
      </c>
      <c r="E56" s="1">
        <f>IF(E$2&lt;&gt;"",VLOOKUP($C56,$A$2:E$46,E$1+4),"")</f>
        <v>0.29399509943437341</v>
      </c>
      <c r="F56" s="1">
        <f>IF(F$2&lt;&gt;"",VLOOKUP($C56,$A$2:F$46,F$1+4),"")</f>
        <v>0.43382353018604075</v>
      </c>
      <c r="G56" s="1" t="str">
        <f>IF(G$2&lt;&gt;"",VLOOKUP($C56,$A$2:G$46,G$1+4),"")</f>
        <v/>
      </c>
      <c r="H56" s="1">
        <f>IF(H$2&lt;&gt;"",VLOOKUP($C56,$A$2:H$46,H$1+4),"")</f>
        <v>0.37524509903262643</v>
      </c>
      <c r="I56" s="1">
        <f>IF(I$2&lt;&gt;"",VLOOKUP($C56,$A$2:I$46,I$1+4),"")</f>
        <v>0.3212009813344362</v>
      </c>
      <c r="J56" s="1">
        <f>IF(J$2&lt;&gt;"",VLOOKUP($C56,$A$2:J$46,J$1+4),"")</f>
        <v>0.32156862837134625</v>
      </c>
      <c r="K56" s="1" t="str">
        <f>IF(K$2&lt;&gt;"",VLOOKUP($C56,$A$2:K$46,K$1+4),"")</f>
        <v/>
      </c>
      <c r="L56" s="1">
        <f>IF(L$2&lt;&gt;"",VLOOKUP($C56,$A$2:L$46,L$1+4),"")</f>
        <v>0.35784313811683188</v>
      </c>
      <c r="M56" s="1">
        <f>IF(M$2&lt;&gt;"",VLOOKUP($C56,$A$2:M$46,M$1+4),"")</f>
        <v>0.31360294257162835</v>
      </c>
      <c r="N56" s="1">
        <f>IF(N$2&lt;&gt;"",VLOOKUP($C56,$A$2:N$46,N$1+4),"")</f>
        <v>0.42928921928738845</v>
      </c>
      <c r="O56" s="1" t="str">
        <f>IF(O$2&lt;&gt;"",VLOOKUP($C56,$A$2:O$46,O$1+4),"")</f>
        <v/>
      </c>
      <c r="P56" s="1">
        <f>IF(P$2&lt;&gt;"",VLOOKUP($C56,$A$2:P$46,P$1+4),"")</f>
        <v>0.30196078523409131</v>
      </c>
      <c r="Q56" s="1" t="str">
        <f>IF(Q$2&lt;&gt;"",VLOOKUP($C56,$A$2:Q$46,Q$1+4),"")</f>
        <v/>
      </c>
      <c r="R56" s="1">
        <f>IF(R$2&lt;&gt;"",VLOOKUP($C56,$A$2:R$46,R$1+4),"")</f>
        <v>0.33431372658586972</v>
      </c>
      <c r="S56" s="1">
        <f>IF(S$2&lt;&gt;"",VLOOKUP($C56,$A$2:S$46,S$1+4),"")</f>
        <v>0.34644607892031692</v>
      </c>
      <c r="T56" s="1">
        <f>IF(T$2&lt;&gt;"",VLOOKUP($C56,$A$2:T$46,T$1+4),"")</f>
        <v>0.32928921708143227</v>
      </c>
      <c r="U56" s="1">
        <f>IF(U$2&lt;&gt;"",VLOOKUP($C56,$A$2:U$46,U$1+4),"")</f>
        <v>0.31151960936247136</v>
      </c>
      <c r="V56" s="1">
        <f>IF(V$2&lt;&gt;"",VLOOKUP($C56,$A$2:V$46,V$1+4),"")</f>
        <v>0.30845588288616899</v>
      </c>
      <c r="W56" s="1">
        <f>IF(W$2&lt;&gt;"",VLOOKUP($C56,$A$2:W$46,W$1+4),"")</f>
        <v>0.40367647199069751</v>
      </c>
      <c r="X56" s="1">
        <f>IF(X$2&lt;&gt;"",VLOOKUP($C56,$A$2:X$46,X$1+4),"")</f>
        <v>0.35686274601840506</v>
      </c>
      <c r="Y56" s="1">
        <f>IF(Y$2&lt;&gt;"",VLOOKUP($C56,$A$2:Y$46,Y$1+4),"")</f>
        <v>0.36948529545436887</v>
      </c>
      <c r="Z56" s="1">
        <f>IF(Z$2&lt;&gt;"",VLOOKUP($C56,$A$2:Z$46,Z$1+4),"")</f>
        <v>0.31642156985460546</v>
      </c>
      <c r="AA56" s="1">
        <f>IF(AA$2&lt;&gt;"",VLOOKUP($C56,$A$2:AA$46,AA$1+4),"")</f>
        <v>0.31409313862084176</v>
      </c>
      <c r="AB56" s="1">
        <f>IF(AB$2&lt;&gt;"",VLOOKUP($C56,$A$2:AB$46,AB$1+4),"")</f>
        <v>0.38419117786574597</v>
      </c>
      <c r="AC56" s="1">
        <f>IF(AC$2&lt;&gt;"",VLOOKUP($C56,$A$2:AC$46,AC$1+4),"")</f>
        <v>0.4034313739660908</v>
      </c>
      <c r="AD56" s="1">
        <f>IF(AD$2&lt;&gt;"",VLOOKUP($C56,$A$2:AD$46,AD$1+4),"")</f>
        <v>0.39178921662855382</v>
      </c>
      <c r="AE56" s="1">
        <f>IF(AE$2&lt;&gt;"",VLOOKUP($C56,$A$2:AE$46,AE$1+4),"")</f>
        <v>0.33774509847383288</v>
      </c>
      <c r="AF56" s="1">
        <f>IF(AF$2&lt;&gt;"",VLOOKUP($C56,$A$2:AF$46,AF$1+4),"")</f>
        <v>0.31433823664544847</v>
      </c>
      <c r="AG56" s="1">
        <f>IF(AG$2&lt;&gt;"",VLOOKUP($C56,$A$2:AG$46,AG$1+4),"")</f>
        <v>0.35674019700610171</v>
      </c>
      <c r="AH56" s="1">
        <f>IF(AH$2&lt;&gt;"",VLOOKUP($C56,$A$2:AH$46,AH$1+4),"")</f>
        <v>0.32671568782306187</v>
      </c>
      <c r="AI56" s="1">
        <f>IF(AI$2&lt;&gt;"",VLOOKUP($C56,$A$2:AI$46,AI$1+4),"")</f>
        <v>0.30588235479651715</v>
      </c>
      <c r="AJ56" s="1">
        <f t="shared" si="13"/>
        <v>0.34666394457589977</v>
      </c>
      <c r="AK56" s="5">
        <f t="shared" si="14"/>
        <v>3.9934325861560316E-2</v>
      </c>
    </row>
    <row r="57" spans="2:38">
      <c r="B57" s="12"/>
      <c r="C57" s="4">
        <f t="shared" si="17"/>
        <v>28</v>
      </c>
      <c r="D57" s="1" t="str">
        <f>IF(D$2&lt;&gt;"",VLOOKUP($C57,$A$2:D$46,D$1+4),"")</f>
        <v/>
      </c>
      <c r="E57" s="1">
        <f>IF(E$2&lt;&gt;"",VLOOKUP($C57,$A$2:E$46,E$1+4),"")</f>
        <v>0.30049019708645108</v>
      </c>
      <c r="F57" s="1">
        <f>IF(F$2&lt;&gt;"",VLOOKUP($C57,$A$2:F$46,F$1+4),"")</f>
        <v>0.44142156906526392</v>
      </c>
      <c r="G57" s="1" t="str">
        <f>IF(G$2&lt;&gt;"",VLOOKUP($C57,$A$2:G$46,G$1+4),"")</f>
        <v/>
      </c>
      <c r="H57" s="1">
        <f>IF(H$2&lt;&gt;"",VLOOKUP($C57,$A$2:H$46,H$1+4),"")</f>
        <v>0.37647058915565995</v>
      </c>
      <c r="I57" s="1">
        <f>IF(I$2&lt;&gt;"",VLOOKUP($C57,$A$2:I$46,I$1+4),"")</f>
        <v>0.32352941256819989</v>
      </c>
      <c r="J57" s="1">
        <f>IF(J$2&lt;&gt;"",VLOOKUP($C57,$A$2:J$46,J$1+4),"")</f>
        <v>0.3289215691095474</v>
      </c>
      <c r="K57" s="1" t="str">
        <f>IF(K$2&lt;&gt;"",VLOOKUP($C57,$A$2:K$46,K$1+4),"")</f>
        <v/>
      </c>
      <c r="L57" s="1">
        <f>IF(L$2&lt;&gt;"",VLOOKUP($C57,$A$2:L$46,L$1+4),"")</f>
        <v>0.36531862786733638</v>
      </c>
      <c r="M57" s="1">
        <f>IF(M$2&lt;&gt;"",VLOOKUP($C57,$A$2:M$46,M$1+4),"")</f>
        <v>0.31960784417449262</v>
      </c>
      <c r="N57" s="1">
        <f>IF(N$2&lt;&gt;"",VLOOKUP($C57,$A$2:N$46,N$1+4),"")</f>
        <v>0.43553921891485942</v>
      </c>
      <c r="O57" s="1" t="str">
        <f>IF(O$2&lt;&gt;"",VLOOKUP($C57,$A$2:O$46,O$1+4),"")</f>
        <v/>
      </c>
      <c r="P57" s="1">
        <f>IF(P$2&lt;&gt;"",VLOOKUP($C57,$A$2:P$46,P$1+4),"")</f>
        <v>0.30833333387386563</v>
      </c>
      <c r="Q57" s="1" t="str">
        <f>IF(Q$2&lt;&gt;"",VLOOKUP($C57,$A$2:Q$46,Q$1+4),"")</f>
        <v/>
      </c>
      <c r="R57" s="1">
        <f>IF(R$2&lt;&gt;"",VLOOKUP($C57,$A$2:R$46,R$1+4),"")</f>
        <v>0.34117647127485745</v>
      </c>
      <c r="S57" s="1">
        <f>IF(S$2&lt;&gt;"",VLOOKUP($C57,$A$2:S$46,S$1+4),"")</f>
        <v>0.3528186310525509</v>
      </c>
      <c r="T57" s="1">
        <f>IF(T$2&lt;&gt;"",VLOOKUP($C57,$A$2:T$46,T$1+4),"")</f>
        <v>0.33284313843822949</v>
      </c>
      <c r="U57" s="1">
        <f>IF(U$2&lt;&gt;"",VLOOKUP($C57,$A$2:U$46,U$1+4),"")</f>
        <v>0.31556372676848199</v>
      </c>
      <c r="V57" s="1">
        <f>IF(V$2&lt;&gt;"",VLOOKUP($C57,$A$2:V$46,V$1+4),"")</f>
        <v>0.30980392202150586</v>
      </c>
      <c r="W57" s="1">
        <f>IF(W$2&lt;&gt;"",VLOOKUP($C57,$A$2:W$46,W$1+4),"")</f>
        <v>0.40796568742131484</v>
      </c>
      <c r="X57" s="1">
        <f>IF(X$2&lt;&gt;"",VLOOKUP($C57,$A$2:X$46,X$1+4),"")</f>
        <v>0.36470588280581961</v>
      </c>
      <c r="Y57" s="1">
        <f>IF(Y$2&lt;&gt;"",VLOOKUP($C57,$A$2:Y$46,Y$1+4),"")</f>
        <v>0.37671568718026666</v>
      </c>
      <c r="Z57" s="1">
        <f>IF(Z$2&lt;&gt;"",VLOOKUP($C57,$A$2:Z$46,Z$1+4),"")</f>
        <v>0.32193627540825631</v>
      </c>
      <c r="AA57" s="1">
        <f>IF(AA$2&lt;&gt;"",VLOOKUP($C57,$A$2:AA$46,AA$1+4),"")</f>
        <v>0.32156862837134625</v>
      </c>
      <c r="AB57" s="1">
        <f>IF(AB$2&lt;&gt;"",VLOOKUP($C57,$A$2:AB$46,AB$1+4),"")</f>
        <v>0.39215686366546387</v>
      </c>
      <c r="AC57" s="1">
        <f>IF(AC$2&lt;&gt;"",VLOOKUP($C57,$A$2:AC$46,AC$1+4),"")</f>
        <v>0.40968137359356177</v>
      </c>
      <c r="AD57" s="1">
        <f>IF(AD$2&lt;&gt;"",VLOOKUP($C57,$A$2:AD$46,AD$1+4),"")</f>
        <v>0.39963235341596837</v>
      </c>
      <c r="AE57" s="1">
        <f>IF(AE$2&lt;&gt;"",VLOOKUP($C57,$A$2:AE$46,AE$1+4),"")</f>
        <v>0.3450980401433566</v>
      </c>
      <c r="AF57" s="1">
        <f>IF(AF$2&lt;&gt;"",VLOOKUP($C57,$A$2:AF$46,AF$1+4),"")</f>
        <v>0.32181372639595296</v>
      </c>
      <c r="AG57" s="1">
        <f>IF(AG$2&lt;&gt;"",VLOOKUP($C57,$A$2:AG$46,AG$1+4),"")</f>
        <v>0.36470588280581961</v>
      </c>
      <c r="AH57" s="1">
        <f>IF(AH$2&lt;&gt;"",VLOOKUP($C57,$A$2:AH$46,AH$1+4),"")</f>
        <v>0.33504902065968983</v>
      </c>
      <c r="AI57" s="1">
        <f>IF(AI$2&lt;&gt;"",VLOOKUP($C57,$A$2:AI$46,AI$1+4),"")</f>
        <v>0.30882353109179761</v>
      </c>
      <c r="AJ57" s="1">
        <f t="shared" si="13"/>
        <v>0.35265522978999692</v>
      </c>
      <c r="AK57" s="5">
        <f t="shared" si="14"/>
        <v>4.0430262823195708E-2</v>
      </c>
    </row>
    <row r="58" spans="2:38">
      <c r="B58" s="12"/>
      <c r="C58" s="4">
        <f t="shared" si="17"/>
        <v>37</v>
      </c>
      <c r="D58" s="1" t="str">
        <f>IF(D$2&lt;&gt;"",VLOOKUP($C58,$A$2:D$46,D$1+4),"")</f>
        <v/>
      </c>
      <c r="E58" s="1">
        <f>IF(E$2&lt;&gt;"",VLOOKUP($C58,$A$2:E$46,E$1+4),"")</f>
        <v>0.31335784442604098</v>
      </c>
      <c r="F58" s="1">
        <f>IF(F$2&lt;&gt;"",VLOOKUP($C58,$A$2:F$46,F$1+4),"")</f>
        <v>0.46017157155655181</v>
      </c>
      <c r="G58" s="1" t="str">
        <f>IF(G$2&lt;&gt;"",VLOOKUP($C58,$A$2:G$46,G$1+4),"")</f>
        <v/>
      </c>
      <c r="H58" s="1">
        <f>IF(H$2&lt;&gt;"",VLOOKUP($C58,$A$2:H$46,H$1+4),"")</f>
        <v>0.39313725855420617</v>
      </c>
      <c r="I58" s="1">
        <f>IF(I$2&lt;&gt;"",VLOOKUP($C58,$A$2:I$46,I$1+4),"")</f>
        <v>0.33884804283140924</v>
      </c>
      <c r="J58" s="1">
        <f>IF(J$2&lt;&gt;"",VLOOKUP($C58,$A$2:J$46,J$1+4),"")</f>
        <v>0.34375000332354333</v>
      </c>
      <c r="K58" s="1" t="str">
        <f>IF(K$2&lt;&gt;"",VLOOKUP($C58,$A$2:K$46,K$1+4),"")</f>
        <v/>
      </c>
      <c r="L58" s="1">
        <f>IF(L$2&lt;&gt;"",VLOOKUP($C58,$A$2:L$46,L$1+4),"")</f>
        <v>0.38455882652425299</v>
      </c>
      <c r="M58" s="1">
        <f>IF(M$2&lt;&gt;"",VLOOKUP($C58,$A$2:M$46,M$1+4),"")</f>
        <v>0.33112745179666903</v>
      </c>
      <c r="N58" s="1">
        <f>IF(N$2&lt;&gt;"",VLOOKUP($C58,$A$2:N$46,N$1+4),"")</f>
        <v>0.45490196285878909</v>
      </c>
      <c r="O58" s="1" t="str">
        <f>IF(O$2&lt;&gt;"",VLOOKUP($C58,$A$2:O$46,O$1+4),"")</f>
        <v/>
      </c>
      <c r="P58" s="1">
        <f>IF(P$2&lt;&gt;"",VLOOKUP($C58,$A$2:P$46,P$1+4),"")</f>
        <v>0.32058823882949117</v>
      </c>
      <c r="Q58" s="1" t="str">
        <f>IF(Q$2&lt;&gt;"",VLOOKUP($C58,$A$2:Q$46,Q$1+4),"")</f>
        <v/>
      </c>
      <c r="R58" s="1">
        <f>IF(R$2&lt;&gt;"",VLOOKUP($C58,$A$2:R$46,R$1+4),"")</f>
        <v>0.35698529747086488</v>
      </c>
      <c r="S58" s="1">
        <f>IF(S$2&lt;&gt;"",VLOOKUP($C58,$A$2:S$46,S$1+4),"")</f>
        <v>0.3670343165961551</v>
      </c>
      <c r="T58" s="1">
        <f>IF(T$2&lt;&gt;"",VLOOKUP($C58,$A$2:T$46,T$1+4),"")</f>
        <v>0.35024509969870471</v>
      </c>
      <c r="U58" s="1">
        <f>IF(U$2&lt;&gt;"",VLOOKUP($C58,$A$2:U$46,U$1+4),"")</f>
        <v>0.33088235342281636</v>
      </c>
      <c r="V58" s="1">
        <f>IF(V$2&lt;&gt;"",VLOOKUP($C58,$A$2:V$46,V$1+4),"")</f>
        <v>0.3251225522847152</v>
      </c>
      <c r="W58" s="1">
        <f>IF(W$2&lt;&gt;"",VLOOKUP($C58,$A$2:W$46,W$1+4),"")</f>
        <v>0.42769608189461422</v>
      </c>
      <c r="X58" s="1">
        <f>IF(X$2&lt;&gt;"",VLOOKUP($C58,$A$2:X$46,X$1+4),"")</f>
        <v>0.3796568660321189</v>
      </c>
      <c r="Y58" s="1">
        <f>IF(Y$2&lt;&gt;"",VLOOKUP($C58,$A$2:Y$46,Y$1+4),"")</f>
        <v>0.39411765065263299</v>
      </c>
      <c r="Z58" s="1">
        <f>IF(Z$2&lt;&gt;"",VLOOKUP($C58,$A$2:Z$46,Z$1+4),"")</f>
        <v>0.33676470915659096</v>
      </c>
      <c r="AA58" s="1">
        <f>IF(AA$2&lt;&gt;"",VLOOKUP($C58,$A$2:AA$46,AA$1+4),"")</f>
        <v>0.33848039567808386</v>
      </c>
      <c r="AB58" s="1">
        <f>IF(AB$2&lt;&gt;"",VLOOKUP($C58,$A$2:AB$46,AB$1+4),"")</f>
        <v>0.40759804247531528</v>
      </c>
      <c r="AC58" s="1">
        <f>IF(AC$2&lt;&gt;"",VLOOKUP($C58,$A$2:AC$46,AC$1+4),"")</f>
        <v>0.42830882718896163</v>
      </c>
      <c r="AD58" s="1">
        <f>IF(AD$2&lt;&gt;"",VLOOKUP($C58,$A$2:AD$46,AD$1+4),"")</f>
        <v>0.41409314059305424</v>
      </c>
      <c r="AE58" s="1">
        <f>IF(AE$2&lt;&gt;"",VLOOKUP($C58,$A$2:AE$46,AE$1+4),"")</f>
        <v>0.36299019762766821</v>
      </c>
      <c r="AF58" s="1">
        <f>IF(AF$2&lt;&gt;"",VLOOKUP($C58,$A$2:AF$46,AF$1+4),"")</f>
        <v>0.33664215944579567</v>
      </c>
      <c r="AG58" s="1">
        <f>IF(AG$2&lt;&gt;"",VLOOKUP($C58,$A$2:AG$46,AG$1+4),"")</f>
        <v>0.38174019924127589</v>
      </c>
      <c r="AH58" s="1">
        <f>IF(AH$2&lt;&gt;"",VLOOKUP($C58,$A$2:AH$46,AH$1+4),"")</f>
        <v>0.34926470725103193</v>
      </c>
      <c r="AI58" s="1">
        <f>IF(AI$2&lt;&gt;"",VLOOKUP($C58,$A$2:AI$46,AI$1+4),"")</f>
        <v>0.32561274577735688</v>
      </c>
      <c r="AJ58" s="1">
        <f t="shared" si="13"/>
        <v>0.36865468678476709</v>
      </c>
      <c r="AK58" s="5">
        <f t="shared" si="14"/>
        <v>4.1846875402007266E-2</v>
      </c>
    </row>
    <row r="59" spans="2:38"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  <c r="AI59" s="1"/>
      <c r="AJ59" s="1"/>
    </row>
    <row r="60" spans="2:38">
      <c r="B60" s="12">
        <f>B54+1</f>
        <v>1</v>
      </c>
      <c r="C60" s="4">
        <f>C54+1</f>
        <v>2</v>
      </c>
      <c r="D60" s="1" t="str">
        <f>IF(D$2&lt;&gt;"",VLOOKUP($C60,$A$2:D$46,D$1+4),"")</f>
        <v/>
      </c>
      <c r="E60" s="1">
        <f>IF(E$2&lt;&gt;"",VLOOKUP($C60,$A$2:E$46,E$1+4),"")</f>
        <v>0.55294117693077116</v>
      </c>
      <c r="F60" s="1">
        <f>IF(F$2&lt;&gt;"",VLOOKUP($C60,$A$2:F$46,F$1+4),"")</f>
        <v>0.7637254911748802</v>
      </c>
      <c r="G60" s="1" t="str">
        <f>IF(G$2&lt;&gt;"",VLOOKUP($C60,$A$2:G$46,G$1+4),"")</f>
        <v/>
      </c>
      <c r="H60" s="1">
        <f>IF(H$2&lt;&gt;"",VLOOKUP($C60,$A$2:H$46,H$1+4),"")</f>
        <v>0.64816176509302037</v>
      </c>
      <c r="I60" s="1">
        <f>IF(I$2&lt;&gt;"",VLOOKUP($C60,$A$2:I$46,I$1+4),"")</f>
        <v>0.58897058957932047</v>
      </c>
      <c r="J60" s="1">
        <f>IF(J$2&lt;&gt;"",VLOOKUP($C60,$A$2:J$46,J$1+4),"")</f>
        <v>0.60147058976923717</v>
      </c>
      <c r="K60" s="1" t="str">
        <f>IF(K$2&lt;&gt;"",VLOOKUP($C60,$A$2:K$46,K$1+4),"")</f>
        <v/>
      </c>
      <c r="L60" s="1">
        <f>IF(L$2&lt;&gt;"",VLOOKUP($C60,$A$2:L$46,L$1+4),"")</f>
        <v>0.64031862830560582</v>
      </c>
      <c r="M60" s="1">
        <f>IF(M$2&lt;&gt;"",VLOOKUP($C60,$A$2:M$46,M$1+4),"")</f>
        <v>0.59105392278847746</v>
      </c>
      <c r="N60" s="1">
        <f>IF(N$2&lt;&gt;"",VLOOKUP($C60,$A$2:N$46,N$1+4),"")</f>
        <v>0.7430147062329685</v>
      </c>
      <c r="O60" s="1" t="str">
        <f>IF(O$2&lt;&gt;"",VLOOKUP($C60,$A$2:O$46,O$1+4),"")</f>
        <v/>
      </c>
      <c r="P60" s="1">
        <f>IF(P$2&lt;&gt;"",VLOOKUP($C60,$A$2:P$46,P$1+4),"")</f>
        <v>0.57279411809263281</v>
      </c>
      <c r="Q60" s="1" t="str">
        <f>IF(Q$2&lt;&gt;"",VLOOKUP($C60,$A$2:Q$46,Q$1+4),"")</f>
        <v/>
      </c>
      <c r="R60" s="1">
        <f>IF(R$2&lt;&gt;"",VLOOKUP($C60,$A$2:R$46,R$1+4),"")</f>
        <v>0.61666666706841367</v>
      </c>
      <c r="S60" s="1">
        <f>IF(S$2&lt;&gt;"",VLOOKUP($C60,$A$2:S$46,S$1+4),"")</f>
        <v>0.63370098164122479</v>
      </c>
      <c r="T60" s="1">
        <f>IF(T$2&lt;&gt;"",VLOOKUP($C60,$A$2:T$46,T$1+4),"")</f>
        <v>0.59154411883769087</v>
      </c>
      <c r="U60" s="1">
        <f>IF(U$2&lt;&gt;"",VLOOKUP($C60,$A$2:U$46,U$1+4),"")</f>
        <v>0.57647058875277168</v>
      </c>
      <c r="V60" s="1">
        <f>IF(V$2&lt;&gt;"",VLOOKUP($C60,$A$2:V$46,V$1+4),"")</f>
        <v>0.58051470773038916</v>
      </c>
      <c r="W60" s="1">
        <f>IF(W$2&lt;&gt;"",VLOOKUP($C60,$A$2:W$46,W$1+4),"")</f>
        <v>0.70171568651555805</v>
      </c>
      <c r="X60" s="1">
        <f>IF(X$2&lt;&gt;"",VLOOKUP($C60,$A$2:X$46,X$1+4),"")</f>
        <v>0.62512255077999013</v>
      </c>
      <c r="Y60" s="1">
        <f>IF(Y$2&lt;&gt;"",VLOOKUP($C60,$A$2:Y$46,Y$1+4),"")</f>
        <v>0.66678921753431064</v>
      </c>
      <c r="Z60" s="1">
        <f>IF(Z$2&lt;&gt;"",VLOOKUP($C60,$A$2:Z$46,Z$1+4),"")</f>
        <v>0.58026960953115947</v>
      </c>
      <c r="AA60" s="1">
        <f>IF(AA$2&lt;&gt;"",VLOOKUP($C60,$A$2:AA$46,AA$1+4),"")</f>
        <v>0.57720588288479946</v>
      </c>
      <c r="AB60" s="1">
        <f>IF(AB$2&lt;&gt;"",VLOOKUP($C60,$A$2:AB$46,AB$1+4),"")</f>
        <v>0.70980392319022445</v>
      </c>
      <c r="AC60" s="1">
        <f>IF(AC$2&lt;&gt;"",VLOOKUP($C60,$A$2:AC$46,AC$1+4),"")</f>
        <v>0.70502451130294008</v>
      </c>
      <c r="AD60" s="1">
        <f>IF(AD$2&lt;&gt;"",VLOOKUP($C60,$A$2:AD$46,AD$1+4),"")</f>
        <v>0.7412990230774763</v>
      </c>
      <c r="AE60" s="1">
        <f>IF(AE$2&lt;&gt;"",VLOOKUP($C60,$A$2:AE$46,AE$1+4),"")</f>
        <v>0.62340686454953553</v>
      </c>
      <c r="AF60" s="1">
        <f>IF(AF$2&lt;&gt;"",VLOOKUP($C60,$A$2:AF$46,AF$1+4),"")</f>
        <v>0.59399509902920244</v>
      </c>
      <c r="AG60" s="1">
        <f>IF(AG$2&lt;&gt;"",VLOOKUP($C60,$A$2:AG$46,AG$1+4),"")</f>
        <v>0.6390931381825723</v>
      </c>
      <c r="AH60" s="1">
        <f>IF(AH$2&lt;&gt;"",VLOOKUP($C60,$A$2:AH$46,AH$1+4),"")</f>
        <v>0.59031862871465735</v>
      </c>
      <c r="AI60" s="1">
        <f>IF(AI$2&lt;&gt;"",VLOOKUP($C60,$A$2:AI$46,AI$1+4),"")</f>
        <v>0.56053921732339351</v>
      </c>
      <c r="AJ60" s="1">
        <f t="shared" si="13"/>
        <v>0.63021968165234143</v>
      </c>
      <c r="AK60" s="5">
        <f t="shared" si="14"/>
        <v>6.0538140103089742E-2</v>
      </c>
    </row>
    <row r="61" spans="2:38">
      <c r="B61" s="12"/>
      <c r="C61" s="4">
        <f t="shared" ref="C61:C64" si="18">C55+1</f>
        <v>11</v>
      </c>
      <c r="D61" s="1" t="str">
        <f>IF(D$2&lt;&gt;"",VLOOKUP($C61,$A$2:D$46,D$1+4),"")</f>
        <v/>
      </c>
      <c r="E61" s="1">
        <f>IF(E$2&lt;&gt;"",VLOOKUP($C61,$A$2:E$46,E$1+4),"")</f>
        <v>0.56078431558083086</v>
      </c>
      <c r="F61" s="1">
        <f>IF(F$2&lt;&gt;"",VLOOKUP($C61,$A$2:F$46,F$1+4),"")</f>
        <v>0.77254902006072157</v>
      </c>
      <c r="G61" s="1" t="str">
        <f>IF(G$2&lt;&gt;"",VLOOKUP($C61,$A$2:G$46,G$1+4),"")</f>
        <v/>
      </c>
      <c r="H61" s="1">
        <f>IF(H$2&lt;&gt;"",VLOOKUP($C61,$A$2:H$46,H$1+4),"")</f>
        <v>0.65857843486409562</v>
      </c>
      <c r="I61" s="1">
        <f>IF(I$2&lt;&gt;"",VLOOKUP($C61,$A$2:I$46,I$1+4),"")</f>
        <v>0.60049019673583559</v>
      </c>
      <c r="J61" s="1">
        <f>IF(J$2&lt;&gt;"",VLOOKUP($C61,$A$2:J$46,J$1+4),"")</f>
        <v>0.61188725581502212</v>
      </c>
      <c r="K61" s="1" t="str">
        <f>IF(K$2&lt;&gt;"",VLOOKUP($C61,$A$2:K$46,K$1+4),"")</f>
        <v/>
      </c>
      <c r="L61" s="1">
        <f>IF(L$2&lt;&gt;"",VLOOKUP($C61,$A$2:L$46,L$1+4),"")</f>
        <v>0.65477941536627637</v>
      </c>
      <c r="M61" s="1">
        <f>IF(M$2&lt;&gt;"",VLOOKUP($C61,$A$2:M$46,M$1+4),"")</f>
        <v>0.59644607932982496</v>
      </c>
      <c r="N61" s="1">
        <f>IF(N$2&lt;&gt;"",VLOOKUP($C61,$A$2:N$46,N$1+4),"")</f>
        <v>0.75306372710448855</v>
      </c>
      <c r="O61" s="1" t="str">
        <f>IF(O$2&lt;&gt;"",VLOOKUP($C61,$A$2:O$46,O$1+4),"")</f>
        <v/>
      </c>
      <c r="P61" s="1">
        <f>IF(P$2&lt;&gt;"",VLOOKUP($C61,$A$2:P$46,P$1+4),"")</f>
        <v>0.5803921587180858</v>
      </c>
      <c r="Q61" s="1" t="str">
        <f>IF(Q$2&lt;&gt;"",VLOOKUP($C61,$A$2:Q$46,Q$1+4),"")</f>
        <v/>
      </c>
      <c r="R61" s="1">
        <f>IF(R$2&lt;&gt;"",VLOOKUP($C61,$A$2:R$46,R$1+4),"")</f>
        <v>0.62830882509987729</v>
      </c>
      <c r="S61" s="1">
        <f>IF(S$2&lt;&gt;"",VLOOKUP($C61,$A$2:S$46,S$1+4),"")</f>
        <v>0.64546568682234662</v>
      </c>
      <c r="T61" s="1">
        <f>IF(T$2&lt;&gt;"",VLOOKUP($C61,$A$2:T$46,T$1+4),"")</f>
        <v>0.60392156908032946</v>
      </c>
      <c r="U61" s="1">
        <f>IF(U$2&lt;&gt;"",VLOOKUP($C61,$A$2:U$46,U$1+4),"")</f>
        <v>0.58823529550550036</v>
      </c>
      <c r="V61" s="1">
        <f>IF(V$2&lt;&gt;"",VLOOKUP($C61,$A$2:V$46,V$1+4),"")</f>
        <v>0.59571078525600485</v>
      </c>
      <c r="W61" s="1">
        <f>IF(W$2&lt;&gt;"",VLOOKUP($C61,$A$2:W$46,W$1+4),"")</f>
        <v>0.7099264722025278</v>
      </c>
      <c r="X61" s="1">
        <f>IF(X$2&lt;&gt;"",VLOOKUP($C61,$A$2:X$46,X$1+4),"")</f>
        <v>0.63872549114566224</v>
      </c>
      <c r="Y61" s="1">
        <f>IF(Y$2&lt;&gt;"",VLOOKUP($C61,$A$2:Y$46,Y$1+4),"")</f>
        <v>0.67843137370312911</v>
      </c>
      <c r="Z61" s="1">
        <f>IF(Z$2&lt;&gt;"",VLOOKUP($C61,$A$2:Z$46,Z$1+4),"")</f>
        <v>0.58848039353010706</v>
      </c>
      <c r="AA61" s="1">
        <f>IF(AA$2&lt;&gt;"",VLOOKUP($C61,$A$2:AA$46,AA$1+4),"")</f>
        <v>0.58823529550550036</v>
      </c>
      <c r="AB61" s="1">
        <f>IF(AB$2&lt;&gt;"",VLOOKUP($C61,$A$2:AB$46,AB$1+4),"")</f>
        <v>0.72046568726061611</v>
      </c>
      <c r="AC61" s="1">
        <f>IF(AC$2&lt;&gt;"",VLOOKUP($C61,$A$2:AC$46,AC$1+4),"")</f>
        <v>0.71372549158393173</v>
      </c>
      <c r="AD61" s="1">
        <f>IF(AD$2&lt;&gt;"",VLOOKUP($C61,$A$2:AD$46,AD$1+4),"")</f>
        <v>0.75110294406174449</v>
      </c>
      <c r="AE61" s="1">
        <f>IF(AE$2&lt;&gt;"",VLOOKUP($C61,$A$2:AE$46,AE$1+4),"")</f>
        <v>0.63075980534594434</v>
      </c>
      <c r="AF61" s="1">
        <f>IF(AF$2&lt;&gt;"",VLOOKUP($C61,$A$2:AF$46,AF$1+4),"")</f>
        <v>0.60392157001530422</v>
      </c>
      <c r="AG61" s="1">
        <f>IF(AG$2&lt;&gt;"",VLOOKUP($C61,$A$2:AG$46,AG$1+4),"")</f>
        <v>0.65073529435139077</v>
      </c>
      <c r="AH61" s="1">
        <f>IF(AH$2&lt;&gt;"",VLOOKUP($C61,$A$2:AH$46,AH$1+4),"")</f>
        <v>0.60367647105572275</v>
      </c>
      <c r="AI61" s="1">
        <f>IF(AI$2&lt;&gt;"",VLOOKUP($C61,$A$2:AI$46,AI$1+4),"")</f>
        <v>0.57218137372504263</v>
      </c>
      <c r="AJ61" s="1">
        <f t="shared" si="13"/>
        <v>0.6407770529194764</v>
      </c>
      <c r="AK61" s="5">
        <f t="shared" si="14"/>
        <v>6.0275975954650819E-2</v>
      </c>
    </row>
    <row r="62" spans="2:38">
      <c r="B62" s="12"/>
      <c r="C62" s="4">
        <f t="shared" si="18"/>
        <v>20</v>
      </c>
      <c r="D62" s="1" t="str">
        <f>IF(D$2&lt;&gt;"",VLOOKUP($C62,$A$2:D$46,D$1+4),"")</f>
        <v/>
      </c>
      <c r="E62" s="1">
        <f>IF(E$2&lt;&gt;"",VLOOKUP($C62,$A$2:E$46,E$1+4),"")</f>
        <v>0.57573529508183985</v>
      </c>
      <c r="F62" s="1">
        <f>IF(F$2&lt;&gt;"",VLOOKUP($C62,$A$2:F$46,F$1+4),"")</f>
        <v>0.7897058855084812</v>
      </c>
      <c r="G62" s="1" t="str">
        <f>IF(G$2&lt;&gt;"",VLOOKUP($C62,$A$2:G$46,G$1+4),"")</f>
        <v/>
      </c>
      <c r="H62" s="1">
        <f>IF(H$2&lt;&gt;"",VLOOKUP($C62,$A$2:H$46,H$1+4),"")</f>
        <v>0.67144608115594762</v>
      </c>
      <c r="I62" s="1">
        <f>IF(I$2&lt;&gt;"",VLOOKUP($C62,$A$2:I$46,I$1+4),"")</f>
        <v>0.61617647403595499</v>
      </c>
      <c r="J62" s="1">
        <f>IF(J$2&lt;&gt;"",VLOOKUP($C62,$A$2:J$46,J$1+4),"")</f>
        <v>0.6268382384592448</v>
      </c>
      <c r="K62" s="1" t="str">
        <f>IF(K$2&lt;&gt;"",VLOOKUP($C62,$A$2:K$46,K$1+4),"")</f>
        <v/>
      </c>
      <c r="L62" s="1">
        <f>IF(L$2&lt;&gt;"",VLOOKUP($C62,$A$2:L$46,L$1+4),"")</f>
        <v>0.66593137560229676</v>
      </c>
      <c r="M62" s="1">
        <f>IF(M$2&lt;&gt;"",VLOOKUP($C62,$A$2:M$46,M$1+4),"")</f>
        <v>0.61200980761764101</v>
      </c>
      <c r="N62" s="1">
        <f>IF(N$2&lt;&gt;"",VLOOKUP($C62,$A$2:N$46,N$1+4),"")</f>
        <v>0.76703431450707071</v>
      </c>
      <c r="O62" s="1" t="str">
        <f>IF(O$2&lt;&gt;"",VLOOKUP($C62,$A$2:O$46,O$1+4),"")</f>
        <v/>
      </c>
      <c r="P62" s="1">
        <f>IF(P$2&lt;&gt;"",VLOOKUP($C62,$A$2:P$46,P$1+4),"")</f>
        <v>0.59571078525600485</v>
      </c>
      <c r="Q62" s="1" t="str">
        <f>IF(Q$2&lt;&gt;"",VLOOKUP($C62,$A$2:Q$46,Q$1+4),"")</f>
        <v/>
      </c>
      <c r="R62" s="1">
        <f>IF(R$2&lt;&gt;"",VLOOKUP($C62,$A$2:R$46,R$1+4),"")</f>
        <v>0.64007353028099911</v>
      </c>
      <c r="S62" s="1">
        <f>IF(S$2&lt;&gt;"",VLOOKUP($C62,$A$2:S$46,S$1+4),"")</f>
        <v>0.65514706251960175</v>
      </c>
      <c r="T62" s="1">
        <f>IF(T$2&lt;&gt;"",VLOOKUP($C62,$A$2:T$46,T$1+4),"")</f>
        <v>0.6192401993435388</v>
      </c>
      <c r="U62" s="1">
        <f>IF(U$2&lt;&gt;"",VLOOKUP($C62,$A$2:U$46,U$1+4),"")</f>
        <v>0.60024509871122889</v>
      </c>
      <c r="V62" s="1">
        <f>IF(V$2&lt;&gt;"",VLOOKUP($C62,$A$2:V$46,V$1+4),"")</f>
        <v>0.60514705943619362</v>
      </c>
      <c r="W62" s="1">
        <f>IF(W$2&lt;&gt;"",VLOOKUP($C62,$A$2:W$46,W$1+4),"")</f>
        <v>0.72463235367893009</v>
      </c>
      <c r="X62" s="1">
        <f>IF(X$2&lt;&gt;"",VLOOKUP($C62,$A$2:X$46,X$1+4),"")</f>
        <v>0.65257353104934024</v>
      </c>
      <c r="Y62" s="1">
        <f>IF(Y$2&lt;&gt;"",VLOOKUP($C62,$A$2:Y$46,Y$1+4),"")</f>
        <v>0.69387254936976683</v>
      </c>
      <c r="Z62" s="1">
        <f>IF(Z$2&lt;&gt;"",VLOOKUP($C62,$A$2:Z$46,Z$1+4),"")</f>
        <v>0.60477941216645292</v>
      </c>
      <c r="AA62" s="1">
        <f>IF(AA$2&lt;&gt;"",VLOOKUP($C62,$A$2:AA$46,AA$1+4),"")</f>
        <v>0.59681372636673502</v>
      </c>
      <c r="AB62" s="1">
        <f>IF(AB$2&lt;&gt;"",VLOOKUP($C62,$A$2:AB$46,AB$1+4),"")</f>
        <v>0.73492647210939555</v>
      </c>
      <c r="AC62" s="1">
        <f>IF(AC$2&lt;&gt;"",VLOOKUP($C62,$A$2:AC$46,AC$1+4),"")</f>
        <v>0.7307598042940977</v>
      </c>
      <c r="AD62" s="1">
        <f>IF(AD$2&lt;&gt;"",VLOOKUP($C62,$A$2:AD$46,AD$1+4),"")</f>
        <v>0.76850490380882053</v>
      </c>
      <c r="AE62" s="1">
        <f>IF(AE$2&lt;&gt;"",VLOOKUP($C62,$A$2:AE$46,AE$1+4),"")</f>
        <v>0.64056372633021252</v>
      </c>
      <c r="AF62" s="1">
        <f>IF(AF$2&lt;&gt;"",VLOOKUP($C62,$A$2:AF$46,AF$1+4),"")</f>
        <v>0.61200980482732548</v>
      </c>
      <c r="AG62" s="1">
        <f>IF(AG$2&lt;&gt;"",VLOOKUP($C62,$A$2:AG$46,AG$1+4),"")</f>
        <v>0.66372549338083642</v>
      </c>
      <c r="AH62" s="1">
        <f>IF(AH$2&lt;&gt;"",VLOOKUP($C62,$A$2:AH$46,AH$1+4),"")</f>
        <v>0.61519608193752817</v>
      </c>
      <c r="AI62" s="1">
        <f>IF(AI$2&lt;&gt;"",VLOOKUP($C62,$A$2:AI$46,AI$1+4),"")</f>
        <v>0.58419117693077116</v>
      </c>
      <c r="AJ62" s="1">
        <f t="shared" si="13"/>
        <v>0.65418482384319465</v>
      </c>
      <c r="AK62" s="5">
        <f t="shared" si="14"/>
        <v>6.1399219890904883E-2</v>
      </c>
    </row>
    <row r="63" spans="2:38">
      <c r="B63" s="12"/>
      <c r="C63" s="4">
        <f t="shared" si="18"/>
        <v>29</v>
      </c>
      <c r="D63" s="1" t="str">
        <f>IF(D$2&lt;&gt;"",VLOOKUP($C63,$A$2:D$46,D$1+4),"")</f>
        <v/>
      </c>
      <c r="E63" s="1">
        <f>IF(E$2&lt;&gt;"",VLOOKUP($C63,$A$2:E$46,E$1+4),"")</f>
        <v>0.58259803977082758</v>
      </c>
      <c r="F63" s="1">
        <f>IF(F$2&lt;&gt;"",VLOOKUP($C63,$A$2:F$46,F$1+4),"")</f>
        <v>0.80049019859117621</v>
      </c>
      <c r="G63" s="1" t="str">
        <f>IF(G$2&lt;&gt;"",VLOOKUP($C63,$A$2:G$46,G$1+4),"")</f>
        <v/>
      </c>
      <c r="H63" s="1">
        <f>IF(H$2&lt;&gt;"",VLOOKUP($C63,$A$2:H$46,H$1+4),"")</f>
        <v>0.67916666893105881</v>
      </c>
      <c r="I63" s="1">
        <f>IF(I$2&lt;&gt;"",VLOOKUP($C63,$A$2:I$46,I$1+4),"")</f>
        <v>0.62585784600791983</v>
      </c>
      <c r="J63" s="1">
        <f>IF(J$2&lt;&gt;"",VLOOKUP($C63,$A$2:J$46,J$1+4),"")</f>
        <v>0.63602941496407284</v>
      </c>
      <c r="K63" s="1" t="str">
        <f>IF(K$2&lt;&gt;"",VLOOKUP($C63,$A$2:K$46,K$1+4),"")</f>
        <v/>
      </c>
      <c r="L63" s="1">
        <f>IF(L$2&lt;&gt;"",VLOOKUP($C63,$A$2:L$46,L$1+4),"")</f>
        <v>0.67892157090645211</v>
      </c>
      <c r="M63" s="1">
        <f>IF(M$2&lt;&gt;"",VLOOKUP($C63,$A$2:M$46,M$1+4),"")</f>
        <v>0.6218137286019092</v>
      </c>
      <c r="N63" s="1">
        <f>IF(N$2&lt;&gt;"",VLOOKUP($C63,$A$2:N$46,N$1+4),"")</f>
        <v>0.77696078496930354</v>
      </c>
      <c r="O63" s="1" t="str">
        <f>IF(O$2&lt;&gt;"",VLOOKUP($C63,$A$2:O$46,O$1+4),"")</f>
        <v/>
      </c>
      <c r="P63" s="1">
        <f>IF(P$2&lt;&gt;"",VLOOKUP($C63,$A$2:P$46,P$1+4),"")</f>
        <v>0.60318627500650934</v>
      </c>
      <c r="Q63" s="1" t="str">
        <f>IF(Q$2&lt;&gt;"",VLOOKUP($C63,$A$2:Q$46,Q$1+4),"")</f>
        <v/>
      </c>
      <c r="R63" s="1">
        <f>IF(R$2&lt;&gt;"",VLOOKUP($C63,$A$2:R$46,R$1+4),"")</f>
        <v>0.65208333465088086</v>
      </c>
      <c r="S63" s="1">
        <f>IF(S$2&lt;&gt;"",VLOOKUP($C63,$A$2:S$46,S$1+4),"")</f>
        <v>0.66887255189757722</v>
      </c>
      <c r="T63" s="1">
        <f>IF(T$2&lt;&gt;"",VLOOKUP($C63,$A$2:T$46,T$1+4),"")</f>
        <v>0.62867647329089693</v>
      </c>
      <c r="U63" s="1">
        <f>IF(U$2&lt;&gt;"",VLOOKUP($C63,$A$2:U$46,U$1+4),"")</f>
        <v>0.60796568695200137</v>
      </c>
      <c r="V63" s="1">
        <f>IF(V$2&lt;&gt;"",VLOOKUP($C63,$A$2:V$46,V$1+4),"")</f>
        <v>0.61580882699904493</v>
      </c>
      <c r="W63" s="1">
        <f>IF(W$2&lt;&gt;"",VLOOKUP($C63,$A$2:W$46,W$1+4),"")</f>
        <v>0.73737745445093839</v>
      </c>
      <c r="X63" s="1">
        <f>IF(X$2&lt;&gt;"",VLOOKUP($C63,$A$2:X$46,X$1+4),"")</f>
        <v>0.66250000325780289</v>
      </c>
      <c r="Y63" s="1">
        <f>IF(Y$2&lt;&gt;"",VLOOKUP($C63,$A$2:Y$46,Y$1+4),"")</f>
        <v>0.70441176803673011</v>
      </c>
      <c r="Z63" s="1">
        <f>IF(Z$2&lt;&gt;"",VLOOKUP($C63,$A$2:Z$46,Z$1+4),"")</f>
        <v>0.61568627798674158</v>
      </c>
      <c r="AA63" s="1">
        <f>IF(AA$2&lt;&gt;"",VLOOKUP($C63,$A$2:AA$46,AA$1+4),"")</f>
        <v>0.6090686288776388</v>
      </c>
      <c r="AB63" s="1">
        <f>IF(AB$2&lt;&gt;"",VLOOKUP($C63,$A$2:AB$46,AB$1+4),"")</f>
        <v>0.7487745128279808</v>
      </c>
      <c r="AC63" s="1">
        <f>IF(AC$2&lt;&gt;"",VLOOKUP($C63,$A$2:AC$46,AC$1+4),"")</f>
        <v>0.74056372900365619</v>
      </c>
      <c r="AD63" s="1">
        <f>IF(AD$2&lt;&gt;"",VLOOKUP($C63,$A$2:AD$46,AD$1+4),"")</f>
        <v>0.77781862874387531</v>
      </c>
      <c r="AE63" s="1">
        <f>IF(AE$2&lt;&gt;"",VLOOKUP($C63,$A$2:AE$46,AE$1+4),"")</f>
        <v>0.65490196449499505</v>
      </c>
      <c r="AF63" s="1">
        <f>IF(AF$2&lt;&gt;"",VLOOKUP($C63,$A$2:AF$46,AF$1+4),"")</f>
        <v>0.62365196146180524</v>
      </c>
      <c r="AG63" s="1">
        <f>IF(AG$2&lt;&gt;"",VLOOKUP($C63,$A$2:AG$46,AG$1+4),"")</f>
        <v>0.678186276832632</v>
      </c>
      <c r="AH63" s="1">
        <f>IF(AH$2&lt;&gt;"",VLOOKUP($C63,$A$2:AH$46,AH$1+4),"")</f>
        <v>0.62745098316786341</v>
      </c>
      <c r="AI63" s="1">
        <f>IF(AI$2&lt;&gt;"",VLOOKUP($C63,$A$2:AI$46,AI$1+4),"")</f>
        <v>0.59313725855420618</v>
      </c>
      <c r="AJ63" s="1">
        <f t="shared" si="13"/>
        <v>0.66488743886061097</v>
      </c>
      <c r="AK63" s="5">
        <f t="shared" si="14"/>
        <v>6.1918788352261639E-2</v>
      </c>
    </row>
    <row r="64" spans="2:38">
      <c r="B64" s="12"/>
      <c r="C64" s="4">
        <f t="shared" si="18"/>
        <v>38</v>
      </c>
      <c r="D64" s="1" t="str">
        <f>IF(D$2&lt;&gt;"",VLOOKUP($C64,$A$2:D$46,D$1+4),"")</f>
        <v/>
      </c>
      <c r="E64" s="1">
        <f>IF(E$2&lt;&gt;"",VLOOKUP($C64,$A$2:E$46,E$1+4),"")</f>
        <v>0.6044117676861146</v>
      </c>
      <c r="F64" s="1">
        <f>IF(F$2&lt;&gt;"",VLOOKUP($C64,$A$2:F$46,F$1+4),"")</f>
        <v>0.82757353031021708</v>
      </c>
      <c r="G64" s="1" t="str">
        <f>IF(G$2&lt;&gt;"",VLOOKUP($C64,$A$2:G$46,G$1+4),"")</f>
        <v/>
      </c>
      <c r="H64" s="1">
        <f>IF(H$2&lt;&gt;"",VLOOKUP($C64,$A$2:H$46,H$1+4),"")</f>
        <v>0.70134804015796559</v>
      </c>
      <c r="I64" s="1">
        <f>IF(I$2&lt;&gt;"",VLOOKUP($C64,$A$2:I$46,I$1+4),"")</f>
        <v>0.64963235439477018</v>
      </c>
      <c r="J64" s="1">
        <f>IF(J$2&lt;&gt;"",VLOOKUP($C64,$A$2:J$46,J$1+4),"")</f>
        <v>0.65968137433861984</v>
      </c>
      <c r="K64" s="1" t="str">
        <f>IF(K$2&lt;&gt;"",VLOOKUP($C64,$A$2:K$46,K$1+4),"")</f>
        <v/>
      </c>
      <c r="L64" s="1">
        <f>IF(L$2&lt;&gt;"",VLOOKUP($C64,$A$2:L$46,L$1+4),"")</f>
        <v>0.70355392237942593</v>
      </c>
      <c r="M64" s="1">
        <f>IF(M$2&lt;&gt;"",VLOOKUP($C64,$A$2:M$46,M$1+4),"")</f>
        <v>0.64375000180420927</v>
      </c>
      <c r="N64" s="1">
        <f>IF(N$2&lt;&gt;"",VLOOKUP($C64,$A$2:N$46,N$1+4),"")</f>
        <v>0.80232843365931117</v>
      </c>
      <c r="O64" s="1" t="str">
        <f>IF(O$2&lt;&gt;"",VLOOKUP($C64,$A$2:O$46,O$1+4),"")</f>
        <v/>
      </c>
      <c r="P64" s="1">
        <f>IF(P$2&lt;&gt;"",VLOOKUP($C64,$A$2:P$46,P$1+4),"")</f>
        <v>0.62573529699561647</v>
      </c>
      <c r="Q64" s="1" t="str">
        <f>IF(Q$2&lt;&gt;"",VLOOKUP($C64,$A$2:Q$46,Q$1+4),"")</f>
        <v/>
      </c>
      <c r="R64" s="1">
        <f>IF(R$2&lt;&gt;"",VLOOKUP($C64,$A$2:R$46,R$1+4),"")</f>
        <v>0.67279412029128449</v>
      </c>
      <c r="S64" s="1">
        <f>IF(S$2&lt;&gt;"",VLOOKUP($C64,$A$2:S$46,S$1+4),"")</f>
        <v>0.68995098201375382</v>
      </c>
      <c r="T64" s="1">
        <f>IF(T$2&lt;&gt;"",VLOOKUP($C64,$A$2:T$46,T$1+4),"")</f>
        <v>0.65196078562853388</v>
      </c>
      <c r="U64" s="1">
        <f>IF(U$2&lt;&gt;"",VLOOKUP($C64,$A$2:U$46,U$1+4),"")</f>
        <v>0.62941176736471705</v>
      </c>
      <c r="V64" s="1">
        <f>IF(V$2&lt;&gt;"",VLOOKUP($C64,$A$2:V$46,V$1+4),"")</f>
        <v>0.63676470810291819</v>
      </c>
      <c r="W64" s="1">
        <f>IF(W$2&lt;&gt;"",VLOOKUP($C64,$A$2:W$46,W$1+4),"")</f>
        <v>0.76323529627977638</v>
      </c>
      <c r="X64" s="1">
        <f>IF(X$2&lt;&gt;"",VLOOKUP($C64,$A$2:X$46,X$1+4),"")</f>
        <v>0.69191176621060746</v>
      </c>
      <c r="Y64" s="1">
        <f>IF(Y$2&lt;&gt;"",VLOOKUP($C64,$A$2:Y$46,Y$1+4),"")</f>
        <v>0.72892157049740058</v>
      </c>
      <c r="Z64" s="1">
        <f>IF(Z$2&lt;&gt;"",VLOOKUP($C64,$A$2:Z$46,Z$1+4),"")</f>
        <v>0.63811274723825506</v>
      </c>
      <c r="AA64" s="1">
        <f>IF(AA$2&lt;&gt;"",VLOOKUP($C64,$A$2:AA$46,AA$1+4),"")</f>
        <v>0.63455882588145784</v>
      </c>
      <c r="AB64" s="1">
        <f>IF(AB$2&lt;&gt;"",VLOOKUP($C64,$A$2:AB$46,AB$1+4),"")</f>
        <v>0.77083333504258422</v>
      </c>
      <c r="AC64" s="1">
        <f>IF(AC$2&lt;&gt;"",VLOOKUP($C64,$A$2:AC$46,AC$1+4),"")</f>
        <v>0.76776960973500041</v>
      </c>
      <c r="AD64" s="1">
        <f>IF(AD$2&lt;&gt;"",VLOOKUP($C64,$A$2:AD$46,AD$1+4),"")</f>
        <v>0.8035539287781599</v>
      </c>
      <c r="AE64" s="1">
        <f>IF(AE$2&lt;&gt;"",VLOOKUP($C64,$A$2:AE$46,AE$1+4),"")</f>
        <v>0.67781862979572194</v>
      </c>
      <c r="AF64" s="1">
        <f>IF(AF$2&lt;&gt;"",VLOOKUP($C64,$A$2:AF$46,AF$1+4),"")</f>
        <v>0.64779412014519466</v>
      </c>
      <c r="AG64" s="1">
        <f>IF(AG$2&lt;&gt;"",VLOOKUP($C64,$A$2:AG$46,AG$1+4),"")</f>
        <v>0.70024509904723542</v>
      </c>
      <c r="AH64" s="1">
        <f>IF(AH$2&lt;&gt;"",VLOOKUP($C64,$A$2:AH$46,AH$1+4),"")</f>
        <v>0.650612746493197</v>
      </c>
      <c r="AI64" s="1">
        <f>IF(AI$2&lt;&gt;"",VLOOKUP($C64,$A$2:AI$46,AI$1+4),"")</f>
        <v>0.61740196299026995</v>
      </c>
      <c r="AJ64" s="1">
        <f t="shared" si="13"/>
        <v>0.68858024900971548</v>
      </c>
      <c r="AK64" s="5">
        <f t="shared" si="14"/>
        <v>6.2994020367328318E-2</v>
      </c>
    </row>
    <row r="65" spans="2:37">
      <c r="B65" s="5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/>
      <c r="AI65" s="1"/>
      <c r="AJ65" s="1"/>
    </row>
    <row r="66" spans="2:37">
      <c r="B66" s="12">
        <f>B60+1</f>
        <v>2</v>
      </c>
      <c r="C66" s="4">
        <f>C60+1</f>
        <v>3</v>
      </c>
      <c r="D66" s="1" t="str">
        <f>IF(D$2&lt;&gt;"",VLOOKUP($C66,$A$2:D$46,D$1+4),"")</f>
        <v/>
      </c>
      <c r="E66" s="1">
        <f>IF(E$2&lt;&gt;"",VLOOKUP($C66,$A$2:E$46,E$1+4),"")</f>
        <v>0.7665441184578573</v>
      </c>
      <c r="F66" s="1">
        <f>IF(F$2&lt;&gt;"",VLOOKUP($C66,$A$2:F$46,F$1+4),"")</f>
        <v>1.1289215688831082</v>
      </c>
      <c r="G66" s="1" t="str">
        <f>IF(G$2&lt;&gt;"",VLOOKUP($C66,$A$2:G$46,G$1+4),"")</f>
        <v/>
      </c>
      <c r="H66" s="1">
        <f>IF(H$2&lt;&gt;"",VLOOKUP($C66,$A$2:H$46,H$1+4),"")</f>
        <v>0.91127451017645056</v>
      </c>
      <c r="I66" s="1">
        <f>IF(I$2&lt;&gt;"",VLOOKUP($C66,$A$2:I$46,I$1+4),"")</f>
        <v>0.83504902136137749</v>
      </c>
      <c r="J66" s="1">
        <f>IF(J$2&lt;&gt;"",VLOOKUP($C66,$A$2:J$46,J$1+4),"")</f>
        <v>0.83137255226280171</v>
      </c>
      <c r="K66" s="1" t="str">
        <f>IF(K$2&lt;&gt;"",VLOOKUP($C66,$A$2:K$46,K$1+4),"")</f>
        <v/>
      </c>
      <c r="L66" s="1">
        <f>IF(L$2&lt;&gt;"",VLOOKUP($C66,$A$2:L$46,L$1+4),"")</f>
        <v>0.91433823577507267</v>
      </c>
      <c r="M66" s="1">
        <f>IF(M$2&lt;&gt;"",VLOOKUP($C66,$A$2:M$46,M$1+4),"")</f>
        <v>0.82769608189370114</v>
      </c>
      <c r="N66" s="1">
        <f>IF(N$2&lt;&gt;"",VLOOKUP($C66,$A$2:N$46,N$1+4),"")</f>
        <v>1.0582107855043574</v>
      </c>
      <c r="O66" s="1" t="str">
        <f>IF(O$2&lt;&gt;"",VLOOKUP($C66,$A$2:O$46,O$1+4),"")</f>
        <v/>
      </c>
      <c r="P66" s="1">
        <f>IF(P$2&lt;&gt;"",VLOOKUP($C66,$A$2:P$46,P$1+4),"")</f>
        <v>0.77046568685156458</v>
      </c>
      <c r="Q66" s="1" t="str">
        <f>IF(Q$2&lt;&gt;"",VLOOKUP($C66,$A$2:Q$46,Q$1+4),"")</f>
        <v/>
      </c>
      <c r="R66" s="1">
        <f>IF(R$2&lt;&gt;"",VLOOKUP($C66,$A$2:R$46,R$1+4),"")</f>
        <v>0.88308823687188764</v>
      </c>
      <c r="S66" s="1">
        <f>IF(S$2&lt;&gt;"",VLOOKUP($C66,$A$2:S$46,S$1+4),"")</f>
        <v>0.91470588577144285</v>
      </c>
      <c r="T66" s="1">
        <f>IF(T$2&lt;&gt;"",VLOOKUP($C66,$A$2:T$46,T$1+4),"")</f>
        <v>0.83161764738706911</v>
      </c>
      <c r="U66" s="1">
        <f>IF(U$2&lt;&gt;"",VLOOKUP($C66,$A$2:U$46,U$1+4),"")</f>
        <v>0.82610294473375756</v>
      </c>
      <c r="V66" s="1">
        <f>IF(V$2&lt;&gt;"",VLOOKUP($C66,$A$2:V$46,V$1+4),"")</f>
        <v>0.83125000325049836</v>
      </c>
      <c r="W66" s="1">
        <f>IF(W$2&lt;&gt;"",VLOOKUP($C66,$A$2:W$46,W$1+4),"")</f>
        <v>0.9996323532477368</v>
      </c>
      <c r="X66" s="1">
        <f>IF(X$2&lt;&gt;"",VLOOKUP($C66,$A$2:X$46,X$1+4),"")</f>
        <v>0.91360294141021425</v>
      </c>
      <c r="Y66" s="1">
        <f>IF(Y$2&lt;&gt;"",VLOOKUP($C66,$A$2:Y$46,Y$1+4),"")</f>
        <v>0.93333333425369913</v>
      </c>
      <c r="Z66" s="1">
        <f>IF(Z$2&lt;&gt;"",VLOOKUP($C66,$A$2:Z$46,Z$1+4),"")</f>
        <v>0.81556372595037896</v>
      </c>
      <c r="AA66" s="1">
        <f>IF(AA$2&lt;&gt;"",VLOOKUP($C66,$A$2:AA$46,AA$1+4),"")</f>
        <v>0.79203431552992765</v>
      </c>
      <c r="AB66" s="1">
        <f>IF(AB$2&lt;&gt;"",VLOOKUP($C66,$A$2:AB$46,AB$1+4),"")</f>
        <v>1.0019607874400476</v>
      </c>
      <c r="AC66" s="1">
        <f>IF(AC$2&lt;&gt;"",VLOOKUP($C66,$A$2:AC$46,AC$1+4),"")</f>
        <v>0.9931372585542062</v>
      </c>
      <c r="AD66" s="1">
        <f>IF(AD$2&lt;&gt;"",VLOOKUP($C66,$A$2:AD$46,AD$1+4),"")</f>
        <v>1.0729166669807597</v>
      </c>
      <c r="AE66" s="1">
        <f>IF(AE$2&lt;&gt;"",VLOOKUP($C66,$A$2:AE$46,AE$1+4),"")</f>
        <v>0.88737745230250498</v>
      </c>
      <c r="AF66" s="1">
        <f>IF(AF$2&lt;&gt;"",VLOOKUP($C66,$A$2:AF$46,AF$1+4),"")</f>
        <v>0.8399509819699269</v>
      </c>
      <c r="AG66" s="1">
        <f>IF(AG$2&lt;&gt;"",VLOOKUP($C66,$A$2:AG$46,AG$1+4),"")</f>
        <v>0.90968137615059008</v>
      </c>
      <c r="AH66" s="1">
        <f>IF(AH$2&lt;&gt;"",VLOOKUP($C66,$A$2:AH$46,AH$1+4),"")</f>
        <v>0.82843137596752126</v>
      </c>
      <c r="AI66" s="1">
        <f>IF(AI$2&lt;&gt;"",VLOOKUP($C66,$A$2:AI$46,AI$1+4),"")</f>
        <v>0.78541666706110913</v>
      </c>
      <c r="AJ66" s="1">
        <f t="shared" si="13"/>
        <v>0.8927287598518362</v>
      </c>
      <c r="AK66" s="5">
        <f t="shared" si="14"/>
        <v>9.6385125844726041E-2</v>
      </c>
    </row>
    <row r="67" spans="2:37">
      <c r="B67" s="12"/>
      <c r="C67" s="4">
        <f t="shared" ref="C67:C70" si="19">C61+1</f>
        <v>12</v>
      </c>
      <c r="D67" s="1" t="str">
        <f>IF(D$2&lt;&gt;"",VLOOKUP($C67,$A$2:D$46,D$1+4),"")</f>
        <v/>
      </c>
      <c r="E67" s="1">
        <f>IF(E$2&lt;&gt;"",VLOOKUP($C67,$A$2:E$46,E$1+4),"")</f>
        <v>0.77647058845442885</v>
      </c>
      <c r="F67" s="1">
        <f>IF(F$2&lt;&gt;"",VLOOKUP($C67,$A$2:F$46,F$1+4),"")</f>
        <v>1.1437500011180437</v>
      </c>
      <c r="G67" s="1" t="str">
        <f>IF(G$2&lt;&gt;"",VLOOKUP($C67,$A$2:G$46,G$1+4),"")</f>
        <v/>
      </c>
      <c r="H67" s="1">
        <f>IF(H$2&lt;&gt;"",VLOOKUP($C67,$A$2:H$46,H$1+4),"")</f>
        <v>0.92598039351549799</v>
      </c>
      <c r="I67" s="1">
        <f>IF(I$2&lt;&gt;"",VLOOKUP($C67,$A$2:I$46,I$1+4),"")</f>
        <v>0.84779411875734145</v>
      </c>
      <c r="J67" s="1">
        <f>IF(J$2&lt;&gt;"",VLOOKUP($C67,$A$2:J$46,J$1+4),"")</f>
        <v>0.843995100530047</v>
      </c>
      <c r="K67" s="1" t="str">
        <f>IF(K$2&lt;&gt;"",VLOOKUP($C67,$A$2:K$46,K$1+4),"")</f>
        <v/>
      </c>
      <c r="L67" s="1">
        <f>IF(L$2&lt;&gt;"",VLOOKUP($C67,$A$2:L$46,L$1+4),"")</f>
        <v>0.93774509869661982</v>
      </c>
      <c r="M67" s="1">
        <f>IF(M$2&lt;&gt;"",VLOOKUP($C67,$A$2:M$46,M$1+4),"")</f>
        <v>0.83786764991487939</v>
      </c>
      <c r="N67" s="1">
        <f>IF(N$2&lt;&gt;"",VLOOKUP($C67,$A$2:N$46,N$1+4),"")</f>
        <v>1.0725490198274343</v>
      </c>
      <c r="O67" s="1" t="str">
        <f>IF(O$2&lt;&gt;"",VLOOKUP($C67,$A$2:O$46,O$1+4),"")</f>
        <v/>
      </c>
      <c r="P67" s="1">
        <f>IF(P$2&lt;&gt;"",VLOOKUP($C67,$A$2:P$46,P$1+4),"")</f>
        <v>0.78639706217629068</v>
      </c>
      <c r="Q67" s="1" t="str">
        <f>IF(Q$2&lt;&gt;"",VLOOKUP($C67,$A$2:Q$46,Q$1+4),"")</f>
        <v/>
      </c>
      <c r="R67" s="1">
        <f>IF(R$2&lt;&gt;"",VLOOKUP($C67,$A$2:R$46,R$1+4),"")</f>
        <v>0.8991421574836268</v>
      </c>
      <c r="S67" s="1">
        <f>IF(S$2&lt;&gt;"",VLOOKUP($C67,$A$2:S$46,S$1+4),"")</f>
        <v>0.92941176724784513</v>
      </c>
      <c r="T67" s="1">
        <f>IF(T$2&lt;&gt;"",VLOOKUP($C67,$A$2:T$46,T$1+4),"")</f>
        <v>0.85085784406492526</v>
      </c>
      <c r="U67" s="1">
        <f>IF(U$2&lt;&gt;"",VLOOKUP($C67,$A$2:U$46,U$1+4),"")</f>
        <v>0.84215686534549672</v>
      </c>
      <c r="V67" s="1">
        <f>IF(V$2&lt;&gt;"",VLOOKUP($C67,$A$2:V$46,V$1+4),"")</f>
        <v>0.84607843373920399</v>
      </c>
      <c r="W67" s="1">
        <f>IF(W$2&lt;&gt;"",VLOOKUP($C67,$A$2:W$46,W$1+4),"")</f>
        <v>1.0159313736885203</v>
      </c>
      <c r="X67" s="1">
        <f>IF(X$2&lt;&gt;"",VLOOKUP($C67,$A$2:X$46,X$1+4),"")</f>
        <v>0.93174019709375555</v>
      </c>
      <c r="Y67" s="1">
        <f>IF(Y$2&lt;&gt;"",VLOOKUP($C67,$A$2:Y$46,Y$1+4),"")</f>
        <v>0.94889706242509986</v>
      </c>
      <c r="Z67" s="1">
        <f>IF(Z$2&lt;&gt;"",VLOOKUP($C67,$A$2:Z$46,Z$1+4),"")</f>
        <v>0.82757353288139779</v>
      </c>
      <c r="AA67" s="1">
        <f>IF(AA$2&lt;&gt;"",VLOOKUP($C67,$A$2:AA$46,AA$1+4),"")</f>
        <v>0.80735294212605435</v>
      </c>
      <c r="AB67" s="1">
        <f>IF(AB$2&lt;&gt;"",VLOOKUP($C67,$A$2:AB$46,AB$1+4),"")</f>
        <v>1.0161764728672364</v>
      </c>
      <c r="AC67" s="1">
        <f>IF(AC$2&lt;&gt;"",VLOOKUP($C67,$A$2:AC$46,AC$1+4),"")</f>
        <v>1.0078431400306085</v>
      </c>
      <c r="AD67" s="1">
        <f>IF(AD$2&lt;&gt;"",VLOOKUP($C67,$A$2:AD$46,AD$1+4),"")</f>
        <v>1.0872549051455422</v>
      </c>
      <c r="AE67" s="1">
        <f>IF(AE$2&lt;&gt;"",VLOOKUP($C67,$A$2:AE$46,AE$1+4),"")</f>
        <v>0.89840686340980669</v>
      </c>
      <c r="AF67" s="1">
        <f>IF(AF$2&lt;&gt;"",VLOOKUP($C67,$A$2:AF$46,AF$1+4),"")</f>
        <v>0.85196078517565543</v>
      </c>
      <c r="AG67" s="1">
        <f>IF(AG$2&lt;&gt;"",VLOOKUP($C67,$A$2:AG$46,AG$1+4),"")</f>
        <v>0.92549019885413786</v>
      </c>
      <c r="AH67" s="1">
        <f>IF(AH$2&lt;&gt;"",VLOOKUP($C67,$A$2:AH$46,AH$1+4),"")</f>
        <v>0.84301470843162019</v>
      </c>
      <c r="AI67" s="1">
        <f>IF(AI$2&lt;&gt;"",VLOOKUP($C67,$A$2:AI$46,AI$1+4),"")</f>
        <v>0.80000000138785321</v>
      </c>
      <c r="AJ67" s="1">
        <f t="shared" si="13"/>
        <v>0.90747549201440658</v>
      </c>
      <c r="AK67" s="5">
        <f t="shared" si="14"/>
        <v>9.6927043814836841E-2</v>
      </c>
    </row>
    <row r="68" spans="2:37">
      <c r="B68" s="12"/>
      <c r="C68" s="4">
        <f t="shared" si="19"/>
        <v>21</v>
      </c>
      <c r="D68" s="1" t="str">
        <f>IF(D$2&lt;&gt;"",VLOOKUP($C68,$A$2:D$46,D$1+4),"")</f>
        <v/>
      </c>
      <c r="E68" s="1">
        <f>IF(E$2&lt;&gt;"",VLOOKUP($C68,$A$2:E$46,E$1+4),"")</f>
        <v>0.78909314044696444</v>
      </c>
      <c r="F68" s="1">
        <f>IF(F$2&lt;&gt;"",VLOOKUP($C68,$A$2:F$46,F$1+4),"")</f>
        <v>1.1672794152055777</v>
      </c>
      <c r="G68" s="1" t="str">
        <f>IF(G$2&lt;&gt;"",VLOOKUP($C68,$A$2:G$46,G$1+4),"")</f>
        <v/>
      </c>
      <c r="H68" s="1">
        <f>IF(H$2&lt;&gt;"",VLOOKUP($C68,$A$2:H$46,H$1+4),"")</f>
        <v>0.94399509832409079</v>
      </c>
      <c r="I68" s="1">
        <f>IF(I$2&lt;&gt;"",VLOOKUP($C68,$A$2:I$46,I$1+4),"")</f>
        <v>0.86446078606041188</v>
      </c>
      <c r="J68" s="1">
        <f>IF(J$2&lt;&gt;"",VLOOKUP($C68,$A$2:J$46,J$1+4),"")</f>
        <v>0.86262255040015656</v>
      </c>
      <c r="K68" s="1" t="str">
        <f>IF(K$2&lt;&gt;"",VLOOKUP($C68,$A$2:K$46,K$1+4),"")</f>
        <v/>
      </c>
      <c r="L68" s="1">
        <f>IF(L$2&lt;&gt;"",VLOOKUP($C68,$A$2:L$46,L$1+4),"")</f>
        <v>0.96090686574724371</v>
      </c>
      <c r="M68" s="1">
        <f>IF(M$2&lt;&gt;"",VLOOKUP($C68,$A$2:M$46,M$1+4),"")</f>
        <v>0.85490196262504536</v>
      </c>
      <c r="N68" s="1">
        <f>IF(N$2&lt;&gt;"",VLOOKUP($C68,$A$2:N$46,N$1+4),"")</f>
        <v>1.0900735324285193</v>
      </c>
      <c r="O68" s="1" t="str">
        <f>IF(O$2&lt;&gt;"",VLOOKUP($C68,$A$2:O$46,O$1+4),"")</f>
        <v/>
      </c>
      <c r="P68" s="1">
        <f>IF(P$2&lt;&gt;"",VLOOKUP($C68,$A$2:P$46,P$1+4),"")</f>
        <v>0.80036764957887285</v>
      </c>
      <c r="Q68" s="1" t="str">
        <f>IF(Q$2&lt;&gt;"",VLOOKUP($C68,$A$2:Q$46,Q$1+4),"")</f>
        <v/>
      </c>
      <c r="R68" s="1">
        <f>IF(R$2&lt;&gt;"",VLOOKUP($C68,$A$2:R$46,R$1+4),"")</f>
        <v>0.91446078774683615</v>
      </c>
      <c r="S68" s="1">
        <f>IF(S$2&lt;&gt;"",VLOOKUP($C68,$A$2:S$46,S$1+4),"")</f>
        <v>0.94460784477346083</v>
      </c>
      <c r="T68" s="1">
        <f>IF(T$2&lt;&gt;"",VLOOKUP($C68,$A$2:T$46,T$1+4),"")</f>
        <v>0.86335784401835913</v>
      </c>
      <c r="U68" s="1">
        <f>IF(U$2&lt;&gt;"",VLOOKUP($C68,$A$2:U$46,U$1+4),"")</f>
        <v>0.85649509978498894</v>
      </c>
      <c r="V68" s="1">
        <f>IF(V$2&lt;&gt;"",VLOOKUP($C68,$A$2:V$46,V$1+4),"")</f>
        <v>0.85588235472347218</v>
      </c>
      <c r="W68" s="1">
        <f>IF(W$2&lt;&gt;"",VLOOKUP($C68,$A$2:W$46,W$1+4),"")</f>
        <v>1.0393382387637509</v>
      </c>
      <c r="X68" s="1">
        <f>IF(X$2&lt;&gt;"",VLOOKUP($C68,$A$2:X$46,X$1+4),"")</f>
        <v>0.95306372895982916</v>
      </c>
      <c r="Y68" s="1">
        <f>IF(Y$2&lt;&gt;"",VLOOKUP($C68,$A$2:Y$46,Y$1+4),"")</f>
        <v>0.96862745352235491</v>
      </c>
      <c r="Z68" s="1">
        <f>IF(Z$2&lt;&gt;"",VLOOKUP($C68,$A$2:Z$46,Z$1+4),"")</f>
        <v>0.84644608077611405</v>
      </c>
      <c r="AA68" s="1">
        <f>IF(AA$2&lt;&gt;"",VLOOKUP($C68,$A$2:AA$46,AA$1+4),"")</f>
        <v>0.81936274533178288</v>
      </c>
      <c r="AB68" s="1">
        <f>IF(AB$2&lt;&gt;"",VLOOKUP($C68,$A$2:AB$46,AB$1+4),"")</f>
        <v>1.0350490207619527</v>
      </c>
      <c r="AC68" s="1">
        <f>IF(AC$2&lt;&gt;"",VLOOKUP($C68,$A$2:AC$46,AC$1+4),"")</f>
        <v>1.0299019622452119</v>
      </c>
      <c r="AD68" s="1">
        <f>IF(AD$2&lt;&gt;"",VLOOKUP($C68,$A$2:AD$46,AD$1+4),"")</f>
        <v>1.105269609954135</v>
      </c>
      <c r="AE68" s="1">
        <f>IF(AE$2&lt;&gt;"",VLOOKUP($C68,$A$2:AE$46,AE$1+4),"")</f>
        <v>0.91678921898059984</v>
      </c>
      <c r="AF68" s="1">
        <f>IF(AF$2&lt;&gt;"",VLOOKUP($C68,$A$2:AF$46,AF$1+4),"")</f>
        <v>0.86740196445116813</v>
      </c>
      <c r="AG68" s="1">
        <f>IF(AG$2&lt;&gt;"",VLOOKUP($C68,$A$2:AG$46,AG$1+4),"")</f>
        <v>0.94362745267503401</v>
      </c>
      <c r="AH68" s="1">
        <f>IF(AH$2&lt;&gt;"",VLOOKUP($C68,$A$2:AH$46,AH$1+4),"")</f>
        <v>0.85808823694493253</v>
      </c>
      <c r="AI68" s="1">
        <f>IF(AI$2&lt;&gt;"",VLOOKUP($C68,$A$2:AI$46,AI$1+4),"")</f>
        <v>0.81813725520874936</v>
      </c>
      <c r="AJ68" s="1">
        <f t="shared" si="13"/>
        <v>0.92480029260887497</v>
      </c>
      <c r="AK68" s="5">
        <f t="shared" si="14"/>
        <v>9.9261093361127539E-2</v>
      </c>
    </row>
    <row r="69" spans="2:37">
      <c r="B69" s="12"/>
      <c r="C69" s="4">
        <f t="shared" si="19"/>
        <v>30</v>
      </c>
      <c r="D69" s="1" t="str">
        <f>IF(D$2&lt;&gt;"",VLOOKUP($C69,$A$2:D$46,D$1+4),"")</f>
        <v/>
      </c>
      <c r="E69" s="1">
        <f>IF(E$2&lt;&gt;"",VLOOKUP($C69,$A$2:E$46,E$1+4),"")</f>
        <v>0.80379902192336672</v>
      </c>
      <c r="F69" s="1">
        <f>IF(F$2&lt;&gt;"",VLOOKUP($C69,$A$2:F$46,F$1+4),"")</f>
        <v>1.186764708278226</v>
      </c>
      <c r="G69" s="1" t="str">
        <f>IF(G$2&lt;&gt;"",VLOOKUP($C69,$A$2:G$46,G$1+4),"")</f>
        <v/>
      </c>
      <c r="H69" s="1">
        <f>IF(H$2&lt;&gt;"",VLOOKUP($C69,$A$2:H$46,H$1+4),"")</f>
        <v>0.95649510130432303</v>
      </c>
      <c r="I69" s="1">
        <f>IF(I$2&lt;&gt;"",VLOOKUP($C69,$A$2:I$46,I$1+4),"")</f>
        <v>0.87953431666920001</v>
      </c>
      <c r="J69" s="1">
        <f>IF(J$2&lt;&gt;"",VLOOKUP($C69,$A$2:J$46,J$1+4),"")</f>
        <v>0.87806372595037896</v>
      </c>
      <c r="K69" s="1" t="str">
        <f>IF(K$2&lt;&gt;"",VLOOKUP($C69,$A$2:K$46,K$1+4),"")</f>
        <v/>
      </c>
      <c r="L69" s="1">
        <f>IF(L$2&lt;&gt;"",VLOOKUP($C69,$A$2:L$46,L$1+4),"")</f>
        <v>0.98946078561392481</v>
      </c>
      <c r="M69" s="1">
        <f>IF(M$2&lt;&gt;"",VLOOKUP($C69,$A$2:M$46,M$1+4),"")</f>
        <v>0.87218137359264869</v>
      </c>
      <c r="N69" s="1">
        <f>IF(N$2&lt;&gt;"",VLOOKUP($C69,$A$2:N$46,N$1+4),"")</f>
        <v>1.1062500020525619</v>
      </c>
      <c r="O69" s="1" t="str">
        <f>IF(O$2&lt;&gt;"",VLOOKUP($C69,$A$2:O$46,O$1+4),"")</f>
        <v/>
      </c>
      <c r="P69" s="1">
        <f>IF(P$2&lt;&gt;"",VLOOKUP($C69,$A$2:P$46,P$1+4),"")</f>
        <v>0.81139706068617456</v>
      </c>
      <c r="Q69" s="1" t="str">
        <f>IF(Q$2&lt;&gt;"",VLOOKUP($C69,$A$2:Q$46,Q$1+4),"")</f>
        <v/>
      </c>
      <c r="R69" s="1">
        <f>IF(R$2&lt;&gt;"",VLOOKUP($C69,$A$2:R$46,R$1+4),"")</f>
        <v>0.93075980638318201</v>
      </c>
      <c r="S69" s="1">
        <f>IF(S$2&lt;&gt;"",VLOOKUP($C69,$A$2:S$46,S$1+4),"")</f>
        <v>0.96017156933598657</v>
      </c>
      <c r="T69" s="1">
        <f>IF(T$2&lt;&gt;"",VLOOKUP($C69,$A$2:T$46,T$1+4),"")</f>
        <v>0.87659314037391955</v>
      </c>
      <c r="U69" s="1">
        <f>IF(U$2&lt;&gt;"",VLOOKUP($C69,$A$2:U$46,U$1+4),"")</f>
        <v>0.86960784410144765</v>
      </c>
      <c r="V69" s="1">
        <f>IF(V$2&lt;&gt;"",VLOOKUP($C69,$A$2:V$46,V$1+4),"")</f>
        <v>0.87328431447054822</v>
      </c>
      <c r="W69" s="1">
        <f>IF(W$2&lt;&gt;"",VLOOKUP($C69,$A$2:W$46,W$1+4),"")</f>
        <v>1.0560049044370068</v>
      </c>
      <c r="X69" s="1">
        <f>IF(X$2&lt;&gt;"",VLOOKUP($C69,$A$2:X$46,X$1+4),"")</f>
        <v>0.97316176697757895</v>
      </c>
      <c r="Y69" s="1">
        <f>IF(Y$2&lt;&gt;"",VLOOKUP($C69,$A$2:Y$46,Y$1+4),"")</f>
        <v>0.98223039388802702</v>
      </c>
      <c r="Z69" s="1">
        <f>IF(Z$2&lt;&gt;"",VLOOKUP($C69,$A$2:Z$46,Z$1+4),"")</f>
        <v>0.8595588253254034</v>
      </c>
      <c r="AA69" s="1">
        <f>IF(AA$2&lt;&gt;"",VLOOKUP($C69,$A$2:AA$46,AA$1+4),"")</f>
        <v>0.8334558854719587</v>
      </c>
      <c r="AB69" s="1">
        <f>IF(AB$2&lt;&gt;"",VLOOKUP($C69,$A$2:AB$46,AB$1+4),"")</f>
        <v>1.0519607870209524</v>
      </c>
      <c r="AC69" s="1">
        <f>IF(AC$2&lt;&gt;"",VLOOKUP($C69,$A$2:AC$46,AC$1+4),"")</f>
        <v>1.0448529417462209</v>
      </c>
      <c r="AD69" s="1">
        <f>IF(AD$2&lt;&gt;"",VLOOKUP($C69,$A$2:AD$46,AD$1+4),"")</f>
        <v>1.1220588246396943</v>
      </c>
      <c r="AE69" s="1">
        <f>IF(AE$2&lt;&gt;"",VLOOKUP($C69,$A$2:AE$46,AE$1+4),"")</f>
        <v>0.93321078662924906</v>
      </c>
      <c r="AF69" s="1">
        <f>IF(AF$2&lt;&gt;"",VLOOKUP($C69,$A$2:AF$46,AF$1+4),"")</f>
        <v>0.88026961074302013</v>
      </c>
      <c r="AG69" s="1">
        <f>IF(AG$2&lt;&gt;"",VLOOKUP($C69,$A$2:AG$46,AG$1+4),"")</f>
        <v>0.95931372624986311</v>
      </c>
      <c r="AH69" s="1">
        <f>IF(AH$2&lt;&gt;"",VLOOKUP($C69,$A$2:AH$46,AH$1+4),"")</f>
        <v>0.87414215755667168</v>
      </c>
      <c r="AI69" s="1">
        <f>IF(AI$2&lt;&gt;"",VLOOKUP($C69,$A$2:AI$46,AI$1+4),"")</f>
        <v>0.82843137596752126</v>
      </c>
      <c r="AJ69" s="1">
        <f t="shared" si="13"/>
        <v>0.94048202805144687</v>
      </c>
      <c r="AK69" s="5">
        <f t="shared" si="14"/>
        <v>0.10075730481383978</v>
      </c>
    </row>
    <row r="70" spans="2:37">
      <c r="B70" s="12"/>
      <c r="C70" s="4">
        <f t="shared" si="19"/>
        <v>39</v>
      </c>
      <c r="D70" s="1" t="str">
        <f>IF(D$2&lt;&gt;"",VLOOKUP($C70,$A$2:D$46,D$1+4),"")</f>
        <v/>
      </c>
      <c r="E70" s="1">
        <f>IF(E$2&lt;&gt;"",VLOOKUP($C70,$A$2:E$46,E$1+4),"")</f>
        <v>0.82953431450707071</v>
      </c>
      <c r="F70" s="1">
        <f>IF(F$2&lt;&gt;"",VLOOKUP($C70,$A$2:F$46,F$1+4),"")</f>
        <v>1.2404411831176749</v>
      </c>
      <c r="G70" s="1" t="str">
        <f>IF(G$2&lt;&gt;"",VLOOKUP($C70,$A$2:G$46,G$1+4),"")</f>
        <v/>
      </c>
      <c r="H70" s="1">
        <f>IF(H$2&lt;&gt;"",VLOOKUP($C70,$A$2:H$46,H$1+4),"")</f>
        <v>1.0143382425620859</v>
      </c>
      <c r="I70" s="1">
        <f>IF(I$2&lt;&gt;"",VLOOKUP($C70,$A$2:I$46,I$1+4),"")</f>
        <v>0.90661764838824088</v>
      </c>
      <c r="J70" s="1">
        <f>IF(J$2&lt;&gt;"",VLOOKUP($C70,$A$2:J$46,J$1+4),"")</f>
        <v>0.90539216314460713</v>
      </c>
      <c r="K70" s="1" t="str">
        <f>IF(K$2&lt;&gt;"",VLOOKUP($C70,$A$2:K$46,K$1+4),"")</f>
        <v/>
      </c>
      <c r="L70" s="1">
        <f>IF(L$2&lt;&gt;"",VLOOKUP($C70,$A$2:L$46,L$1+4),"")</f>
        <v>1.0977941199406689</v>
      </c>
      <c r="M70" s="1">
        <f>IF(M$2&lt;&gt;"",VLOOKUP($C70,$A$2:M$46,M$1+4),"")</f>
        <v>0.89436275203730542</v>
      </c>
      <c r="N70" s="1">
        <f>IF(N$2&lt;&gt;"",VLOOKUP($C70,$A$2:N$46,N$1+4),"")</f>
        <v>1.165563731457965</v>
      </c>
      <c r="O70" s="1" t="str">
        <f>IF(O$2&lt;&gt;"",VLOOKUP($C70,$A$2:O$46,O$1+4),"")</f>
        <v/>
      </c>
      <c r="P70" s="1">
        <f>IF(P$2&lt;&gt;"",VLOOKUP($C70,$A$2:P$46,P$1+4),"")</f>
        <v>0.83982843340319746</v>
      </c>
      <c r="Q70" s="1" t="str">
        <f>IF(Q$2&lt;&gt;"",VLOOKUP($C70,$A$2:Q$46,Q$1+4),"")</f>
        <v/>
      </c>
      <c r="R70" s="1">
        <f>IF(R$2&lt;&gt;"",VLOOKUP($C70,$A$2:R$46,R$1+4),"")</f>
        <v>0.96066176538519998</v>
      </c>
      <c r="S70" s="1">
        <f>IF(S$2&lt;&gt;"",VLOOKUP($C70,$A$2:S$46,S$1+4),"")</f>
        <v>0.98909314369015833</v>
      </c>
      <c r="T70" s="1">
        <f>IF(T$2&lt;&gt;"",VLOOKUP($C70,$A$2:T$46,T$1+4),"")</f>
        <v>0.90796568752357776</v>
      </c>
      <c r="U70" s="1">
        <f>IF(U$2&lt;&gt;"",VLOOKUP($C70,$A$2:U$46,U$1+4),"")</f>
        <v>0.89975490857865292</v>
      </c>
      <c r="V70" s="1">
        <f>IF(V$2&lt;&gt;"",VLOOKUP($C70,$A$2:V$46,V$1+4),"")</f>
        <v>0.9011029477139898</v>
      </c>
      <c r="W70" s="1">
        <f>IF(W$2&lt;&gt;"",VLOOKUP($C70,$A$2:W$46,W$1+4),"")</f>
        <v>1.111519614461006</v>
      </c>
      <c r="X70" s="1">
        <f>IF(X$2&lt;&gt;"",VLOOKUP($C70,$A$2:X$46,X$1+4),"")</f>
        <v>1.0822303953781431</v>
      </c>
      <c r="Y70" s="1">
        <f>IF(Y$2&lt;&gt;"",VLOOKUP($C70,$A$2:Y$46,Y$1+4),"")</f>
        <v>1.0151960856482094</v>
      </c>
      <c r="Z70" s="1">
        <f>IF(Z$2&lt;&gt;"",VLOOKUP($C70,$A$2:Z$46,Z$1+4),"")</f>
        <v>0.88664216356370229</v>
      </c>
      <c r="AA70" s="1">
        <f>IF(AA$2&lt;&gt;"",VLOOKUP($C70,$A$2:AA$46,AA$1+4),"")</f>
        <v>0.8617647073140331</v>
      </c>
      <c r="AB70" s="1">
        <f>IF(AB$2&lt;&gt;"",VLOOKUP($C70,$A$2:AB$46,AB$1+4),"")</f>
        <v>1.0827205939985374</v>
      </c>
      <c r="AC70" s="1">
        <f>IF(AC$2&lt;&gt;"",VLOOKUP($C70,$A$2:AC$46,AC$1+4),"")</f>
        <v>1.0829656920231441</v>
      </c>
      <c r="AD70" s="1">
        <f>IF(AD$2&lt;&gt;"",VLOOKUP($C70,$A$2:AD$46,AD$1+4),"")</f>
        <v>1.1567402025721236</v>
      </c>
      <c r="AE70" s="1">
        <f>IF(AE$2&lt;&gt;"",VLOOKUP($C70,$A$2:AE$46,AE$1+4),"")</f>
        <v>0.96176470649593016</v>
      </c>
      <c r="AF70" s="1">
        <f>IF(AF$2&lt;&gt;"",VLOOKUP($C70,$A$2:AF$46,AF$1+4),"")</f>
        <v>0.90821078554818446</v>
      </c>
      <c r="AG70" s="1">
        <f>IF(AG$2&lt;&gt;"",VLOOKUP($C70,$A$2:AG$46,AG$1+4),"")</f>
        <v>0.98725490803994675</v>
      </c>
      <c r="AH70" s="1">
        <f>IF(AH$2&lt;&gt;"",VLOOKUP($C70,$A$2:AH$46,AH$1+4),"")</f>
        <v>0.90012255561556298</v>
      </c>
      <c r="AI70" s="1">
        <f>IF(AI$2&lt;&gt;"",VLOOKUP($C70,$A$2:AI$46,AI$1+4),"")</f>
        <v>0.85955882509257275</v>
      </c>
      <c r="AJ70" s="1">
        <f t="shared" si="13"/>
        <v>0.97959786211857403</v>
      </c>
      <c r="AK70" s="5">
        <f t="shared" si="14"/>
        <v>0.11209452361724255</v>
      </c>
    </row>
    <row r="71" spans="2:37">
      <c r="B71" s="5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  <c r="AG71" s="1"/>
      <c r="AH71" s="1"/>
      <c r="AI71" s="1"/>
      <c r="AJ71" s="1"/>
    </row>
    <row r="72" spans="2:37">
      <c r="B72" s="12">
        <f>B66+1</f>
        <v>3</v>
      </c>
      <c r="C72" s="4">
        <f>C66+1</f>
        <v>4</v>
      </c>
      <c r="D72" s="1" t="str">
        <f>IF(D$2&lt;&gt;"",VLOOKUP($C72,$A$2:D$46,D$1+4),"")</f>
        <v/>
      </c>
      <c r="E72" s="1">
        <f>IF(E$2&lt;&gt;"",VLOOKUP($C72,$A$2:E$46,E$1+4),"")</f>
        <v>0.89129902069621225</v>
      </c>
      <c r="F72" s="1">
        <f>IF(F$2&lt;&gt;"",VLOOKUP($C72,$A$2:F$46,F$1+4),"")</f>
        <v>1.32732843171586</v>
      </c>
      <c r="G72" s="1" t="str">
        <f>IF(G$2&lt;&gt;"",VLOOKUP($C72,$A$2:G$46,G$1+4),"")</f>
        <v/>
      </c>
      <c r="H72" s="1">
        <f>IF(H$2&lt;&gt;"",VLOOKUP($C72,$A$2:H$46,H$1+4),"")</f>
        <v>1.0509803937784596</v>
      </c>
      <c r="I72" s="1">
        <f>IF(I$2&lt;&gt;"",VLOOKUP($C72,$A$2:I$46,I$1+4),"")</f>
        <v>0.96544117804835827</v>
      </c>
      <c r="J72" s="1">
        <f>IF(J$2&lt;&gt;"",VLOOKUP($C72,$A$2:J$46,J$1+4),"")</f>
        <v>0.95269607890616448</v>
      </c>
      <c r="K72" s="1" t="str">
        <f>IF(K$2&lt;&gt;"",VLOOKUP($C72,$A$2:K$46,K$1+4),"")</f>
        <v/>
      </c>
      <c r="L72" s="1">
        <f>IF(L$2&lt;&gt;"",VLOOKUP($C72,$A$2:L$46,L$1+4),"")</f>
        <v>1.0515931388399764</v>
      </c>
      <c r="M72" s="1">
        <f>IF(M$2&lt;&gt;"",VLOOKUP($C72,$A$2:M$46,M$1+4),"")</f>
        <v>0.93602941252437288</v>
      </c>
      <c r="N72" s="1">
        <f>IF(N$2&lt;&gt;"",VLOOKUP($C72,$A$2:N$46,N$1+4),"")</f>
        <v>1.2117647064580381</v>
      </c>
      <c r="O72" s="1" t="str">
        <f>IF(O$2&lt;&gt;"",VLOOKUP($C72,$A$2:O$46,O$1+4),"")</f>
        <v/>
      </c>
      <c r="P72" s="1">
        <f>IF(P$2&lt;&gt;"",VLOOKUP($C72,$A$2:P$46,P$1+4),"")</f>
        <v>0.88872549143784185</v>
      </c>
      <c r="Q72" s="1" t="str">
        <f>IF(Q$2&lt;&gt;"",VLOOKUP($C72,$A$2:Q$46,Q$1+4),"")</f>
        <v/>
      </c>
      <c r="R72" s="1">
        <f>IF(R$2&lt;&gt;"",VLOOKUP($C72,$A$2:R$46,R$1+4),"")</f>
        <v>1.007843138876499</v>
      </c>
      <c r="S72" s="1">
        <f>IF(S$2&lt;&gt;"",VLOOKUP($C72,$A$2:S$46,S$1+4),"")</f>
        <v>1.0430147061160966</v>
      </c>
      <c r="T72" s="1">
        <f>IF(T$2&lt;&gt;"",VLOOKUP($C72,$A$2:T$46,T$1+4),"")</f>
        <v>0.92598039351549799</v>
      </c>
      <c r="U72" s="1">
        <f>IF(U$2&lt;&gt;"",VLOOKUP($C72,$A$2:U$46,U$1+4),"")</f>
        <v>0.93321078524139578</v>
      </c>
      <c r="V72" s="1">
        <f>IF(V$2&lt;&gt;"",VLOOKUP($C72,$A$2:V$46,V$1+4),"")</f>
        <v>0.93321078524139578</v>
      </c>
      <c r="W72" s="1">
        <f>IF(W$2&lt;&gt;"",VLOOKUP($C72,$A$2:W$46,W$1+4),"")</f>
        <v>1.1655637290333307</v>
      </c>
      <c r="X72" s="1">
        <f>IF(X$2&lt;&gt;"",VLOOKUP($C72,$A$2:X$46,X$1+4),"")</f>
        <v>1.0620098048857614</v>
      </c>
      <c r="Y72" s="1">
        <f>IF(Y$2&lt;&gt;"",VLOOKUP($C72,$A$2:Y$46,Y$1+4),"")</f>
        <v>1.0667892163655921</v>
      </c>
      <c r="Z72" s="1">
        <f>IF(Z$2&lt;&gt;"",VLOOKUP($C72,$A$2:Z$46,Z$1+4),"")</f>
        <v>0.9131127454192085</v>
      </c>
      <c r="AA72" s="1">
        <f>IF(AA$2&lt;&gt;"",VLOOKUP($C72,$A$2:AA$46,AA$1+4),"")</f>
        <v>0.91764706206672331</v>
      </c>
      <c r="AB72" s="1">
        <f>IF(AB$2&lt;&gt;"",VLOOKUP($C72,$A$2:AB$46,AB$1+4),"")</f>
        <v>1.1375000016069881</v>
      </c>
      <c r="AC72" s="1">
        <f>IF(AC$2&lt;&gt;"",VLOOKUP($C72,$A$2:AC$46,AC$1+4),"")</f>
        <v>1.1620098053482271</v>
      </c>
      <c r="AD72" s="1">
        <f>IF(AD$2&lt;&gt;"",VLOOKUP($C72,$A$2:AD$46,AD$1+4),"")</f>
        <v>1.2435049023908362</v>
      </c>
      <c r="AE72" s="1">
        <f>IF(AE$2&lt;&gt;"",VLOOKUP($C72,$A$2:AE$46,AE$1+4),"")</f>
        <v>1.0007352946495054</v>
      </c>
      <c r="AF72" s="1">
        <f>IF(AF$2&lt;&gt;"",VLOOKUP($C72,$A$2:AF$46,AF$1+4),"")</f>
        <v>0.96825980533133538</v>
      </c>
      <c r="AG72" s="1">
        <f>IF(AG$2&lt;&gt;"",VLOOKUP($C72,$A$2:AG$46,AG$1+4),"")</f>
        <v>1.0156862756639136</v>
      </c>
      <c r="AH72" s="1">
        <f>IF(AH$2&lt;&gt;"",VLOOKUP($C72,$A$2:AH$46,AH$1+4),"")</f>
        <v>0.98725490223835499</v>
      </c>
      <c r="AI72" s="1">
        <f>IF(AI$2&lt;&gt;"",VLOOKUP($C72,$A$2:AI$46,AI$1+4),"")</f>
        <v>0.9040441179757609</v>
      </c>
      <c r="AJ72" s="1">
        <f t="shared" si="13"/>
        <v>1.0245642712730263</v>
      </c>
      <c r="AK72" s="5">
        <f t="shared" si="14"/>
        <v>0.11670350344212714</v>
      </c>
    </row>
    <row r="73" spans="2:37">
      <c r="B73" s="12"/>
      <c r="C73" s="4">
        <f t="shared" ref="C73:C76" si="20">C67+1</f>
        <v>13</v>
      </c>
      <c r="D73" s="1" t="str">
        <f>IF(D$2&lt;&gt;"",VLOOKUP($C73,$A$2:D$46,D$1+4),"")</f>
        <v/>
      </c>
      <c r="E73" s="1">
        <f>IF(E$2&lt;&gt;"",VLOOKUP($C73,$A$2:E$46,E$1+4),"")</f>
        <v>0.90196078476660391</v>
      </c>
      <c r="F73" s="1">
        <f>IF(F$2&lt;&gt;"",VLOOKUP($C73,$A$2:F$46,F$1+4),"")</f>
        <v>1.3449754932128331</v>
      </c>
      <c r="G73" s="1" t="str">
        <f>IF(G$2&lt;&gt;"",VLOOKUP($C73,$A$2:G$46,G$1+4),"")</f>
        <v/>
      </c>
      <c r="H73" s="1">
        <f>IF(H$2&lt;&gt;"",VLOOKUP($C73,$A$2:H$46,H$1+4),"")</f>
        <v>1.0687500005624457</v>
      </c>
      <c r="I73" s="1">
        <f>IF(I$2&lt;&gt;"",VLOOKUP($C73,$A$2:I$46,I$1+4),"")</f>
        <v>0.98174019668470414</v>
      </c>
      <c r="J73" s="1">
        <f>IF(J$2&lt;&gt;"",VLOOKUP($C73,$A$2:J$46,J$1+4),"")</f>
        <v>0.9666666681713918</v>
      </c>
      <c r="K73" s="1" t="str">
        <f>IF(K$2&lt;&gt;"",VLOOKUP($C73,$A$2:K$46,K$1+4),"")</f>
        <v/>
      </c>
      <c r="L73" s="1">
        <f>IF(L$2&lt;&gt;"",VLOOKUP($C73,$A$2:L$46,L$1+4),"")</f>
        <v>1.0745098053630642</v>
      </c>
      <c r="M73" s="1">
        <f>IF(M$2&lt;&gt;"",VLOOKUP($C73,$A$2:M$46,M$1+4),"")</f>
        <v>0.94620098159328903</v>
      </c>
      <c r="N73" s="1">
        <f>IF(N$2&lt;&gt;"",VLOOKUP($C73,$A$2:N$46,N$1+4),"")</f>
        <v>1.2348039222844676</v>
      </c>
      <c r="O73" s="1" t="str">
        <f>IF(O$2&lt;&gt;"",VLOOKUP($C73,$A$2:O$46,O$1+4),"")</f>
        <v/>
      </c>
      <c r="P73" s="1">
        <f>IF(P$2&lt;&gt;"",VLOOKUP($C73,$A$2:P$46,P$1+4),"")</f>
        <v>0.90465686303727766</v>
      </c>
      <c r="Q73" s="1" t="str">
        <f>IF(Q$2&lt;&gt;"",VLOOKUP($C73,$A$2:Q$46,Q$1+4),"")</f>
        <v/>
      </c>
      <c r="R73" s="1">
        <f>IF(R$2&lt;&gt;"",VLOOKUP($C73,$A$2:R$46,R$1+4),"")</f>
        <v>1.0237745104759348</v>
      </c>
      <c r="S73" s="1">
        <f>IF(S$2&lt;&gt;"",VLOOKUP($C73,$A$2:S$46,S$1+4),"")</f>
        <v>1.0584558836453795</v>
      </c>
      <c r="T73" s="1">
        <f>IF(T$2&lt;&gt;"",VLOOKUP($C73,$A$2:T$46,T$1+4),"")</f>
        <v>0.94411764733639414</v>
      </c>
      <c r="U73" s="1">
        <f>IF(U$2&lt;&gt;"",VLOOKUP($C73,$A$2:U$46,U$1+4),"")</f>
        <v>0.95183823883679564</v>
      </c>
      <c r="V73" s="1">
        <f>IF(V$2&lt;&gt;"",VLOOKUP($C73,$A$2:V$46,V$1+4),"")</f>
        <v>0.94877451317996586</v>
      </c>
      <c r="W73" s="1">
        <f>IF(W$2&lt;&gt;"",VLOOKUP($C73,$A$2:W$46,W$1+4),"")</f>
        <v>1.1844362770444623</v>
      </c>
      <c r="X73" s="1">
        <f>IF(X$2&lt;&gt;"",VLOOKUP($C73,$A$2:X$46,X$1+4),"")</f>
        <v>1.083333336751835</v>
      </c>
      <c r="Y73" s="1">
        <f>IF(Y$2&lt;&gt;"",VLOOKUP($C73,$A$2:Y$46,Y$1+4),"")</f>
        <v>1.0823529446534081</v>
      </c>
      <c r="Z73" s="1">
        <f>IF(Z$2&lt;&gt;"",VLOOKUP($C73,$A$2:Z$46,Z$1+4),"")</f>
        <v>0.92708333462622816</v>
      </c>
      <c r="AA73" s="1">
        <f>IF(AA$2&lt;&gt;"",VLOOKUP($C73,$A$2:AA$46,AA$1+4),"")</f>
        <v>0.93431372773997923</v>
      </c>
      <c r="AB73" s="1">
        <f>IF(AB$2&lt;&gt;"",VLOOKUP($C73,$A$2:AB$46,AB$1+4),"")</f>
        <v>1.1546568633294574</v>
      </c>
      <c r="AC73" s="1">
        <f>IF(AC$2&lt;&gt;"",VLOOKUP($C73,$A$2:AC$46,AC$1+4),"")</f>
        <v>1.1834558849460355</v>
      </c>
      <c r="AD73" s="1">
        <f>IF(AD$2&lt;&gt;"",VLOOKUP($C73,$A$2:AD$46,AD$1+4),"")</f>
        <v>1.2631127478518323</v>
      </c>
      <c r="AE73" s="1">
        <f>IF(AE$2&lt;&gt;"",VLOOKUP($C73,$A$2:AE$46,AE$1+4),"")</f>
        <v>1.0155637266516102</v>
      </c>
      <c r="AF73" s="1">
        <f>IF(AF$2&lt;&gt;"",VLOOKUP($C73,$A$2:AF$46,AF$1+4),"")</f>
        <v>0.98112745162318737</v>
      </c>
      <c r="AG73" s="1">
        <f>IF(AG$2&lt;&gt;"",VLOOKUP($C73,$A$2:AG$46,AG$1+4),"")</f>
        <v>1.0324754913972107</v>
      </c>
      <c r="AH73" s="1">
        <f>IF(AH$2&lt;&gt;"",VLOOKUP($C73,$A$2:AH$46,AH$1+4),"")</f>
        <v>1.0039215716369012</v>
      </c>
      <c r="AI73" s="1">
        <f>IF(AI$2&lt;&gt;"",VLOOKUP($C73,$A$2:AI$46,AI$1+4),"")</f>
        <v>0.92022059132509371</v>
      </c>
      <c r="AJ73" s="1">
        <f t="shared" si="13"/>
        <v>1.0413807206936219</v>
      </c>
      <c r="AK73" s="5">
        <f t="shared" si="14"/>
        <v>0.1185628821734826</v>
      </c>
    </row>
    <row r="74" spans="2:37">
      <c r="B74" s="12"/>
      <c r="C74" s="4">
        <f t="shared" si="20"/>
        <v>22</v>
      </c>
      <c r="D74" s="1" t="str">
        <f>IF(D$2&lt;&gt;"",VLOOKUP($C74,$A$2:D$46,D$1+4),"")</f>
        <v/>
      </c>
      <c r="E74" s="1">
        <f>IF(E$2&lt;&gt;"",VLOOKUP($C74,$A$2:E$46,E$1+4),"")</f>
        <v>0.91825980712824007</v>
      </c>
      <c r="F74" s="1">
        <f>IF(F$2&lt;&gt;"",VLOOKUP($C74,$A$2:F$46,F$1+4),"")</f>
        <v>1.3713235308580538</v>
      </c>
      <c r="G74" s="1" t="str">
        <f>IF(G$2&lt;&gt;"",VLOOKUP($C74,$A$2:G$46,G$1+4),"")</f>
        <v/>
      </c>
      <c r="H74" s="1">
        <f>IF(H$2&lt;&gt;"",VLOOKUP($C74,$A$2:H$46,H$1+4),"")</f>
        <v>1.0887254932931825</v>
      </c>
      <c r="I74" s="1">
        <f>IF(I$2&lt;&gt;"",VLOOKUP($C74,$A$2:I$46,I$1+4),"")</f>
        <v>1.0015931404031375</v>
      </c>
      <c r="J74" s="1">
        <f>IF(J$2&lt;&gt;"",VLOOKUP($C74,$A$2:J$46,J$1+4),"")</f>
        <v>0.98823529445319713</v>
      </c>
      <c r="K74" s="1" t="str">
        <f>IF(K$2&lt;&gt;"",VLOOKUP($C74,$A$2:K$46,K$1+4),"")</f>
        <v/>
      </c>
      <c r="L74" s="1">
        <f>IF(L$2&lt;&gt;"",VLOOKUP($C74,$A$2:L$46,L$1+4),"")</f>
        <v>1.1041666688434049</v>
      </c>
      <c r="M74" s="1">
        <f>IF(M$2&lt;&gt;"",VLOOKUP($C74,$A$2:M$46,M$1+4),"")</f>
        <v>0.96507353216555769</v>
      </c>
      <c r="N74" s="1">
        <f>IF(N$2&lt;&gt;"",VLOOKUP($C74,$A$2:N$46,N$1+4),"")</f>
        <v>1.2535539248921708</v>
      </c>
      <c r="O74" s="1" t="str">
        <f>IF(O$2&lt;&gt;"",VLOOKUP($C74,$A$2:O$46,O$1+4),"")</f>
        <v/>
      </c>
      <c r="P74" s="1">
        <f>IF(P$2&lt;&gt;"",VLOOKUP($C74,$A$2:P$46,P$1+4),"")</f>
        <v>0.92095588539891382</v>
      </c>
      <c r="Q74" s="1" t="str">
        <f>IF(Q$2&lt;&gt;"",VLOOKUP($C74,$A$2:Q$46,Q$1+4),"")</f>
        <v/>
      </c>
      <c r="R74" s="1">
        <f>IF(R$2&lt;&gt;"",VLOOKUP($C74,$A$2:R$46,R$1+4),"")</f>
        <v>1.0430147091328514</v>
      </c>
      <c r="S74" s="1">
        <f>IF(S$2&lt;&gt;"",VLOOKUP($C74,$A$2:S$46,S$1+4),"")</f>
        <v>1.0743872551283999</v>
      </c>
      <c r="T74" s="1">
        <f>IF(T$2&lt;&gt;"",VLOOKUP($C74,$A$2:T$46,T$1+4),"")</f>
        <v>0.9601715716734236</v>
      </c>
      <c r="U74" s="1">
        <f>IF(U$2&lt;&gt;"",VLOOKUP($C74,$A$2:U$46,U$1+4),"")</f>
        <v>0.96715686537471468</v>
      </c>
      <c r="V74" s="1">
        <f>IF(V$2&lt;&gt;"",VLOOKUP($C74,$A$2:V$46,V$1+4),"")</f>
        <v>0.96335784599331076</v>
      </c>
      <c r="W74" s="1">
        <f>IF(W$2&lt;&gt;"",VLOOKUP($C74,$A$2:W$46,W$1+4),"")</f>
        <v>1.2161764712310306</v>
      </c>
      <c r="X74" s="1">
        <f>IF(X$2&lt;&gt;"",VLOOKUP($C74,$A$2:X$46,X$1+4),"")</f>
        <v>1.1118872566185161</v>
      </c>
      <c r="Y74" s="1">
        <f>IF(Y$2&lt;&gt;"",VLOOKUP($C74,$A$2:Y$46,Y$1+4),"")</f>
        <v>1.1057598060033484</v>
      </c>
      <c r="Z74" s="1">
        <f>IF(Z$2&lt;&gt;"",VLOOKUP($C74,$A$2:Z$46,Z$1+4),"")</f>
        <v>0.94767157125432844</v>
      </c>
      <c r="AA74" s="1">
        <f>IF(AA$2&lt;&gt;"",VLOOKUP($C74,$A$2:AA$46,AA$1+4),"")</f>
        <v>0.95294117761008879</v>
      </c>
      <c r="AB74" s="1">
        <f>IF(AB$2&lt;&gt;"",VLOOKUP($C74,$A$2:AB$46,AB$1+4),"")</f>
        <v>1.1770833363062612</v>
      </c>
      <c r="AC74" s="1">
        <f>IF(AC$2&lt;&gt;"",VLOOKUP($C74,$A$2:AC$46,AC$1+4),"")</f>
        <v>1.2087009814805261</v>
      </c>
      <c r="AD74" s="1">
        <f>IF(AD$2&lt;&gt;"",VLOOKUP($C74,$A$2:AD$46,AD$1+4),"")</f>
        <v>1.2887254914232329</v>
      </c>
      <c r="AE74" s="1">
        <f>IF(AE$2&lt;&gt;"",VLOOKUP($C74,$A$2:AE$46,AE$1+4),"")</f>
        <v>1.0333333352982415</v>
      </c>
      <c r="AF74" s="1">
        <f>IF(AF$2&lt;&gt;"",VLOOKUP($C74,$A$2:AF$46,AF$1+4),"")</f>
        <v>0.99987745423089058</v>
      </c>
      <c r="AG74" s="1">
        <f>IF(AG$2&lt;&gt;"",VLOOKUP($C74,$A$2:AG$46,AG$1+4),"")</f>
        <v>1.0528186301171196</v>
      </c>
      <c r="AH74" s="1">
        <f>IF(AH$2&lt;&gt;"",VLOOKUP($C74,$A$2:AH$46,AH$1+4),"")</f>
        <v>1.0212009823716739</v>
      </c>
      <c r="AI74" s="1">
        <f>IF(AI$2&lt;&gt;"",VLOOKUP($C74,$A$2:AI$46,AI$1+4),"")</f>
        <v>0.94105392341666361</v>
      </c>
      <c r="AJ74" s="1">
        <f t="shared" si="13"/>
        <v>1.0621187385963142</v>
      </c>
      <c r="AK74" s="5">
        <f t="shared" si="14"/>
        <v>0.12150979171914911</v>
      </c>
    </row>
    <row r="75" spans="2:37">
      <c r="B75" s="12"/>
      <c r="C75" s="4">
        <f t="shared" si="20"/>
        <v>31</v>
      </c>
      <c r="D75" s="1" t="str">
        <f>IF(D$2&lt;&gt;"",VLOOKUP($C75,$A$2:D$46,D$1+4),"")</f>
        <v/>
      </c>
      <c r="E75" s="1">
        <f>IF(E$2&lt;&gt;"",VLOOKUP($C75,$A$2:E$46,E$1+4),"")</f>
        <v>0.93419117872767587</v>
      </c>
      <c r="F75" s="1">
        <f>IF(F$2&lt;&gt;"",VLOOKUP($C75,$A$2:F$46,F$1+4),"")</f>
        <v>1.400735301261439</v>
      </c>
      <c r="G75" s="1" t="str">
        <f>IF(G$2&lt;&gt;"",VLOOKUP($C75,$A$2:G$46,G$1+4),"")</f>
        <v/>
      </c>
      <c r="H75" s="1">
        <f>IF(H$2&lt;&gt;"",VLOOKUP($C75,$A$2:H$46,H$1+4),"")</f>
        <v>1.1057598060033484</v>
      </c>
      <c r="I75" s="1">
        <f>IF(I$2&lt;&gt;"",VLOOKUP($C75,$A$2:I$46,I$1+4),"")</f>
        <v>1.01740196299027</v>
      </c>
      <c r="J75" s="1">
        <f>IF(J$2&lt;&gt;"",VLOOKUP($C75,$A$2:J$46,J$1+4),"")</f>
        <v>1.0041666696615079</v>
      </c>
      <c r="K75" s="1" t="str">
        <f>IF(K$2&lt;&gt;"",VLOOKUP($C75,$A$2:K$46,K$1+4),"")</f>
        <v/>
      </c>
      <c r="L75" s="1">
        <f>IF(L$2&lt;&gt;"",VLOOKUP($C75,$A$2:L$46,L$1+4),"")</f>
        <v>1.1416666738259806</v>
      </c>
      <c r="M75" s="1">
        <f>IF(M$2&lt;&gt;"",VLOOKUP($C75,$A$2:M$46,M$1+4),"")</f>
        <v>0.98137255080190355</v>
      </c>
      <c r="N75" s="1">
        <f>IF(N$2&lt;&gt;"",VLOOKUP($C75,$A$2:N$46,N$1+4),"")</f>
        <v>1.2823529427834586</v>
      </c>
      <c r="O75" s="1" t="str">
        <f>IF(O$2&lt;&gt;"",VLOOKUP($C75,$A$2:O$46,O$1+4),"")</f>
        <v/>
      </c>
      <c r="P75" s="1">
        <f>IF(P$2&lt;&gt;"",VLOOKUP($C75,$A$2:P$46,P$1+4),"")</f>
        <v>0.93161764946930548</v>
      </c>
      <c r="Q75" s="1" t="str">
        <f>IF(Q$2&lt;&gt;"",VLOOKUP($C75,$A$2:Q$46,Q$1+4),"")</f>
        <v/>
      </c>
      <c r="R75" s="1">
        <f>IF(R$2&lt;&gt;"",VLOOKUP($C75,$A$2:R$46,R$1+4),"")</f>
        <v>1.0594362767815007</v>
      </c>
      <c r="S75" s="1">
        <f>IF(S$2&lt;&gt;"",VLOOKUP($C75,$A$2:S$46,S$1+4),"")</f>
        <v>1.0930147087237998</v>
      </c>
      <c r="T75" s="1">
        <f>IF(T$2&lt;&gt;"",VLOOKUP($C75,$A$2:T$46,T$1+4),"")</f>
        <v>0.97622549228516275</v>
      </c>
      <c r="U75" s="1">
        <f>IF(U$2&lt;&gt;"",VLOOKUP($C75,$A$2:U$46,U$1+4),"")</f>
        <v>0.98149509981420691</v>
      </c>
      <c r="V75" s="1">
        <f>IF(V$2&lt;&gt;"",VLOOKUP($C75,$A$2:V$46,V$1+4),"")</f>
        <v>0.98075980574038679</v>
      </c>
      <c r="W75" s="1">
        <f>IF(W$2&lt;&gt;"",VLOOKUP($C75,$A$2:W$46,W$1+4),"")</f>
        <v>1.247058829782056</v>
      </c>
      <c r="X75" s="1">
        <f>IF(X$2&lt;&gt;"",VLOOKUP($C75,$A$2:X$46,X$1+4),"")</f>
        <v>1.1427696140053882</v>
      </c>
      <c r="Y75" s="1">
        <f>IF(Y$2&lt;&gt;"",VLOOKUP($C75,$A$2:Y$46,Y$1+4),"")</f>
        <v>1.1212009815535708</v>
      </c>
      <c r="Z75" s="1">
        <f>IF(Z$2&lt;&gt;"",VLOOKUP($C75,$A$2:Z$46,Z$1+4),"")</f>
        <v>0.96213235587027723</v>
      </c>
      <c r="AA75" s="1">
        <f>IF(AA$2&lt;&gt;"",VLOOKUP($C75,$A$2:AA$46,AA$1+4),"")</f>
        <v>0.96887254967518588</v>
      </c>
      <c r="AB75" s="1">
        <f>IF(AB$2&lt;&gt;"",VLOOKUP($C75,$A$2:AB$46,AB$1+4),"")</f>
        <v>1.1971813743240109</v>
      </c>
      <c r="AC75" s="1">
        <f>IF(AC$2&lt;&gt;"",VLOOKUP($C75,$A$2:AC$46,AC$1+4),"")</f>
        <v>1.2278186341519377</v>
      </c>
      <c r="AD75" s="1">
        <f>IF(AD$2&lt;&gt;"",VLOOKUP($C75,$A$2:AD$46,AD$1+4),"")</f>
        <v>1.3057598043662295</v>
      </c>
      <c r="AE75" s="1">
        <f>IF(AE$2&lt;&gt;"",VLOOKUP($C75,$A$2:AE$46,AE$1+4),"")</f>
        <v>1.0537990222155464</v>
      </c>
      <c r="AF75" s="1">
        <f>IF(AF$2&lt;&gt;"",VLOOKUP($C75,$A$2:AF$46,AF$1+4),"")</f>
        <v>1.0120098064489225</v>
      </c>
      <c r="AG75" s="1">
        <f>IF(AG$2&lt;&gt;"",VLOOKUP($C75,$A$2:AG$46,AG$1+4),"")</f>
        <v>1.0707107859134091</v>
      </c>
      <c r="AH75" s="1">
        <f>IF(AH$2&lt;&gt;"",VLOOKUP($C75,$A$2:AH$46,AH$1+4),"")</f>
        <v>1.0337009816266158</v>
      </c>
      <c r="AI75" s="1">
        <f>IF(AI$2&lt;&gt;"",VLOOKUP($C75,$A$2:AI$46,AI$1+4),"")</f>
        <v>0.95330882464699884</v>
      </c>
      <c r="AJ75" s="1">
        <f t="shared" si="13"/>
        <v>1.0809822104981517</v>
      </c>
      <c r="AK75" s="5">
        <f t="shared" si="14"/>
        <v>0.12584679224660217</v>
      </c>
    </row>
    <row r="76" spans="2:37">
      <c r="B76" s="12"/>
      <c r="C76" s="4">
        <f t="shared" si="20"/>
        <v>40</v>
      </c>
      <c r="D76" s="1" t="str">
        <f>IF(D$2&lt;&gt;"",VLOOKUP($C76,$A$2:D$46,D$1+4),"")</f>
        <v/>
      </c>
      <c r="E76" s="1">
        <f>IF(E$2&lt;&gt;"",VLOOKUP($C76,$A$2:E$46,E$1+4),"")</f>
        <v>0.96274509859435697</v>
      </c>
      <c r="F76" s="1">
        <f>IF(F$2&lt;&gt;"",VLOOKUP($C76,$A$2:F$46,F$1+4),"")</f>
        <v>1.4734068655573269</v>
      </c>
      <c r="G76" s="1" t="str">
        <f>IF(G$2&lt;&gt;"",VLOOKUP($C76,$A$2:G$46,G$1+4),"")</f>
        <v/>
      </c>
      <c r="H76" s="1">
        <f>IF(H$2&lt;&gt;"",VLOOKUP($C76,$A$2:H$46,H$1+4),"")</f>
        <v>1.206617650579588</v>
      </c>
      <c r="I76" s="1">
        <f>IF(I$2&lt;&gt;"",VLOOKUP($C76,$A$2:I$46,I$1+4),"")</f>
        <v>1.0487745103727588</v>
      </c>
      <c r="J76" s="1">
        <f>IF(J$2&lt;&gt;"",VLOOKUP($C76,$A$2:J$46,J$1+4),"")</f>
        <v>1.0454656868077377</v>
      </c>
      <c r="K76" s="1" t="str">
        <f>IF(K$2&lt;&gt;"",VLOOKUP($C76,$A$2:K$46,K$1+4),"")</f>
        <v/>
      </c>
      <c r="L76" s="1">
        <f>IF(L$2&lt;&gt;"",VLOOKUP($C76,$A$2:L$46,L$1+4),"")</f>
        <v>1.2870098175517484</v>
      </c>
      <c r="M76" s="1">
        <f>IF(M$2&lt;&gt;"",VLOOKUP($C76,$A$2:M$46,M$1+4),"")</f>
        <v>1.010784318411321</v>
      </c>
      <c r="N76" s="1">
        <f>IF(N$2&lt;&gt;"",VLOOKUP($C76,$A$2:N$46,N$1+4),"")</f>
        <v>1.3721813762523964</v>
      </c>
      <c r="O76" s="1" t="str">
        <f>IF(O$2&lt;&gt;"",VLOOKUP($C76,$A$2:O$46,O$1+4),"")</f>
        <v/>
      </c>
      <c r="P76" s="1">
        <f>IF(P$2&lt;&gt;"",VLOOKUP($C76,$A$2:P$46,P$1+4),"")</f>
        <v>0.96299019661896368</v>
      </c>
      <c r="Q76" s="1" t="str">
        <f>IF(Q$2&lt;&gt;"",VLOOKUP($C76,$A$2:Q$46,Q$1+4),"")</f>
        <v/>
      </c>
      <c r="R76" s="1">
        <f>IF(R$2&lt;&gt;"",VLOOKUP($C76,$A$2:R$46,R$1+4),"")</f>
        <v>1.0946078454080386</v>
      </c>
      <c r="S76" s="1">
        <f>IF(S$2&lt;&gt;"",VLOOKUP($C76,$A$2:S$46,S$1+4),"")</f>
        <v>1.1225490206889077</v>
      </c>
      <c r="T76" s="1">
        <f>IF(T$2&lt;&gt;"",VLOOKUP($C76,$A$2:T$46,T$1+4),"")</f>
        <v>1.0087009833395189</v>
      </c>
      <c r="U76" s="1">
        <f>IF(U$2&lt;&gt;"",VLOOKUP($C76,$A$2:U$46,U$1+4),"")</f>
        <v>1.0128676539487844</v>
      </c>
      <c r="V76" s="1">
        <f>IF(V$2&lt;&gt;"",VLOOKUP($C76,$A$2:V$46,V$1+4),"")</f>
        <v>1.012254908654437</v>
      </c>
      <c r="W76" s="1">
        <f>IF(W$2&lt;&gt;"",VLOOKUP($C76,$A$2:W$46,W$1+4),"")</f>
        <v>1.3286764719760886</v>
      </c>
      <c r="X76" s="1">
        <f>IF(X$2&lt;&gt;"",VLOOKUP($C76,$A$2:X$46,X$1+4),"")</f>
        <v>1.2795343278012439</v>
      </c>
      <c r="Y76" s="1">
        <f>IF(Y$2&lt;&gt;"",VLOOKUP($C76,$A$2:Y$46,Y$1+4),"")</f>
        <v>1.158946084793584</v>
      </c>
      <c r="Z76" s="1">
        <f>IF(Z$2&lt;&gt;"",VLOOKUP($C76,$A$2:Z$46,Z$1+4),"")</f>
        <v>0.99301470697072203</v>
      </c>
      <c r="AA76" s="1">
        <f>IF(AA$2&lt;&gt;"",VLOOKUP($C76,$A$2:AA$46,AA$1+4),"")</f>
        <v>1.0183823576306597</v>
      </c>
      <c r="AB76" s="1">
        <f>IF(AB$2&lt;&gt;"",VLOOKUP($C76,$A$2:AB$46,AB$1+4),"")</f>
        <v>1.2311274581826201</v>
      </c>
      <c r="AC76" s="1">
        <f>IF(AC$2&lt;&gt;"",VLOOKUP($C76,$A$2:AC$46,AC$1+4),"")</f>
        <v>1.2886029449528924</v>
      </c>
      <c r="AD76" s="1">
        <f>IF(AD$2&lt;&gt;"",VLOOKUP($C76,$A$2:AD$46,AD$1+4),"")</f>
        <v>1.3441176524349288</v>
      </c>
      <c r="AE76" s="1">
        <f>IF(AE$2&lt;&gt;"",VLOOKUP($C76,$A$2:AE$46,AE$1+4),"")</f>
        <v>1.0862745104759348</v>
      </c>
      <c r="AF76" s="1">
        <f>IF(AF$2&lt;&gt;"",VLOOKUP($C76,$A$2:AF$46,AF$1+4),"")</f>
        <v>1.045220588783131</v>
      </c>
      <c r="AG76" s="1">
        <f>IF(AG$2&lt;&gt;"",VLOOKUP($C76,$A$2:AG$46,AG$1+4),"")</f>
        <v>1.107352948042692</v>
      </c>
      <c r="AH76" s="1">
        <f>IF(AH$2&lt;&gt;"",VLOOKUP($C76,$A$2:AH$46,AH$1+4),"")</f>
        <v>1.0670343204237083</v>
      </c>
      <c r="AI76" s="1">
        <f>IF(AI$2&lt;&gt;"",VLOOKUP($C76,$A$2:AI$46,AI$1+4),"")</f>
        <v>0.98750000653021475</v>
      </c>
      <c r="AJ76" s="1">
        <f t="shared" si="13"/>
        <v>1.1317311226586779</v>
      </c>
      <c r="AK76" s="5">
        <f t="shared" si="14"/>
        <v>0.14457563724466257</v>
      </c>
    </row>
    <row r="77" spans="2:37">
      <c r="B77" s="5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  <c r="AB77" s="1"/>
      <c r="AC77" s="1"/>
      <c r="AD77" s="1"/>
      <c r="AE77" s="1"/>
      <c r="AF77" s="1"/>
      <c r="AG77" s="1"/>
      <c r="AH77" s="1"/>
      <c r="AI77" s="1"/>
      <c r="AJ77" s="1"/>
    </row>
    <row r="78" spans="2:37">
      <c r="B78" s="12">
        <f>B72+1</f>
        <v>4</v>
      </c>
      <c r="C78" s="4">
        <f>C72+1</f>
        <v>5</v>
      </c>
      <c r="D78" s="1" t="str">
        <f>IF(D$2&lt;&gt;"",VLOOKUP($C78,$A$2:D$46,D$1+4),"")</f>
        <v/>
      </c>
      <c r="E78" s="1">
        <f>IF(E$2&lt;&gt;"",VLOOKUP($C78,$A$2:E$46,E$1+4),"")</f>
        <v>0.98946078562396855</v>
      </c>
      <c r="F78" s="1">
        <f>IF(F$2&lt;&gt;"",VLOOKUP($C78,$A$2:F$46,F$1+4),"")</f>
        <v>1.5606617658672963</v>
      </c>
      <c r="G78" s="1" t="str">
        <f>IF(G$2&lt;&gt;"",VLOOKUP($C78,$A$2:G$46,G$1+4),"")</f>
        <v/>
      </c>
      <c r="H78" s="1">
        <f>IF(H$2&lt;&gt;"",VLOOKUP($C78,$A$2:H$46,H$1+4),"")</f>
        <v>1.1686274512068313</v>
      </c>
      <c r="I78" s="1">
        <f>IF(I$2&lt;&gt;"",VLOOKUP($C78,$A$2:I$46,I$1+4),"")</f>
        <v>1.0588235305658742</v>
      </c>
      <c r="J78" s="1">
        <f>IF(J$2&lt;&gt;"",VLOOKUP($C78,$A$2:J$46,J$1+4),"")</f>
        <v>1.0828431407026216</v>
      </c>
      <c r="K78" s="1" t="str">
        <f>IF(K$2&lt;&gt;"",VLOOKUP($C78,$A$2:K$46,K$1+4),"")</f>
        <v/>
      </c>
      <c r="L78" s="1">
        <f>IF(L$2&lt;&gt;"",VLOOKUP($C78,$A$2:L$46,L$1+4),"")</f>
        <v>1.1844362756566089</v>
      </c>
      <c r="M78" s="1">
        <f>IF(M$2&lt;&gt;"",VLOOKUP($C78,$A$2:M$46,M$1+4),"")</f>
        <v>1.0482843155659936</v>
      </c>
      <c r="N78" s="1">
        <f>IF(N$2&lt;&gt;"",VLOOKUP($C78,$A$2:N$46,N$1+4),"")</f>
        <v>1.3376225524746319</v>
      </c>
      <c r="O78" s="1" t="str">
        <f>IF(O$2&lt;&gt;"",VLOOKUP($C78,$A$2:O$46,O$1+4),"")</f>
        <v/>
      </c>
      <c r="P78" s="1">
        <f>IF(P$2&lt;&gt;"",VLOOKUP($C78,$A$2:P$46,P$1+4),"")</f>
        <v>0.99031862940858395</v>
      </c>
      <c r="Q78" s="1" t="str">
        <f>IF(Q$2&lt;&gt;"",VLOOKUP($C78,$A$2:Q$46,Q$1+4),"")</f>
        <v/>
      </c>
      <c r="R78" s="1">
        <f>IF(R$2&lt;&gt;"",VLOOKUP($C78,$A$2:R$46,R$1+4),"")</f>
        <v>1.127083333698558</v>
      </c>
      <c r="S78" s="1">
        <f>IF(S$2&lt;&gt;"",VLOOKUP($C78,$A$2:S$46,S$1+4),"")</f>
        <v>1.160784313944625</v>
      </c>
      <c r="T78" s="1">
        <f>IF(T$2&lt;&gt;"",VLOOKUP($C78,$A$2:T$46,T$1+4),"")</f>
        <v>1.0545343151352569</v>
      </c>
      <c r="U78" s="1">
        <f>IF(U$2&lt;&gt;"",VLOOKUP($C78,$A$2:U$46,U$1+4),"")</f>
        <v>1.0409313730233549</v>
      </c>
      <c r="V78" s="1">
        <f>IF(V$2&lt;&gt;"",VLOOKUP($C78,$A$2:V$46,V$1+4),"")</f>
        <v>1.0544117661229535</v>
      </c>
      <c r="W78" s="1">
        <f>IF(W$2&lt;&gt;"",VLOOKUP($C78,$A$2:W$46,W$1+4),"")</f>
        <v>1.2997549026670372</v>
      </c>
      <c r="X78" s="1">
        <f>IF(X$2&lt;&gt;"",VLOOKUP($C78,$A$2:X$46,X$1+4),"")</f>
        <v>1.2117647061087922</v>
      </c>
      <c r="Y78" s="1">
        <f>IF(Y$2&lt;&gt;"",VLOOKUP($C78,$A$2:Y$46,Y$1+4),"")</f>
        <v>1.1921568634317201</v>
      </c>
      <c r="Z78" s="1">
        <f>IF(Z$2&lt;&gt;"",VLOOKUP($C78,$A$2:Z$46,Z$1+4),"")</f>
        <v>1.036887255500929</v>
      </c>
      <c r="AA78" s="1">
        <f>IF(AA$2&lt;&gt;"",VLOOKUP($C78,$A$2:AA$46,AA$1+4),"")</f>
        <v>1.0235294124513281</v>
      </c>
      <c r="AB78" s="1">
        <f>IF(AB$2&lt;&gt;"",VLOOKUP($C78,$A$2:AB$46,AB$1+4),"")</f>
        <v>1.2587009834089116</v>
      </c>
      <c r="AC78" s="1">
        <f>IF(AC$2&lt;&gt;"",VLOOKUP($C78,$A$2:AC$46,AC$1+4),"")</f>
        <v>1.325245098506703</v>
      </c>
      <c r="AD78" s="1">
        <f>IF(AD$2&lt;&gt;"",VLOOKUP($C78,$A$2:AD$46,AD$1+4),"")</f>
        <v>1.4859068632043679</v>
      </c>
      <c r="AE78" s="1">
        <f>IF(AE$2&lt;&gt;"",VLOOKUP($C78,$A$2:AE$46,AE$1+4),"")</f>
        <v>1.1333333350722588</v>
      </c>
      <c r="AF78" s="1">
        <f>IF(AF$2&lt;&gt;"",VLOOKUP($C78,$A$2:AF$46,AF$1+4),"")</f>
        <v>1.0693627456239625</v>
      </c>
      <c r="AG78" s="1">
        <f>IF(AG$2&lt;&gt;"",VLOOKUP($C78,$A$2:AG$46,AG$1+4),"")</f>
        <v>1.1609068630733437</v>
      </c>
      <c r="AH78" s="1">
        <f>IF(AH$2&lt;&gt;"",VLOOKUP($C78,$A$2:AH$46,AH$1+4),"")</f>
        <v>1.1512254909849635</v>
      </c>
      <c r="AI78" s="1">
        <f>IF(AI$2&lt;&gt;"",VLOOKUP($C78,$A$2:AI$46,AI$1+4),"")</f>
        <v>1.0023284323333179</v>
      </c>
      <c r="AJ78" s="1">
        <f t="shared" si="13"/>
        <v>1.1559232037542513</v>
      </c>
      <c r="AK78" s="5">
        <f t="shared" si="14"/>
        <v>0.14551433321189355</v>
      </c>
    </row>
    <row r="79" spans="2:37">
      <c r="B79" s="12"/>
      <c r="C79" s="4">
        <f t="shared" ref="C79:C82" si="21">C73+1</f>
        <v>14</v>
      </c>
      <c r="D79" s="1" t="str">
        <f>IF(D$2&lt;&gt;"",VLOOKUP($C79,$A$2:D$46,D$1+4),"")</f>
        <v/>
      </c>
      <c r="E79" s="1">
        <f>IF(E$2&lt;&gt;"",VLOOKUP($C79,$A$2:E$46,E$1+4),"")</f>
        <v>1.0035539245999912</v>
      </c>
      <c r="F79" s="1">
        <f>IF(F$2&lt;&gt;"",VLOOKUP($C79,$A$2:F$46,F$1+4),"")</f>
        <v>1.5843137289671336</v>
      </c>
      <c r="G79" s="1" t="str">
        <f>IF(G$2&lt;&gt;"",VLOOKUP($C79,$A$2:G$46,G$1+4),"")</f>
        <v/>
      </c>
      <c r="H79" s="1">
        <f>IF(H$2&lt;&gt;"",VLOOKUP($C79,$A$2:H$46,H$1+4),"")</f>
        <v>1.1875000009641927</v>
      </c>
      <c r="I79" s="1">
        <f>IF(I$2&lt;&gt;"",VLOOKUP($C79,$A$2:I$46,I$1+4),"")</f>
        <v>1.0762254919427647</v>
      </c>
      <c r="J79" s="1">
        <f>IF(J$2&lt;&gt;"",VLOOKUP($C79,$A$2:J$46,J$1+4),"")</f>
        <v>1.1012254925481244</v>
      </c>
      <c r="K79" s="1" t="str">
        <f>IF(K$2&lt;&gt;"",VLOOKUP($C79,$A$2:K$46,K$1+4),"")</f>
        <v/>
      </c>
      <c r="L79" s="1">
        <f>IF(L$2&lt;&gt;"",VLOOKUP($C79,$A$2:L$46,L$1+4),"")</f>
        <v>1.2140931403593105</v>
      </c>
      <c r="M79" s="1">
        <f>IF(M$2&lt;&gt;"",VLOOKUP($C79,$A$2:M$46,M$1+4),"")</f>
        <v>1.0621323542473107</v>
      </c>
      <c r="N79" s="1">
        <f>IF(N$2&lt;&gt;"",VLOOKUP($C79,$A$2:N$46,N$1+4),"")</f>
        <v>1.3609068648122689</v>
      </c>
      <c r="O79" s="1" t="str">
        <f>IF(O$2&lt;&gt;"",VLOOKUP($C79,$A$2:O$46,O$1+4),"")</f>
        <v/>
      </c>
      <c r="P79" s="1">
        <f>IF(P$2&lt;&gt;"",VLOOKUP($C79,$A$2:P$46,P$1+4),"")</f>
        <v>1.0068627479321817</v>
      </c>
      <c r="Q79" s="1" t="str">
        <f>IF(Q$2&lt;&gt;"",VLOOKUP($C79,$A$2:Q$46,Q$1+4),"")</f>
        <v/>
      </c>
      <c r="R79" s="1">
        <f>IF(R$2&lt;&gt;"",VLOOKUP($C79,$A$2:R$46,R$1+4),"")</f>
        <v>1.1449754913574925</v>
      </c>
      <c r="S79" s="1">
        <f>IF(S$2&lt;&gt;"",VLOOKUP($C79,$A$2:S$46,S$1+4),"")</f>
        <v>1.1778186303800813</v>
      </c>
      <c r="T79" s="1">
        <f>IF(T$2&lt;&gt;"",VLOOKUP($C79,$A$2:T$46,T$1+4),"")</f>
        <v>1.0738970595448478</v>
      </c>
      <c r="U79" s="1">
        <f>IF(U$2&lt;&gt;"",VLOOKUP($C79,$A$2:U$46,U$1+4),"")</f>
        <v>1.0604166677258178</v>
      </c>
      <c r="V79" s="1">
        <f>IF(V$2&lt;&gt;"",VLOOKUP($C79,$A$2:V$46,V$1+4),"")</f>
        <v>1.0734068630299731</v>
      </c>
      <c r="W79" s="1">
        <f>IF(W$2&lt;&gt;"",VLOOKUP($C79,$A$2:W$46,W$1+4),"")</f>
        <v>1.323161765297546</v>
      </c>
      <c r="X79" s="1">
        <f>IF(X$2&lt;&gt;"",VLOOKUP($C79,$A$2:X$46,X$1+4),"")</f>
        <v>1.2345588242598609</v>
      </c>
      <c r="Y79" s="1">
        <f>IF(Y$2&lt;&gt;"",VLOOKUP($C79,$A$2:Y$46,Y$1+4),"")</f>
        <v>1.215318630482344</v>
      </c>
      <c r="Z79" s="1">
        <f>IF(Z$2&lt;&gt;"",VLOOKUP($C79,$A$2:Z$46,Z$1+4),"")</f>
        <v>1.0550245111844703</v>
      </c>
      <c r="AA79" s="1">
        <f>IF(AA$2&lt;&gt;"",VLOOKUP($C79,$A$2:AA$46,AA$1+4),"")</f>
        <v>1.0437500032066716</v>
      </c>
      <c r="AB79" s="1">
        <f>IF(AB$2&lt;&gt;"",VLOOKUP($C79,$A$2:AB$46,AB$1+4),"")</f>
        <v>1.276593139205201</v>
      </c>
      <c r="AC79" s="1">
        <f>IF(AC$2&lt;&gt;"",VLOOKUP($C79,$A$2:AC$46,AC$1+4),"")</f>
        <v>1.3450980422251364</v>
      </c>
      <c r="AD79" s="1">
        <f>IF(AD$2&lt;&gt;"",VLOOKUP($C79,$A$2:AD$46,AD$1+4),"")</f>
        <v>1.5083333396736314</v>
      </c>
      <c r="AE79" s="1">
        <f>IF(AE$2&lt;&gt;"",VLOOKUP($C79,$A$2:AE$46,AE$1+4),"")</f>
        <v>1.1488970597511998</v>
      </c>
      <c r="AF79" s="1">
        <f>IF(AF$2&lt;&gt;"",VLOOKUP($C79,$A$2:AF$46,AF$1+4),"")</f>
        <v>1.0859068660102054</v>
      </c>
      <c r="AG79" s="1">
        <f>IF(AG$2&lt;&gt;"",VLOOKUP($C79,$A$2:AG$46,AG$1+4),"")</f>
        <v>1.184313728032159</v>
      </c>
      <c r="AH79" s="1">
        <f>IF(AH$2&lt;&gt;"",VLOOKUP($C79,$A$2:AH$46,AH$1+4),"")</f>
        <v>1.1694852975434533</v>
      </c>
      <c r="AI79" s="1">
        <f>IF(AI$2&lt;&gt;"",VLOOKUP($C79,$A$2:AI$46,AI$1+4),"")</f>
        <v>1.0208333341806544</v>
      </c>
      <c r="AJ79" s="1">
        <f t="shared" si="13"/>
        <v>1.1755038147949637</v>
      </c>
      <c r="AK79" s="5">
        <f t="shared" si="14"/>
        <v>0.14748860369941835</v>
      </c>
    </row>
    <row r="80" spans="2:37">
      <c r="B80" s="12"/>
      <c r="C80" s="4">
        <f t="shared" si="21"/>
        <v>23</v>
      </c>
      <c r="D80" s="1" t="str">
        <f>IF(D$2&lt;&gt;"",VLOOKUP($C80,$A$2:D$46,D$1+4),"")</f>
        <v/>
      </c>
      <c r="E80" s="1">
        <f>IF(E$2&lt;&gt;"",VLOOKUP($C80,$A$2:E$46,E$1+4),"")</f>
        <v>1.019852943236337</v>
      </c>
      <c r="F80" s="1">
        <f>IF(F$2&lt;&gt;"",VLOOKUP($C80,$A$2:F$46,F$1+4),"")</f>
        <v>1.6169117662398254</v>
      </c>
      <c r="G80" s="1" t="str">
        <f>IF(G$2&lt;&gt;"",VLOOKUP($C80,$A$2:G$46,G$1+4),"")</f>
        <v/>
      </c>
      <c r="H80" s="1">
        <f>IF(H$2&lt;&gt;"",VLOOKUP($C80,$A$2:H$46,H$1+4),"")</f>
        <v>1.2102941209779066</v>
      </c>
      <c r="I80" s="1">
        <f>IF(I$2&lt;&gt;"",VLOOKUP($C80,$A$2:I$46,I$1+4),"")</f>
        <v>1.0954656889698668</v>
      </c>
      <c r="J80" s="1">
        <f>IF(J$2&lt;&gt;"",VLOOKUP($C80,$A$2:J$46,J$1+4),"")</f>
        <v>1.1253676479718848</v>
      </c>
      <c r="K80" s="1" t="str">
        <f>IF(K$2&lt;&gt;"",VLOOKUP($C80,$A$2:K$46,K$1+4),"")</f>
        <v/>
      </c>
      <c r="L80" s="1">
        <f>IF(L$2&lt;&gt;"",VLOOKUP($C80,$A$2:L$46,L$1+4),"")</f>
        <v>1.2471813736812156</v>
      </c>
      <c r="M80" s="1">
        <f>IF(M$2&lt;&gt;"",VLOOKUP($C80,$A$2:M$46,M$1+4),"")</f>
        <v>1.0792892193458243</v>
      </c>
      <c r="N80" s="1">
        <f>IF(N$2&lt;&gt;"",VLOOKUP($C80,$A$2:N$46,N$1+4),"")</f>
        <v>1.3857843143098494</v>
      </c>
      <c r="O80" s="1" t="str">
        <f>IF(O$2&lt;&gt;"",VLOOKUP($C80,$A$2:O$46,O$1+4),"")</f>
        <v/>
      </c>
      <c r="P80" s="1">
        <f>IF(P$2&lt;&gt;"",VLOOKUP($C80,$A$2:P$46,P$1+4),"")</f>
        <v>1.0254901978022912</v>
      </c>
      <c r="Q80" s="1" t="str">
        <f>IF(Q$2&lt;&gt;"",VLOOKUP($C80,$A$2:Q$46,Q$1+4),"")</f>
        <v/>
      </c>
      <c r="R80" s="1">
        <f>IF(R$2&lt;&gt;"",VLOOKUP($C80,$A$2:R$46,R$1+4),"")</f>
        <v>1.1642156895487479</v>
      </c>
      <c r="S80" s="1">
        <f>IF(S$2&lt;&gt;"",VLOOKUP($C80,$A$2:S$46,S$1+4),"")</f>
        <v>1.1998774525946847</v>
      </c>
      <c r="T80" s="1">
        <f>IF(T$2&lt;&gt;"",VLOOKUP($C80,$A$2:T$46,T$1+4),"")</f>
        <v>1.0912990225515529</v>
      </c>
      <c r="U80" s="1">
        <f>IF(U$2&lt;&gt;"",VLOOKUP($C80,$A$2:U$46,U$1+4),"")</f>
        <v>1.0774509828807055</v>
      </c>
      <c r="V80" s="1">
        <f>IF(V$2&lt;&gt;"",VLOOKUP($C80,$A$2:V$46,V$1+4),"")</f>
        <v>1.0914215715638562</v>
      </c>
      <c r="W80" s="1">
        <f>IF(W$2&lt;&gt;"",VLOOKUP($C80,$A$2:W$46,W$1+4),"")</f>
        <v>1.3583333355538985</v>
      </c>
      <c r="X80" s="1">
        <f>IF(X$2&lt;&gt;"",VLOOKUP($C80,$A$2:X$46,X$1+4),"")</f>
        <v>1.2656862771102027</v>
      </c>
      <c r="Y80" s="1">
        <f>IF(Y$2&lt;&gt;"",VLOOKUP($C80,$A$2:Y$46,Y$1+4),"")</f>
        <v>1.2390931388691944</v>
      </c>
      <c r="Z80" s="1">
        <f>IF(Z$2&lt;&gt;"",VLOOKUP($C80,$A$2:Z$46,Z$1+4),"")</f>
        <v>1.0775735323586701</v>
      </c>
      <c r="AA80" s="1">
        <f>IF(AA$2&lt;&gt;"",VLOOKUP($C80,$A$2:AA$46,AA$1+4),"")</f>
        <v>1.0674019625812186</v>
      </c>
      <c r="AB80" s="1">
        <f>IF(AB$2&lt;&gt;"",VLOOKUP($C80,$A$2:AB$46,AB$1+4),"")</f>
        <v>1.2984068633951977</v>
      </c>
      <c r="AC80" s="1">
        <f>IF(AC$2&lt;&gt;"",VLOOKUP($C80,$A$2:AC$46,AC$1+4),"")</f>
        <v>1.3803921577685019</v>
      </c>
      <c r="AD80" s="1">
        <f>IF(AD$2&lt;&gt;"",VLOOKUP($C80,$A$2:AD$46,AD$1+4),"")</f>
        <v>1.5370098085526158</v>
      </c>
      <c r="AE80" s="1">
        <f>IF(AE$2&lt;&gt;"",VLOOKUP($C80,$A$2:AE$46,AE$1+4),"")</f>
        <v>1.1700980426049701</v>
      </c>
      <c r="AF80" s="1">
        <f>IF(AF$2&lt;&gt;"",VLOOKUP($C80,$A$2:AF$46,AF$1+4),"")</f>
        <v>1.1057598060033484</v>
      </c>
      <c r="AG80" s="1">
        <f>IF(AG$2&lt;&gt;"",VLOOKUP($C80,$A$2:AG$46,AG$1+4),"")</f>
        <v>1.2084558834559194</v>
      </c>
      <c r="AH80" s="1">
        <f>IF(AH$2&lt;&gt;"",VLOOKUP($C80,$A$2:AH$46,AH$1+4),"")</f>
        <v>1.1939951000041238</v>
      </c>
      <c r="AI80" s="1">
        <f>IF(AI$2&lt;&gt;"",VLOOKUP($C80,$A$2:AI$46,AI$1+4),"")</f>
        <v>1.0459558854281319</v>
      </c>
      <c r="AJ80" s="1">
        <f t="shared" si="13"/>
        <v>1.1991875476059459</v>
      </c>
      <c r="AK80" s="5">
        <f t="shared" si="14"/>
        <v>0.15158404584916726</v>
      </c>
    </row>
    <row r="81" spans="2:37">
      <c r="B81" s="12"/>
      <c r="C81" s="4">
        <f t="shared" si="21"/>
        <v>32</v>
      </c>
      <c r="D81" s="1" t="str">
        <f>IF(D$2&lt;&gt;"",VLOOKUP($C81,$A$2:D$46,D$1+4),"")</f>
        <v/>
      </c>
      <c r="E81" s="1">
        <f>IF(E$2&lt;&gt;"",VLOOKUP($C81,$A$2:E$46,E$1+4),"")</f>
        <v>1.0420343144632438</v>
      </c>
      <c r="F81" s="1">
        <f>IF(F$2&lt;&gt;"",VLOOKUP($C81,$A$2:F$46,F$1+4),"")</f>
        <v>1.6552696145413552</v>
      </c>
      <c r="G81" s="1" t="str">
        <f>IF(G$2&lt;&gt;"",VLOOKUP($C81,$A$2:G$46,G$1+4),"")</f>
        <v/>
      </c>
      <c r="H81" s="1">
        <f>IF(H$2&lt;&gt;"",VLOOKUP($C81,$A$2:H$46,H$1+4),"")</f>
        <v>1.2376225507215541</v>
      </c>
      <c r="I81" s="1">
        <f>IF(I$2&lt;&gt;"",VLOOKUP($C81,$A$2:I$46,I$1+4),"")</f>
        <v>1.1137254918030663</v>
      </c>
      <c r="J81" s="1">
        <f>IF(J$2&lt;&gt;"",VLOOKUP($C81,$A$2:J$46,J$1+4),"")</f>
        <v>1.1487745167724057</v>
      </c>
      <c r="K81" s="1" t="str">
        <f>IF(K$2&lt;&gt;"",VLOOKUP($C81,$A$2:K$46,K$1+4),"")</f>
        <v/>
      </c>
      <c r="L81" s="1">
        <f>IF(L$2&lt;&gt;"",VLOOKUP($C81,$A$2:L$46,L$1+4),"")</f>
        <v>1.297181378151564</v>
      </c>
      <c r="M81" s="1">
        <f>IF(M$2&lt;&gt;"",VLOOKUP($C81,$A$2:M$46,M$1+4),"")</f>
        <v>1.0973039241544171</v>
      </c>
      <c r="N81" s="1">
        <f>IF(N$2&lt;&gt;"",VLOOKUP($C81,$A$2:N$46,N$1+4),"")</f>
        <v>1.4234068685375592</v>
      </c>
      <c r="O81" s="1" t="str">
        <f>IF(O$2&lt;&gt;"",VLOOKUP($C81,$A$2:O$46,O$1+4),"")</f>
        <v/>
      </c>
      <c r="P81" s="1">
        <f>IF(P$2&lt;&gt;"",VLOOKUP($C81,$A$2:P$46,P$1+4),"")</f>
        <v>1.0375000010080198</v>
      </c>
      <c r="Q81" s="1" t="str">
        <f>IF(Q$2&lt;&gt;"",VLOOKUP($C81,$A$2:Q$46,Q$1+4),"")</f>
        <v/>
      </c>
      <c r="R81" s="1">
        <f>IF(R$2&lt;&gt;"",VLOOKUP($C81,$A$2:R$46,R$1+4),"")</f>
        <v>1.182598041859912</v>
      </c>
      <c r="S81" s="1">
        <f>IF(S$2&lt;&gt;"",VLOOKUP($C81,$A$2:S$46,S$1+4),"")</f>
        <v>1.216666667280244</v>
      </c>
      <c r="T81" s="1">
        <f>IF(T$2&lt;&gt;"",VLOOKUP($C81,$A$2:T$46,T$1+4),"")</f>
        <v>1.109068629335539</v>
      </c>
      <c r="U81" s="1">
        <f>IF(U$2&lt;&gt;"",VLOOKUP($C81,$A$2:U$46,U$1+4),"")</f>
        <v>1.0942401988468333</v>
      </c>
      <c r="V81" s="1">
        <f>IF(V$2&lt;&gt;"",VLOOKUP($C81,$A$2:V$46,V$1+4),"")</f>
        <v>1.1068627471140786</v>
      </c>
      <c r="W81" s="1">
        <f>IF(W$2&lt;&gt;"",VLOOKUP($C81,$A$2:W$46,W$1+4),"")</f>
        <v>1.4078431439750334</v>
      </c>
      <c r="X81" s="1">
        <f>IF(X$2&lt;&gt;"",VLOOKUP($C81,$A$2:X$46,X$1+4),"")</f>
        <v>1.315686281580551</v>
      </c>
      <c r="Y81" s="1">
        <f>IF(Y$2&lt;&gt;"",VLOOKUP($C81,$A$2:Y$46,Y$1+4),"")</f>
        <v>1.262254902194528</v>
      </c>
      <c r="Z81" s="1">
        <f>IF(Z$2&lt;&gt;"",VLOOKUP($C81,$A$2:Z$46,Z$1+4),"")</f>
        <v>1.09448529687144</v>
      </c>
      <c r="AA81" s="1">
        <f>IF(AA$2&lt;&gt;"",VLOOKUP($C81,$A$2:AA$46,AA$1+4),"")</f>
        <v>1.0921568630664957</v>
      </c>
      <c r="AB81" s="1">
        <f>IF(AB$2&lt;&gt;"",VLOOKUP($C81,$A$2:AB$46,AB$1+4),"")</f>
        <v>1.3171568697281912</v>
      </c>
      <c r="AC81" s="1">
        <f>IF(AC$2&lt;&gt;"",VLOOKUP($C81,$A$2:AC$46,AC$1+4),"")</f>
        <v>1.4012254973106524</v>
      </c>
      <c r="AD81" s="1">
        <f>IF(AD$2&lt;&gt;"",VLOOKUP($C81,$A$2:AD$46,AD$1+4),"")</f>
        <v>1.5601715718779494</v>
      </c>
      <c r="AE81" s="1">
        <f>IF(AE$2&lt;&gt;"",VLOOKUP($C81,$A$2:AE$46,AE$1+4),"")</f>
        <v>1.1916666687703601</v>
      </c>
      <c r="AF81" s="1">
        <f>IF(AF$2&lt;&gt;"",VLOOKUP($C81,$A$2:AF$46,AF$1+4),"")</f>
        <v>1.1208333345166608</v>
      </c>
      <c r="AG81" s="1">
        <f>IF(AG$2&lt;&gt;"",VLOOKUP($C81,$A$2:AG$46,AG$1+4),"")</f>
        <v>1.2330882423794738</v>
      </c>
      <c r="AH81" s="1">
        <f>IF(AH$2&lt;&gt;"",VLOOKUP($C81,$A$2:AH$46,AH$1+4),"")</f>
        <v>1.199632354570078</v>
      </c>
      <c r="AI81" s="1">
        <f>IF(AI$2&lt;&gt;"",VLOOKUP($C81,$A$2:AI$46,AI$1+4),"")</f>
        <v>1.064093139249028</v>
      </c>
      <c r="AJ81" s="1">
        <f t="shared" si="13"/>
        <v>1.2230573744696382</v>
      </c>
      <c r="AK81" s="5">
        <f t="shared" si="14"/>
        <v>0.15780137373374239</v>
      </c>
    </row>
    <row r="82" spans="2:37">
      <c r="B82" s="12"/>
      <c r="C82" s="4">
        <f t="shared" si="21"/>
        <v>41</v>
      </c>
      <c r="D82" s="1" t="str">
        <f>IF(D$2&lt;&gt;"",VLOOKUP($C82,$A$2:D$46,D$1+4),"")</f>
        <v/>
      </c>
      <c r="E82" s="1">
        <f>IF(E$2&lt;&gt;"",VLOOKUP($C82,$A$2:E$46,E$1+4),"")</f>
        <v>1.0881127505398849</v>
      </c>
      <c r="F82" s="1">
        <f>IF(F$2&lt;&gt;"",VLOOKUP($C82,$A$2:F$46,F$1+4),"")</f>
        <v>1.7475490208057796</v>
      </c>
      <c r="G82" s="1" t="str">
        <f>IF(G$2&lt;&gt;"",VLOOKUP($C82,$A$2:G$46,G$1+4),"")</f>
        <v/>
      </c>
      <c r="H82" s="1">
        <f>IF(H$2&lt;&gt;"",VLOOKUP($C82,$A$2:H$46,H$1+4),"")</f>
        <v>1.3819852946654838</v>
      </c>
      <c r="I82" s="1">
        <f>IF(I$2&lt;&gt;"",VLOOKUP($C82,$A$2:I$46,I$1+4),"")</f>
        <v>1.150612751956956</v>
      </c>
      <c r="J82" s="1">
        <f>IF(J$2&lt;&gt;"",VLOOKUP($C82,$A$2:J$46,J$1+4),"")</f>
        <v>1.2246323553881808</v>
      </c>
      <c r="K82" s="1" t="str">
        <f>IF(K$2&lt;&gt;"",VLOOKUP($C82,$A$2:K$46,K$1+4),"")</f>
        <v/>
      </c>
      <c r="L82" s="1">
        <f>IF(L$2&lt;&gt;"",VLOOKUP($C82,$A$2:L$46,L$1+4),"")</f>
        <v>1.4844362838522476</v>
      </c>
      <c r="M82" s="1">
        <f>IF(M$2&lt;&gt;"",VLOOKUP($C82,$A$2:M$46,M$1+4),"")</f>
        <v>1.1300245104394122</v>
      </c>
      <c r="N82" s="1">
        <f>IF(N$2&lt;&gt;"",VLOOKUP($C82,$A$2:N$46,N$1+4),"")</f>
        <v>1.5372549158685347</v>
      </c>
      <c r="O82" s="1" t="str">
        <f>IF(O$2&lt;&gt;"",VLOOKUP($C82,$A$2:O$46,O$1+4),"")</f>
        <v/>
      </c>
      <c r="P82" s="1">
        <f>IF(P$2&lt;&gt;"",VLOOKUP($C82,$A$2:P$46,P$1+4),"")</f>
        <v>1.0758578493095496</v>
      </c>
      <c r="Q82" s="1" t="str">
        <f>IF(Q$2&lt;&gt;"",VLOOKUP($C82,$A$2:Q$46,Q$1+4),"")</f>
        <v/>
      </c>
      <c r="R82" s="1">
        <f>IF(R$2&lt;&gt;"",VLOOKUP($C82,$A$2:R$46,R$1+4),"")</f>
        <v>1.2205882356739512</v>
      </c>
      <c r="S82" s="1">
        <f>IF(S$2&lt;&gt;"",VLOOKUP($C82,$A$2:S$46,S$1+4),"")</f>
        <v>1.2511029471880666</v>
      </c>
      <c r="T82" s="1">
        <f>IF(T$2&lt;&gt;"",VLOOKUP($C82,$A$2:T$46,T$1+4),"")</f>
        <v>1.1452205954156085</v>
      </c>
      <c r="U82" s="1">
        <f>IF(U$2&lt;&gt;"",VLOOKUP($C82,$A$2:U$46,U$1+4),"")</f>
        <v>1.126470589082615</v>
      </c>
      <c r="V82" s="1">
        <f>IF(V$2&lt;&gt;"",VLOOKUP($C82,$A$2:V$46,V$1+4),"")</f>
        <v>1.1458333404771253</v>
      </c>
      <c r="W82" s="1">
        <f>IF(W$2&lt;&gt;"",VLOOKUP($C82,$A$2:W$46,W$1+4),"")</f>
        <v>1.5167892182410201</v>
      </c>
      <c r="X82" s="1">
        <f>IF(X$2&lt;&gt;"",VLOOKUP($C82,$A$2:X$46,X$1+4),"")</f>
        <v>1.4737745223530367</v>
      </c>
      <c r="Y82" s="1">
        <f>IF(Y$2&lt;&gt;"",VLOOKUP($C82,$A$2:Y$46,Y$1+4),"")</f>
        <v>1.334068630854873</v>
      </c>
      <c r="Z82" s="1">
        <f>IF(Z$2&lt;&gt;"",VLOOKUP($C82,$A$2:Z$46,Z$1+4),"")</f>
        <v>1.1415441245808466</v>
      </c>
      <c r="AA82" s="1">
        <f>IF(AA$2&lt;&gt;"",VLOOKUP($C82,$A$2:AA$46,AA$1+4),"")</f>
        <v>1.1735294146865023</v>
      </c>
      <c r="AB82" s="1">
        <f>IF(AB$2&lt;&gt;"",VLOOKUP($C82,$A$2:AB$46,AB$1+4),"")</f>
        <v>1.3596813769974545</v>
      </c>
      <c r="AC82" s="1">
        <f>IF(AC$2&lt;&gt;"",VLOOKUP($C82,$A$2:AC$46,AC$1+4),"")</f>
        <v>1.4984068640672108</v>
      </c>
      <c r="AD82" s="1">
        <f>IF(AD$2&lt;&gt;"",VLOOKUP($C82,$A$2:AD$46,AD$1+4),"")</f>
        <v>1.6122549062978258</v>
      </c>
      <c r="AE82" s="1">
        <f>IF(AE$2&lt;&gt;"",VLOOKUP($C82,$A$2:AE$46,AE$1+4),"")</f>
        <v>1.2296568695693186</v>
      </c>
      <c r="AF82" s="1">
        <f>IF(AF$2&lt;&gt;"",VLOOKUP($C82,$A$2:AF$46,AF$1+4),"")</f>
        <v>1.1577205946705504</v>
      </c>
      <c r="AG82" s="1">
        <f>IF(AG$2&lt;&gt;"",VLOOKUP($C82,$A$2:AG$46,AG$1+4),"")</f>
        <v>1.2925245128809384</v>
      </c>
      <c r="AH82" s="1">
        <f>IF(AH$2&lt;&gt;"",VLOOKUP($C82,$A$2:AH$46,AH$1+4),"")</f>
        <v>1.2479166728681794</v>
      </c>
      <c r="AI82" s="1">
        <f>IF(AI$2&lt;&gt;"",VLOOKUP($C82,$A$2:AI$46,AI$1+4),"")</f>
        <v>1.1080882421165121</v>
      </c>
      <c r="AJ82" s="1">
        <f t="shared" si="13"/>
        <v>1.2909495329943579</v>
      </c>
      <c r="AK82" s="5">
        <f t="shared" si="14"/>
        <v>0.18169651692980107</v>
      </c>
    </row>
    <row r="83" spans="2:37">
      <c r="B83" s="5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  <c r="AB83" s="1"/>
      <c r="AC83" s="1"/>
      <c r="AD83" s="1"/>
      <c r="AE83" s="1"/>
      <c r="AF83" s="1"/>
      <c r="AG83" s="1"/>
      <c r="AH83" s="1"/>
      <c r="AI83" s="1"/>
      <c r="AJ83" s="1"/>
    </row>
    <row r="84" spans="2:37">
      <c r="B84" s="12">
        <f>B78+1</f>
        <v>5</v>
      </c>
      <c r="C84" s="4">
        <f>C78+1</f>
        <v>6</v>
      </c>
      <c r="D84" s="1" t="str">
        <f>IF(D$2&lt;&gt;"",VLOOKUP($C84,$A$2:D$46,D$1+4),"")</f>
        <v/>
      </c>
      <c r="E84" s="1">
        <f>IF(E$2&lt;&gt;"",VLOOKUP($C84,$A$2:E$46,E$1+4),"")</f>
        <v>1.0549019621721669</v>
      </c>
      <c r="F84" s="1">
        <f>IF(F$2&lt;&gt;"",VLOOKUP($C84,$A$2:F$46,F$1+4),"")</f>
        <v>1.6401960809057687</v>
      </c>
      <c r="G84" s="1" t="str">
        <f>IF(G$2&lt;&gt;"",VLOOKUP($C84,$A$2:G$46,G$1+4),"")</f>
        <v/>
      </c>
      <c r="H84" s="1">
        <f>IF(H$2&lt;&gt;"",VLOOKUP($C84,$A$2:H$46,H$1+4),"")</f>
        <v>1.2279411775954798</v>
      </c>
      <c r="I84" s="1">
        <f>IF(I$2&lt;&gt;"",VLOOKUP($C84,$A$2:I$46,I$1+4),"")</f>
        <v>1.1098039222552496</v>
      </c>
      <c r="J84" s="1">
        <f>IF(J$2&lt;&gt;"",VLOOKUP($C84,$A$2:J$46,J$1+4),"")</f>
        <v>1.132475491695097</v>
      </c>
      <c r="K84" s="1" t="str">
        <f>IF(K$2&lt;&gt;"",VLOOKUP($C84,$A$2:K$46,K$1+4),"")</f>
        <v/>
      </c>
      <c r="L84" s="1">
        <f>IF(L$2&lt;&gt;"",VLOOKUP($C84,$A$2:L$46,L$1+4),"")</f>
        <v>1.2370098046223432</v>
      </c>
      <c r="M84" s="1">
        <f>IF(M$2&lt;&gt;"",VLOOKUP($C84,$A$2:M$46,M$1+4),"")</f>
        <v>1.0988970601602512</v>
      </c>
      <c r="N84" s="1">
        <f>IF(N$2&lt;&gt;"",VLOOKUP($C84,$A$2:N$46,N$1+4),"")</f>
        <v>1.3998774526092936</v>
      </c>
      <c r="O84" s="1" t="str">
        <f>IF(O$2&lt;&gt;"",VLOOKUP($C84,$A$2:O$46,O$1+4),"")</f>
        <v/>
      </c>
      <c r="P84" s="1">
        <f>IF(P$2&lt;&gt;"",VLOOKUP($C84,$A$2:P$46,P$1+4),"")</f>
        <v>1.0395833337716027</v>
      </c>
      <c r="Q84" s="1" t="str">
        <f>IF(Q$2&lt;&gt;"",VLOOKUP($C84,$A$2:Q$46,Q$1+4),"")</f>
        <v/>
      </c>
      <c r="R84" s="1">
        <f>IF(R$2&lt;&gt;"",VLOOKUP($C84,$A$2:R$46,R$1+4),"")</f>
        <v>1.1729166680926402</v>
      </c>
      <c r="S84" s="1">
        <f>IF(S$2&lt;&gt;"",VLOOKUP($C84,$A$2:S$46,S$1+4),"")</f>
        <v>1.1926470594809335</v>
      </c>
      <c r="T84" s="1">
        <f>IF(T$2&lt;&gt;"",VLOOKUP($C84,$A$2:T$46,T$1+4),"")</f>
        <v>1.0861519640348121</v>
      </c>
      <c r="U84" s="1">
        <f>IF(U$2&lt;&gt;"",VLOOKUP($C84,$A$2:U$46,U$1+4),"")</f>
        <v>1.081127454297544</v>
      </c>
      <c r="V84" s="1">
        <f>IF(V$2&lt;&gt;"",VLOOKUP($C84,$A$2:V$46,V$1+4),"")</f>
        <v>1.1053921578123289</v>
      </c>
      <c r="W84" s="1">
        <f>IF(W$2&lt;&gt;"",VLOOKUP($C84,$A$2:W$46,W$1+4),"")</f>
        <v>1.3921568629715373</v>
      </c>
      <c r="X84" s="1">
        <f>IF(X$2&lt;&gt;"",VLOOKUP($C84,$A$2:X$46,X$1+4),"")</f>
        <v>1.2627450996608127</v>
      </c>
      <c r="Y84" s="1">
        <f>IF(Y$2&lt;&gt;"",VLOOKUP($C84,$A$2:Y$46,Y$1+4),"")</f>
        <v>1.254901961010753</v>
      </c>
      <c r="Z84" s="1">
        <f>IF(Z$2&lt;&gt;"",VLOOKUP($C84,$A$2:Z$46,Z$1+4),"")</f>
        <v>1.0835784347764417</v>
      </c>
      <c r="AA84" s="1">
        <f>IF(AA$2&lt;&gt;"",VLOOKUP($C84,$A$2:AA$46,AA$1+4),"")</f>
        <v>1.0845588238581139</v>
      </c>
      <c r="AB84" s="1">
        <f>IF(AB$2&lt;&gt;"",VLOOKUP($C84,$A$2:AB$46,AB$1+4),"")</f>
        <v>1.3214460791252991</v>
      </c>
      <c r="AC84" s="1">
        <f>IF(AC$2&lt;&gt;"",VLOOKUP($C84,$A$2:AC$46,AC$1+4),"")</f>
        <v>1.3803921603396827</v>
      </c>
      <c r="AD84" s="1">
        <f>IF(AD$2&lt;&gt;"",VLOOKUP($C84,$A$2:AD$46,AD$1+4),"")</f>
        <v>1.6274509812979137</v>
      </c>
      <c r="AE84" s="1">
        <f>IF(AE$2&lt;&gt;"",VLOOKUP($C84,$A$2:AE$46,AE$1+4),"")</f>
        <v>1.1840686286196989</v>
      </c>
      <c r="AF84" s="1">
        <f>IF(AF$2&lt;&gt;"",VLOOKUP($C84,$A$2:AF$46,AF$1+4),"")</f>
        <v>1.1176470590426641</v>
      </c>
      <c r="AG84" s="1">
        <f>IF(AG$2&lt;&gt;"",VLOOKUP($C84,$A$2:AG$46,AG$1+4),"")</f>
        <v>1.2120098042498142</v>
      </c>
      <c r="AH84" s="1">
        <f>IF(AH$2&lt;&gt;"",VLOOKUP($C84,$A$2:AH$46,AH$1+4),"")</f>
        <v>1.2196078447588519</v>
      </c>
      <c r="AI84" s="1">
        <f>IF(AI$2&lt;&gt;"",VLOOKUP($C84,$A$2:AI$46,AI$1+4),"")</f>
        <v>1.075367648041734</v>
      </c>
      <c r="AJ84" s="1">
        <f t="shared" si="13"/>
        <v>1.2146241843429195</v>
      </c>
      <c r="AK84" s="5">
        <f t="shared" si="14"/>
        <v>0.15938489683782434</v>
      </c>
    </row>
    <row r="85" spans="2:37">
      <c r="B85" s="12"/>
      <c r="C85" s="4">
        <f t="shared" ref="C85:C88" si="22">C79+1</f>
        <v>15</v>
      </c>
      <c r="D85" s="1" t="str">
        <f>IF(D$2&lt;&gt;"",VLOOKUP($C85,$A$2:D$46,D$1+4),"")</f>
        <v/>
      </c>
      <c r="E85" s="1">
        <f>IF(E$2&lt;&gt;"",VLOOKUP($C85,$A$2:E$46,E$1+4),"")</f>
        <v>1.0670343143901988</v>
      </c>
      <c r="F85" s="1">
        <f>IF(F$2&lt;&gt;"",VLOOKUP($C85,$A$2:F$46,F$1+4),"")</f>
        <v>1.6628676533041631</v>
      </c>
      <c r="G85" s="1" t="str">
        <f>IF(G$2&lt;&gt;"",VLOOKUP($C85,$A$2:G$46,G$1+4),"")</f>
        <v/>
      </c>
      <c r="H85" s="1">
        <f>IF(H$2&lt;&gt;"",VLOOKUP($C85,$A$2:H$46,H$1+4),"")</f>
        <v>1.2512254935419918</v>
      </c>
      <c r="I85" s="1">
        <f>IF(I$2&lt;&gt;"",VLOOKUP($C85,$A$2:I$46,I$1+4),"")</f>
        <v>1.1292892189367729</v>
      </c>
      <c r="J85" s="1">
        <f>IF(J$2&lt;&gt;"",VLOOKUP($C85,$A$2:J$46,J$1+4),"")</f>
        <v>1.1519607850587836</v>
      </c>
      <c r="K85" s="1" t="str">
        <f>IF(K$2&lt;&gt;"",VLOOKUP($C85,$A$2:K$46,K$1+4),"")</f>
        <v/>
      </c>
      <c r="L85" s="1">
        <f>IF(L$2&lt;&gt;"",VLOOKUP($C85,$A$2:L$46,L$1+4),"")</f>
        <v>1.2707107866146401</v>
      </c>
      <c r="M85" s="1">
        <f>IF(M$2&lt;&gt;"",VLOOKUP($C85,$A$2:M$46,M$1+4),"")</f>
        <v>1.1109068633659798</v>
      </c>
      <c r="N85" s="1">
        <f>IF(N$2&lt;&gt;"",VLOOKUP($C85,$A$2:N$46,N$1+4),"")</f>
        <v>1.417401961368673</v>
      </c>
      <c r="O85" s="1" t="str">
        <f>IF(O$2&lt;&gt;"",VLOOKUP($C85,$A$2:O$46,O$1+4),"")</f>
        <v/>
      </c>
      <c r="P85" s="1">
        <f>IF(P$2&lt;&gt;"",VLOOKUP($C85,$A$2:P$46,P$1+4),"")</f>
        <v>1.0574754914305373</v>
      </c>
      <c r="Q85" s="1" t="str">
        <f>IF(Q$2&lt;&gt;"",VLOOKUP($C85,$A$2:Q$46,Q$1+4),"")</f>
        <v/>
      </c>
      <c r="R85" s="1">
        <f>IF(R$2&lt;&gt;"",VLOOKUP($C85,$A$2:R$46,R$1+4),"")</f>
        <v>1.1922794124440235</v>
      </c>
      <c r="S85" s="1">
        <f>IF(S$2&lt;&gt;"",VLOOKUP($C85,$A$2:S$46,S$1+4),"")</f>
        <v>1.2123774541870636</v>
      </c>
      <c r="T85" s="1">
        <f>IF(T$2&lt;&gt;"",VLOOKUP($C85,$A$2:T$46,T$1+4),"")</f>
        <v>1.1071078451386853</v>
      </c>
      <c r="U85" s="1">
        <f>IF(U$2&lt;&gt;"",VLOOKUP($C85,$A$2:U$46,U$1+4),"")</f>
        <v>1.1002451004496976</v>
      </c>
      <c r="V85" s="1">
        <f>IF(V$2&lt;&gt;"",VLOOKUP($C85,$A$2:V$46,V$1+4),"")</f>
        <v>1.1240196114077288</v>
      </c>
      <c r="W85" s="1">
        <f>IF(W$2&lt;&gt;"",VLOOKUP($C85,$A$2:W$46,W$1+4),"")</f>
        <v>1.4183823534670998</v>
      </c>
      <c r="X85" s="1">
        <f>IF(X$2&lt;&gt;"",VLOOKUP($C85,$A$2:X$46,X$1+4),"")</f>
        <v>1.2904411800502453</v>
      </c>
      <c r="Y85" s="1">
        <f>IF(Y$2&lt;&gt;"",VLOOKUP($C85,$A$2:Y$46,Y$1+4),"")</f>
        <v>1.2781862752110351</v>
      </c>
      <c r="Z85" s="1">
        <f>IF(Z$2&lt;&gt;"",VLOOKUP($C85,$A$2:Z$46,Z$1+4),"")</f>
        <v>1.1042892178557082</v>
      </c>
      <c r="AA85" s="1">
        <f>IF(AA$2&lt;&gt;"",VLOOKUP($C85,$A$2:AA$46,AA$1+4),"")</f>
        <v>1.1064950989230591</v>
      </c>
      <c r="AB85" s="1">
        <f>IF(AB$2&lt;&gt;"",VLOOKUP($C85,$A$2:AB$46,AB$1+4),"")</f>
        <v>1.3386029445730587</v>
      </c>
      <c r="AC85" s="1">
        <f>IF(AC$2&lt;&gt;"",VLOOKUP($C85,$A$2:AC$46,AC$1+4),"")</f>
        <v>1.4036764726773197</v>
      </c>
      <c r="AD85" s="1">
        <f>IF(AD$2&lt;&gt;"",VLOOKUP($C85,$A$2:AD$46,AD$1+4),"")</f>
        <v>1.651348046147648</v>
      </c>
      <c r="AE85" s="1">
        <f>IF(AE$2&lt;&gt;"",VLOOKUP($C85,$A$2:AE$46,AE$1+4),"")</f>
        <v>1.2000000002191347</v>
      </c>
      <c r="AF85" s="1">
        <f>IF(AF$2&lt;&gt;"",VLOOKUP($C85,$A$2:AF$46,AF$1+4),"")</f>
        <v>1.1330882383181768</v>
      </c>
      <c r="AG85" s="1">
        <f>IF(AG$2&lt;&gt;"",VLOOKUP($C85,$A$2:AG$46,AG$1+4),"")</f>
        <v>1.235294118333681</v>
      </c>
      <c r="AH85" s="1">
        <f>IF(AH$2&lt;&gt;"",VLOOKUP($C85,$A$2:AH$46,AH$1+4),"")</f>
        <v>1.2431372551210955</v>
      </c>
      <c r="AI85" s="1">
        <f>IF(AI$2&lt;&gt;"",VLOOKUP($C85,$A$2:AI$46,AI$1+4),"")</f>
        <v>1.0933823557607099</v>
      </c>
      <c r="AJ85" s="1">
        <f t="shared" si="13"/>
        <v>1.2352305758628486</v>
      </c>
      <c r="AK85" s="5">
        <f t="shared" si="14"/>
        <v>0.16132557082427262</v>
      </c>
    </row>
    <row r="86" spans="2:37">
      <c r="B86" s="12"/>
      <c r="C86" s="4">
        <f t="shared" si="22"/>
        <v>24</v>
      </c>
      <c r="D86" s="1" t="str">
        <f>IF(D$2&lt;&gt;"",VLOOKUP($C86,$A$2:D$46,D$1+4),"")</f>
        <v/>
      </c>
      <c r="E86" s="1">
        <f>IF(E$2&lt;&gt;"",VLOOKUP($C86,$A$2:E$46,E$1+4),"")</f>
        <v>1.0901960814408227</v>
      </c>
      <c r="F86" s="1">
        <f>IF(F$2&lt;&gt;"",VLOOKUP($C86,$A$2:F$46,F$1+4),"")</f>
        <v>1.6981617688475286</v>
      </c>
      <c r="G86" s="1" t="str">
        <f>IF(G$2&lt;&gt;"",VLOOKUP($C86,$A$2:G$46,G$1+4),"")</f>
        <v/>
      </c>
      <c r="H86" s="1">
        <f>IF(H$2&lt;&gt;"",VLOOKUP($C86,$A$2:H$46,H$1+4),"")</f>
        <v>1.272058825749977</v>
      </c>
      <c r="I86" s="1">
        <f>IF(I$2&lt;&gt;"",VLOOKUP($C86,$A$2:I$46,I$1+4),"")</f>
        <v>1.1504901980652529</v>
      </c>
      <c r="J86" s="1">
        <f>IF(J$2&lt;&gt;"",VLOOKUP($C86,$A$2:J$46,J$1+4),"")</f>
        <v>1.1758578461832276</v>
      </c>
      <c r="K86" s="1" t="str">
        <f>IF(K$2&lt;&gt;"",VLOOKUP($C86,$A$2:K$46,K$1+4),"")</f>
        <v/>
      </c>
      <c r="L86" s="1">
        <f>IF(L$2&lt;&gt;"",VLOOKUP($C86,$A$2:L$46,L$1+4),"")</f>
        <v>1.3062500008811042</v>
      </c>
      <c r="M86" s="1">
        <f>IF(M$2&lt;&gt;"",VLOOKUP($C86,$A$2:M$46,M$1+4),"")</f>
        <v>1.1333333363427835</v>
      </c>
      <c r="N86" s="1">
        <f>IF(N$2&lt;&gt;"",VLOOKUP($C86,$A$2:N$46,N$1+4),"")</f>
        <v>1.4533088256988456</v>
      </c>
      <c r="O86" s="1" t="str">
        <f>IF(O$2&lt;&gt;"",VLOOKUP($C86,$A$2:O$46,O$1+4),"")</f>
        <v/>
      </c>
      <c r="P86" s="1">
        <f>IF(P$2&lt;&gt;"",VLOOKUP($C86,$A$2:P$46,P$1+4),"")</f>
        <v>1.0774509832299515</v>
      </c>
      <c r="Q86" s="1" t="str">
        <f>IF(Q$2&lt;&gt;"",VLOOKUP($C86,$A$2:Q$46,Q$1+4),"")</f>
        <v/>
      </c>
      <c r="R86" s="1">
        <f>IF(R$2&lt;&gt;"",VLOOKUP($C86,$A$2:R$46,R$1+4),"")</f>
        <v>1.2158088265315574</v>
      </c>
      <c r="S86" s="1">
        <f>IF(S$2&lt;&gt;"",VLOOKUP($C86,$A$2:S$46,S$1+4),"")</f>
        <v>1.2319852961555999</v>
      </c>
      <c r="T86" s="1">
        <f>IF(T$2&lt;&gt;"",VLOOKUP($C86,$A$2:T$46,T$1+4),"")</f>
        <v>1.1240196088365479</v>
      </c>
      <c r="U86" s="1">
        <f>IF(U$2&lt;&gt;"",VLOOKUP($C86,$A$2:U$46,U$1+4),"")</f>
        <v>1.1183823542705937</v>
      </c>
      <c r="V86" s="1">
        <f>IF(V$2&lt;&gt;"",VLOOKUP($C86,$A$2:V$46,V$1+4),"")</f>
        <v>1.1432598063393551</v>
      </c>
      <c r="W86" s="1">
        <f>IF(W$2&lt;&gt;"",VLOOKUP($C86,$A$2:W$46,W$1+4),"")</f>
        <v>1.449632355329745</v>
      </c>
      <c r="X86" s="1">
        <f>IF(X$2&lt;&gt;"",VLOOKUP($C86,$A$2:X$46,X$1+4),"")</f>
        <v>1.322549021390139</v>
      </c>
      <c r="Y86" s="1">
        <f>IF(Y$2&lt;&gt;"",VLOOKUP($C86,$A$2:Y$46,Y$1+4),"")</f>
        <v>1.3019607873231758</v>
      </c>
      <c r="Z86" s="1">
        <f>IF(Z$2&lt;&gt;"",VLOOKUP($C86,$A$2:Z$46,Z$1+4),"")</f>
        <v>1.1265931380949183</v>
      </c>
      <c r="AA86" s="1">
        <f>IF(AA$2&lt;&gt;"",VLOOKUP($C86,$A$2:AA$46,AA$1+4),"")</f>
        <v>1.1329656893058735</v>
      </c>
      <c r="AB86" s="1">
        <f>IF(AB$2&lt;&gt;"",VLOOKUP($C86,$A$2:AB$46,AB$1+4),"")</f>
        <v>1.3686274525873801</v>
      </c>
      <c r="AC86" s="1">
        <f>IF(AC$2&lt;&gt;"",VLOOKUP($C86,$A$2:AC$46,AC$1+4),"")</f>
        <v>1.4388480457276398</v>
      </c>
      <c r="AD86" s="1">
        <f>IF(AD$2&lt;&gt;"",VLOOKUP($C86,$A$2:AD$46,AD$1+4),"")</f>
        <v>1.684068632432643</v>
      </c>
      <c r="AE86" s="1">
        <f>IF(AE$2&lt;&gt;"",VLOOKUP($C86,$A$2:AE$46,AE$1+4),"")</f>
        <v>1.2243872573927921</v>
      </c>
      <c r="AF86" s="1">
        <f>IF(AF$2&lt;&gt;"",VLOOKUP($C86,$A$2:AF$46,AF$1+4),"")</f>
        <v>1.1566176486804205</v>
      </c>
      <c r="AG86" s="1">
        <f>IF(AG$2&lt;&gt;"",VLOOKUP($C86,$A$2:AG$46,AG$1+4),"")</f>
        <v>1.2593137284704283</v>
      </c>
      <c r="AH86" s="1">
        <f>IF(AH$2&lt;&gt;"",VLOOKUP($C86,$A$2:AH$46,AH$1+4),"")</f>
        <v>1.2669117672332362</v>
      </c>
      <c r="AI86" s="1">
        <f>IF(AI$2&lt;&gt;"",VLOOKUP($C86,$A$2:AI$46,AI$1+4),"")</f>
        <v>1.1209558835289641</v>
      </c>
      <c r="AJ86" s="1">
        <f t="shared" si="13"/>
        <v>1.260888709854463</v>
      </c>
      <c r="AK86" s="5">
        <f t="shared" si="14"/>
        <v>0.16575360453580273</v>
      </c>
    </row>
    <row r="87" spans="2:37">
      <c r="B87" s="12"/>
      <c r="C87" s="4">
        <f t="shared" si="22"/>
        <v>33</v>
      </c>
      <c r="D87" s="1" t="str">
        <f>IF(D$2&lt;&gt;"",VLOOKUP($C87,$A$2:D$46,D$1+4),"")</f>
        <v/>
      </c>
      <c r="E87" s="1">
        <f>IF(E$2&lt;&gt;"",VLOOKUP($C87,$A$2:E$46,E$1+4),"")</f>
        <v>1.1145833348891898</v>
      </c>
      <c r="F87" s="1">
        <f>IF(F$2&lt;&gt;"",VLOOKUP($C87,$A$2:F$46,F$1+4),"")</f>
        <v>1.7408088251290952</v>
      </c>
      <c r="G87" s="1" t="str">
        <f>IF(G$2&lt;&gt;"",VLOOKUP($C87,$A$2:G$46,G$1+4),"")</f>
        <v/>
      </c>
      <c r="H87" s="1">
        <f>IF(H$2&lt;&gt;"",VLOOKUP($C87,$A$2:H$46,H$1+4),"")</f>
        <v>1.304411764998062</v>
      </c>
      <c r="I87" s="1">
        <f>IF(I$2&lt;&gt;"",VLOOKUP($C87,$A$2:I$46,I$1+4),"")</f>
        <v>1.1693627459599691</v>
      </c>
      <c r="J87" s="1">
        <f>IF(J$2&lt;&gt;"",VLOOKUP($C87,$A$2:J$46,J$1+4),"")</f>
        <v>1.2012254917300216</v>
      </c>
      <c r="K87" s="1" t="str">
        <f>IF(K$2&lt;&gt;"",VLOOKUP($C87,$A$2:K$46,K$1+4),"")</f>
        <v/>
      </c>
      <c r="L87" s="1">
        <f>IF(L$2&lt;&gt;"",VLOOKUP($C87,$A$2:L$46,L$1+4),"")</f>
        <v>1.3573529457636908</v>
      </c>
      <c r="M87" s="1">
        <f>IF(M$2&lt;&gt;"",VLOOKUP($C87,$A$2:M$46,M$1+4),"")</f>
        <v>1.1530637273236233</v>
      </c>
      <c r="N87" s="1">
        <f>IF(N$2&lt;&gt;"",VLOOKUP($C87,$A$2:N$46,N$1+4),"")</f>
        <v>1.4927696151111056</v>
      </c>
      <c r="O87" s="1" t="str">
        <f>IF(O$2&lt;&gt;"",VLOOKUP($C87,$A$2:O$46,O$1+4),"")</f>
        <v/>
      </c>
      <c r="P87" s="1">
        <f>IF(P$2&lt;&gt;"",VLOOKUP($C87,$A$2:P$46,P$1+4),"")</f>
        <v>1.0927696106991931</v>
      </c>
      <c r="Q87" s="1" t="str">
        <f>IF(Q$2&lt;&gt;"",VLOOKUP($C87,$A$2:Q$46,Q$1+4),"")</f>
        <v/>
      </c>
      <c r="R87" s="1">
        <f>IF(R$2&lt;&gt;"",VLOOKUP($C87,$A$2:R$46,R$1+4),"")</f>
        <v>1.23272059022942</v>
      </c>
      <c r="S87" s="1">
        <f>IF(S$2&lt;&gt;"",VLOOKUP($C87,$A$2:S$46,S$1+4),"")</f>
        <v>1.2511029420749229</v>
      </c>
      <c r="T87" s="1">
        <f>IF(T$2&lt;&gt;"",VLOOKUP($C87,$A$2:T$46,T$1+4),"")</f>
        <v>1.1420343210957213</v>
      </c>
      <c r="U87" s="1">
        <f>IF(U$2&lt;&gt;"",VLOOKUP($C87,$A$2:U$46,U$1+4),"")</f>
        <v>1.1363970590791865</v>
      </c>
      <c r="V87" s="1">
        <f>IF(V$2&lt;&gt;"",VLOOKUP($C87,$A$2:V$46,V$1+4),"")</f>
        <v>1.1612745111479479</v>
      </c>
      <c r="W87" s="1">
        <f>IF(W$2&lt;&gt;"",VLOOKUP($C87,$A$2:W$46,W$1+4),"")</f>
        <v>1.5029411831322839</v>
      </c>
      <c r="X87" s="1">
        <f>IF(X$2&lt;&gt;"",VLOOKUP($C87,$A$2:X$46,X$1+4),"")</f>
        <v>1.383210789930879</v>
      </c>
      <c r="Y87" s="1">
        <f>IF(Y$2&lt;&gt;"",VLOOKUP($C87,$A$2:Y$46,Y$1+4),"")</f>
        <v>1.3267156878084529</v>
      </c>
      <c r="Z87" s="1">
        <f>IF(Z$2&lt;&gt;"",VLOOKUP($C87,$A$2:Z$46,Z$1+4),"")</f>
        <v>1.1458333404771253</v>
      </c>
      <c r="AA87" s="1">
        <f>IF(AA$2&lt;&gt;"",VLOOKUP($C87,$A$2:AA$46,AA$1+4),"")</f>
        <v>1.1589460799141842</v>
      </c>
      <c r="AB87" s="1">
        <f>IF(AB$2&lt;&gt;"",VLOOKUP($C87,$A$2:AB$46,AB$1+4),"")</f>
        <v>1.387377451469793</v>
      </c>
      <c r="AC87" s="1">
        <f>IF(AC$2&lt;&gt;"",VLOOKUP($C87,$A$2:AC$46,AC$1+4),"")</f>
        <v>1.4593137317136222</v>
      </c>
      <c r="AD87" s="1">
        <f>IF(AD$2&lt;&gt;"",VLOOKUP($C87,$A$2:AD$46,AD$1+4),"")</f>
        <v>1.7105392190901672</v>
      </c>
      <c r="AE87" s="1">
        <f>IF(AE$2&lt;&gt;"",VLOOKUP($C87,$A$2:AE$46,AE$1+4),"")</f>
        <v>1.2469362756566089</v>
      </c>
      <c r="AF87" s="1">
        <f>IF(AF$2&lt;&gt;"",VLOOKUP($C87,$A$2:AF$46,AF$1+4),"")</f>
        <v>1.1725490202798563</v>
      </c>
      <c r="AG87" s="1">
        <f>IF(AG$2&lt;&gt;"",VLOOKUP($C87,$A$2:AG$46,AG$1+4),"")</f>
        <v>1.2881127463617161</v>
      </c>
      <c r="AH87" s="1">
        <f>IF(AH$2&lt;&gt;"",VLOOKUP($C87,$A$2:AH$46,AH$1+4),"")</f>
        <v>1.2756127471067742</v>
      </c>
      <c r="AI87" s="1">
        <f>IF(AI$2&lt;&gt;"",VLOOKUP($C87,$A$2:AI$46,AI$1+4),"")</f>
        <v>1.146078438501732</v>
      </c>
      <c r="AJ87" s="1">
        <f t="shared" si="13"/>
        <v>1.2871868220990497</v>
      </c>
      <c r="AK87" s="5">
        <f t="shared" si="14"/>
        <v>0.17225856975190351</v>
      </c>
    </row>
    <row r="88" spans="2:37">
      <c r="B88" s="12"/>
      <c r="C88" s="4">
        <f t="shared" si="22"/>
        <v>42</v>
      </c>
      <c r="D88" s="1" t="str">
        <f>IF(D$2&lt;&gt;"",VLOOKUP($C88,$A$2:D$46,D$1+4),"")</f>
        <v/>
      </c>
      <c r="E88" s="1">
        <f>IF(E$2&lt;&gt;"",VLOOKUP($C88,$A$2:E$46,E$1+4),"")</f>
        <v>1.1714460840485259</v>
      </c>
      <c r="F88" s="1">
        <f>IF(F$2&lt;&gt;"",VLOOKUP($C88,$A$2:F$46,F$1+4),"")</f>
        <v>1.8393382459221517</v>
      </c>
      <c r="G88" s="1" t="str">
        <f>IF(G$2&lt;&gt;"",VLOOKUP($C88,$A$2:G$46,G$1+4),"")</f>
        <v/>
      </c>
      <c r="H88" s="1">
        <f>IF(H$2&lt;&gt;"",VLOOKUP($C88,$A$2:H$46,H$1+4),"")</f>
        <v>1.4640931503810719</v>
      </c>
      <c r="I88" s="1">
        <f>IF(I$2&lt;&gt;"",VLOOKUP($C88,$A$2:I$46,I$1+4),"")</f>
        <v>1.2186274563564974</v>
      </c>
      <c r="J88" s="1">
        <f>IF(J$2&lt;&gt;"",VLOOKUP($C88,$A$2:J$46,J$1+4),"")</f>
        <v>1.2919117682850829</v>
      </c>
      <c r="K88" s="1" t="str">
        <f>IF(K$2&lt;&gt;"",VLOOKUP($C88,$A$2:K$46,K$1+4),"")</f>
        <v/>
      </c>
      <c r="L88" s="1">
        <f>IF(L$2&lt;&gt;"",VLOOKUP($C88,$A$2:L$46,L$1+4),"")</f>
        <v>1.5627451052852706</v>
      </c>
      <c r="M88" s="1">
        <f>IF(M$2&lt;&gt;"",VLOOKUP($C88,$A$2:M$46,M$1+4),"")</f>
        <v>1.1959558890803772</v>
      </c>
      <c r="N88" s="1">
        <f>IF(N$2&lt;&gt;"",VLOOKUP($C88,$A$2:N$46,N$1+4),"")</f>
        <v>1.6251225632998874</v>
      </c>
      <c r="O88" s="1" t="str">
        <f>IF(O$2&lt;&gt;"",VLOOKUP($C88,$A$2:O$46,O$1+4),"")</f>
        <v/>
      </c>
      <c r="P88" s="1">
        <f>IF(P$2&lt;&gt;"",VLOOKUP($C88,$A$2:P$46,P$1+4),"")</f>
        <v>1.1376225505992039</v>
      </c>
      <c r="Q88" s="1" t="str">
        <f>IF(Q$2&lt;&gt;"",VLOOKUP($C88,$A$2:Q$46,Q$1+4),"")</f>
        <v/>
      </c>
      <c r="R88" s="1">
        <f>IF(R$2&lt;&gt;"",VLOOKUP($C88,$A$2:R$46,R$1+4),"")</f>
        <v>1.2839460848228019</v>
      </c>
      <c r="S88" s="1">
        <f>IF(S$2&lt;&gt;"",VLOOKUP($C88,$A$2:S$46,S$1+4),"")</f>
        <v>1.2946078488931936</v>
      </c>
      <c r="T88" s="1">
        <f>IF(T$2&lt;&gt;"",VLOOKUP($C88,$A$2:T$46,T$1+4),"")</f>
        <v>1.180514710958974</v>
      </c>
      <c r="U88" s="1">
        <f>IF(U$2&lt;&gt;"",VLOOKUP($C88,$A$2:U$46,U$1+4),"")</f>
        <v>1.1708333389870091</v>
      </c>
      <c r="V88" s="1">
        <f>IF(V$2&lt;&gt;"",VLOOKUP($C88,$A$2:V$46,V$1+4),"")</f>
        <v>1.2072303982122856</v>
      </c>
      <c r="W88" s="1">
        <f>IF(W$2&lt;&gt;"",VLOOKUP($C88,$A$2:W$46,W$1+4),"")</f>
        <v>1.6335784451488187</v>
      </c>
      <c r="X88" s="1">
        <f>IF(X$2&lt;&gt;"",VLOOKUP($C88,$A$2:X$46,X$1+4),"")</f>
        <v>1.5430147168756116</v>
      </c>
      <c r="Y88" s="1">
        <f>IF(Y$2&lt;&gt;"",VLOOKUP($C88,$A$2:Y$46,Y$1+4),"")</f>
        <v>1.41139706276065</v>
      </c>
      <c r="Z88" s="1">
        <f>IF(Z$2&lt;&gt;"",VLOOKUP($C88,$A$2:Z$46,Z$1+4),"")</f>
        <v>1.2167892186007663</v>
      </c>
      <c r="AA88" s="1">
        <f>IF(AA$2&lt;&gt;"",VLOOKUP($C88,$A$2:AA$46,AA$1+4),"")</f>
        <v>1.2703431395485121</v>
      </c>
      <c r="AB88" s="1">
        <f>IF(AB$2&lt;&gt;"",VLOOKUP($C88,$A$2:AB$46,AB$1+4),"")</f>
        <v>1.4332107895218273</v>
      </c>
      <c r="AC88" s="1">
        <f>IF(AC$2&lt;&gt;"",VLOOKUP($C88,$A$2:AC$46,AC$1+4),"")</f>
        <v>1.5743872691676313</v>
      </c>
      <c r="AD88" s="1">
        <f>IF(AD$2&lt;&gt;"",VLOOKUP($C88,$A$2:AD$46,AD$1+4),"")</f>
        <v>1.7659313791705404</v>
      </c>
      <c r="AE88" s="1">
        <f>IF(AE$2&lt;&gt;"",VLOOKUP($C88,$A$2:AE$46,AE$1+4),"")</f>
        <v>1.2980392212376874</v>
      </c>
      <c r="AF88" s="1">
        <f>IF(AF$2&lt;&gt;"",VLOOKUP($C88,$A$2:AF$46,AF$1+4),"")</f>
        <v>1.2252451030208784</v>
      </c>
      <c r="AG88" s="1">
        <f>IF(AG$2&lt;&gt;"",VLOOKUP($C88,$A$2:AG$46,AG$1+4),"")</f>
        <v>1.3660539256372288</v>
      </c>
      <c r="AH88" s="1">
        <f>IF(AH$2&lt;&gt;"",VLOOKUP($C88,$A$2:AH$46,AH$1+4),"")</f>
        <v>1.3319853002168969</v>
      </c>
      <c r="AI88" s="1">
        <f>IF(AI$2&lt;&gt;"",VLOOKUP($C88,$A$2:AI$46,AI$1+4),"")</f>
        <v>1.2047794153950377</v>
      </c>
      <c r="AJ88" s="1">
        <f t="shared" si="13"/>
        <v>1.3673611178309044</v>
      </c>
      <c r="AK88" s="5">
        <f t="shared" si="14"/>
        <v>0.19523277486965376</v>
      </c>
    </row>
    <row r="89" spans="2:37">
      <c r="B89" s="5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  <c r="AA89" s="1"/>
      <c r="AB89" s="1"/>
      <c r="AC89" s="1"/>
      <c r="AD89" s="1"/>
      <c r="AE89" s="1"/>
      <c r="AF89" s="1"/>
      <c r="AG89" s="1"/>
      <c r="AH89" s="1"/>
      <c r="AI89" s="1"/>
      <c r="AJ89" s="1"/>
    </row>
    <row r="90" spans="2:37">
      <c r="B90" s="12">
        <f>B84+1</f>
        <v>6</v>
      </c>
      <c r="C90" s="4">
        <f>C84+1</f>
        <v>7</v>
      </c>
      <c r="D90" s="1" t="str">
        <f>IF(D$2&lt;&gt;"",VLOOKUP($C90,$A$2:D$46,D$1+4),"")</f>
        <v/>
      </c>
      <c r="E90" s="1">
        <f>IF(E$2&lt;&gt;"",VLOOKUP($C90,$A$2:E$46,E$1+4),"")</f>
        <v>1.2142156875190124</v>
      </c>
      <c r="F90" s="1">
        <f>IF(F$2&lt;&gt;"",VLOOKUP($C90,$A$2:F$46,F$1+4),"")</f>
        <v>1.9324754911529667</v>
      </c>
      <c r="G90" s="1" t="str">
        <f>IF(G$2&lt;&gt;"",VLOOKUP($C90,$A$2:G$46,G$1+4),"")</f>
        <v/>
      </c>
      <c r="H90" s="1">
        <f>IF(H$2&lt;&gt;"",VLOOKUP($C90,$A$2:H$46,H$1+4),"")</f>
        <v>1.388480395151704</v>
      </c>
      <c r="I90" s="1">
        <f>IF(I$2&lt;&gt;"",VLOOKUP($C90,$A$2:I$46,I$1+4),"")</f>
        <v>1.2784313732356418</v>
      </c>
      <c r="J90" s="1">
        <f>IF(J$2&lt;&gt;"",VLOOKUP($C90,$A$2:J$46,J$1+4),"")</f>
        <v>1.3077205897473236</v>
      </c>
      <c r="K90" s="1" t="str">
        <f>IF(K$2&lt;&gt;"",VLOOKUP($C90,$A$2:K$46,K$1+4),"")</f>
        <v/>
      </c>
      <c r="L90" s="1">
        <f>IF(L$2&lt;&gt;"",VLOOKUP($C90,$A$2:L$46,L$1+4),"")</f>
        <v>1.4730392166796853</v>
      </c>
      <c r="M90" s="1">
        <f>IF(M$2&lt;&gt;"",VLOOKUP($C90,$A$2:M$46,M$1+4),"")</f>
        <v>1.2547794119984497</v>
      </c>
      <c r="N90" s="1">
        <f>IF(N$2&lt;&gt;"",VLOOKUP($C90,$A$2:N$46,N$1+4),"")</f>
        <v>1.60392157093567</v>
      </c>
      <c r="O90" s="1" t="str">
        <f>IF(O$2&lt;&gt;"",VLOOKUP($C90,$A$2:O$46,O$1+4),"")</f>
        <v/>
      </c>
      <c r="P90" s="1">
        <f>IF(P$2&lt;&gt;"",VLOOKUP($C90,$A$2:P$46,P$1+4),"")</f>
        <v>1.1709558834301252</v>
      </c>
      <c r="Q90" s="1" t="str">
        <f>IF(Q$2&lt;&gt;"",VLOOKUP($C90,$A$2:Q$46,Q$1+4),"")</f>
        <v/>
      </c>
      <c r="R90" s="1">
        <f>IF(R$2&lt;&gt;"",VLOOKUP($C90,$A$2:R$46,R$1+4),"")</f>
        <v>1.3850490202579429</v>
      </c>
      <c r="S90" s="1">
        <f>IF(S$2&lt;&gt;"",VLOOKUP($C90,$A$2:S$46,S$1+4),"")</f>
        <v>1.3924019611125593</v>
      </c>
      <c r="T90" s="1">
        <f>IF(T$2&lt;&gt;"",VLOOKUP($C90,$A$2:T$46,T$1+4),"")</f>
        <v>1.2590686304458216</v>
      </c>
      <c r="U90" s="1">
        <f>IF(U$2&lt;&gt;"",VLOOKUP($C90,$A$2:U$46,U$1+4),"")</f>
        <v>1.2705882352941176</v>
      </c>
      <c r="V90" s="1">
        <f>IF(V$2&lt;&gt;"",VLOOKUP($C90,$A$2:V$46,V$1+4),"")</f>
        <v>1.2784313732356418</v>
      </c>
      <c r="W90" s="1">
        <f>IF(W$2&lt;&gt;"",VLOOKUP($C90,$A$2:W$46,W$1+4),"")</f>
        <v>1.6158088251290952</v>
      </c>
      <c r="X90" s="1">
        <f>IF(X$2&lt;&gt;"",VLOOKUP($C90,$A$2:X$46,X$1+4),"")</f>
        <v>1.4632352956954171</v>
      </c>
      <c r="Y90" s="1">
        <f>IF(Y$2&lt;&gt;"",VLOOKUP($C90,$A$2:Y$46,Y$1+4),"")</f>
        <v>1.4400735323700835</v>
      </c>
      <c r="Z90" s="1">
        <f>IF(Z$2&lt;&gt;"",VLOOKUP($C90,$A$2:Z$46,Z$1+4),"")</f>
        <v>1.2383578436412648</v>
      </c>
      <c r="AA90" s="1">
        <f>IF(AA$2&lt;&gt;"",VLOOKUP($C90,$A$2:AA$46,AA$1+4),"")</f>
        <v>1.2498774515063156</v>
      </c>
      <c r="AB90" s="1">
        <f>IF(AB$2&lt;&gt;"",VLOOKUP($C90,$A$2:AB$46,AB$1+4),"")</f>
        <v>1.4823529416147401</v>
      </c>
      <c r="AC90" s="1">
        <f>IF(AC$2&lt;&gt;"",VLOOKUP($C90,$A$2:AC$46,AC$1+4),"")</f>
        <v>1.6004901985911761</v>
      </c>
      <c r="AD90" s="1">
        <f>IF(AD$2&lt;&gt;"",VLOOKUP($C90,$A$2:AD$46,AD$1+4),"")</f>
        <v>2.0158088246762169</v>
      </c>
      <c r="AE90" s="1">
        <f>IF(AE$2&lt;&gt;"",VLOOKUP($C90,$A$2:AE$46,AE$1+4),"")</f>
        <v>1.3802696113273794</v>
      </c>
      <c r="AF90" s="1">
        <f>IF(AF$2&lt;&gt;"",VLOOKUP($C90,$A$2:AF$46,AF$1+4),"")</f>
        <v>1.3212009811006924</v>
      </c>
      <c r="AG90" s="1">
        <f>IF(AG$2&lt;&gt;"",VLOOKUP($C90,$A$2:AG$46,AG$1+4),"")</f>
        <v>1.4056372561875512</v>
      </c>
      <c r="AH90" s="1">
        <f>IF(AH$2&lt;&gt;"",VLOOKUP($C90,$A$2:AH$46,AH$1+4),"")</f>
        <v>1.4550245118710925</v>
      </c>
      <c r="AI90" s="1">
        <f>IF(AI$2&lt;&gt;"",VLOOKUP($C90,$A$2:AI$46,AI$1+4),"")</f>
        <v>1.2436274516359702</v>
      </c>
      <c r="AJ90" s="1">
        <f t="shared" si="13"/>
        <v>1.4119008727979134</v>
      </c>
      <c r="AK90" s="5">
        <f t="shared" si="14"/>
        <v>0.20295315149227566</v>
      </c>
    </row>
    <row r="91" spans="2:37">
      <c r="B91" s="12"/>
      <c r="C91" s="4">
        <f t="shared" ref="C91:C94" si="23">C85+1</f>
        <v>16</v>
      </c>
      <c r="D91" s="1" t="str">
        <f>IF(D$2&lt;&gt;"",VLOOKUP($C91,$A$2:D$46,D$1+4),"")</f>
        <v/>
      </c>
      <c r="E91" s="1">
        <f>IF(E$2&lt;&gt;"",VLOOKUP($C91,$A$2:E$46,E$1+4),"")</f>
        <v>1.2349264712967709</v>
      </c>
      <c r="F91" s="1">
        <f>IF(F$2&lt;&gt;"",VLOOKUP($C91,$A$2:F$46,F$1+4),"")</f>
        <v>1.9593137322979814</v>
      </c>
      <c r="G91" s="1" t="str">
        <f>IF(G$2&lt;&gt;"",VLOOKUP($C91,$A$2:G$46,G$1+4),"")</f>
        <v/>
      </c>
      <c r="H91" s="1">
        <f>IF(H$2&lt;&gt;"",VLOOKUP($C91,$A$2:H$46,H$1+4),"")</f>
        <v>1.4131127466246778</v>
      </c>
      <c r="I91" s="1">
        <f>IF(I$2&lt;&gt;"",VLOOKUP($C91,$A$2:I$46,I$1+4),"")</f>
        <v>1.3015931402862657</v>
      </c>
      <c r="J91" s="1">
        <f>IF(J$2&lt;&gt;"",VLOOKUP($C91,$A$2:J$46,J$1+4),"")</f>
        <v>1.3305147070834851</v>
      </c>
      <c r="K91" s="1" t="str">
        <f>IF(K$2&lt;&gt;"",VLOOKUP($C91,$A$2:K$46,K$1+4),"")</f>
        <v/>
      </c>
      <c r="L91" s="1">
        <f>IF(L$2&lt;&gt;"",VLOOKUP($C91,$A$2:L$46,L$1+4),"")</f>
        <v>1.5095588297966649</v>
      </c>
      <c r="M91" s="1">
        <f>IF(M$2&lt;&gt;"",VLOOKUP($C91,$A$2:M$46,M$1+4),"")</f>
        <v>1.271200981509744</v>
      </c>
      <c r="N91" s="1">
        <f>IF(N$2&lt;&gt;"",VLOOKUP($C91,$A$2:N$46,N$1+4),"")</f>
        <v>1.6257352951256667</v>
      </c>
      <c r="O91" s="1" t="str">
        <f>IF(O$2&lt;&gt;"",VLOOKUP($C91,$A$2:O$46,O$1+4),"")</f>
        <v/>
      </c>
      <c r="P91" s="1">
        <f>IF(P$2&lt;&gt;"",VLOOKUP($C91,$A$2:P$46,P$1+4),"")</f>
        <v>1.188970589111833</v>
      </c>
      <c r="Q91" s="1" t="str">
        <f>IF(Q$2&lt;&gt;"",VLOOKUP($C91,$A$2:Q$46,Q$1+4),"")</f>
        <v/>
      </c>
      <c r="R91" s="1">
        <f>IF(R$2&lt;&gt;"",VLOOKUP($C91,$A$2:R$46,R$1+4),"")</f>
        <v>1.4110294127288987</v>
      </c>
      <c r="S91" s="1">
        <f>IF(S$2&lt;&gt;"",VLOOKUP($C91,$A$2:S$46,S$1+4),"")</f>
        <v>1.4441176477970337</v>
      </c>
      <c r="T91" s="1">
        <f>IF(T$2&lt;&gt;"",VLOOKUP($C91,$A$2:T$46,T$1+4),"")</f>
        <v>1.283210785869582</v>
      </c>
      <c r="U91" s="1">
        <f>IF(U$2&lt;&gt;"",VLOOKUP($C91,$A$2:U$46,U$1+4),"")</f>
        <v>1.2705882352941176</v>
      </c>
      <c r="V91" s="1">
        <f>IF(V$2&lt;&gt;"",VLOOKUP($C91,$A$2:V$46,V$1+4),"")</f>
        <v>1.2985294149786819</v>
      </c>
      <c r="W91" s="1">
        <f>IF(W$2&lt;&gt;"",VLOOKUP($C91,$A$2:W$46,W$1+4),"")</f>
        <v>1.6488970659015809</v>
      </c>
      <c r="X91" s="1">
        <f>IF(X$2&lt;&gt;"",VLOOKUP($C91,$A$2:X$46,X$1+4),"")</f>
        <v>1.4976715756032397</v>
      </c>
      <c r="Y91" s="1">
        <f>IF(Y$2&lt;&gt;"",VLOOKUP($C91,$A$2:Y$46,Y$1+4),"")</f>
        <v>1.4653186289045741</v>
      </c>
      <c r="Z91" s="1">
        <f>IF(Z$2&lt;&gt;"",VLOOKUP($C91,$A$2:Z$46,Z$1+4),"")</f>
        <v>1.2602941205688551</v>
      </c>
      <c r="AA91" s="1">
        <f>IF(AA$2&lt;&gt;"",VLOOKUP($C91,$A$2:AA$46,AA$1+4),"")</f>
        <v>1.2748774518788446</v>
      </c>
      <c r="AB91" s="1">
        <f>IF(AB$2&lt;&gt;"",VLOOKUP($C91,$A$2:AB$46,AB$1+4),"")</f>
        <v>1.507843143624418</v>
      </c>
      <c r="AC91" s="1">
        <f>IF(AC$2&lt;&gt;"",VLOOKUP($C91,$A$2:AC$46,AC$1+4),"")</f>
        <v>1.6311274516670142</v>
      </c>
      <c r="AD91" s="1">
        <f>IF(AD$2&lt;&gt;"",VLOOKUP($C91,$A$2:AD$46,AD$1+4),"")</f>
        <v>2.0436274541943682</v>
      </c>
      <c r="AE91" s="1">
        <f>IF(AE$2&lt;&gt;"",VLOOKUP($C91,$A$2:AE$46,AE$1+4),"")</f>
        <v>1.4030637276158029</v>
      </c>
      <c r="AF91" s="1">
        <f>IF(AF$2&lt;&gt;"",VLOOKUP($C91,$A$2:AF$46,AF$1+4),"")</f>
        <v>1.3401960817330023</v>
      </c>
      <c r="AG91" s="1">
        <f>IF(AG$2&lt;&gt;"",VLOOKUP($C91,$A$2:AG$46,AG$1+4),"")</f>
        <v>1.4311274544719388</v>
      </c>
      <c r="AH91" s="1">
        <f>IF(AH$2&lt;&gt;"",VLOOKUP($C91,$A$2:AH$46,AH$1+4),"")</f>
        <v>1.4824754910927047</v>
      </c>
      <c r="AI91" s="1">
        <f>IF(AI$2&lt;&gt;"",VLOOKUP($C91,$A$2:AI$46,AI$1+4),"")</f>
        <v>1.2648284340240792</v>
      </c>
      <c r="AJ91" s="1">
        <f t="shared" si="13"/>
        <v>1.436805558188216</v>
      </c>
      <c r="AK91" s="5">
        <f t="shared" si="14"/>
        <v>0.20614477211168711</v>
      </c>
    </row>
    <row r="92" spans="2:37">
      <c r="B92" s="12"/>
      <c r="C92" s="4">
        <f t="shared" si="23"/>
        <v>25</v>
      </c>
      <c r="D92" s="1" t="str">
        <f>IF(D$2&lt;&gt;"",VLOOKUP($C92,$A$2:D$46,D$1+4),"")</f>
        <v/>
      </c>
      <c r="E92" s="1">
        <f>IF(E$2&lt;&gt;"",VLOOKUP($C92,$A$2:E$46,E$1+4),"")</f>
        <v>1.2649509830363825</v>
      </c>
      <c r="F92" s="1">
        <f>IF(F$2&lt;&gt;"",VLOOKUP($C92,$A$2:F$46,F$1+4),"")</f>
        <v>2.0013480435180311</v>
      </c>
      <c r="G92" s="1" t="str">
        <f>IF(G$2&lt;&gt;"",VLOOKUP($C92,$A$2:G$46,G$1+4),"")</f>
        <v/>
      </c>
      <c r="H92" s="1">
        <f>IF(H$2&lt;&gt;"",VLOOKUP($C92,$A$2:H$46,H$1+4),"")</f>
        <v>1.4390931442179078</v>
      </c>
      <c r="I92" s="1">
        <f>IF(I$2&lt;&gt;"",VLOOKUP($C92,$A$2:I$46,I$1+4),"")</f>
        <v>1.3295343150914301</v>
      </c>
      <c r="J92" s="1">
        <f>IF(J$2&lt;&gt;"",VLOOKUP($C92,$A$2:J$46,J$1+4),"")</f>
        <v>1.3591911786400219</v>
      </c>
      <c r="K92" s="1" t="str">
        <f>IF(K$2&lt;&gt;"",VLOOKUP($C92,$A$2:K$46,K$1+4),"")</f>
        <v/>
      </c>
      <c r="L92" s="1">
        <f>IF(L$2&lt;&gt;"",VLOOKUP($C92,$A$2:L$46,L$1+4),"")</f>
        <v>1.5507352979305913</v>
      </c>
      <c r="M92" s="1">
        <f>IF(M$2&lt;&gt;"",VLOOKUP($C92,$A$2:M$46,M$1+4),"")</f>
        <v>1.2996323560894121</v>
      </c>
      <c r="N92" s="1">
        <f>IF(N$2&lt;&gt;"",VLOOKUP($C92,$A$2:N$46,N$1+4),"")</f>
        <v>1.6699754960177575</v>
      </c>
      <c r="O92" s="1" t="str">
        <f>IF(O$2&lt;&gt;"",VLOOKUP($C92,$A$2:O$46,O$1+4),"")</f>
        <v/>
      </c>
      <c r="P92" s="1">
        <f>IF(P$2&lt;&gt;"",VLOOKUP($C92,$A$2:P$46,P$1+4),"")</f>
        <v>1.2192401988760513</v>
      </c>
      <c r="Q92" s="1" t="str">
        <f>IF(Q$2&lt;&gt;"",VLOOKUP($C92,$A$2:Q$46,Q$1+4),"")</f>
        <v/>
      </c>
      <c r="R92" s="1">
        <f>IF(R$2&lt;&gt;"",VLOOKUP($C92,$A$2:R$46,R$1+4),"")</f>
        <v>1.4428921596530606</v>
      </c>
      <c r="S92" s="1">
        <f>IF(S$2&lt;&gt;"",VLOOKUP($C92,$A$2:S$46,S$1+4),"")</f>
        <v>1.4415441205177237</v>
      </c>
      <c r="T92" s="1">
        <f>IF(T$2&lt;&gt;"",VLOOKUP($C92,$A$2:T$46,T$1+4),"")</f>
        <v>1.3062500013467655</v>
      </c>
      <c r="U92" s="1">
        <f>IF(U$2&lt;&gt;"",VLOOKUP($C92,$A$2:U$46,U$1+4),"")</f>
        <v>1.2705882352941176</v>
      </c>
      <c r="V92" s="1">
        <f>IF(V$2&lt;&gt;"",VLOOKUP($C92,$A$2:V$46,V$1+4),"")</f>
        <v>1.3254901976854194</v>
      </c>
      <c r="W92" s="1">
        <f>IF(W$2&lt;&gt;"",VLOOKUP($C92,$A$2:W$46,W$1+4),"")</f>
        <v>1.6862745146541034</v>
      </c>
      <c r="X92" s="1">
        <f>IF(X$2&lt;&gt;"",VLOOKUP($C92,$A$2:X$46,X$1+4),"")</f>
        <v>1.5375000046018292</v>
      </c>
      <c r="Y92" s="1">
        <f>IF(Y$2&lt;&gt;"",VLOOKUP($C92,$A$2:Y$46,Y$1+4),"")</f>
        <v>1.5020833400461604</v>
      </c>
      <c r="Z92" s="1">
        <f>IF(Z$2&lt;&gt;"",VLOOKUP($C92,$A$2:Z$46,Z$1+4),"")</f>
        <v>1.2959558831491307</v>
      </c>
      <c r="AA92" s="1">
        <f>IF(AA$2&lt;&gt;"",VLOOKUP($C92,$A$2:AA$46,AA$1+4),"")</f>
        <v>1.3050245126307596</v>
      </c>
      <c r="AB92" s="1">
        <f>IF(AB$2&lt;&gt;"",VLOOKUP($C92,$A$2:AB$46,AB$1+4),"")</f>
        <v>1.5356617694172789</v>
      </c>
      <c r="AC92" s="1">
        <f>IF(AC$2&lt;&gt;"",VLOOKUP($C92,$A$2:AC$46,AC$1+4),"")</f>
        <v>1.6727941233007346</v>
      </c>
      <c r="AD92" s="1">
        <f>IF(AD$2&lt;&gt;"",VLOOKUP($C92,$A$2:AD$46,AD$1+4),"")</f>
        <v>2.0866421575128449</v>
      </c>
      <c r="AE92" s="1">
        <f>IF(AE$2&lt;&gt;"",VLOOKUP($C92,$A$2:AE$46,AE$1+4),"")</f>
        <v>1.42745098106417</v>
      </c>
      <c r="AF92" s="1">
        <f>IF(AF$2&lt;&gt;"",VLOOKUP($C92,$A$2:AF$46,AF$1+4),"")</f>
        <v>1.3683823545627734</v>
      </c>
      <c r="AG92" s="1">
        <f>IF(AG$2&lt;&gt;"",VLOOKUP($C92,$A$2:AG$46,AG$1+4),"")</f>
        <v>1.4655637269291808</v>
      </c>
      <c r="AH92" s="1">
        <f>IF(AH$2&lt;&gt;"",VLOOKUP($C92,$A$2:AH$46,AH$1+4),"")</f>
        <v>1.514828437325709</v>
      </c>
      <c r="AI92" s="1">
        <f>IF(AI$2&lt;&gt;"",VLOOKUP($C92,$A$2:AI$46,AI$1+4),"")</f>
        <v>1.2986519614198044</v>
      </c>
      <c r="AJ92" s="1">
        <f t="shared" si="13"/>
        <v>1.4673066479455241</v>
      </c>
      <c r="AK92" s="5">
        <f t="shared" si="14"/>
        <v>0.21155506364109697</v>
      </c>
    </row>
    <row r="93" spans="2:37">
      <c r="B93" s="12"/>
      <c r="C93" s="4">
        <f t="shared" si="23"/>
        <v>34</v>
      </c>
      <c r="D93" s="1" t="str">
        <f>IF(D$2&lt;&gt;"",VLOOKUP($C93,$A$2:D$46,D$1+4),"")</f>
        <v/>
      </c>
      <c r="E93" s="1">
        <f>IF(E$2&lt;&gt;"",VLOOKUP($C93,$A$2:E$46,E$1+4),"")</f>
        <v>1.2952205890753106</v>
      </c>
      <c r="F93" s="1">
        <f>IF(F$2&lt;&gt;"",VLOOKUP($C93,$A$2:F$46,F$1+4),"")</f>
        <v>2.0602941184359436</v>
      </c>
      <c r="G93" s="1" t="str">
        <f>IF(G$2&lt;&gt;"",VLOOKUP($C93,$A$2:G$46,G$1+4),"")</f>
        <v/>
      </c>
      <c r="H93" s="1">
        <f>IF(H$2&lt;&gt;"",VLOOKUP($C93,$A$2:H$46,H$1+4),"")</f>
        <v>1.4812500049159223</v>
      </c>
      <c r="I93" s="1">
        <f>IF(I$2&lt;&gt;"",VLOOKUP($C93,$A$2:I$46,I$1+4),"")</f>
        <v>1.3583333404332985</v>
      </c>
      <c r="J93" s="1">
        <f>IF(J$2&lt;&gt;"",VLOOKUP($C93,$A$2:J$46,J$1+4),"")</f>
        <v>1.3959558893159469</v>
      </c>
      <c r="K93" s="1" t="str">
        <f>IF(K$2&lt;&gt;"",VLOOKUP($C93,$A$2:K$46,K$1+4),"")</f>
        <v/>
      </c>
      <c r="L93" s="1">
        <f>IF(L$2&lt;&gt;"",VLOOKUP($C93,$A$2:L$46,L$1+4),"")</f>
        <v>1.6147058935288121</v>
      </c>
      <c r="M93" s="1">
        <f>IF(M$2&lt;&gt;"",VLOOKUP($C93,$A$2:M$46,M$1+4),"")</f>
        <v>1.3283088252012272</v>
      </c>
      <c r="N93" s="1">
        <f>IF(N$2&lt;&gt;"",VLOOKUP($C93,$A$2:N$46,N$1+4),"")</f>
        <v>1.7089460819302236</v>
      </c>
      <c r="O93" s="1" t="str">
        <f>IF(O$2&lt;&gt;"",VLOOKUP($C93,$A$2:O$46,O$1+4),"")</f>
        <v/>
      </c>
      <c r="P93" s="1">
        <f>IF(P$2&lt;&gt;"",VLOOKUP($C93,$A$2:P$46,P$1+4),"")</f>
        <v>1.2442401973859352</v>
      </c>
      <c r="Q93" s="1" t="str">
        <f>IF(Q$2&lt;&gt;"",VLOOKUP($C93,$A$2:Q$46,Q$1+4),"")</f>
        <v/>
      </c>
      <c r="R93" s="1">
        <f>IF(R$2&lt;&gt;"",VLOOKUP($C93,$A$2:R$46,R$1+4),"")</f>
        <v>1.467034315076821</v>
      </c>
      <c r="S93" s="1">
        <f>IF(S$2&lt;&gt;"",VLOOKUP($C93,$A$2:S$46,S$1+4),"")</f>
        <v>1.4634803937200238</v>
      </c>
      <c r="T93" s="1">
        <f>IF(T$2&lt;&gt;"",VLOOKUP($C93,$A$2:T$46,T$1+4),"")</f>
        <v>1.3292892219462231</v>
      </c>
      <c r="U93" s="1">
        <f>IF(U$2&lt;&gt;"",VLOOKUP($C93,$A$2:U$46,U$1+4),"")</f>
        <v>1.2938725494943997</v>
      </c>
      <c r="V93" s="1">
        <f>IF(V$2&lt;&gt;"",VLOOKUP($C93,$A$2:V$46,V$1+4),"")</f>
        <v>1.3459558827400793</v>
      </c>
      <c r="W93" s="1">
        <f>IF(W$2&lt;&gt;"",VLOOKUP($C93,$A$2:W$46,W$1+4),"")</f>
        <v>1.7381127468584214</v>
      </c>
      <c r="X93" s="1">
        <f>IF(X$2&lt;&gt;"",VLOOKUP($C93,$A$2:X$46,X$1+4),"")</f>
        <v>1.6253676478203167</v>
      </c>
      <c r="Y93" s="1">
        <f>IF(Y$2&lt;&gt;"",VLOOKUP($C93,$A$2:Y$46,Y$1+4),"")</f>
        <v>1.5352941223803689</v>
      </c>
      <c r="Z93" s="1">
        <f>IF(Z$2&lt;&gt;"",VLOOKUP($C93,$A$2:Z$46,Z$1+4),"")</f>
        <v>1.3220588302203253</v>
      </c>
      <c r="AA93" s="1">
        <f>IF(AA$2&lt;&gt;"",VLOOKUP($C93,$A$2:AA$46,AA$1+4),"")</f>
        <v>1.3463235297769893</v>
      </c>
      <c r="AB93" s="1">
        <f>IF(AB$2&lt;&gt;"",VLOOKUP($C93,$A$2:AB$46,AB$1+4),"")</f>
        <v>1.5604166699025561</v>
      </c>
      <c r="AC93" s="1">
        <f>IF(AC$2&lt;&gt;"",VLOOKUP($C93,$A$2:AC$46,AC$1+4),"")</f>
        <v>1.7023284352658425</v>
      </c>
      <c r="AD93" s="1">
        <f>IF(AD$2&lt;&gt;"",VLOOKUP($C93,$A$2:AD$46,AD$1+4),"")</f>
        <v>2.1214460844575775</v>
      </c>
      <c r="AE93" s="1">
        <f>IF(AE$2&lt;&gt;"",VLOOKUP($C93,$A$2:AE$46,AE$1+4),"")</f>
        <v>1.4649509862795764</v>
      </c>
      <c r="AF93" s="1">
        <f>IF(AF$2&lt;&gt;"",VLOOKUP($C93,$A$2:AF$46,AF$1+4),"")</f>
        <v>1.3936274534255704</v>
      </c>
      <c r="AG93" s="1">
        <f>IF(AG$2&lt;&gt;"",VLOOKUP($C93,$A$2:AG$46,AG$1+4),"")</f>
        <v>1.4982843206647565</v>
      </c>
      <c r="AH93" s="1">
        <f>IF(AH$2&lt;&gt;"",VLOOKUP($C93,$A$2:AH$46,AH$1+4),"")</f>
        <v>1.546446082499974</v>
      </c>
      <c r="AI93" s="1">
        <f>IF(AI$2&lt;&gt;"",VLOOKUP($C93,$A$2:AI$46,AI$1+4),"")</f>
        <v>1.3382352998443678</v>
      </c>
      <c r="AJ93" s="1">
        <f t="shared" si="13"/>
        <v>1.5029547967628447</v>
      </c>
      <c r="AK93" s="5">
        <f t="shared" si="14"/>
        <v>0.21811745076624348</v>
      </c>
    </row>
    <row r="94" spans="2:37">
      <c r="B94" s="12"/>
      <c r="C94" s="4">
        <f t="shared" si="23"/>
        <v>43</v>
      </c>
      <c r="D94" s="1" t="str">
        <f>IF(D$2&lt;&gt;"",VLOOKUP($C94,$A$2:D$46,D$1+4),"")</f>
        <v/>
      </c>
      <c r="E94" s="1">
        <f>IF(E$2&lt;&gt;"",VLOOKUP($C94,$A$2:E$46,E$1+4),"")</f>
        <v>1.3850490225442484</v>
      </c>
      <c r="F94" s="1">
        <f>IF(F$2&lt;&gt;"",VLOOKUP($C94,$A$2:F$46,F$1+4),"")</f>
        <v>2.1879902041571979</v>
      </c>
      <c r="G94" s="1" t="str">
        <f>IF(G$2&lt;&gt;"",VLOOKUP($C94,$A$2:G$46,G$1+4),"")</f>
        <v/>
      </c>
      <c r="H94" s="1">
        <f>IF(H$2&lt;&gt;"",VLOOKUP($C94,$A$2:H$46,H$1+4),"")</f>
        <v>1.6909313798681194</v>
      </c>
      <c r="I94" s="1">
        <f>IF(I$2&lt;&gt;"",VLOOKUP($C94,$A$2:I$46,I$1+4),"")</f>
        <v>1.4580882364482273</v>
      </c>
      <c r="J94" s="1">
        <f>IF(J$2&lt;&gt;"",VLOOKUP($C94,$A$2:J$46,J$1+4),"")</f>
        <v>1.547794130926623</v>
      </c>
      <c r="K94" s="1" t="str">
        <f>IF(K$2&lt;&gt;"",VLOOKUP($C94,$A$2:K$46,K$1+4),"")</f>
        <v/>
      </c>
      <c r="L94" s="1">
        <f>IF(L$2&lt;&gt;"",VLOOKUP($C94,$A$2:L$46,L$1+4),"")</f>
        <v>1.8686274786863257</v>
      </c>
      <c r="M94" s="1">
        <f>IF(M$2&lt;&gt;"",VLOOKUP($C94,$A$2:M$46,M$1+4),"")</f>
        <v>1.418259807915299</v>
      </c>
      <c r="N94" s="1">
        <f>IF(N$2&lt;&gt;"",VLOOKUP($C94,$A$2:N$46,N$1+4),"")</f>
        <v>1.9003676540492211</v>
      </c>
      <c r="O94" s="1" t="str">
        <f>IF(O$2&lt;&gt;"",VLOOKUP($C94,$A$2:O$46,O$1+4),"")</f>
        <v/>
      </c>
      <c r="P94" s="1">
        <f>IF(P$2&lt;&gt;"",VLOOKUP($C94,$A$2:P$46,P$1+4),"")</f>
        <v>1.3671568641767782</v>
      </c>
      <c r="Q94" s="1" t="str">
        <f>IF(Q$2&lt;&gt;"",VLOOKUP($C94,$A$2:Q$46,Q$1+4),"")</f>
        <v/>
      </c>
      <c r="R94" s="1">
        <f>IF(R$2&lt;&gt;"",VLOOKUP($C94,$A$2:R$46,R$1+4),"")</f>
        <v>1.5475490236107041</v>
      </c>
      <c r="S94" s="1">
        <f>IF(S$2&lt;&gt;"",VLOOKUP($C94,$A$2:S$46,S$1+4),"")</f>
        <v>1.5272058875683476</v>
      </c>
      <c r="T94" s="1">
        <f>IF(T$2&lt;&gt;"",VLOOKUP($C94,$A$2:T$46,T$1+4),"")</f>
        <v>1.386642159704192</v>
      </c>
      <c r="U94" s="1">
        <f>IF(U$2&lt;&gt;"",VLOOKUP($C94,$A$2:U$46,U$1+4),"")</f>
        <v>1.3549019632094046</v>
      </c>
      <c r="V94" s="1">
        <f>IF(V$2&lt;&gt;"",VLOOKUP($C94,$A$2:V$46,V$1+4),"")</f>
        <v>1.4286764734954227</v>
      </c>
      <c r="W94" s="1">
        <f>IF(W$2&lt;&gt;"",VLOOKUP($C94,$A$2:W$46,W$1+4),"")</f>
        <v>1.9242647114483749</v>
      </c>
      <c r="X94" s="1">
        <f>IF(X$2&lt;&gt;"",VLOOKUP($C94,$A$2:X$46,X$1+4),"")</f>
        <v>1.79227941608166</v>
      </c>
      <c r="Y94" s="1">
        <f>IF(Y$2&lt;&gt;"",VLOOKUP($C94,$A$2:Y$46,Y$1+4),"")</f>
        <v>1.6601715808186461</v>
      </c>
      <c r="Z94" s="1">
        <f>IF(Z$2&lt;&gt;"",VLOOKUP($C94,$A$2:Z$46,Z$1+4),"")</f>
        <v>1.4687500128485993</v>
      </c>
      <c r="AA94" s="1">
        <f>IF(AA$2&lt;&gt;"",VLOOKUP($C94,$A$2:AA$46,AA$1+4),"")</f>
        <v>1.547303932306229</v>
      </c>
      <c r="AB94" s="1">
        <f>IF(AB$2&lt;&gt;"",VLOOKUP($C94,$A$2:AB$46,AB$1+4),"")</f>
        <v>1.6335784451488187</v>
      </c>
      <c r="AC94" s="1">
        <f>IF(AC$2&lt;&gt;"",VLOOKUP($C94,$A$2:AC$46,AC$1+4),"")</f>
        <v>1.8699754989979898</v>
      </c>
      <c r="AD94" s="1">
        <f>IF(AD$2&lt;&gt;"",VLOOKUP($C94,$A$2:AD$46,AD$1+4),"")</f>
        <v>2.1941176487534655</v>
      </c>
      <c r="AE94" s="1">
        <f>IF(AE$2&lt;&gt;"",VLOOKUP($C94,$A$2:AE$46,AE$1+4),"")</f>
        <v>1.5359068644032174</v>
      </c>
      <c r="AF94" s="1">
        <f>IF(AF$2&lt;&gt;"",VLOOKUP($C94,$A$2:AF$46,AF$1+4),"")</f>
        <v>1.5047794127069851</v>
      </c>
      <c r="AG94" s="1">
        <f>IF(AG$2&lt;&gt;"",VLOOKUP($C94,$A$2:AG$46,AG$1+4),"")</f>
        <v>1.6180147205862929</v>
      </c>
      <c r="AH94" s="1">
        <f>IF(AH$2&lt;&gt;"",VLOOKUP($C94,$A$2:AH$46,AH$1+4),"")</f>
        <v>1.6477941305760075</v>
      </c>
      <c r="AI94" s="1">
        <f>IF(AI$2&lt;&gt;"",VLOOKUP($C94,$A$2:AI$46,AI$1+4),"")</f>
        <v>1.4457107985355691</v>
      </c>
      <c r="AJ94" s="1">
        <f t="shared" si="13"/>
        <v>1.626366202206369</v>
      </c>
      <c r="AK94" s="5">
        <f t="shared" si="14"/>
        <v>0.23445885559701676</v>
      </c>
    </row>
    <row r="95" spans="2:37">
      <c r="B95" s="5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  <c r="AA95" s="1"/>
      <c r="AB95" s="1"/>
      <c r="AC95" s="1"/>
      <c r="AD95" s="1"/>
      <c r="AE95" s="1"/>
      <c r="AF95" s="1"/>
      <c r="AG95" s="1"/>
      <c r="AH95" s="1"/>
      <c r="AI95" s="1"/>
      <c r="AJ95" s="1"/>
    </row>
    <row r="96" spans="2:37">
      <c r="B96" s="12">
        <f>B90+1</f>
        <v>7</v>
      </c>
      <c r="C96" s="4">
        <f>C90+1</f>
        <v>8</v>
      </c>
      <c r="D96" s="1" t="str">
        <f>IF(D$2&lt;&gt;"",VLOOKUP($C96,$A$2:D$46,D$1+4),"")</f>
        <v/>
      </c>
      <c r="E96" s="1">
        <f>IF(E$2&lt;&gt;"",VLOOKUP($C96,$A$2:E$46,E$1+4),"")</f>
        <v>1.3860294123563697</v>
      </c>
      <c r="F96" s="1">
        <f>IF(F$2&lt;&gt;"",VLOOKUP($C96,$A$2:F$46,F$1+4),"")</f>
        <v>2.1888480423077685</v>
      </c>
      <c r="G96" s="1" t="str">
        <f>IF(G$2&lt;&gt;"",VLOOKUP($C96,$A$2:G$46,G$1+4),"")</f>
        <v/>
      </c>
      <c r="H96" s="1">
        <f>IF(H$2&lt;&gt;"",VLOOKUP($C96,$A$2:H$46,H$1+4),"")</f>
        <v>1.5640931382117902</v>
      </c>
      <c r="I96" s="1">
        <f>IF(I$2&lt;&gt;"",VLOOKUP($C96,$A$2:I$46,I$1+4),"")</f>
        <v>1.4493872573051383</v>
      </c>
      <c r="J96" s="1">
        <f>IF(J$2&lt;&gt;"",VLOOKUP($C96,$A$2:J$46,J$1+4),"")</f>
        <v>1.4808823534670998</v>
      </c>
      <c r="K96" s="1" t="str">
        <f>IF(K$2&lt;&gt;"",VLOOKUP($C96,$A$2:K$46,K$1+4),"")</f>
        <v/>
      </c>
      <c r="L96" s="1">
        <f>IF(L$2&lt;&gt;"",VLOOKUP($C96,$A$2:L$46,L$1+4),"")</f>
        <v>1.671200986140791</v>
      </c>
      <c r="M96" s="1">
        <f>IF(M$2&lt;&gt;"",VLOOKUP($C96,$A$2:M$46,M$1+4),"")</f>
        <v>1.412867647913449</v>
      </c>
      <c r="N96" s="1">
        <f>IF(N$2&lt;&gt;"",VLOOKUP($C96,$A$2:N$46,N$1+4),"")</f>
        <v>1.780392157768502</v>
      </c>
      <c r="O96" s="1" t="str">
        <f>IF(O$2&lt;&gt;"",VLOOKUP($C96,$A$2:O$46,O$1+4),"")</f>
        <v/>
      </c>
      <c r="P96" s="1">
        <f>IF(P$2&lt;&gt;"",VLOOKUP($C96,$A$2:P$46,P$1+4),"")</f>
        <v>1.3225490202360293</v>
      </c>
      <c r="Q96" s="1" t="str">
        <f>IF(Q$2&lt;&gt;"",VLOOKUP($C96,$A$2:Q$46,Q$1+4),"")</f>
        <v/>
      </c>
      <c r="R96" s="1">
        <f>IF(R$2&lt;&gt;"",VLOOKUP($C96,$A$2:R$46,R$1+4),"")</f>
        <v>1.5857843171147739</v>
      </c>
      <c r="S96" s="1">
        <f>IF(S$2&lt;&gt;"",VLOOKUP($C96,$A$2:S$46,S$1+4),"")</f>
        <v>1.5924019637791549</v>
      </c>
      <c r="T96" s="1">
        <f>IF(T$2&lt;&gt;"",VLOOKUP($C96,$A$2:T$46,T$1+4),"")</f>
        <v>1.4629901976708104</v>
      </c>
      <c r="U96" s="1">
        <f>IF(U$2&lt;&gt;"",VLOOKUP($C96,$A$2:U$46,U$1+4),"")</f>
        <v>1.3873774514917065</v>
      </c>
      <c r="V96" s="1">
        <f>IF(V$2&lt;&gt;"",VLOOKUP($C96,$A$2:V$46,V$1+4),"")</f>
        <v>1.4784313732210328</v>
      </c>
      <c r="W96" s="1">
        <f>IF(W$2&lt;&gt;"",VLOOKUP($C96,$A$2:W$46,W$1+4),"")</f>
        <v>1.8116421633564375</v>
      </c>
      <c r="X96" s="1">
        <f>IF(X$2&lt;&gt;"",VLOOKUP($C96,$A$2:X$46,X$1+4),"")</f>
        <v>1.666666672685567</v>
      </c>
      <c r="Y96" s="1">
        <f>IF(Y$2&lt;&gt;"",VLOOKUP($C96,$A$2:Y$46,Y$1+4),"")</f>
        <v>1.6631127513287698</v>
      </c>
      <c r="Z96" s="1">
        <f>IF(Z$2&lt;&gt;"",VLOOKUP($C96,$A$2:Z$46,Z$1+4),"")</f>
        <v>1.4518382375512053</v>
      </c>
      <c r="AA96" s="1">
        <f>IF(AA$2&lt;&gt;"",VLOOKUP($C96,$A$2:AA$46,AA$1+4),"")</f>
        <v>1.4236519611125593</v>
      </c>
      <c r="AB96" s="1">
        <f>IF(AB$2&lt;&gt;"",VLOOKUP($C96,$A$2:AB$46,AB$1+4),"")</f>
        <v>1.6855392205802833</v>
      </c>
      <c r="AC96" s="1">
        <f>IF(AC$2&lt;&gt;"",VLOOKUP($C96,$A$2:AC$46,AC$1+4),"")</f>
        <v>1.8480392162044368</v>
      </c>
      <c r="AD96" s="1">
        <f>IF(AD$2&lt;&gt;"",VLOOKUP($C96,$A$2:AD$46,AD$1+4),"")</f>
        <v>2.5083333361966935</v>
      </c>
      <c r="AE96" s="1">
        <f>IF(AE$2&lt;&gt;"",VLOOKUP($C96,$A$2:AE$46,AE$1+4),"")</f>
        <v>1.5686274516670142</v>
      </c>
      <c r="AF96" s="1">
        <f>IF(AF$2&lt;&gt;"",VLOOKUP($C96,$A$2:AF$46,AF$1+4),"")</f>
        <v>1.5177696136209895</v>
      </c>
      <c r="AG96" s="1">
        <f>IF(AG$2&lt;&gt;"",VLOOKUP($C96,$A$2:AG$46,AG$1+4),"")</f>
        <v>1.6063725511817371</v>
      </c>
      <c r="AH96" s="1">
        <f>IF(AH$2&lt;&gt;"",VLOOKUP($C96,$A$2:AH$46,AH$1+4),"")</f>
        <v>1.6900735340355073</v>
      </c>
      <c r="AI96" s="1">
        <f>IF(AI$2&lt;&gt;"",VLOOKUP($C96,$A$2:AI$46,AI$1+4),"")</f>
        <v>1.4414215715054204</v>
      </c>
      <c r="AJ96" s="1">
        <f t="shared" si="13"/>
        <v>1.616530503704112</v>
      </c>
      <c r="AK96" s="5">
        <f t="shared" si="14"/>
        <v>0.2551895793622303</v>
      </c>
    </row>
    <row r="97" spans="1:38">
      <c r="B97" s="12"/>
      <c r="C97" s="4">
        <f t="shared" ref="C97:C100" si="24">C91+1</f>
        <v>17</v>
      </c>
      <c r="D97" s="1" t="str">
        <f>IF(D$2&lt;&gt;"",VLOOKUP($C97,$A$2:D$46,D$1+4),"")</f>
        <v/>
      </c>
      <c r="E97" s="1">
        <f>IF(E$2&lt;&gt;"",VLOOKUP($C97,$A$2:E$46,E$1+4),"")</f>
        <v>1.4078431384090115</v>
      </c>
      <c r="F97" s="1">
        <f>IF(F$2&lt;&gt;"",VLOOKUP($C97,$A$2:F$46,F$1+4),"")</f>
        <v>2.2214460801625369</v>
      </c>
      <c r="G97" s="1" t="str">
        <f>IF(G$2&lt;&gt;"",VLOOKUP($C97,$A$2:G$46,G$1+4),"")</f>
        <v/>
      </c>
      <c r="H97" s="1">
        <f>IF(H$2&lt;&gt;"",VLOOKUP($C97,$A$2:H$46,H$1+4),"")</f>
        <v>1.590686277606908</v>
      </c>
      <c r="I97" s="1">
        <f>IF(I$2&lt;&gt;"",VLOOKUP($C97,$A$2:I$46,I$1+4),"")</f>
        <v>1.4756127459380557</v>
      </c>
      <c r="J97" s="1">
        <f>IF(J$2&lt;&gt;"",VLOOKUP($C97,$A$2:J$46,J$1+4),"")</f>
        <v>1.5095588297966649</v>
      </c>
      <c r="K97" s="1" t="str">
        <f>IF(K$2&lt;&gt;"",VLOOKUP($C97,$A$2:K$46,K$1+4),"")</f>
        <v/>
      </c>
      <c r="L97" s="1">
        <f>IF(L$2&lt;&gt;"",VLOOKUP($C97,$A$2:L$46,L$1+4),"")</f>
        <v>1.7117647092132007</v>
      </c>
      <c r="M97" s="1">
        <f>IF(M$2&lt;&gt;"",VLOOKUP($C97,$A$2:M$46,M$1+4),"")</f>
        <v>1.4344362778041293</v>
      </c>
      <c r="N97" s="1">
        <f>IF(N$2&lt;&gt;"",VLOOKUP($C97,$A$2:N$46,N$1+4),"")</f>
        <v>1.8121323594056509</v>
      </c>
      <c r="O97" s="1" t="str">
        <f>IF(O$2&lt;&gt;"",VLOOKUP($C97,$A$2:O$46,O$1+4),"")</f>
        <v/>
      </c>
      <c r="P97" s="1">
        <f>IF(P$2&lt;&gt;"",VLOOKUP($C97,$A$2:P$46,P$1+4),"")</f>
        <v>1.3431372580282828</v>
      </c>
      <c r="Q97" s="1" t="str">
        <f>IF(Q$2&lt;&gt;"",VLOOKUP($C97,$A$2:Q$46,Q$1+4),"")</f>
        <v/>
      </c>
      <c r="R97" s="1">
        <f>IF(R$2&lt;&gt;"",VLOOKUP($C97,$A$2:R$46,R$1+4),"")</f>
        <v>1.6156862761167918</v>
      </c>
      <c r="S97" s="1">
        <f>IF(S$2&lt;&gt;"",VLOOKUP($C97,$A$2:S$46,S$1+4),"")</f>
        <v>1.6164215701906119</v>
      </c>
      <c r="T97" s="1">
        <f>IF(T$2&lt;&gt;"",VLOOKUP($C97,$A$2:T$46,T$1+4),"")</f>
        <v>1.486519608731546</v>
      </c>
      <c r="U97" s="1">
        <f>IF(U$2&lt;&gt;"",VLOOKUP($C97,$A$2:U$46,U$1+4),"")</f>
        <v>1.4155637261841227</v>
      </c>
      <c r="V97" s="1">
        <f>IF(V$2&lt;&gt;"",VLOOKUP($C97,$A$2:V$46,V$1+4),"")</f>
        <v>1.5033088301691939</v>
      </c>
      <c r="W97" s="1">
        <f>IF(W$2&lt;&gt;"",VLOOKUP($C97,$A$2:W$46,W$1+4),"")</f>
        <v>1.8488970630966566</v>
      </c>
      <c r="X97" s="1">
        <f>IF(X$2&lt;&gt;"",VLOOKUP($C97,$A$2:X$46,X$1+4),"")</f>
        <v>1.7013480431674157</v>
      </c>
      <c r="Y97" s="1">
        <f>IF(Y$2&lt;&gt;"",VLOOKUP($C97,$A$2:Y$46,Y$1+4),"")</f>
        <v>1.6905637300847207</v>
      </c>
      <c r="Z97" s="1">
        <f>IF(Z$2&lt;&gt;"",VLOOKUP($C97,$A$2:Z$46,Z$1+4),"")</f>
        <v>1.4784313732210328</v>
      </c>
      <c r="AA97" s="1">
        <f>IF(AA$2&lt;&gt;"",VLOOKUP($C97,$A$2:AA$46,AA$1+4),"")</f>
        <v>1.4524509826127221</v>
      </c>
      <c r="AB97" s="1">
        <f>IF(AB$2&lt;&gt;"",VLOOKUP($C97,$A$2:AB$46,AB$1+4),"")</f>
        <v>1.7110294151393806</v>
      </c>
      <c r="AC97" s="1">
        <f>IF(AC$2&lt;&gt;"",VLOOKUP($C97,$A$2:AC$46,AC$1+4),"")</f>
        <v>1.8854166694971568</v>
      </c>
      <c r="AD97" s="1">
        <f>IF(AD$2&lt;&gt;"",VLOOKUP($C97,$A$2:AD$46,AD$1+4),"")</f>
        <v>2.541176471493992</v>
      </c>
      <c r="AE97" s="1">
        <f>IF(AE$2&lt;&gt;"",VLOOKUP($C97,$A$2:AE$46,AE$1+4),"")</f>
        <v>1.5939951009390985</v>
      </c>
      <c r="AF97" s="1">
        <f>IF(AF$2&lt;&gt;"",VLOOKUP($C97,$A$2:AF$46,AF$1+4),"")</f>
        <v>1.5436274552169968</v>
      </c>
      <c r="AG97" s="1">
        <f>IF(AG$2&lt;&gt;"",VLOOKUP($C97,$A$2:AG$46,AG$1+4),"")</f>
        <v>1.6346813730238114</v>
      </c>
      <c r="AH97" s="1">
        <f>IF(AH$2&lt;&gt;"",VLOOKUP($C97,$A$2:AH$46,AH$1+4),"")</f>
        <v>1.7213235321728622</v>
      </c>
      <c r="AI97" s="1">
        <f>IF(AI$2&lt;&gt;"",VLOOKUP($C97,$A$2:AI$46,AI$1+4),"")</f>
        <v>1.4680147071752478</v>
      </c>
      <c r="AJ97" s="1">
        <f t="shared" si="13"/>
        <v>1.6450027260962143</v>
      </c>
      <c r="AK97" s="5">
        <f t="shared" si="14"/>
        <v>0.25817028935668646</v>
      </c>
    </row>
    <row r="98" spans="1:38">
      <c r="B98" s="12"/>
      <c r="C98" s="4">
        <f t="shared" si="24"/>
        <v>26</v>
      </c>
      <c r="D98" s="1" t="str">
        <f>IF(D$2&lt;&gt;"",VLOOKUP($C98,$A$2:D$46,D$1+4),"")</f>
        <v/>
      </c>
      <c r="E98" s="1">
        <f>IF(E$2&lt;&gt;"",VLOOKUP($C98,$A$2:E$46,E$1+4),"")</f>
        <v>1.4432598066899707</v>
      </c>
      <c r="F98" s="1">
        <f>IF(F$2&lt;&gt;"",VLOOKUP($C98,$A$2:F$46,F$1+4),"")</f>
        <v>2.2676470652514813</v>
      </c>
      <c r="G98" s="1" t="str">
        <f>IF(G$2&lt;&gt;"",VLOOKUP($C98,$A$2:G$46,G$1+4),"")</f>
        <v/>
      </c>
      <c r="H98" s="1">
        <f>IF(H$2&lt;&gt;"",VLOOKUP($C98,$A$2:H$46,H$1+4),"")</f>
        <v>1.6278186283348237</v>
      </c>
      <c r="I98" s="1">
        <f>IF(I$2&lt;&gt;"",VLOOKUP($C98,$A$2:I$46,I$1+4),"")</f>
        <v>1.5162990254733493</v>
      </c>
      <c r="J98" s="1">
        <f>IF(J$2&lt;&gt;"",VLOOKUP($C98,$A$2:J$46,J$1+4),"")</f>
        <v>1.5718137294437518</v>
      </c>
      <c r="K98" s="1" t="str">
        <f>IF(K$2&lt;&gt;"",VLOOKUP($C98,$A$2:K$46,K$1+4),"")</f>
        <v/>
      </c>
      <c r="L98" s="1">
        <f>IF(L$2&lt;&gt;"",VLOOKUP($C98,$A$2:L$46,L$1+4),"")</f>
        <v>1.7631127453683053</v>
      </c>
      <c r="M98" s="1">
        <f>IF(M$2&lt;&gt;"",VLOOKUP($C98,$A$2:M$46,M$1+4),"")</f>
        <v>1.4685049032244613</v>
      </c>
      <c r="N98" s="1">
        <f>IF(N$2&lt;&gt;"",VLOOKUP($C98,$A$2:N$46,N$1+4),"")</f>
        <v>1.8596813761793516</v>
      </c>
      <c r="O98" s="1" t="str">
        <f>IF(O$2&lt;&gt;"",VLOOKUP($C98,$A$2:O$46,O$1+4),"")</f>
        <v/>
      </c>
      <c r="P98" s="1">
        <f>IF(P$2&lt;&gt;"",VLOOKUP($C98,$A$2:P$46,P$1+4),"")</f>
        <v>1.3757352953009745</v>
      </c>
      <c r="Q98" s="1" t="str">
        <f>IF(Q$2&lt;&gt;"",VLOOKUP($C98,$A$2:Q$46,Q$1+4),"")</f>
        <v/>
      </c>
      <c r="R98" s="1">
        <f>IF(R$2&lt;&gt;"",VLOOKUP($C98,$A$2:R$46,R$1+4),"")</f>
        <v>1.6590686339227592</v>
      </c>
      <c r="S98" s="1">
        <f>IF(S$2&lt;&gt;"",VLOOKUP($C98,$A$2:S$46,S$1+4),"")</f>
        <v>1.649264712938491</v>
      </c>
      <c r="T98" s="1">
        <f>IF(T$2&lt;&gt;"",VLOOKUP($C98,$A$2:T$46,T$1+4),"")</f>
        <v>1.5164215744856526</v>
      </c>
      <c r="U98" s="1">
        <f>IF(U$2&lt;&gt;"",VLOOKUP($C98,$A$2:U$46,U$1+4),"")</f>
        <v>1.4474264731082847</v>
      </c>
      <c r="V98" s="1">
        <f>IF(V$2&lt;&gt;"",VLOOKUP($C98,$A$2:V$46,V$1+4),"")</f>
        <v>1.536029416454189</v>
      </c>
      <c r="W98" s="1">
        <f>IF(W$2&lt;&gt;"",VLOOKUP($C98,$A$2:W$46,W$1+4),"")</f>
        <v>1.8877450999968193</v>
      </c>
      <c r="X98" s="1">
        <f>IF(X$2&lt;&gt;"",VLOOKUP($C98,$A$2:X$46,X$1+4),"")</f>
        <v>1.7476715698180829</v>
      </c>
      <c r="Y98" s="1">
        <f>IF(Y$2&lt;&gt;"",VLOOKUP($C98,$A$2:Y$46,Y$1+4),"")</f>
        <v>1.7415441192029153</v>
      </c>
      <c r="Z98" s="1">
        <f>IF(Z$2&lt;&gt;"",VLOOKUP($C98,$A$2:Z$46,Z$1+4),"")</f>
        <v>1.5218137310270001</v>
      </c>
      <c r="AA98" s="1">
        <f>IF(AA$2&lt;&gt;"",VLOOKUP($C98,$A$2:AA$46,AA$1+4),"")</f>
        <v>1.4860294119838406</v>
      </c>
      <c r="AB98" s="1">
        <f>IF(AB$2&lt;&gt;"",VLOOKUP($C98,$A$2:AB$46,AB$1+4),"")</f>
        <v>1.7488970599411164</v>
      </c>
      <c r="AC98" s="1">
        <f>IF(AC$2&lt;&gt;"",VLOOKUP($C98,$A$2:AC$46,AC$1+4),"")</f>
        <v>1.9332107852267868</v>
      </c>
      <c r="AD98" s="1">
        <f>IF(AD$2&lt;&gt;"",VLOOKUP($C98,$A$2:AD$46,AD$1+4),"")</f>
        <v>2.5952205933703509</v>
      </c>
      <c r="AE98" s="1">
        <f>IF(AE$2&lt;&gt;"",VLOOKUP($C98,$A$2:AE$46,AE$1+4),"")</f>
        <v>1.6312500006793176</v>
      </c>
      <c r="AF98" s="1">
        <f>IF(AF$2&lt;&gt;"",VLOOKUP($C98,$A$2:AF$46,AF$1+4),"")</f>
        <v>1.5806372569326093</v>
      </c>
      <c r="AG98" s="1">
        <f>IF(AG$2&lt;&gt;"",VLOOKUP($C98,$A$2:AG$46,AG$1+4),"")</f>
        <v>1.6763480446575318</v>
      </c>
      <c r="AH98" s="1">
        <f>IF(AH$2&lt;&gt;"",VLOOKUP($C98,$A$2:AH$46,AH$1+4),"")</f>
        <v>1.7569852947531377</v>
      </c>
      <c r="AI98" s="1">
        <f>IF(AI$2&lt;&gt;"",VLOOKUP($C98,$A$2:AI$46,AI$1+4),"")</f>
        <v>1.5085784376982381</v>
      </c>
      <c r="AJ98" s="1">
        <f t="shared" si="13"/>
        <v>1.6858523996838362</v>
      </c>
      <c r="AK98" s="5">
        <f t="shared" si="14"/>
        <v>0.26233956136409525</v>
      </c>
    </row>
    <row r="99" spans="1:38">
      <c r="B99" s="12"/>
      <c r="C99" s="4">
        <f t="shared" si="24"/>
        <v>35</v>
      </c>
      <c r="D99" s="1" t="str">
        <f>IF(D$2&lt;&gt;"",VLOOKUP($C99,$A$2:D$46,D$1+4),"")</f>
        <v/>
      </c>
      <c r="E99" s="1">
        <f>IF(E$2&lt;&gt;"",VLOOKUP($C99,$A$2:E$46,E$1+4),"")</f>
        <v>1.487500002692618</v>
      </c>
      <c r="F99" s="1">
        <f>IF(F$2&lt;&gt;"",VLOOKUP($C99,$A$2:F$46,F$1+4),"")</f>
        <v>2.3303921595507977</v>
      </c>
      <c r="G99" s="1" t="str">
        <f>IF(G$2&lt;&gt;"",VLOOKUP($C99,$A$2:G$46,G$1+4),"")</f>
        <v/>
      </c>
      <c r="H99" s="1">
        <f>IF(H$2&lt;&gt;"",VLOOKUP($C99,$A$2:H$46,H$1+4),"")</f>
        <v>1.6742647114483749</v>
      </c>
      <c r="I99" s="1">
        <f>IF(I$2&lt;&gt;"",VLOOKUP($C99,$A$2:I$46,I$1+4),"")</f>
        <v>1.5531862781766583</v>
      </c>
      <c r="J99" s="1">
        <f>IF(J$2&lt;&gt;"",VLOOKUP($C99,$A$2:J$46,J$1+4),"")</f>
        <v>1.5840686292771031</v>
      </c>
      <c r="K99" s="1" t="str">
        <f>IF(K$2&lt;&gt;"",VLOOKUP($C99,$A$2:K$46,K$1+4),"")</f>
        <v/>
      </c>
      <c r="L99" s="1">
        <f>IF(L$2&lt;&gt;"",VLOOKUP($C99,$A$2:L$46,L$1+4),"")</f>
        <v>1.8151960904983913</v>
      </c>
      <c r="M99" s="1">
        <f>IF(M$2&lt;&gt;"",VLOOKUP($C99,$A$2:M$46,M$1+4),"")</f>
        <v>1.504044124243014</v>
      </c>
      <c r="N99" s="1">
        <f>IF(N$2&lt;&gt;"",VLOOKUP($C99,$A$2:N$46,N$1+4),"")</f>
        <v>1.9004901972763679</v>
      </c>
      <c r="O99" s="1" t="str">
        <f>IF(O$2&lt;&gt;"",VLOOKUP($C99,$A$2:O$46,O$1+4),"")</f>
        <v/>
      </c>
      <c r="P99" s="1">
        <f>IF(P$2&lt;&gt;"",VLOOKUP($C99,$A$2:P$46,P$1+4),"")</f>
        <v>1.4042892226182362</v>
      </c>
      <c r="Q99" s="1" t="str">
        <f>IF(Q$2&lt;&gt;"",VLOOKUP($C99,$A$2:Q$46,Q$1+4),"")</f>
        <v/>
      </c>
      <c r="R99" s="1">
        <f>IF(R$2&lt;&gt;"",VLOOKUP($C99,$A$2:R$46,R$1+4),"")</f>
        <v>1.6890931419370805</v>
      </c>
      <c r="S99" s="1">
        <f>IF(S$2&lt;&gt;"",VLOOKUP($C99,$A$2:S$46,S$1+4),"")</f>
        <v>1.6786764758912955</v>
      </c>
      <c r="T99" s="1">
        <f>IF(T$2&lt;&gt;"",VLOOKUP($C99,$A$2:T$46,T$1+4),"")</f>
        <v>1.548897062746041</v>
      </c>
      <c r="U99" s="1">
        <f>IF(U$2&lt;&gt;"",VLOOKUP($C99,$A$2:U$46,U$1+4),"")</f>
        <v>1.5125000002711793</v>
      </c>
      <c r="V99" s="1">
        <f>IF(V$2&lt;&gt;"",VLOOKUP($C99,$A$2:V$46,V$1+4),"")</f>
        <v>1.568014708665364</v>
      </c>
      <c r="W99" s="1">
        <f>IF(W$2&lt;&gt;"",VLOOKUP($C99,$A$2:W$46,W$1+4),"")</f>
        <v>1.9486519740127466</v>
      </c>
      <c r="X99" s="1">
        <f>IF(X$2&lt;&gt;"",VLOOKUP($C99,$A$2:X$46,X$1+4),"")</f>
        <v>1.8035539343295728</v>
      </c>
      <c r="Y99" s="1">
        <f>IF(Y$2&lt;&gt;"",VLOOKUP($C99,$A$2:Y$46,Y$1+4),"")</f>
        <v>1.7767157006351386</v>
      </c>
      <c r="Z99" s="1">
        <f>IF(Z$2&lt;&gt;"",VLOOKUP($C99,$A$2:Z$46,Z$1+4),"")</f>
        <v>1.5564951015088488</v>
      </c>
      <c r="AA99" s="1">
        <f>IF(AA$2&lt;&gt;"",VLOOKUP($C99,$A$2:AA$46,AA$1+4),"")</f>
        <v>1.5392156907740762</v>
      </c>
      <c r="AB99" s="1">
        <f>IF(AB$2&lt;&gt;"",VLOOKUP($C99,$A$2:AB$46,AB$1+4),"")</f>
        <v>1.7691176609410082</v>
      </c>
      <c r="AC99" s="1">
        <f>IF(AC$2&lt;&gt;"",VLOOKUP($C99,$A$2:AC$46,AC$1+4),"")</f>
        <v>1.9786764762419111</v>
      </c>
      <c r="AD99" s="1">
        <f>IF(AD$2&lt;&gt;"",VLOOKUP($C99,$A$2:AD$46,AD$1+4),"")</f>
        <v>2.634191179282817</v>
      </c>
      <c r="AE99" s="1">
        <f>IF(AE$2&lt;&gt;"",VLOOKUP($C99,$A$2:AE$46,AE$1+4),"")</f>
        <v>1.6678921628086005</v>
      </c>
      <c r="AF99" s="1">
        <f>IF(AF$2&lt;&gt;"",VLOOKUP($C99,$A$2:AF$46,AF$1+4),"")</f>
        <v>1.6178921715739896</v>
      </c>
      <c r="AG99" s="1">
        <f>IF(AG$2&lt;&gt;"",VLOOKUP($C99,$A$2:AG$46,AG$1+4),"")</f>
        <v>1.7128676503239308</v>
      </c>
      <c r="AH99" s="1">
        <f>IF(AH$2&lt;&gt;"",VLOOKUP($C99,$A$2:AH$46,AH$1+4),"")</f>
        <v>1.8107843260554706</v>
      </c>
      <c r="AI99" s="1">
        <f>IF(AI$2&lt;&gt;"",VLOOKUP($C99,$A$2:AI$46,AI$1+4),"")</f>
        <v>1.5491421607706477</v>
      </c>
      <c r="AJ99" s="1">
        <f t="shared" si="13"/>
        <v>1.7265114442426395</v>
      </c>
      <c r="AK99" s="5">
        <f t="shared" si="14"/>
        <v>0.26584584843761505</v>
      </c>
    </row>
    <row r="100" spans="1:38">
      <c r="B100" s="12"/>
      <c r="C100" s="4">
        <f t="shared" si="24"/>
        <v>44</v>
      </c>
      <c r="D100" s="1" t="str">
        <f>IF(D$2&lt;&gt;"",VLOOKUP($C100,$A$2:D$46,D$1+4),"")</f>
        <v/>
      </c>
      <c r="E100" s="1">
        <f>IF(E$2&lt;&gt;"",VLOOKUP($C100,$A$2:E$46,E$1+4),"")</f>
        <v>1.6102941179100205</v>
      </c>
      <c r="F100" s="1">
        <f>IF(F$2&lt;&gt;"",VLOOKUP($C100,$A$2:F$46,F$1+4),"")</f>
        <v>2.5035539288365958</v>
      </c>
      <c r="G100" s="1" t="str">
        <f>IF(G$2&lt;&gt;"",VLOOKUP($C100,$A$2:G$46,G$1+4),"")</f>
        <v/>
      </c>
      <c r="H100" s="1">
        <f>IF(H$2&lt;&gt;"",VLOOKUP($C100,$A$2:H$46,H$1+4),"")</f>
        <v>1.9289215739159022</v>
      </c>
      <c r="I100" s="1">
        <f>IF(I$2&lt;&gt;"",VLOOKUP($C100,$A$2:I$46,I$1+4),"")</f>
        <v>1.7123774600598742</v>
      </c>
      <c r="J100" s="1">
        <f>IF(J$2&lt;&gt;"",VLOOKUP($C100,$A$2:J$46,J$1+4),"")</f>
        <v>1.8018382390413215</v>
      </c>
      <c r="K100" s="1" t="str">
        <f>IF(K$2&lt;&gt;"",VLOOKUP($C100,$A$2:K$46,K$1+4),"")</f>
        <v/>
      </c>
      <c r="L100" s="1">
        <f>IF(L$2&lt;&gt;"",VLOOKUP($C100,$A$2:L$46,L$1+4),"")</f>
        <v>2.1379902187077438</v>
      </c>
      <c r="M100" s="1">
        <f>IF(M$2&lt;&gt;"",VLOOKUP($C100,$A$2:M$46,M$1+4),"")</f>
        <v>1.6275735435459544</v>
      </c>
      <c r="N100" s="1">
        <f>IF(N$2&lt;&gt;"",VLOOKUP($C100,$A$2:N$46,N$1+4),"")</f>
        <v>2.1610294123344564</v>
      </c>
      <c r="O100" s="1" t="str">
        <f>IF(O$2&lt;&gt;"",VLOOKUP($C100,$A$2:O$46,O$1+4),"")</f>
        <v/>
      </c>
      <c r="P100" s="1">
        <f>IF(P$2&lt;&gt;"",VLOOKUP($C100,$A$2:P$46,P$1+4),"")</f>
        <v>1.6324754984282395</v>
      </c>
      <c r="Q100" s="1" t="str">
        <f>IF(Q$2&lt;&gt;"",VLOOKUP($C100,$A$2:Q$46,Q$1+4),"")</f>
        <v/>
      </c>
      <c r="R100" s="1">
        <f>IF(R$2&lt;&gt;"",VLOOKUP($C100,$A$2:R$46,R$1+4),"")</f>
        <v>1.7906862880377208</v>
      </c>
      <c r="S100" s="1">
        <f>IF(S$2&lt;&gt;"",VLOOKUP($C100,$A$2:S$46,S$1+4),"")</f>
        <v>1.773039230266038</v>
      </c>
      <c r="T100" s="1">
        <f>IF(T$2&lt;&gt;"",VLOOKUP($C100,$A$2:T$46,T$1+4),"")</f>
        <v>1.6395833467516829</v>
      </c>
      <c r="U100" s="1">
        <f>IF(U$2&lt;&gt;"",VLOOKUP($C100,$A$2:U$46,U$1+4),"")</f>
        <v>1.5844362763140132</v>
      </c>
      <c r="V100" s="1">
        <f>IF(V$2&lt;&gt;"",VLOOKUP($C100,$A$2:V$46,V$1+4),"")</f>
        <v>1.6881127556238105</v>
      </c>
      <c r="W100" s="1">
        <f>IF(W$2&lt;&gt;"",VLOOKUP($C100,$A$2:W$46,W$1+4),"")</f>
        <v>2.1674019609742308</v>
      </c>
      <c r="X100" s="1">
        <f>IF(X$2&lt;&gt;"",VLOOKUP($C100,$A$2:X$46,X$1+4),"")</f>
        <v>2.0327206171391641</v>
      </c>
      <c r="Y100" s="1">
        <f>IF(Y$2&lt;&gt;"",VLOOKUP($C100,$A$2:Y$46,Y$1+4),"")</f>
        <v>1.9438725534169112</v>
      </c>
      <c r="Z100" s="1">
        <f>IF(Z$2&lt;&gt;"",VLOOKUP($C100,$A$2:Z$46,Z$1+4),"")</f>
        <v>1.7637254962149789</v>
      </c>
      <c r="AA100" s="1">
        <f>IF(AA$2&lt;&gt;"",VLOOKUP($C100,$A$2:AA$46,AA$1+4),"")</f>
        <v>1.8285539237234523</v>
      </c>
      <c r="AB100" s="1">
        <f>IF(AB$2&lt;&gt;"",VLOOKUP($C100,$A$2:AB$46,AB$1+4),"")</f>
        <v>1.8783088318346177</v>
      </c>
      <c r="AC100" s="1">
        <f>IF(AC$2&lt;&gt;"",VLOOKUP($C100,$A$2:AC$46,AC$1+4),"")</f>
        <v>2.190808831440175</v>
      </c>
      <c r="AD100" s="1">
        <f>IF(AD$2&lt;&gt;"",VLOOKUP($C100,$A$2:AD$46,AD$1+4),"")</f>
        <v>2.7278186395837394</v>
      </c>
      <c r="AE100" s="1">
        <f>IF(AE$2&lt;&gt;"",VLOOKUP($C100,$A$2:AE$46,AE$1+4),"")</f>
        <v>1.7933823663083945</v>
      </c>
      <c r="AF100" s="1">
        <f>IF(AF$2&lt;&gt;"",VLOOKUP($C100,$A$2:AF$46,AF$1+4),"")</f>
        <v>1.7772058875683476</v>
      </c>
      <c r="AG100" s="1">
        <f>IF(AG$2&lt;&gt;"",VLOOKUP($C100,$A$2:AG$46,AG$1+4),"")</f>
        <v>1.8686274598626529</v>
      </c>
      <c r="AH100" s="1">
        <f>IF(AH$2&lt;&gt;"",VLOOKUP($C100,$A$2:AH$46,AH$1+4),"")</f>
        <v>1.9751225515542661</v>
      </c>
      <c r="AI100" s="1">
        <f>IF(AI$2&lt;&gt;"",VLOOKUP($C100,$A$2:AI$46,AI$1+4),"")</f>
        <v>1.7191176557365586</v>
      </c>
      <c r="AJ100" s="1">
        <f t="shared" si="13"/>
        <v>1.898465876486328</v>
      </c>
      <c r="AK100" s="5">
        <f t="shared" si="14"/>
        <v>0.27425250640877419</v>
      </c>
    </row>
    <row r="101" spans="1:38"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  <c r="AA101" s="1"/>
      <c r="AB101" s="1"/>
      <c r="AC101" s="1"/>
      <c r="AD101" s="1"/>
      <c r="AE101" s="1"/>
      <c r="AF101" s="1"/>
      <c r="AG101" s="1"/>
      <c r="AH101" s="1"/>
      <c r="AI101" s="1"/>
      <c r="AJ101" s="1"/>
    </row>
    <row r="102" spans="1:38">
      <c r="B102" s="12">
        <v>0</v>
      </c>
      <c r="C102" s="4">
        <f>C54</f>
        <v>1</v>
      </c>
      <c r="D102" s="1" t="str">
        <f>IF(D54&lt;&gt;"",D54,"")</f>
        <v/>
      </c>
      <c r="E102" s="1">
        <f t="shared" ref="E102" si="25">IF(E54&lt;&gt;"",E54,"")</f>
        <v>0.28578431537721816</v>
      </c>
      <c r="F102" s="1">
        <f t="shared" ref="F102:AI102" si="26">IF(F54&lt;&gt;"",F54,"")</f>
        <v>0.41642157032254939</v>
      </c>
      <c r="G102" s="1" t="str">
        <f t="shared" si="26"/>
        <v/>
      </c>
      <c r="H102" s="1">
        <f t="shared" si="26"/>
        <v>0.35674019648679806</v>
      </c>
      <c r="I102" s="1">
        <f t="shared" si="26"/>
        <v>0.30588235479651715</v>
      </c>
      <c r="J102" s="1">
        <f t="shared" si="26"/>
        <v>0.30588235479651715</v>
      </c>
      <c r="K102" s="1" t="str">
        <f t="shared" si="26"/>
        <v/>
      </c>
      <c r="L102" s="1">
        <f t="shared" si="26"/>
        <v>0.34730392305874358</v>
      </c>
      <c r="M102" s="1">
        <f t="shared" si="26"/>
        <v>0.29730392207263734</v>
      </c>
      <c r="N102" s="1">
        <f t="shared" si="26"/>
        <v>0.41936274556552661</v>
      </c>
      <c r="O102" s="1" t="str">
        <f t="shared" si="26"/>
        <v/>
      </c>
      <c r="P102" s="1">
        <f t="shared" si="26"/>
        <v>0.29105392313909295</v>
      </c>
      <c r="Q102" s="1" t="str">
        <f t="shared" si="26"/>
        <v/>
      </c>
      <c r="R102" s="1">
        <f t="shared" si="26"/>
        <v>0.31470588275468819</v>
      </c>
      <c r="S102" s="1">
        <f t="shared" si="26"/>
        <v>0.32953431510603898</v>
      </c>
      <c r="T102" s="1">
        <f t="shared" si="26"/>
        <v>0.31519607892031692</v>
      </c>
      <c r="U102" s="1">
        <f t="shared" si="26"/>
        <v>0.29583333392499711</v>
      </c>
      <c r="V102" s="1">
        <f t="shared" si="26"/>
        <v>0.29178921721291307</v>
      </c>
      <c r="W102" s="1">
        <f t="shared" si="26"/>
        <v>0.38799019655322325</v>
      </c>
      <c r="X102" s="1">
        <f t="shared" si="26"/>
        <v>0.34117647244357596</v>
      </c>
      <c r="Y102" s="1">
        <f t="shared" si="26"/>
        <v>0.35502451013992814</v>
      </c>
      <c r="Z102" s="1">
        <f t="shared" si="26"/>
        <v>0.29816176515876081</v>
      </c>
      <c r="AA102" s="1">
        <f t="shared" si="26"/>
        <v>0.30073529459175419</v>
      </c>
      <c r="AB102" s="1">
        <f t="shared" si="26"/>
        <v>0.37034313778744499</v>
      </c>
      <c r="AC102" s="1">
        <f t="shared" si="26"/>
        <v>0.38799019655322325</v>
      </c>
      <c r="AD102" s="1">
        <f t="shared" si="26"/>
        <v>0.37622549194961274</v>
      </c>
      <c r="AE102" s="1">
        <f t="shared" si="26"/>
        <v>0.32941176470588235</v>
      </c>
      <c r="AF102" s="1">
        <f t="shared" si="26"/>
        <v>0.3053921585144731</v>
      </c>
      <c r="AG102" s="1">
        <f t="shared" si="26"/>
        <v>0.34276960942889656</v>
      </c>
      <c r="AH102" s="1">
        <f t="shared" si="26"/>
        <v>0.31372549065626137</v>
      </c>
      <c r="AI102" s="1">
        <f t="shared" si="26"/>
        <v>0.29411764775275018</v>
      </c>
      <c r="AJ102" s="1">
        <f t="shared" si="13"/>
        <v>0.33243918036186448</v>
      </c>
      <c r="AK102" s="5">
        <f t="shared" si="14"/>
        <v>3.9480172074789571E-2</v>
      </c>
      <c r="AL102" s="7">
        <f>255*AJ102</f>
        <v>84.771990992275448</v>
      </c>
    </row>
    <row r="103" spans="1:38" s="1" customFormat="1">
      <c r="A103" s="4"/>
      <c r="B103" s="12"/>
      <c r="C103" s="4">
        <f t="shared" ref="C103:C149" si="27">C54</f>
        <v>1</v>
      </c>
      <c r="D103" s="1" t="str">
        <f>IF(D102&lt;&gt;"",D54-D102,"")</f>
        <v/>
      </c>
      <c r="E103" s="1">
        <f t="shared" ref="E103" si="28">IF(E102&lt;&gt;"",E54-E102,"")</f>
        <v>0</v>
      </c>
      <c r="F103" s="1">
        <f t="shared" ref="F103:AI103" si="29">IF(F102&lt;&gt;"",F54-F102,"")</f>
        <v>0</v>
      </c>
      <c r="G103" s="1" t="str">
        <f t="shared" si="29"/>
        <v/>
      </c>
      <c r="H103" s="1">
        <f t="shared" si="29"/>
        <v>0</v>
      </c>
      <c r="I103" s="1">
        <f t="shared" si="29"/>
        <v>0</v>
      </c>
      <c r="J103" s="1">
        <f t="shared" si="29"/>
        <v>0</v>
      </c>
      <c r="K103" s="1" t="str">
        <f t="shared" si="29"/>
        <v/>
      </c>
      <c r="L103" s="1">
        <f t="shared" si="29"/>
        <v>0</v>
      </c>
      <c r="M103" s="1">
        <f t="shared" si="29"/>
        <v>0</v>
      </c>
      <c r="N103" s="1">
        <f t="shared" si="29"/>
        <v>0</v>
      </c>
      <c r="O103" s="1" t="str">
        <f t="shared" si="29"/>
        <v/>
      </c>
      <c r="P103" s="1">
        <f t="shared" si="29"/>
        <v>0</v>
      </c>
      <c r="Q103" s="1" t="str">
        <f t="shared" si="29"/>
        <v/>
      </c>
      <c r="R103" s="1">
        <f t="shared" si="29"/>
        <v>0</v>
      </c>
      <c r="S103" s="1">
        <f t="shared" si="29"/>
        <v>0</v>
      </c>
      <c r="T103" s="1">
        <f t="shared" si="29"/>
        <v>0</v>
      </c>
      <c r="U103" s="1">
        <f t="shared" si="29"/>
        <v>0</v>
      </c>
      <c r="V103" s="1">
        <f t="shared" si="29"/>
        <v>0</v>
      </c>
      <c r="W103" s="1">
        <f t="shared" si="29"/>
        <v>0</v>
      </c>
      <c r="X103" s="1">
        <f t="shared" si="29"/>
        <v>0</v>
      </c>
      <c r="Y103" s="1">
        <f t="shared" si="29"/>
        <v>0</v>
      </c>
      <c r="Z103" s="1">
        <f t="shared" si="29"/>
        <v>0</v>
      </c>
      <c r="AA103" s="1">
        <f t="shared" si="29"/>
        <v>0</v>
      </c>
      <c r="AB103" s="1">
        <f t="shared" si="29"/>
        <v>0</v>
      </c>
      <c r="AC103" s="1">
        <f t="shared" si="29"/>
        <v>0</v>
      </c>
      <c r="AD103" s="1">
        <f t="shared" si="29"/>
        <v>0</v>
      </c>
      <c r="AE103" s="1">
        <f t="shared" si="29"/>
        <v>0</v>
      </c>
      <c r="AF103" s="1">
        <f t="shared" si="29"/>
        <v>0</v>
      </c>
      <c r="AG103" s="1">
        <f t="shared" si="29"/>
        <v>0</v>
      </c>
      <c r="AH103" s="1">
        <f t="shared" si="29"/>
        <v>0</v>
      </c>
      <c r="AI103" s="1">
        <f t="shared" si="29"/>
        <v>0</v>
      </c>
      <c r="AJ103" s="1">
        <f t="shared" si="13"/>
        <v>0</v>
      </c>
      <c r="AK103" s="5">
        <f t="shared" si="14"/>
        <v>0</v>
      </c>
      <c r="AL103" s="7">
        <f>255*AJ103</f>
        <v>0</v>
      </c>
    </row>
    <row r="104" spans="1:38">
      <c r="B104" s="12"/>
      <c r="C104" s="4">
        <f t="shared" si="27"/>
        <v>10</v>
      </c>
      <c r="D104" s="1" t="str">
        <f>IF(D102&lt;&gt;"",D55-D103,"")</f>
        <v/>
      </c>
      <c r="E104" s="1">
        <f>IF(E102&lt;&gt;"",E55-E102,"")</f>
        <v>4.9019628204405308E-4</v>
      </c>
      <c r="F104" s="1">
        <f t="shared" ref="F104:AI104" si="30">IF(F102&lt;&gt;"",F55-F102,"")</f>
        <v>5.3921566577628255E-3</v>
      </c>
      <c r="G104" s="1" t="str">
        <f t="shared" si="30"/>
        <v/>
      </c>
      <c r="H104" s="1">
        <f t="shared" si="30"/>
        <v>1.0784314770717174E-2</v>
      </c>
      <c r="I104" s="1">
        <f t="shared" si="30"/>
        <v>4.2892154306173325E-3</v>
      </c>
      <c r="J104" s="1">
        <f t="shared" si="30"/>
        <v>7.8431367874145508E-3</v>
      </c>
      <c r="K104" s="1" t="str">
        <f t="shared" si="30"/>
        <v/>
      </c>
      <c r="L104" s="1">
        <f t="shared" si="30"/>
        <v>1.9607841968536377E-3</v>
      </c>
      <c r="M104" s="1">
        <f t="shared" si="30"/>
        <v>1.8382351845502853E-3</v>
      </c>
      <c r="N104" s="1">
        <f t="shared" si="30"/>
        <v>3.9215688593685627E-3</v>
      </c>
      <c r="O104" s="1" t="str">
        <f t="shared" si="30"/>
        <v/>
      </c>
      <c r="P104" s="1">
        <f t="shared" si="30"/>
        <v>3.0637253075838089E-3</v>
      </c>
      <c r="Q104" s="1" t="str">
        <f t="shared" si="30"/>
        <v/>
      </c>
      <c r="R104" s="1">
        <f t="shared" si="30"/>
        <v>6.8627465516328812E-3</v>
      </c>
      <c r="S104" s="1">
        <f t="shared" si="30"/>
        <v>7.3529407382011414E-3</v>
      </c>
      <c r="T104" s="1">
        <f t="shared" si="30"/>
        <v>6.3725503860041499E-3</v>
      </c>
      <c r="U104" s="1">
        <f t="shared" si="30"/>
        <v>1.0049020871520042E-2</v>
      </c>
      <c r="V104" s="1">
        <f t="shared" si="30"/>
        <v>1.0049019008874893E-2</v>
      </c>
      <c r="W104" s="1">
        <f t="shared" si="30"/>
        <v>7.1078441687859595E-3</v>
      </c>
      <c r="X104" s="1">
        <f t="shared" si="30"/>
        <v>7.8431367874145508E-3</v>
      </c>
      <c r="Y104" s="1">
        <f t="shared" si="30"/>
        <v>7.8431386500597E-3</v>
      </c>
      <c r="Z104" s="1">
        <f t="shared" si="30"/>
        <v>8.5784327238798141E-3</v>
      </c>
      <c r="AA104" s="1">
        <f t="shared" si="30"/>
        <v>1.213235390605405E-2</v>
      </c>
      <c r="AB104" s="1">
        <f t="shared" si="30"/>
        <v>6.004903232678771E-3</v>
      </c>
      <c r="AC104" s="1">
        <f t="shared" si="30"/>
        <v>7.9656876041553915E-3</v>
      </c>
      <c r="AD104" s="1">
        <f t="shared" si="30"/>
        <v>8.0882349284365773E-3</v>
      </c>
      <c r="AE104" s="1">
        <f t="shared" si="30"/>
        <v>2.3284315102500841E-3</v>
      </c>
      <c r="AF104" s="1">
        <f t="shared" si="30"/>
        <v>5.7598038110882044E-3</v>
      </c>
      <c r="AG104" s="1">
        <f t="shared" si="30"/>
        <v>4.2892156052403152E-3</v>
      </c>
      <c r="AH104" s="1">
        <f t="shared" si="30"/>
        <v>5.5147064267657697E-3</v>
      </c>
      <c r="AI104" s="1">
        <f t="shared" si="30"/>
        <v>3.9215683937072754E-3</v>
      </c>
      <c r="AJ104" s="1">
        <f t="shared" si="13"/>
        <v>6.2091506956171039E-3</v>
      </c>
      <c r="AK104" s="5">
        <f t="shared" si="14"/>
        <v>2.9244357174159847E-3</v>
      </c>
      <c r="AL104" s="7">
        <f>255*AJ104</f>
        <v>1.5833334273823616</v>
      </c>
    </row>
    <row r="105" spans="1:38">
      <c r="B105" s="12"/>
      <c r="C105" s="4">
        <f t="shared" si="27"/>
        <v>19</v>
      </c>
      <c r="D105" s="1" t="str">
        <f>IF(D102&lt;&gt;"",D56-D104,"")</f>
        <v/>
      </c>
      <c r="E105" s="1">
        <f>IF(E102&lt;&gt;"",E56-E102,"")</f>
        <v>8.2107840571552515E-3</v>
      </c>
      <c r="F105" s="1">
        <f t="shared" ref="F105:AI105" si="31">IF(F102&lt;&gt;"",F56-F102,"")</f>
        <v>1.7401959863491356E-2</v>
      </c>
      <c r="G105" s="1" t="str">
        <f t="shared" si="31"/>
        <v/>
      </c>
      <c r="H105" s="1">
        <f t="shared" si="31"/>
        <v>1.8504902545828372E-2</v>
      </c>
      <c r="I105" s="1">
        <f t="shared" si="31"/>
        <v>1.5318626537919044E-2</v>
      </c>
      <c r="J105" s="1">
        <f t="shared" si="31"/>
        <v>1.5686273574829102E-2</v>
      </c>
      <c r="K105" s="1" t="str">
        <f t="shared" si="31"/>
        <v/>
      </c>
      <c r="L105" s="1">
        <f t="shared" si="31"/>
        <v>1.0539215058088303E-2</v>
      </c>
      <c r="M105" s="1">
        <f t="shared" si="31"/>
        <v>1.6299020498991013E-2</v>
      </c>
      <c r="N105" s="1">
        <f t="shared" si="31"/>
        <v>9.9264737218618393E-3</v>
      </c>
      <c r="O105" s="1" t="str">
        <f t="shared" si="31"/>
        <v/>
      </c>
      <c r="P105" s="1">
        <f t="shared" si="31"/>
        <v>1.090686209499836E-2</v>
      </c>
      <c r="Q105" s="1" t="str">
        <f t="shared" si="31"/>
        <v/>
      </c>
      <c r="R105" s="1">
        <f t="shared" si="31"/>
        <v>1.9607843831181526E-2</v>
      </c>
      <c r="S105" s="1">
        <f t="shared" si="31"/>
        <v>1.6911763814277947E-2</v>
      </c>
      <c r="T105" s="1">
        <f t="shared" si="31"/>
        <v>1.4093138161115348E-2</v>
      </c>
      <c r="U105" s="1">
        <f t="shared" si="31"/>
        <v>1.5686275437474251E-2</v>
      </c>
      <c r="V105" s="1">
        <f t="shared" si="31"/>
        <v>1.666666567325592E-2</v>
      </c>
      <c r="W105" s="1">
        <f t="shared" si="31"/>
        <v>1.5686275437474251E-2</v>
      </c>
      <c r="X105" s="1">
        <f t="shared" si="31"/>
        <v>1.5686273574829102E-2</v>
      </c>
      <c r="Y105" s="1">
        <f t="shared" si="31"/>
        <v>1.4460785314440727E-2</v>
      </c>
      <c r="Z105" s="1">
        <f t="shared" si="31"/>
        <v>1.825980469584465E-2</v>
      </c>
      <c r="AA105" s="1">
        <f t="shared" si="31"/>
        <v>1.3357844029087573E-2</v>
      </c>
      <c r="AB105" s="1">
        <f t="shared" si="31"/>
        <v>1.3848040078300983E-2</v>
      </c>
      <c r="AC105" s="1">
        <f t="shared" si="31"/>
        <v>1.5441177412867546E-2</v>
      </c>
      <c r="AD105" s="1">
        <f t="shared" si="31"/>
        <v>1.5563724678941071E-2</v>
      </c>
      <c r="AE105" s="1">
        <f t="shared" si="31"/>
        <v>8.3333337679505348E-3</v>
      </c>
      <c r="AF105" s="1">
        <f t="shared" si="31"/>
        <v>8.9460781309753656E-3</v>
      </c>
      <c r="AG105" s="1">
        <f t="shared" si="31"/>
        <v>1.3970587577205151E-2</v>
      </c>
      <c r="AH105" s="1">
        <f t="shared" si="31"/>
        <v>1.2990197166800499E-2</v>
      </c>
      <c r="AI105" s="1">
        <f t="shared" si="31"/>
        <v>1.1764707043766975E-2</v>
      </c>
      <c r="AJ105" s="1">
        <f t="shared" si="13"/>
        <v>1.4224764214035261E-2</v>
      </c>
      <c r="AK105" s="5">
        <f t="shared" si="14"/>
        <v>3.1291884799861842E-3</v>
      </c>
      <c r="AL105" s="7">
        <f t="shared" ref="AL105:AL107" si="32">255*AJ105</f>
        <v>3.6273148745789916</v>
      </c>
    </row>
    <row r="106" spans="1:38">
      <c r="B106" s="12"/>
      <c r="C106" s="4">
        <f t="shared" si="27"/>
        <v>28</v>
      </c>
      <c r="D106" s="1" t="str">
        <f>IF(D102&lt;&gt;"",D57-D105,"")</f>
        <v/>
      </c>
      <c r="E106" s="1">
        <f>IF(E102&lt;&gt;"",E57-E102,"")</f>
        <v>1.4705881709232926E-2</v>
      </c>
      <c r="F106" s="1">
        <f t="shared" ref="F106:AI106" si="33">IF(F102&lt;&gt;"",F57-F102,"")</f>
        <v>2.4999998742714524E-2</v>
      </c>
      <c r="G106" s="1" t="str">
        <f t="shared" si="33"/>
        <v/>
      </c>
      <c r="H106" s="1">
        <f t="shared" si="33"/>
        <v>1.9730392668861896E-2</v>
      </c>
      <c r="I106" s="1">
        <f t="shared" si="33"/>
        <v>1.7647057771682739E-2</v>
      </c>
      <c r="J106" s="1">
        <f t="shared" si="33"/>
        <v>2.3039214313030243E-2</v>
      </c>
      <c r="K106" s="1" t="str">
        <f t="shared" si="33"/>
        <v/>
      </c>
      <c r="L106" s="1">
        <f t="shared" si="33"/>
        <v>1.8014704808592796E-2</v>
      </c>
      <c r="M106" s="1">
        <f t="shared" si="33"/>
        <v>2.2303922101855278E-2</v>
      </c>
      <c r="N106" s="1">
        <f t="shared" si="33"/>
        <v>1.6176473349332809E-2</v>
      </c>
      <c r="O106" s="1" t="str">
        <f t="shared" si="33"/>
        <v/>
      </c>
      <c r="P106" s="1">
        <f t="shared" si="33"/>
        <v>1.7279410734772682E-2</v>
      </c>
      <c r="Q106" s="1" t="str">
        <f t="shared" si="33"/>
        <v/>
      </c>
      <c r="R106" s="1">
        <f t="shared" si="33"/>
        <v>2.6470588520169258E-2</v>
      </c>
      <c r="S106" s="1">
        <f t="shared" si="33"/>
        <v>2.3284315946511924E-2</v>
      </c>
      <c r="T106" s="1">
        <f t="shared" si="33"/>
        <v>1.7647059517912567E-2</v>
      </c>
      <c r="U106" s="1">
        <f t="shared" si="33"/>
        <v>1.9730392843484879E-2</v>
      </c>
      <c r="V106" s="1">
        <f t="shared" si="33"/>
        <v>1.8014704808592796E-2</v>
      </c>
      <c r="W106" s="1">
        <f t="shared" si="33"/>
        <v>1.9975490868091583E-2</v>
      </c>
      <c r="X106" s="1">
        <f t="shared" si="33"/>
        <v>2.3529410362243652E-2</v>
      </c>
      <c r="Y106" s="1">
        <f t="shared" si="33"/>
        <v>2.1691177040338516E-2</v>
      </c>
      <c r="Z106" s="1">
        <f t="shared" si="33"/>
        <v>2.3774510249495506E-2</v>
      </c>
      <c r="AA106" s="1">
        <f t="shared" si="33"/>
        <v>2.0833333779592067E-2</v>
      </c>
      <c r="AB106" s="1">
        <f t="shared" si="33"/>
        <v>2.1813725878018886E-2</v>
      </c>
      <c r="AC106" s="1">
        <f t="shared" si="33"/>
        <v>2.1691177040338516E-2</v>
      </c>
      <c r="AD106" s="1">
        <f t="shared" si="33"/>
        <v>2.3406861466355622E-2</v>
      </c>
      <c r="AE106" s="1">
        <f t="shared" si="33"/>
        <v>1.5686275437474251E-2</v>
      </c>
      <c r="AF106" s="1">
        <f t="shared" si="33"/>
        <v>1.6421567881479859E-2</v>
      </c>
      <c r="AG106" s="1">
        <f t="shared" si="33"/>
        <v>2.1936273376923054E-2</v>
      </c>
      <c r="AH106" s="1">
        <f t="shared" si="33"/>
        <v>2.1323530003428459E-2</v>
      </c>
      <c r="AI106" s="1">
        <f t="shared" si="33"/>
        <v>1.4705883339047432E-2</v>
      </c>
      <c r="AJ106" s="1">
        <f t="shared" si="13"/>
        <v>2.0216049428132397E-2</v>
      </c>
      <c r="AK106" s="5">
        <f t="shared" si="14"/>
        <v>3.2406459701368544E-3</v>
      </c>
      <c r="AL106" s="7">
        <f t="shared" si="32"/>
        <v>5.1550926041737615</v>
      </c>
    </row>
    <row r="107" spans="1:38">
      <c r="B107" s="12"/>
      <c r="C107" s="4">
        <f t="shared" si="27"/>
        <v>37</v>
      </c>
      <c r="D107" s="1" t="str">
        <f>IF(D102&lt;&gt;"",D58-D106,"")</f>
        <v/>
      </c>
      <c r="E107" s="1">
        <f>IF(E102&lt;&gt;"",E58-E102,"")</f>
        <v>2.757352904882282E-2</v>
      </c>
      <c r="F107" s="1">
        <f t="shared" ref="F107:AI107" si="34">IF(F102&lt;&gt;"",F58-F102,"")</f>
        <v>4.3750001234002411E-2</v>
      </c>
      <c r="G107" s="1" t="str">
        <f t="shared" si="34"/>
        <v/>
      </c>
      <c r="H107" s="1">
        <f t="shared" si="34"/>
        <v>3.6397062067408115E-2</v>
      </c>
      <c r="I107" s="1">
        <f t="shared" si="34"/>
        <v>3.2965688034892082E-2</v>
      </c>
      <c r="J107" s="1">
        <f t="shared" si="34"/>
        <v>3.7867648527026176E-2</v>
      </c>
      <c r="K107" s="1" t="str">
        <f t="shared" si="34"/>
        <v/>
      </c>
      <c r="L107" s="1">
        <f t="shared" si="34"/>
        <v>3.7254903465509415E-2</v>
      </c>
      <c r="M107" s="1">
        <f t="shared" si="34"/>
        <v>3.3823529724031687E-2</v>
      </c>
      <c r="N107" s="1">
        <f t="shared" si="34"/>
        <v>3.5539217293262482E-2</v>
      </c>
      <c r="O107" s="1" t="str">
        <f t="shared" si="34"/>
        <v/>
      </c>
      <c r="P107" s="1">
        <f t="shared" si="34"/>
        <v>2.9534315690398216E-2</v>
      </c>
      <c r="Q107" s="1" t="str">
        <f t="shared" si="34"/>
        <v/>
      </c>
      <c r="R107" s="1">
        <f t="shared" si="34"/>
        <v>4.2279414716176689E-2</v>
      </c>
      <c r="S107" s="1">
        <f t="shared" si="34"/>
        <v>3.7500001490116119E-2</v>
      </c>
      <c r="T107" s="1">
        <f t="shared" si="34"/>
        <v>3.5049020778387785E-2</v>
      </c>
      <c r="U107" s="1">
        <f t="shared" si="34"/>
        <v>3.5049019497819245E-2</v>
      </c>
      <c r="V107" s="1">
        <f t="shared" si="34"/>
        <v>3.3333335071802139E-2</v>
      </c>
      <c r="W107" s="1">
        <f t="shared" si="34"/>
        <v>3.9705885341390967E-2</v>
      </c>
      <c r="X107" s="1">
        <f t="shared" si="34"/>
        <v>3.8480393588542938E-2</v>
      </c>
      <c r="Y107" s="1">
        <f t="shared" si="34"/>
        <v>3.9093140512704849E-2</v>
      </c>
      <c r="Z107" s="1">
        <f t="shared" si="34"/>
        <v>3.8602943997830153E-2</v>
      </c>
      <c r="AA107" s="1">
        <f t="shared" si="34"/>
        <v>3.7745101086329669E-2</v>
      </c>
      <c r="AB107" s="1">
        <f t="shared" si="34"/>
        <v>3.7254904687870294E-2</v>
      </c>
      <c r="AC107" s="1">
        <f t="shared" si="34"/>
        <v>4.0318630635738373E-2</v>
      </c>
      <c r="AD107" s="1">
        <f t="shared" si="34"/>
        <v>3.7867648643441498E-2</v>
      </c>
      <c r="AE107" s="1">
        <f t="shared" si="34"/>
        <v>3.3578432921785861E-2</v>
      </c>
      <c r="AF107" s="1">
        <f t="shared" si="34"/>
        <v>3.1250000931322575E-2</v>
      </c>
      <c r="AG107" s="1">
        <f t="shared" si="34"/>
        <v>3.897058981237933E-2</v>
      </c>
      <c r="AH107" s="1">
        <f t="shared" si="34"/>
        <v>3.5539216594770551E-2</v>
      </c>
      <c r="AI107" s="1">
        <f t="shared" si="34"/>
        <v>3.1495098024606705E-2</v>
      </c>
      <c r="AJ107" s="1">
        <f t="shared" si="13"/>
        <v>3.6215506422902562E-2</v>
      </c>
      <c r="AK107" s="5">
        <f t="shared" si="14"/>
        <v>3.7331252865803045E-3</v>
      </c>
      <c r="AL107" s="7">
        <f t="shared" si="32"/>
        <v>9.2349541378401536</v>
      </c>
    </row>
    <row r="108" spans="1:38">
      <c r="B108" s="12">
        <f>B102+1</f>
        <v>1</v>
      </c>
      <c r="C108" s="4">
        <f>C60</f>
        <v>2</v>
      </c>
      <c r="D108" s="1" t="str">
        <f>IF(D60&lt;&gt;"",D60,"")</f>
        <v/>
      </c>
      <c r="E108" s="1">
        <f t="shared" ref="E108:AI108" si="35">IF(E60&lt;&gt;"",E60,"")</f>
        <v>0.55294117693077116</v>
      </c>
      <c r="F108" s="1">
        <f t="shared" si="35"/>
        <v>0.7637254911748802</v>
      </c>
      <c r="G108" s="1" t="str">
        <f t="shared" si="35"/>
        <v/>
      </c>
      <c r="H108" s="1">
        <f t="shared" si="35"/>
        <v>0.64816176509302037</v>
      </c>
      <c r="I108" s="1">
        <f t="shared" si="35"/>
        <v>0.58897058957932047</v>
      </c>
      <c r="J108" s="1">
        <f t="shared" si="35"/>
        <v>0.60147058976923717</v>
      </c>
      <c r="K108" s="1" t="str">
        <f t="shared" si="35"/>
        <v/>
      </c>
      <c r="L108" s="1">
        <f t="shared" si="35"/>
        <v>0.64031862830560582</v>
      </c>
      <c r="M108" s="1">
        <f t="shared" si="35"/>
        <v>0.59105392278847746</v>
      </c>
      <c r="N108" s="1">
        <f t="shared" si="35"/>
        <v>0.7430147062329685</v>
      </c>
      <c r="O108" s="1" t="str">
        <f t="shared" si="35"/>
        <v/>
      </c>
      <c r="P108" s="1">
        <f t="shared" si="35"/>
        <v>0.57279411809263281</v>
      </c>
      <c r="Q108" s="1" t="str">
        <f t="shared" si="35"/>
        <v/>
      </c>
      <c r="R108" s="1">
        <f t="shared" si="35"/>
        <v>0.61666666706841367</v>
      </c>
      <c r="S108" s="1">
        <f t="shared" si="35"/>
        <v>0.63370098164122479</v>
      </c>
      <c r="T108" s="1">
        <f t="shared" si="35"/>
        <v>0.59154411883769087</v>
      </c>
      <c r="U108" s="1">
        <f t="shared" si="35"/>
        <v>0.57647058875277168</v>
      </c>
      <c r="V108" s="1">
        <f t="shared" si="35"/>
        <v>0.58051470773038916</v>
      </c>
      <c r="W108" s="1">
        <f t="shared" si="35"/>
        <v>0.70171568651555805</v>
      </c>
      <c r="X108" s="1">
        <f t="shared" si="35"/>
        <v>0.62512255077999013</v>
      </c>
      <c r="Y108" s="1">
        <f t="shared" si="35"/>
        <v>0.66678921753431064</v>
      </c>
      <c r="Z108" s="1">
        <f t="shared" si="35"/>
        <v>0.58026960953115947</v>
      </c>
      <c r="AA108" s="1">
        <f t="shared" si="35"/>
        <v>0.57720588288479946</v>
      </c>
      <c r="AB108" s="1">
        <f t="shared" si="35"/>
        <v>0.70980392319022445</v>
      </c>
      <c r="AC108" s="1">
        <f t="shared" si="35"/>
        <v>0.70502451130294008</v>
      </c>
      <c r="AD108" s="1">
        <f t="shared" si="35"/>
        <v>0.7412990230774763</v>
      </c>
      <c r="AE108" s="1">
        <f t="shared" si="35"/>
        <v>0.62340686454953553</v>
      </c>
      <c r="AF108" s="1">
        <f t="shared" si="35"/>
        <v>0.59399509902920244</v>
      </c>
      <c r="AG108" s="1">
        <f t="shared" si="35"/>
        <v>0.6390931381825723</v>
      </c>
      <c r="AH108" s="1">
        <f t="shared" si="35"/>
        <v>0.59031862871465735</v>
      </c>
      <c r="AI108" s="1">
        <f t="shared" si="35"/>
        <v>0.56053921732339351</v>
      </c>
      <c r="AJ108" s="1">
        <f t="shared" si="13"/>
        <v>0.63021968165234143</v>
      </c>
      <c r="AK108" s="5">
        <f t="shared" si="14"/>
        <v>6.0538140103089742E-2</v>
      </c>
      <c r="AL108" s="7">
        <f>255*AJ108</f>
        <v>160.70601882134707</v>
      </c>
    </row>
    <row r="109" spans="1:38">
      <c r="B109" s="12"/>
      <c r="C109" s="4">
        <f t="shared" si="27"/>
        <v>2</v>
      </c>
      <c r="D109" s="1" t="str">
        <f>IF(D108&lt;&gt;"",D60-D108,"")</f>
        <v/>
      </c>
      <c r="E109" s="1">
        <f t="shared" ref="E109:AI109" si="36">IF(E108&lt;&gt;"",E60-E108,"")</f>
        <v>0</v>
      </c>
      <c r="F109" s="1">
        <f t="shared" si="36"/>
        <v>0</v>
      </c>
      <c r="G109" s="1" t="str">
        <f t="shared" si="36"/>
        <v/>
      </c>
      <c r="H109" s="1">
        <f t="shared" si="36"/>
        <v>0</v>
      </c>
      <c r="I109" s="1">
        <f t="shared" si="36"/>
        <v>0</v>
      </c>
      <c r="J109" s="1">
        <f t="shared" si="36"/>
        <v>0</v>
      </c>
      <c r="K109" s="1" t="str">
        <f t="shared" si="36"/>
        <v/>
      </c>
      <c r="L109" s="1">
        <f t="shared" si="36"/>
        <v>0</v>
      </c>
      <c r="M109" s="1">
        <f t="shared" si="36"/>
        <v>0</v>
      </c>
      <c r="N109" s="1">
        <f t="shared" si="36"/>
        <v>0</v>
      </c>
      <c r="O109" s="1" t="str">
        <f t="shared" si="36"/>
        <v/>
      </c>
      <c r="P109" s="1">
        <f t="shared" si="36"/>
        <v>0</v>
      </c>
      <c r="Q109" s="1" t="str">
        <f t="shared" si="36"/>
        <v/>
      </c>
      <c r="R109" s="1">
        <f t="shared" si="36"/>
        <v>0</v>
      </c>
      <c r="S109" s="1">
        <f t="shared" si="36"/>
        <v>0</v>
      </c>
      <c r="T109" s="1">
        <f t="shared" si="36"/>
        <v>0</v>
      </c>
      <c r="U109" s="1">
        <f t="shared" si="36"/>
        <v>0</v>
      </c>
      <c r="V109" s="1">
        <f t="shared" si="36"/>
        <v>0</v>
      </c>
      <c r="W109" s="1">
        <f t="shared" si="36"/>
        <v>0</v>
      </c>
      <c r="X109" s="1">
        <f t="shared" si="36"/>
        <v>0</v>
      </c>
      <c r="Y109" s="1">
        <f t="shared" si="36"/>
        <v>0</v>
      </c>
      <c r="Z109" s="1">
        <f t="shared" si="36"/>
        <v>0</v>
      </c>
      <c r="AA109" s="1">
        <f t="shared" si="36"/>
        <v>0</v>
      </c>
      <c r="AB109" s="1">
        <f t="shared" si="36"/>
        <v>0</v>
      </c>
      <c r="AC109" s="1">
        <f t="shared" si="36"/>
        <v>0</v>
      </c>
      <c r="AD109" s="1">
        <f t="shared" si="36"/>
        <v>0</v>
      </c>
      <c r="AE109" s="1">
        <f t="shared" si="36"/>
        <v>0</v>
      </c>
      <c r="AF109" s="1">
        <f t="shared" si="36"/>
        <v>0</v>
      </c>
      <c r="AG109" s="1">
        <f t="shared" si="36"/>
        <v>0</v>
      </c>
      <c r="AH109" s="1">
        <f t="shared" si="36"/>
        <v>0</v>
      </c>
      <c r="AI109" s="1">
        <f t="shared" si="36"/>
        <v>0</v>
      </c>
      <c r="AJ109" s="1">
        <f t="shared" si="13"/>
        <v>0</v>
      </c>
      <c r="AK109" s="5">
        <f t="shared" si="14"/>
        <v>0</v>
      </c>
      <c r="AL109" s="7">
        <f>255*AJ109</f>
        <v>0</v>
      </c>
    </row>
    <row r="110" spans="1:38">
      <c r="B110" s="12"/>
      <c r="C110" s="4">
        <f t="shared" si="27"/>
        <v>11</v>
      </c>
      <c r="D110" s="1" t="str">
        <f>IF(D108&lt;&gt;"",D61-D109,"")</f>
        <v/>
      </c>
      <c r="E110" s="1">
        <f>IF(E108&lt;&gt;"",E61-E108,"")</f>
        <v>7.8431386500597E-3</v>
      </c>
      <c r="F110" s="1">
        <f t="shared" ref="F110:AI110" si="37">IF(F108&lt;&gt;"",F61-F108,"")</f>
        <v>8.8235288858413696E-3</v>
      </c>
      <c r="G110" s="1" t="str">
        <f t="shared" si="37"/>
        <v/>
      </c>
      <c r="H110" s="1">
        <f t="shared" si="37"/>
        <v>1.0416669771075249E-2</v>
      </c>
      <c r="I110" s="1">
        <f t="shared" si="37"/>
        <v>1.1519607156515121E-2</v>
      </c>
      <c r="J110" s="1">
        <f t="shared" si="37"/>
        <v>1.041666604578495E-2</v>
      </c>
      <c r="K110" s="1" t="str">
        <f t="shared" si="37"/>
        <v/>
      </c>
      <c r="L110" s="1">
        <f t="shared" si="37"/>
        <v>1.4460787060670555E-2</v>
      </c>
      <c r="M110" s="1">
        <f t="shared" si="37"/>
        <v>5.3921565413475037E-3</v>
      </c>
      <c r="N110" s="1">
        <f t="shared" si="37"/>
        <v>1.0049020871520042E-2</v>
      </c>
      <c r="O110" s="1" t="str">
        <f t="shared" si="37"/>
        <v/>
      </c>
      <c r="P110" s="1">
        <f t="shared" si="37"/>
        <v>7.5980406254529953E-3</v>
      </c>
      <c r="Q110" s="1" t="str">
        <f t="shared" si="37"/>
        <v/>
      </c>
      <c r="R110" s="1">
        <f t="shared" si="37"/>
        <v>1.1642158031463623E-2</v>
      </c>
      <c r="S110" s="1">
        <f t="shared" si="37"/>
        <v>1.1764705181121826E-2</v>
      </c>
      <c r="T110" s="1">
        <f t="shared" si="37"/>
        <v>1.2377450242638588E-2</v>
      </c>
      <c r="U110" s="1">
        <f t="shared" si="37"/>
        <v>1.1764706752728671E-2</v>
      </c>
      <c r="V110" s="1">
        <f t="shared" si="37"/>
        <v>1.5196077525615692E-2</v>
      </c>
      <c r="W110" s="1">
        <f t="shared" si="37"/>
        <v>8.2107856869697571E-3</v>
      </c>
      <c r="X110" s="1">
        <f t="shared" si="37"/>
        <v>1.3602940365672112E-2</v>
      </c>
      <c r="Y110" s="1">
        <f t="shared" si="37"/>
        <v>1.1642156168818474E-2</v>
      </c>
      <c r="Z110" s="1">
        <f t="shared" si="37"/>
        <v>8.2107839989475906E-3</v>
      </c>
      <c r="AA110" s="1">
        <f t="shared" si="37"/>
        <v>1.1029412620700896E-2</v>
      </c>
      <c r="AB110" s="1">
        <f t="shared" si="37"/>
        <v>1.0661764070391655E-2</v>
      </c>
      <c r="AC110" s="1">
        <f t="shared" si="37"/>
        <v>8.7009802809916437E-3</v>
      </c>
      <c r="AD110" s="1">
        <f t="shared" si="37"/>
        <v>9.8039209842681885E-3</v>
      </c>
      <c r="AE110" s="1">
        <f t="shared" si="37"/>
        <v>7.3529407964088023E-3</v>
      </c>
      <c r="AF110" s="1">
        <f t="shared" si="37"/>
        <v>9.9264709861017764E-3</v>
      </c>
      <c r="AG110" s="1">
        <f t="shared" si="37"/>
        <v>1.1642156168818474E-2</v>
      </c>
      <c r="AH110" s="1">
        <f t="shared" si="37"/>
        <v>1.3357842341065407E-2</v>
      </c>
      <c r="AI110" s="1">
        <f t="shared" si="37"/>
        <v>1.1642156401649117E-2</v>
      </c>
      <c r="AJ110" s="1">
        <f t="shared" si="13"/>
        <v>1.0557371267134807E-2</v>
      </c>
      <c r="AK110" s="5">
        <f t="shared" si="14"/>
        <v>2.3019107658452031E-3</v>
      </c>
      <c r="AL110" s="7">
        <f>255*AJ110</f>
        <v>2.6921296731193758</v>
      </c>
    </row>
    <row r="111" spans="1:38">
      <c r="B111" s="12"/>
      <c r="C111" s="4">
        <f t="shared" si="27"/>
        <v>20</v>
      </c>
      <c r="D111" s="1" t="str">
        <f>IF(D108&lt;&gt;"",D62-D110,"")</f>
        <v/>
      </c>
      <c r="E111" s="1">
        <f>IF(E108&lt;&gt;"",E62-E108,"")</f>
        <v>2.2794118151068687E-2</v>
      </c>
      <c r="F111" s="1">
        <f t="shared" ref="F111:AI111" si="38">IF(F108&lt;&gt;"",F62-F108,"")</f>
        <v>2.5980394333600998E-2</v>
      </c>
      <c r="G111" s="1" t="str">
        <f t="shared" si="38"/>
        <v/>
      </c>
      <c r="H111" s="1">
        <f t="shared" si="38"/>
        <v>2.3284316062927246E-2</v>
      </c>
      <c r="I111" s="1">
        <f t="shared" si="38"/>
        <v>2.7205884456634521E-2</v>
      </c>
      <c r="J111" s="1">
        <f t="shared" si="38"/>
        <v>2.5367648690007627E-2</v>
      </c>
      <c r="K111" s="1" t="str">
        <f t="shared" si="38"/>
        <v/>
      </c>
      <c r="L111" s="1">
        <f t="shared" si="38"/>
        <v>2.5612747296690941E-2</v>
      </c>
      <c r="M111" s="1">
        <f t="shared" si="38"/>
        <v>2.0955884829163551E-2</v>
      </c>
      <c r="N111" s="1">
        <f t="shared" si="38"/>
        <v>2.4019608274102211E-2</v>
      </c>
      <c r="O111" s="1" t="str">
        <f t="shared" si="38"/>
        <v/>
      </c>
      <c r="P111" s="1">
        <f t="shared" si="38"/>
        <v>2.291666716337204E-2</v>
      </c>
      <c r="Q111" s="1" t="str">
        <f t="shared" si="38"/>
        <v/>
      </c>
      <c r="R111" s="1">
        <f t="shared" si="38"/>
        <v>2.3406863212585449E-2</v>
      </c>
      <c r="S111" s="1">
        <f t="shared" si="38"/>
        <v>2.1446080878376961E-2</v>
      </c>
      <c r="T111" s="1">
        <f t="shared" si="38"/>
        <v>2.7696080505847931E-2</v>
      </c>
      <c r="U111" s="1">
        <f t="shared" si="38"/>
        <v>2.3774509958457202E-2</v>
      </c>
      <c r="V111" s="1">
        <f t="shared" si="38"/>
        <v>2.4632351705804467E-2</v>
      </c>
      <c r="W111" s="1">
        <f t="shared" si="38"/>
        <v>2.291666716337204E-2</v>
      </c>
      <c r="X111" s="1">
        <f t="shared" si="38"/>
        <v>2.7450980269350111E-2</v>
      </c>
      <c r="Y111" s="1">
        <f t="shared" si="38"/>
        <v>2.7083331835456192E-2</v>
      </c>
      <c r="Z111" s="1">
        <f t="shared" si="38"/>
        <v>2.4509802635293454E-2</v>
      </c>
      <c r="AA111" s="1">
        <f t="shared" si="38"/>
        <v>1.9607843481935561E-2</v>
      </c>
      <c r="AB111" s="1">
        <f t="shared" si="38"/>
        <v>2.5122548919171095E-2</v>
      </c>
      <c r="AC111" s="1">
        <f t="shared" si="38"/>
        <v>2.5735292991157621E-2</v>
      </c>
      <c r="AD111" s="1">
        <f t="shared" si="38"/>
        <v>2.7205880731344223E-2</v>
      </c>
      <c r="AE111" s="1">
        <f t="shared" si="38"/>
        <v>1.7156861780676991E-2</v>
      </c>
      <c r="AF111" s="1">
        <f t="shared" si="38"/>
        <v>1.8014705798123032E-2</v>
      </c>
      <c r="AG111" s="1">
        <f t="shared" si="38"/>
        <v>2.4632355198264122E-2</v>
      </c>
      <c r="AH111" s="1">
        <f t="shared" si="38"/>
        <v>2.4877453222870827E-2</v>
      </c>
      <c r="AI111" s="1">
        <f t="shared" si="38"/>
        <v>2.3651959607377648E-2</v>
      </c>
      <c r="AJ111" s="1">
        <f t="shared" ref="AJ111:AJ149" si="39">AVERAGE(D111:AI111)</f>
        <v>2.3965142190853064E-2</v>
      </c>
      <c r="AK111" s="5">
        <f t="shared" ref="AK111:AK149" si="40">STDEV(D111:AI111)</f>
        <v>2.7221617982645181E-3</v>
      </c>
      <c r="AL111" s="7">
        <f t="shared" ref="AL111:AL113" si="41">255*AJ111</f>
        <v>6.1111112586675311</v>
      </c>
    </row>
    <row r="112" spans="1:38">
      <c r="B112" s="12"/>
      <c r="C112" s="4">
        <f t="shared" si="27"/>
        <v>29</v>
      </c>
      <c r="D112" s="1" t="str">
        <f>IF(D108&lt;&gt;"",D63-D111,"")</f>
        <v/>
      </c>
      <c r="E112" s="1">
        <f>IF(E108&lt;&gt;"",E63-E108,"")</f>
        <v>2.9656862840056419E-2</v>
      </c>
      <c r="F112" s="1">
        <f t="shared" ref="F112:AI112" si="42">IF(F108&lt;&gt;"",F63-F108,"")</f>
        <v>3.6764707416296005E-2</v>
      </c>
      <c r="G112" s="1" t="str">
        <f t="shared" si="42"/>
        <v/>
      </c>
      <c r="H112" s="1">
        <f t="shared" si="42"/>
        <v>3.1004903838038445E-2</v>
      </c>
      <c r="I112" s="1">
        <f t="shared" si="42"/>
        <v>3.6887256428599358E-2</v>
      </c>
      <c r="J112" s="1">
        <f t="shared" si="42"/>
        <v>3.4558825194835663E-2</v>
      </c>
      <c r="K112" s="1" t="str">
        <f t="shared" si="42"/>
        <v/>
      </c>
      <c r="L112" s="1">
        <f t="shared" si="42"/>
        <v>3.8602942600846291E-2</v>
      </c>
      <c r="M112" s="1">
        <f t="shared" si="42"/>
        <v>3.075980581343174E-2</v>
      </c>
      <c r="N112" s="1">
        <f t="shared" si="42"/>
        <v>3.3946078736335039E-2</v>
      </c>
      <c r="O112" s="1" t="str">
        <f t="shared" si="42"/>
        <v/>
      </c>
      <c r="P112" s="1">
        <f t="shared" si="42"/>
        <v>3.0392156913876534E-2</v>
      </c>
      <c r="Q112" s="1" t="str">
        <f t="shared" si="42"/>
        <v/>
      </c>
      <c r="R112" s="1">
        <f t="shared" si="42"/>
        <v>3.5416667582467198E-2</v>
      </c>
      <c r="S112" s="1">
        <f t="shared" si="42"/>
        <v>3.5171570256352425E-2</v>
      </c>
      <c r="T112" s="1">
        <f t="shared" si="42"/>
        <v>3.7132354453206062E-2</v>
      </c>
      <c r="U112" s="1">
        <f t="shared" si="42"/>
        <v>3.1495098199229687E-2</v>
      </c>
      <c r="V112" s="1">
        <f t="shared" si="42"/>
        <v>3.5294119268655777E-2</v>
      </c>
      <c r="W112" s="1">
        <f t="shared" si="42"/>
        <v>3.566176793538034E-2</v>
      </c>
      <c r="X112" s="1">
        <f t="shared" si="42"/>
        <v>3.7377452477812767E-2</v>
      </c>
      <c r="Y112" s="1">
        <f t="shared" si="42"/>
        <v>3.7622550502419472E-2</v>
      </c>
      <c r="Z112" s="1">
        <f t="shared" si="42"/>
        <v>3.5416668455582112E-2</v>
      </c>
      <c r="AA112" s="1">
        <f t="shared" si="42"/>
        <v>3.1862745992839336E-2</v>
      </c>
      <c r="AB112" s="1">
        <f t="shared" si="42"/>
        <v>3.8970589637756348E-2</v>
      </c>
      <c r="AC112" s="1">
        <f t="shared" si="42"/>
        <v>3.5539217700716108E-2</v>
      </c>
      <c r="AD112" s="1">
        <f t="shared" si="42"/>
        <v>3.6519605666399002E-2</v>
      </c>
      <c r="AE112" s="1">
        <f t="shared" si="42"/>
        <v>3.1495099945459515E-2</v>
      </c>
      <c r="AF112" s="1">
        <f t="shared" si="42"/>
        <v>2.9656862432602793E-2</v>
      </c>
      <c r="AG112" s="1">
        <f t="shared" si="42"/>
        <v>3.90931386500597E-2</v>
      </c>
      <c r="AH112" s="1">
        <f t="shared" si="42"/>
        <v>3.7132354453206062E-2</v>
      </c>
      <c r="AI112" s="1">
        <f t="shared" si="42"/>
        <v>3.2598041230812669E-2</v>
      </c>
      <c r="AJ112" s="1">
        <f t="shared" si="39"/>
        <v>3.4667757208269367E-2</v>
      </c>
      <c r="AK112" s="5">
        <f t="shared" si="40"/>
        <v>2.9617911562973688E-3</v>
      </c>
      <c r="AL112" s="7">
        <f t="shared" si="41"/>
        <v>8.840278088108688</v>
      </c>
    </row>
    <row r="113" spans="2:38">
      <c r="B113" s="12"/>
      <c r="C113" s="4">
        <f t="shared" si="27"/>
        <v>38</v>
      </c>
      <c r="D113" s="1" t="str">
        <f>IF(D108&lt;&gt;"",D64-D112,"")</f>
        <v/>
      </c>
      <c r="E113" s="1">
        <f>IF(E108&lt;&gt;"",E64-E108,"")</f>
        <v>5.1470590755343437E-2</v>
      </c>
      <c r="F113" s="1">
        <f t="shared" ref="F113:AI113" si="43">IF(F108&lt;&gt;"",F64-F108,"")</f>
        <v>6.3848039135336876E-2</v>
      </c>
      <c r="G113" s="1" t="str">
        <f t="shared" si="43"/>
        <v/>
      </c>
      <c r="H113" s="1">
        <f t="shared" si="43"/>
        <v>5.3186275064945221E-2</v>
      </c>
      <c r="I113" s="1">
        <f t="shared" si="43"/>
        <v>6.0661764815449715E-2</v>
      </c>
      <c r="J113" s="1">
        <f t="shared" si="43"/>
        <v>5.8210784569382668E-2</v>
      </c>
      <c r="K113" s="1" t="str">
        <f t="shared" si="43"/>
        <v/>
      </c>
      <c r="L113" s="1">
        <f t="shared" si="43"/>
        <v>6.3235294073820114E-2</v>
      </c>
      <c r="M113" s="1">
        <f t="shared" si="43"/>
        <v>5.2696079015731812E-2</v>
      </c>
      <c r="N113" s="1">
        <f t="shared" si="43"/>
        <v>5.9313727426342666E-2</v>
      </c>
      <c r="O113" s="1" t="str">
        <f t="shared" si="43"/>
        <v/>
      </c>
      <c r="P113" s="1">
        <f t="shared" si="43"/>
        <v>5.2941178902983665E-2</v>
      </c>
      <c r="Q113" s="1" t="str">
        <f t="shared" si="43"/>
        <v/>
      </c>
      <c r="R113" s="1">
        <f t="shared" si="43"/>
        <v>5.6127453222870827E-2</v>
      </c>
      <c r="S113" s="1">
        <f t="shared" si="43"/>
        <v>5.625000037252903E-2</v>
      </c>
      <c r="T113" s="1">
        <f t="shared" si="43"/>
        <v>6.041666679084301E-2</v>
      </c>
      <c r="U113" s="1">
        <f t="shared" si="43"/>
        <v>5.2941178611945361E-2</v>
      </c>
      <c r="V113" s="1">
        <f t="shared" si="43"/>
        <v>5.625000037252903E-2</v>
      </c>
      <c r="W113" s="1">
        <f t="shared" si="43"/>
        <v>6.151960976421833E-2</v>
      </c>
      <c r="X113" s="1">
        <f t="shared" si="43"/>
        <v>6.6789215430617332E-2</v>
      </c>
      <c r="Y113" s="1">
        <f t="shared" si="43"/>
        <v>6.2132352963089943E-2</v>
      </c>
      <c r="Z113" s="1">
        <f t="shared" si="43"/>
        <v>5.7843137707095593E-2</v>
      </c>
      <c r="AA113" s="1">
        <f t="shared" si="43"/>
        <v>5.7352942996658385E-2</v>
      </c>
      <c r="AB113" s="1">
        <f t="shared" si="43"/>
        <v>6.1029411852359772E-2</v>
      </c>
      <c r="AC113" s="1">
        <f t="shared" si="43"/>
        <v>6.2745098432060331E-2</v>
      </c>
      <c r="AD113" s="1">
        <f t="shared" si="43"/>
        <v>6.2254905700683594E-2</v>
      </c>
      <c r="AE113" s="1">
        <f t="shared" si="43"/>
        <v>5.4411765246186405E-2</v>
      </c>
      <c r="AF113" s="1">
        <f t="shared" si="43"/>
        <v>5.3799021115992218E-2</v>
      </c>
      <c r="AG113" s="1">
        <f t="shared" si="43"/>
        <v>6.1151960864663124E-2</v>
      </c>
      <c r="AH113" s="1">
        <f t="shared" si="43"/>
        <v>6.0294117778539658E-2</v>
      </c>
      <c r="AI113" s="1">
        <f t="shared" si="43"/>
        <v>5.6862745666876435E-2</v>
      </c>
      <c r="AJ113" s="1">
        <f t="shared" si="39"/>
        <v>5.8360567357373876E-2</v>
      </c>
      <c r="AK113" s="5">
        <f t="shared" si="40"/>
        <v>4.0739068072209103E-3</v>
      </c>
      <c r="AL113" s="7">
        <f t="shared" si="41"/>
        <v>14.881944676130338</v>
      </c>
    </row>
    <row r="114" spans="2:38">
      <c r="B114" s="12">
        <f>B108+1</f>
        <v>2</v>
      </c>
      <c r="C114" s="4">
        <f>C66</f>
        <v>3</v>
      </c>
      <c r="D114" s="1" t="str">
        <f>IF(D66&lt;&gt;"",D66,"")</f>
        <v/>
      </c>
      <c r="E114" s="1">
        <f t="shared" ref="E114:AI114" si="44">IF(E66&lt;&gt;"",E66,"")</f>
        <v>0.7665441184578573</v>
      </c>
      <c r="F114" s="1">
        <f t="shared" si="44"/>
        <v>1.1289215688831082</v>
      </c>
      <c r="G114" s="1" t="str">
        <f t="shared" si="44"/>
        <v/>
      </c>
      <c r="H114" s="1">
        <f t="shared" si="44"/>
        <v>0.91127451017645056</v>
      </c>
      <c r="I114" s="1">
        <f t="shared" si="44"/>
        <v>0.83504902136137749</v>
      </c>
      <c r="J114" s="1">
        <f t="shared" si="44"/>
        <v>0.83137255226280171</v>
      </c>
      <c r="K114" s="1" t="str">
        <f t="shared" si="44"/>
        <v/>
      </c>
      <c r="L114" s="1">
        <f t="shared" si="44"/>
        <v>0.91433823577507267</v>
      </c>
      <c r="M114" s="1">
        <f t="shared" si="44"/>
        <v>0.82769608189370114</v>
      </c>
      <c r="N114" s="1">
        <f t="shared" si="44"/>
        <v>1.0582107855043574</v>
      </c>
      <c r="O114" s="1" t="str">
        <f t="shared" si="44"/>
        <v/>
      </c>
      <c r="P114" s="1">
        <f t="shared" si="44"/>
        <v>0.77046568685156458</v>
      </c>
      <c r="Q114" s="1" t="str">
        <f t="shared" si="44"/>
        <v/>
      </c>
      <c r="R114" s="1">
        <f t="shared" si="44"/>
        <v>0.88308823687188764</v>
      </c>
      <c r="S114" s="1">
        <f t="shared" si="44"/>
        <v>0.91470588577144285</v>
      </c>
      <c r="T114" s="1">
        <f t="shared" si="44"/>
        <v>0.83161764738706911</v>
      </c>
      <c r="U114" s="1">
        <f t="shared" si="44"/>
        <v>0.82610294473375756</v>
      </c>
      <c r="V114" s="1">
        <f t="shared" si="44"/>
        <v>0.83125000325049836</v>
      </c>
      <c r="W114" s="1">
        <f t="shared" si="44"/>
        <v>0.9996323532477368</v>
      </c>
      <c r="X114" s="1">
        <f t="shared" si="44"/>
        <v>0.91360294141021425</v>
      </c>
      <c r="Y114" s="1">
        <f t="shared" si="44"/>
        <v>0.93333333425369913</v>
      </c>
      <c r="Z114" s="1">
        <f t="shared" si="44"/>
        <v>0.81556372595037896</v>
      </c>
      <c r="AA114" s="1">
        <f t="shared" si="44"/>
        <v>0.79203431552992765</v>
      </c>
      <c r="AB114" s="1">
        <f t="shared" si="44"/>
        <v>1.0019607874400476</v>
      </c>
      <c r="AC114" s="1">
        <f t="shared" si="44"/>
        <v>0.9931372585542062</v>
      </c>
      <c r="AD114" s="1">
        <f t="shared" si="44"/>
        <v>1.0729166669807597</v>
      </c>
      <c r="AE114" s="1">
        <f t="shared" si="44"/>
        <v>0.88737745230250498</v>
      </c>
      <c r="AF114" s="1">
        <f t="shared" si="44"/>
        <v>0.8399509819699269</v>
      </c>
      <c r="AG114" s="1">
        <f t="shared" si="44"/>
        <v>0.90968137615059008</v>
      </c>
      <c r="AH114" s="1">
        <f t="shared" si="44"/>
        <v>0.82843137596752126</v>
      </c>
      <c r="AI114" s="1">
        <f t="shared" si="44"/>
        <v>0.78541666706110913</v>
      </c>
      <c r="AJ114" s="1">
        <f t="shared" si="39"/>
        <v>0.8927287598518362</v>
      </c>
      <c r="AK114" s="5">
        <f t="shared" si="40"/>
        <v>9.6385125844726041E-2</v>
      </c>
      <c r="AL114" s="7">
        <f>255*AJ114</f>
        <v>227.64583376221822</v>
      </c>
    </row>
    <row r="115" spans="2:38">
      <c r="B115" s="12"/>
      <c r="C115" s="4">
        <f t="shared" si="27"/>
        <v>3</v>
      </c>
      <c r="D115" s="1" t="str">
        <f>IF(D114&lt;&gt;"",D66-D114,"")</f>
        <v/>
      </c>
      <c r="E115" s="1">
        <f t="shared" ref="E115:AI115" si="45">IF(E114&lt;&gt;"",E66-E114,"")</f>
        <v>0</v>
      </c>
      <c r="F115" s="1">
        <f t="shared" si="45"/>
        <v>0</v>
      </c>
      <c r="G115" s="1" t="str">
        <f t="shared" si="45"/>
        <v/>
      </c>
      <c r="H115" s="1">
        <f t="shared" si="45"/>
        <v>0</v>
      </c>
      <c r="I115" s="1">
        <f t="shared" si="45"/>
        <v>0</v>
      </c>
      <c r="J115" s="1">
        <f t="shared" si="45"/>
        <v>0</v>
      </c>
      <c r="K115" s="1" t="str">
        <f t="shared" si="45"/>
        <v/>
      </c>
      <c r="L115" s="1">
        <f t="shared" si="45"/>
        <v>0</v>
      </c>
      <c r="M115" s="1">
        <f t="shared" si="45"/>
        <v>0</v>
      </c>
      <c r="N115" s="1">
        <f t="shared" si="45"/>
        <v>0</v>
      </c>
      <c r="O115" s="1" t="str">
        <f t="shared" si="45"/>
        <v/>
      </c>
      <c r="P115" s="1">
        <f t="shared" si="45"/>
        <v>0</v>
      </c>
      <c r="Q115" s="1" t="str">
        <f t="shared" si="45"/>
        <v/>
      </c>
      <c r="R115" s="1">
        <f t="shared" si="45"/>
        <v>0</v>
      </c>
      <c r="S115" s="1">
        <f t="shared" si="45"/>
        <v>0</v>
      </c>
      <c r="T115" s="1">
        <f t="shared" si="45"/>
        <v>0</v>
      </c>
      <c r="U115" s="1">
        <f t="shared" si="45"/>
        <v>0</v>
      </c>
      <c r="V115" s="1">
        <f t="shared" si="45"/>
        <v>0</v>
      </c>
      <c r="W115" s="1">
        <f t="shared" si="45"/>
        <v>0</v>
      </c>
      <c r="X115" s="1">
        <f t="shared" si="45"/>
        <v>0</v>
      </c>
      <c r="Y115" s="1">
        <f t="shared" si="45"/>
        <v>0</v>
      </c>
      <c r="Z115" s="1">
        <f t="shared" si="45"/>
        <v>0</v>
      </c>
      <c r="AA115" s="1">
        <f t="shared" si="45"/>
        <v>0</v>
      </c>
      <c r="AB115" s="1">
        <f t="shared" si="45"/>
        <v>0</v>
      </c>
      <c r="AC115" s="1">
        <f t="shared" si="45"/>
        <v>0</v>
      </c>
      <c r="AD115" s="1">
        <f t="shared" si="45"/>
        <v>0</v>
      </c>
      <c r="AE115" s="1">
        <f t="shared" si="45"/>
        <v>0</v>
      </c>
      <c r="AF115" s="1">
        <f t="shared" si="45"/>
        <v>0</v>
      </c>
      <c r="AG115" s="1">
        <f t="shared" si="45"/>
        <v>0</v>
      </c>
      <c r="AH115" s="1">
        <f t="shared" si="45"/>
        <v>0</v>
      </c>
      <c r="AI115" s="1">
        <f t="shared" si="45"/>
        <v>0</v>
      </c>
      <c r="AJ115" s="1">
        <f t="shared" si="39"/>
        <v>0</v>
      </c>
      <c r="AK115" s="5">
        <f t="shared" si="40"/>
        <v>0</v>
      </c>
      <c r="AL115" s="7">
        <f>255*AJ115</f>
        <v>0</v>
      </c>
    </row>
    <row r="116" spans="2:38">
      <c r="B116" s="12"/>
      <c r="C116" s="4">
        <f t="shared" si="27"/>
        <v>12</v>
      </c>
      <c r="D116" s="1" t="str">
        <f>IF(D114&lt;&gt;"",D67-D115,"")</f>
        <v/>
      </c>
      <c r="E116" s="1">
        <f>IF(E114&lt;&gt;"",E67-E114,"")</f>
        <v>9.9264699965715408E-3</v>
      </c>
      <c r="F116" s="1">
        <f t="shared" ref="F116:AI116" si="46">IF(F114&lt;&gt;"",F67-F114,"")</f>
        <v>1.4828432234935462E-2</v>
      </c>
      <c r="G116" s="1" t="str">
        <f t="shared" si="46"/>
        <v/>
      </c>
      <c r="H116" s="1">
        <f t="shared" si="46"/>
        <v>1.4705883339047432E-2</v>
      </c>
      <c r="I116" s="1">
        <f t="shared" si="46"/>
        <v>1.2745097395963967E-2</v>
      </c>
      <c r="J116" s="1">
        <f t="shared" si="46"/>
        <v>1.2622548267245293E-2</v>
      </c>
      <c r="K116" s="1" t="str">
        <f t="shared" si="46"/>
        <v/>
      </c>
      <c r="L116" s="1">
        <f t="shared" si="46"/>
        <v>2.3406862921547145E-2</v>
      </c>
      <c r="M116" s="1">
        <f t="shared" si="46"/>
        <v>1.0171568021178246E-2</v>
      </c>
      <c r="N116" s="1">
        <f t="shared" si="46"/>
        <v>1.4338234323076904E-2</v>
      </c>
      <c r="O116" s="1" t="str">
        <f t="shared" si="46"/>
        <v/>
      </c>
      <c r="P116" s="1">
        <f t="shared" si="46"/>
        <v>1.5931375324726105E-2</v>
      </c>
      <c r="Q116" s="1" t="str">
        <f t="shared" si="46"/>
        <v/>
      </c>
      <c r="R116" s="1">
        <f t="shared" si="46"/>
        <v>1.6053920611739159E-2</v>
      </c>
      <c r="S116" s="1">
        <f t="shared" si="46"/>
        <v>1.4705881476402283E-2</v>
      </c>
      <c r="T116" s="1">
        <f t="shared" si="46"/>
        <v>1.9240196677856147E-2</v>
      </c>
      <c r="U116" s="1">
        <f t="shared" si="46"/>
        <v>1.6053920611739159E-2</v>
      </c>
      <c r="V116" s="1">
        <f t="shared" si="46"/>
        <v>1.4828430488705635E-2</v>
      </c>
      <c r="W116" s="1">
        <f t="shared" si="46"/>
        <v>1.6299020440783463E-2</v>
      </c>
      <c r="X116" s="1">
        <f t="shared" si="46"/>
        <v>1.8137255683541298E-2</v>
      </c>
      <c r="Y116" s="1">
        <f t="shared" si="46"/>
        <v>1.5563728171400726E-2</v>
      </c>
      <c r="Z116" s="1">
        <f t="shared" si="46"/>
        <v>1.2009806931018829E-2</v>
      </c>
      <c r="AA116" s="1">
        <f t="shared" si="46"/>
        <v>1.5318626596126705E-2</v>
      </c>
      <c r="AB116" s="1">
        <f t="shared" si="46"/>
        <v>1.4215685427188873E-2</v>
      </c>
      <c r="AC116" s="1">
        <f t="shared" si="46"/>
        <v>1.4705881476402283E-2</v>
      </c>
      <c r="AD116" s="1">
        <f t="shared" si="46"/>
        <v>1.4338238164782524E-2</v>
      </c>
      <c r="AE116" s="1">
        <f t="shared" si="46"/>
        <v>1.1029411107301712E-2</v>
      </c>
      <c r="AF116" s="1">
        <f t="shared" si="46"/>
        <v>1.2009803205728531E-2</v>
      </c>
      <c r="AG116" s="1">
        <f t="shared" si="46"/>
        <v>1.5808822703547776E-2</v>
      </c>
      <c r="AH116" s="1">
        <f t="shared" si="46"/>
        <v>1.458333246409893E-2</v>
      </c>
      <c r="AI116" s="1">
        <f t="shared" si="46"/>
        <v>1.458333432674408E-2</v>
      </c>
      <c r="AJ116" s="1">
        <f t="shared" si="39"/>
        <v>1.4746732162570378E-2</v>
      </c>
      <c r="AK116" s="5">
        <f t="shared" si="40"/>
        <v>2.7610690020018541E-3</v>
      </c>
      <c r="AL116" s="7">
        <f>255*AJ116</f>
        <v>3.7604167014554464</v>
      </c>
    </row>
    <row r="117" spans="2:38">
      <c r="B117" s="12"/>
      <c r="C117" s="4">
        <f t="shared" si="27"/>
        <v>21</v>
      </c>
      <c r="D117" s="1" t="str">
        <f>IF(D114&lt;&gt;"",D68-D116,"")</f>
        <v/>
      </c>
      <c r="E117" s="1">
        <f>IF(E114&lt;&gt;"",E68-E114,"")</f>
        <v>2.2549021989107132E-2</v>
      </c>
      <c r="F117" s="1">
        <f t="shared" ref="F117:AI117" si="47">IF(F114&lt;&gt;"",F68-F114,"")</f>
        <v>3.8357846322469413E-2</v>
      </c>
      <c r="G117" s="1" t="str">
        <f t="shared" si="47"/>
        <v/>
      </c>
      <c r="H117" s="1">
        <f t="shared" si="47"/>
        <v>3.2720588147640228E-2</v>
      </c>
      <c r="I117" s="1">
        <f t="shared" si="47"/>
        <v>2.9411764699034393E-2</v>
      </c>
      <c r="J117" s="1">
        <f t="shared" si="47"/>
        <v>3.1249998137354851E-2</v>
      </c>
      <c r="K117" s="1" t="str">
        <f t="shared" si="47"/>
        <v/>
      </c>
      <c r="L117" s="1">
        <f t="shared" si="47"/>
        <v>4.6568629972171038E-2</v>
      </c>
      <c r="M117" s="1">
        <f t="shared" si="47"/>
        <v>2.7205880731344223E-2</v>
      </c>
      <c r="N117" s="1">
        <f t="shared" si="47"/>
        <v>3.1862746924161911E-2</v>
      </c>
      <c r="O117" s="1" t="str">
        <f t="shared" si="47"/>
        <v/>
      </c>
      <c r="P117" s="1">
        <f t="shared" si="47"/>
        <v>2.9901962727308273E-2</v>
      </c>
      <c r="Q117" s="1" t="str">
        <f t="shared" si="47"/>
        <v/>
      </c>
      <c r="R117" s="1">
        <f t="shared" si="47"/>
        <v>3.1372550874948502E-2</v>
      </c>
      <c r="S117" s="1">
        <f t="shared" si="47"/>
        <v>2.9901959002017975E-2</v>
      </c>
      <c r="T117" s="1">
        <f t="shared" si="47"/>
        <v>3.1740196631290019E-2</v>
      </c>
      <c r="U117" s="1">
        <f t="shared" si="47"/>
        <v>3.0392155051231384E-2</v>
      </c>
      <c r="V117" s="1">
        <f t="shared" si="47"/>
        <v>2.4632351472973824E-2</v>
      </c>
      <c r="W117" s="1">
        <f t="shared" si="47"/>
        <v>3.9705885516014061E-2</v>
      </c>
      <c r="X117" s="1">
        <f t="shared" si="47"/>
        <v>3.9460787549614906E-2</v>
      </c>
      <c r="Y117" s="1">
        <f t="shared" si="47"/>
        <v>3.5294119268655777E-2</v>
      </c>
      <c r="Z117" s="1">
        <f t="shared" si="47"/>
        <v>3.0882354825735092E-2</v>
      </c>
      <c r="AA117" s="1">
        <f t="shared" si="47"/>
        <v>2.7328429801855236E-2</v>
      </c>
      <c r="AB117" s="1">
        <f t="shared" si="47"/>
        <v>3.3088233321905136E-2</v>
      </c>
      <c r="AC117" s="1">
        <f t="shared" si="47"/>
        <v>3.6764703691005707E-2</v>
      </c>
      <c r="AD117" s="1">
        <f t="shared" si="47"/>
        <v>3.235294297337532E-2</v>
      </c>
      <c r="AE117" s="1">
        <f t="shared" si="47"/>
        <v>2.9411766678094864E-2</v>
      </c>
      <c r="AF117" s="1">
        <f t="shared" si="47"/>
        <v>2.7450982481241226E-2</v>
      </c>
      <c r="AG117" s="1">
        <f t="shared" si="47"/>
        <v>3.3946076524443924E-2</v>
      </c>
      <c r="AH117" s="1">
        <f t="shared" si="47"/>
        <v>2.965686097741127E-2</v>
      </c>
      <c r="AI117" s="1">
        <f t="shared" si="47"/>
        <v>3.2720588147640228E-2</v>
      </c>
      <c r="AJ117" s="1">
        <f t="shared" si="39"/>
        <v>3.2071532757038737E-2</v>
      </c>
      <c r="AK117" s="5">
        <f t="shared" si="40"/>
        <v>4.9958972498289553E-3</v>
      </c>
      <c r="AL117" s="7">
        <f t="shared" ref="AL117:AL119" si="48">255*AJ117</f>
        <v>8.178240853044878</v>
      </c>
    </row>
    <row r="118" spans="2:38">
      <c r="B118" s="12"/>
      <c r="C118" s="4">
        <f t="shared" si="27"/>
        <v>30</v>
      </c>
      <c r="D118" s="1" t="str">
        <f>IF(D114&lt;&gt;"",D69-D117,"")</f>
        <v/>
      </c>
      <c r="E118" s="1">
        <f>IF(E114&lt;&gt;"",E69-E114,"")</f>
        <v>3.7254903465509415E-2</v>
      </c>
      <c r="F118" s="1">
        <f t="shared" ref="F118:AI118" si="49">IF(F114&lt;&gt;"",F69-F114,"")</f>
        <v>5.784313939511776E-2</v>
      </c>
      <c r="G118" s="1" t="str">
        <f t="shared" si="49"/>
        <v/>
      </c>
      <c r="H118" s="1">
        <f t="shared" si="49"/>
        <v>4.5220591127872467E-2</v>
      </c>
      <c r="I118" s="1">
        <f t="shared" si="49"/>
        <v>4.4485295307822526E-2</v>
      </c>
      <c r="J118" s="1">
        <f t="shared" si="49"/>
        <v>4.6691173687577248E-2</v>
      </c>
      <c r="K118" s="1" t="str">
        <f t="shared" si="49"/>
        <v/>
      </c>
      <c r="L118" s="1">
        <f t="shared" si="49"/>
        <v>7.5122549838852137E-2</v>
      </c>
      <c r="M118" s="1">
        <f t="shared" si="49"/>
        <v>4.4485291698947549E-2</v>
      </c>
      <c r="N118" s="1">
        <f t="shared" si="49"/>
        <v>4.8039216548204422E-2</v>
      </c>
      <c r="O118" s="1" t="str">
        <f t="shared" si="49"/>
        <v/>
      </c>
      <c r="P118" s="1">
        <f t="shared" si="49"/>
        <v>4.0931373834609985E-2</v>
      </c>
      <c r="Q118" s="1" t="str">
        <f t="shared" si="49"/>
        <v/>
      </c>
      <c r="R118" s="1">
        <f t="shared" si="49"/>
        <v>4.7671569511294365E-2</v>
      </c>
      <c r="S118" s="1">
        <f t="shared" si="49"/>
        <v>4.5465683564543724E-2</v>
      </c>
      <c r="T118" s="1">
        <f t="shared" si="49"/>
        <v>4.4975492986850441E-2</v>
      </c>
      <c r="U118" s="1">
        <f t="shared" si="49"/>
        <v>4.3504899367690086E-2</v>
      </c>
      <c r="V118" s="1">
        <f t="shared" si="49"/>
        <v>4.2034311220049858E-2</v>
      </c>
      <c r="W118" s="1">
        <f t="shared" si="49"/>
        <v>5.6372551189269982E-2</v>
      </c>
      <c r="X118" s="1">
        <f t="shared" si="49"/>
        <v>5.9558825567364693E-2</v>
      </c>
      <c r="Y118" s="1">
        <f t="shared" si="49"/>
        <v>4.8897059634327888E-2</v>
      </c>
      <c r="Z118" s="1">
        <f t="shared" si="49"/>
        <v>4.3995099375024438E-2</v>
      </c>
      <c r="AA118" s="1">
        <f t="shared" si="49"/>
        <v>4.1421569942031056E-2</v>
      </c>
      <c r="AB118" s="1">
        <f t="shared" si="49"/>
        <v>4.9999999580904841E-2</v>
      </c>
      <c r="AC118" s="1">
        <f t="shared" si="49"/>
        <v>5.1715683192014694E-2</v>
      </c>
      <c r="AD118" s="1">
        <f t="shared" si="49"/>
        <v>4.9142157658934593E-2</v>
      </c>
      <c r="AE118" s="1">
        <f t="shared" si="49"/>
        <v>4.583333432674408E-2</v>
      </c>
      <c r="AF118" s="1">
        <f t="shared" si="49"/>
        <v>4.0318628773093224E-2</v>
      </c>
      <c r="AG118" s="1">
        <f t="shared" si="49"/>
        <v>4.9632350099273026E-2</v>
      </c>
      <c r="AH118" s="1">
        <f t="shared" si="49"/>
        <v>4.5710781589150429E-2</v>
      </c>
      <c r="AI118" s="1">
        <f t="shared" si="49"/>
        <v>4.3014708906412125E-2</v>
      </c>
      <c r="AJ118" s="1">
        <f t="shared" si="39"/>
        <v>4.7753268199610628E-2</v>
      </c>
      <c r="AK118" s="5">
        <f t="shared" si="40"/>
        <v>7.5480801062121601E-3</v>
      </c>
      <c r="AL118" s="7">
        <f t="shared" si="48"/>
        <v>12.177083390900711</v>
      </c>
    </row>
    <row r="119" spans="2:38">
      <c r="B119" s="12"/>
      <c r="C119" s="4">
        <f t="shared" si="27"/>
        <v>39</v>
      </c>
      <c r="D119" s="1" t="str">
        <f>IF(D114&lt;&gt;"",D70-D118,"")</f>
        <v/>
      </c>
      <c r="E119" s="1">
        <f>IF(E114&lt;&gt;"",E70-E114,"")</f>
        <v>6.2990196049213409E-2</v>
      </c>
      <c r="F119" s="1">
        <f t="shared" ref="F119:AI119" si="50">IF(F114&lt;&gt;"",F70-F114,"")</f>
        <v>0.11151961423456669</v>
      </c>
      <c r="G119" s="1" t="str">
        <f t="shared" si="50"/>
        <v/>
      </c>
      <c r="H119" s="1">
        <f t="shared" si="50"/>
        <v>0.10306373238563538</v>
      </c>
      <c r="I119" s="1">
        <f t="shared" si="50"/>
        <v>7.1568627026863396E-2</v>
      </c>
      <c r="J119" s="1">
        <f t="shared" si="50"/>
        <v>7.401961088180542E-2</v>
      </c>
      <c r="K119" s="1" t="str">
        <f t="shared" si="50"/>
        <v/>
      </c>
      <c r="L119" s="1">
        <f t="shared" si="50"/>
        <v>0.18345588416559622</v>
      </c>
      <c r="M119" s="1">
        <f t="shared" si="50"/>
        <v>6.6666670143604279E-2</v>
      </c>
      <c r="N119" s="1">
        <f t="shared" si="50"/>
        <v>0.10735294595360756</v>
      </c>
      <c r="O119" s="1" t="str">
        <f t="shared" si="50"/>
        <v/>
      </c>
      <c r="P119" s="1">
        <f t="shared" si="50"/>
        <v>6.9362746551632881E-2</v>
      </c>
      <c r="Q119" s="1" t="str">
        <f t="shared" si="50"/>
        <v/>
      </c>
      <c r="R119" s="1">
        <f t="shared" si="50"/>
        <v>7.757352851331234E-2</v>
      </c>
      <c r="S119" s="1">
        <f t="shared" si="50"/>
        <v>7.4387257918715477E-2</v>
      </c>
      <c r="T119" s="1">
        <f t="shared" si="50"/>
        <v>7.6348040136508644E-2</v>
      </c>
      <c r="U119" s="1">
        <f t="shared" si="50"/>
        <v>7.3651963844895363E-2</v>
      </c>
      <c r="V119" s="1">
        <f t="shared" si="50"/>
        <v>6.985294446349144E-2</v>
      </c>
      <c r="W119" s="1">
        <f t="shared" si="50"/>
        <v>0.1118872612132692</v>
      </c>
      <c r="X119" s="1">
        <f t="shared" si="50"/>
        <v>0.16862745396792889</v>
      </c>
      <c r="Y119" s="1">
        <f t="shared" si="50"/>
        <v>8.1862751394510269E-2</v>
      </c>
      <c r="Z119" s="1">
        <f t="shared" si="50"/>
        <v>7.1078437613323331E-2</v>
      </c>
      <c r="AA119" s="1">
        <f t="shared" si="50"/>
        <v>6.973039178410545E-2</v>
      </c>
      <c r="AB119" s="1">
        <f t="shared" si="50"/>
        <v>8.0759806558489799E-2</v>
      </c>
      <c r="AC119" s="1">
        <f t="shared" si="50"/>
        <v>8.9828433468937874E-2</v>
      </c>
      <c r="AD119" s="1">
        <f t="shared" si="50"/>
        <v>8.3823535591363907E-2</v>
      </c>
      <c r="AE119" s="1">
        <f t="shared" si="50"/>
        <v>7.4387254193425179E-2</v>
      </c>
      <c r="AF119" s="1">
        <f t="shared" si="50"/>
        <v>6.8259803578257561E-2</v>
      </c>
      <c r="AG119" s="1">
        <f t="shared" si="50"/>
        <v>7.7573531889356673E-2</v>
      </c>
      <c r="AH119" s="1">
        <f t="shared" si="50"/>
        <v>7.1691179648041725E-2</v>
      </c>
      <c r="AI119" s="1">
        <f t="shared" si="50"/>
        <v>7.4142158031463623E-2</v>
      </c>
      <c r="AJ119" s="1">
        <f t="shared" si="39"/>
        <v>8.6869102266737844E-2</v>
      </c>
      <c r="AK119" s="5">
        <f t="shared" si="40"/>
        <v>2.9111434321733617E-2</v>
      </c>
      <c r="AL119" s="7">
        <f t="shared" si="48"/>
        <v>22.151621078018149</v>
      </c>
    </row>
    <row r="120" spans="2:38">
      <c r="B120" s="12">
        <f>B114+1</f>
        <v>3</v>
      </c>
      <c r="C120" s="4">
        <f>C72</f>
        <v>4</v>
      </c>
      <c r="D120" s="1" t="str">
        <f>IF(D72&lt;&gt;"",D72,"")</f>
        <v/>
      </c>
      <c r="E120" s="1">
        <f t="shared" ref="E120:AI120" si="51">IF(E72&lt;&gt;"",E72,"")</f>
        <v>0.89129902069621225</v>
      </c>
      <c r="F120" s="1">
        <f t="shared" si="51"/>
        <v>1.32732843171586</v>
      </c>
      <c r="G120" s="1" t="str">
        <f t="shared" si="51"/>
        <v/>
      </c>
      <c r="H120" s="1">
        <f t="shared" si="51"/>
        <v>1.0509803937784596</v>
      </c>
      <c r="I120" s="1">
        <f t="shared" si="51"/>
        <v>0.96544117804835827</v>
      </c>
      <c r="J120" s="1">
        <f t="shared" si="51"/>
        <v>0.95269607890616448</v>
      </c>
      <c r="K120" s="1" t="str">
        <f t="shared" si="51"/>
        <v/>
      </c>
      <c r="L120" s="1">
        <f t="shared" si="51"/>
        <v>1.0515931388399764</v>
      </c>
      <c r="M120" s="1">
        <f t="shared" si="51"/>
        <v>0.93602941252437288</v>
      </c>
      <c r="N120" s="1">
        <f t="shared" si="51"/>
        <v>1.2117647064580381</v>
      </c>
      <c r="O120" s="1" t="str">
        <f t="shared" si="51"/>
        <v/>
      </c>
      <c r="P120" s="1">
        <f t="shared" si="51"/>
        <v>0.88872549143784185</v>
      </c>
      <c r="Q120" s="1" t="str">
        <f t="shared" si="51"/>
        <v/>
      </c>
      <c r="R120" s="1">
        <f t="shared" si="51"/>
        <v>1.007843138876499</v>
      </c>
      <c r="S120" s="1">
        <f t="shared" si="51"/>
        <v>1.0430147061160966</v>
      </c>
      <c r="T120" s="1">
        <f t="shared" si="51"/>
        <v>0.92598039351549799</v>
      </c>
      <c r="U120" s="1">
        <f t="shared" si="51"/>
        <v>0.93321078524139578</v>
      </c>
      <c r="V120" s="1">
        <f t="shared" si="51"/>
        <v>0.93321078524139578</v>
      </c>
      <c r="W120" s="1">
        <f t="shared" si="51"/>
        <v>1.1655637290333307</v>
      </c>
      <c r="X120" s="1">
        <f t="shared" si="51"/>
        <v>1.0620098048857614</v>
      </c>
      <c r="Y120" s="1">
        <f t="shared" si="51"/>
        <v>1.0667892163655921</v>
      </c>
      <c r="Z120" s="1">
        <f t="shared" si="51"/>
        <v>0.9131127454192085</v>
      </c>
      <c r="AA120" s="1">
        <f t="shared" si="51"/>
        <v>0.91764706206672331</v>
      </c>
      <c r="AB120" s="1">
        <f t="shared" si="51"/>
        <v>1.1375000016069881</v>
      </c>
      <c r="AC120" s="1">
        <f t="shared" si="51"/>
        <v>1.1620098053482271</v>
      </c>
      <c r="AD120" s="1">
        <f t="shared" si="51"/>
        <v>1.2435049023908362</v>
      </c>
      <c r="AE120" s="1">
        <f t="shared" si="51"/>
        <v>1.0007352946495054</v>
      </c>
      <c r="AF120" s="1">
        <f t="shared" si="51"/>
        <v>0.96825980533133538</v>
      </c>
      <c r="AG120" s="1">
        <f t="shared" si="51"/>
        <v>1.0156862756639136</v>
      </c>
      <c r="AH120" s="1">
        <f t="shared" si="51"/>
        <v>0.98725490223835499</v>
      </c>
      <c r="AI120" s="1">
        <f t="shared" si="51"/>
        <v>0.9040441179757609</v>
      </c>
      <c r="AJ120" s="1">
        <f t="shared" si="39"/>
        <v>1.0245642712730263</v>
      </c>
      <c r="AK120" s="5">
        <f t="shared" si="40"/>
        <v>0.11670350344212714</v>
      </c>
      <c r="AL120" s="7">
        <f>255*AJ120</f>
        <v>261.26388917462168</v>
      </c>
    </row>
    <row r="121" spans="2:38">
      <c r="B121" s="12"/>
      <c r="C121" s="4">
        <f t="shared" si="27"/>
        <v>4</v>
      </c>
      <c r="D121" s="1" t="str">
        <f>IF(D120&lt;&gt;"",D72-D120,"")</f>
        <v/>
      </c>
      <c r="E121" s="1">
        <f t="shared" ref="E121:AI121" si="52">IF(E120&lt;&gt;"",E72-E120,"")</f>
        <v>0</v>
      </c>
      <c r="F121" s="1">
        <f t="shared" si="52"/>
        <v>0</v>
      </c>
      <c r="G121" s="1" t="str">
        <f t="shared" si="52"/>
        <v/>
      </c>
      <c r="H121" s="1">
        <f t="shared" si="52"/>
        <v>0</v>
      </c>
      <c r="I121" s="1">
        <f t="shared" si="52"/>
        <v>0</v>
      </c>
      <c r="J121" s="1">
        <f t="shared" si="52"/>
        <v>0</v>
      </c>
      <c r="K121" s="1" t="str">
        <f t="shared" si="52"/>
        <v/>
      </c>
      <c r="L121" s="1">
        <f t="shared" si="52"/>
        <v>0</v>
      </c>
      <c r="M121" s="1">
        <f t="shared" si="52"/>
        <v>0</v>
      </c>
      <c r="N121" s="1">
        <f t="shared" si="52"/>
        <v>0</v>
      </c>
      <c r="O121" s="1" t="str">
        <f t="shared" si="52"/>
        <v/>
      </c>
      <c r="P121" s="1">
        <f t="shared" si="52"/>
        <v>0</v>
      </c>
      <c r="Q121" s="1" t="str">
        <f t="shared" si="52"/>
        <v/>
      </c>
      <c r="R121" s="1">
        <f t="shared" si="52"/>
        <v>0</v>
      </c>
      <c r="S121" s="1">
        <f t="shared" si="52"/>
        <v>0</v>
      </c>
      <c r="T121" s="1">
        <f t="shared" si="52"/>
        <v>0</v>
      </c>
      <c r="U121" s="1">
        <f t="shared" si="52"/>
        <v>0</v>
      </c>
      <c r="V121" s="1">
        <f t="shared" si="52"/>
        <v>0</v>
      </c>
      <c r="W121" s="1">
        <f t="shared" si="52"/>
        <v>0</v>
      </c>
      <c r="X121" s="1">
        <f t="shared" si="52"/>
        <v>0</v>
      </c>
      <c r="Y121" s="1">
        <f t="shared" si="52"/>
        <v>0</v>
      </c>
      <c r="Z121" s="1">
        <f t="shared" si="52"/>
        <v>0</v>
      </c>
      <c r="AA121" s="1">
        <f t="shared" si="52"/>
        <v>0</v>
      </c>
      <c r="AB121" s="1">
        <f t="shared" si="52"/>
        <v>0</v>
      </c>
      <c r="AC121" s="1">
        <f t="shared" si="52"/>
        <v>0</v>
      </c>
      <c r="AD121" s="1">
        <f t="shared" si="52"/>
        <v>0</v>
      </c>
      <c r="AE121" s="1">
        <f t="shared" si="52"/>
        <v>0</v>
      </c>
      <c r="AF121" s="1">
        <f t="shared" si="52"/>
        <v>0</v>
      </c>
      <c r="AG121" s="1">
        <f t="shared" si="52"/>
        <v>0</v>
      </c>
      <c r="AH121" s="1">
        <f t="shared" si="52"/>
        <v>0</v>
      </c>
      <c r="AI121" s="1">
        <f t="shared" si="52"/>
        <v>0</v>
      </c>
      <c r="AJ121" s="1">
        <f t="shared" si="39"/>
        <v>0</v>
      </c>
      <c r="AK121" s="5">
        <f t="shared" si="40"/>
        <v>0</v>
      </c>
      <c r="AL121" s="7">
        <f>255*AJ121</f>
        <v>0</v>
      </c>
    </row>
    <row r="122" spans="2:38">
      <c r="B122" s="12"/>
      <c r="C122" s="4">
        <f t="shared" si="27"/>
        <v>13</v>
      </c>
      <c r="D122" s="1" t="str">
        <f>IF(D120&lt;&gt;"",D73-D121,"")</f>
        <v/>
      </c>
      <c r="E122" s="1">
        <f>IF(E120&lt;&gt;"",E73-E120,"")</f>
        <v>1.0661764070391655E-2</v>
      </c>
      <c r="F122" s="1">
        <f t="shared" ref="F122:AI122" si="53">IF(F120&lt;&gt;"",F73-F120,"")</f>
        <v>1.7647061496973038E-2</v>
      </c>
      <c r="G122" s="1" t="str">
        <f t="shared" si="53"/>
        <v/>
      </c>
      <c r="H122" s="1">
        <f t="shared" si="53"/>
        <v>1.7769606783986092E-2</v>
      </c>
      <c r="I122" s="1">
        <f t="shared" si="53"/>
        <v>1.6299018636345863E-2</v>
      </c>
      <c r="J122" s="1">
        <f t="shared" si="53"/>
        <v>1.3970589265227318E-2</v>
      </c>
      <c r="K122" s="1" t="str">
        <f t="shared" si="53"/>
        <v/>
      </c>
      <c r="L122" s="1">
        <f t="shared" si="53"/>
        <v>2.291666652308777E-2</v>
      </c>
      <c r="M122" s="1">
        <f t="shared" si="53"/>
        <v>1.0171569068916142E-2</v>
      </c>
      <c r="N122" s="1">
        <f t="shared" si="53"/>
        <v>2.3039215826429427E-2</v>
      </c>
      <c r="O122" s="1" t="str">
        <f t="shared" si="53"/>
        <v/>
      </c>
      <c r="P122" s="1">
        <f t="shared" si="53"/>
        <v>1.5931371599435806E-2</v>
      </c>
      <c r="Q122" s="1" t="str">
        <f t="shared" si="53"/>
        <v/>
      </c>
      <c r="R122" s="1">
        <f t="shared" si="53"/>
        <v>1.5931371599435806E-2</v>
      </c>
      <c r="S122" s="1">
        <f t="shared" si="53"/>
        <v>1.5441177529282868E-2</v>
      </c>
      <c r="T122" s="1">
        <f t="shared" si="53"/>
        <v>1.8137253820896149E-2</v>
      </c>
      <c r="U122" s="1">
        <f t="shared" si="53"/>
        <v>1.8627453595399857E-2</v>
      </c>
      <c r="V122" s="1">
        <f t="shared" si="53"/>
        <v>1.5563727938570082E-2</v>
      </c>
      <c r="W122" s="1">
        <f t="shared" si="53"/>
        <v>1.8872548011131585E-2</v>
      </c>
      <c r="X122" s="1">
        <f t="shared" si="53"/>
        <v>2.1323531866073608E-2</v>
      </c>
      <c r="Y122" s="1">
        <f t="shared" si="53"/>
        <v>1.5563728287816048E-2</v>
      </c>
      <c r="Z122" s="1">
        <f t="shared" si="53"/>
        <v>1.3970589207019657E-2</v>
      </c>
      <c r="AA122" s="1">
        <f t="shared" si="53"/>
        <v>1.666666567325592E-2</v>
      </c>
      <c r="AB122" s="1">
        <f t="shared" si="53"/>
        <v>1.715686172246933E-2</v>
      </c>
      <c r="AC122" s="1">
        <f t="shared" si="53"/>
        <v>2.1446079597808421E-2</v>
      </c>
      <c r="AD122" s="1">
        <f t="shared" si="53"/>
        <v>1.9607845460996032E-2</v>
      </c>
      <c r="AE122" s="1">
        <f t="shared" si="53"/>
        <v>1.4828432002104819E-2</v>
      </c>
      <c r="AF122" s="1">
        <f t="shared" si="53"/>
        <v>1.2867646291851997E-2</v>
      </c>
      <c r="AG122" s="1">
        <f t="shared" si="53"/>
        <v>1.6789215733297169E-2</v>
      </c>
      <c r="AH122" s="1">
        <f t="shared" si="53"/>
        <v>1.6666669398546219E-2</v>
      </c>
      <c r="AI122" s="1">
        <f t="shared" si="53"/>
        <v>1.6176473349332809E-2</v>
      </c>
      <c r="AJ122" s="1">
        <f t="shared" si="39"/>
        <v>1.6816449420595611E-2</v>
      </c>
      <c r="AK122" s="5">
        <f t="shared" si="40"/>
        <v>3.1716172694445234E-3</v>
      </c>
      <c r="AL122" s="7">
        <f>255*AJ122</f>
        <v>4.2881946022518811</v>
      </c>
    </row>
    <row r="123" spans="2:38">
      <c r="B123" s="12"/>
      <c r="C123" s="4">
        <f t="shared" si="27"/>
        <v>22</v>
      </c>
      <c r="D123" s="1" t="str">
        <f>IF(D120&lt;&gt;"",D74-D122,"")</f>
        <v/>
      </c>
      <c r="E123" s="1">
        <f>IF(E120&lt;&gt;"",E74-E120,"")</f>
        <v>2.6960786432027817E-2</v>
      </c>
      <c r="F123" s="1">
        <f t="shared" ref="F123:AI123" si="54">IF(F120&lt;&gt;"",F74-F120,"")</f>
        <v>4.3995099142193794E-2</v>
      </c>
      <c r="G123" s="1" t="str">
        <f t="shared" si="54"/>
        <v/>
      </c>
      <c r="H123" s="1">
        <f t="shared" si="54"/>
        <v>3.7745099514722824E-2</v>
      </c>
      <c r="I123" s="1">
        <f t="shared" si="54"/>
        <v>3.6151962354779243E-2</v>
      </c>
      <c r="J123" s="1">
        <f t="shared" si="54"/>
        <v>3.5539215547032654E-2</v>
      </c>
      <c r="K123" s="1" t="str">
        <f t="shared" si="54"/>
        <v/>
      </c>
      <c r="L123" s="1">
        <f t="shared" si="54"/>
        <v>5.2573530003428459E-2</v>
      </c>
      <c r="M123" s="1">
        <f t="shared" si="54"/>
        <v>2.9044119641184807E-2</v>
      </c>
      <c r="N123" s="1">
        <f t="shared" si="54"/>
        <v>4.1789218434132636E-2</v>
      </c>
      <c r="O123" s="1" t="str">
        <f t="shared" si="54"/>
        <v/>
      </c>
      <c r="P123" s="1">
        <f t="shared" si="54"/>
        <v>3.2230393961071968E-2</v>
      </c>
      <c r="Q123" s="1" t="str">
        <f t="shared" si="54"/>
        <v/>
      </c>
      <c r="R123" s="1">
        <f t="shared" si="54"/>
        <v>3.5171570256352425E-2</v>
      </c>
      <c r="S123" s="1">
        <f t="shared" si="54"/>
        <v>3.1372549012303352E-2</v>
      </c>
      <c r="T123" s="1">
        <f t="shared" si="54"/>
        <v>3.4191178157925606E-2</v>
      </c>
      <c r="U123" s="1">
        <f t="shared" si="54"/>
        <v>3.3946080133318901E-2</v>
      </c>
      <c r="V123" s="1">
        <f t="shared" si="54"/>
        <v>3.0147060751914978E-2</v>
      </c>
      <c r="W123" s="1">
        <f t="shared" si="54"/>
        <v>5.0612742197699845E-2</v>
      </c>
      <c r="X123" s="1">
        <f t="shared" si="54"/>
        <v>4.9877451732754707E-2</v>
      </c>
      <c r="Y123" s="1">
        <f t="shared" si="54"/>
        <v>3.8970589637756348E-2</v>
      </c>
      <c r="Z123" s="1">
        <f t="shared" si="54"/>
        <v>3.4558825835119933E-2</v>
      </c>
      <c r="AA123" s="1">
        <f t="shared" si="54"/>
        <v>3.5294115543365479E-2</v>
      </c>
      <c r="AB123" s="1">
        <f t="shared" si="54"/>
        <v>3.9583334699273109E-2</v>
      </c>
      <c r="AC123" s="1">
        <f t="shared" si="54"/>
        <v>4.6691176132299006E-2</v>
      </c>
      <c r="AD123" s="1">
        <f t="shared" si="54"/>
        <v>4.5220589032396674E-2</v>
      </c>
      <c r="AE123" s="1">
        <f t="shared" si="54"/>
        <v>3.259804064873606E-2</v>
      </c>
      <c r="AF123" s="1">
        <f t="shared" si="54"/>
        <v>3.1617648899555206E-2</v>
      </c>
      <c r="AG123" s="1">
        <f t="shared" si="54"/>
        <v>3.7132354453206062E-2</v>
      </c>
      <c r="AH123" s="1">
        <f t="shared" si="54"/>
        <v>3.3946080133318901E-2</v>
      </c>
      <c r="AI123" s="1">
        <f t="shared" si="54"/>
        <v>3.700980544090271E-2</v>
      </c>
      <c r="AJ123" s="1">
        <f t="shared" si="39"/>
        <v>3.7554467323287904E-2</v>
      </c>
      <c r="AK123" s="5">
        <f t="shared" si="40"/>
        <v>6.7518689688838311E-3</v>
      </c>
      <c r="AL123" s="7">
        <f t="shared" ref="AL123:AL125" si="55">255*AJ123</f>
        <v>9.5763891674384158</v>
      </c>
    </row>
    <row r="124" spans="2:38">
      <c r="B124" s="12"/>
      <c r="C124" s="4">
        <f t="shared" si="27"/>
        <v>31</v>
      </c>
      <c r="D124" s="1" t="str">
        <f>IF(D120&lt;&gt;"",D75-D123,"")</f>
        <v/>
      </c>
      <c r="E124" s="1">
        <f>IF(E120&lt;&gt;"",E75-E120,"")</f>
        <v>4.2892158031463623E-2</v>
      </c>
      <c r="F124" s="1">
        <f t="shared" ref="F124:AI124" si="56">IF(F120&lt;&gt;"",F75-F120,"")</f>
        <v>7.3406869545578957E-2</v>
      </c>
      <c r="G124" s="1" t="str">
        <f t="shared" si="56"/>
        <v/>
      </c>
      <c r="H124" s="1">
        <f t="shared" si="56"/>
        <v>5.4779412224888802E-2</v>
      </c>
      <c r="I124" s="1">
        <f t="shared" si="56"/>
        <v>5.1960784941911697E-2</v>
      </c>
      <c r="J124" s="1">
        <f t="shared" si="56"/>
        <v>5.1470590755343437E-2</v>
      </c>
      <c r="K124" s="1" t="str">
        <f t="shared" si="56"/>
        <v/>
      </c>
      <c r="L124" s="1">
        <f t="shared" si="56"/>
        <v>9.0073534986004233E-2</v>
      </c>
      <c r="M124" s="1">
        <f t="shared" si="56"/>
        <v>4.534313827753067E-2</v>
      </c>
      <c r="N124" s="1">
        <f t="shared" si="56"/>
        <v>7.0588236325420439E-2</v>
      </c>
      <c r="O124" s="1" t="str">
        <f t="shared" si="56"/>
        <v/>
      </c>
      <c r="P124" s="1">
        <f t="shared" si="56"/>
        <v>4.2892158031463623E-2</v>
      </c>
      <c r="Q124" s="1" t="str">
        <f t="shared" si="56"/>
        <v/>
      </c>
      <c r="R124" s="1">
        <f t="shared" si="56"/>
        <v>5.159313790500164E-2</v>
      </c>
      <c r="S124" s="1">
        <f t="shared" si="56"/>
        <v>5.0000002607703209E-2</v>
      </c>
      <c r="T124" s="1">
        <f t="shared" si="56"/>
        <v>5.0245098769664764E-2</v>
      </c>
      <c r="U124" s="1">
        <f t="shared" si="56"/>
        <v>4.8284314572811127E-2</v>
      </c>
      <c r="V124" s="1">
        <f t="shared" si="56"/>
        <v>4.7549020498991013E-2</v>
      </c>
      <c r="W124" s="1">
        <f t="shared" si="56"/>
        <v>8.1495100748725235E-2</v>
      </c>
      <c r="X124" s="1">
        <f t="shared" si="56"/>
        <v>8.075980911962688E-2</v>
      </c>
      <c r="Y124" s="1">
        <f t="shared" si="56"/>
        <v>5.4411765187978745E-2</v>
      </c>
      <c r="Z124" s="1">
        <f t="shared" si="56"/>
        <v>4.9019610451068729E-2</v>
      </c>
      <c r="AA124" s="1">
        <f t="shared" si="56"/>
        <v>5.1225487608462572E-2</v>
      </c>
      <c r="AB124" s="1">
        <f t="shared" si="56"/>
        <v>5.9681372717022896E-2</v>
      </c>
      <c r="AC124" s="1">
        <f t="shared" si="56"/>
        <v>6.5808828803710639E-2</v>
      </c>
      <c r="AD124" s="1">
        <f t="shared" si="56"/>
        <v>6.2254901975393295E-2</v>
      </c>
      <c r="AE124" s="1">
        <f t="shared" si="56"/>
        <v>5.3063727566041052E-2</v>
      </c>
      <c r="AF124" s="1">
        <f t="shared" si="56"/>
        <v>4.375000111758709E-2</v>
      </c>
      <c r="AG124" s="1">
        <f t="shared" si="56"/>
        <v>5.5024510249495506E-2</v>
      </c>
      <c r="AH124" s="1">
        <f t="shared" si="56"/>
        <v>4.6446079388260841E-2</v>
      </c>
      <c r="AI124" s="1">
        <f t="shared" si="56"/>
        <v>4.9264706671237946E-2</v>
      </c>
      <c r="AJ124" s="1">
        <f t="shared" si="39"/>
        <v>5.6417939225125509E-2</v>
      </c>
      <c r="AK124" s="5">
        <f t="shared" si="40"/>
        <v>1.2663356045513285E-2</v>
      </c>
      <c r="AL124" s="7">
        <f t="shared" si="55"/>
        <v>14.386574502407004</v>
      </c>
    </row>
    <row r="125" spans="2:38">
      <c r="B125" s="12"/>
      <c r="C125" s="4">
        <f t="shared" si="27"/>
        <v>40</v>
      </c>
      <c r="D125" s="1" t="str">
        <f>IF(D120&lt;&gt;"",D76-D124,"")</f>
        <v/>
      </c>
      <c r="E125" s="1">
        <f>IF(E120&lt;&gt;"",E76-E120,"")</f>
        <v>7.1446077898144722E-2</v>
      </c>
      <c r="F125" s="1">
        <f t="shared" ref="F125:AI125" si="57">IF(F120&lt;&gt;"",F76-F120,"")</f>
        <v>0.1460784338414669</v>
      </c>
      <c r="G125" s="1" t="str">
        <f t="shared" si="57"/>
        <v/>
      </c>
      <c r="H125" s="1">
        <f t="shared" si="57"/>
        <v>0.15563725680112839</v>
      </c>
      <c r="I125" s="1">
        <f t="shared" si="57"/>
        <v>8.3333332324400544E-2</v>
      </c>
      <c r="J125" s="1">
        <f t="shared" si="57"/>
        <v>9.2769607901573181E-2</v>
      </c>
      <c r="K125" s="1" t="str">
        <f t="shared" si="57"/>
        <v/>
      </c>
      <c r="L125" s="1">
        <f t="shared" si="57"/>
        <v>0.23541667871177197</v>
      </c>
      <c r="M125" s="1">
        <f t="shared" si="57"/>
        <v>7.4754905886948109E-2</v>
      </c>
      <c r="N125" s="1">
        <f t="shared" si="57"/>
        <v>0.16041666979435831</v>
      </c>
      <c r="O125" s="1" t="str">
        <f t="shared" si="57"/>
        <v/>
      </c>
      <c r="P125" s="1">
        <f t="shared" si="57"/>
        <v>7.4264705181121826E-2</v>
      </c>
      <c r="Q125" s="1" t="str">
        <f t="shared" si="57"/>
        <v/>
      </c>
      <c r="R125" s="1">
        <f t="shared" si="57"/>
        <v>8.6764706531539559E-2</v>
      </c>
      <c r="S125" s="1">
        <f t="shared" si="57"/>
        <v>7.9534314572811127E-2</v>
      </c>
      <c r="T125" s="1">
        <f t="shared" si="57"/>
        <v>8.2720589824020863E-2</v>
      </c>
      <c r="U125" s="1">
        <f t="shared" si="57"/>
        <v>7.9656868707388639E-2</v>
      </c>
      <c r="V125" s="1">
        <f t="shared" si="57"/>
        <v>7.9044123413041234E-2</v>
      </c>
      <c r="W125" s="1">
        <f t="shared" si="57"/>
        <v>0.1631127429427579</v>
      </c>
      <c r="X125" s="1">
        <f t="shared" si="57"/>
        <v>0.21752452291548252</v>
      </c>
      <c r="Y125" s="1">
        <f t="shared" si="57"/>
        <v>9.2156868427991867E-2</v>
      </c>
      <c r="Z125" s="1">
        <f t="shared" si="57"/>
        <v>7.9901961551513523E-2</v>
      </c>
      <c r="AA125" s="1">
        <f t="shared" si="57"/>
        <v>0.10073529556393634</v>
      </c>
      <c r="AB125" s="1">
        <f t="shared" si="57"/>
        <v>9.3627456575632095E-2</v>
      </c>
      <c r="AC125" s="1">
        <f t="shared" si="57"/>
        <v>0.12659313960466534</v>
      </c>
      <c r="AD125" s="1">
        <f t="shared" si="57"/>
        <v>0.10061275004409254</v>
      </c>
      <c r="AE125" s="1">
        <f t="shared" si="57"/>
        <v>8.5539215826429427E-2</v>
      </c>
      <c r="AF125" s="1">
        <f t="shared" si="57"/>
        <v>7.6960783451795578E-2</v>
      </c>
      <c r="AG125" s="1">
        <f t="shared" si="57"/>
        <v>9.1666672378778458E-2</v>
      </c>
      <c r="AH125" s="1">
        <f t="shared" si="57"/>
        <v>7.9779418185353279E-2</v>
      </c>
      <c r="AI125" s="1">
        <f t="shared" si="57"/>
        <v>8.345588855445385E-2</v>
      </c>
      <c r="AJ125" s="1">
        <f t="shared" si="39"/>
        <v>0.10716685138565178</v>
      </c>
      <c r="AK125" s="5">
        <f t="shared" si="40"/>
        <v>4.4076719700973072E-2</v>
      </c>
      <c r="AL125" s="7">
        <f t="shared" si="55"/>
        <v>27.327547103341203</v>
      </c>
    </row>
    <row r="126" spans="2:38">
      <c r="B126" s="12">
        <f>B120+1</f>
        <v>4</v>
      </c>
      <c r="C126" s="4">
        <f>C78</f>
        <v>5</v>
      </c>
      <c r="D126" s="1" t="str">
        <f>IF(D78&lt;&gt;"",D78,"")</f>
        <v/>
      </c>
      <c r="E126" s="1">
        <f t="shared" ref="E126:AI126" si="58">IF(E78&lt;&gt;"",E78,"")</f>
        <v>0.98946078562396855</v>
      </c>
      <c r="F126" s="1">
        <f t="shared" si="58"/>
        <v>1.5606617658672963</v>
      </c>
      <c r="G126" s="1" t="str">
        <f t="shared" si="58"/>
        <v/>
      </c>
      <c r="H126" s="1">
        <f t="shared" si="58"/>
        <v>1.1686274512068313</v>
      </c>
      <c r="I126" s="1">
        <f t="shared" si="58"/>
        <v>1.0588235305658742</v>
      </c>
      <c r="J126" s="1">
        <f t="shared" si="58"/>
        <v>1.0828431407026216</v>
      </c>
      <c r="K126" s="1" t="str">
        <f t="shared" si="58"/>
        <v/>
      </c>
      <c r="L126" s="1">
        <f t="shared" si="58"/>
        <v>1.1844362756566089</v>
      </c>
      <c r="M126" s="1">
        <f t="shared" si="58"/>
        <v>1.0482843155659936</v>
      </c>
      <c r="N126" s="1">
        <f t="shared" si="58"/>
        <v>1.3376225524746319</v>
      </c>
      <c r="O126" s="1" t="str">
        <f t="shared" si="58"/>
        <v/>
      </c>
      <c r="P126" s="1">
        <f t="shared" si="58"/>
        <v>0.99031862940858395</v>
      </c>
      <c r="Q126" s="1" t="str">
        <f t="shared" si="58"/>
        <v/>
      </c>
      <c r="R126" s="1">
        <f t="shared" si="58"/>
        <v>1.127083333698558</v>
      </c>
      <c r="S126" s="1">
        <f t="shared" si="58"/>
        <v>1.160784313944625</v>
      </c>
      <c r="T126" s="1">
        <f t="shared" si="58"/>
        <v>1.0545343151352569</v>
      </c>
      <c r="U126" s="1">
        <f t="shared" si="58"/>
        <v>1.0409313730233549</v>
      </c>
      <c r="V126" s="1">
        <f t="shared" si="58"/>
        <v>1.0544117661229535</v>
      </c>
      <c r="W126" s="1">
        <f t="shared" si="58"/>
        <v>1.2997549026670372</v>
      </c>
      <c r="X126" s="1">
        <f t="shared" si="58"/>
        <v>1.2117647061087922</v>
      </c>
      <c r="Y126" s="1">
        <f t="shared" si="58"/>
        <v>1.1921568634317201</v>
      </c>
      <c r="Z126" s="1">
        <f t="shared" si="58"/>
        <v>1.036887255500929</v>
      </c>
      <c r="AA126" s="1">
        <f t="shared" si="58"/>
        <v>1.0235294124513281</v>
      </c>
      <c r="AB126" s="1">
        <f t="shared" si="58"/>
        <v>1.2587009834089116</v>
      </c>
      <c r="AC126" s="1">
        <f t="shared" si="58"/>
        <v>1.325245098506703</v>
      </c>
      <c r="AD126" s="1">
        <f t="shared" si="58"/>
        <v>1.4859068632043679</v>
      </c>
      <c r="AE126" s="1">
        <f t="shared" si="58"/>
        <v>1.1333333350722588</v>
      </c>
      <c r="AF126" s="1">
        <f t="shared" si="58"/>
        <v>1.0693627456239625</v>
      </c>
      <c r="AG126" s="1">
        <f t="shared" si="58"/>
        <v>1.1609068630733437</v>
      </c>
      <c r="AH126" s="1">
        <f t="shared" si="58"/>
        <v>1.1512254909849635</v>
      </c>
      <c r="AI126" s="1">
        <f t="shared" si="58"/>
        <v>1.0023284323333179</v>
      </c>
      <c r="AJ126" s="1">
        <f t="shared" si="39"/>
        <v>1.1559232037542513</v>
      </c>
      <c r="AK126" s="5">
        <f t="shared" si="40"/>
        <v>0.14551433321189355</v>
      </c>
      <c r="AL126" s="7">
        <f>255*AJ126</f>
        <v>294.76041695733409</v>
      </c>
    </row>
    <row r="127" spans="2:38">
      <c r="B127" s="12"/>
      <c r="C127" s="4">
        <f t="shared" si="27"/>
        <v>5</v>
      </c>
      <c r="D127" s="1" t="str">
        <f>IF(D126&lt;&gt;"",D78-D126,"")</f>
        <v/>
      </c>
      <c r="E127" s="1">
        <f t="shared" ref="E127:AI127" si="59">IF(E126&lt;&gt;"",E78-E126,"")</f>
        <v>0</v>
      </c>
      <c r="F127" s="1">
        <f t="shared" si="59"/>
        <v>0</v>
      </c>
      <c r="G127" s="1" t="str">
        <f t="shared" si="59"/>
        <v/>
      </c>
      <c r="H127" s="1">
        <f t="shared" si="59"/>
        <v>0</v>
      </c>
      <c r="I127" s="1">
        <f t="shared" si="59"/>
        <v>0</v>
      </c>
      <c r="J127" s="1">
        <f t="shared" si="59"/>
        <v>0</v>
      </c>
      <c r="K127" s="1" t="str">
        <f t="shared" si="59"/>
        <v/>
      </c>
      <c r="L127" s="1">
        <f t="shared" si="59"/>
        <v>0</v>
      </c>
      <c r="M127" s="1">
        <f t="shared" si="59"/>
        <v>0</v>
      </c>
      <c r="N127" s="1">
        <f t="shared" si="59"/>
        <v>0</v>
      </c>
      <c r="O127" s="1" t="str">
        <f t="shared" si="59"/>
        <v/>
      </c>
      <c r="P127" s="1">
        <f t="shared" si="59"/>
        <v>0</v>
      </c>
      <c r="Q127" s="1" t="str">
        <f t="shared" si="59"/>
        <v/>
      </c>
      <c r="R127" s="1">
        <f t="shared" si="59"/>
        <v>0</v>
      </c>
      <c r="S127" s="1">
        <f t="shared" si="59"/>
        <v>0</v>
      </c>
      <c r="T127" s="1">
        <f t="shared" si="59"/>
        <v>0</v>
      </c>
      <c r="U127" s="1">
        <f t="shared" si="59"/>
        <v>0</v>
      </c>
      <c r="V127" s="1">
        <f t="shared" si="59"/>
        <v>0</v>
      </c>
      <c r="W127" s="1">
        <f t="shared" si="59"/>
        <v>0</v>
      </c>
      <c r="X127" s="1">
        <f t="shared" si="59"/>
        <v>0</v>
      </c>
      <c r="Y127" s="1">
        <f t="shared" si="59"/>
        <v>0</v>
      </c>
      <c r="Z127" s="1">
        <f t="shared" si="59"/>
        <v>0</v>
      </c>
      <c r="AA127" s="1">
        <f t="shared" si="59"/>
        <v>0</v>
      </c>
      <c r="AB127" s="1">
        <f t="shared" si="59"/>
        <v>0</v>
      </c>
      <c r="AC127" s="1">
        <f t="shared" si="59"/>
        <v>0</v>
      </c>
      <c r="AD127" s="1">
        <f t="shared" si="59"/>
        <v>0</v>
      </c>
      <c r="AE127" s="1">
        <f t="shared" si="59"/>
        <v>0</v>
      </c>
      <c r="AF127" s="1">
        <f t="shared" si="59"/>
        <v>0</v>
      </c>
      <c r="AG127" s="1">
        <f t="shared" si="59"/>
        <v>0</v>
      </c>
      <c r="AH127" s="1">
        <f t="shared" si="59"/>
        <v>0</v>
      </c>
      <c r="AI127" s="1">
        <f t="shared" si="59"/>
        <v>0</v>
      </c>
      <c r="AJ127" s="1">
        <f t="shared" si="39"/>
        <v>0</v>
      </c>
      <c r="AK127" s="5">
        <f t="shared" si="40"/>
        <v>0</v>
      </c>
      <c r="AL127" s="7">
        <f>255*AJ127</f>
        <v>0</v>
      </c>
    </row>
    <row r="128" spans="2:38">
      <c r="B128" s="12"/>
      <c r="C128" s="4">
        <f t="shared" si="27"/>
        <v>14</v>
      </c>
      <c r="D128" s="1" t="str">
        <f>IF(D126&lt;&gt;"",D79-D127,"")</f>
        <v/>
      </c>
      <c r="E128" s="1">
        <f>IF(E126&lt;&gt;"",E79-E126,"")</f>
        <v>1.4093138976022601E-2</v>
      </c>
      <c r="F128" s="1">
        <f t="shared" ref="F128:AI128" si="60">IF(F126&lt;&gt;"",F79-F126,"")</f>
        <v>2.3651963099837303E-2</v>
      </c>
      <c r="G128" s="1" t="str">
        <f t="shared" si="60"/>
        <v/>
      </c>
      <c r="H128" s="1">
        <f t="shared" si="60"/>
        <v>1.8872549757361412E-2</v>
      </c>
      <c r="I128" s="1">
        <f t="shared" si="60"/>
        <v>1.740196137689054E-2</v>
      </c>
      <c r="J128" s="1">
        <f t="shared" si="60"/>
        <v>1.8382351845502853E-2</v>
      </c>
      <c r="K128" s="1" t="str">
        <f t="shared" si="60"/>
        <v/>
      </c>
      <c r="L128" s="1">
        <f t="shared" si="60"/>
        <v>2.9656864702701569E-2</v>
      </c>
      <c r="M128" s="1">
        <f t="shared" si="60"/>
        <v>1.3848038681317121E-2</v>
      </c>
      <c r="N128" s="1">
        <f t="shared" si="60"/>
        <v>2.3284312337636948E-2</v>
      </c>
      <c r="O128" s="1" t="str">
        <f t="shared" si="60"/>
        <v/>
      </c>
      <c r="P128" s="1">
        <f t="shared" si="60"/>
        <v>1.6544118523597717E-2</v>
      </c>
      <c r="Q128" s="1" t="str">
        <f t="shared" si="60"/>
        <v/>
      </c>
      <c r="R128" s="1">
        <f t="shared" si="60"/>
        <v>1.7892157658934593E-2</v>
      </c>
      <c r="S128" s="1">
        <f t="shared" si="60"/>
        <v>1.7034316435456276E-2</v>
      </c>
      <c r="T128" s="1">
        <f t="shared" si="60"/>
        <v>1.936274440959096E-2</v>
      </c>
      <c r="U128" s="1">
        <f t="shared" si="60"/>
        <v>1.9485294702462852E-2</v>
      </c>
      <c r="V128" s="1">
        <f t="shared" si="60"/>
        <v>1.8995096907019615E-2</v>
      </c>
      <c r="W128" s="1">
        <f t="shared" si="60"/>
        <v>2.340686263050884E-2</v>
      </c>
      <c r="X128" s="1">
        <f t="shared" si="60"/>
        <v>2.2794118151068687E-2</v>
      </c>
      <c r="Y128" s="1">
        <f t="shared" si="60"/>
        <v>2.3161767050623894E-2</v>
      </c>
      <c r="Z128" s="1">
        <f t="shared" si="60"/>
        <v>1.8137255683541298E-2</v>
      </c>
      <c r="AA128" s="1">
        <f t="shared" si="60"/>
        <v>2.0220590755343437E-2</v>
      </c>
      <c r="AB128" s="1">
        <f t="shared" si="60"/>
        <v>1.7892155796289444E-2</v>
      </c>
      <c r="AC128" s="1">
        <f t="shared" si="60"/>
        <v>1.985294371843338E-2</v>
      </c>
      <c r="AD128" s="1">
        <f t="shared" si="60"/>
        <v>2.2426476469263434E-2</v>
      </c>
      <c r="AE128" s="1">
        <f t="shared" si="60"/>
        <v>1.5563724678941071E-2</v>
      </c>
      <c r="AF128" s="1">
        <f t="shared" si="60"/>
        <v>1.6544120386242867E-2</v>
      </c>
      <c r="AG128" s="1">
        <f t="shared" si="60"/>
        <v>2.3406864958815277E-2</v>
      </c>
      <c r="AH128" s="1">
        <f t="shared" si="60"/>
        <v>1.8259806558489799E-2</v>
      </c>
      <c r="AI128" s="1">
        <f t="shared" si="60"/>
        <v>1.8504901847336441E-2</v>
      </c>
      <c r="AJ128" s="1">
        <f t="shared" si="39"/>
        <v>1.958061104071223E-2</v>
      </c>
      <c r="AK128" s="5">
        <f t="shared" si="40"/>
        <v>3.4787413620057839E-3</v>
      </c>
      <c r="AL128" s="7">
        <f>255*AJ128</f>
        <v>4.9930558153816182</v>
      </c>
    </row>
    <row r="129" spans="2:38">
      <c r="B129" s="12"/>
      <c r="C129" s="4">
        <f t="shared" si="27"/>
        <v>23</v>
      </c>
      <c r="D129" s="1" t="str">
        <f>IF(D126&lt;&gt;"",D80-D128,"")</f>
        <v/>
      </c>
      <c r="E129" s="1">
        <f>IF(E126&lt;&gt;"",E80-E126,"")</f>
        <v>3.0392157612368464E-2</v>
      </c>
      <c r="F129" s="1">
        <f t="shared" ref="F129:AI129" si="61">IF(F126&lt;&gt;"",F80-F126,"")</f>
        <v>5.625000037252903E-2</v>
      </c>
      <c r="G129" s="1" t="str">
        <f t="shared" si="61"/>
        <v/>
      </c>
      <c r="H129" s="1">
        <f t="shared" si="61"/>
        <v>4.1666669771075249E-2</v>
      </c>
      <c r="I129" s="1">
        <f t="shared" si="61"/>
        <v>3.6642158403992653E-2</v>
      </c>
      <c r="J129" s="1">
        <f t="shared" si="61"/>
        <v>4.2524507269263268E-2</v>
      </c>
      <c r="K129" s="1" t="str">
        <f t="shared" si="61"/>
        <v/>
      </c>
      <c r="L129" s="1">
        <f t="shared" si="61"/>
        <v>6.2745098024606705E-2</v>
      </c>
      <c r="M129" s="1">
        <f t="shared" si="61"/>
        <v>3.1004903779830784E-2</v>
      </c>
      <c r="N129" s="1">
        <f t="shared" si="61"/>
        <v>4.8161761835217476E-2</v>
      </c>
      <c r="O129" s="1" t="str">
        <f t="shared" si="61"/>
        <v/>
      </c>
      <c r="P129" s="1">
        <f t="shared" si="61"/>
        <v>3.5171568393707275E-2</v>
      </c>
      <c r="Q129" s="1" t="str">
        <f t="shared" si="61"/>
        <v/>
      </c>
      <c r="R129" s="1">
        <f t="shared" si="61"/>
        <v>3.7132355850189924E-2</v>
      </c>
      <c r="S129" s="1">
        <f t="shared" si="61"/>
        <v>3.90931386500597E-2</v>
      </c>
      <c r="T129" s="1">
        <f t="shared" si="61"/>
        <v>3.6764707416296005E-2</v>
      </c>
      <c r="U129" s="1">
        <f t="shared" si="61"/>
        <v>3.6519609857350588E-2</v>
      </c>
      <c r="V129" s="1">
        <f t="shared" si="61"/>
        <v>3.700980544090271E-2</v>
      </c>
      <c r="W129" s="1">
        <f t="shared" si="61"/>
        <v>5.8578432886861265E-2</v>
      </c>
      <c r="X129" s="1">
        <f t="shared" si="61"/>
        <v>5.3921571001410484E-2</v>
      </c>
      <c r="Y129" s="1">
        <f t="shared" si="61"/>
        <v>4.6936275437474251E-2</v>
      </c>
      <c r="Z129" s="1">
        <f t="shared" si="61"/>
        <v>4.0686276857741177E-2</v>
      </c>
      <c r="AA129" s="1">
        <f t="shared" si="61"/>
        <v>4.3872550129890442E-2</v>
      </c>
      <c r="AB129" s="1">
        <f t="shared" si="61"/>
        <v>3.9705879986286163E-2</v>
      </c>
      <c r="AC129" s="1">
        <f t="shared" si="61"/>
        <v>5.5147059261798859E-2</v>
      </c>
      <c r="AD129" s="1">
        <f t="shared" si="61"/>
        <v>5.1102945348247886E-2</v>
      </c>
      <c r="AE129" s="1">
        <f t="shared" si="61"/>
        <v>3.6764707532711327E-2</v>
      </c>
      <c r="AF129" s="1">
        <f t="shared" si="61"/>
        <v>3.6397060379385948E-2</v>
      </c>
      <c r="AG129" s="1">
        <f t="shared" si="61"/>
        <v>4.7549020382575691E-2</v>
      </c>
      <c r="AH129" s="1">
        <f t="shared" si="61"/>
        <v>4.2769609019160271E-2</v>
      </c>
      <c r="AI129" s="1">
        <f t="shared" si="61"/>
        <v>4.3627453094813973E-2</v>
      </c>
      <c r="AJ129" s="1">
        <f t="shared" si="39"/>
        <v>4.3264343851694358E-2</v>
      </c>
      <c r="AK129" s="5">
        <f t="shared" si="40"/>
        <v>8.4908178885085613E-3</v>
      </c>
      <c r="AL129" s="7">
        <f t="shared" ref="AL129:AL131" si="62">255*AJ129</f>
        <v>11.032407682182061</v>
      </c>
    </row>
    <row r="130" spans="2:38">
      <c r="B130" s="12"/>
      <c r="C130" s="4">
        <f t="shared" si="27"/>
        <v>32</v>
      </c>
      <c r="D130" s="1" t="str">
        <f>IF(D126&lt;&gt;"",D81-D129,"")</f>
        <v/>
      </c>
      <c r="E130" s="1">
        <f>IF(E126&lt;&gt;"",E81-E126,"")</f>
        <v>5.2573528839275241E-2</v>
      </c>
      <c r="F130" s="1">
        <f t="shared" ref="F130:AI130" si="63">IF(F126&lt;&gt;"",F81-F126,"")</f>
        <v>9.4607848674058914E-2</v>
      </c>
      <c r="G130" s="1" t="str">
        <f t="shared" si="63"/>
        <v/>
      </c>
      <c r="H130" s="1">
        <f t="shared" si="63"/>
        <v>6.8995099514722824E-2</v>
      </c>
      <c r="I130" s="1">
        <f t="shared" si="63"/>
        <v>5.4901961237192154E-2</v>
      </c>
      <c r="J130" s="1">
        <f t="shared" si="63"/>
        <v>6.5931376069784164E-2</v>
      </c>
      <c r="K130" s="1" t="str">
        <f t="shared" si="63"/>
        <v/>
      </c>
      <c r="L130" s="1">
        <f t="shared" si="63"/>
        <v>0.11274510249495506</v>
      </c>
      <c r="M130" s="1">
        <f t="shared" si="63"/>
        <v>4.901960858842358E-2</v>
      </c>
      <c r="N130" s="1">
        <f t="shared" si="63"/>
        <v>8.5784316062927246E-2</v>
      </c>
      <c r="O130" s="1" t="str">
        <f t="shared" si="63"/>
        <v/>
      </c>
      <c r="P130" s="1">
        <f t="shared" si="63"/>
        <v>4.7181371599435806E-2</v>
      </c>
      <c r="Q130" s="1" t="str">
        <f t="shared" si="63"/>
        <v/>
      </c>
      <c r="R130" s="1">
        <f t="shared" si="63"/>
        <v>5.5514708161354065E-2</v>
      </c>
      <c r="S130" s="1">
        <f t="shared" si="63"/>
        <v>5.5882353335618973E-2</v>
      </c>
      <c r="T130" s="1">
        <f t="shared" si="63"/>
        <v>5.4534314200282097E-2</v>
      </c>
      <c r="U130" s="1">
        <f t="shared" si="63"/>
        <v>5.3308825823478401E-2</v>
      </c>
      <c r="V130" s="1">
        <f t="shared" si="63"/>
        <v>5.2450980991125107E-2</v>
      </c>
      <c r="W130" s="1">
        <f t="shared" si="63"/>
        <v>0.10808824130799621</v>
      </c>
      <c r="X130" s="1">
        <f t="shared" si="63"/>
        <v>0.10392157547175884</v>
      </c>
      <c r="Y130" s="1">
        <f t="shared" si="63"/>
        <v>7.0098038762807846E-2</v>
      </c>
      <c r="Z130" s="1">
        <f t="shared" si="63"/>
        <v>5.7598041370511055E-2</v>
      </c>
      <c r="AA130" s="1">
        <f t="shared" si="63"/>
        <v>6.8627450615167618E-2</v>
      </c>
      <c r="AB130" s="1">
        <f t="shared" si="63"/>
        <v>5.8455886319279671E-2</v>
      </c>
      <c r="AC130" s="1">
        <f t="shared" si="63"/>
        <v>7.5980398803949356E-2</v>
      </c>
      <c r="AD130" s="1">
        <f t="shared" si="63"/>
        <v>7.4264708673581481E-2</v>
      </c>
      <c r="AE130" s="1">
        <f t="shared" si="63"/>
        <v>5.8333333698101342E-2</v>
      </c>
      <c r="AF130" s="1">
        <f t="shared" si="63"/>
        <v>5.1470588892698288E-2</v>
      </c>
      <c r="AG130" s="1">
        <f t="shared" si="63"/>
        <v>7.2181379306130111E-2</v>
      </c>
      <c r="AH130" s="1">
        <f t="shared" si="63"/>
        <v>4.8406863585114479E-2</v>
      </c>
      <c r="AI130" s="1">
        <f t="shared" si="63"/>
        <v>6.1764706915710121E-2</v>
      </c>
      <c r="AJ130" s="1">
        <f t="shared" si="39"/>
        <v>6.7134170715386673E-2</v>
      </c>
      <c r="AK130" s="5">
        <f t="shared" si="40"/>
        <v>1.8777677667254213E-2</v>
      </c>
      <c r="AL130" s="7">
        <f t="shared" si="62"/>
        <v>17.119213532423601</v>
      </c>
    </row>
    <row r="131" spans="2:38">
      <c r="B131" s="12"/>
      <c r="C131" s="4">
        <f t="shared" si="27"/>
        <v>41</v>
      </c>
      <c r="D131" s="1" t="str">
        <f>IF(D126&lt;&gt;"",D82-D130,"")</f>
        <v/>
      </c>
      <c r="E131" s="1">
        <f>IF(E126&lt;&gt;"",E82-E126,"")</f>
        <v>9.8651964915916324E-2</v>
      </c>
      <c r="F131" s="1">
        <f t="shared" ref="F131:AI131" si="64">IF(F126&lt;&gt;"",F82-F126,"")</f>
        <v>0.18688725493848324</v>
      </c>
      <c r="G131" s="1" t="str">
        <f t="shared" si="64"/>
        <v/>
      </c>
      <c r="H131" s="1">
        <f t="shared" si="64"/>
        <v>0.2133578434586525</v>
      </c>
      <c r="I131" s="1">
        <f t="shared" si="64"/>
        <v>9.178922139108181E-2</v>
      </c>
      <c r="J131" s="1">
        <f t="shared" si="64"/>
        <v>0.14178921468555927</v>
      </c>
      <c r="K131" s="1" t="str">
        <f t="shared" si="64"/>
        <v/>
      </c>
      <c r="L131" s="1">
        <f t="shared" si="64"/>
        <v>0.30000000819563866</v>
      </c>
      <c r="M131" s="1">
        <f t="shared" si="64"/>
        <v>8.1740194873418659E-2</v>
      </c>
      <c r="N131" s="1">
        <f t="shared" si="64"/>
        <v>0.19963236339390278</v>
      </c>
      <c r="O131" s="1" t="str">
        <f t="shared" si="64"/>
        <v/>
      </c>
      <c r="P131" s="1">
        <f t="shared" si="64"/>
        <v>8.5539219900965691E-2</v>
      </c>
      <c r="Q131" s="1" t="str">
        <f t="shared" si="64"/>
        <v/>
      </c>
      <c r="R131" s="1">
        <f t="shared" si="64"/>
        <v>9.3504901975393295E-2</v>
      </c>
      <c r="S131" s="1">
        <f t="shared" si="64"/>
        <v>9.0318633243441582E-2</v>
      </c>
      <c r="T131" s="1">
        <f t="shared" si="64"/>
        <v>9.0686280280351639E-2</v>
      </c>
      <c r="U131" s="1">
        <f t="shared" si="64"/>
        <v>8.553921605926007E-2</v>
      </c>
      <c r="V131" s="1">
        <f t="shared" si="64"/>
        <v>9.1421574354171753E-2</v>
      </c>
      <c r="W131" s="1">
        <f t="shared" si="64"/>
        <v>0.21703431557398289</v>
      </c>
      <c r="X131" s="1">
        <f t="shared" si="64"/>
        <v>0.26200981624424458</v>
      </c>
      <c r="Y131" s="1">
        <f t="shared" si="64"/>
        <v>0.14191176742315292</v>
      </c>
      <c r="Z131" s="1">
        <f t="shared" si="64"/>
        <v>0.10465686907991767</v>
      </c>
      <c r="AA131" s="1">
        <f t="shared" si="64"/>
        <v>0.15000000223517418</v>
      </c>
      <c r="AB131" s="1">
        <f t="shared" si="64"/>
        <v>0.10098039358854294</v>
      </c>
      <c r="AC131" s="1">
        <f t="shared" si="64"/>
        <v>0.17316176556050777</v>
      </c>
      <c r="AD131" s="1">
        <f t="shared" si="64"/>
        <v>0.12634804309345782</v>
      </c>
      <c r="AE131" s="1">
        <f t="shared" si="64"/>
        <v>9.6323534497059882E-2</v>
      </c>
      <c r="AF131" s="1">
        <f t="shared" si="64"/>
        <v>8.8357849046587944E-2</v>
      </c>
      <c r="AG131" s="1">
        <f t="shared" si="64"/>
        <v>0.13161764980759472</v>
      </c>
      <c r="AH131" s="1">
        <f t="shared" si="64"/>
        <v>9.6691181883215904E-2</v>
      </c>
      <c r="AI131" s="1">
        <f t="shared" si="64"/>
        <v>0.10575980978319421</v>
      </c>
      <c r="AJ131" s="1">
        <f t="shared" si="39"/>
        <v>0.13502632924010632</v>
      </c>
      <c r="AK131" s="5">
        <f t="shared" si="40"/>
        <v>5.9332139356478436E-2</v>
      </c>
      <c r="AL131" s="7">
        <f t="shared" si="62"/>
        <v>34.431713956227114</v>
      </c>
    </row>
    <row r="132" spans="2:38">
      <c r="B132" s="12">
        <f>B126+1</f>
        <v>5</v>
      </c>
      <c r="C132" s="4">
        <f>C84</f>
        <v>6</v>
      </c>
      <c r="D132" s="1" t="str">
        <f>IF(D84&lt;&gt;"",D84,"")</f>
        <v/>
      </c>
      <c r="E132" s="1">
        <f t="shared" ref="E132:AI132" si="65">IF(E84&lt;&gt;"",E84,"")</f>
        <v>1.0549019621721669</v>
      </c>
      <c r="F132" s="1">
        <f t="shared" si="65"/>
        <v>1.6401960809057687</v>
      </c>
      <c r="G132" s="1" t="str">
        <f t="shared" si="65"/>
        <v/>
      </c>
      <c r="H132" s="1">
        <f t="shared" si="65"/>
        <v>1.2279411775954798</v>
      </c>
      <c r="I132" s="1">
        <f t="shared" si="65"/>
        <v>1.1098039222552496</v>
      </c>
      <c r="J132" s="1">
        <f t="shared" si="65"/>
        <v>1.132475491695097</v>
      </c>
      <c r="K132" s="1" t="str">
        <f t="shared" si="65"/>
        <v/>
      </c>
      <c r="L132" s="1">
        <f t="shared" si="65"/>
        <v>1.2370098046223432</v>
      </c>
      <c r="M132" s="1">
        <f t="shared" si="65"/>
        <v>1.0988970601602512</v>
      </c>
      <c r="N132" s="1">
        <f t="shared" si="65"/>
        <v>1.3998774526092936</v>
      </c>
      <c r="O132" s="1" t="str">
        <f t="shared" si="65"/>
        <v/>
      </c>
      <c r="P132" s="1">
        <f t="shared" si="65"/>
        <v>1.0395833337716027</v>
      </c>
      <c r="Q132" s="1" t="str">
        <f t="shared" si="65"/>
        <v/>
      </c>
      <c r="R132" s="1">
        <f t="shared" si="65"/>
        <v>1.1729166680926402</v>
      </c>
      <c r="S132" s="1">
        <f t="shared" si="65"/>
        <v>1.1926470594809335</v>
      </c>
      <c r="T132" s="1">
        <f t="shared" si="65"/>
        <v>1.0861519640348121</v>
      </c>
      <c r="U132" s="1">
        <f t="shared" si="65"/>
        <v>1.081127454297544</v>
      </c>
      <c r="V132" s="1">
        <f t="shared" si="65"/>
        <v>1.1053921578123289</v>
      </c>
      <c r="W132" s="1">
        <f t="shared" si="65"/>
        <v>1.3921568629715373</v>
      </c>
      <c r="X132" s="1">
        <f t="shared" si="65"/>
        <v>1.2627450996608127</v>
      </c>
      <c r="Y132" s="1">
        <f t="shared" si="65"/>
        <v>1.254901961010753</v>
      </c>
      <c r="Z132" s="1">
        <f t="shared" si="65"/>
        <v>1.0835784347764417</v>
      </c>
      <c r="AA132" s="1">
        <f t="shared" si="65"/>
        <v>1.0845588238581139</v>
      </c>
      <c r="AB132" s="1">
        <f t="shared" si="65"/>
        <v>1.3214460791252991</v>
      </c>
      <c r="AC132" s="1">
        <f t="shared" si="65"/>
        <v>1.3803921603396827</v>
      </c>
      <c r="AD132" s="1">
        <f t="shared" si="65"/>
        <v>1.6274509812979137</v>
      </c>
      <c r="AE132" s="1">
        <f t="shared" si="65"/>
        <v>1.1840686286196989</v>
      </c>
      <c r="AF132" s="1">
        <f t="shared" si="65"/>
        <v>1.1176470590426641</v>
      </c>
      <c r="AG132" s="1">
        <f t="shared" si="65"/>
        <v>1.2120098042498142</v>
      </c>
      <c r="AH132" s="1">
        <f t="shared" si="65"/>
        <v>1.2196078447588519</v>
      </c>
      <c r="AI132" s="1">
        <f t="shared" si="65"/>
        <v>1.075367648041734</v>
      </c>
      <c r="AJ132" s="1">
        <f t="shared" si="39"/>
        <v>1.2146241843429195</v>
      </c>
      <c r="AK132" s="5">
        <f t="shared" si="40"/>
        <v>0.15938489683782434</v>
      </c>
      <c r="AL132" s="7">
        <f>255*AJ132</f>
        <v>309.72916700744446</v>
      </c>
    </row>
    <row r="133" spans="2:38">
      <c r="B133" s="12"/>
      <c r="C133" s="4">
        <f t="shared" si="27"/>
        <v>6</v>
      </c>
      <c r="D133" s="1" t="str">
        <f>IF(D132&lt;&gt;"",D84-D132,"")</f>
        <v/>
      </c>
      <c r="E133" s="1">
        <f t="shared" ref="E133:AI133" si="66">IF(E132&lt;&gt;"",E84-E132,"")</f>
        <v>0</v>
      </c>
      <c r="F133" s="1">
        <f t="shared" si="66"/>
        <v>0</v>
      </c>
      <c r="G133" s="1" t="str">
        <f t="shared" si="66"/>
        <v/>
      </c>
      <c r="H133" s="1">
        <f t="shared" si="66"/>
        <v>0</v>
      </c>
      <c r="I133" s="1">
        <f t="shared" si="66"/>
        <v>0</v>
      </c>
      <c r="J133" s="1">
        <f t="shared" si="66"/>
        <v>0</v>
      </c>
      <c r="K133" s="1" t="str">
        <f t="shared" si="66"/>
        <v/>
      </c>
      <c r="L133" s="1">
        <f t="shared" si="66"/>
        <v>0</v>
      </c>
      <c r="M133" s="1">
        <f t="shared" si="66"/>
        <v>0</v>
      </c>
      <c r="N133" s="1">
        <f t="shared" si="66"/>
        <v>0</v>
      </c>
      <c r="O133" s="1" t="str">
        <f t="shared" si="66"/>
        <v/>
      </c>
      <c r="P133" s="1">
        <f t="shared" si="66"/>
        <v>0</v>
      </c>
      <c r="Q133" s="1" t="str">
        <f t="shared" si="66"/>
        <v/>
      </c>
      <c r="R133" s="1">
        <f t="shared" si="66"/>
        <v>0</v>
      </c>
      <c r="S133" s="1">
        <f t="shared" si="66"/>
        <v>0</v>
      </c>
      <c r="T133" s="1">
        <f t="shared" si="66"/>
        <v>0</v>
      </c>
      <c r="U133" s="1">
        <f t="shared" si="66"/>
        <v>0</v>
      </c>
      <c r="V133" s="1">
        <f t="shared" si="66"/>
        <v>0</v>
      </c>
      <c r="W133" s="1">
        <f t="shared" si="66"/>
        <v>0</v>
      </c>
      <c r="X133" s="1">
        <f t="shared" si="66"/>
        <v>0</v>
      </c>
      <c r="Y133" s="1">
        <f t="shared" si="66"/>
        <v>0</v>
      </c>
      <c r="Z133" s="1">
        <f t="shared" si="66"/>
        <v>0</v>
      </c>
      <c r="AA133" s="1">
        <f t="shared" si="66"/>
        <v>0</v>
      </c>
      <c r="AB133" s="1">
        <f t="shared" si="66"/>
        <v>0</v>
      </c>
      <c r="AC133" s="1">
        <f t="shared" si="66"/>
        <v>0</v>
      </c>
      <c r="AD133" s="1">
        <f t="shared" si="66"/>
        <v>0</v>
      </c>
      <c r="AE133" s="1">
        <f t="shared" si="66"/>
        <v>0</v>
      </c>
      <c r="AF133" s="1">
        <f t="shared" si="66"/>
        <v>0</v>
      </c>
      <c r="AG133" s="1">
        <f t="shared" si="66"/>
        <v>0</v>
      </c>
      <c r="AH133" s="1">
        <f t="shared" si="66"/>
        <v>0</v>
      </c>
      <c r="AI133" s="1">
        <f t="shared" si="66"/>
        <v>0</v>
      </c>
      <c r="AJ133" s="1">
        <f t="shared" si="39"/>
        <v>0</v>
      </c>
      <c r="AK133" s="5">
        <f t="shared" si="40"/>
        <v>0</v>
      </c>
      <c r="AL133" s="7">
        <f>255*AJ133</f>
        <v>0</v>
      </c>
    </row>
    <row r="134" spans="2:38">
      <c r="B134" s="12"/>
      <c r="C134" s="4">
        <f t="shared" si="27"/>
        <v>15</v>
      </c>
      <c r="D134" s="1" t="str">
        <f>IF(D132&lt;&gt;"",D85-D133,"")</f>
        <v/>
      </c>
      <c r="E134" s="1">
        <f>IF(E132&lt;&gt;"",E85-E132,"")</f>
        <v>1.2132352218031883E-2</v>
      </c>
      <c r="F134" s="1">
        <f t="shared" ref="F134:AI134" si="67">IF(F132&lt;&gt;"",F85-F132,"")</f>
        <v>2.2671572398394346E-2</v>
      </c>
      <c r="G134" s="1" t="str">
        <f t="shared" si="67"/>
        <v/>
      </c>
      <c r="H134" s="1">
        <f t="shared" si="67"/>
        <v>2.3284315946511924E-2</v>
      </c>
      <c r="I134" s="1">
        <f t="shared" si="67"/>
        <v>1.9485296681523323E-2</v>
      </c>
      <c r="J134" s="1">
        <f t="shared" si="67"/>
        <v>1.9485293363686651E-2</v>
      </c>
      <c r="K134" s="1" t="str">
        <f t="shared" si="67"/>
        <v/>
      </c>
      <c r="L134" s="1">
        <f t="shared" si="67"/>
        <v>3.3700981992296875E-2</v>
      </c>
      <c r="M134" s="1">
        <f t="shared" si="67"/>
        <v>1.2009803205728531E-2</v>
      </c>
      <c r="N134" s="1">
        <f t="shared" si="67"/>
        <v>1.7524508759379387E-2</v>
      </c>
      <c r="O134" s="1" t="str">
        <f t="shared" si="67"/>
        <v/>
      </c>
      <c r="P134" s="1">
        <f t="shared" si="67"/>
        <v>1.7892157658934593E-2</v>
      </c>
      <c r="Q134" s="1" t="str">
        <f t="shared" si="67"/>
        <v/>
      </c>
      <c r="R134" s="1">
        <f t="shared" si="67"/>
        <v>1.9362744351383299E-2</v>
      </c>
      <c r="S134" s="1">
        <f t="shared" si="67"/>
        <v>1.9730394706130028E-2</v>
      </c>
      <c r="T134" s="1">
        <f t="shared" si="67"/>
        <v>2.0955881103873253E-2</v>
      </c>
      <c r="U134" s="1">
        <f t="shared" si="67"/>
        <v>1.9117646152153611E-2</v>
      </c>
      <c r="V134" s="1">
        <f t="shared" si="67"/>
        <v>1.8627453595399857E-2</v>
      </c>
      <c r="W134" s="1">
        <f t="shared" si="67"/>
        <v>2.6225490495562553E-2</v>
      </c>
      <c r="X134" s="1">
        <f t="shared" si="67"/>
        <v>2.7696080389432609E-2</v>
      </c>
      <c r="Y134" s="1">
        <f t="shared" si="67"/>
        <v>2.3284314200282097E-2</v>
      </c>
      <c r="Z134" s="1">
        <f t="shared" si="67"/>
        <v>2.0710783079266548E-2</v>
      </c>
      <c r="AA134" s="1">
        <f t="shared" si="67"/>
        <v>2.1936275064945221E-2</v>
      </c>
      <c r="AB134" s="1">
        <f t="shared" si="67"/>
        <v>1.7156865447759628E-2</v>
      </c>
      <c r="AC134" s="1">
        <f t="shared" si="67"/>
        <v>2.3284312337636948E-2</v>
      </c>
      <c r="AD134" s="1">
        <f t="shared" si="67"/>
        <v>2.3897064849734306E-2</v>
      </c>
      <c r="AE134" s="1">
        <f t="shared" si="67"/>
        <v>1.5931371599435806E-2</v>
      </c>
      <c r="AF134" s="1">
        <f t="shared" si="67"/>
        <v>1.5441179275512695E-2</v>
      </c>
      <c r="AG134" s="1">
        <f t="shared" si="67"/>
        <v>2.3284314083866775E-2</v>
      </c>
      <c r="AH134" s="1">
        <f t="shared" si="67"/>
        <v>2.3529410362243652E-2</v>
      </c>
      <c r="AI134" s="1">
        <f t="shared" si="67"/>
        <v>1.8014707718975842E-2</v>
      </c>
      <c r="AJ134" s="1">
        <f t="shared" si="39"/>
        <v>2.0606391519928973E-2</v>
      </c>
      <c r="AK134" s="5">
        <f t="shared" si="40"/>
        <v>4.5918734124292008E-3</v>
      </c>
      <c r="AL134" s="7">
        <f>255*AJ134</f>
        <v>5.2546298375818878</v>
      </c>
    </row>
    <row r="135" spans="2:38">
      <c r="B135" s="12"/>
      <c r="C135" s="4">
        <f t="shared" si="27"/>
        <v>24</v>
      </c>
      <c r="D135" s="1" t="str">
        <f>IF(D132&lt;&gt;"",D86-D134,"")</f>
        <v/>
      </c>
      <c r="E135" s="1">
        <f>IF(E132&lt;&gt;"",E86-E132,"")</f>
        <v>3.5294119268655777E-2</v>
      </c>
      <c r="F135" s="1">
        <f t="shared" ref="F135:AI135" si="68">IF(F132&lt;&gt;"",F86-F132,"")</f>
        <v>5.7965687941759825E-2</v>
      </c>
      <c r="G135" s="1" t="str">
        <f t="shared" si="68"/>
        <v/>
      </c>
      <c r="H135" s="1">
        <f t="shared" si="68"/>
        <v>4.4117648154497147E-2</v>
      </c>
      <c r="I135" s="1">
        <f t="shared" si="68"/>
        <v>4.0686275810003281E-2</v>
      </c>
      <c r="J135" s="1">
        <f t="shared" si="68"/>
        <v>4.3382354488130659E-2</v>
      </c>
      <c r="K135" s="1" t="str">
        <f t="shared" si="68"/>
        <v/>
      </c>
      <c r="L135" s="1">
        <f t="shared" si="68"/>
        <v>6.9240196258760989E-2</v>
      </c>
      <c r="M135" s="1">
        <f t="shared" si="68"/>
        <v>3.443627618253231E-2</v>
      </c>
      <c r="N135" s="1">
        <f t="shared" si="68"/>
        <v>5.3431373089551926E-2</v>
      </c>
      <c r="O135" s="1" t="str">
        <f t="shared" si="68"/>
        <v/>
      </c>
      <c r="P135" s="1">
        <f t="shared" si="68"/>
        <v>3.7867649458348751E-2</v>
      </c>
      <c r="Q135" s="1" t="str">
        <f t="shared" si="68"/>
        <v/>
      </c>
      <c r="R135" s="1">
        <f t="shared" si="68"/>
        <v>4.2892158438917249E-2</v>
      </c>
      <c r="S135" s="1">
        <f t="shared" si="68"/>
        <v>3.9338236674666405E-2</v>
      </c>
      <c r="T135" s="1">
        <f t="shared" si="68"/>
        <v>3.7867644801735878E-2</v>
      </c>
      <c r="U135" s="1">
        <f t="shared" si="68"/>
        <v>3.725489997304976E-2</v>
      </c>
      <c r="V135" s="1">
        <f t="shared" si="68"/>
        <v>3.7867648527026176E-2</v>
      </c>
      <c r="W135" s="1">
        <f t="shared" si="68"/>
        <v>5.7475492358207703E-2</v>
      </c>
      <c r="X135" s="1">
        <f t="shared" si="68"/>
        <v>5.9803921729326248E-2</v>
      </c>
      <c r="Y135" s="1">
        <f t="shared" si="68"/>
        <v>4.7058826312422752E-2</v>
      </c>
      <c r="Z135" s="1">
        <f t="shared" si="68"/>
        <v>4.3014703318476677E-2</v>
      </c>
      <c r="AA135" s="1">
        <f t="shared" si="68"/>
        <v>4.8406865447759628E-2</v>
      </c>
      <c r="AB135" s="1">
        <f t="shared" si="68"/>
        <v>4.7181373462080956E-2</v>
      </c>
      <c r="AC135" s="1">
        <f t="shared" si="68"/>
        <v>5.8455885387957096E-2</v>
      </c>
      <c r="AD135" s="1">
        <f t="shared" si="68"/>
        <v>5.6617651134729385E-2</v>
      </c>
      <c r="AE135" s="1">
        <f t="shared" si="68"/>
        <v>4.0318628773093224E-2</v>
      </c>
      <c r="AF135" s="1">
        <f t="shared" si="68"/>
        <v>3.8970589637756348E-2</v>
      </c>
      <c r="AG135" s="1">
        <f t="shared" si="68"/>
        <v>4.7303924220614135E-2</v>
      </c>
      <c r="AH135" s="1">
        <f t="shared" si="68"/>
        <v>4.7303922474384308E-2</v>
      </c>
      <c r="AI135" s="1">
        <f t="shared" si="68"/>
        <v>4.5588235487230122E-2</v>
      </c>
      <c r="AJ135" s="1">
        <f t="shared" si="39"/>
        <v>4.626452551154351E-2</v>
      </c>
      <c r="AK135" s="5">
        <f t="shared" si="40"/>
        <v>8.8689347849319877E-3</v>
      </c>
      <c r="AL135" s="7">
        <f t="shared" ref="AL135:AL137" si="69">255*AJ135</f>
        <v>11.797454005443594</v>
      </c>
    </row>
    <row r="136" spans="2:38">
      <c r="B136" s="12"/>
      <c r="C136" s="4">
        <f t="shared" si="27"/>
        <v>33</v>
      </c>
      <c r="D136" s="1" t="str">
        <f>IF(D132&lt;&gt;"",D87-D135,"")</f>
        <v/>
      </c>
      <c r="E136" s="1">
        <f>IF(E132&lt;&gt;"",E87-E132,"")</f>
        <v>5.9681372717022896E-2</v>
      </c>
      <c r="F136" s="1">
        <f t="shared" ref="F136:AI136" si="70">IF(F132&lt;&gt;"",F87-F132,"")</f>
        <v>0.10061274422332644</v>
      </c>
      <c r="G136" s="1" t="str">
        <f t="shared" si="70"/>
        <v/>
      </c>
      <c r="H136" s="1">
        <f t="shared" si="70"/>
        <v>7.6470587402582169E-2</v>
      </c>
      <c r="I136" s="1">
        <f t="shared" si="70"/>
        <v>5.9558823704719543E-2</v>
      </c>
      <c r="J136" s="1">
        <f t="shared" si="70"/>
        <v>6.8750000034924597E-2</v>
      </c>
      <c r="K136" s="1" t="str">
        <f t="shared" si="70"/>
        <v/>
      </c>
      <c r="L136" s="1">
        <f t="shared" si="70"/>
        <v>0.12034314114134759</v>
      </c>
      <c r="M136" s="1">
        <f t="shared" si="70"/>
        <v>5.416666716337204E-2</v>
      </c>
      <c r="N136" s="1">
        <f t="shared" si="70"/>
        <v>9.2892162501811981E-2</v>
      </c>
      <c r="O136" s="1" t="str">
        <f t="shared" si="70"/>
        <v/>
      </c>
      <c r="P136" s="1">
        <f t="shared" si="70"/>
        <v>5.318627692759037E-2</v>
      </c>
      <c r="Q136" s="1" t="str">
        <f t="shared" si="70"/>
        <v/>
      </c>
      <c r="R136" s="1">
        <f t="shared" si="70"/>
        <v>5.9803922136779875E-2</v>
      </c>
      <c r="S136" s="1">
        <f t="shared" si="70"/>
        <v>5.8455882593989372E-2</v>
      </c>
      <c r="T136" s="1">
        <f t="shared" si="70"/>
        <v>5.5882357060909271E-2</v>
      </c>
      <c r="U136" s="1">
        <f t="shared" si="70"/>
        <v>5.5269604781642556E-2</v>
      </c>
      <c r="V136" s="1">
        <f t="shared" si="70"/>
        <v>5.5882353335618973E-2</v>
      </c>
      <c r="W136" s="1">
        <f t="shared" si="70"/>
        <v>0.11078432016074657</v>
      </c>
      <c r="X136" s="1">
        <f t="shared" si="70"/>
        <v>0.12046569027006626</v>
      </c>
      <c r="Y136" s="1">
        <f t="shared" si="70"/>
        <v>7.1813726797699928E-2</v>
      </c>
      <c r="Z136" s="1">
        <f t="shared" si="70"/>
        <v>6.2254905700683594E-2</v>
      </c>
      <c r="AA136" s="1">
        <f t="shared" si="70"/>
        <v>7.4387256056070328E-2</v>
      </c>
      <c r="AB136" s="1">
        <f t="shared" si="70"/>
        <v>6.5931372344493866E-2</v>
      </c>
      <c r="AC136" s="1">
        <f t="shared" si="70"/>
        <v>7.8921571373939514E-2</v>
      </c>
      <c r="AD136" s="1">
        <f t="shared" si="70"/>
        <v>8.3088237792253494E-2</v>
      </c>
      <c r="AE136" s="1">
        <f t="shared" si="70"/>
        <v>6.2867647036910057E-2</v>
      </c>
      <c r="AF136" s="1">
        <f t="shared" si="70"/>
        <v>5.4901961237192154E-2</v>
      </c>
      <c r="AG136" s="1">
        <f t="shared" si="70"/>
        <v>7.6102942111901939E-2</v>
      </c>
      <c r="AH136" s="1">
        <f t="shared" si="70"/>
        <v>5.6004902347922325E-2</v>
      </c>
      <c r="AI136" s="1">
        <f t="shared" si="70"/>
        <v>7.0710790459997952E-2</v>
      </c>
      <c r="AJ136" s="1">
        <f t="shared" si="39"/>
        <v>7.2562637756130213E-2</v>
      </c>
      <c r="AK136" s="5">
        <f t="shared" si="40"/>
        <v>2.0130356901836965E-2</v>
      </c>
      <c r="AL136" s="7">
        <f t="shared" si="69"/>
        <v>18.503472627813203</v>
      </c>
    </row>
    <row r="137" spans="2:38">
      <c r="B137" s="12"/>
      <c r="C137" s="4">
        <f t="shared" si="27"/>
        <v>42</v>
      </c>
      <c r="D137" s="1" t="str">
        <f>IF(D132&lt;&gt;"",D88-D136,"")</f>
        <v/>
      </c>
      <c r="E137" s="1">
        <f>IF(E132&lt;&gt;"",E88-E132,"")</f>
        <v>0.11654412187635899</v>
      </c>
      <c r="F137" s="1">
        <f t="shared" ref="F137:AI137" si="71">IF(F132&lt;&gt;"",F88-F132,"")</f>
        <v>0.19914216501638293</v>
      </c>
      <c r="G137" s="1" t="str">
        <f t="shared" si="71"/>
        <v/>
      </c>
      <c r="H137" s="1">
        <f t="shared" si="71"/>
        <v>0.23615197278559208</v>
      </c>
      <c r="I137" s="1">
        <f t="shared" si="71"/>
        <v>0.10882353410124779</v>
      </c>
      <c r="J137" s="1">
        <f t="shared" si="71"/>
        <v>0.15943627658998594</v>
      </c>
      <c r="K137" s="1" t="str">
        <f t="shared" si="71"/>
        <v/>
      </c>
      <c r="L137" s="1">
        <f t="shared" si="71"/>
        <v>0.32573530066292733</v>
      </c>
      <c r="M137" s="1">
        <f t="shared" si="71"/>
        <v>9.7058828920125961E-2</v>
      </c>
      <c r="N137" s="1">
        <f t="shared" si="71"/>
        <v>0.22524511069059372</v>
      </c>
      <c r="O137" s="1" t="str">
        <f t="shared" si="71"/>
        <v/>
      </c>
      <c r="P137" s="1">
        <f t="shared" si="71"/>
        <v>9.8039216827601194E-2</v>
      </c>
      <c r="Q137" s="1" t="str">
        <f t="shared" si="71"/>
        <v/>
      </c>
      <c r="R137" s="1">
        <f t="shared" si="71"/>
        <v>0.11102941673016176</v>
      </c>
      <c r="S137" s="1">
        <f t="shared" si="71"/>
        <v>0.10196078941226006</v>
      </c>
      <c r="T137" s="1">
        <f t="shared" si="71"/>
        <v>9.4362746924161911E-2</v>
      </c>
      <c r="U137" s="1">
        <f t="shared" si="71"/>
        <v>8.9705884689465165E-2</v>
      </c>
      <c r="V137" s="1">
        <f t="shared" si="71"/>
        <v>0.1018382403999567</v>
      </c>
      <c r="W137" s="1">
        <f t="shared" si="71"/>
        <v>0.24142158217728138</v>
      </c>
      <c r="X137" s="1">
        <f t="shared" si="71"/>
        <v>0.28026961721479893</v>
      </c>
      <c r="Y137" s="1">
        <f t="shared" si="71"/>
        <v>0.156495101749897</v>
      </c>
      <c r="Z137" s="1">
        <f t="shared" si="71"/>
        <v>0.13321078382432461</v>
      </c>
      <c r="AA137" s="1">
        <f t="shared" si="71"/>
        <v>0.18578431569039822</v>
      </c>
      <c r="AB137" s="1">
        <f t="shared" si="71"/>
        <v>0.11176471039652824</v>
      </c>
      <c r="AC137" s="1">
        <f t="shared" si="71"/>
        <v>0.19399510882794857</v>
      </c>
      <c r="AD137" s="1">
        <f t="shared" si="71"/>
        <v>0.13848039787262678</v>
      </c>
      <c r="AE137" s="1">
        <f t="shared" si="71"/>
        <v>0.11397059261798859</v>
      </c>
      <c r="AF137" s="1">
        <f t="shared" si="71"/>
        <v>0.10759804397821426</v>
      </c>
      <c r="AG137" s="1">
        <f t="shared" si="71"/>
        <v>0.15404412138741463</v>
      </c>
      <c r="AH137" s="1">
        <f t="shared" si="71"/>
        <v>0.11237745545804501</v>
      </c>
      <c r="AI137" s="1">
        <f t="shared" si="71"/>
        <v>0.12941176735330373</v>
      </c>
      <c r="AJ137" s="1">
        <f t="shared" si="39"/>
        <v>0.15273693348798487</v>
      </c>
      <c r="AK137" s="5">
        <f t="shared" si="40"/>
        <v>6.2903352836970058E-2</v>
      </c>
      <c r="AL137" s="7">
        <f t="shared" si="69"/>
        <v>38.947918039436139</v>
      </c>
    </row>
    <row r="138" spans="2:38">
      <c r="B138" s="12">
        <f>B132+1</f>
        <v>6</v>
      </c>
      <c r="C138" s="4">
        <f>C90</f>
        <v>7</v>
      </c>
      <c r="D138" s="1" t="str">
        <f>IF(D90&lt;&gt;"",D90,"")</f>
        <v/>
      </c>
      <c r="E138" s="1">
        <f t="shared" ref="E138:AI138" si="72">IF(E90&lt;&gt;"",E90,"")</f>
        <v>1.2142156875190124</v>
      </c>
      <c r="F138" s="1">
        <f t="shared" si="72"/>
        <v>1.9324754911529667</v>
      </c>
      <c r="G138" s="1" t="str">
        <f t="shared" si="72"/>
        <v/>
      </c>
      <c r="H138" s="1">
        <f t="shared" si="72"/>
        <v>1.388480395151704</v>
      </c>
      <c r="I138" s="1">
        <f t="shared" si="72"/>
        <v>1.2784313732356418</v>
      </c>
      <c r="J138" s="1">
        <f t="shared" si="72"/>
        <v>1.3077205897473236</v>
      </c>
      <c r="K138" s="1" t="str">
        <f t="shared" si="72"/>
        <v/>
      </c>
      <c r="L138" s="1">
        <f t="shared" si="72"/>
        <v>1.4730392166796853</v>
      </c>
      <c r="M138" s="1">
        <f t="shared" si="72"/>
        <v>1.2547794119984497</v>
      </c>
      <c r="N138" s="1">
        <f t="shared" si="72"/>
        <v>1.60392157093567</v>
      </c>
      <c r="O138" s="1" t="str">
        <f t="shared" si="72"/>
        <v/>
      </c>
      <c r="P138" s="1">
        <f t="shared" si="72"/>
        <v>1.1709558834301252</v>
      </c>
      <c r="Q138" s="1" t="str">
        <f t="shared" si="72"/>
        <v/>
      </c>
      <c r="R138" s="1">
        <f t="shared" si="72"/>
        <v>1.3850490202579429</v>
      </c>
      <c r="S138" s="1">
        <f t="shared" si="72"/>
        <v>1.3924019611125593</v>
      </c>
      <c r="T138" s="1">
        <f t="shared" si="72"/>
        <v>1.2590686304458216</v>
      </c>
      <c r="U138" s="1">
        <f t="shared" si="72"/>
        <v>1.2705882352941176</v>
      </c>
      <c r="V138" s="1">
        <f t="shared" si="72"/>
        <v>1.2784313732356418</v>
      </c>
      <c r="W138" s="1">
        <f t="shared" si="72"/>
        <v>1.6158088251290952</v>
      </c>
      <c r="X138" s="1">
        <f t="shared" si="72"/>
        <v>1.4632352956954171</v>
      </c>
      <c r="Y138" s="1">
        <f t="shared" si="72"/>
        <v>1.4400735323700835</v>
      </c>
      <c r="Z138" s="1">
        <f t="shared" si="72"/>
        <v>1.2383578436412648</v>
      </c>
      <c r="AA138" s="1">
        <f t="shared" si="72"/>
        <v>1.2498774515063156</v>
      </c>
      <c r="AB138" s="1">
        <f t="shared" si="72"/>
        <v>1.4823529416147401</v>
      </c>
      <c r="AC138" s="1">
        <f t="shared" si="72"/>
        <v>1.6004901985911761</v>
      </c>
      <c r="AD138" s="1">
        <f t="shared" si="72"/>
        <v>2.0158088246762169</v>
      </c>
      <c r="AE138" s="1">
        <f t="shared" si="72"/>
        <v>1.3802696113273794</v>
      </c>
      <c r="AF138" s="1">
        <f t="shared" si="72"/>
        <v>1.3212009811006924</v>
      </c>
      <c r="AG138" s="1">
        <f t="shared" si="72"/>
        <v>1.4056372561875512</v>
      </c>
      <c r="AH138" s="1">
        <f t="shared" si="72"/>
        <v>1.4550245118710925</v>
      </c>
      <c r="AI138" s="1">
        <f t="shared" si="72"/>
        <v>1.2436274516359702</v>
      </c>
      <c r="AJ138" s="1">
        <f t="shared" si="39"/>
        <v>1.4119008727979134</v>
      </c>
      <c r="AK138" s="5">
        <f t="shared" si="40"/>
        <v>0.20295315149227566</v>
      </c>
      <c r="AL138" s="7">
        <f>255*AJ138</f>
        <v>360.03472256346794</v>
      </c>
    </row>
    <row r="139" spans="2:38">
      <c r="B139" s="12"/>
      <c r="C139" s="4">
        <f t="shared" si="27"/>
        <v>7</v>
      </c>
      <c r="D139" s="1" t="str">
        <f>IF(D138&lt;&gt;"",D90-D138,"")</f>
        <v/>
      </c>
      <c r="E139" s="1">
        <f t="shared" ref="E139:AI139" si="73">IF(E138&lt;&gt;"",E90-E138,"")</f>
        <v>0</v>
      </c>
      <c r="F139" s="1">
        <f t="shared" si="73"/>
        <v>0</v>
      </c>
      <c r="G139" s="1" t="str">
        <f t="shared" si="73"/>
        <v/>
      </c>
      <c r="H139" s="1">
        <f t="shared" si="73"/>
        <v>0</v>
      </c>
      <c r="I139" s="1">
        <f t="shared" si="73"/>
        <v>0</v>
      </c>
      <c r="J139" s="1">
        <f t="shared" si="73"/>
        <v>0</v>
      </c>
      <c r="K139" s="1" t="str">
        <f t="shared" si="73"/>
        <v/>
      </c>
      <c r="L139" s="1">
        <f t="shared" si="73"/>
        <v>0</v>
      </c>
      <c r="M139" s="1">
        <f t="shared" si="73"/>
        <v>0</v>
      </c>
      <c r="N139" s="1">
        <f t="shared" si="73"/>
        <v>0</v>
      </c>
      <c r="O139" s="1" t="str">
        <f t="shared" si="73"/>
        <v/>
      </c>
      <c r="P139" s="1">
        <f t="shared" si="73"/>
        <v>0</v>
      </c>
      <c r="Q139" s="1" t="str">
        <f t="shared" si="73"/>
        <v/>
      </c>
      <c r="R139" s="1">
        <f t="shared" si="73"/>
        <v>0</v>
      </c>
      <c r="S139" s="1">
        <f t="shared" si="73"/>
        <v>0</v>
      </c>
      <c r="T139" s="1">
        <f t="shared" si="73"/>
        <v>0</v>
      </c>
      <c r="U139" s="1">
        <f t="shared" si="73"/>
        <v>0</v>
      </c>
      <c r="V139" s="1">
        <f t="shared" si="73"/>
        <v>0</v>
      </c>
      <c r="W139" s="1">
        <f t="shared" si="73"/>
        <v>0</v>
      </c>
      <c r="X139" s="1">
        <f t="shared" si="73"/>
        <v>0</v>
      </c>
      <c r="Y139" s="1">
        <f t="shared" si="73"/>
        <v>0</v>
      </c>
      <c r="Z139" s="1">
        <f t="shared" si="73"/>
        <v>0</v>
      </c>
      <c r="AA139" s="1">
        <f t="shared" si="73"/>
        <v>0</v>
      </c>
      <c r="AB139" s="1">
        <f t="shared" si="73"/>
        <v>0</v>
      </c>
      <c r="AC139" s="1">
        <f t="shared" si="73"/>
        <v>0</v>
      </c>
      <c r="AD139" s="1">
        <f t="shared" si="73"/>
        <v>0</v>
      </c>
      <c r="AE139" s="1">
        <f t="shared" si="73"/>
        <v>0</v>
      </c>
      <c r="AF139" s="1">
        <f t="shared" si="73"/>
        <v>0</v>
      </c>
      <c r="AG139" s="1">
        <f t="shared" si="73"/>
        <v>0</v>
      </c>
      <c r="AH139" s="1">
        <f t="shared" si="73"/>
        <v>0</v>
      </c>
      <c r="AI139" s="1">
        <f t="shared" si="73"/>
        <v>0</v>
      </c>
      <c r="AJ139" s="1">
        <f t="shared" si="39"/>
        <v>0</v>
      </c>
      <c r="AK139" s="5">
        <f t="shared" si="40"/>
        <v>0</v>
      </c>
      <c r="AL139" s="7">
        <f>255*AJ139</f>
        <v>0</v>
      </c>
    </row>
    <row r="140" spans="2:38">
      <c r="B140" s="12"/>
      <c r="C140" s="4">
        <f t="shared" si="27"/>
        <v>16</v>
      </c>
      <c r="D140" s="1" t="str">
        <f>IF(D138&lt;&gt;"",D91-D139,"")</f>
        <v/>
      </c>
      <c r="E140" s="1">
        <f>IF(E138&lt;&gt;"",E91-E138,"")</f>
        <v>2.0710783777758479E-2</v>
      </c>
      <c r="F140" s="1">
        <f t="shared" ref="F140:AI140" si="74">IF(F138&lt;&gt;"",F91-F138,"")</f>
        <v>2.6838241145014763E-2</v>
      </c>
      <c r="G140" s="1" t="str">
        <f t="shared" si="74"/>
        <v/>
      </c>
      <c r="H140" s="1">
        <f t="shared" si="74"/>
        <v>2.4632351472973824E-2</v>
      </c>
      <c r="I140" s="1">
        <f t="shared" si="74"/>
        <v>2.3161767050623894E-2</v>
      </c>
      <c r="J140" s="1">
        <f t="shared" si="74"/>
        <v>2.2794117336161435E-2</v>
      </c>
      <c r="K140" s="1" t="str">
        <f t="shared" si="74"/>
        <v/>
      </c>
      <c r="L140" s="1">
        <f t="shared" si="74"/>
        <v>3.6519613116979599E-2</v>
      </c>
      <c r="M140" s="1">
        <f t="shared" si="74"/>
        <v>1.6421569511294365E-2</v>
      </c>
      <c r="N140" s="1">
        <f t="shared" si="74"/>
        <v>2.1813724189996719E-2</v>
      </c>
      <c r="O140" s="1" t="str">
        <f t="shared" si="74"/>
        <v/>
      </c>
      <c r="P140" s="1">
        <f t="shared" si="74"/>
        <v>1.801470568170771E-2</v>
      </c>
      <c r="Q140" s="1" t="str">
        <f t="shared" si="74"/>
        <v/>
      </c>
      <c r="R140" s="1">
        <f t="shared" si="74"/>
        <v>2.5980392470955849E-2</v>
      </c>
      <c r="S140" s="1">
        <f t="shared" si="74"/>
        <v>5.1715686684474349E-2</v>
      </c>
      <c r="T140" s="1">
        <f t="shared" si="74"/>
        <v>2.4142155423760414E-2</v>
      </c>
      <c r="U140" s="1">
        <f t="shared" si="74"/>
        <v>0</v>
      </c>
      <c r="V140" s="1">
        <f t="shared" si="74"/>
        <v>2.0098041743040085E-2</v>
      </c>
      <c r="W140" s="1">
        <f t="shared" si="74"/>
        <v>3.3088240772485733E-2</v>
      </c>
      <c r="X140" s="1">
        <f t="shared" si="74"/>
        <v>3.4436279907822609E-2</v>
      </c>
      <c r="Y140" s="1">
        <f t="shared" si="74"/>
        <v>2.5245096534490585E-2</v>
      </c>
      <c r="Z140" s="1">
        <f t="shared" si="74"/>
        <v>2.193627692759037E-2</v>
      </c>
      <c r="AA140" s="1">
        <f t="shared" si="74"/>
        <v>2.500000037252903E-2</v>
      </c>
      <c r="AB140" s="1">
        <f t="shared" si="74"/>
        <v>2.5490202009677887E-2</v>
      </c>
      <c r="AC140" s="1">
        <f t="shared" si="74"/>
        <v>3.0637253075838089E-2</v>
      </c>
      <c r="AD140" s="1">
        <f t="shared" si="74"/>
        <v>2.7818629518151283E-2</v>
      </c>
      <c r="AE140" s="1">
        <f t="shared" si="74"/>
        <v>2.2794116288423538E-2</v>
      </c>
      <c r="AF140" s="1">
        <f t="shared" si="74"/>
        <v>1.8995100632309914E-2</v>
      </c>
      <c r="AG140" s="1">
        <f t="shared" si="74"/>
        <v>2.5490198284387589E-2</v>
      </c>
      <c r="AH140" s="1">
        <f t="shared" si="74"/>
        <v>2.7450979221612215E-2</v>
      </c>
      <c r="AI140" s="1">
        <f t="shared" si="74"/>
        <v>2.1200982388108969E-2</v>
      </c>
      <c r="AJ140" s="1">
        <f t="shared" si="39"/>
        <v>2.4904685390302567E-2</v>
      </c>
      <c r="AK140" s="5">
        <f t="shared" si="40"/>
        <v>8.6047419184219886E-3</v>
      </c>
      <c r="AL140" s="7">
        <f>255*AJ140</f>
        <v>6.3506947745271543</v>
      </c>
    </row>
    <row r="141" spans="2:38">
      <c r="B141" s="12"/>
      <c r="C141" s="4">
        <f t="shared" si="27"/>
        <v>25</v>
      </c>
      <c r="D141" s="1" t="str">
        <f>IF(D138&lt;&gt;"",D92-D140,"")</f>
        <v/>
      </c>
      <c r="E141" s="1">
        <f>IF(E138&lt;&gt;"",E92-E138,"")</f>
        <v>5.0735295517370105E-2</v>
      </c>
      <c r="F141" s="1">
        <f t="shared" ref="F141:AI141" si="75">IF(F138&lt;&gt;"",F92-F138,"")</f>
        <v>6.8872552365064399E-2</v>
      </c>
      <c r="G141" s="1" t="str">
        <f t="shared" si="75"/>
        <v/>
      </c>
      <c r="H141" s="1">
        <f t="shared" si="75"/>
        <v>5.0612749066203833E-2</v>
      </c>
      <c r="I141" s="1">
        <f t="shared" si="75"/>
        <v>5.1102941855788231E-2</v>
      </c>
      <c r="J141" s="1">
        <f t="shared" si="75"/>
        <v>5.1470588892698288E-2</v>
      </c>
      <c r="K141" s="1" t="str">
        <f t="shared" si="75"/>
        <v/>
      </c>
      <c r="L141" s="1">
        <f t="shared" si="75"/>
        <v>7.7696081250905991E-2</v>
      </c>
      <c r="M141" s="1">
        <f t="shared" si="75"/>
        <v>4.485294409096241E-2</v>
      </c>
      <c r="N141" s="1">
        <f t="shared" si="75"/>
        <v>6.6053925082087517E-2</v>
      </c>
      <c r="O141" s="1" t="str">
        <f t="shared" si="75"/>
        <v/>
      </c>
      <c r="P141" s="1">
        <f t="shared" si="75"/>
        <v>4.828431544592604E-2</v>
      </c>
      <c r="Q141" s="1" t="str">
        <f t="shared" si="75"/>
        <v/>
      </c>
      <c r="R141" s="1">
        <f t="shared" si="75"/>
        <v>5.784313939511776E-2</v>
      </c>
      <c r="S141" s="1">
        <f t="shared" si="75"/>
        <v>4.9142159405164421E-2</v>
      </c>
      <c r="T141" s="1">
        <f t="shared" si="75"/>
        <v>4.7181370900943875E-2</v>
      </c>
      <c r="U141" s="1">
        <f t="shared" si="75"/>
        <v>0</v>
      </c>
      <c r="V141" s="1">
        <f t="shared" si="75"/>
        <v>4.7058824449777603E-2</v>
      </c>
      <c r="W141" s="1">
        <f t="shared" si="75"/>
        <v>7.0465689525008202E-2</v>
      </c>
      <c r="X141" s="1">
        <f t="shared" si="75"/>
        <v>7.4264708906412125E-2</v>
      </c>
      <c r="Y141" s="1">
        <f t="shared" si="75"/>
        <v>6.2009807676076889E-2</v>
      </c>
      <c r="Z141" s="1">
        <f t="shared" si="75"/>
        <v>5.7598039507865906E-2</v>
      </c>
      <c r="AA141" s="1">
        <f t="shared" si="75"/>
        <v>5.5147061124444008E-2</v>
      </c>
      <c r="AB141" s="1">
        <f t="shared" si="75"/>
        <v>5.3308827802538872E-2</v>
      </c>
      <c r="AC141" s="1">
        <f t="shared" si="75"/>
        <v>7.2303924709558487E-2</v>
      </c>
      <c r="AD141" s="1">
        <f t="shared" si="75"/>
        <v>7.083333283662796E-2</v>
      </c>
      <c r="AE141" s="1">
        <f t="shared" si="75"/>
        <v>4.7181369736790657E-2</v>
      </c>
      <c r="AF141" s="1">
        <f t="shared" si="75"/>
        <v>4.7181373462080956E-2</v>
      </c>
      <c r="AG141" s="1">
        <f t="shared" si="75"/>
        <v>5.9926470741629601E-2</v>
      </c>
      <c r="AH141" s="1">
        <f t="shared" si="75"/>
        <v>5.9803925454616547E-2</v>
      </c>
      <c r="AI141" s="1">
        <f t="shared" si="75"/>
        <v>5.5024509783834219E-2</v>
      </c>
      <c r="AJ141" s="1">
        <f t="shared" si="39"/>
        <v>5.5405775147610921E-2</v>
      </c>
      <c r="AK141" s="5">
        <f t="shared" si="40"/>
        <v>1.4700671176262232E-2</v>
      </c>
      <c r="AL141" s="7">
        <f t="shared" ref="AL141:AL143" si="76">255*AJ141</f>
        <v>14.128472662640785</v>
      </c>
    </row>
    <row r="142" spans="2:38">
      <c r="B142" s="12"/>
      <c r="C142" s="4">
        <f t="shared" si="27"/>
        <v>34</v>
      </c>
      <c r="D142" s="1" t="str">
        <f>IF(D138&lt;&gt;"",D93-D141,"")</f>
        <v/>
      </c>
      <c r="E142" s="1">
        <f>IF(E138&lt;&gt;"",E93-E138,"")</f>
        <v>8.1004901556298137E-2</v>
      </c>
      <c r="F142" s="1">
        <f t="shared" ref="F142:AI142" si="77">IF(F138&lt;&gt;"",F93-F138,"")</f>
        <v>0.12781862728297688</v>
      </c>
      <c r="G142" s="1" t="str">
        <f t="shared" si="77"/>
        <v/>
      </c>
      <c r="H142" s="1">
        <f t="shared" si="77"/>
        <v>9.276960976421833E-2</v>
      </c>
      <c r="I142" s="1">
        <f t="shared" si="77"/>
        <v>7.9901967197656631E-2</v>
      </c>
      <c r="J142" s="1">
        <f t="shared" si="77"/>
        <v>8.8235299568623304E-2</v>
      </c>
      <c r="K142" s="1" t="str">
        <f t="shared" si="77"/>
        <v/>
      </c>
      <c r="L142" s="1">
        <f t="shared" si="77"/>
        <v>0.14166667684912682</v>
      </c>
      <c r="M142" s="1">
        <f t="shared" si="77"/>
        <v>7.3529413202777505E-2</v>
      </c>
      <c r="N142" s="1">
        <f t="shared" si="77"/>
        <v>0.10502451099455357</v>
      </c>
      <c r="O142" s="1" t="str">
        <f t="shared" si="77"/>
        <v/>
      </c>
      <c r="P142" s="1">
        <f t="shared" si="77"/>
        <v>7.3284313955809921E-2</v>
      </c>
      <c r="Q142" s="1" t="str">
        <f t="shared" si="77"/>
        <v/>
      </c>
      <c r="R142" s="1">
        <f t="shared" si="77"/>
        <v>8.1985294818878174E-2</v>
      </c>
      <c r="S142" s="1">
        <f t="shared" si="77"/>
        <v>7.1078432607464492E-2</v>
      </c>
      <c r="T142" s="1">
        <f t="shared" si="77"/>
        <v>7.0220591500401497E-2</v>
      </c>
      <c r="U142" s="1">
        <f t="shared" si="77"/>
        <v>2.3284314200282097E-2</v>
      </c>
      <c r="V142" s="1">
        <f t="shared" si="77"/>
        <v>6.7524509504437447E-2</v>
      </c>
      <c r="W142" s="1">
        <f t="shared" si="77"/>
        <v>0.12230392172932625</v>
      </c>
      <c r="X142" s="1">
        <f t="shared" si="77"/>
        <v>0.16213235212489963</v>
      </c>
      <c r="Y142" s="1">
        <f t="shared" si="77"/>
        <v>9.5220590010285378E-2</v>
      </c>
      <c r="Z142" s="1">
        <f t="shared" si="77"/>
        <v>8.3700986579060555E-2</v>
      </c>
      <c r="AA142" s="1">
        <f t="shared" si="77"/>
        <v>9.6446078270673752E-2</v>
      </c>
      <c r="AB142" s="1">
        <f t="shared" si="77"/>
        <v>7.8063728287816048E-2</v>
      </c>
      <c r="AC142" s="1">
        <f t="shared" si="77"/>
        <v>0.1018382366746664</v>
      </c>
      <c r="AD142" s="1">
        <f t="shared" si="77"/>
        <v>0.10563725978136063</v>
      </c>
      <c r="AE142" s="1">
        <f t="shared" si="77"/>
        <v>8.4681374952197075E-2</v>
      </c>
      <c r="AF142" s="1">
        <f t="shared" si="77"/>
        <v>7.2426472324877977E-2</v>
      </c>
      <c r="AG142" s="1">
        <f t="shared" si="77"/>
        <v>9.2647064477205276E-2</v>
      </c>
      <c r="AH142" s="1">
        <f t="shared" si="77"/>
        <v>9.1421570628881454E-2</v>
      </c>
      <c r="AI142" s="1">
        <f t="shared" si="77"/>
        <v>9.4607848208397627E-2</v>
      </c>
      <c r="AJ142" s="1">
        <f t="shared" si="39"/>
        <v>9.1053923964931602E-2</v>
      </c>
      <c r="AK142" s="5">
        <f t="shared" si="40"/>
        <v>2.6354856692778945E-2</v>
      </c>
      <c r="AL142" s="7">
        <f t="shared" si="76"/>
        <v>23.218750611057558</v>
      </c>
    </row>
    <row r="143" spans="2:38">
      <c r="B143" s="12"/>
      <c r="C143" s="4">
        <f t="shared" si="27"/>
        <v>43</v>
      </c>
      <c r="D143" s="1" t="str">
        <f>IF(D138&lt;&gt;"",D94-D142,"")</f>
        <v/>
      </c>
      <c r="E143" s="1">
        <f>IF(E138&lt;&gt;"",E94-E138,"")</f>
        <v>0.17083333502523601</v>
      </c>
      <c r="F143" s="1">
        <f t="shared" ref="F143:AI143" si="78">IF(F138&lt;&gt;"",F94-F138,"")</f>
        <v>0.25551471300423123</v>
      </c>
      <c r="G143" s="1" t="str">
        <f t="shared" si="78"/>
        <v/>
      </c>
      <c r="H143" s="1">
        <f t="shared" si="78"/>
        <v>0.30245098471641541</v>
      </c>
      <c r="I143" s="1">
        <f t="shared" si="78"/>
        <v>0.17965686321258545</v>
      </c>
      <c r="J143" s="1">
        <f t="shared" si="78"/>
        <v>0.24007354117929935</v>
      </c>
      <c r="K143" s="1" t="str">
        <f t="shared" si="78"/>
        <v/>
      </c>
      <c r="L143" s="1">
        <f t="shared" si="78"/>
        <v>0.39558826200664043</v>
      </c>
      <c r="M143" s="1">
        <f t="shared" si="78"/>
        <v>0.16348039591684937</v>
      </c>
      <c r="N143" s="1">
        <f t="shared" si="78"/>
        <v>0.29644608311355114</v>
      </c>
      <c r="O143" s="1" t="str">
        <f t="shared" si="78"/>
        <v/>
      </c>
      <c r="P143" s="1">
        <f t="shared" si="78"/>
        <v>0.19620098074665293</v>
      </c>
      <c r="Q143" s="1" t="str">
        <f t="shared" si="78"/>
        <v/>
      </c>
      <c r="R143" s="1">
        <f t="shared" si="78"/>
        <v>0.16250000335276127</v>
      </c>
      <c r="S143" s="1">
        <f t="shared" si="78"/>
        <v>0.13480392645578831</v>
      </c>
      <c r="T143" s="1">
        <f t="shared" si="78"/>
        <v>0.1275735292583704</v>
      </c>
      <c r="U143" s="1">
        <f t="shared" si="78"/>
        <v>8.4313727915287018E-2</v>
      </c>
      <c r="V143" s="1">
        <f t="shared" si="78"/>
        <v>0.15024510025978088</v>
      </c>
      <c r="W143" s="1">
        <f t="shared" si="78"/>
        <v>0.30845588631927967</v>
      </c>
      <c r="X143" s="1">
        <f t="shared" si="78"/>
        <v>0.32904412038624287</v>
      </c>
      <c r="Y143" s="1">
        <f t="shared" si="78"/>
        <v>0.22009804844856262</v>
      </c>
      <c r="Z143" s="1">
        <f t="shared" si="78"/>
        <v>0.23039216920733452</v>
      </c>
      <c r="AA143" s="1">
        <f t="shared" si="78"/>
        <v>0.29742648079991341</v>
      </c>
      <c r="AB143" s="1">
        <f t="shared" si="78"/>
        <v>0.1512255035340786</v>
      </c>
      <c r="AC143" s="1">
        <f t="shared" si="78"/>
        <v>0.26948530040681362</v>
      </c>
      <c r="AD143" s="1">
        <f t="shared" si="78"/>
        <v>0.17830882407724857</v>
      </c>
      <c r="AE143" s="1">
        <f t="shared" si="78"/>
        <v>0.15563725307583809</v>
      </c>
      <c r="AF143" s="1">
        <f t="shared" si="78"/>
        <v>0.18357843160629272</v>
      </c>
      <c r="AG143" s="1">
        <f t="shared" si="78"/>
        <v>0.21237746439874172</v>
      </c>
      <c r="AH143" s="1">
        <f t="shared" si="78"/>
        <v>0.19276961870491505</v>
      </c>
      <c r="AI143" s="1">
        <f t="shared" si="78"/>
        <v>0.20208334689959884</v>
      </c>
      <c r="AJ143" s="1">
        <f t="shared" si="39"/>
        <v>0.21446532940845592</v>
      </c>
      <c r="AK143" s="5">
        <f t="shared" si="40"/>
        <v>7.2277416642626963E-2</v>
      </c>
      <c r="AL143" s="7">
        <f t="shared" si="76"/>
        <v>54.68865899915626</v>
      </c>
    </row>
    <row r="144" spans="2:38">
      <c r="B144" s="12">
        <f>B138+1</f>
        <v>7</v>
      </c>
      <c r="C144" s="4">
        <f>C96</f>
        <v>8</v>
      </c>
      <c r="D144" s="1" t="str">
        <f>IF(D96&lt;&gt;"",D96,"")</f>
        <v/>
      </c>
      <c r="E144" s="1">
        <f t="shared" ref="E144:AI144" si="79">IF(E96&lt;&gt;"",E96,"")</f>
        <v>1.3860294123563697</v>
      </c>
      <c r="F144" s="1">
        <f t="shared" si="79"/>
        <v>2.1888480423077685</v>
      </c>
      <c r="G144" s="1" t="str">
        <f t="shared" si="79"/>
        <v/>
      </c>
      <c r="H144" s="1">
        <f t="shared" si="79"/>
        <v>1.5640931382117902</v>
      </c>
      <c r="I144" s="1">
        <f t="shared" si="79"/>
        <v>1.4493872573051383</v>
      </c>
      <c r="J144" s="1">
        <f t="shared" si="79"/>
        <v>1.4808823534670998</v>
      </c>
      <c r="K144" s="1" t="str">
        <f t="shared" si="79"/>
        <v/>
      </c>
      <c r="L144" s="1">
        <f t="shared" si="79"/>
        <v>1.671200986140791</v>
      </c>
      <c r="M144" s="1">
        <f t="shared" si="79"/>
        <v>1.412867647913449</v>
      </c>
      <c r="N144" s="1">
        <f t="shared" si="79"/>
        <v>1.780392157768502</v>
      </c>
      <c r="O144" s="1" t="str">
        <f t="shared" si="79"/>
        <v/>
      </c>
      <c r="P144" s="1">
        <f t="shared" si="79"/>
        <v>1.3225490202360293</v>
      </c>
      <c r="Q144" s="1" t="str">
        <f t="shared" si="79"/>
        <v/>
      </c>
      <c r="R144" s="1">
        <f t="shared" si="79"/>
        <v>1.5857843171147739</v>
      </c>
      <c r="S144" s="1">
        <f t="shared" si="79"/>
        <v>1.5924019637791549</v>
      </c>
      <c r="T144" s="1">
        <f t="shared" si="79"/>
        <v>1.4629901976708104</v>
      </c>
      <c r="U144" s="1">
        <f t="shared" si="79"/>
        <v>1.3873774514917065</v>
      </c>
      <c r="V144" s="1">
        <f t="shared" si="79"/>
        <v>1.4784313732210328</v>
      </c>
      <c r="W144" s="1">
        <f t="shared" si="79"/>
        <v>1.8116421633564375</v>
      </c>
      <c r="X144" s="1">
        <f t="shared" si="79"/>
        <v>1.666666672685567</v>
      </c>
      <c r="Y144" s="1">
        <f t="shared" si="79"/>
        <v>1.6631127513287698</v>
      </c>
      <c r="Z144" s="1">
        <f t="shared" si="79"/>
        <v>1.4518382375512053</v>
      </c>
      <c r="AA144" s="1">
        <f t="shared" si="79"/>
        <v>1.4236519611125593</v>
      </c>
      <c r="AB144" s="1">
        <f t="shared" si="79"/>
        <v>1.6855392205802833</v>
      </c>
      <c r="AC144" s="1">
        <f t="shared" si="79"/>
        <v>1.8480392162044368</v>
      </c>
      <c r="AD144" s="1">
        <f t="shared" si="79"/>
        <v>2.5083333361966935</v>
      </c>
      <c r="AE144" s="1">
        <f t="shared" si="79"/>
        <v>1.5686274516670142</v>
      </c>
      <c r="AF144" s="1">
        <f t="shared" si="79"/>
        <v>1.5177696136209895</v>
      </c>
      <c r="AG144" s="1">
        <f t="shared" si="79"/>
        <v>1.6063725511817371</v>
      </c>
      <c r="AH144" s="1">
        <f t="shared" si="79"/>
        <v>1.6900735340355073</v>
      </c>
      <c r="AI144" s="1">
        <f t="shared" si="79"/>
        <v>1.4414215715054204</v>
      </c>
      <c r="AJ144" s="1">
        <f t="shared" si="39"/>
        <v>1.616530503704112</v>
      </c>
      <c r="AK144" s="5">
        <f t="shared" si="40"/>
        <v>0.2551895793622303</v>
      </c>
      <c r="AL144" s="7">
        <f>255*AJ144</f>
        <v>412.21527844454857</v>
      </c>
    </row>
    <row r="145" spans="2:38">
      <c r="B145" s="12"/>
      <c r="C145" s="4">
        <f t="shared" si="27"/>
        <v>8</v>
      </c>
      <c r="D145" s="1" t="str">
        <f>IF(D144&lt;&gt;"",D96-D144,"")</f>
        <v/>
      </c>
      <c r="E145" s="1">
        <f t="shared" ref="E145:AI145" si="80">IF(E144&lt;&gt;"",E96-E144,"")</f>
        <v>0</v>
      </c>
      <c r="F145" s="1">
        <f t="shared" si="80"/>
        <v>0</v>
      </c>
      <c r="G145" s="1" t="str">
        <f t="shared" si="80"/>
        <v/>
      </c>
      <c r="H145" s="1">
        <f t="shared" si="80"/>
        <v>0</v>
      </c>
      <c r="I145" s="1">
        <f t="shared" si="80"/>
        <v>0</v>
      </c>
      <c r="J145" s="1">
        <f t="shared" si="80"/>
        <v>0</v>
      </c>
      <c r="K145" s="1" t="str">
        <f t="shared" si="80"/>
        <v/>
      </c>
      <c r="L145" s="1">
        <f t="shared" si="80"/>
        <v>0</v>
      </c>
      <c r="M145" s="1">
        <f t="shared" si="80"/>
        <v>0</v>
      </c>
      <c r="N145" s="1">
        <f t="shared" si="80"/>
        <v>0</v>
      </c>
      <c r="O145" s="1" t="str">
        <f t="shared" si="80"/>
        <v/>
      </c>
      <c r="P145" s="1">
        <f t="shared" si="80"/>
        <v>0</v>
      </c>
      <c r="Q145" s="1" t="str">
        <f t="shared" si="80"/>
        <v/>
      </c>
      <c r="R145" s="1">
        <f t="shared" si="80"/>
        <v>0</v>
      </c>
      <c r="S145" s="1">
        <f t="shared" si="80"/>
        <v>0</v>
      </c>
      <c r="T145" s="1">
        <f t="shared" si="80"/>
        <v>0</v>
      </c>
      <c r="U145" s="1">
        <f t="shared" si="80"/>
        <v>0</v>
      </c>
      <c r="V145" s="1">
        <f t="shared" si="80"/>
        <v>0</v>
      </c>
      <c r="W145" s="1">
        <f t="shared" si="80"/>
        <v>0</v>
      </c>
      <c r="X145" s="1">
        <f t="shared" si="80"/>
        <v>0</v>
      </c>
      <c r="Y145" s="1">
        <f t="shared" si="80"/>
        <v>0</v>
      </c>
      <c r="Z145" s="1">
        <f t="shared" si="80"/>
        <v>0</v>
      </c>
      <c r="AA145" s="1">
        <f t="shared" si="80"/>
        <v>0</v>
      </c>
      <c r="AB145" s="1">
        <f t="shared" si="80"/>
        <v>0</v>
      </c>
      <c r="AC145" s="1">
        <f t="shared" si="80"/>
        <v>0</v>
      </c>
      <c r="AD145" s="1">
        <f t="shared" si="80"/>
        <v>0</v>
      </c>
      <c r="AE145" s="1">
        <f t="shared" si="80"/>
        <v>0</v>
      </c>
      <c r="AF145" s="1">
        <f t="shared" si="80"/>
        <v>0</v>
      </c>
      <c r="AG145" s="1">
        <f t="shared" si="80"/>
        <v>0</v>
      </c>
      <c r="AH145" s="1">
        <f t="shared" si="80"/>
        <v>0</v>
      </c>
      <c r="AI145" s="1">
        <f t="shared" si="80"/>
        <v>0</v>
      </c>
      <c r="AJ145" s="1">
        <f t="shared" si="39"/>
        <v>0</v>
      </c>
      <c r="AK145" s="5">
        <f t="shared" si="40"/>
        <v>0</v>
      </c>
      <c r="AL145" s="7">
        <f>255*AJ145</f>
        <v>0</v>
      </c>
    </row>
    <row r="146" spans="2:38">
      <c r="B146" s="12"/>
      <c r="C146" s="4">
        <f t="shared" si="27"/>
        <v>17</v>
      </c>
      <c r="D146" s="1" t="str">
        <f>IF(D144&lt;&gt;"",D97-D145,"")</f>
        <v/>
      </c>
      <c r="E146" s="1">
        <f>IF(E144&lt;&gt;"",E97-E144,"")</f>
        <v>2.1813726052641869E-2</v>
      </c>
      <c r="F146" s="1">
        <f t="shared" ref="F146:AI146" si="81">IF(F144&lt;&gt;"",F97-F144,"")</f>
        <v>3.2598037854768336E-2</v>
      </c>
      <c r="G146" s="1" t="str">
        <f t="shared" si="81"/>
        <v/>
      </c>
      <c r="H146" s="1">
        <f t="shared" si="81"/>
        <v>2.659313939511776E-2</v>
      </c>
      <c r="I146" s="1">
        <f t="shared" si="81"/>
        <v>2.6225488632917404E-2</v>
      </c>
      <c r="J146" s="1">
        <f t="shared" si="81"/>
        <v>2.8676476329565048E-2</v>
      </c>
      <c r="K146" s="1" t="str">
        <f t="shared" si="81"/>
        <v/>
      </c>
      <c r="L146" s="1">
        <f t="shared" si="81"/>
        <v>4.056372307240963E-2</v>
      </c>
      <c r="M146" s="1">
        <f t="shared" si="81"/>
        <v>2.1568629890680313E-2</v>
      </c>
      <c r="N146" s="1">
        <f t="shared" si="81"/>
        <v>3.1740201637148857E-2</v>
      </c>
      <c r="O146" s="1" t="str">
        <f t="shared" si="81"/>
        <v/>
      </c>
      <c r="P146" s="1">
        <f t="shared" si="81"/>
        <v>2.0588237792253494E-2</v>
      </c>
      <c r="Q146" s="1" t="str">
        <f t="shared" si="81"/>
        <v/>
      </c>
      <c r="R146" s="1">
        <f t="shared" si="81"/>
        <v>2.9901959002017975E-2</v>
      </c>
      <c r="S146" s="1">
        <f t="shared" si="81"/>
        <v>2.4019606411457062E-2</v>
      </c>
      <c r="T146" s="1">
        <f t="shared" si="81"/>
        <v>2.3529411060735583E-2</v>
      </c>
      <c r="U146" s="1">
        <f t="shared" si="81"/>
        <v>2.8186274692416191E-2</v>
      </c>
      <c r="V146" s="1">
        <f t="shared" si="81"/>
        <v>2.4877456948161125E-2</v>
      </c>
      <c r="W146" s="1">
        <f t="shared" si="81"/>
        <v>3.7254899740219116E-2</v>
      </c>
      <c r="X146" s="1">
        <f t="shared" si="81"/>
        <v>3.4681370481848717E-2</v>
      </c>
      <c r="Y146" s="1">
        <f t="shared" si="81"/>
        <v>2.7450978755950928E-2</v>
      </c>
      <c r="Z146" s="1">
        <f t="shared" si="81"/>
        <v>2.6593135669827461E-2</v>
      </c>
      <c r="AA146" s="1">
        <f t="shared" si="81"/>
        <v>2.879902150016278E-2</v>
      </c>
      <c r="AB146" s="1">
        <f t="shared" si="81"/>
        <v>2.549019455909729E-2</v>
      </c>
      <c r="AC146" s="1">
        <f t="shared" si="81"/>
        <v>3.737745329272002E-2</v>
      </c>
      <c r="AD146" s="1">
        <f t="shared" si="81"/>
        <v>3.2843135297298431E-2</v>
      </c>
      <c r="AE146" s="1">
        <f t="shared" si="81"/>
        <v>2.5367649272084236E-2</v>
      </c>
      <c r="AF146" s="1">
        <f t="shared" si="81"/>
        <v>2.5857841596007347E-2</v>
      </c>
      <c r="AG146" s="1">
        <f t="shared" si="81"/>
        <v>2.8308821842074394E-2</v>
      </c>
      <c r="AH146" s="1">
        <f t="shared" si="81"/>
        <v>3.1249998137354851E-2</v>
      </c>
      <c r="AI146" s="1">
        <f t="shared" si="81"/>
        <v>2.6593135669827461E-2</v>
      </c>
      <c r="AJ146" s="1">
        <f t="shared" si="39"/>
        <v>2.8472222392102359E-2</v>
      </c>
      <c r="AK146" s="5">
        <f t="shared" si="40"/>
        <v>5.0053891473360044E-3</v>
      </c>
      <c r="AL146" s="7">
        <f>255*AJ146</f>
        <v>7.2604167099861012</v>
      </c>
    </row>
    <row r="147" spans="2:38">
      <c r="B147" s="12"/>
      <c r="C147" s="4">
        <f t="shared" si="27"/>
        <v>26</v>
      </c>
      <c r="D147" s="1" t="str">
        <f>IF(D144&lt;&gt;"",D98-D146,"")</f>
        <v/>
      </c>
      <c r="E147" s="1">
        <f>IF(E144&lt;&gt;"",E98-E144,"")</f>
        <v>5.7230394333600998E-2</v>
      </c>
      <c r="F147" s="1">
        <f t="shared" ref="F147:AI147" si="82">IF(F144&lt;&gt;"",F98-F144,"")</f>
        <v>7.8799022943712771E-2</v>
      </c>
      <c r="G147" s="1" t="str">
        <f t="shared" si="82"/>
        <v/>
      </c>
      <c r="H147" s="1">
        <f t="shared" si="82"/>
        <v>6.3725490123033524E-2</v>
      </c>
      <c r="I147" s="1">
        <f t="shared" si="82"/>
        <v>6.6911768168210983E-2</v>
      </c>
      <c r="J147" s="1">
        <f t="shared" si="82"/>
        <v>9.0931375976651907E-2</v>
      </c>
      <c r="K147" s="1" t="str">
        <f t="shared" si="82"/>
        <v/>
      </c>
      <c r="L147" s="1">
        <f t="shared" si="82"/>
        <v>9.1911759227514267E-2</v>
      </c>
      <c r="M147" s="1">
        <f t="shared" si="82"/>
        <v>5.5637255311012268E-2</v>
      </c>
      <c r="N147" s="1">
        <f t="shared" si="82"/>
        <v>7.9289218410849571E-2</v>
      </c>
      <c r="O147" s="1" t="str">
        <f t="shared" si="82"/>
        <v/>
      </c>
      <c r="P147" s="1">
        <f t="shared" si="82"/>
        <v>5.3186275064945221E-2</v>
      </c>
      <c r="Q147" s="1" t="str">
        <f t="shared" si="82"/>
        <v/>
      </c>
      <c r="R147" s="1">
        <f t="shared" si="82"/>
        <v>7.3284316807985306E-2</v>
      </c>
      <c r="S147" s="1">
        <f t="shared" si="82"/>
        <v>5.686274915933609E-2</v>
      </c>
      <c r="T147" s="1">
        <f t="shared" si="82"/>
        <v>5.3431376814842224E-2</v>
      </c>
      <c r="U147" s="1">
        <f t="shared" si="82"/>
        <v>6.0049021616578102E-2</v>
      </c>
      <c r="V147" s="1">
        <f t="shared" si="82"/>
        <v>5.7598043233156204E-2</v>
      </c>
      <c r="W147" s="1">
        <f t="shared" si="82"/>
        <v>7.6102936640381813E-2</v>
      </c>
      <c r="X147" s="1">
        <f t="shared" si="82"/>
        <v>8.1004897132515907E-2</v>
      </c>
      <c r="Y147" s="1">
        <f t="shared" si="82"/>
        <v>7.8431367874145508E-2</v>
      </c>
      <c r="Z147" s="1">
        <f t="shared" si="82"/>
        <v>6.9975493475794792E-2</v>
      </c>
      <c r="AA147" s="1">
        <f t="shared" si="82"/>
        <v>6.2377450871281326E-2</v>
      </c>
      <c r="AB147" s="1">
        <f t="shared" si="82"/>
        <v>6.3357839360833168E-2</v>
      </c>
      <c r="AC147" s="1">
        <f t="shared" si="82"/>
        <v>8.5171569022350013E-2</v>
      </c>
      <c r="AD147" s="1">
        <f t="shared" si="82"/>
        <v>8.6887257173657417E-2</v>
      </c>
      <c r="AE147" s="1">
        <f t="shared" si="82"/>
        <v>6.2622549012303352E-2</v>
      </c>
      <c r="AF147" s="1">
        <f t="shared" si="82"/>
        <v>6.2867643311619759E-2</v>
      </c>
      <c r="AG147" s="1">
        <f t="shared" si="82"/>
        <v>6.9975493475794792E-2</v>
      </c>
      <c r="AH147" s="1">
        <f t="shared" si="82"/>
        <v>6.6911760717630386E-2</v>
      </c>
      <c r="AI147" s="1">
        <f t="shared" si="82"/>
        <v>6.7156866192817688E-2</v>
      </c>
      <c r="AJ147" s="1">
        <f t="shared" si="39"/>
        <v>6.9321895979724268E-2</v>
      </c>
      <c r="AK147" s="5">
        <f t="shared" si="40"/>
        <v>1.1521161359852448E-2</v>
      </c>
      <c r="AL147" s="7">
        <f t="shared" ref="AL147:AL149" si="83">255*AJ147</f>
        <v>17.67708347482969</v>
      </c>
    </row>
    <row r="148" spans="2:38">
      <c r="B148" s="12"/>
      <c r="C148" s="4">
        <f t="shared" si="27"/>
        <v>35</v>
      </c>
      <c r="D148" s="1" t="str">
        <f>IF(D144&lt;&gt;"",D99-D147,"")</f>
        <v/>
      </c>
      <c r="E148" s="1">
        <f>IF(E144&lt;&gt;"",E99-E144,"")</f>
        <v>0.10147059033624828</v>
      </c>
      <c r="F148" s="1">
        <f t="shared" ref="F148:AI148" si="84">IF(F144&lt;&gt;"",F99-F144,"")</f>
        <v>0.14154411724302918</v>
      </c>
      <c r="G148" s="1" t="str">
        <f t="shared" si="84"/>
        <v/>
      </c>
      <c r="H148" s="1">
        <f t="shared" si="84"/>
        <v>0.11017157323658466</v>
      </c>
      <c r="I148" s="1">
        <f t="shared" si="84"/>
        <v>0.10379902087152004</v>
      </c>
      <c r="J148" s="1">
        <f t="shared" si="84"/>
        <v>0.10318627581000328</v>
      </c>
      <c r="K148" s="1" t="str">
        <f t="shared" si="84"/>
        <v/>
      </c>
      <c r="L148" s="1">
        <f t="shared" si="84"/>
        <v>0.14399510435760021</v>
      </c>
      <c r="M148" s="1">
        <f t="shared" si="84"/>
        <v>9.1176476329565048E-2</v>
      </c>
      <c r="N148" s="1">
        <f t="shared" si="84"/>
        <v>0.12009803950786591</v>
      </c>
      <c r="O148" s="1" t="str">
        <f t="shared" si="84"/>
        <v/>
      </c>
      <c r="P148" s="1">
        <f t="shared" si="84"/>
        <v>8.1740202382206917E-2</v>
      </c>
      <c r="Q148" s="1" t="str">
        <f t="shared" si="84"/>
        <v/>
      </c>
      <c r="R148" s="1">
        <f t="shared" si="84"/>
        <v>0.10330882482230663</v>
      </c>
      <c r="S148" s="1">
        <f t="shared" si="84"/>
        <v>8.6274512112140656E-2</v>
      </c>
      <c r="T148" s="1">
        <f t="shared" si="84"/>
        <v>8.5906865075230598E-2</v>
      </c>
      <c r="U148" s="1">
        <f t="shared" si="84"/>
        <v>0.12512254877947271</v>
      </c>
      <c r="V148" s="1">
        <f t="shared" si="84"/>
        <v>8.9583335444331169E-2</v>
      </c>
      <c r="W148" s="1">
        <f t="shared" si="84"/>
        <v>0.13700981065630913</v>
      </c>
      <c r="X148" s="1">
        <f t="shared" si="84"/>
        <v>0.13688726164400578</v>
      </c>
      <c r="Y148" s="1">
        <f t="shared" si="84"/>
        <v>0.11360294930636883</v>
      </c>
      <c r="Z148" s="1">
        <f t="shared" si="84"/>
        <v>0.10465686395764351</v>
      </c>
      <c r="AA148" s="1">
        <f t="shared" si="84"/>
        <v>0.11556372966151685</v>
      </c>
      <c r="AB148" s="1">
        <f t="shared" si="84"/>
        <v>8.3578440360724926E-2</v>
      </c>
      <c r="AC148" s="1">
        <f t="shared" si="84"/>
        <v>0.13063726003747433</v>
      </c>
      <c r="AD148" s="1">
        <f t="shared" si="84"/>
        <v>0.12585784308612347</v>
      </c>
      <c r="AE148" s="1">
        <f t="shared" si="84"/>
        <v>9.9264711141586304E-2</v>
      </c>
      <c r="AF148" s="1">
        <f t="shared" si="84"/>
        <v>0.10012255795300007</v>
      </c>
      <c r="AG148" s="1">
        <f t="shared" si="84"/>
        <v>0.10649509914219379</v>
      </c>
      <c r="AH148" s="1">
        <f t="shared" si="84"/>
        <v>0.12071079201996326</v>
      </c>
      <c r="AI148" s="1">
        <f t="shared" si="84"/>
        <v>0.10772058926522732</v>
      </c>
      <c r="AJ148" s="1">
        <f t="shared" si="39"/>
        <v>0.10998094053852751</v>
      </c>
      <c r="AK148" s="5">
        <f t="shared" si="40"/>
        <v>1.8231796998744838E-2</v>
      </c>
      <c r="AL148" s="7">
        <f t="shared" si="83"/>
        <v>28.045139837324516</v>
      </c>
    </row>
    <row r="149" spans="2:38">
      <c r="B149" s="12"/>
      <c r="C149" s="4">
        <f t="shared" si="27"/>
        <v>44</v>
      </c>
      <c r="D149" s="1" t="str">
        <f>IF(D144&lt;&gt;"",D100-D148,"")</f>
        <v/>
      </c>
      <c r="E149" s="1">
        <f>IF(E144&lt;&gt;"",E100-E144,"")</f>
        <v>0.22426470555365086</v>
      </c>
      <c r="F149" s="1">
        <f t="shared" ref="F149:AI149" si="85">IF(F144&lt;&gt;"",F100-F144,"")</f>
        <v>0.31470588652882725</v>
      </c>
      <c r="G149" s="1" t="str">
        <f t="shared" si="85"/>
        <v/>
      </c>
      <c r="H149" s="1">
        <f t="shared" si="85"/>
        <v>0.36482843570411205</v>
      </c>
      <c r="I149" s="1">
        <f t="shared" si="85"/>
        <v>0.26299020275473595</v>
      </c>
      <c r="J149" s="1">
        <f t="shared" si="85"/>
        <v>0.32095588557422161</v>
      </c>
      <c r="K149" s="1" t="str">
        <f t="shared" si="85"/>
        <v/>
      </c>
      <c r="L149" s="1">
        <f t="shared" si="85"/>
        <v>0.46678923256695271</v>
      </c>
      <c r="M149" s="1">
        <f t="shared" si="85"/>
        <v>0.21470589563250542</v>
      </c>
      <c r="N149" s="1">
        <f t="shared" si="85"/>
        <v>0.38063725456595443</v>
      </c>
      <c r="O149" s="1" t="str">
        <f t="shared" si="85"/>
        <v/>
      </c>
      <c r="P149" s="1">
        <f t="shared" si="85"/>
        <v>0.3099264781922102</v>
      </c>
      <c r="Q149" s="1" t="str">
        <f t="shared" si="85"/>
        <v/>
      </c>
      <c r="R149" s="1">
        <f t="shared" si="85"/>
        <v>0.20490197092294693</v>
      </c>
      <c r="S149" s="1">
        <f t="shared" si="85"/>
        <v>0.18063726648688316</v>
      </c>
      <c r="T149" s="1">
        <f t="shared" si="85"/>
        <v>0.17659314908087254</v>
      </c>
      <c r="U149" s="1">
        <f t="shared" si="85"/>
        <v>0.19705882482230663</v>
      </c>
      <c r="V149" s="1">
        <f t="shared" si="85"/>
        <v>0.20968138240277767</v>
      </c>
      <c r="W149" s="1">
        <f t="shared" si="85"/>
        <v>0.35575979761779331</v>
      </c>
      <c r="X149" s="1">
        <f t="shared" si="85"/>
        <v>0.36605394445359707</v>
      </c>
      <c r="Y149" s="1">
        <f t="shared" si="85"/>
        <v>0.28075980208814144</v>
      </c>
      <c r="Z149" s="1">
        <f t="shared" si="85"/>
        <v>0.31188725866377354</v>
      </c>
      <c r="AA149" s="1">
        <f t="shared" si="85"/>
        <v>0.40490196261089295</v>
      </c>
      <c r="AB149" s="1">
        <f t="shared" si="85"/>
        <v>0.19276961125433445</v>
      </c>
      <c r="AC149" s="1">
        <f t="shared" si="85"/>
        <v>0.34276961523573823</v>
      </c>
      <c r="AD149" s="1">
        <f t="shared" si="85"/>
        <v>0.21948530338704586</v>
      </c>
      <c r="AE149" s="1">
        <f t="shared" si="85"/>
        <v>0.22475491464138031</v>
      </c>
      <c r="AF149" s="1">
        <f t="shared" si="85"/>
        <v>0.25943627394735813</v>
      </c>
      <c r="AG149" s="1">
        <f t="shared" si="85"/>
        <v>0.26225490868091583</v>
      </c>
      <c r="AH149" s="1">
        <f t="shared" si="85"/>
        <v>0.28504901751875877</v>
      </c>
      <c r="AI149" s="1">
        <f t="shared" si="85"/>
        <v>0.27769608423113823</v>
      </c>
      <c r="AJ149" s="1">
        <f t="shared" si="39"/>
        <v>0.28193537278221575</v>
      </c>
      <c r="AK149" s="5">
        <f t="shared" si="40"/>
        <v>7.6049938208040874E-2</v>
      </c>
      <c r="AL149" s="7">
        <f t="shared" si="83"/>
        <v>71.893520059465018</v>
      </c>
    </row>
    <row r="150" spans="2:38"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  <c r="AA150" s="1"/>
      <c r="AB150" s="1"/>
      <c r="AC150" s="1"/>
      <c r="AD150" s="1"/>
      <c r="AE150" s="1"/>
      <c r="AF150" s="1"/>
      <c r="AG150" s="1"/>
      <c r="AH150" s="1"/>
    </row>
    <row r="151" spans="2:38"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  <c r="AA151" s="1"/>
      <c r="AB151" s="1"/>
      <c r="AC151" s="1"/>
      <c r="AD151" s="1"/>
      <c r="AE151" s="1"/>
      <c r="AF151" s="1"/>
      <c r="AG151" s="1"/>
      <c r="AH151" s="1"/>
    </row>
    <row r="152" spans="2:38"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  <c r="AA152" s="1"/>
      <c r="AB152" s="1"/>
      <c r="AC152" s="1"/>
      <c r="AD152" s="1"/>
      <c r="AE152" s="1"/>
      <c r="AF152" s="1"/>
      <c r="AG152" s="1"/>
      <c r="AH152" s="1"/>
    </row>
    <row r="153" spans="2:38"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  <c r="AA153" s="1"/>
      <c r="AB153" s="1"/>
      <c r="AC153" s="1"/>
      <c r="AD153" s="1"/>
      <c r="AE153" s="1"/>
      <c r="AF153" s="1"/>
      <c r="AG153" s="1"/>
      <c r="AH153" s="1"/>
    </row>
    <row r="154" spans="2:38"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  <c r="AA154" s="1"/>
      <c r="AB154" s="1"/>
      <c r="AC154" s="1"/>
      <c r="AD154" s="1"/>
      <c r="AE154" s="1"/>
      <c r="AF154" s="1"/>
      <c r="AG154" s="1"/>
      <c r="AH154" s="1"/>
    </row>
    <row r="155" spans="2:38"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  <c r="AA155" s="1"/>
      <c r="AB155" s="1"/>
      <c r="AC155" s="1"/>
      <c r="AD155" s="1"/>
      <c r="AE155" s="1"/>
      <c r="AF155" s="1"/>
      <c r="AG155" s="1"/>
      <c r="AH155" s="1"/>
    </row>
    <row r="156" spans="2:38"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  <c r="AA156" s="1"/>
      <c r="AB156" s="1"/>
      <c r="AC156" s="1"/>
      <c r="AD156" s="1"/>
      <c r="AE156" s="1"/>
      <c r="AF156" s="1"/>
      <c r="AG156" s="1"/>
      <c r="AH156" s="1"/>
    </row>
    <row r="157" spans="2:38"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  <c r="AA157" s="1"/>
      <c r="AB157" s="1"/>
      <c r="AC157" s="1"/>
      <c r="AD157" s="1"/>
      <c r="AE157" s="1"/>
      <c r="AF157" s="1"/>
      <c r="AG157" s="1"/>
      <c r="AH157" s="1"/>
    </row>
    <row r="158" spans="2:38"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  <c r="AA158" s="1"/>
      <c r="AB158" s="1"/>
      <c r="AC158" s="1"/>
      <c r="AD158" s="1"/>
      <c r="AE158" s="1"/>
      <c r="AF158" s="1"/>
      <c r="AG158" s="1"/>
      <c r="AH158" s="1"/>
    </row>
    <row r="159" spans="2:38"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  <c r="AA159" s="1"/>
      <c r="AB159" s="1"/>
      <c r="AC159" s="1"/>
      <c r="AD159" s="1"/>
      <c r="AE159" s="1"/>
      <c r="AF159" s="1"/>
      <c r="AG159" s="1"/>
      <c r="AH159" s="1"/>
    </row>
    <row r="160" spans="2:38"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  <c r="AA160" s="1"/>
      <c r="AB160" s="1"/>
      <c r="AC160" s="1"/>
      <c r="AD160" s="1"/>
      <c r="AE160" s="1"/>
      <c r="AF160" s="1"/>
      <c r="AG160" s="1"/>
      <c r="AH160" s="1"/>
    </row>
    <row r="161" spans="4:34"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  <c r="AA161" s="1"/>
      <c r="AB161" s="1"/>
      <c r="AC161" s="1"/>
      <c r="AD161" s="1"/>
      <c r="AE161" s="1"/>
      <c r="AF161" s="1"/>
      <c r="AG161" s="1"/>
      <c r="AH161" s="1"/>
    </row>
    <row r="162" spans="4:34"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  <c r="AA162" s="1"/>
      <c r="AB162" s="1"/>
      <c r="AC162" s="1"/>
      <c r="AD162" s="1"/>
      <c r="AE162" s="1"/>
      <c r="AF162" s="1"/>
      <c r="AG162" s="1"/>
      <c r="AH162" s="1"/>
    </row>
    <row r="163" spans="4:34"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  <c r="AA163" s="1"/>
      <c r="AB163" s="1"/>
      <c r="AC163" s="1"/>
      <c r="AD163" s="1"/>
      <c r="AE163" s="1"/>
      <c r="AF163" s="1"/>
      <c r="AG163" s="1"/>
      <c r="AH163" s="1"/>
    </row>
    <row r="164" spans="4:34"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  <c r="AA164" s="1"/>
      <c r="AB164" s="1"/>
      <c r="AC164" s="1"/>
      <c r="AD164" s="1"/>
      <c r="AE164" s="1"/>
      <c r="AF164" s="1"/>
      <c r="AG164" s="1"/>
      <c r="AH164" s="1"/>
    </row>
    <row r="165" spans="4:34"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  <c r="AA165" s="1"/>
      <c r="AB165" s="1"/>
      <c r="AC165" s="1"/>
      <c r="AD165" s="1"/>
      <c r="AE165" s="1"/>
      <c r="AF165" s="1"/>
      <c r="AG165" s="1"/>
      <c r="AH165" s="1"/>
    </row>
    <row r="166" spans="4:34"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  <c r="AA166" s="1"/>
      <c r="AB166" s="1"/>
      <c r="AC166" s="1"/>
      <c r="AD166" s="1"/>
      <c r="AE166" s="1"/>
      <c r="AF166" s="1"/>
      <c r="AG166" s="1"/>
      <c r="AH166" s="1"/>
    </row>
    <row r="167" spans="4:34"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  <c r="AA167" s="1"/>
      <c r="AB167" s="1"/>
      <c r="AC167" s="1"/>
      <c r="AD167" s="1"/>
      <c r="AE167" s="1"/>
      <c r="AF167" s="1"/>
      <c r="AG167" s="1"/>
      <c r="AH167" s="1"/>
    </row>
    <row r="168" spans="4:34"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  <c r="AA168" s="1"/>
      <c r="AB168" s="1"/>
      <c r="AC168" s="1"/>
      <c r="AD168" s="1"/>
      <c r="AE168" s="1"/>
      <c r="AF168" s="1"/>
      <c r="AG168" s="1"/>
      <c r="AH168" s="1"/>
    </row>
    <row r="169" spans="4:34"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  <c r="AA169" s="1"/>
      <c r="AB169" s="1"/>
      <c r="AC169" s="1"/>
      <c r="AD169" s="1"/>
      <c r="AE169" s="1"/>
      <c r="AF169" s="1"/>
      <c r="AG169" s="1"/>
      <c r="AH169" s="1"/>
    </row>
    <row r="170" spans="4:34"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  <c r="AA170" s="1"/>
      <c r="AB170" s="1"/>
      <c r="AC170" s="1"/>
      <c r="AD170" s="1"/>
      <c r="AE170" s="1"/>
      <c r="AF170" s="1"/>
      <c r="AG170" s="1"/>
      <c r="AH170" s="1"/>
    </row>
    <row r="171" spans="4:34"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  <c r="AA171" s="1"/>
      <c r="AB171" s="1"/>
      <c r="AC171" s="1"/>
      <c r="AD171" s="1"/>
      <c r="AE171" s="1"/>
      <c r="AF171" s="1"/>
      <c r="AG171" s="1"/>
      <c r="AH171" s="1"/>
    </row>
    <row r="172" spans="4:34"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  <c r="AA172" s="1"/>
      <c r="AB172" s="1"/>
      <c r="AC172" s="1"/>
      <c r="AD172" s="1"/>
      <c r="AE172" s="1"/>
      <c r="AF172" s="1"/>
      <c r="AG172" s="1"/>
      <c r="AH172" s="1"/>
    </row>
    <row r="173" spans="4:34"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  <c r="AA173" s="1"/>
      <c r="AB173" s="1"/>
      <c r="AC173" s="1"/>
      <c r="AD173" s="1"/>
      <c r="AE173" s="1"/>
      <c r="AF173" s="1"/>
      <c r="AG173" s="1"/>
      <c r="AH173" s="1"/>
    </row>
    <row r="174" spans="4:34"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  <c r="AA174" s="1"/>
      <c r="AB174" s="1"/>
      <c r="AC174" s="1"/>
      <c r="AD174" s="1"/>
      <c r="AE174" s="1"/>
      <c r="AF174" s="1"/>
      <c r="AG174" s="1"/>
      <c r="AH174" s="1"/>
    </row>
    <row r="175" spans="4:34"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  <c r="AA175" s="1"/>
      <c r="AB175" s="1"/>
      <c r="AC175" s="1"/>
      <c r="AD175" s="1"/>
      <c r="AE175" s="1"/>
      <c r="AF175" s="1"/>
      <c r="AG175" s="1"/>
      <c r="AH175" s="1"/>
    </row>
    <row r="176" spans="4:34"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  <c r="AA176" s="1"/>
      <c r="AB176" s="1"/>
      <c r="AC176" s="1"/>
      <c r="AD176" s="1"/>
      <c r="AE176" s="1"/>
      <c r="AF176" s="1"/>
      <c r="AG176" s="1"/>
      <c r="AH176" s="1"/>
    </row>
    <row r="177" spans="4:34"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  <c r="AA177" s="1"/>
      <c r="AB177" s="1"/>
      <c r="AC177" s="1"/>
      <c r="AD177" s="1"/>
      <c r="AE177" s="1"/>
      <c r="AF177" s="1"/>
      <c r="AG177" s="1"/>
      <c r="AH177" s="1"/>
    </row>
    <row r="178" spans="4:34"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  <c r="AA178" s="1"/>
      <c r="AB178" s="1"/>
      <c r="AC178" s="1"/>
      <c r="AD178" s="1"/>
      <c r="AE178" s="1"/>
      <c r="AF178" s="1"/>
      <c r="AG178" s="1"/>
      <c r="AH178" s="1"/>
    </row>
    <row r="179" spans="4:34"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  <c r="AA179" s="1"/>
      <c r="AB179" s="1"/>
      <c r="AC179" s="1"/>
      <c r="AD179" s="1"/>
      <c r="AE179" s="1"/>
      <c r="AF179" s="1"/>
      <c r="AG179" s="1"/>
      <c r="AH179" s="1"/>
    </row>
    <row r="180" spans="4:34"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  <c r="AA180" s="1"/>
      <c r="AB180" s="1"/>
      <c r="AC180" s="1"/>
      <c r="AD180" s="1"/>
      <c r="AE180" s="1"/>
      <c r="AF180" s="1"/>
      <c r="AG180" s="1"/>
      <c r="AH180" s="1"/>
    </row>
    <row r="181" spans="4:34"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  <c r="AA181" s="1"/>
      <c r="AB181" s="1"/>
      <c r="AC181" s="1"/>
      <c r="AD181" s="1"/>
      <c r="AE181" s="1"/>
      <c r="AF181" s="1"/>
      <c r="AG181" s="1"/>
      <c r="AH181" s="1"/>
    </row>
    <row r="182" spans="4:34"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  <c r="AA182" s="1"/>
      <c r="AB182" s="1"/>
      <c r="AC182" s="1"/>
      <c r="AD182" s="1"/>
      <c r="AE182" s="1"/>
      <c r="AF182" s="1"/>
      <c r="AG182" s="1"/>
      <c r="AH182" s="1"/>
    </row>
    <row r="183" spans="4:34"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  <c r="AA183" s="1"/>
      <c r="AB183" s="1"/>
      <c r="AC183" s="1"/>
      <c r="AD183" s="1"/>
      <c r="AE183" s="1"/>
      <c r="AF183" s="1"/>
      <c r="AG183" s="1"/>
      <c r="AH183" s="1"/>
    </row>
    <row r="184" spans="4:34"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  <c r="AA184" s="1"/>
      <c r="AB184" s="1"/>
      <c r="AC184" s="1"/>
      <c r="AD184" s="1"/>
      <c r="AE184" s="1"/>
      <c r="AF184" s="1"/>
      <c r="AG184" s="1"/>
      <c r="AH184" s="1"/>
    </row>
    <row r="185" spans="4:34"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  <c r="AA185" s="1"/>
      <c r="AB185" s="1"/>
      <c r="AC185" s="1"/>
      <c r="AD185" s="1"/>
      <c r="AE185" s="1"/>
      <c r="AF185" s="1"/>
      <c r="AG185" s="1"/>
      <c r="AH185" s="1"/>
    </row>
    <row r="186" spans="4:34"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  <c r="AA186" s="1"/>
      <c r="AB186" s="1"/>
      <c r="AC186" s="1"/>
      <c r="AD186" s="1"/>
      <c r="AE186" s="1"/>
      <c r="AF186" s="1"/>
      <c r="AG186" s="1"/>
      <c r="AH186" s="1"/>
    </row>
    <row r="187" spans="4:34"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  <c r="AA187" s="1"/>
      <c r="AB187" s="1"/>
      <c r="AC187" s="1"/>
      <c r="AD187" s="1"/>
      <c r="AE187" s="1"/>
      <c r="AF187" s="1"/>
      <c r="AG187" s="1"/>
      <c r="AH187" s="1"/>
    </row>
    <row r="188" spans="4:34"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  <c r="AA188" s="1"/>
      <c r="AB188" s="1"/>
      <c r="AC188" s="1"/>
      <c r="AD188" s="1"/>
      <c r="AE188" s="1"/>
      <c r="AF188" s="1"/>
      <c r="AG188" s="1"/>
      <c r="AH188" s="1"/>
    </row>
    <row r="189" spans="4:34"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  <c r="AA189" s="1"/>
      <c r="AB189" s="1"/>
      <c r="AC189" s="1"/>
      <c r="AD189" s="1"/>
      <c r="AE189" s="1"/>
      <c r="AF189" s="1"/>
      <c r="AG189" s="1"/>
      <c r="AH189" s="1"/>
    </row>
    <row r="190" spans="4:34"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  <c r="AA190" s="1"/>
      <c r="AB190" s="1"/>
      <c r="AC190" s="1"/>
      <c r="AD190" s="1"/>
      <c r="AE190" s="1"/>
      <c r="AF190" s="1"/>
      <c r="AG190" s="1"/>
      <c r="AH190" s="1"/>
    </row>
    <row r="191" spans="4:34"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  <c r="AA191" s="1"/>
      <c r="AB191" s="1"/>
      <c r="AC191" s="1"/>
      <c r="AD191" s="1"/>
      <c r="AE191" s="1"/>
      <c r="AF191" s="1"/>
      <c r="AG191" s="1"/>
      <c r="AH191" s="1"/>
    </row>
    <row r="192" spans="4:34"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  <c r="AA192" s="1"/>
      <c r="AB192" s="1"/>
      <c r="AC192" s="1"/>
      <c r="AD192" s="1"/>
      <c r="AE192" s="1"/>
      <c r="AF192" s="1"/>
      <c r="AG192" s="1"/>
      <c r="AH192" s="1"/>
    </row>
    <row r="193" spans="4:34"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  <c r="AA193" s="1"/>
      <c r="AB193" s="1"/>
      <c r="AC193" s="1"/>
      <c r="AD193" s="1"/>
      <c r="AE193" s="1"/>
      <c r="AF193" s="1"/>
      <c r="AG193" s="1"/>
      <c r="AH193" s="1"/>
    </row>
    <row r="194" spans="4:34"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  <c r="AA194" s="1"/>
      <c r="AB194" s="1"/>
      <c r="AC194" s="1"/>
      <c r="AD194" s="1"/>
      <c r="AE194" s="1"/>
      <c r="AF194" s="1"/>
      <c r="AG194" s="1"/>
      <c r="AH194" s="1"/>
    </row>
    <row r="195" spans="4:34"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  <c r="AA195" s="1"/>
      <c r="AB195" s="1"/>
      <c r="AC195" s="1"/>
      <c r="AD195" s="1"/>
      <c r="AE195" s="1"/>
      <c r="AF195" s="1"/>
      <c r="AG195" s="1"/>
      <c r="AH195" s="1"/>
    </row>
    <row r="196" spans="4:34"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  <c r="AA196" s="1"/>
      <c r="AB196" s="1"/>
      <c r="AC196" s="1"/>
      <c r="AD196" s="1"/>
      <c r="AE196" s="1"/>
      <c r="AF196" s="1"/>
      <c r="AG196" s="1"/>
      <c r="AH196" s="1"/>
    </row>
    <row r="197" spans="4:34"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  <c r="AA197" s="1"/>
      <c r="AB197" s="1"/>
      <c r="AC197" s="1"/>
      <c r="AD197" s="1"/>
      <c r="AE197" s="1"/>
      <c r="AF197" s="1"/>
      <c r="AG197" s="1"/>
      <c r="AH197" s="1"/>
    </row>
    <row r="198" spans="4:34"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  <c r="AA198" s="1"/>
      <c r="AB198" s="1"/>
      <c r="AC198" s="1"/>
      <c r="AD198" s="1"/>
      <c r="AE198" s="1"/>
      <c r="AF198" s="1"/>
      <c r="AG198" s="1"/>
      <c r="AH198" s="1"/>
    </row>
    <row r="199" spans="4:34"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  <c r="AA199" s="1"/>
      <c r="AB199" s="1"/>
      <c r="AC199" s="1"/>
      <c r="AD199" s="1"/>
      <c r="AE199" s="1"/>
      <c r="AF199" s="1"/>
      <c r="AG199" s="1"/>
      <c r="AH199" s="1"/>
    </row>
    <row r="200" spans="4:34"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  <c r="AA200" s="1"/>
      <c r="AB200" s="1"/>
      <c r="AC200" s="1"/>
      <c r="AD200" s="1"/>
      <c r="AE200" s="1"/>
      <c r="AF200" s="1"/>
      <c r="AG200" s="1"/>
      <c r="AH200" s="1"/>
    </row>
    <row r="201" spans="4:34"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  <c r="AA201" s="1"/>
      <c r="AB201" s="1"/>
      <c r="AC201" s="1"/>
      <c r="AD201" s="1"/>
      <c r="AE201" s="1"/>
      <c r="AF201" s="1"/>
      <c r="AG201" s="1"/>
      <c r="AH201" s="1"/>
    </row>
    <row r="202" spans="4:34"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  <c r="AA202" s="1"/>
      <c r="AB202" s="1"/>
      <c r="AC202" s="1"/>
      <c r="AD202" s="1"/>
      <c r="AE202" s="1"/>
      <c r="AF202" s="1"/>
      <c r="AG202" s="1"/>
      <c r="AH202" s="1"/>
    </row>
    <row r="203" spans="4:34"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  <c r="AA203" s="1"/>
      <c r="AB203" s="1"/>
      <c r="AC203" s="1"/>
      <c r="AD203" s="1"/>
      <c r="AE203" s="1"/>
      <c r="AF203" s="1"/>
      <c r="AG203" s="1"/>
      <c r="AH203" s="1"/>
    </row>
    <row r="204" spans="4:34"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  <c r="AA204" s="1"/>
      <c r="AB204" s="1"/>
      <c r="AC204" s="1"/>
      <c r="AD204" s="1"/>
      <c r="AE204" s="1"/>
      <c r="AF204" s="1"/>
      <c r="AG204" s="1"/>
      <c r="AH204" s="1"/>
    </row>
    <row r="205" spans="4:34"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  <c r="AA205" s="1"/>
      <c r="AB205" s="1"/>
      <c r="AC205" s="1"/>
      <c r="AD205" s="1"/>
      <c r="AE205" s="1"/>
      <c r="AF205" s="1"/>
      <c r="AG205" s="1"/>
      <c r="AH205" s="1"/>
    </row>
    <row r="206" spans="4:34"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  <c r="AA206" s="1"/>
      <c r="AB206" s="1"/>
      <c r="AC206" s="1"/>
      <c r="AD206" s="1"/>
      <c r="AE206" s="1"/>
      <c r="AF206" s="1"/>
      <c r="AG206" s="1"/>
      <c r="AH206" s="1"/>
    </row>
    <row r="207" spans="4:34"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  <c r="AA207" s="1"/>
      <c r="AB207" s="1"/>
      <c r="AC207" s="1"/>
      <c r="AD207" s="1"/>
      <c r="AE207" s="1"/>
      <c r="AF207" s="1"/>
      <c r="AG207" s="1"/>
      <c r="AH207" s="1"/>
    </row>
    <row r="208" spans="4:34"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  <c r="AA208" s="1"/>
      <c r="AB208" s="1"/>
      <c r="AC208" s="1"/>
      <c r="AD208" s="1"/>
      <c r="AE208" s="1"/>
      <c r="AF208" s="1"/>
      <c r="AG208" s="1"/>
      <c r="AH208" s="1"/>
    </row>
    <row r="209" spans="4:34"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  <c r="AA209" s="1"/>
      <c r="AB209" s="1"/>
      <c r="AC209" s="1"/>
      <c r="AD209" s="1"/>
      <c r="AE209" s="1"/>
      <c r="AF209" s="1"/>
      <c r="AG209" s="1"/>
      <c r="AH209" s="1"/>
    </row>
    <row r="210" spans="4:34"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  <c r="AA210" s="1"/>
      <c r="AB210" s="1"/>
      <c r="AC210" s="1"/>
      <c r="AD210" s="1"/>
      <c r="AE210" s="1"/>
      <c r="AF210" s="1"/>
      <c r="AG210" s="1"/>
      <c r="AH210" s="1"/>
    </row>
    <row r="211" spans="4:34"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  <c r="AA211" s="1"/>
      <c r="AB211" s="1"/>
      <c r="AC211" s="1"/>
      <c r="AD211" s="1"/>
      <c r="AE211" s="1"/>
      <c r="AF211" s="1"/>
      <c r="AG211" s="1"/>
      <c r="AH211" s="1"/>
    </row>
    <row r="212" spans="4:34"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  <c r="AA212" s="1"/>
      <c r="AB212" s="1"/>
      <c r="AC212" s="1"/>
      <c r="AD212" s="1"/>
      <c r="AE212" s="1"/>
      <c r="AF212" s="1"/>
      <c r="AG212" s="1"/>
      <c r="AH212" s="1"/>
    </row>
    <row r="213" spans="4:34"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  <c r="AA213" s="1"/>
      <c r="AB213" s="1"/>
      <c r="AC213" s="1"/>
      <c r="AD213" s="1"/>
      <c r="AE213" s="1"/>
      <c r="AF213" s="1"/>
      <c r="AG213" s="1"/>
      <c r="AH213" s="1"/>
    </row>
    <row r="214" spans="4:34"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  <c r="AA214" s="1"/>
      <c r="AB214" s="1"/>
      <c r="AC214" s="1"/>
      <c r="AD214" s="1"/>
      <c r="AE214" s="1"/>
      <c r="AF214" s="1"/>
      <c r="AG214" s="1"/>
      <c r="AH214" s="1"/>
    </row>
    <row r="215" spans="4:34"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  <c r="AA215" s="1"/>
      <c r="AB215" s="1"/>
      <c r="AC215" s="1"/>
      <c r="AD215" s="1"/>
      <c r="AE215" s="1"/>
      <c r="AF215" s="1"/>
      <c r="AG215" s="1"/>
      <c r="AH215" s="1"/>
    </row>
    <row r="216" spans="4:34"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  <c r="AA216" s="1"/>
      <c r="AB216" s="1"/>
      <c r="AC216" s="1"/>
      <c r="AD216" s="1"/>
      <c r="AE216" s="1"/>
      <c r="AF216" s="1"/>
      <c r="AG216" s="1"/>
      <c r="AH216" s="1"/>
    </row>
    <row r="217" spans="4:34"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  <c r="AA217" s="1"/>
      <c r="AB217" s="1"/>
      <c r="AC217" s="1"/>
      <c r="AD217" s="1"/>
      <c r="AE217" s="1"/>
      <c r="AF217" s="1"/>
      <c r="AG217" s="1"/>
      <c r="AH217" s="1"/>
    </row>
    <row r="218" spans="4:34"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  <c r="AA218" s="1"/>
      <c r="AB218" s="1"/>
      <c r="AC218" s="1"/>
      <c r="AD218" s="1"/>
      <c r="AE218" s="1"/>
      <c r="AF218" s="1"/>
      <c r="AG218" s="1"/>
      <c r="AH218" s="1"/>
    </row>
    <row r="219" spans="4:34"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  <c r="AA219" s="1"/>
      <c r="AB219" s="1"/>
      <c r="AC219" s="1"/>
      <c r="AD219" s="1"/>
      <c r="AE219" s="1"/>
      <c r="AF219" s="1"/>
      <c r="AG219" s="1"/>
      <c r="AH219" s="1"/>
    </row>
    <row r="220" spans="4:34"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  <c r="AA220" s="1"/>
      <c r="AB220" s="1"/>
      <c r="AC220" s="1"/>
      <c r="AD220" s="1"/>
      <c r="AE220" s="1"/>
      <c r="AF220" s="1"/>
      <c r="AG220" s="1"/>
      <c r="AH220" s="1"/>
    </row>
    <row r="221" spans="4:34"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  <c r="AA221" s="1"/>
      <c r="AB221" s="1"/>
      <c r="AC221" s="1"/>
      <c r="AD221" s="1"/>
      <c r="AE221" s="1"/>
      <c r="AF221" s="1"/>
      <c r="AG221" s="1"/>
      <c r="AH221" s="1"/>
    </row>
    <row r="222" spans="4:34"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  <c r="AA222" s="1"/>
      <c r="AB222" s="1"/>
      <c r="AC222" s="1"/>
      <c r="AD222" s="1"/>
      <c r="AE222" s="1"/>
      <c r="AF222" s="1"/>
      <c r="AG222" s="1"/>
      <c r="AH222" s="1"/>
    </row>
    <row r="223" spans="4:34"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  <c r="AA223" s="1"/>
      <c r="AB223" s="1"/>
      <c r="AC223" s="1"/>
      <c r="AD223" s="1"/>
      <c r="AE223" s="1"/>
      <c r="AF223" s="1"/>
      <c r="AG223" s="1"/>
      <c r="AH223" s="1"/>
    </row>
    <row r="224" spans="4:34"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  <c r="AA224" s="1"/>
      <c r="AB224" s="1"/>
      <c r="AC224" s="1"/>
      <c r="AD224" s="1"/>
      <c r="AE224" s="1"/>
      <c r="AF224" s="1"/>
      <c r="AG224" s="1"/>
      <c r="AH224" s="1"/>
    </row>
    <row r="225" spans="4:34"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  <c r="AA225" s="1"/>
      <c r="AB225" s="1"/>
      <c r="AC225" s="1"/>
      <c r="AD225" s="1"/>
      <c r="AE225" s="1"/>
      <c r="AF225" s="1"/>
      <c r="AG225" s="1"/>
      <c r="AH225" s="1"/>
    </row>
    <row r="226" spans="4:34"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  <c r="AA226" s="1"/>
      <c r="AB226" s="1"/>
      <c r="AC226" s="1"/>
      <c r="AD226" s="1"/>
      <c r="AE226" s="1"/>
      <c r="AF226" s="1"/>
      <c r="AG226" s="1"/>
      <c r="AH226" s="1"/>
    </row>
    <row r="227" spans="4:34"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  <c r="AA227" s="1"/>
      <c r="AB227" s="1"/>
      <c r="AC227" s="1"/>
      <c r="AD227" s="1"/>
      <c r="AE227" s="1"/>
      <c r="AF227" s="1"/>
      <c r="AG227" s="1"/>
      <c r="AH227" s="1"/>
    </row>
    <row r="228" spans="4:34"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  <c r="AA228" s="1"/>
      <c r="AB228" s="1"/>
      <c r="AC228" s="1"/>
      <c r="AD228" s="1"/>
      <c r="AE228" s="1"/>
      <c r="AF228" s="1"/>
      <c r="AG228" s="1"/>
      <c r="AH228" s="1"/>
    </row>
    <row r="229" spans="4:34"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  <c r="AA229" s="1"/>
      <c r="AB229" s="1"/>
      <c r="AC229" s="1"/>
      <c r="AD229" s="1"/>
      <c r="AE229" s="1"/>
      <c r="AF229" s="1"/>
      <c r="AG229" s="1"/>
      <c r="AH229" s="1"/>
    </row>
    <row r="230" spans="4:34"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  <c r="AA230" s="1"/>
      <c r="AB230" s="1"/>
      <c r="AC230" s="1"/>
      <c r="AD230" s="1"/>
      <c r="AE230" s="1"/>
      <c r="AF230" s="1"/>
      <c r="AG230" s="1"/>
      <c r="AH230" s="1"/>
    </row>
    <row r="231" spans="4:34"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  <c r="AA231" s="1"/>
      <c r="AB231" s="1"/>
      <c r="AC231" s="1"/>
      <c r="AD231" s="1"/>
      <c r="AE231" s="1"/>
      <c r="AF231" s="1"/>
      <c r="AG231" s="1"/>
      <c r="AH231" s="1"/>
    </row>
    <row r="232" spans="4:34"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  <c r="AA232" s="1"/>
      <c r="AB232" s="1"/>
      <c r="AC232" s="1"/>
      <c r="AD232" s="1"/>
      <c r="AE232" s="1"/>
      <c r="AF232" s="1"/>
      <c r="AG232" s="1"/>
      <c r="AH232" s="1"/>
    </row>
    <row r="233" spans="4:34"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  <c r="AA233" s="1"/>
      <c r="AB233" s="1"/>
      <c r="AC233" s="1"/>
      <c r="AD233" s="1"/>
      <c r="AE233" s="1"/>
      <c r="AF233" s="1"/>
      <c r="AG233" s="1"/>
      <c r="AH233" s="1"/>
    </row>
    <row r="234" spans="4:34"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  <c r="AA234" s="1"/>
      <c r="AB234" s="1"/>
      <c r="AC234" s="1"/>
      <c r="AD234" s="1"/>
      <c r="AE234" s="1"/>
      <c r="AF234" s="1"/>
      <c r="AG234" s="1"/>
      <c r="AH234" s="1"/>
    </row>
    <row r="235" spans="4:34"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  <c r="AA235" s="1"/>
      <c r="AB235" s="1"/>
      <c r="AC235" s="1"/>
      <c r="AD235" s="1"/>
      <c r="AE235" s="1"/>
      <c r="AF235" s="1"/>
      <c r="AG235" s="1"/>
      <c r="AH235" s="1"/>
    </row>
    <row r="236" spans="4:34"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  <c r="AA236" s="1"/>
      <c r="AB236" s="1"/>
      <c r="AC236" s="1"/>
      <c r="AD236" s="1"/>
      <c r="AE236" s="1"/>
      <c r="AF236" s="1"/>
      <c r="AG236" s="1"/>
      <c r="AH236" s="1"/>
    </row>
    <row r="237" spans="4:34"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  <c r="AA237" s="1"/>
      <c r="AB237" s="1"/>
      <c r="AC237" s="1"/>
      <c r="AD237" s="1"/>
      <c r="AE237" s="1"/>
      <c r="AF237" s="1"/>
      <c r="AG237" s="1"/>
      <c r="AH237" s="1"/>
    </row>
    <row r="238" spans="4:34"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  <c r="AA238" s="1"/>
      <c r="AB238" s="1"/>
      <c r="AC238" s="1"/>
      <c r="AD238" s="1"/>
      <c r="AE238" s="1"/>
      <c r="AF238" s="1"/>
      <c r="AG238" s="1"/>
      <c r="AH238" s="1"/>
    </row>
    <row r="239" spans="4:34"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  <c r="AA239" s="1"/>
      <c r="AB239" s="1"/>
      <c r="AC239" s="1"/>
      <c r="AD239" s="1"/>
      <c r="AE239" s="1"/>
      <c r="AF239" s="1"/>
      <c r="AG239" s="1"/>
      <c r="AH239" s="1"/>
    </row>
    <row r="240" spans="4:34"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  <c r="AA240" s="1"/>
      <c r="AB240" s="1"/>
      <c r="AC240" s="1"/>
      <c r="AD240" s="1"/>
      <c r="AE240" s="1"/>
      <c r="AF240" s="1"/>
      <c r="AG240" s="1"/>
      <c r="AH240" s="1"/>
    </row>
    <row r="241" spans="4:34"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  <c r="AA241" s="1"/>
      <c r="AB241" s="1"/>
      <c r="AC241" s="1"/>
      <c r="AD241" s="1"/>
      <c r="AE241" s="1"/>
      <c r="AF241" s="1"/>
      <c r="AG241" s="1"/>
      <c r="AH241" s="1"/>
    </row>
    <row r="242" spans="4:34"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  <c r="AA242" s="1"/>
      <c r="AB242" s="1"/>
      <c r="AC242" s="1"/>
      <c r="AD242" s="1"/>
      <c r="AE242" s="1"/>
      <c r="AF242" s="1"/>
      <c r="AG242" s="1"/>
      <c r="AH242" s="1"/>
    </row>
    <row r="243" spans="4:34"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  <c r="AA243" s="1"/>
      <c r="AB243" s="1"/>
      <c r="AC243" s="1"/>
      <c r="AD243" s="1"/>
      <c r="AE243" s="1"/>
      <c r="AF243" s="1"/>
      <c r="AG243" s="1"/>
      <c r="AH243" s="1"/>
    </row>
    <row r="244" spans="4:34"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  <c r="AA244" s="1"/>
      <c r="AB244" s="1"/>
      <c r="AC244" s="1"/>
      <c r="AD244" s="1"/>
      <c r="AE244" s="1"/>
      <c r="AF244" s="1"/>
      <c r="AG244" s="1"/>
      <c r="AH244" s="1"/>
    </row>
    <row r="245" spans="4:34"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  <c r="AA245" s="1"/>
      <c r="AB245" s="1"/>
      <c r="AC245" s="1"/>
      <c r="AD245" s="1"/>
      <c r="AE245" s="1"/>
      <c r="AF245" s="1"/>
      <c r="AG245" s="1"/>
      <c r="AH245" s="1"/>
    </row>
    <row r="246" spans="4:34"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  <c r="AA246" s="1"/>
      <c r="AB246" s="1"/>
      <c r="AC246" s="1"/>
      <c r="AD246" s="1"/>
      <c r="AE246" s="1"/>
      <c r="AF246" s="1"/>
      <c r="AG246" s="1"/>
      <c r="AH246" s="1"/>
    </row>
    <row r="247" spans="4:34"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  <c r="AA247" s="1"/>
      <c r="AB247" s="1"/>
      <c r="AC247" s="1"/>
      <c r="AD247" s="1"/>
      <c r="AE247" s="1"/>
      <c r="AF247" s="1"/>
      <c r="AG247" s="1"/>
      <c r="AH247" s="1"/>
    </row>
    <row r="248" spans="4:34"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  <c r="AA248" s="1"/>
      <c r="AB248" s="1"/>
      <c r="AC248" s="1"/>
      <c r="AD248" s="1"/>
      <c r="AE248" s="1"/>
      <c r="AF248" s="1"/>
      <c r="AG248" s="1"/>
      <c r="AH248" s="1"/>
    </row>
    <row r="249" spans="4:34"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  <c r="AA249" s="1"/>
      <c r="AB249" s="1"/>
      <c r="AC249" s="1"/>
      <c r="AD249" s="1"/>
      <c r="AE249" s="1"/>
      <c r="AF249" s="1"/>
      <c r="AG249" s="1"/>
      <c r="AH249" s="1"/>
    </row>
    <row r="250" spans="4:34"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  <c r="AA250" s="1"/>
      <c r="AB250" s="1"/>
      <c r="AC250" s="1"/>
      <c r="AD250" s="1"/>
      <c r="AE250" s="1"/>
      <c r="AF250" s="1"/>
      <c r="AG250" s="1"/>
      <c r="AH250" s="1"/>
    </row>
    <row r="251" spans="4:34"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  <c r="AA251" s="1"/>
      <c r="AB251" s="1"/>
      <c r="AC251" s="1"/>
      <c r="AD251" s="1"/>
      <c r="AE251" s="1"/>
      <c r="AF251" s="1"/>
      <c r="AG251" s="1"/>
      <c r="AH251" s="1"/>
    </row>
    <row r="252" spans="4:34"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  <c r="AA252" s="1"/>
      <c r="AB252" s="1"/>
      <c r="AC252" s="1"/>
      <c r="AD252" s="1"/>
      <c r="AE252" s="1"/>
      <c r="AF252" s="1"/>
      <c r="AG252" s="1"/>
      <c r="AH252" s="1"/>
    </row>
    <row r="253" spans="4:34"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  <c r="AA253" s="1"/>
      <c r="AB253" s="1"/>
      <c r="AC253" s="1"/>
      <c r="AD253" s="1"/>
      <c r="AE253" s="1"/>
      <c r="AF253" s="1"/>
      <c r="AG253" s="1"/>
      <c r="AH253" s="1"/>
    </row>
    <row r="254" spans="4:34"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  <c r="AA254" s="1"/>
      <c r="AB254" s="1"/>
      <c r="AC254" s="1"/>
      <c r="AD254" s="1"/>
      <c r="AE254" s="1"/>
      <c r="AF254" s="1"/>
      <c r="AG254" s="1"/>
      <c r="AH254" s="1"/>
    </row>
    <row r="255" spans="4:34"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  <c r="AA255" s="1"/>
      <c r="AB255" s="1"/>
      <c r="AC255" s="1"/>
      <c r="AD255" s="1"/>
      <c r="AE255" s="1"/>
      <c r="AF255" s="1"/>
      <c r="AG255" s="1"/>
      <c r="AH255" s="1"/>
    </row>
    <row r="256" spans="4:34"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  <c r="AA256" s="1"/>
      <c r="AB256" s="1"/>
      <c r="AC256" s="1"/>
      <c r="AD256" s="1"/>
      <c r="AE256" s="1"/>
      <c r="AF256" s="1"/>
      <c r="AG256" s="1"/>
      <c r="AH256" s="1"/>
    </row>
    <row r="257" spans="4:34"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  <c r="AA257" s="1"/>
      <c r="AB257" s="1"/>
      <c r="AC257" s="1"/>
      <c r="AD257" s="1"/>
      <c r="AE257" s="1"/>
      <c r="AF257" s="1"/>
      <c r="AG257" s="1"/>
      <c r="AH257" s="1"/>
    </row>
    <row r="258" spans="4:34"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  <c r="AA258" s="1"/>
      <c r="AB258" s="1"/>
      <c r="AC258" s="1"/>
      <c r="AD258" s="1"/>
      <c r="AE258" s="1"/>
      <c r="AF258" s="1"/>
      <c r="AG258" s="1"/>
      <c r="AH258" s="1"/>
    </row>
    <row r="259" spans="4:34"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  <c r="AA259" s="1"/>
      <c r="AB259" s="1"/>
      <c r="AC259" s="1"/>
      <c r="AD259" s="1"/>
      <c r="AE259" s="1"/>
      <c r="AF259" s="1"/>
      <c r="AG259" s="1"/>
      <c r="AH259" s="1"/>
    </row>
    <row r="260" spans="4:34"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  <c r="AA260" s="1"/>
      <c r="AB260" s="1"/>
      <c r="AC260" s="1"/>
      <c r="AD260" s="1"/>
      <c r="AE260" s="1"/>
      <c r="AF260" s="1"/>
      <c r="AG260" s="1"/>
      <c r="AH260" s="1"/>
    </row>
    <row r="261" spans="4:34"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  <c r="Z261" s="1"/>
      <c r="AA261" s="1"/>
      <c r="AB261" s="1"/>
      <c r="AC261" s="1"/>
      <c r="AD261" s="1"/>
      <c r="AE261" s="1"/>
      <c r="AF261" s="1"/>
      <c r="AG261" s="1"/>
      <c r="AH261" s="1"/>
    </row>
    <row r="262" spans="4:34"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  <c r="Z262" s="1"/>
      <c r="AA262" s="1"/>
      <c r="AB262" s="1"/>
      <c r="AC262" s="1"/>
      <c r="AD262" s="1"/>
      <c r="AE262" s="1"/>
      <c r="AF262" s="1"/>
      <c r="AG262" s="1"/>
      <c r="AH262" s="1"/>
    </row>
    <row r="263" spans="4:34"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  <c r="Z263" s="1"/>
      <c r="AA263" s="1"/>
      <c r="AB263" s="1"/>
      <c r="AC263" s="1"/>
      <c r="AD263" s="1"/>
      <c r="AE263" s="1"/>
      <c r="AF263" s="1"/>
      <c r="AG263" s="1"/>
      <c r="AH263" s="1"/>
    </row>
    <row r="264" spans="4:34"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  <c r="Z264" s="1"/>
      <c r="AA264" s="1"/>
      <c r="AB264" s="1"/>
      <c r="AC264" s="1"/>
      <c r="AD264" s="1"/>
      <c r="AE264" s="1"/>
      <c r="AF264" s="1"/>
      <c r="AG264" s="1"/>
      <c r="AH264" s="1"/>
    </row>
    <row r="265" spans="4:34"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  <c r="Z265" s="1"/>
      <c r="AA265" s="1"/>
      <c r="AB265" s="1"/>
      <c r="AC265" s="1"/>
      <c r="AD265" s="1"/>
      <c r="AE265" s="1"/>
      <c r="AF265" s="1"/>
      <c r="AG265" s="1"/>
      <c r="AH265" s="1"/>
    </row>
    <row r="266" spans="4:34"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  <c r="Z266" s="1"/>
      <c r="AA266" s="1"/>
      <c r="AB266" s="1"/>
      <c r="AC266" s="1"/>
      <c r="AD266" s="1"/>
      <c r="AE266" s="1"/>
      <c r="AF266" s="1"/>
      <c r="AG266" s="1"/>
      <c r="AH266" s="1"/>
    </row>
    <row r="267" spans="4:34"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  <c r="Z267" s="1"/>
      <c r="AA267" s="1"/>
      <c r="AB267" s="1"/>
      <c r="AC267" s="1"/>
      <c r="AD267" s="1"/>
      <c r="AE267" s="1"/>
      <c r="AF267" s="1"/>
      <c r="AG267" s="1"/>
      <c r="AH267" s="1"/>
    </row>
    <row r="268" spans="4:34"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  <c r="AA268" s="1"/>
      <c r="AB268" s="1"/>
      <c r="AC268" s="1"/>
      <c r="AD268" s="1"/>
      <c r="AE268" s="1"/>
      <c r="AF268" s="1"/>
      <c r="AG268" s="1"/>
      <c r="AH268" s="1"/>
    </row>
    <row r="269" spans="4:34"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  <c r="Z269" s="1"/>
      <c r="AA269" s="1"/>
      <c r="AB269" s="1"/>
      <c r="AC269" s="1"/>
      <c r="AD269" s="1"/>
      <c r="AE269" s="1"/>
      <c r="AF269" s="1"/>
      <c r="AG269" s="1"/>
      <c r="AH269" s="1"/>
    </row>
    <row r="270" spans="4:34"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  <c r="Z270" s="1"/>
      <c r="AA270" s="1"/>
      <c r="AB270" s="1"/>
      <c r="AC270" s="1"/>
      <c r="AD270" s="1"/>
      <c r="AE270" s="1"/>
      <c r="AF270" s="1"/>
      <c r="AG270" s="1"/>
      <c r="AH270" s="1"/>
    </row>
    <row r="271" spans="4:34"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  <c r="Z271" s="1"/>
      <c r="AA271" s="1"/>
      <c r="AB271" s="1"/>
      <c r="AC271" s="1"/>
      <c r="AD271" s="1"/>
      <c r="AE271" s="1"/>
      <c r="AF271" s="1"/>
      <c r="AG271" s="1"/>
      <c r="AH271" s="1"/>
    </row>
    <row r="272" spans="4:34"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  <c r="Z272" s="1"/>
      <c r="AA272" s="1"/>
      <c r="AB272" s="1"/>
      <c r="AC272" s="1"/>
      <c r="AD272" s="1"/>
      <c r="AE272" s="1"/>
      <c r="AF272" s="1"/>
      <c r="AG272" s="1"/>
      <c r="AH272" s="1"/>
    </row>
    <row r="273" spans="4:34"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  <c r="Z273" s="1"/>
      <c r="AA273" s="1"/>
      <c r="AB273" s="1"/>
      <c r="AC273" s="1"/>
      <c r="AD273" s="1"/>
      <c r="AE273" s="1"/>
      <c r="AF273" s="1"/>
      <c r="AG273" s="1"/>
      <c r="AH273" s="1"/>
    </row>
    <row r="274" spans="4:34"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  <c r="Z274" s="1"/>
      <c r="AA274" s="1"/>
      <c r="AB274" s="1"/>
      <c r="AC274" s="1"/>
      <c r="AD274" s="1"/>
      <c r="AE274" s="1"/>
      <c r="AF274" s="1"/>
      <c r="AG274" s="1"/>
      <c r="AH274" s="1"/>
    </row>
    <row r="275" spans="4:34"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  <c r="Z275" s="1"/>
      <c r="AA275" s="1"/>
      <c r="AB275" s="1"/>
      <c r="AC275" s="1"/>
      <c r="AD275" s="1"/>
      <c r="AE275" s="1"/>
      <c r="AF275" s="1"/>
      <c r="AG275" s="1"/>
      <c r="AH275" s="1"/>
    </row>
    <row r="276" spans="4:34"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  <c r="Z276" s="1"/>
      <c r="AA276" s="1"/>
      <c r="AB276" s="1"/>
      <c r="AC276" s="1"/>
      <c r="AD276" s="1"/>
      <c r="AE276" s="1"/>
      <c r="AF276" s="1"/>
      <c r="AG276" s="1"/>
      <c r="AH276" s="1"/>
    </row>
    <row r="277" spans="4:34"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  <c r="Z277" s="1"/>
      <c r="AA277" s="1"/>
      <c r="AB277" s="1"/>
      <c r="AC277" s="1"/>
      <c r="AD277" s="1"/>
      <c r="AE277" s="1"/>
      <c r="AF277" s="1"/>
      <c r="AG277" s="1"/>
      <c r="AH277" s="1"/>
    </row>
    <row r="278" spans="4:34"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  <c r="Z278" s="1"/>
      <c r="AA278" s="1"/>
      <c r="AB278" s="1"/>
      <c r="AC278" s="1"/>
      <c r="AD278" s="1"/>
      <c r="AE278" s="1"/>
      <c r="AF278" s="1"/>
      <c r="AG278" s="1"/>
      <c r="AH278" s="1"/>
    </row>
    <row r="279" spans="4:34"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  <c r="Z279" s="1"/>
      <c r="AA279" s="1"/>
      <c r="AB279" s="1"/>
      <c r="AC279" s="1"/>
      <c r="AD279" s="1"/>
      <c r="AE279" s="1"/>
      <c r="AF279" s="1"/>
      <c r="AG279" s="1"/>
      <c r="AH279" s="1"/>
    </row>
    <row r="280" spans="4:34"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  <c r="Z280" s="1"/>
      <c r="AA280" s="1"/>
      <c r="AB280" s="1"/>
      <c r="AC280" s="1"/>
      <c r="AD280" s="1"/>
      <c r="AE280" s="1"/>
      <c r="AF280" s="1"/>
      <c r="AG280" s="1"/>
      <c r="AH280" s="1"/>
    </row>
    <row r="281" spans="4:34"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  <c r="Z281" s="1"/>
      <c r="AA281" s="1"/>
      <c r="AB281" s="1"/>
      <c r="AC281" s="1"/>
      <c r="AD281" s="1"/>
      <c r="AE281" s="1"/>
      <c r="AF281" s="1"/>
      <c r="AG281" s="1"/>
      <c r="AH281" s="1"/>
    </row>
    <row r="282" spans="4:34"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  <c r="Z282" s="1"/>
      <c r="AA282" s="1"/>
      <c r="AB282" s="1"/>
      <c r="AC282" s="1"/>
      <c r="AD282" s="1"/>
      <c r="AE282" s="1"/>
      <c r="AF282" s="1"/>
      <c r="AG282" s="1"/>
      <c r="AH282" s="1"/>
    </row>
    <row r="283" spans="4:34"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  <c r="Z283" s="1"/>
      <c r="AA283" s="1"/>
      <c r="AB283" s="1"/>
      <c r="AC283" s="1"/>
      <c r="AD283" s="1"/>
      <c r="AE283" s="1"/>
      <c r="AF283" s="1"/>
      <c r="AG283" s="1"/>
      <c r="AH283" s="1"/>
    </row>
    <row r="284" spans="4:34"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  <c r="Z284" s="1"/>
      <c r="AA284" s="1"/>
      <c r="AB284" s="1"/>
      <c r="AC284" s="1"/>
      <c r="AD284" s="1"/>
      <c r="AE284" s="1"/>
      <c r="AF284" s="1"/>
      <c r="AG284" s="1"/>
      <c r="AH284" s="1"/>
    </row>
    <row r="285" spans="4:34"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  <c r="Z285" s="1"/>
      <c r="AA285" s="1"/>
      <c r="AB285" s="1"/>
      <c r="AC285" s="1"/>
      <c r="AD285" s="1"/>
      <c r="AE285" s="1"/>
      <c r="AF285" s="1"/>
      <c r="AG285" s="1"/>
      <c r="AH285" s="1"/>
    </row>
    <row r="286" spans="4:34"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  <c r="Z286" s="1"/>
      <c r="AA286" s="1"/>
      <c r="AB286" s="1"/>
      <c r="AC286" s="1"/>
      <c r="AD286" s="1"/>
      <c r="AE286" s="1"/>
      <c r="AF286" s="1"/>
      <c r="AG286" s="1"/>
      <c r="AH286" s="1"/>
    </row>
    <row r="287" spans="4:34"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  <c r="Z287" s="1"/>
      <c r="AA287" s="1"/>
      <c r="AB287" s="1"/>
      <c r="AC287" s="1"/>
      <c r="AD287" s="1"/>
      <c r="AE287" s="1"/>
      <c r="AF287" s="1"/>
      <c r="AG287" s="1"/>
      <c r="AH287" s="1"/>
    </row>
    <row r="288" spans="4:34"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  <c r="Z288" s="1"/>
      <c r="AA288" s="1"/>
      <c r="AB288" s="1"/>
      <c r="AC288" s="1"/>
      <c r="AD288" s="1"/>
      <c r="AE288" s="1"/>
      <c r="AF288" s="1"/>
      <c r="AG288" s="1"/>
      <c r="AH288" s="1"/>
    </row>
    <row r="289" spans="4:34"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  <c r="Z289" s="1"/>
      <c r="AA289" s="1"/>
      <c r="AB289" s="1"/>
      <c r="AC289" s="1"/>
      <c r="AD289" s="1"/>
      <c r="AE289" s="1"/>
      <c r="AF289" s="1"/>
      <c r="AG289" s="1"/>
      <c r="AH289" s="1"/>
    </row>
    <row r="290" spans="4:34"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  <c r="Z290" s="1"/>
      <c r="AA290" s="1"/>
      <c r="AB290" s="1"/>
      <c r="AC290" s="1"/>
      <c r="AD290" s="1"/>
      <c r="AE290" s="1"/>
      <c r="AF290" s="1"/>
      <c r="AG290" s="1"/>
      <c r="AH290" s="1"/>
    </row>
    <row r="291" spans="4:34"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  <c r="Z291" s="1"/>
      <c r="AA291" s="1"/>
      <c r="AB291" s="1"/>
      <c r="AC291" s="1"/>
      <c r="AD291" s="1"/>
      <c r="AE291" s="1"/>
      <c r="AF291" s="1"/>
      <c r="AG291" s="1"/>
      <c r="AH291" s="1"/>
    </row>
    <row r="292" spans="4:34"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  <c r="Z292" s="1"/>
      <c r="AA292" s="1"/>
      <c r="AB292" s="1"/>
      <c r="AC292" s="1"/>
      <c r="AD292" s="1"/>
      <c r="AE292" s="1"/>
      <c r="AF292" s="1"/>
      <c r="AG292" s="1"/>
      <c r="AH292" s="1"/>
    </row>
    <row r="293" spans="4:34"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  <c r="Z293" s="1"/>
      <c r="AA293" s="1"/>
      <c r="AB293" s="1"/>
      <c r="AC293" s="1"/>
      <c r="AD293" s="1"/>
      <c r="AE293" s="1"/>
      <c r="AF293" s="1"/>
      <c r="AG293" s="1"/>
      <c r="AH293" s="1"/>
    </row>
    <row r="294" spans="4:34"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  <c r="Z294" s="1"/>
      <c r="AA294" s="1"/>
      <c r="AB294" s="1"/>
      <c r="AC294" s="1"/>
      <c r="AD294" s="1"/>
      <c r="AE294" s="1"/>
      <c r="AF294" s="1"/>
      <c r="AG294" s="1"/>
      <c r="AH294" s="1"/>
    </row>
    <row r="295" spans="4:34"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  <c r="Z295" s="1"/>
      <c r="AA295" s="1"/>
      <c r="AB295" s="1"/>
      <c r="AC295" s="1"/>
      <c r="AD295" s="1"/>
      <c r="AE295" s="1"/>
      <c r="AF295" s="1"/>
      <c r="AG295" s="1"/>
      <c r="AH295" s="1"/>
    </row>
    <row r="296" spans="4:34"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  <c r="Z296" s="1"/>
      <c r="AA296" s="1"/>
      <c r="AB296" s="1"/>
      <c r="AC296" s="1"/>
      <c r="AD296" s="1"/>
      <c r="AE296" s="1"/>
      <c r="AF296" s="1"/>
      <c r="AG296" s="1"/>
      <c r="AH296" s="1"/>
    </row>
    <row r="297" spans="4:34"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  <c r="Z297" s="1"/>
      <c r="AA297" s="1"/>
      <c r="AB297" s="1"/>
      <c r="AC297" s="1"/>
      <c r="AD297" s="1"/>
      <c r="AE297" s="1"/>
      <c r="AF297" s="1"/>
      <c r="AG297" s="1"/>
      <c r="AH297" s="1"/>
    </row>
    <row r="298" spans="4:34"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  <c r="Z298" s="1"/>
      <c r="AA298" s="1"/>
      <c r="AB298" s="1"/>
      <c r="AC298" s="1"/>
      <c r="AD298" s="1"/>
      <c r="AE298" s="1"/>
      <c r="AF298" s="1"/>
      <c r="AG298" s="1"/>
      <c r="AH298" s="1"/>
    </row>
    <row r="299" spans="4:34"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  <c r="Z299" s="1"/>
      <c r="AA299" s="1"/>
      <c r="AB299" s="1"/>
      <c r="AC299" s="1"/>
      <c r="AD299" s="1"/>
      <c r="AE299" s="1"/>
      <c r="AF299" s="1"/>
      <c r="AG299" s="1"/>
      <c r="AH299" s="1"/>
    </row>
    <row r="300" spans="4:34"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  <c r="Z300" s="1"/>
      <c r="AA300" s="1"/>
      <c r="AB300" s="1"/>
      <c r="AC300" s="1"/>
      <c r="AD300" s="1"/>
      <c r="AE300" s="1"/>
      <c r="AF300" s="1"/>
      <c r="AG300" s="1"/>
      <c r="AH300" s="1"/>
    </row>
    <row r="301" spans="4:34"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  <c r="Z301" s="1"/>
      <c r="AA301" s="1"/>
      <c r="AB301" s="1"/>
      <c r="AC301" s="1"/>
      <c r="AD301" s="1"/>
      <c r="AE301" s="1"/>
      <c r="AF301" s="1"/>
      <c r="AG301" s="1"/>
      <c r="AH301" s="1"/>
    </row>
    <row r="302" spans="4:34"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  <c r="Z302" s="1"/>
      <c r="AA302" s="1"/>
      <c r="AB302" s="1"/>
      <c r="AC302" s="1"/>
      <c r="AD302" s="1"/>
      <c r="AE302" s="1"/>
      <c r="AF302" s="1"/>
      <c r="AG302" s="1"/>
      <c r="AH302" s="1"/>
    </row>
    <row r="303" spans="4:34"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  <c r="Z303" s="1"/>
      <c r="AA303" s="1"/>
      <c r="AB303" s="1"/>
      <c r="AC303" s="1"/>
      <c r="AD303" s="1"/>
      <c r="AE303" s="1"/>
      <c r="AF303" s="1"/>
      <c r="AG303" s="1"/>
      <c r="AH303" s="1"/>
    </row>
    <row r="304" spans="4:34"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  <c r="Z304" s="1"/>
      <c r="AA304" s="1"/>
      <c r="AB304" s="1"/>
      <c r="AC304" s="1"/>
      <c r="AD304" s="1"/>
      <c r="AE304" s="1"/>
      <c r="AF304" s="1"/>
      <c r="AG304" s="1"/>
      <c r="AH304" s="1"/>
    </row>
    <row r="305" spans="4:34"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  <c r="Z305" s="1"/>
      <c r="AA305" s="1"/>
      <c r="AB305" s="1"/>
      <c r="AC305" s="1"/>
      <c r="AD305" s="1"/>
      <c r="AE305" s="1"/>
      <c r="AF305" s="1"/>
      <c r="AG305" s="1"/>
      <c r="AH305" s="1"/>
    </row>
    <row r="306" spans="4:34"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  <c r="Z306" s="1"/>
      <c r="AA306" s="1"/>
      <c r="AB306" s="1"/>
      <c r="AC306" s="1"/>
      <c r="AD306" s="1"/>
      <c r="AE306" s="1"/>
      <c r="AF306" s="1"/>
      <c r="AG306" s="1"/>
      <c r="AH306" s="1"/>
    </row>
    <row r="307" spans="4:34"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  <c r="Z307" s="1"/>
      <c r="AA307" s="1"/>
      <c r="AB307" s="1"/>
      <c r="AC307" s="1"/>
      <c r="AD307" s="1"/>
      <c r="AE307" s="1"/>
      <c r="AF307" s="1"/>
      <c r="AG307" s="1"/>
      <c r="AH307" s="1"/>
    </row>
    <row r="308" spans="4:34"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  <c r="Z308" s="1"/>
      <c r="AA308" s="1"/>
      <c r="AB308" s="1"/>
      <c r="AC308" s="1"/>
      <c r="AD308" s="1"/>
      <c r="AE308" s="1"/>
      <c r="AF308" s="1"/>
      <c r="AG308" s="1"/>
      <c r="AH308" s="1"/>
    </row>
    <row r="309" spans="4:34"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  <c r="Z309" s="1"/>
      <c r="AA309" s="1"/>
      <c r="AB309" s="1"/>
      <c r="AC309" s="1"/>
      <c r="AD309" s="1"/>
      <c r="AE309" s="1"/>
      <c r="AF309" s="1"/>
      <c r="AG309" s="1"/>
      <c r="AH309" s="1"/>
    </row>
    <row r="310" spans="4:34"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  <c r="Z310" s="1"/>
      <c r="AA310" s="1"/>
      <c r="AB310" s="1"/>
      <c r="AC310" s="1"/>
      <c r="AD310" s="1"/>
      <c r="AE310" s="1"/>
      <c r="AF310" s="1"/>
      <c r="AG310" s="1"/>
      <c r="AH310" s="1"/>
    </row>
    <row r="311" spans="4:34"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  <c r="Z311" s="1"/>
      <c r="AA311" s="1"/>
      <c r="AB311" s="1"/>
      <c r="AC311" s="1"/>
      <c r="AD311" s="1"/>
      <c r="AE311" s="1"/>
      <c r="AF311" s="1"/>
      <c r="AG311" s="1"/>
      <c r="AH311" s="1"/>
    </row>
    <row r="312" spans="4:34"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  <c r="Z312" s="1"/>
      <c r="AA312" s="1"/>
      <c r="AB312" s="1"/>
      <c r="AC312" s="1"/>
      <c r="AD312" s="1"/>
      <c r="AE312" s="1"/>
      <c r="AF312" s="1"/>
      <c r="AG312" s="1"/>
      <c r="AH312" s="1"/>
    </row>
    <row r="313" spans="4:34"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  <c r="Z313" s="1"/>
      <c r="AA313" s="1"/>
      <c r="AB313" s="1"/>
      <c r="AC313" s="1"/>
      <c r="AD313" s="1"/>
      <c r="AE313" s="1"/>
      <c r="AF313" s="1"/>
      <c r="AG313" s="1"/>
      <c r="AH313" s="1"/>
    </row>
    <row r="314" spans="4:34"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  <c r="Z314" s="1"/>
      <c r="AA314" s="1"/>
      <c r="AB314" s="1"/>
      <c r="AC314" s="1"/>
      <c r="AD314" s="1"/>
      <c r="AE314" s="1"/>
      <c r="AF314" s="1"/>
      <c r="AG314" s="1"/>
      <c r="AH314" s="1"/>
    </row>
    <row r="315" spans="4:34"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  <c r="Z315" s="1"/>
      <c r="AA315" s="1"/>
      <c r="AB315" s="1"/>
      <c r="AC315" s="1"/>
      <c r="AD315" s="1"/>
      <c r="AE315" s="1"/>
      <c r="AF315" s="1"/>
      <c r="AG315" s="1"/>
      <c r="AH315" s="1"/>
    </row>
    <row r="316" spans="4:34"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  <c r="Z316" s="1"/>
      <c r="AA316" s="1"/>
      <c r="AB316" s="1"/>
      <c r="AC316" s="1"/>
      <c r="AD316" s="1"/>
      <c r="AE316" s="1"/>
      <c r="AF316" s="1"/>
      <c r="AG316" s="1"/>
      <c r="AH316" s="1"/>
    </row>
    <row r="317" spans="4:34"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  <c r="Z317" s="1"/>
      <c r="AA317" s="1"/>
      <c r="AB317" s="1"/>
      <c r="AC317" s="1"/>
      <c r="AD317" s="1"/>
      <c r="AE317" s="1"/>
      <c r="AF317" s="1"/>
      <c r="AG317" s="1"/>
      <c r="AH317" s="1"/>
    </row>
    <row r="318" spans="4:34"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  <c r="Z318" s="1"/>
      <c r="AA318" s="1"/>
      <c r="AB318" s="1"/>
      <c r="AC318" s="1"/>
      <c r="AD318" s="1"/>
      <c r="AE318" s="1"/>
      <c r="AF318" s="1"/>
      <c r="AG318" s="1"/>
      <c r="AH318" s="1"/>
    </row>
    <row r="319" spans="4:34"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  <c r="Z319" s="1"/>
      <c r="AA319" s="1"/>
      <c r="AB319" s="1"/>
      <c r="AC319" s="1"/>
      <c r="AD319" s="1"/>
      <c r="AE319" s="1"/>
      <c r="AF319" s="1"/>
      <c r="AG319" s="1"/>
      <c r="AH319" s="1"/>
    </row>
    <row r="320" spans="4:34"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  <c r="Z320" s="1"/>
      <c r="AA320" s="1"/>
      <c r="AB320" s="1"/>
      <c r="AC320" s="1"/>
      <c r="AD320" s="1"/>
      <c r="AE320" s="1"/>
      <c r="AF320" s="1"/>
      <c r="AG320" s="1"/>
      <c r="AH320" s="1"/>
    </row>
    <row r="321" spans="4:34"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  <c r="Z321" s="1"/>
      <c r="AA321" s="1"/>
      <c r="AB321" s="1"/>
      <c r="AC321" s="1"/>
      <c r="AD321" s="1"/>
      <c r="AE321" s="1"/>
      <c r="AF321" s="1"/>
      <c r="AG321" s="1"/>
      <c r="AH321" s="1"/>
    </row>
    <row r="322" spans="4:34"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  <c r="Z322" s="1"/>
      <c r="AA322" s="1"/>
      <c r="AB322" s="1"/>
      <c r="AC322" s="1"/>
      <c r="AD322" s="1"/>
      <c r="AE322" s="1"/>
      <c r="AF322" s="1"/>
      <c r="AG322" s="1"/>
      <c r="AH322" s="1"/>
    </row>
    <row r="323" spans="4:34"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  <c r="Z323" s="1"/>
      <c r="AA323" s="1"/>
      <c r="AB323" s="1"/>
      <c r="AC323" s="1"/>
      <c r="AD323" s="1"/>
      <c r="AE323" s="1"/>
      <c r="AF323" s="1"/>
      <c r="AG323" s="1"/>
      <c r="AH323" s="1"/>
    </row>
    <row r="324" spans="4:34"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  <c r="Z324" s="1"/>
      <c r="AA324" s="1"/>
      <c r="AB324" s="1"/>
      <c r="AC324" s="1"/>
      <c r="AD324" s="1"/>
      <c r="AE324" s="1"/>
      <c r="AF324" s="1"/>
      <c r="AG324" s="1"/>
      <c r="AH324" s="1"/>
    </row>
    <row r="325" spans="4:34"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  <c r="Z325" s="1"/>
      <c r="AA325" s="1"/>
      <c r="AB325" s="1"/>
      <c r="AC325" s="1"/>
      <c r="AD325" s="1"/>
      <c r="AE325" s="1"/>
      <c r="AF325" s="1"/>
      <c r="AG325" s="1"/>
      <c r="AH325" s="1"/>
    </row>
    <row r="326" spans="4:34"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  <c r="Z326" s="1"/>
      <c r="AA326" s="1"/>
      <c r="AB326" s="1"/>
      <c r="AC326" s="1"/>
      <c r="AD326" s="1"/>
      <c r="AE326" s="1"/>
      <c r="AF326" s="1"/>
      <c r="AG326" s="1"/>
      <c r="AH326" s="1"/>
    </row>
    <row r="327" spans="4:34"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  <c r="Z327" s="1"/>
      <c r="AA327" s="1"/>
      <c r="AB327" s="1"/>
      <c r="AC327" s="1"/>
      <c r="AD327" s="1"/>
      <c r="AE327" s="1"/>
      <c r="AF327" s="1"/>
      <c r="AG327" s="1"/>
      <c r="AH327" s="1"/>
    </row>
    <row r="328" spans="4:34"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  <c r="Z328" s="1"/>
      <c r="AA328" s="1"/>
      <c r="AB328" s="1"/>
      <c r="AC328" s="1"/>
      <c r="AD328" s="1"/>
      <c r="AE328" s="1"/>
      <c r="AF328" s="1"/>
      <c r="AG328" s="1"/>
      <c r="AH328" s="1"/>
    </row>
    <row r="329" spans="4:34"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  <c r="Z329" s="1"/>
      <c r="AA329" s="1"/>
      <c r="AB329" s="1"/>
      <c r="AC329" s="1"/>
      <c r="AD329" s="1"/>
      <c r="AE329" s="1"/>
      <c r="AF329" s="1"/>
      <c r="AG329" s="1"/>
      <c r="AH329" s="1"/>
    </row>
    <row r="330" spans="4:34"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  <c r="Z330" s="1"/>
      <c r="AA330" s="1"/>
      <c r="AB330" s="1"/>
      <c r="AC330" s="1"/>
      <c r="AD330" s="1"/>
      <c r="AE330" s="1"/>
      <c r="AF330" s="1"/>
      <c r="AG330" s="1"/>
      <c r="AH330" s="1"/>
    </row>
    <row r="331" spans="4:34"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  <c r="Z331" s="1"/>
      <c r="AA331" s="1"/>
      <c r="AB331" s="1"/>
      <c r="AC331" s="1"/>
      <c r="AD331" s="1"/>
      <c r="AE331" s="1"/>
      <c r="AF331" s="1"/>
      <c r="AG331" s="1"/>
      <c r="AH331" s="1"/>
    </row>
    <row r="332" spans="4:34"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  <c r="Z332" s="1"/>
      <c r="AA332" s="1"/>
      <c r="AB332" s="1"/>
      <c r="AC332" s="1"/>
      <c r="AD332" s="1"/>
      <c r="AE332" s="1"/>
      <c r="AF332" s="1"/>
      <c r="AG332" s="1"/>
      <c r="AH332" s="1"/>
    </row>
    <row r="333" spans="4:34"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  <c r="Z333" s="1"/>
      <c r="AA333" s="1"/>
      <c r="AB333" s="1"/>
      <c r="AC333" s="1"/>
      <c r="AD333" s="1"/>
      <c r="AE333" s="1"/>
      <c r="AF333" s="1"/>
      <c r="AG333" s="1"/>
      <c r="AH333" s="1"/>
    </row>
    <row r="334" spans="4:34"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  <c r="Z334" s="1"/>
      <c r="AA334" s="1"/>
      <c r="AB334" s="1"/>
      <c r="AC334" s="1"/>
      <c r="AD334" s="1"/>
      <c r="AE334" s="1"/>
      <c r="AF334" s="1"/>
      <c r="AG334" s="1"/>
      <c r="AH334" s="1"/>
    </row>
    <row r="335" spans="4:34"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  <c r="Z335" s="1"/>
      <c r="AA335" s="1"/>
      <c r="AB335" s="1"/>
      <c r="AC335" s="1"/>
      <c r="AD335" s="1"/>
      <c r="AE335" s="1"/>
      <c r="AF335" s="1"/>
      <c r="AG335" s="1"/>
      <c r="AH335" s="1"/>
    </row>
    <row r="336" spans="4:34"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  <c r="Z336" s="1"/>
      <c r="AA336" s="1"/>
      <c r="AB336" s="1"/>
      <c r="AC336" s="1"/>
      <c r="AD336" s="1"/>
      <c r="AE336" s="1"/>
      <c r="AF336" s="1"/>
      <c r="AG336" s="1"/>
      <c r="AH336" s="1"/>
    </row>
    <row r="337" spans="4:34"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  <c r="Z337" s="1"/>
      <c r="AA337" s="1"/>
      <c r="AB337" s="1"/>
      <c r="AC337" s="1"/>
      <c r="AD337" s="1"/>
      <c r="AE337" s="1"/>
      <c r="AF337" s="1"/>
      <c r="AG337" s="1"/>
      <c r="AH337" s="1"/>
    </row>
    <row r="338" spans="4:34"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  <c r="Z338" s="1"/>
      <c r="AA338" s="1"/>
      <c r="AB338" s="1"/>
      <c r="AC338" s="1"/>
      <c r="AD338" s="1"/>
      <c r="AE338" s="1"/>
      <c r="AF338" s="1"/>
      <c r="AG338" s="1"/>
      <c r="AH338" s="1"/>
    </row>
    <row r="339" spans="4:34"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  <c r="Z339" s="1"/>
      <c r="AA339" s="1"/>
      <c r="AB339" s="1"/>
      <c r="AC339" s="1"/>
      <c r="AD339" s="1"/>
      <c r="AE339" s="1"/>
      <c r="AF339" s="1"/>
      <c r="AG339" s="1"/>
      <c r="AH339" s="1"/>
    </row>
    <row r="340" spans="4:34"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  <c r="Z340" s="1"/>
      <c r="AA340" s="1"/>
      <c r="AB340" s="1"/>
      <c r="AC340" s="1"/>
      <c r="AD340" s="1"/>
      <c r="AE340" s="1"/>
      <c r="AF340" s="1"/>
      <c r="AG340" s="1"/>
      <c r="AH340" s="1"/>
    </row>
    <row r="341" spans="4:34"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  <c r="Z341" s="1"/>
      <c r="AA341" s="1"/>
      <c r="AB341" s="1"/>
      <c r="AC341" s="1"/>
      <c r="AD341" s="1"/>
      <c r="AE341" s="1"/>
      <c r="AF341" s="1"/>
      <c r="AG341" s="1"/>
      <c r="AH341" s="1"/>
    </row>
    <row r="342" spans="4:34"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  <c r="Z342" s="1"/>
      <c r="AA342" s="1"/>
      <c r="AB342" s="1"/>
      <c r="AC342" s="1"/>
      <c r="AD342" s="1"/>
      <c r="AE342" s="1"/>
      <c r="AF342" s="1"/>
      <c r="AG342" s="1"/>
      <c r="AH342" s="1"/>
    </row>
    <row r="343" spans="4:34"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  <c r="Z343" s="1"/>
      <c r="AA343" s="1"/>
      <c r="AB343" s="1"/>
      <c r="AC343" s="1"/>
      <c r="AD343" s="1"/>
      <c r="AE343" s="1"/>
      <c r="AF343" s="1"/>
      <c r="AG343" s="1"/>
      <c r="AH343" s="1"/>
    </row>
    <row r="344" spans="4:34"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  <c r="Z344" s="1"/>
      <c r="AA344" s="1"/>
      <c r="AB344" s="1"/>
      <c r="AC344" s="1"/>
      <c r="AD344" s="1"/>
      <c r="AE344" s="1"/>
      <c r="AF344" s="1"/>
      <c r="AG344" s="1"/>
      <c r="AH344" s="1"/>
    </row>
    <row r="345" spans="4:34"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  <c r="Z345" s="1"/>
      <c r="AA345" s="1"/>
      <c r="AB345" s="1"/>
      <c r="AC345" s="1"/>
      <c r="AD345" s="1"/>
      <c r="AE345" s="1"/>
      <c r="AF345" s="1"/>
      <c r="AG345" s="1"/>
      <c r="AH345" s="1"/>
    </row>
    <row r="346" spans="4:34"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  <c r="Z346" s="1"/>
      <c r="AA346" s="1"/>
      <c r="AB346" s="1"/>
      <c r="AC346" s="1"/>
      <c r="AD346" s="1"/>
      <c r="AE346" s="1"/>
      <c r="AF346" s="1"/>
      <c r="AG346" s="1"/>
      <c r="AH346" s="1"/>
    </row>
    <row r="347" spans="4:34"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  <c r="Z347" s="1"/>
      <c r="AA347" s="1"/>
      <c r="AB347" s="1"/>
      <c r="AC347" s="1"/>
      <c r="AD347" s="1"/>
      <c r="AE347" s="1"/>
      <c r="AF347" s="1"/>
      <c r="AG347" s="1"/>
      <c r="AH347" s="1"/>
    </row>
    <row r="348" spans="4:34"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  <c r="Z348" s="1"/>
      <c r="AA348" s="1"/>
      <c r="AB348" s="1"/>
      <c r="AC348" s="1"/>
      <c r="AD348" s="1"/>
      <c r="AE348" s="1"/>
      <c r="AF348" s="1"/>
      <c r="AG348" s="1"/>
      <c r="AH348" s="1"/>
    </row>
    <row r="349" spans="4:34"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  <c r="Z349" s="1"/>
      <c r="AA349" s="1"/>
      <c r="AB349" s="1"/>
      <c r="AC349" s="1"/>
      <c r="AD349" s="1"/>
      <c r="AE349" s="1"/>
      <c r="AF349" s="1"/>
      <c r="AG349" s="1"/>
      <c r="AH349" s="1"/>
    </row>
    <row r="350" spans="4:34"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  <c r="Z350" s="1"/>
      <c r="AA350" s="1"/>
      <c r="AB350" s="1"/>
      <c r="AC350" s="1"/>
      <c r="AD350" s="1"/>
      <c r="AE350" s="1"/>
      <c r="AF350" s="1"/>
      <c r="AG350" s="1"/>
      <c r="AH350" s="1"/>
    </row>
    <row r="351" spans="4:34"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  <c r="Z351" s="1"/>
      <c r="AA351" s="1"/>
      <c r="AB351" s="1"/>
      <c r="AC351" s="1"/>
      <c r="AD351" s="1"/>
      <c r="AE351" s="1"/>
      <c r="AF351" s="1"/>
      <c r="AG351" s="1"/>
      <c r="AH351" s="1"/>
    </row>
    <row r="352" spans="4:34"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  <c r="Z352" s="1"/>
      <c r="AA352" s="1"/>
      <c r="AB352" s="1"/>
      <c r="AC352" s="1"/>
      <c r="AD352" s="1"/>
      <c r="AE352" s="1"/>
      <c r="AF352" s="1"/>
      <c r="AG352" s="1"/>
      <c r="AH352" s="1"/>
    </row>
    <row r="353" spans="4:34"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  <c r="Z353" s="1"/>
      <c r="AA353" s="1"/>
      <c r="AB353" s="1"/>
      <c r="AC353" s="1"/>
      <c r="AD353" s="1"/>
      <c r="AE353" s="1"/>
      <c r="AF353" s="1"/>
      <c r="AG353" s="1"/>
      <c r="AH353" s="1"/>
    </row>
    <row r="354" spans="4:34"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  <c r="Z354" s="1"/>
      <c r="AA354" s="1"/>
      <c r="AB354" s="1"/>
      <c r="AC354" s="1"/>
      <c r="AD354" s="1"/>
      <c r="AE354" s="1"/>
      <c r="AF354" s="1"/>
      <c r="AG354" s="1"/>
      <c r="AH354" s="1"/>
    </row>
    <row r="355" spans="4:34"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  <c r="Z355" s="1"/>
      <c r="AA355" s="1"/>
      <c r="AB355" s="1"/>
      <c r="AC355" s="1"/>
      <c r="AD355" s="1"/>
      <c r="AE355" s="1"/>
      <c r="AF355" s="1"/>
      <c r="AG355" s="1"/>
      <c r="AH355" s="1"/>
    </row>
    <row r="356" spans="4:34"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  <c r="Z356" s="1"/>
      <c r="AA356" s="1"/>
      <c r="AB356" s="1"/>
      <c r="AC356" s="1"/>
      <c r="AD356" s="1"/>
      <c r="AE356" s="1"/>
      <c r="AF356" s="1"/>
      <c r="AG356" s="1"/>
      <c r="AH356" s="1"/>
    </row>
    <row r="357" spans="4:34"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  <c r="Z357" s="1"/>
      <c r="AA357" s="1"/>
      <c r="AB357" s="1"/>
      <c r="AC357" s="1"/>
      <c r="AD357" s="1"/>
      <c r="AE357" s="1"/>
      <c r="AF357" s="1"/>
      <c r="AG357" s="1"/>
      <c r="AH357" s="1"/>
    </row>
    <row r="358" spans="4:34"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  <c r="Z358" s="1"/>
      <c r="AA358" s="1"/>
      <c r="AB358" s="1"/>
      <c r="AC358" s="1"/>
      <c r="AD358" s="1"/>
      <c r="AE358" s="1"/>
      <c r="AF358" s="1"/>
      <c r="AG358" s="1"/>
      <c r="AH358" s="1"/>
    </row>
    <row r="359" spans="4:34"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  <c r="Z359" s="1"/>
      <c r="AA359" s="1"/>
      <c r="AB359" s="1"/>
      <c r="AC359" s="1"/>
      <c r="AD359" s="1"/>
      <c r="AE359" s="1"/>
      <c r="AF359" s="1"/>
      <c r="AG359" s="1"/>
      <c r="AH359" s="1"/>
    </row>
    <row r="360" spans="4:34"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  <c r="Z360" s="1"/>
      <c r="AA360" s="1"/>
      <c r="AB360" s="1"/>
      <c r="AC360" s="1"/>
      <c r="AD360" s="1"/>
      <c r="AE360" s="1"/>
      <c r="AF360" s="1"/>
      <c r="AG360" s="1"/>
      <c r="AH360" s="1"/>
    </row>
    <row r="361" spans="4:34"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  <c r="Z361" s="1"/>
      <c r="AA361" s="1"/>
      <c r="AB361" s="1"/>
      <c r="AC361" s="1"/>
      <c r="AD361" s="1"/>
      <c r="AE361" s="1"/>
      <c r="AF361" s="1"/>
      <c r="AG361" s="1"/>
      <c r="AH361" s="1"/>
    </row>
    <row r="362" spans="4:34"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  <c r="Z362" s="1"/>
      <c r="AA362" s="1"/>
      <c r="AB362" s="1"/>
      <c r="AC362" s="1"/>
      <c r="AD362" s="1"/>
      <c r="AE362" s="1"/>
      <c r="AF362" s="1"/>
      <c r="AG362" s="1"/>
      <c r="AH362" s="1"/>
    </row>
    <row r="363" spans="4:34"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  <c r="Z363" s="1"/>
      <c r="AA363" s="1"/>
      <c r="AB363" s="1"/>
      <c r="AC363" s="1"/>
      <c r="AD363" s="1"/>
      <c r="AE363" s="1"/>
      <c r="AF363" s="1"/>
      <c r="AG363" s="1"/>
      <c r="AH363" s="1"/>
    </row>
    <row r="364" spans="4:34"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  <c r="Z364" s="1"/>
      <c r="AA364" s="1"/>
      <c r="AB364" s="1"/>
      <c r="AC364" s="1"/>
      <c r="AD364" s="1"/>
      <c r="AE364" s="1"/>
      <c r="AF364" s="1"/>
      <c r="AG364" s="1"/>
      <c r="AH364" s="1"/>
    </row>
    <row r="365" spans="4:34"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  <c r="Z365" s="1"/>
      <c r="AA365" s="1"/>
      <c r="AB365" s="1"/>
      <c r="AC365" s="1"/>
      <c r="AD365" s="1"/>
      <c r="AE365" s="1"/>
      <c r="AF365" s="1"/>
      <c r="AG365" s="1"/>
      <c r="AH365" s="1"/>
    </row>
    <row r="366" spans="4:34"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  <c r="Z366" s="1"/>
      <c r="AA366" s="1"/>
      <c r="AB366" s="1"/>
      <c r="AC366" s="1"/>
      <c r="AD366" s="1"/>
      <c r="AE366" s="1"/>
      <c r="AF366" s="1"/>
      <c r="AG366" s="1"/>
      <c r="AH366" s="1"/>
    </row>
    <row r="367" spans="4:34"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  <c r="Z367" s="1"/>
      <c r="AA367" s="1"/>
      <c r="AB367" s="1"/>
      <c r="AC367" s="1"/>
      <c r="AD367" s="1"/>
      <c r="AE367" s="1"/>
      <c r="AF367" s="1"/>
      <c r="AG367" s="1"/>
      <c r="AH367" s="1"/>
    </row>
    <row r="368" spans="4:34"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  <c r="Z368" s="1"/>
      <c r="AA368" s="1"/>
      <c r="AB368" s="1"/>
      <c r="AC368" s="1"/>
      <c r="AD368" s="1"/>
      <c r="AE368" s="1"/>
      <c r="AF368" s="1"/>
      <c r="AG368" s="1"/>
      <c r="AH368" s="1"/>
    </row>
    <row r="369" spans="4:34"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  <c r="Z369" s="1"/>
      <c r="AA369" s="1"/>
      <c r="AB369" s="1"/>
      <c r="AC369" s="1"/>
      <c r="AD369" s="1"/>
      <c r="AE369" s="1"/>
      <c r="AF369" s="1"/>
      <c r="AG369" s="1"/>
      <c r="AH369" s="1"/>
    </row>
    <row r="370" spans="4:34"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  <c r="Z370" s="1"/>
      <c r="AA370" s="1"/>
      <c r="AB370" s="1"/>
      <c r="AC370" s="1"/>
      <c r="AD370" s="1"/>
      <c r="AE370" s="1"/>
      <c r="AF370" s="1"/>
      <c r="AG370" s="1"/>
      <c r="AH370" s="1"/>
    </row>
    <row r="371" spans="4:34"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  <c r="Z371" s="1"/>
      <c r="AA371" s="1"/>
      <c r="AB371" s="1"/>
      <c r="AC371" s="1"/>
      <c r="AD371" s="1"/>
      <c r="AE371" s="1"/>
      <c r="AF371" s="1"/>
      <c r="AG371" s="1"/>
      <c r="AH371" s="1"/>
    </row>
    <row r="372" spans="4:34"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  <c r="Z372" s="1"/>
      <c r="AA372" s="1"/>
      <c r="AB372" s="1"/>
      <c r="AC372" s="1"/>
      <c r="AD372" s="1"/>
      <c r="AE372" s="1"/>
      <c r="AF372" s="1"/>
      <c r="AG372" s="1"/>
      <c r="AH372" s="1"/>
    </row>
    <row r="373" spans="4:34"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  <c r="Z373" s="1"/>
      <c r="AA373" s="1"/>
      <c r="AB373" s="1"/>
      <c r="AC373" s="1"/>
      <c r="AD373" s="1"/>
      <c r="AE373" s="1"/>
      <c r="AF373" s="1"/>
      <c r="AG373" s="1"/>
      <c r="AH373" s="1"/>
    </row>
    <row r="374" spans="4:34"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  <c r="Z374" s="1"/>
      <c r="AA374" s="1"/>
      <c r="AB374" s="1"/>
      <c r="AC374" s="1"/>
      <c r="AD374" s="1"/>
      <c r="AE374" s="1"/>
      <c r="AF374" s="1"/>
      <c r="AG374" s="1"/>
      <c r="AH374" s="1"/>
    </row>
    <row r="375" spans="4:34"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  <c r="Z375" s="1"/>
      <c r="AA375" s="1"/>
      <c r="AB375" s="1"/>
      <c r="AC375" s="1"/>
      <c r="AD375" s="1"/>
      <c r="AE375" s="1"/>
      <c r="AF375" s="1"/>
      <c r="AG375" s="1"/>
      <c r="AH375" s="1"/>
    </row>
    <row r="376" spans="4:34"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  <c r="Z376" s="1"/>
      <c r="AA376" s="1"/>
      <c r="AB376" s="1"/>
      <c r="AC376" s="1"/>
      <c r="AD376" s="1"/>
      <c r="AE376" s="1"/>
      <c r="AF376" s="1"/>
      <c r="AG376" s="1"/>
      <c r="AH376" s="1"/>
    </row>
    <row r="377" spans="4:34"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  <c r="Z377" s="1"/>
      <c r="AA377" s="1"/>
      <c r="AB377" s="1"/>
      <c r="AC377" s="1"/>
      <c r="AD377" s="1"/>
      <c r="AE377" s="1"/>
      <c r="AF377" s="1"/>
      <c r="AG377" s="1"/>
      <c r="AH377" s="1"/>
    </row>
    <row r="378" spans="4:34"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  <c r="Z378" s="1"/>
      <c r="AA378" s="1"/>
      <c r="AB378" s="1"/>
      <c r="AC378" s="1"/>
      <c r="AD378" s="1"/>
      <c r="AE378" s="1"/>
      <c r="AF378" s="1"/>
      <c r="AG378" s="1"/>
      <c r="AH378" s="1"/>
    </row>
    <row r="379" spans="4:34"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  <c r="Z379" s="1"/>
      <c r="AA379" s="1"/>
      <c r="AB379" s="1"/>
      <c r="AC379" s="1"/>
      <c r="AD379" s="1"/>
      <c r="AE379" s="1"/>
      <c r="AF379" s="1"/>
      <c r="AG379" s="1"/>
      <c r="AH379" s="1"/>
    </row>
    <row r="380" spans="4:34"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  <c r="Z380" s="1"/>
      <c r="AA380" s="1"/>
      <c r="AB380" s="1"/>
      <c r="AC380" s="1"/>
      <c r="AD380" s="1"/>
      <c r="AE380" s="1"/>
      <c r="AF380" s="1"/>
      <c r="AG380" s="1"/>
      <c r="AH380" s="1"/>
    </row>
    <row r="381" spans="4:34"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  <c r="Z381" s="1"/>
      <c r="AA381" s="1"/>
      <c r="AB381" s="1"/>
      <c r="AC381" s="1"/>
      <c r="AD381" s="1"/>
      <c r="AE381" s="1"/>
      <c r="AF381" s="1"/>
      <c r="AG381" s="1"/>
      <c r="AH381" s="1"/>
    </row>
    <row r="382" spans="4:34"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  <c r="Z382" s="1"/>
      <c r="AA382" s="1"/>
      <c r="AB382" s="1"/>
      <c r="AC382" s="1"/>
      <c r="AD382" s="1"/>
      <c r="AE382" s="1"/>
      <c r="AF382" s="1"/>
      <c r="AG382" s="1"/>
      <c r="AH382" s="1"/>
    </row>
    <row r="383" spans="4:34"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  <c r="Z383" s="1"/>
      <c r="AA383" s="1"/>
      <c r="AB383" s="1"/>
      <c r="AC383" s="1"/>
      <c r="AD383" s="1"/>
      <c r="AE383" s="1"/>
      <c r="AF383" s="1"/>
      <c r="AG383" s="1"/>
      <c r="AH383" s="1"/>
    </row>
    <row r="384" spans="4:34"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  <c r="Z384" s="1"/>
      <c r="AA384" s="1"/>
      <c r="AB384" s="1"/>
      <c r="AC384" s="1"/>
      <c r="AD384" s="1"/>
      <c r="AE384" s="1"/>
      <c r="AF384" s="1"/>
      <c r="AG384" s="1"/>
      <c r="AH384" s="1"/>
    </row>
    <row r="385" spans="4:34"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  <c r="Z385" s="1"/>
      <c r="AA385" s="1"/>
      <c r="AB385" s="1"/>
      <c r="AC385" s="1"/>
      <c r="AD385" s="1"/>
      <c r="AE385" s="1"/>
      <c r="AF385" s="1"/>
      <c r="AG385" s="1"/>
      <c r="AH385" s="1"/>
    </row>
    <row r="386" spans="4:34"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  <c r="Z386" s="1"/>
      <c r="AA386" s="1"/>
      <c r="AB386" s="1"/>
      <c r="AC386" s="1"/>
      <c r="AD386" s="1"/>
      <c r="AE386" s="1"/>
      <c r="AF386" s="1"/>
      <c r="AG386" s="1"/>
      <c r="AH386" s="1"/>
    </row>
    <row r="387" spans="4:34"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  <c r="Z387" s="1"/>
      <c r="AA387" s="1"/>
      <c r="AB387" s="1"/>
      <c r="AC387" s="1"/>
      <c r="AD387" s="1"/>
      <c r="AE387" s="1"/>
      <c r="AF387" s="1"/>
      <c r="AG387" s="1"/>
      <c r="AH387" s="1"/>
    </row>
    <row r="388" spans="4:34"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  <c r="Z388" s="1"/>
      <c r="AA388" s="1"/>
      <c r="AB388" s="1"/>
      <c r="AC388" s="1"/>
      <c r="AD388" s="1"/>
      <c r="AE388" s="1"/>
      <c r="AF388" s="1"/>
      <c r="AG388" s="1"/>
      <c r="AH388" s="1"/>
    </row>
    <row r="389" spans="4:34"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  <c r="Z389" s="1"/>
      <c r="AA389" s="1"/>
      <c r="AB389" s="1"/>
      <c r="AC389" s="1"/>
      <c r="AD389" s="1"/>
      <c r="AE389" s="1"/>
      <c r="AF389" s="1"/>
      <c r="AG389" s="1"/>
      <c r="AH389" s="1"/>
    </row>
    <row r="390" spans="4:34"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  <c r="Z390" s="1"/>
      <c r="AA390" s="1"/>
      <c r="AB390" s="1"/>
      <c r="AC390" s="1"/>
      <c r="AD390" s="1"/>
      <c r="AE390" s="1"/>
      <c r="AF390" s="1"/>
      <c r="AG390" s="1"/>
      <c r="AH390" s="1"/>
    </row>
    <row r="391" spans="4:34"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  <c r="Z391" s="1"/>
      <c r="AA391" s="1"/>
      <c r="AB391" s="1"/>
      <c r="AC391" s="1"/>
      <c r="AD391" s="1"/>
      <c r="AE391" s="1"/>
      <c r="AF391" s="1"/>
      <c r="AG391" s="1"/>
      <c r="AH391" s="1"/>
    </row>
    <row r="392" spans="4:34"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  <c r="Z392" s="1"/>
      <c r="AA392" s="1"/>
      <c r="AB392" s="1"/>
      <c r="AC392" s="1"/>
      <c r="AD392" s="1"/>
      <c r="AE392" s="1"/>
      <c r="AF392" s="1"/>
      <c r="AG392" s="1"/>
      <c r="AH392" s="1"/>
    </row>
    <row r="393" spans="4:34"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  <c r="Z393" s="1"/>
      <c r="AA393" s="1"/>
      <c r="AB393" s="1"/>
      <c r="AC393" s="1"/>
      <c r="AD393" s="1"/>
      <c r="AE393" s="1"/>
      <c r="AF393" s="1"/>
      <c r="AG393" s="1"/>
      <c r="AH393" s="1"/>
    </row>
    <row r="394" spans="4:34"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  <c r="Z394" s="1"/>
      <c r="AA394" s="1"/>
      <c r="AB394" s="1"/>
      <c r="AC394" s="1"/>
      <c r="AD394" s="1"/>
      <c r="AE394" s="1"/>
      <c r="AF394" s="1"/>
      <c r="AG394" s="1"/>
      <c r="AH394" s="1"/>
    </row>
    <row r="395" spans="4:34"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  <c r="Z395" s="1"/>
      <c r="AA395" s="1"/>
      <c r="AB395" s="1"/>
      <c r="AC395" s="1"/>
      <c r="AD395" s="1"/>
      <c r="AE395" s="1"/>
      <c r="AF395" s="1"/>
      <c r="AG395" s="1"/>
      <c r="AH395" s="1"/>
    </row>
    <row r="396" spans="4:34"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  <c r="Z396" s="1"/>
      <c r="AA396" s="1"/>
      <c r="AB396" s="1"/>
      <c r="AC396" s="1"/>
      <c r="AD396" s="1"/>
      <c r="AE396" s="1"/>
      <c r="AF396" s="1"/>
      <c r="AG396" s="1"/>
      <c r="AH396" s="1"/>
    </row>
    <row r="397" spans="4:34"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  <c r="Z397" s="1"/>
      <c r="AA397" s="1"/>
      <c r="AB397" s="1"/>
      <c r="AC397" s="1"/>
      <c r="AD397" s="1"/>
      <c r="AE397" s="1"/>
      <c r="AF397" s="1"/>
      <c r="AG397" s="1"/>
      <c r="AH397" s="1"/>
    </row>
    <row r="398" spans="4:34"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  <c r="Z398" s="1"/>
      <c r="AA398" s="1"/>
      <c r="AB398" s="1"/>
      <c r="AC398" s="1"/>
      <c r="AD398" s="1"/>
      <c r="AE398" s="1"/>
      <c r="AF398" s="1"/>
      <c r="AG398" s="1"/>
      <c r="AH398" s="1"/>
    </row>
    <row r="399" spans="4:34"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  <c r="Z399" s="1"/>
      <c r="AA399" s="1"/>
      <c r="AB399" s="1"/>
      <c r="AC399" s="1"/>
      <c r="AD399" s="1"/>
      <c r="AE399" s="1"/>
      <c r="AF399" s="1"/>
      <c r="AG399" s="1"/>
      <c r="AH399" s="1"/>
    </row>
    <row r="400" spans="4:34"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  <c r="Z400" s="1"/>
      <c r="AA400" s="1"/>
      <c r="AB400" s="1"/>
      <c r="AC400" s="1"/>
      <c r="AD400" s="1"/>
      <c r="AE400" s="1"/>
      <c r="AF400" s="1"/>
      <c r="AG400" s="1"/>
      <c r="AH400" s="1"/>
    </row>
    <row r="401" spans="4:34"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  <c r="Z401" s="1"/>
      <c r="AA401" s="1"/>
      <c r="AB401" s="1"/>
      <c r="AC401" s="1"/>
      <c r="AD401" s="1"/>
      <c r="AE401" s="1"/>
      <c r="AF401" s="1"/>
      <c r="AG401" s="1"/>
      <c r="AH401" s="1"/>
    </row>
    <row r="402" spans="4:34"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  <c r="Z402" s="1"/>
      <c r="AA402" s="1"/>
      <c r="AB402" s="1"/>
      <c r="AC402" s="1"/>
      <c r="AD402" s="1"/>
      <c r="AE402" s="1"/>
      <c r="AF402" s="1"/>
      <c r="AG402" s="1"/>
      <c r="AH402" s="1"/>
    </row>
    <row r="403" spans="4:34"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  <c r="Z403" s="1"/>
      <c r="AA403" s="1"/>
      <c r="AB403" s="1"/>
      <c r="AC403" s="1"/>
      <c r="AD403" s="1"/>
      <c r="AE403" s="1"/>
      <c r="AF403" s="1"/>
      <c r="AG403" s="1"/>
      <c r="AH403" s="1"/>
    </row>
    <row r="404" spans="4:34"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  <c r="Z404" s="1"/>
      <c r="AA404" s="1"/>
      <c r="AB404" s="1"/>
      <c r="AC404" s="1"/>
      <c r="AD404" s="1"/>
      <c r="AE404" s="1"/>
      <c r="AF404" s="1"/>
      <c r="AG404" s="1"/>
      <c r="AH404" s="1"/>
    </row>
    <row r="405" spans="4:34"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  <c r="Z405" s="1"/>
      <c r="AA405" s="1"/>
      <c r="AB405" s="1"/>
      <c r="AC405" s="1"/>
      <c r="AD405" s="1"/>
      <c r="AE405" s="1"/>
      <c r="AF405" s="1"/>
      <c r="AG405" s="1"/>
      <c r="AH405" s="1"/>
    </row>
    <row r="406" spans="4:34"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  <c r="Z406" s="1"/>
      <c r="AA406" s="1"/>
      <c r="AB406" s="1"/>
      <c r="AC406" s="1"/>
      <c r="AD406" s="1"/>
      <c r="AE406" s="1"/>
      <c r="AF406" s="1"/>
      <c r="AG406" s="1"/>
      <c r="AH406" s="1"/>
    </row>
    <row r="407" spans="4:34"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  <c r="Z407" s="1"/>
      <c r="AA407" s="1"/>
      <c r="AB407" s="1"/>
      <c r="AC407" s="1"/>
      <c r="AD407" s="1"/>
      <c r="AE407" s="1"/>
      <c r="AF407" s="1"/>
      <c r="AG407" s="1"/>
      <c r="AH407" s="1"/>
    </row>
    <row r="408" spans="4:34"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  <c r="Z408" s="1"/>
      <c r="AA408" s="1"/>
      <c r="AB408" s="1"/>
      <c r="AC408" s="1"/>
      <c r="AD408" s="1"/>
      <c r="AE408" s="1"/>
      <c r="AF408" s="1"/>
      <c r="AG408" s="1"/>
      <c r="AH408" s="1"/>
    </row>
    <row r="409" spans="4:34"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  <c r="Z409" s="1"/>
      <c r="AA409" s="1"/>
      <c r="AB409" s="1"/>
      <c r="AC409" s="1"/>
      <c r="AD409" s="1"/>
      <c r="AE409" s="1"/>
      <c r="AF409" s="1"/>
      <c r="AG409" s="1"/>
      <c r="AH409" s="1"/>
    </row>
    <row r="410" spans="4:34"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  <c r="Z410" s="1"/>
      <c r="AA410" s="1"/>
      <c r="AB410" s="1"/>
      <c r="AC410" s="1"/>
      <c r="AD410" s="1"/>
      <c r="AE410" s="1"/>
      <c r="AF410" s="1"/>
      <c r="AG410" s="1"/>
      <c r="AH410" s="1"/>
    </row>
    <row r="411" spans="4:34"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  <c r="Z411" s="1"/>
      <c r="AA411" s="1"/>
      <c r="AB411" s="1"/>
      <c r="AC411" s="1"/>
      <c r="AD411" s="1"/>
      <c r="AE411" s="1"/>
      <c r="AF411" s="1"/>
      <c r="AG411" s="1"/>
      <c r="AH411" s="1"/>
    </row>
    <row r="412" spans="4:34"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  <c r="Z412" s="1"/>
      <c r="AA412" s="1"/>
      <c r="AB412" s="1"/>
      <c r="AC412" s="1"/>
      <c r="AD412" s="1"/>
      <c r="AE412" s="1"/>
      <c r="AF412" s="1"/>
      <c r="AG412" s="1"/>
      <c r="AH412" s="1"/>
    </row>
    <row r="413" spans="4:34"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  <c r="Z413" s="1"/>
      <c r="AA413" s="1"/>
      <c r="AB413" s="1"/>
      <c r="AC413" s="1"/>
      <c r="AD413" s="1"/>
      <c r="AE413" s="1"/>
      <c r="AF413" s="1"/>
      <c r="AG413" s="1"/>
      <c r="AH413" s="1"/>
    </row>
    <row r="414" spans="4:34"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  <c r="Z414" s="1"/>
      <c r="AA414" s="1"/>
      <c r="AB414" s="1"/>
      <c r="AC414" s="1"/>
      <c r="AD414" s="1"/>
      <c r="AE414" s="1"/>
      <c r="AF414" s="1"/>
      <c r="AG414" s="1"/>
      <c r="AH414" s="1"/>
    </row>
    <row r="415" spans="4:34"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  <c r="Z415" s="1"/>
      <c r="AA415" s="1"/>
      <c r="AB415" s="1"/>
      <c r="AC415" s="1"/>
      <c r="AD415" s="1"/>
      <c r="AE415" s="1"/>
      <c r="AF415" s="1"/>
      <c r="AG415" s="1"/>
      <c r="AH415" s="1"/>
    </row>
    <row r="416" spans="4:34"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  <c r="Z416" s="1"/>
      <c r="AA416" s="1"/>
      <c r="AB416" s="1"/>
      <c r="AC416" s="1"/>
      <c r="AD416" s="1"/>
      <c r="AE416" s="1"/>
      <c r="AF416" s="1"/>
      <c r="AG416" s="1"/>
      <c r="AH416" s="1"/>
    </row>
    <row r="417" spans="4:34"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  <c r="Z417" s="1"/>
      <c r="AA417" s="1"/>
      <c r="AB417" s="1"/>
      <c r="AC417" s="1"/>
      <c r="AD417" s="1"/>
      <c r="AE417" s="1"/>
      <c r="AF417" s="1"/>
      <c r="AG417" s="1"/>
      <c r="AH417" s="1"/>
    </row>
    <row r="418" spans="4:34"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  <c r="Z418" s="1"/>
      <c r="AA418" s="1"/>
      <c r="AB418" s="1"/>
      <c r="AC418" s="1"/>
      <c r="AD418" s="1"/>
      <c r="AE418" s="1"/>
      <c r="AF418" s="1"/>
      <c r="AG418" s="1"/>
      <c r="AH418" s="1"/>
    </row>
    <row r="419" spans="4:34"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  <c r="Z419" s="1"/>
      <c r="AA419" s="1"/>
      <c r="AB419" s="1"/>
      <c r="AC419" s="1"/>
      <c r="AD419" s="1"/>
      <c r="AE419" s="1"/>
      <c r="AF419" s="1"/>
      <c r="AG419" s="1"/>
      <c r="AH419" s="1"/>
    </row>
    <row r="420" spans="4:34"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  <c r="Z420" s="1"/>
      <c r="AA420" s="1"/>
      <c r="AB420" s="1"/>
      <c r="AC420" s="1"/>
      <c r="AD420" s="1"/>
      <c r="AE420" s="1"/>
      <c r="AF420" s="1"/>
      <c r="AG420" s="1"/>
      <c r="AH420" s="1"/>
    </row>
    <row r="421" spans="4:34"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  <c r="Z421" s="1"/>
      <c r="AA421" s="1"/>
      <c r="AB421" s="1"/>
      <c r="AC421" s="1"/>
      <c r="AD421" s="1"/>
      <c r="AE421" s="1"/>
      <c r="AF421" s="1"/>
      <c r="AG421" s="1"/>
      <c r="AH421" s="1"/>
    </row>
    <row r="422" spans="4:34"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  <c r="Z422" s="1"/>
      <c r="AA422" s="1"/>
      <c r="AB422" s="1"/>
      <c r="AC422" s="1"/>
      <c r="AD422" s="1"/>
      <c r="AE422" s="1"/>
      <c r="AF422" s="1"/>
      <c r="AG422" s="1"/>
      <c r="AH422" s="1"/>
    </row>
    <row r="423" spans="4:34"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  <c r="Z423" s="1"/>
      <c r="AA423" s="1"/>
      <c r="AB423" s="1"/>
      <c r="AC423" s="1"/>
      <c r="AD423" s="1"/>
      <c r="AE423" s="1"/>
      <c r="AF423" s="1"/>
      <c r="AG423" s="1"/>
      <c r="AH423" s="1"/>
    </row>
    <row r="424" spans="4:34"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  <c r="Z424" s="1"/>
      <c r="AA424" s="1"/>
      <c r="AB424" s="1"/>
      <c r="AC424" s="1"/>
      <c r="AD424" s="1"/>
      <c r="AE424" s="1"/>
      <c r="AF424" s="1"/>
      <c r="AG424" s="1"/>
      <c r="AH424" s="1"/>
    </row>
    <row r="425" spans="4:34"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  <c r="Z425" s="1"/>
      <c r="AA425" s="1"/>
      <c r="AB425" s="1"/>
      <c r="AC425" s="1"/>
      <c r="AD425" s="1"/>
      <c r="AE425" s="1"/>
      <c r="AF425" s="1"/>
      <c r="AG425" s="1"/>
      <c r="AH425" s="1"/>
    </row>
    <row r="426" spans="4:34"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  <c r="Z426" s="1"/>
      <c r="AA426" s="1"/>
      <c r="AB426" s="1"/>
      <c r="AC426" s="1"/>
      <c r="AD426" s="1"/>
      <c r="AE426" s="1"/>
      <c r="AF426" s="1"/>
      <c r="AG426" s="1"/>
      <c r="AH426" s="1"/>
    </row>
    <row r="427" spans="4:34"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  <c r="Z427" s="1"/>
      <c r="AA427" s="1"/>
      <c r="AB427" s="1"/>
      <c r="AC427" s="1"/>
      <c r="AD427" s="1"/>
      <c r="AE427" s="1"/>
      <c r="AF427" s="1"/>
      <c r="AG427" s="1"/>
      <c r="AH427" s="1"/>
    </row>
    <row r="428" spans="4:34"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  <c r="Z428" s="1"/>
      <c r="AA428" s="1"/>
      <c r="AB428" s="1"/>
      <c r="AC428" s="1"/>
      <c r="AD428" s="1"/>
      <c r="AE428" s="1"/>
      <c r="AF428" s="1"/>
      <c r="AG428" s="1"/>
      <c r="AH428" s="1"/>
    </row>
    <row r="429" spans="4:34"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  <c r="Z429" s="1"/>
      <c r="AA429" s="1"/>
      <c r="AB429" s="1"/>
      <c r="AC429" s="1"/>
      <c r="AD429" s="1"/>
      <c r="AE429" s="1"/>
      <c r="AF429" s="1"/>
      <c r="AG429" s="1"/>
      <c r="AH429" s="1"/>
    </row>
    <row r="430" spans="4:34"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  <c r="Z430" s="1"/>
      <c r="AA430" s="1"/>
      <c r="AB430" s="1"/>
      <c r="AC430" s="1"/>
      <c r="AD430" s="1"/>
      <c r="AE430" s="1"/>
      <c r="AF430" s="1"/>
      <c r="AG430" s="1"/>
      <c r="AH430" s="1"/>
    </row>
    <row r="431" spans="4:34"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  <c r="Z431" s="1"/>
      <c r="AA431" s="1"/>
      <c r="AB431" s="1"/>
      <c r="AC431" s="1"/>
      <c r="AD431" s="1"/>
      <c r="AE431" s="1"/>
      <c r="AF431" s="1"/>
      <c r="AG431" s="1"/>
      <c r="AH431" s="1"/>
    </row>
    <row r="432" spans="4:34"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  <c r="Z432" s="1"/>
      <c r="AA432" s="1"/>
      <c r="AB432" s="1"/>
      <c r="AC432" s="1"/>
      <c r="AD432" s="1"/>
      <c r="AE432" s="1"/>
      <c r="AF432" s="1"/>
      <c r="AG432" s="1"/>
      <c r="AH432" s="1"/>
    </row>
    <row r="433" spans="4:34"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  <c r="Z433" s="1"/>
      <c r="AA433" s="1"/>
      <c r="AB433" s="1"/>
      <c r="AC433" s="1"/>
      <c r="AD433" s="1"/>
      <c r="AE433" s="1"/>
      <c r="AF433" s="1"/>
      <c r="AG433" s="1"/>
      <c r="AH433" s="1"/>
    </row>
    <row r="434" spans="4:34"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  <c r="Z434" s="1"/>
      <c r="AA434" s="1"/>
      <c r="AB434" s="1"/>
      <c r="AC434" s="1"/>
      <c r="AD434" s="1"/>
      <c r="AE434" s="1"/>
      <c r="AF434" s="1"/>
      <c r="AG434" s="1"/>
      <c r="AH434" s="1"/>
    </row>
    <row r="435" spans="4:34"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  <c r="Z435" s="1"/>
      <c r="AA435" s="1"/>
      <c r="AB435" s="1"/>
      <c r="AC435" s="1"/>
      <c r="AD435" s="1"/>
      <c r="AE435" s="1"/>
      <c r="AF435" s="1"/>
      <c r="AG435" s="1"/>
      <c r="AH435" s="1"/>
    </row>
    <row r="436" spans="4:34"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  <c r="Z436" s="1"/>
      <c r="AA436" s="1"/>
      <c r="AB436" s="1"/>
      <c r="AC436" s="1"/>
      <c r="AD436" s="1"/>
      <c r="AE436" s="1"/>
      <c r="AF436" s="1"/>
      <c r="AG436" s="1"/>
      <c r="AH436" s="1"/>
    </row>
    <row r="437" spans="4:34"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  <c r="Z437" s="1"/>
      <c r="AA437" s="1"/>
      <c r="AB437" s="1"/>
      <c r="AC437" s="1"/>
      <c r="AD437" s="1"/>
      <c r="AE437" s="1"/>
      <c r="AF437" s="1"/>
      <c r="AG437" s="1"/>
      <c r="AH437" s="1"/>
    </row>
    <row r="438" spans="4:34"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  <c r="Z438" s="1"/>
      <c r="AA438" s="1"/>
      <c r="AB438" s="1"/>
      <c r="AC438" s="1"/>
      <c r="AD438" s="1"/>
      <c r="AE438" s="1"/>
      <c r="AF438" s="1"/>
      <c r="AG438" s="1"/>
      <c r="AH438" s="1"/>
    </row>
    <row r="439" spans="4:34"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  <c r="Z439" s="1"/>
      <c r="AA439" s="1"/>
      <c r="AB439" s="1"/>
      <c r="AC439" s="1"/>
      <c r="AD439" s="1"/>
      <c r="AE439" s="1"/>
      <c r="AF439" s="1"/>
      <c r="AG439" s="1"/>
      <c r="AH439" s="1"/>
    </row>
    <row r="440" spans="4:34"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  <c r="Z440" s="1"/>
      <c r="AA440" s="1"/>
      <c r="AB440" s="1"/>
      <c r="AC440" s="1"/>
      <c r="AD440" s="1"/>
      <c r="AE440" s="1"/>
      <c r="AF440" s="1"/>
      <c r="AG440" s="1"/>
      <c r="AH440" s="1"/>
    </row>
    <row r="441" spans="4:34"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  <c r="Z441" s="1"/>
      <c r="AA441" s="1"/>
      <c r="AB441" s="1"/>
      <c r="AC441" s="1"/>
      <c r="AD441" s="1"/>
      <c r="AE441" s="1"/>
      <c r="AF441" s="1"/>
      <c r="AG441" s="1"/>
      <c r="AH441" s="1"/>
    </row>
    <row r="442" spans="4:34"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  <c r="Z442" s="1"/>
      <c r="AA442" s="1"/>
      <c r="AB442" s="1"/>
      <c r="AC442" s="1"/>
      <c r="AD442" s="1"/>
      <c r="AE442" s="1"/>
      <c r="AF442" s="1"/>
      <c r="AG442" s="1"/>
      <c r="AH442" s="1"/>
    </row>
    <row r="443" spans="4:34"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  <c r="Z443" s="1"/>
      <c r="AA443" s="1"/>
      <c r="AB443" s="1"/>
      <c r="AC443" s="1"/>
      <c r="AD443" s="1"/>
      <c r="AE443" s="1"/>
      <c r="AF443" s="1"/>
      <c r="AG443" s="1"/>
      <c r="AH443" s="1"/>
    </row>
    <row r="444" spans="4:34"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  <c r="Z444" s="1"/>
      <c r="AA444" s="1"/>
      <c r="AB444" s="1"/>
      <c r="AC444" s="1"/>
      <c r="AD444" s="1"/>
      <c r="AE444" s="1"/>
      <c r="AF444" s="1"/>
      <c r="AG444" s="1"/>
      <c r="AH444" s="1"/>
    </row>
    <row r="445" spans="4:34"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  <c r="Z445" s="1"/>
      <c r="AA445" s="1"/>
      <c r="AB445" s="1"/>
      <c r="AC445" s="1"/>
      <c r="AD445" s="1"/>
      <c r="AE445" s="1"/>
      <c r="AF445" s="1"/>
      <c r="AG445" s="1"/>
      <c r="AH445" s="1"/>
    </row>
    <row r="446" spans="4:34"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  <c r="Z446" s="1"/>
      <c r="AA446" s="1"/>
      <c r="AB446" s="1"/>
      <c r="AC446" s="1"/>
      <c r="AD446" s="1"/>
      <c r="AE446" s="1"/>
      <c r="AF446" s="1"/>
      <c r="AG446" s="1"/>
      <c r="AH446" s="1"/>
    </row>
    <row r="447" spans="4:34"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  <c r="Z447" s="1"/>
      <c r="AA447" s="1"/>
      <c r="AB447" s="1"/>
      <c r="AC447" s="1"/>
      <c r="AD447" s="1"/>
      <c r="AE447" s="1"/>
      <c r="AF447" s="1"/>
      <c r="AG447" s="1"/>
      <c r="AH447" s="1"/>
    </row>
    <row r="448" spans="4:34"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  <c r="Z448" s="1"/>
      <c r="AA448" s="1"/>
      <c r="AB448" s="1"/>
      <c r="AC448" s="1"/>
      <c r="AD448" s="1"/>
      <c r="AE448" s="1"/>
      <c r="AF448" s="1"/>
      <c r="AG448" s="1"/>
      <c r="AH448" s="1"/>
    </row>
    <row r="449" spans="4:34"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  <c r="Z449" s="1"/>
      <c r="AA449" s="1"/>
      <c r="AB449" s="1"/>
      <c r="AC449" s="1"/>
      <c r="AD449" s="1"/>
      <c r="AE449" s="1"/>
      <c r="AF449" s="1"/>
      <c r="AG449" s="1"/>
      <c r="AH449" s="1"/>
    </row>
    <row r="450" spans="4:34"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  <c r="Z450" s="1"/>
      <c r="AA450" s="1"/>
      <c r="AB450" s="1"/>
      <c r="AC450" s="1"/>
      <c r="AD450" s="1"/>
      <c r="AE450" s="1"/>
      <c r="AF450" s="1"/>
      <c r="AG450" s="1"/>
      <c r="AH450" s="1"/>
    </row>
    <row r="451" spans="4:34"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  <c r="Z451" s="1"/>
      <c r="AA451" s="1"/>
      <c r="AB451" s="1"/>
      <c r="AC451" s="1"/>
      <c r="AD451" s="1"/>
      <c r="AE451" s="1"/>
      <c r="AF451" s="1"/>
      <c r="AG451" s="1"/>
      <c r="AH451" s="1"/>
    </row>
    <row r="452" spans="4:34"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  <c r="Z452" s="1"/>
      <c r="AA452" s="1"/>
      <c r="AB452" s="1"/>
      <c r="AC452" s="1"/>
      <c r="AD452" s="1"/>
      <c r="AE452" s="1"/>
      <c r="AF452" s="1"/>
      <c r="AG452" s="1"/>
      <c r="AH452" s="1"/>
    </row>
    <row r="453" spans="4:34"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  <c r="Z453" s="1"/>
      <c r="AA453" s="1"/>
      <c r="AB453" s="1"/>
      <c r="AC453" s="1"/>
      <c r="AD453" s="1"/>
      <c r="AE453" s="1"/>
      <c r="AF453" s="1"/>
      <c r="AG453" s="1"/>
      <c r="AH453" s="1"/>
    </row>
    <row r="454" spans="4:34"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  <c r="Z454" s="1"/>
      <c r="AA454" s="1"/>
      <c r="AB454" s="1"/>
      <c r="AC454" s="1"/>
      <c r="AD454" s="1"/>
      <c r="AE454" s="1"/>
      <c r="AF454" s="1"/>
      <c r="AG454" s="1"/>
      <c r="AH454" s="1"/>
    </row>
    <row r="455" spans="4:34"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  <c r="Z455" s="1"/>
      <c r="AA455" s="1"/>
      <c r="AB455" s="1"/>
      <c r="AC455" s="1"/>
      <c r="AD455" s="1"/>
      <c r="AE455" s="1"/>
      <c r="AF455" s="1"/>
      <c r="AG455" s="1"/>
      <c r="AH455" s="1"/>
    </row>
    <row r="456" spans="4:34"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  <c r="Z456" s="1"/>
      <c r="AA456" s="1"/>
      <c r="AB456" s="1"/>
      <c r="AC456" s="1"/>
      <c r="AD456" s="1"/>
      <c r="AE456" s="1"/>
      <c r="AF456" s="1"/>
      <c r="AG456" s="1"/>
      <c r="AH456" s="1"/>
    </row>
    <row r="457" spans="4:34"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  <c r="Z457" s="1"/>
      <c r="AA457" s="1"/>
      <c r="AB457" s="1"/>
      <c r="AC457" s="1"/>
      <c r="AD457" s="1"/>
      <c r="AE457" s="1"/>
      <c r="AF457" s="1"/>
      <c r="AG457" s="1"/>
      <c r="AH457" s="1"/>
    </row>
    <row r="458" spans="4:34"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  <c r="Z458" s="1"/>
      <c r="AA458" s="1"/>
      <c r="AB458" s="1"/>
      <c r="AC458" s="1"/>
      <c r="AD458" s="1"/>
      <c r="AE458" s="1"/>
      <c r="AF458" s="1"/>
      <c r="AG458" s="1"/>
      <c r="AH458" s="1"/>
    </row>
    <row r="459" spans="4:34"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  <c r="Z459" s="1"/>
      <c r="AA459" s="1"/>
      <c r="AB459" s="1"/>
      <c r="AC459" s="1"/>
      <c r="AD459" s="1"/>
      <c r="AE459" s="1"/>
      <c r="AF459" s="1"/>
      <c r="AG459" s="1"/>
      <c r="AH459" s="1"/>
    </row>
    <row r="460" spans="4:34"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  <c r="Z460" s="1"/>
      <c r="AA460" s="1"/>
      <c r="AB460" s="1"/>
      <c r="AC460" s="1"/>
      <c r="AD460" s="1"/>
      <c r="AE460" s="1"/>
      <c r="AF460" s="1"/>
      <c r="AG460" s="1"/>
      <c r="AH460" s="1"/>
    </row>
    <row r="461" spans="4:34"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  <c r="Z461" s="1"/>
      <c r="AA461" s="1"/>
      <c r="AB461" s="1"/>
      <c r="AC461" s="1"/>
      <c r="AD461" s="1"/>
      <c r="AE461" s="1"/>
      <c r="AF461" s="1"/>
      <c r="AG461" s="1"/>
      <c r="AH461" s="1"/>
    </row>
    <row r="462" spans="4:34"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  <c r="Z462" s="1"/>
      <c r="AA462" s="1"/>
      <c r="AB462" s="1"/>
      <c r="AC462" s="1"/>
      <c r="AD462" s="1"/>
      <c r="AE462" s="1"/>
      <c r="AF462" s="1"/>
      <c r="AG462" s="1"/>
      <c r="AH462" s="1"/>
    </row>
    <row r="463" spans="4:34"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  <c r="Z463" s="1"/>
      <c r="AA463" s="1"/>
      <c r="AB463" s="1"/>
      <c r="AC463" s="1"/>
      <c r="AD463" s="1"/>
      <c r="AE463" s="1"/>
      <c r="AF463" s="1"/>
      <c r="AG463" s="1"/>
      <c r="AH463" s="1"/>
    </row>
    <row r="464" spans="4:34"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  <c r="Z464" s="1"/>
      <c r="AA464" s="1"/>
      <c r="AB464" s="1"/>
      <c r="AC464" s="1"/>
      <c r="AD464" s="1"/>
      <c r="AE464" s="1"/>
      <c r="AF464" s="1"/>
      <c r="AG464" s="1"/>
      <c r="AH464" s="1"/>
    </row>
    <row r="465" spans="4:34"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  <c r="Z465" s="1"/>
      <c r="AA465" s="1"/>
      <c r="AB465" s="1"/>
      <c r="AC465" s="1"/>
      <c r="AD465" s="1"/>
      <c r="AE465" s="1"/>
      <c r="AF465" s="1"/>
      <c r="AG465" s="1"/>
      <c r="AH465" s="1"/>
    </row>
    <row r="466" spans="4:34"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  <c r="Z466" s="1"/>
      <c r="AA466" s="1"/>
      <c r="AB466" s="1"/>
      <c r="AC466" s="1"/>
      <c r="AD466" s="1"/>
      <c r="AE466" s="1"/>
      <c r="AF466" s="1"/>
      <c r="AG466" s="1"/>
      <c r="AH466" s="1"/>
    </row>
    <row r="467" spans="4:34"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  <c r="Z467" s="1"/>
      <c r="AA467" s="1"/>
      <c r="AB467" s="1"/>
      <c r="AC467" s="1"/>
      <c r="AD467" s="1"/>
      <c r="AE467" s="1"/>
      <c r="AF467" s="1"/>
      <c r="AG467" s="1"/>
      <c r="AH467" s="1"/>
    </row>
    <row r="468" spans="4:34"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  <c r="Z468" s="1"/>
      <c r="AA468" s="1"/>
      <c r="AB468" s="1"/>
      <c r="AC468" s="1"/>
      <c r="AD468" s="1"/>
      <c r="AE468" s="1"/>
      <c r="AF468" s="1"/>
      <c r="AG468" s="1"/>
      <c r="AH468" s="1"/>
    </row>
    <row r="469" spans="4:34"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  <c r="Z469" s="1"/>
      <c r="AA469" s="1"/>
      <c r="AB469" s="1"/>
      <c r="AC469" s="1"/>
      <c r="AD469" s="1"/>
      <c r="AE469" s="1"/>
      <c r="AF469" s="1"/>
      <c r="AG469" s="1"/>
      <c r="AH469" s="1"/>
    </row>
    <row r="470" spans="4:34"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  <c r="Z470" s="1"/>
      <c r="AA470" s="1"/>
      <c r="AB470" s="1"/>
      <c r="AC470" s="1"/>
      <c r="AD470" s="1"/>
      <c r="AE470" s="1"/>
      <c r="AF470" s="1"/>
      <c r="AG470" s="1"/>
      <c r="AH470" s="1"/>
    </row>
    <row r="471" spans="4:34"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  <c r="Z471" s="1"/>
      <c r="AA471" s="1"/>
      <c r="AB471" s="1"/>
      <c r="AC471" s="1"/>
      <c r="AD471" s="1"/>
      <c r="AE471" s="1"/>
      <c r="AF471" s="1"/>
      <c r="AG471" s="1"/>
      <c r="AH471" s="1"/>
    </row>
    <row r="472" spans="4:34"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  <c r="Z472" s="1"/>
      <c r="AA472" s="1"/>
      <c r="AB472" s="1"/>
      <c r="AC472" s="1"/>
      <c r="AD472" s="1"/>
      <c r="AE472" s="1"/>
      <c r="AF472" s="1"/>
      <c r="AG472" s="1"/>
      <c r="AH472" s="1"/>
    </row>
    <row r="473" spans="4:34"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  <c r="Z473" s="1"/>
      <c r="AA473" s="1"/>
      <c r="AB473" s="1"/>
      <c r="AC473" s="1"/>
      <c r="AD473" s="1"/>
      <c r="AE473" s="1"/>
      <c r="AF473" s="1"/>
      <c r="AG473" s="1"/>
      <c r="AH473" s="1"/>
    </row>
    <row r="474" spans="4:34"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  <c r="Z474" s="1"/>
      <c r="AA474" s="1"/>
      <c r="AB474" s="1"/>
      <c r="AC474" s="1"/>
      <c r="AD474" s="1"/>
      <c r="AE474" s="1"/>
      <c r="AF474" s="1"/>
      <c r="AG474" s="1"/>
      <c r="AH474" s="1"/>
    </row>
    <row r="475" spans="4:34"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  <c r="Z475" s="1"/>
      <c r="AA475" s="1"/>
      <c r="AB475" s="1"/>
      <c r="AC475" s="1"/>
      <c r="AD475" s="1"/>
      <c r="AE475" s="1"/>
      <c r="AF475" s="1"/>
      <c r="AG475" s="1"/>
      <c r="AH475" s="1"/>
    </row>
    <row r="476" spans="4:34"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  <c r="Z476" s="1"/>
      <c r="AA476" s="1"/>
      <c r="AB476" s="1"/>
      <c r="AC476" s="1"/>
      <c r="AD476" s="1"/>
      <c r="AE476" s="1"/>
      <c r="AF476" s="1"/>
      <c r="AG476" s="1"/>
      <c r="AH476" s="1"/>
    </row>
    <row r="477" spans="4:34"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  <c r="Z477" s="1"/>
      <c r="AA477" s="1"/>
      <c r="AB477" s="1"/>
      <c r="AC477" s="1"/>
      <c r="AD477" s="1"/>
      <c r="AE477" s="1"/>
      <c r="AF477" s="1"/>
      <c r="AG477" s="1"/>
      <c r="AH477" s="1"/>
    </row>
    <row r="478" spans="4:34"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  <c r="Z478" s="1"/>
      <c r="AA478" s="1"/>
      <c r="AB478" s="1"/>
      <c r="AC478" s="1"/>
      <c r="AD478" s="1"/>
      <c r="AE478" s="1"/>
      <c r="AF478" s="1"/>
      <c r="AG478" s="1"/>
      <c r="AH478" s="1"/>
    </row>
    <row r="479" spans="4:34"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  <c r="Z479" s="1"/>
      <c r="AA479" s="1"/>
      <c r="AB479" s="1"/>
      <c r="AC479" s="1"/>
      <c r="AD479" s="1"/>
      <c r="AE479" s="1"/>
      <c r="AF479" s="1"/>
      <c r="AG479" s="1"/>
      <c r="AH479" s="1"/>
    </row>
    <row r="480" spans="4:34"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  <c r="Z480" s="1"/>
      <c r="AA480" s="1"/>
      <c r="AB480" s="1"/>
      <c r="AC480" s="1"/>
      <c r="AD480" s="1"/>
      <c r="AE480" s="1"/>
      <c r="AF480" s="1"/>
      <c r="AG480" s="1"/>
      <c r="AH480" s="1"/>
    </row>
    <row r="481" spans="4:34"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  <c r="Z481" s="1"/>
      <c r="AA481" s="1"/>
      <c r="AB481" s="1"/>
      <c r="AC481" s="1"/>
      <c r="AD481" s="1"/>
      <c r="AE481" s="1"/>
      <c r="AF481" s="1"/>
      <c r="AG481" s="1"/>
      <c r="AH481" s="1"/>
    </row>
    <row r="482" spans="4:34"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  <c r="Z482" s="1"/>
      <c r="AA482" s="1"/>
      <c r="AB482" s="1"/>
      <c r="AC482" s="1"/>
      <c r="AD482" s="1"/>
      <c r="AE482" s="1"/>
      <c r="AF482" s="1"/>
      <c r="AG482" s="1"/>
      <c r="AH482" s="1"/>
    </row>
    <row r="483" spans="4:34"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  <c r="Z483" s="1"/>
      <c r="AA483" s="1"/>
      <c r="AB483" s="1"/>
      <c r="AC483" s="1"/>
      <c r="AD483" s="1"/>
      <c r="AE483" s="1"/>
      <c r="AF483" s="1"/>
      <c r="AG483" s="1"/>
      <c r="AH483" s="1"/>
    </row>
    <row r="484" spans="4:34"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  <c r="Z484" s="1"/>
      <c r="AA484" s="1"/>
      <c r="AB484" s="1"/>
      <c r="AC484" s="1"/>
      <c r="AD484" s="1"/>
      <c r="AE484" s="1"/>
      <c r="AF484" s="1"/>
      <c r="AG484" s="1"/>
      <c r="AH484" s="1"/>
    </row>
    <row r="485" spans="4:34"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  <c r="Z485" s="1"/>
      <c r="AA485" s="1"/>
      <c r="AB485" s="1"/>
      <c r="AC485" s="1"/>
      <c r="AD485" s="1"/>
      <c r="AE485" s="1"/>
      <c r="AF485" s="1"/>
      <c r="AG485" s="1"/>
      <c r="AH485" s="1"/>
    </row>
    <row r="486" spans="4:34"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  <c r="Z486" s="1"/>
      <c r="AA486" s="1"/>
      <c r="AB486" s="1"/>
      <c r="AC486" s="1"/>
      <c r="AD486" s="1"/>
      <c r="AE486" s="1"/>
      <c r="AF486" s="1"/>
      <c r="AG486" s="1"/>
      <c r="AH486" s="1"/>
    </row>
    <row r="487" spans="4:34"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  <c r="Z487" s="1"/>
      <c r="AA487" s="1"/>
      <c r="AB487" s="1"/>
      <c r="AC487" s="1"/>
      <c r="AD487" s="1"/>
      <c r="AE487" s="1"/>
      <c r="AF487" s="1"/>
      <c r="AG487" s="1"/>
      <c r="AH487" s="1"/>
    </row>
    <row r="488" spans="4:34"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  <c r="Z488" s="1"/>
      <c r="AA488" s="1"/>
      <c r="AB488" s="1"/>
      <c r="AC488" s="1"/>
      <c r="AD488" s="1"/>
      <c r="AE488" s="1"/>
      <c r="AF488" s="1"/>
      <c r="AG488" s="1"/>
      <c r="AH488" s="1"/>
    </row>
    <row r="489" spans="4:34"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  <c r="Z489" s="1"/>
      <c r="AA489" s="1"/>
      <c r="AB489" s="1"/>
      <c r="AC489" s="1"/>
      <c r="AD489" s="1"/>
      <c r="AE489" s="1"/>
      <c r="AF489" s="1"/>
      <c r="AG489" s="1"/>
      <c r="AH489" s="1"/>
    </row>
    <row r="490" spans="4:34"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  <c r="Z490" s="1"/>
      <c r="AA490" s="1"/>
      <c r="AB490" s="1"/>
      <c r="AC490" s="1"/>
      <c r="AD490" s="1"/>
      <c r="AE490" s="1"/>
      <c r="AF490" s="1"/>
      <c r="AG490" s="1"/>
      <c r="AH490" s="1"/>
    </row>
    <row r="491" spans="4:34"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  <c r="Z491" s="1"/>
      <c r="AA491" s="1"/>
      <c r="AB491" s="1"/>
      <c r="AC491" s="1"/>
      <c r="AD491" s="1"/>
      <c r="AE491" s="1"/>
      <c r="AF491" s="1"/>
      <c r="AG491" s="1"/>
      <c r="AH491" s="1"/>
    </row>
    <row r="492" spans="4:34"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  <c r="Z492" s="1"/>
      <c r="AA492" s="1"/>
      <c r="AB492" s="1"/>
      <c r="AC492" s="1"/>
      <c r="AD492" s="1"/>
      <c r="AE492" s="1"/>
      <c r="AF492" s="1"/>
      <c r="AG492" s="1"/>
      <c r="AH492" s="1"/>
    </row>
    <row r="493" spans="4:34"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  <c r="Z493" s="1"/>
      <c r="AA493" s="1"/>
      <c r="AB493" s="1"/>
      <c r="AC493" s="1"/>
      <c r="AD493" s="1"/>
      <c r="AE493" s="1"/>
      <c r="AF493" s="1"/>
      <c r="AG493" s="1"/>
      <c r="AH493" s="1"/>
    </row>
    <row r="494" spans="4:34"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  <c r="Z494" s="1"/>
      <c r="AA494" s="1"/>
      <c r="AB494" s="1"/>
      <c r="AC494" s="1"/>
      <c r="AD494" s="1"/>
      <c r="AE494" s="1"/>
      <c r="AF494" s="1"/>
      <c r="AG494" s="1"/>
      <c r="AH494" s="1"/>
    </row>
    <row r="495" spans="4:34"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  <c r="Z495" s="1"/>
      <c r="AA495" s="1"/>
      <c r="AB495" s="1"/>
      <c r="AC495" s="1"/>
      <c r="AD495" s="1"/>
      <c r="AE495" s="1"/>
      <c r="AF495" s="1"/>
      <c r="AG495" s="1"/>
      <c r="AH495" s="1"/>
    </row>
    <row r="496" spans="4:34"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  <c r="Z496" s="1"/>
      <c r="AA496" s="1"/>
      <c r="AB496" s="1"/>
      <c r="AC496" s="1"/>
      <c r="AD496" s="1"/>
      <c r="AE496" s="1"/>
      <c r="AF496" s="1"/>
      <c r="AG496" s="1"/>
      <c r="AH496" s="1"/>
    </row>
    <row r="497" spans="4:34"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  <c r="Z497" s="1"/>
      <c r="AA497" s="1"/>
      <c r="AB497" s="1"/>
      <c r="AC497" s="1"/>
      <c r="AD497" s="1"/>
      <c r="AE497" s="1"/>
      <c r="AF497" s="1"/>
      <c r="AG497" s="1"/>
      <c r="AH497" s="1"/>
    </row>
    <row r="498" spans="4:34"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  <c r="Z498" s="1"/>
      <c r="AA498" s="1"/>
      <c r="AB498" s="1"/>
      <c r="AC498" s="1"/>
      <c r="AD498" s="1"/>
      <c r="AE498" s="1"/>
      <c r="AF498" s="1"/>
      <c r="AG498" s="1"/>
      <c r="AH498" s="1"/>
    </row>
    <row r="499" spans="4:34"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  <c r="Z499" s="1"/>
      <c r="AA499" s="1"/>
      <c r="AB499" s="1"/>
      <c r="AC499" s="1"/>
      <c r="AD499" s="1"/>
      <c r="AE499" s="1"/>
      <c r="AF499" s="1"/>
      <c r="AG499" s="1"/>
      <c r="AH499" s="1"/>
    </row>
    <row r="500" spans="4:34"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  <c r="Z500" s="1"/>
      <c r="AA500" s="1"/>
      <c r="AB500" s="1"/>
      <c r="AC500" s="1"/>
      <c r="AD500" s="1"/>
      <c r="AE500" s="1"/>
      <c r="AF500" s="1"/>
      <c r="AG500" s="1"/>
      <c r="AH500" s="1"/>
    </row>
    <row r="501" spans="4:34"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  <c r="Z501" s="1"/>
      <c r="AA501" s="1"/>
      <c r="AB501" s="1"/>
      <c r="AC501" s="1"/>
      <c r="AD501" s="1"/>
      <c r="AE501" s="1"/>
      <c r="AF501" s="1"/>
      <c r="AG501" s="1"/>
      <c r="AH501" s="1"/>
    </row>
    <row r="502" spans="4:34"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  <c r="Z502" s="1"/>
      <c r="AA502" s="1"/>
      <c r="AB502" s="1"/>
      <c r="AC502" s="1"/>
      <c r="AD502" s="1"/>
      <c r="AE502" s="1"/>
      <c r="AF502" s="1"/>
      <c r="AG502" s="1"/>
      <c r="AH502" s="1"/>
    </row>
    <row r="503" spans="4:34"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  <c r="Z503" s="1"/>
      <c r="AA503" s="1"/>
      <c r="AB503" s="1"/>
      <c r="AC503" s="1"/>
      <c r="AD503" s="1"/>
      <c r="AE503" s="1"/>
      <c r="AF503" s="1"/>
      <c r="AG503" s="1"/>
      <c r="AH503" s="1"/>
    </row>
    <row r="504" spans="4:34"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  <c r="Z504" s="1"/>
      <c r="AA504" s="1"/>
      <c r="AB504" s="1"/>
      <c r="AC504" s="1"/>
      <c r="AD504" s="1"/>
      <c r="AE504" s="1"/>
      <c r="AF504" s="1"/>
      <c r="AG504" s="1"/>
      <c r="AH504" s="1"/>
    </row>
    <row r="505" spans="4:34"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  <c r="Z505" s="1"/>
      <c r="AA505" s="1"/>
      <c r="AB505" s="1"/>
      <c r="AC505" s="1"/>
      <c r="AD505" s="1"/>
      <c r="AE505" s="1"/>
      <c r="AF505" s="1"/>
      <c r="AG505" s="1"/>
      <c r="AH505" s="1"/>
    </row>
    <row r="506" spans="4:34"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  <c r="Z506" s="1"/>
      <c r="AA506" s="1"/>
      <c r="AB506" s="1"/>
      <c r="AC506" s="1"/>
      <c r="AD506" s="1"/>
      <c r="AE506" s="1"/>
      <c r="AF506" s="1"/>
      <c r="AG506" s="1"/>
      <c r="AH506" s="1"/>
    </row>
    <row r="507" spans="4:34"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  <c r="Z507" s="1"/>
      <c r="AA507" s="1"/>
      <c r="AB507" s="1"/>
      <c r="AC507" s="1"/>
      <c r="AD507" s="1"/>
      <c r="AE507" s="1"/>
      <c r="AF507" s="1"/>
      <c r="AG507" s="1"/>
      <c r="AH507" s="1"/>
    </row>
    <row r="508" spans="4:34"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  <c r="Z508" s="1"/>
      <c r="AA508" s="1"/>
      <c r="AB508" s="1"/>
      <c r="AC508" s="1"/>
      <c r="AD508" s="1"/>
      <c r="AE508" s="1"/>
      <c r="AF508" s="1"/>
      <c r="AG508" s="1"/>
      <c r="AH508" s="1"/>
    </row>
    <row r="509" spans="4:34"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  <c r="Z509" s="1"/>
      <c r="AA509" s="1"/>
      <c r="AB509" s="1"/>
      <c r="AC509" s="1"/>
      <c r="AD509" s="1"/>
      <c r="AE509" s="1"/>
      <c r="AF509" s="1"/>
      <c r="AG509" s="1"/>
      <c r="AH509" s="1"/>
    </row>
    <row r="510" spans="4:34"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  <c r="Z510" s="1"/>
      <c r="AA510" s="1"/>
      <c r="AB510" s="1"/>
      <c r="AC510" s="1"/>
      <c r="AD510" s="1"/>
      <c r="AE510" s="1"/>
      <c r="AF510" s="1"/>
      <c r="AG510" s="1"/>
      <c r="AH510" s="1"/>
    </row>
    <row r="511" spans="4:34"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  <c r="Z511" s="1"/>
      <c r="AA511" s="1"/>
      <c r="AB511" s="1"/>
      <c r="AC511" s="1"/>
      <c r="AD511" s="1"/>
      <c r="AE511" s="1"/>
      <c r="AF511" s="1"/>
      <c r="AG511" s="1"/>
      <c r="AH511" s="1"/>
    </row>
    <row r="512" spans="4:34"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  <c r="Z512" s="1"/>
      <c r="AA512" s="1"/>
      <c r="AB512" s="1"/>
      <c r="AC512" s="1"/>
      <c r="AD512" s="1"/>
      <c r="AE512" s="1"/>
      <c r="AF512" s="1"/>
      <c r="AG512" s="1"/>
      <c r="AH512" s="1"/>
    </row>
    <row r="513" spans="4:34"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  <c r="Z513" s="1"/>
      <c r="AA513" s="1"/>
      <c r="AB513" s="1"/>
      <c r="AC513" s="1"/>
      <c r="AD513" s="1"/>
      <c r="AE513" s="1"/>
      <c r="AF513" s="1"/>
      <c r="AG513" s="1"/>
      <c r="AH513" s="1"/>
    </row>
    <row r="514" spans="4:34"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  <c r="Z514" s="1"/>
      <c r="AA514" s="1"/>
      <c r="AB514" s="1"/>
      <c r="AC514" s="1"/>
      <c r="AD514" s="1"/>
      <c r="AE514" s="1"/>
      <c r="AF514" s="1"/>
      <c r="AG514" s="1"/>
      <c r="AH514" s="1"/>
    </row>
    <row r="515" spans="4:34"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  <c r="Z515" s="1"/>
      <c r="AA515" s="1"/>
      <c r="AB515" s="1"/>
      <c r="AC515" s="1"/>
      <c r="AD515" s="1"/>
      <c r="AE515" s="1"/>
      <c r="AF515" s="1"/>
      <c r="AG515" s="1"/>
      <c r="AH515" s="1"/>
    </row>
    <row r="516" spans="4:34"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  <c r="Z516" s="1"/>
      <c r="AA516" s="1"/>
      <c r="AB516" s="1"/>
      <c r="AC516" s="1"/>
      <c r="AD516" s="1"/>
      <c r="AE516" s="1"/>
      <c r="AF516" s="1"/>
      <c r="AG516" s="1"/>
      <c r="AH516" s="1"/>
    </row>
    <row r="517" spans="4:34"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  <c r="Z517" s="1"/>
      <c r="AA517" s="1"/>
      <c r="AB517" s="1"/>
      <c r="AC517" s="1"/>
      <c r="AD517" s="1"/>
      <c r="AE517" s="1"/>
      <c r="AF517" s="1"/>
      <c r="AG517" s="1"/>
      <c r="AH517" s="1"/>
    </row>
    <row r="518" spans="4:34"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  <c r="Z518" s="1"/>
      <c r="AA518" s="1"/>
      <c r="AB518" s="1"/>
      <c r="AC518" s="1"/>
      <c r="AD518" s="1"/>
      <c r="AE518" s="1"/>
      <c r="AF518" s="1"/>
      <c r="AG518" s="1"/>
      <c r="AH518" s="1"/>
    </row>
    <row r="519" spans="4:34"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  <c r="Z519" s="1"/>
      <c r="AA519" s="1"/>
      <c r="AB519" s="1"/>
      <c r="AC519" s="1"/>
      <c r="AD519" s="1"/>
      <c r="AE519" s="1"/>
      <c r="AF519" s="1"/>
      <c r="AG519" s="1"/>
      <c r="AH519" s="1"/>
    </row>
    <row r="520" spans="4:34"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  <c r="Z520" s="1"/>
      <c r="AA520" s="1"/>
      <c r="AB520" s="1"/>
      <c r="AC520" s="1"/>
      <c r="AD520" s="1"/>
      <c r="AE520" s="1"/>
      <c r="AF520" s="1"/>
      <c r="AG520" s="1"/>
      <c r="AH520" s="1"/>
    </row>
    <row r="521" spans="4:34"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  <c r="Z521" s="1"/>
      <c r="AA521" s="1"/>
      <c r="AB521" s="1"/>
      <c r="AC521" s="1"/>
      <c r="AD521" s="1"/>
      <c r="AE521" s="1"/>
      <c r="AF521" s="1"/>
      <c r="AG521" s="1"/>
      <c r="AH521" s="1"/>
    </row>
    <row r="522" spans="4:34"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  <c r="Z522" s="1"/>
      <c r="AA522" s="1"/>
      <c r="AB522" s="1"/>
      <c r="AC522" s="1"/>
      <c r="AD522" s="1"/>
      <c r="AE522" s="1"/>
      <c r="AF522" s="1"/>
      <c r="AG522" s="1"/>
      <c r="AH522" s="1"/>
    </row>
    <row r="523" spans="4:34"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  <c r="Z523" s="1"/>
      <c r="AA523" s="1"/>
      <c r="AB523" s="1"/>
      <c r="AC523" s="1"/>
      <c r="AD523" s="1"/>
      <c r="AE523" s="1"/>
      <c r="AF523" s="1"/>
      <c r="AG523" s="1"/>
      <c r="AH523" s="1"/>
    </row>
    <row r="524" spans="4:34"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  <c r="Z524" s="1"/>
      <c r="AA524" s="1"/>
      <c r="AB524" s="1"/>
      <c r="AC524" s="1"/>
      <c r="AD524" s="1"/>
      <c r="AE524" s="1"/>
      <c r="AF524" s="1"/>
      <c r="AG524" s="1"/>
      <c r="AH524" s="1"/>
    </row>
    <row r="525" spans="4:34"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  <c r="Z525" s="1"/>
      <c r="AA525" s="1"/>
      <c r="AB525" s="1"/>
      <c r="AC525" s="1"/>
      <c r="AD525" s="1"/>
      <c r="AE525" s="1"/>
      <c r="AF525" s="1"/>
      <c r="AG525" s="1"/>
      <c r="AH525" s="1"/>
    </row>
    <row r="526" spans="4:34"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  <c r="Z526" s="1"/>
      <c r="AA526" s="1"/>
      <c r="AB526" s="1"/>
      <c r="AC526" s="1"/>
      <c r="AD526" s="1"/>
      <c r="AE526" s="1"/>
      <c r="AF526" s="1"/>
      <c r="AG526" s="1"/>
      <c r="AH526" s="1"/>
    </row>
    <row r="527" spans="4:34"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  <c r="Z527" s="1"/>
      <c r="AA527" s="1"/>
      <c r="AB527" s="1"/>
      <c r="AC527" s="1"/>
      <c r="AD527" s="1"/>
      <c r="AE527" s="1"/>
      <c r="AF527" s="1"/>
      <c r="AG527" s="1"/>
      <c r="AH527" s="1"/>
    </row>
    <row r="528" spans="4:34"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  <c r="Z528" s="1"/>
      <c r="AA528" s="1"/>
      <c r="AB528" s="1"/>
      <c r="AC528" s="1"/>
      <c r="AD528" s="1"/>
      <c r="AE528" s="1"/>
      <c r="AF528" s="1"/>
      <c r="AG528" s="1"/>
      <c r="AH528" s="1"/>
    </row>
    <row r="529" spans="4:34"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  <c r="Z529" s="1"/>
      <c r="AA529" s="1"/>
      <c r="AB529" s="1"/>
      <c r="AC529" s="1"/>
      <c r="AD529" s="1"/>
      <c r="AE529" s="1"/>
      <c r="AF529" s="1"/>
      <c r="AG529" s="1"/>
      <c r="AH529" s="1"/>
    </row>
    <row r="530" spans="4:34"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  <c r="Z530" s="1"/>
      <c r="AA530" s="1"/>
      <c r="AB530" s="1"/>
      <c r="AC530" s="1"/>
      <c r="AD530" s="1"/>
      <c r="AE530" s="1"/>
      <c r="AF530" s="1"/>
      <c r="AG530" s="1"/>
      <c r="AH530" s="1"/>
    </row>
    <row r="531" spans="4:34"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  <c r="Z531" s="1"/>
      <c r="AA531" s="1"/>
      <c r="AB531" s="1"/>
      <c r="AC531" s="1"/>
      <c r="AD531" s="1"/>
      <c r="AE531" s="1"/>
      <c r="AF531" s="1"/>
      <c r="AG531" s="1"/>
      <c r="AH531" s="1"/>
    </row>
    <row r="532" spans="4:34"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  <c r="Z532" s="1"/>
      <c r="AA532" s="1"/>
      <c r="AB532" s="1"/>
      <c r="AC532" s="1"/>
      <c r="AD532" s="1"/>
      <c r="AE532" s="1"/>
      <c r="AF532" s="1"/>
      <c r="AG532" s="1"/>
      <c r="AH532" s="1"/>
    </row>
    <row r="533" spans="4:34"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  <c r="Z533" s="1"/>
      <c r="AA533" s="1"/>
      <c r="AB533" s="1"/>
      <c r="AC533" s="1"/>
      <c r="AD533" s="1"/>
      <c r="AE533" s="1"/>
      <c r="AF533" s="1"/>
      <c r="AG533" s="1"/>
      <c r="AH533" s="1"/>
    </row>
    <row r="534" spans="4:34"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  <c r="Z534" s="1"/>
      <c r="AA534" s="1"/>
      <c r="AB534" s="1"/>
      <c r="AC534" s="1"/>
      <c r="AD534" s="1"/>
      <c r="AE534" s="1"/>
      <c r="AF534" s="1"/>
      <c r="AG534" s="1"/>
      <c r="AH534" s="1"/>
    </row>
    <row r="535" spans="4:34"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  <c r="Z535" s="1"/>
      <c r="AA535" s="1"/>
      <c r="AB535" s="1"/>
      <c r="AC535" s="1"/>
      <c r="AD535" s="1"/>
      <c r="AE535" s="1"/>
      <c r="AF535" s="1"/>
      <c r="AG535" s="1"/>
      <c r="AH535" s="1"/>
    </row>
    <row r="536" spans="4:34"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  <c r="Z536" s="1"/>
      <c r="AA536" s="1"/>
      <c r="AB536" s="1"/>
      <c r="AC536" s="1"/>
      <c r="AD536" s="1"/>
      <c r="AE536" s="1"/>
      <c r="AF536" s="1"/>
      <c r="AG536" s="1"/>
      <c r="AH536" s="1"/>
    </row>
    <row r="537" spans="4:34"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  <c r="Z537" s="1"/>
      <c r="AA537" s="1"/>
      <c r="AB537" s="1"/>
      <c r="AC537" s="1"/>
      <c r="AD537" s="1"/>
      <c r="AE537" s="1"/>
      <c r="AF537" s="1"/>
      <c r="AG537" s="1"/>
      <c r="AH537" s="1"/>
    </row>
    <row r="538" spans="4:34"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  <c r="Z538" s="1"/>
      <c r="AA538" s="1"/>
      <c r="AB538" s="1"/>
      <c r="AC538" s="1"/>
      <c r="AD538" s="1"/>
      <c r="AE538" s="1"/>
      <c r="AF538" s="1"/>
      <c r="AG538" s="1"/>
      <c r="AH538" s="1"/>
    </row>
    <row r="539" spans="4:34"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  <c r="Z539" s="1"/>
      <c r="AA539" s="1"/>
      <c r="AB539" s="1"/>
      <c r="AC539" s="1"/>
      <c r="AD539" s="1"/>
      <c r="AE539" s="1"/>
      <c r="AF539" s="1"/>
      <c r="AG539" s="1"/>
      <c r="AH539" s="1"/>
    </row>
    <row r="540" spans="4:34"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  <c r="Z540" s="1"/>
      <c r="AA540" s="1"/>
      <c r="AB540" s="1"/>
      <c r="AC540" s="1"/>
      <c r="AD540" s="1"/>
      <c r="AE540" s="1"/>
      <c r="AF540" s="1"/>
      <c r="AG540" s="1"/>
      <c r="AH540" s="1"/>
    </row>
    <row r="541" spans="4:34"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  <c r="Z541" s="1"/>
      <c r="AA541" s="1"/>
      <c r="AB541" s="1"/>
      <c r="AC541" s="1"/>
      <c r="AD541" s="1"/>
      <c r="AE541" s="1"/>
      <c r="AF541" s="1"/>
      <c r="AG541" s="1"/>
      <c r="AH541" s="1"/>
    </row>
    <row r="542" spans="4:34"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  <c r="Z542" s="1"/>
      <c r="AA542" s="1"/>
      <c r="AB542" s="1"/>
      <c r="AC542" s="1"/>
      <c r="AD542" s="1"/>
      <c r="AE542" s="1"/>
      <c r="AF542" s="1"/>
      <c r="AG542" s="1"/>
      <c r="AH542" s="1"/>
    </row>
    <row r="543" spans="4:34"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  <c r="Z543" s="1"/>
      <c r="AA543" s="1"/>
      <c r="AB543" s="1"/>
      <c r="AC543" s="1"/>
      <c r="AD543" s="1"/>
      <c r="AE543" s="1"/>
      <c r="AF543" s="1"/>
      <c r="AG543" s="1"/>
      <c r="AH543" s="1"/>
    </row>
    <row r="544" spans="4:34"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  <c r="Z544" s="1"/>
      <c r="AA544" s="1"/>
      <c r="AB544" s="1"/>
      <c r="AC544" s="1"/>
      <c r="AD544" s="1"/>
      <c r="AE544" s="1"/>
      <c r="AF544" s="1"/>
      <c r="AG544" s="1"/>
      <c r="AH544" s="1"/>
    </row>
    <row r="545" spans="4:34"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  <c r="Z545" s="1"/>
      <c r="AA545" s="1"/>
      <c r="AB545" s="1"/>
      <c r="AC545" s="1"/>
      <c r="AD545" s="1"/>
      <c r="AE545" s="1"/>
      <c r="AF545" s="1"/>
      <c r="AG545" s="1"/>
      <c r="AH545" s="1"/>
    </row>
    <row r="546" spans="4:34"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  <c r="Z546" s="1"/>
      <c r="AA546" s="1"/>
      <c r="AB546" s="1"/>
      <c r="AC546" s="1"/>
      <c r="AD546" s="1"/>
      <c r="AE546" s="1"/>
      <c r="AF546" s="1"/>
      <c r="AG546" s="1"/>
      <c r="AH546" s="1"/>
    </row>
    <row r="547" spans="4:34"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  <c r="Z547" s="1"/>
      <c r="AA547" s="1"/>
      <c r="AB547" s="1"/>
      <c r="AC547" s="1"/>
      <c r="AD547" s="1"/>
      <c r="AE547" s="1"/>
      <c r="AF547" s="1"/>
      <c r="AG547" s="1"/>
      <c r="AH547" s="1"/>
    </row>
    <row r="548" spans="4:34"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  <c r="Z548" s="1"/>
      <c r="AA548" s="1"/>
      <c r="AB548" s="1"/>
      <c r="AC548" s="1"/>
      <c r="AD548" s="1"/>
      <c r="AE548" s="1"/>
      <c r="AF548" s="1"/>
      <c r="AG548" s="1"/>
      <c r="AH548" s="1"/>
    </row>
    <row r="549" spans="4:34"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  <c r="Z549" s="1"/>
      <c r="AA549" s="1"/>
      <c r="AB549" s="1"/>
      <c r="AC549" s="1"/>
      <c r="AD549" s="1"/>
      <c r="AE549" s="1"/>
      <c r="AF549" s="1"/>
      <c r="AG549" s="1"/>
      <c r="AH549" s="1"/>
    </row>
    <row r="550" spans="4:34"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  <c r="Z550" s="1"/>
      <c r="AA550" s="1"/>
      <c r="AB550" s="1"/>
      <c r="AC550" s="1"/>
      <c r="AD550" s="1"/>
      <c r="AE550" s="1"/>
      <c r="AF550" s="1"/>
      <c r="AG550" s="1"/>
      <c r="AH550" s="1"/>
    </row>
    <row r="551" spans="4:34"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  <c r="Z551" s="1"/>
      <c r="AA551" s="1"/>
      <c r="AB551" s="1"/>
      <c r="AC551" s="1"/>
      <c r="AD551" s="1"/>
      <c r="AE551" s="1"/>
      <c r="AF551" s="1"/>
      <c r="AG551" s="1"/>
      <c r="AH551" s="1"/>
    </row>
    <row r="552" spans="4:34"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  <c r="Z552" s="1"/>
      <c r="AA552" s="1"/>
      <c r="AB552" s="1"/>
      <c r="AC552" s="1"/>
      <c r="AD552" s="1"/>
      <c r="AE552" s="1"/>
      <c r="AF552" s="1"/>
      <c r="AG552" s="1"/>
      <c r="AH552" s="1"/>
    </row>
    <row r="553" spans="4:34"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  <c r="Z553" s="1"/>
      <c r="AA553" s="1"/>
      <c r="AB553" s="1"/>
      <c r="AC553" s="1"/>
      <c r="AD553" s="1"/>
      <c r="AE553" s="1"/>
      <c r="AF553" s="1"/>
      <c r="AG553" s="1"/>
      <c r="AH553" s="1"/>
    </row>
    <row r="554" spans="4:34"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  <c r="Z554" s="1"/>
      <c r="AA554" s="1"/>
      <c r="AB554" s="1"/>
      <c r="AC554" s="1"/>
      <c r="AD554" s="1"/>
      <c r="AE554" s="1"/>
      <c r="AF554" s="1"/>
      <c r="AG554" s="1"/>
      <c r="AH554" s="1"/>
    </row>
    <row r="555" spans="4:34"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  <c r="Z555" s="1"/>
      <c r="AA555" s="1"/>
      <c r="AB555" s="1"/>
      <c r="AC555" s="1"/>
      <c r="AD555" s="1"/>
      <c r="AE555" s="1"/>
      <c r="AF555" s="1"/>
      <c r="AG555" s="1"/>
      <c r="AH555" s="1"/>
    </row>
    <row r="556" spans="4:34"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  <c r="Z556" s="1"/>
      <c r="AA556" s="1"/>
      <c r="AB556" s="1"/>
      <c r="AC556" s="1"/>
      <c r="AD556" s="1"/>
      <c r="AE556" s="1"/>
      <c r="AF556" s="1"/>
      <c r="AG556" s="1"/>
      <c r="AH556" s="1"/>
    </row>
    <row r="557" spans="4:34"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  <c r="Z557" s="1"/>
      <c r="AA557" s="1"/>
      <c r="AB557" s="1"/>
      <c r="AC557" s="1"/>
      <c r="AD557" s="1"/>
      <c r="AE557" s="1"/>
      <c r="AF557" s="1"/>
      <c r="AG557" s="1"/>
      <c r="AH557" s="1"/>
    </row>
    <row r="558" spans="4:34"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  <c r="Z558" s="1"/>
      <c r="AA558" s="1"/>
      <c r="AB558" s="1"/>
      <c r="AC558" s="1"/>
      <c r="AD558" s="1"/>
      <c r="AE558" s="1"/>
      <c r="AF558" s="1"/>
      <c r="AG558" s="1"/>
      <c r="AH558" s="1"/>
    </row>
    <row r="559" spans="4:34"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  <c r="Z559" s="1"/>
      <c r="AA559" s="1"/>
      <c r="AB559" s="1"/>
      <c r="AC559" s="1"/>
      <c r="AD559" s="1"/>
      <c r="AE559" s="1"/>
      <c r="AF559" s="1"/>
      <c r="AG559" s="1"/>
      <c r="AH559" s="1"/>
    </row>
    <row r="560" spans="4:34"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  <c r="Z560" s="1"/>
      <c r="AA560" s="1"/>
      <c r="AB560" s="1"/>
      <c r="AC560" s="1"/>
      <c r="AD560" s="1"/>
      <c r="AE560" s="1"/>
      <c r="AF560" s="1"/>
      <c r="AG560" s="1"/>
      <c r="AH560" s="1"/>
    </row>
    <row r="561" spans="4:34"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  <c r="Z561" s="1"/>
      <c r="AA561" s="1"/>
      <c r="AB561" s="1"/>
      <c r="AC561" s="1"/>
      <c r="AD561" s="1"/>
      <c r="AE561" s="1"/>
      <c r="AF561" s="1"/>
      <c r="AG561" s="1"/>
      <c r="AH561" s="1"/>
    </row>
    <row r="562" spans="4:34"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  <c r="Z562" s="1"/>
      <c r="AA562" s="1"/>
      <c r="AB562" s="1"/>
      <c r="AC562" s="1"/>
      <c r="AD562" s="1"/>
      <c r="AE562" s="1"/>
      <c r="AF562" s="1"/>
      <c r="AG562" s="1"/>
      <c r="AH562" s="1"/>
    </row>
    <row r="563" spans="4:34"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  <c r="Z563" s="1"/>
      <c r="AA563" s="1"/>
      <c r="AB563" s="1"/>
      <c r="AC563" s="1"/>
      <c r="AD563" s="1"/>
      <c r="AE563" s="1"/>
      <c r="AF563" s="1"/>
      <c r="AG563" s="1"/>
      <c r="AH563" s="1"/>
    </row>
    <row r="564" spans="4:34"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  <c r="Z564" s="1"/>
      <c r="AA564" s="1"/>
      <c r="AB564" s="1"/>
      <c r="AC564" s="1"/>
      <c r="AD564" s="1"/>
      <c r="AE564" s="1"/>
      <c r="AF564" s="1"/>
      <c r="AG564" s="1"/>
      <c r="AH564" s="1"/>
    </row>
    <row r="565" spans="4:34"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  <c r="Z565" s="1"/>
      <c r="AA565" s="1"/>
      <c r="AB565" s="1"/>
      <c r="AC565" s="1"/>
      <c r="AD565" s="1"/>
      <c r="AE565" s="1"/>
      <c r="AF565" s="1"/>
      <c r="AG565" s="1"/>
      <c r="AH565" s="1"/>
    </row>
    <row r="566" spans="4:34"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  <c r="Z566" s="1"/>
      <c r="AA566" s="1"/>
      <c r="AB566" s="1"/>
      <c r="AC566" s="1"/>
      <c r="AD566" s="1"/>
      <c r="AE566" s="1"/>
      <c r="AF566" s="1"/>
      <c r="AG566" s="1"/>
      <c r="AH566" s="1"/>
    </row>
    <row r="567" spans="4:34"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  <c r="Z567" s="1"/>
      <c r="AA567" s="1"/>
      <c r="AB567" s="1"/>
      <c r="AC567" s="1"/>
      <c r="AD567" s="1"/>
      <c r="AE567" s="1"/>
      <c r="AF567" s="1"/>
      <c r="AG567" s="1"/>
      <c r="AH567" s="1"/>
    </row>
    <row r="568" spans="4:34"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  <c r="Z568" s="1"/>
      <c r="AA568" s="1"/>
      <c r="AB568" s="1"/>
      <c r="AC568" s="1"/>
      <c r="AD568" s="1"/>
      <c r="AE568" s="1"/>
      <c r="AF568" s="1"/>
      <c r="AG568" s="1"/>
      <c r="AH568" s="1"/>
    </row>
    <row r="569" spans="4:34"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  <c r="Z569" s="1"/>
      <c r="AA569" s="1"/>
      <c r="AB569" s="1"/>
      <c r="AC569" s="1"/>
      <c r="AD569" s="1"/>
      <c r="AE569" s="1"/>
      <c r="AF569" s="1"/>
      <c r="AG569" s="1"/>
      <c r="AH569" s="1"/>
    </row>
    <row r="570" spans="4:34"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  <c r="Z570" s="1"/>
      <c r="AA570" s="1"/>
      <c r="AB570" s="1"/>
      <c r="AC570" s="1"/>
      <c r="AD570" s="1"/>
      <c r="AE570" s="1"/>
      <c r="AF570" s="1"/>
      <c r="AG570" s="1"/>
      <c r="AH570" s="1"/>
    </row>
    <row r="571" spans="4:34"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  <c r="Z571" s="1"/>
      <c r="AA571" s="1"/>
      <c r="AB571" s="1"/>
      <c r="AC571" s="1"/>
      <c r="AD571" s="1"/>
      <c r="AE571" s="1"/>
      <c r="AF571" s="1"/>
      <c r="AG571" s="1"/>
      <c r="AH571" s="1"/>
    </row>
    <row r="572" spans="4:34"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  <c r="Z572" s="1"/>
      <c r="AA572" s="1"/>
      <c r="AB572" s="1"/>
      <c r="AC572" s="1"/>
      <c r="AD572" s="1"/>
      <c r="AE572" s="1"/>
      <c r="AF572" s="1"/>
      <c r="AG572" s="1"/>
      <c r="AH572" s="1"/>
    </row>
    <row r="573" spans="4:34"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  <c r="Z573" s="1"/>
      <c r="AA573" s="1"/>
      <c r="AB573" s="1"/>
      <c r="AC573" s="1"/>
      <c r="AD573" s="1"/>
      <c r="AE573" s="1"/>
      <c r="AF573" s="1"/>
      <c r="AG573" s="1"/>
      <c r="AH573" s="1"/>
    </row>
    <row r="574" spans="4:34"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  <c r="Z574" s="1"/>
      <c r="AA574" s="1"/>
      <c r="AB574" s="1"/>
      <c r="AC574" s="1"/>
      <c r="AD574" s="1"/>
      <c r="AE574" s="1"/>
      <c r="AF574" s="1"/>
      <c r="AG574" s="1"/>
      <c r="AH574" s="1"/>
    </row>
    <row r="575" spans="4:34"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  <c r="Z575" s="1"/>
      <c r="AA575" s="1"/>
      <c r="AB575" s="1"/>
      <c r="AC575" s="1"/>
      <c r="AD575" s="1"/>
      <c r="AE575" s="1"/>
      <c r="AF575" s="1"/>
      <c r="AG575" s="1"/>
      <c r="AH575" s="1"/>
    </row>
    <row r="576" spans="4:34"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  <c r="Z576" s="1"/>
      <c r="AA576" s="1"/>
      <c r="AB576" s="1"/>
      <c r="AC576" s="1"/>
      <c r="AD576" s="1"/>
      <c r="AE576" s="1"/>
      <c r="AF576" s="1"/>
      <c r="AG576" s="1"/>
      <c r="AH576" s="1"/>
    </row>
    <row r="577" spans="4:34"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  <c r="Z577" s="1"/>
      <c r="AA577" s="1"/>
      <c r="AB577" s="1"/>
      <c r="AC577" s="1"/>
      <c r="AD577" s="1"/>
      <c r="AE577" s="1"/>
      <c r="AF577" s="1"/>
      <c r="AG577" s="1"/>
      <c r="AH577" s="1"/>
    </row>
    <row r="578" spans="4:34"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  <c r="Z578" s="1"/>
      <c r="AA578" s="1"/>
      <c r="AB578" s="1"/>
      <c r="AC578" s="1"/>
      <c r="AD578" s="1"/>
      <c r="AE578" s="1"/>
      <c r="AF578" s="1"/>
      <c r="AG578" s="1"/>
      <c r="AH578" s="1"/>
    </row>
    <row r="579" spans="4:34"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  <c r="Z579" s="1"/>
      <c r="AA579" s="1"/>
      <c r="AB579" s="1"/>
      <c r="AC579" s="1"/>
      <c r="AD579" s="1"/>
      <c r="AE579" s="1"/>
      <c r="AF579" s="1"/>
      <c r="AG579" s="1"/>
      <c r="AH579" s="1"/>
    </row>
    <row r="580" spans="4:34"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  <c r="Z580" s="1"/>
      <c r="AA580" s="1"/>
      <c r="AB580" s="1"/>
      <c r="AC580" s="1"/>
      <c r="AD580" s="1"/>
      <c r="AE580" s="1"/>
      <c r="AF580" s="1"/>
      <c r="AG580" s="1"/>
      <c r="AH580" s="1"/>
    </row>
    <row r="581" spans="4:34"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  <c r="Z581" s="1"/>
      <c r="AA581" s="1"/>
      <c r="AB581" s="1"/>
      <c r="AC581" s="1"/>
      <c r="AD581" s="1"/>
      <c r="AE581" s="1"/>
      <c r="AF581" s="1"/>
      <c r="AG581" s="1"/>
      <c r="AH581" s="1"/>
    </row>
    <row r="582" spans="4:34"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  <c r="Z582" s="1"/>
      <c r="AA582" s="1"/>
      <c r="AB582" s="1"/>
      <c r="AC582" s="1"/>
      <c r="AD582" s="1"/>
      <c r="AE582" s="1"/>
      <c r="AF582" s="1"/>
      <c r="AG582" s="1"/>
      <c r="AH582" s="1"/>
    </row>
    <row r="583" spans="4:34"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  <c r="Z583" s="1"/>
      <c r="AA583" s="1"/>
      <c r="AB583" s="1"/>
      <c r="AC583" s="1"/>
      <c r="AD583" s="1"/>
      <c r="AE583" s="1"/>
      <c r="AF583" s="1"/>
      <c r="AG583" s="1"/>
      <c r="AH583" s="1"/>
    </row>
    <row r="584" spans="4:34"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  <c r="Z584" s="1"/>
      <c r="AA584" s="1"/>
      <c r="AB584" s="1"/>
      <c r="AC584" s="1"/>
      <c r="AD584" s="1"/>
      <c r="AE584" s="1"/>
      <c r="AF584" s="1"/>
      <c r="AG584" s="1"/>
      <c r="AH584" s="1"/>
    </row>
    <row r="585" spans="4:34"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  <c r="Z585" s="1"/>
      <c r="AA585" s="1"/>
      <c r="AB585" s="1"/>
      <c r="AC585" s="1"/>
      <c r="AD585" s="1"/>
      <c r="AE585" s="1"/>
      <c r="AF585" s="1"/>
      <c r="AG585" s="1"/>
      <c r="AH585" s="1"/>
    </row>
    <row r="586" spans="4:34"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  <c r="Z586" s="1"/>
      <c r="AA586" s="1"/>
      <c r="AB586" s="1"/>
      <c r="AC586" s="1"/>
      <c r="AD586" s="1"/>
      <c r="AE586" s="1"/>
      <c r="AF586" s="1"/>
      <c r="AG586" s="1"/>
      <c r="AH586" s="1"/>
    </row>
    <row r="587" spans="4:34"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  <c r="Z587" s="1"/>
      <c r="AA587" s="1"/>
      <c r="AB587" s="1"/>
      <c r="AC587" s="1"/>
      <c r="AD587" s="1"/>
      <c r="AE587" s="1"/>
      <c r="AF587" s="1"/>
      <c r="AG587" s="1"/>
      <c r="AH587" s="1"/>
    </row>
    <row r="588" spans="4:34"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  <c r="Z588" s="1"/>
      <c r="AA588" s="1"/>
      <c r="AB588" s="1"/>
      <c r="AC588" s="1"/>
      <c r="AD588" s="1"/>
      <c r="AE588" s="1"/>
      <c r="AF588" s="1"/>
      <c r="AG588" s="1"/>
      <c r="AH588" s="1"/>
    </row>
    <row r="589" spans="4:34"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  <c r="Z589" s="1"/>
      <c r="AA589" s="1"/>
      <c r="AB589" s="1"/>
      <c r="AC589" s="1"/>
      <c r="AD589" s="1"/>
      <c r="AE589" s="1"/>
      <c r="AF589" s="1"/>
      <c r="AG589" s="1"/>
      <c r="AH589" s="1"/>
    </row>
    <row r="590" spans="4:34"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  <c r="Z590" s="1"/>
      <c r="AA590" s="1"/>
      <c r="AB590" s="1"/>
      <c r="AC590" s="1"/>
      <c r="AD590" s="1"/>
      <c r="AE590" s="1"/>
      <c r="AF590" s="1"/>
      <c r="AG590" s="1"/>
      <c r="AH590" s="1"/>
    </row>
    <row r="591" spans="4:34"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  <c r="Z591" s="1"/>
      <c r="AA591" s="1"/>
      <c r="AB591" s="1"/>
      <c r="AC591" s="1"/>
      <c r="AD591" s="1"/>
      <c r="AE591" s="1"/>
      <c r="AF591" s="1"/>
      <c r="AG591" s="1"/>
      <c r="AH591" s="1"/>
    </row>
    <row r="592" spans="4:34"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  <c r="Z592" s="1"/>
      <c r="AA592" s="1"/>
      <c r="AB592" s="1"/>
      <c r="AC592" s="1"/>
      <c r="AD592" s="1"/>
      <c r="AE592" s="1"/>
      <c r="AF592" s="1"/>
      <c r="AG592" s="1"/>
      <c r="AH592" s="1"/>
    </row>
    <row r="593" spans="4:34"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  <c r="Z593" s="1"/>
      <c r="AA593" s="1"/>
      <c r="AB593" s="1"/>
      <c r="AC593" s="1"/>
      <c r="AD593" s="1"/>
      <c r="AE593" s="1"/>
      <c r="AF593" s="1"/>
      <c r="AG593" s="1"/>
      <c r="AH593" s="1"/>
    </row>
    <row r="594" spans="4:34"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  <c r="Z594" s="1"/>
      <c r="AA594" s="1"/>
      <c r="AB594" s="1"/>
      <c r="AC594" s="1"/>
      <c r="AD594" s="1"/>
      <c r="AE594" s="1"/>
      <c r="AF594" s="1"/>
      <c r="AG594" s="1"/>
      <c r="AH594" s="1"/>
    </row>
    <row r="595" spans="4:34"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  <c r="Z595" s="1"/>
      <c r="AA595" s="1"/>
      <c r="AB595" s="1"/>
      <c r="AC595" s="1"/>
      <c r="AD595" s="1"/>
      <c r="AE595" s="1"/>
      <c r="AF595" s="1"/>
      <c r="AG595" s="1"/>
      <c r="AH595" s="1"/>
    </row>
    <row r="596" spans="4:34"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  <c r="Z596" s="1"/>
      <c r="AA596" s="1"/>
      <c r="AB596" s="1"/>
      <c r="AC596" s="1"/>
      <c r="AD596" s="1"/>
      <c r="AE596" s="1"/>
      <c r="AF596" s="1"/>
      <c r="AG596" s="1"/>
      <c r="AH596" s="1"/>
    </row>
    <row r="597" spans="4:34"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  <c r="Z597" s="1"/>
      <c r="AA597" s="1"/>
      <c r="AB597" s="1"/>
      <c r="AC597" s="1"/>
      <c r="AD597" s="1"/>
      <c r="AE597" s="1"/>
      <c r="AF597" s="1"/>
      <c r="AG597" s="1"/>
      <c r="AH597" s="1"/>
    </row>
    <row r="598" spans="4:34"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  <c r="Z598" s="1"/>
      <c r="AA598" s="1"/>
      <c r="AB598" s="1"/>
      <c r="AC598" s="1"/>
      <c r="AD598" s="1"/>
      <c r="AE598" s="1"/>
      <c r="AF598" s="1"/>
      <c r="AG598" s="1"/>
      <c r="AH598" s="1"/>
    </row>
    <row r="599" spans="4:34"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  <c r="Z599" s="1"/>
      <c r="AA599" s="1"/>
      <c r="AB599" s="1"/>
      <c r="AC599" s="1"/>
      <c r="AD599" s="1"/>
      <c r="AE599" s="1"/>
      <c r="AF599" s="1"/>
      <c r="AG599" s="1"/>
      <c r="AH599" s="1"/>
    </row>
    <row r="600" spans="4:34"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  <c r="Z600" s="1"/>
      <c r="AA600" s="1"/>
      <c r="AB600" s="1"/>
      <c r="AC600" s="1"/>
      <c r="AD600" s="1"/>
      <c r="AE600" s="1"/>
      <c r="AF600" s="1"/>
      <c r="AG600" s="1"/>
      <c r="AH600" s="1"/>
    </row>
    <row r="601" spans="4:34"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  <c r="Z601" s="1"/>
      <c r="AA601" s="1"/>
      <c r="AB601" s="1"/>
      <c r="AC601" s="1"/>
      <c r="AD601" s="1"/>
      <c r="AE601" s="1"/>
      <c r="AF601" s="1"/>
      <c r="AG601" s="1"/>
      <c r="AH601" s="1"/>
    </row>
    <row r="602" spans="4:34"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  <c r="Z602" s="1"/>
      <c r="AA602" s="1"/>
      <c r="AB602" s="1"/>
      <c r="AC602" s="1"/>
      <c r="AD602" s="1"/>
      <c r="AE602" s="1"/>
      <c r="AF602" s="1"/>
      <c r="AG602" s="1"/>
      <c r="AH602" s="1"/>
    </row>
    <row r="603" spans="4:34"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  <c r="Z603" s="1"/>
      <c r="AA603" s="1"/>
      <c r="AB603" s="1"/>
      <c r="AC603" s="1"/>
      <c r="AD603" s="1"/>
      <c r="AE603" s="1"/>
      <c r="AF603" s="1"/>
      <c r="AG603" s="1"/>
      <c r="AH603" s="1"/>
    </row>
    <row r="604" spans="4:34"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  <c r="Z604" s="1"/>
      <c r="AA604" s="1"/>
      <c r="AB604" s="1"/>
      <c r="AC604" s="1"/>
      <c r="AD604" s="1"/>
      <c r="AE604" s="1"/>
      <c r="AF604" s="1"/>
      <c r="AG604" s="1"/>
      <c r="AH604" s="1"/>
    </row>
    <row r="605" spans="4:34"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  <c r="Z605" s="1"/>
      <c r="AA605" s="1"/>
      <c r="AB605" s="1"/>
      <c r="AC605" s="1"/>
      <c r="AD605" s="1"/>
      <c r="AE605" s="1"/>
      <c r="AF605" s="1"/>
      <c r="AG605" s="1"/>
      <c r="AH605" s="1"/>
    </row>
    <row r="606" spans="4:34"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  <c r="Z606" s="1"/>
      <c r="AA606" s="1"/>
      <c r="AB606" s="1"/>
      <c r="AC606" s="1"/>
      <c r="AD606" s="1"/>
      <c r="AE606" s="1"/>
      <c r="AF606" s="1"/>
      <c r="AG606" s="1"/>
      <c r="AH606" s="1"/>
    </row>
    <row r="607" spans="4:34"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  <c r="Z607" s="1"/>
      <c r="AA607" s="1"/>
      <c r="AB607" s="1"/>
      <c r="AC607" s="1"/>
      <c r="AD607" s="1"/>
      <c r="AE607" s="1"/>
      <c r="AF607" s="1"/>
      <c r="AG607" s="1"/>
      <c r="AH607" s="1"/>
    </row>
    <row r="608" spans="4:34"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  <c r="Z608" s="1"/>
      <c r="AA608" s="1"/>
      <c r="AB608" s="1"/>
      <c r="AC608" s="1"/>
      <c r="AD608" s="1"/>
      <c r="AE608" s="1"/>
      <c r="AF608" s="1"/>
      <c r="AG608" s="1"/>
      <c r="AH608" s="1"/>
    </row>
    <row r="609" spans="4:34"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  <c r="Z609" s="1"/>
      <c r="AA609" s="1"/>
      <c r="AB609" s="1"/>
      <c r="AC609" s="1"/>
      <c r="AD609" s="1"/>
      <c r="AE609" s="1"/>
      <c r="AF609" s="1"/>
      <c r="AG609" s="1"/>
      <c r="AH609" s="1"/>
    </row>
    <row r="610" spans="4:34"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  <c r="Z610" s="1"/>
      <c r="AA610" s="1"/>
      <c r="AB610" s="1"/>
      <c r="AC610" s="1"/>
      <c r="AD610" s="1"/>
      <c r="AE610" s="1"/>
      <c r="AF610" s="1"/>
      <c r="AG610" s="1"/>
      <c r="AH610" s="1"/>
    </row>
    <row r="611" spans="4:34"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  <c r="Z611" s="1"/>
      <c r="AA611" s="1"/>
      <c r="AB611" s="1"/>
      <c r="AC611" s="1"/>
      <c r="AD611" s="1"/>
      <c r="AE611" s="1"/>
      <c r="AF611" s="1"/>
      <c r="AG611" s="1"/>
      <c r="AH611" s="1"/>
    </row>
    <row r="612" spans="4:34"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  <c r="Z612" s="1"/>
      <c r="AA612" s="1"/>
      <c r="AB612" s="1"/>
      <c r="AC612" s="1"/>
      <c r="AD612" s="1"/>
      <c r="AE612" s="1"/>
      <c r="AF612" s="1"/>
      <c r="AG612" s="1"/>
      <c r="AH612" s="1"/>
    </row>
    <row r="613" spans="4:34"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  <c r="Z613" s="1"/>
      <c r="AA613" s="1"/>
      <c r="AB613" s="1"/>
      <c r="AC613" s="1"/>
      <c r="AD613" s="1"/>
      <c r="AE613" s="1"/>
      <c r="AF613" s="1"/>
      <c r="AG613" s="1"/>
      <c r="AH613" s="1"/>
    </row>
    <row r="614" spans="4:34"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  <c r="Z614" s="1"/>
      <c r="AA614" s="1"/>
      <c r="AB614" s="1"/>
      <c r="AC614" s="1"/>
      <c r="AD614" s="1"/>
      <c r="AE614" s="1"/>
      <c r="AF614" s="1"/>
      <c r="AG614" s="1"/>
      <c r="AH614" s="1"/>
    </row>
    <row r="615" spans="4:34"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  <c r="Z615" s="1"/>
      <c r="AA615" s="1"/>
      <c r="AB615" s="1"/>
      <c r="AC615" s="1"/>
      <c r="AD615" s="1"/>
      <c r="AE615" s="1"/>
      <c r="AF615" s="1"/>
      <c r="AG615" s="1"/>
      <c r="AH615" s="1"/>
    </row>
    <row r="616" spans="4:34"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  <c r="Z616" s="1"/>
      <c r="AA616" s="1"/>
      <c r="AB616" s="1"/>
      <c r="AC616" s="1"/>
      <c r="AD616" s="1"/>
      <c r="AE616" s="1"/>
      <c r="AF616" s="1"/>
      <c r="AG616" s="1"/>
      <c r="AH616" s="1"/>
    </row>
    <row r="617" spans="4:34"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  <c r="Z617" s="1"/>
      <c r="AA617" s="1"/>
      <c r="AB617" s="1"/>
      <c r="AC617" s="1"/>
      <c r="AD617" s="1"/>
      <c r="AE617" s="1"/>
      <c r="AF617" s="1"/>
      <c r="AG617" s="1"/>
      <c r="AH617" s="1"/>
    </row>
    <row r="618" spans="4:34"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  <c r="Z618" s="1"/>
      <c r="AA618" s="1"/>
      <c r="AB618" s="1"/>
      <c r="AC618" s="1"/>
      <c r="AD618" s="1"/>
      <c r="AE618" s="1"/>
      <c r="AF618" s="1"/>
      <c r="AG618" s="1"/>
      <c r="AH618" s="1"/>
    </row>
    <row r="619" spans="4:34"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  <c r="Z619" s="1"/>
      <c r="AA619" s="1"/>
      <c r="AB619" s="1"/>
      <c r="AC619" s="1"/>
      <c r="AD619" s="1"/>
      <c r="AE619" s="1"/>
      <c r="AF619" s="1"/>
      <c r="AG619" s="1"/>
      <c r="AH619" s="1"/>
    </row>
    <row r="620" spans="4:34"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  <c r="Z620" s="1"/>
      <c r="AA620" s="1"/>
      <c r="AB620" s="1"/>
      <c r="AC620" s="1"/>
      <c r="AD620" s="1"/>
      <c r="AE620" s="1"/>
      <c r="AF620" s="1"/>
      <c r="AG620" s="1"/>
      <c r="AH620" s="1"/>
    </row>
    <row r="621" spans="4:34"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  <c r="Z621" s="1"/>
      <c r="AA621" s="1"/>
      <c r="AB621" s="1"/>
      <c r="AC621" s="1"/>
      <c r="AD621" s="1"/>
      <c r="AE621" s="1"/>
      <c r="AF621" s="1"/>
      <c r="AG621" s="1"/>
      <c r="AH621" s="1"/>
    </row>
    <row r="622" spans="4:34"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  <c r="Z622" s="1"/>
      <c r="AA622" s="1"/>
      <c r="AB622" s="1"/>
      <c r="AC622" s="1"/>
      <c r="AD622" s="1"/>
      <c r="AE622" s="1"/>
      <c r="AF622" s="1"/>
      <c r="AG622" s="1"/>
      <c r="AH622" s="1"/>
    </row>
    <row r="623" spans="4:34"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  <c r="Z623" s="1"/>
      <c r="AA623" s="1"/>
      <c r="AB623" s="1"/>
      <c r="AC623" s="1"/>
      <c r="AD623" s="1"/>
      <c r="AE623" s="1"/>
      <c r="AF623" s="1"/>
      <c r="AG623" s="1"/>
      <c r="AH623" s="1"/>
    </row>
    <row r="624" spans="4:34"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  <c r="Z624" s="1"/>
      <c r="AA624" s="1"/>
      <c r="AB624" s="1"/>
      <c r="AC624" s="1"/>
      <c r="AD624" s="1"/>
      <c r="AE624" s="1"/>
      <c r="AF624" s="1"/>
      <c r="AG624" s="1"/>
      <c r="AH624" s="1"/>
    </row>
    <row r="625" spans="4:34"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  <c r="Z625" s="1"/>
      <c r="AA625" s="1"/>
      <c r="AB625" s="1"/>
      <c r="AC625" s="1"/>
      <c r="AD625" s="1"/>
      <c r="AE625" s="1"/>
      <c r="AF625" s="1"/>
      <c r="AG625" s="1"/>
      <c r="AH625" s="1"/>
    </row>
    <row r="626" spans="4:34"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  <c r="Z626" s="1"/>
      <c r="AA626" s="1"/>
      <c r="AB626" s="1"/>
      <c r="AC626" s="1"/>
      <c r="AD626" s="1"/>
      <c r="AE626" s="1"/>
      <c r="AF626" s="1"/>
      <c r="AG626" s="1"/>
      <c r="AH626" s="1"/>
    </row>
    <row r="627" spans="4:34"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  <c r="Z627" s="1"/>
      <c r="AA627" s="1"/>
      <c r="AB627" s="1"/>
      <c r="AC627" s="1"/>
      <c r="AD627" s="1"/>
      <c r="AE627" s="1"/>
      <c r="AF627" s="1"/>
      <c r="AG627" s="1"/>
      <c r="AH627" s="1"/>
    </row>
    <row r="628" spans="4:34"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  <c r="Z628" s="1"/>
      <c r="AA628" s="1"/>
      <c r="AB628" s="1"/>
      <c r="AC628" s="1"/>
      <c r="AD628" s="1"/>
      <c r="AE628" s="1"/>
      <c r="AF628" s="1"/>
      <c r="AG628" s="1"/>
      <c r="AH628" s="1"/>
    </row>
    <row r="629" spans="4:34"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  <c r="Z629" s="1"/>
      <c r="AA629" s="1"/>
      <c r="AB629" s="1"/>
      <c r="AC629" s="1"/>
      <c r="AD629" s="1"/>
      <c r="AE629" s="1"/>
      <c r="AF629" s="1"/>
      <c r="AG629" s="1"/>
      <c r="AH629" s="1"/>
    </row>
    <row r="630" spans="4:34"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  <c r="Z630" s="1"/>
      <c r="AA630" s="1"/>
      <c r="AB630" s="1"/>
      <c r="AC630" s="1"/>
      <c r="AD630" s="1"/>
      <c r="AE630" s="1"/>
      <c r="AF630" s="1"/>
      <c r="AG630" s="1"/>
      <c r="AH630" s="1"/>
    </row>
    <row r="631" spans="4:34"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  <c r="Z631" s="1"/>
      <c r="AA631" s="1"/>
      <c r="AB631" s="1"/>
      <c r="AC631" s="1"/>
      <c r="AD631" s="1"/>
      <c r="AE631" s="1"/>
      <c r="AF631" s="1"/>
      <c r="AG631" s="1"/>
      <c r="AH631" s="1"/>
    </row>
    <row r="632" spans="4:34"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  <c r="Z632" s="1"/>
      <c r="AA632" s="1"/>
      <c r="AB632" s="1"/>
      <c r="AC632" s="1"/>
      <c r="AD632" s="1"/>
      <c r="AE632" s="1"/>
      <c r="AF632" s="1"/>
      <c r="AG632" s="1"/>
      <c r="AH632" s="1"/>
    </row>
    <row r="633" spans="4:34"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  <c r="Z633" s="1"/>
      <c r="AA633" s="1"/>
      <c r="AB633" s="1"/>
      <c r="AC633" s="1"/>
      <c r="AD633" s="1"/>
      <c r="AE633" s="1"/>
      <c r="AF633" s="1"/>
      <c r="AG633" s="1"/>
      <c r="AH633" s="1"/>
    </row>
    <row r="634" spans="4:34"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  <c r="Z634" s="1"/>
      <c r="AA634" s="1"/>
      <c r="AB634" s="1"/>
      <c r="AC634" s="1"/>
      <c r="AD634" s="1"/>
      <c r="AE634" s="1"/>
      <c r="AF634" s="1"/>
      <c r="AG634" s="1"/>
      <c r="AH634" s="1"/>
    </row>
    <row r="635" spans="4:34"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  <c r="Z635" s="1"/>
      <c r="AA635" s="1"/>
      <c r="AB635" s="1"/>
      <c r="AC635" s="1"/>
      <c r="AD635" s="1"/>
      <c r="AE635" s="1"/>
      <c r="AF635" s="1"/>
      <c r="AG635" s="1"/>
      <c r="AH635" s="1"/>
    </row>
    <row r="636" spans="4:34"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  <c r="Z636" s="1"/>
      <c r="AA636" s="1"/>
      <c r="AB636" s="1"/>
      <c r="AC636" s="1"/>
      <c r="AD636" s="1"/>
      <c r="AE636" s="1"/>
      <c r="AF636" s="1"/>
      <c r="AG636" s="1"/>
      <c r="AH636" s="1"/>
    </row>
    <row r="637" spans="4:34"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  <c r="Z637" s="1"/>
      <c r="AA637" s="1"/>
      <c r="AB637" s="1"/>
      <c r="AC637" s="1"/>
      <c r="AD637" s="1"/>
      <c r="AE637" s="1"/>
      <c r="AF637" s="1"/>
      <c r="AG637" s="1"/>
      <c r="AH637" s="1"/>
    </row>
    <row r="638" spans="4:34"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  <c r="Z638" s="1"/>
      <c r="AA638" s="1"/>
      <c r="AB638" s="1"/>
      <c r="AC638" s="1"/>
      <c r="AD638" s="1"/>
      <c r="AE638" s="1"/>
      <c r="AF638" s="1"/>
      <c r="AG638" s="1"/>
      <c r="AH638" s="1"/>
    </row>
    <row r="639" spans="4:34"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  <c r="Z639" s="1"/>
      <c r="AA639" s="1"/>
      <c r="AB639" s="1"/>
      <c r="AC639" s="1"/>
      <c r="AD639" s="1"/>
      <c r="AE639" s="1"/>
      <c r="AF639" s="1"/>
      <c r="AG639" s="1"/>
      <c r="AH639" s="1"/>
    </row>
    <row r="640" spans="4:34"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  <c r="Z640" s="1"/>
      <c r="AA640" s="1"/>
      <c r="AB640" s="1"/>
      <c r="AC640" s="1"/>
      <c r="AD640" s="1"/>
      <c r="AE640" s="1"/>
      <c r="AF640" s="1"/>
      <c r="AG640" s="1"/>
      <c r="AH640" s="1"/>
    </row>
    <row r="641" spans="4:34"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  <c r="Z641" s="1"/>
      <c r="AA641" s="1"/>
      <c r="AB641" s="1"/>
      <c r="AC641" s="1"/>
      <c r="AD641" s="1"/>
      <c r="AE641" s="1"/>
      <c r="AF641" s="1"/>
      <c r="AG641" s="1"/>
      <c r="AH641" s="1"/>
    </row>
    <row r="642" spans="4:34"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  <c r="Z642" s="1"/>
      <c r="AA642" s="1"/>
      <c r="AB642" s="1"/>
      <c r="AC642" s="1"/>
      <c r="AD642" s="1"/>
      <c r="AE642" s="1"/>
      <c r="AF642" s="1"/>
      <c r="AG642" s="1"/>
      <c r="AH642" s="1"/>
    </row>
    <row r="643" spans="4:34"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  <c r="Z643" s="1"/>
      <c r="AA643" s="1"/>
      <c r="AB643" s="1"/>
      <c r="AC643" s="1"/>
      <c r="AD643" s="1"/>
      <c r="AE643" s="1"/>
      <c r="AF643" s="1"/>
      <c r="AG643" s="1"/>
      <c r="AH643" s="1"/>
    </row>
    <row r="644" spans="4:34"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  <c r="Z644" s="1"/>
      <c r="AA644" s="1"/>
      <c r="AB644" s="1"/>
      <c r="AC644" s="1"/>
      <c r="AD644" s="1"/>
      <c r="AE644" s="1"/>
      <c r="AF644" s="1"/>
      <c r="AG644" s="1"/>
      <c r="AH644" s="1"/>
    </row>
    <row r="645" spans="4:34"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  <c r="Z645" s="1"/>
      <c r="AA645" s="1"/>
      <c r="AB645" s="1"/>
      <c r="AC645" s="1"/>
      <c r="AD645" s="1"/>
      <c r="AE645" s="1"/>
      <c r="AF645" s="1"/>
      <c r="AG645" s="1"/>
      <c r="AH645" s="1"/>
    </row>
    <row r="646" spans="4:34"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  <c r="Z646" s="1"/>
      <c r="AA646" s="1"/>
      <c r="AB646" s="1"/>
      <c r="AC646" s="1"/>
      <c r="AD646" s="1"/>
      <c r="AE646" s="1"/>
      <c r="AF646" s="1"/>
      <c r="AG646" s="1"/>
      <c r="AH646" s="1"/>
    </row>
    <row r="647" spans="4:34"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  <c r="Z647" s="1"/>
      <c r="AA647" s="1"/>
      <c r="AB647" s="1"/>
      <c r="AC647" s="1"/>
      <c r="AD647" s="1"/>
      <c r="AE647" s="1"/>
      <c r="AF647" s="1"/>
      <c r="AG647" s="1"/>
      <c r="AH647" s="1"/>
    </row>
    <row r="648" spans="4:34"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  <c r="Z648" s="1"/>
      <c r="AA648" s="1"/>
      <c r="AB648" s="1"/>
      <c r="AC648" s="1"/>
      <c r="AD648" s="1"/>
      <c r="AE648" s="1"/>
      <c r="AF648" s="1"/>
      <c r="AG648" s="1"/>
      <c r="AH648" s="1"/>
    </row>
    <row r="649" spans="4:34"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  <c r="Z649" s="1"/>
      <c r="AA649" s="1"/>
      <c r="AB649" s="1"/>
      <c r="AC649" s="1"/>
      <c r="AD649" s="1"/>
      <c r="AE649" s="1"/>
      <c r="AF649" s="1"/>
      <c r="AG649" s="1"/>
      <c r="AH649" s="1"/>
    </row>
    <row r="650" spans="4:34"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  <c r="Z650" s="1"/>
      <c r="AA650" s="1"/>
      <c r="AB650" s="1"/>
      <c r="AC650" s="1"/>
      <c r="AD650" s="1"/>
      <c r="AE650" s="1"/>
      <c r="AF650" s="1"/>
      <c r="AG650" s="1"/>
      <c r="AH650" s="1"/>
    </row>
    <row r="651" spans="4:34"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  <c r="Z651" s="1"/>
      <c r="AA651" s="1"/>
      <c r="AB651" s="1"/>
      <c r="AC651" s="1"/>
      <c r="AD651" s="1"/>
      <c r="AE651" s="1"/>
      <c r="AF651" s="1"/>
      <c r="AG651" s="1"/>
      <c r="AH651" s="1"/>
    </row>
    <row r="652" spans="4:34"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  <c r="Z652" s="1"/>
      <c r="AA652" s="1"/>
      <c r="AB652" s="1"/>
      <c r="AC652" s="1"/>
      <c r="AD652" s="1"/>
      <c r="AE652" s="1"/>
      <c r="AF652" s="1"/>
      <c r="AG652" s="1"/>
      <c r="AH652" s="1"/>
    </row>
    <row r="653" spans="4:34"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  <c r="Z653" s="1"/>
      <c r="AA653" s="1"/>
      <c r="AB653" s="1"/>
      <c r="AC653" s="1"/>
      <c r="AD653" s="1"/>
      <c r="AE653" s="1"/>
      <c r="AF653" s="1"/>
      <c r="AG653" s="1"/>
      <c r="AH653" s="1"/>
    </row>
    <row r="654" spans="4:34"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  <c r="Z654" s="1"/>
      <c r="AA654" s="1"/>
      <c r="AB654" s="1"/>
      <c r="AC654" s="1"/>
      <c r="AD654" s="1"/>
      <c r="AE654" s="1"/>
      <c r="AF654" s="1"/>
      <c r="AG654" s="1"/>
      <c r="AH654" s="1"/>
    </row>
    <row r="655" spans="4:34"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  <c r="Z655" s="1"/>
      <c r="AA655" s="1"/>
      <c r="AB655" s="1"/>
      <c r="AC655" s="1"/>
      <c r="AD655" s="1"/>
      <c r="AE655" s="1"/>
      <c r="AF655" s="1"/>
      <c r="AG655" s="1"/>
      <c r="AH655" s="1"/>
    </row>
    <row r="656" spans="4:34"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  <c r="Z656" s="1"/>
      <c r="AA656" s="1"/>
      <c r="AB656" s="1"/>
      <c r="AC656" s="1"/>
      <c r="AD656" s="1"/>
      <c r="AE656" s="1"/>
      <c r="AF656" s="1"/>
      <c r="AG656" s="1"/>
      <c r="AH656" s="1"/>
    </row>
    <row r="657" spans="4:34"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  <c r="Z657" s="1"/>
      <c r="AA657" s="1"/>
      <c r="AB657" s="1"/>
      <c r="AC657" s="1"/>
      <c r="AD657" s="1"/>
      <c r="AE657" s="1"/>
      <c r="AF657" s="1"/>
      <c r="AG657" s="1"/>
      <c r="AH657" s="1"/>
    </row>
    <row r="658" spans="4:34"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  <c r="Z658" s="1"/>
      <c r="AA658" s="1"/>
      <c r="AB658" s="1"/>
      <c r="AC658" s="1"/>
      <c r="AD658" s="1"/>
      <c r="AE658" s="1"/>
      <c r="AF658" s="1"/>
      <c r="AG658" s="1"/>
      <c r="AH658" s="1"/>
    </row>
    <row r="659" spans="4:34"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  <c r="Z659" s="1"/>
      <c r="AA659" s="1"/>
      <c r="AB659" s="1"/>
      <c r="AC659" s="1"/>
      <c r="AD659" s="1"/>
      <c r="AE659" s="1"/>
      <c r="AF659" s="1"/>
      <c r="AG659" s="1"/>
      <c r="AH659" s="1"/>
    </row>
    <row r="660" spans="4:34"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  <c r="Z660" s="1"/>
      <c r="AA660" s="1"/>
      <c r="AB660" s="1"/>
      <c r="AC660" s="1"/>
      <c r="AD660" s="1"/>
      <c r="AE660" s="1"/>
      <c r="AF660" s="1"/>
      <c r="AG660" s="1"/>
      <c r="AH660" s="1"/>
    </row>
    <row r="661" spans="4:34"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  <c r="Z661" s="1"/>
      <c r="AA661" s="1"/>
      <c r="AB661" s="1"/>
      <c r="AC661" s="1"/>
      <c r="AD661" s="1"/>
      <c r="AE661" s="1"/>
      <c r="AF661" s="1"/>
      <c r="AG661" s="1"/>
      <c r="AH661" s="1"/>
    </row>
    <row r="662" spans="4:34"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  <c r="Z662" s="1"/>
      <c r="AA662" s="1"/>
      <c r="AB662" s="1"/>
      <c r="AC662" s="1"/>
      <c r="AD662" s="1"/>
      <c r="AE662" s="1"/>
      <c r="AF662" s="1"/>
      <c r="AG662" s="1"/>
      <c r="AH662" s="1"/>
    </row>
    <row r="663" spans="4:34"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  <c r="Z663" s="1"/>
      <c r="AA663" s="1"/>
      <c r="AB663" s="1"/>
      <c r="AC663" s="1"/>
      <c r="AD663" s="1"/>
      <c r="AE663" s="1"/>
      <c r="AF663" s="1"/>
      <c r="AG663" s="1"/>
      <c r="AH663" s="1"/>
    </row>
    <row r="664" spans="4:34"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  <c r="Z664" s="1"/>
      <c r="AA664" s="1"/>
      <c r="AB664" s="1"/>
      <c r="AC664" s="1"/>
      <c r="AD664" s="1"/>
      <c r="AE664" s="1"/>
      <c r="AF664" s="1"/>
      <c r="AG664" s="1"/>
      <c r="AH664" s="1"/>
    </row>
    <row r="665" spans="4:34"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  <c r="Z665" s="1"/>
      <c r="AA665" s="1"/>
      <c r="AB665" s="1"/>
      <c r="AC665" s="1"/>
      <c r="AD665" s="1"/>
      <c r="AE665" s="1"/>
      <c r="AF665" s="1"/>
      <c r="AG665" s="1"/>
      <c r="AH665" s="1"/>
    </row>
    <row r="666" spans="4:34"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  <c r="Z666" s="1"/>
      <c r="AA666" s="1"/>
      <c r="AB666" s="1"/>
      <c r="AC666" s="1"/>
      <c r="AD666" s="1"/>
      <c r="AE666" s="1"/>
      <c r="AF666" s="1"/>
      <c r="AG666" s="1"/>
      <c r="AH666" s="1"/>
    </row>
    <row r="667" spans="4:34"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  <c r="Z667" s="1"/>
      <c r="AA667" s="1"/>
      <c r="AB667" s="1"/>
      <c r="AC667" s="1"/>
      <c r="AD667" s="1"/>
      <c r="AE667" s="1"/>
      <c r="AF667" s="1"/>
      <c r="AG667" s="1"/>
      <c r="AH667" s="1"/>
    </row>
    <row r="668" spans="4:34"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  <c r="Z668" s="1"/>
      <c r="AA668" s="1"/>
      <c r="AB668" s="1"/>
      <c r="AC668" s="1"/>
      <c r="AD668" s="1"/>
      <c r="AE668" s="1"/>
      <c r="AF668" s="1"/>
      <c r="AG668" s="1"/>
      <c r="AH668" s="1"/>
    </row>
    <row r="669" spans="4:34"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  <c r="Z669" s="1"/>
      <c r="AA669" s="1"/>
      <c r="AB669" s="1"/>
      <c r="AC669" s="1"/>
      <c r="AD669" s="1"/>
      <c r="AE669" s="1"/>
      <c r="AF669" s="1"/>
      <c r="AG669" s="1"/>
      <c r="AH669" s="1"/>
    </row>
    <row r="670" spans="4:34"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  <c r="Z670" s="1"/>
      <c r="AA670" s="1"/>
      <c r="AB670" s="1"/>
      <c r="AC670" s="1"/>
      <c r="AD670" s="1"/>
      <c r="AE670" s="1"/>
      <c r="AF670" s="1"/>
      <c r="AG670" s="1"/>
      <c r="AH670" s="1"/>
    </row>
    <row r="671" spans="4:34"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  <c r="Z671" s="1"/>
      <c r="AA671" s="1"/>
      <c r="AB671" s="1"/>
      <c r="AC671" s="1"/>
      <c r="AD671" s="1"/>
      <c r="AE671" s="1"/>
      <c r="AF671" s="1"/>
      <c r="AG671" s="1"/>
      <c r="AH671" s="1"/>
    </row>
    <row r="672" spans="4:34"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  <c r="Z672" s="1"/>
      <c r="AA672" s="1"/>
      <c r="AB672" s="1"/>
      <c r="AC672" s="1"/>
      <c r="AD672" s="1"/>
      <c r="AE672" s="1"/>
      <c r="AF672" s="1"/>
      <c r="AG672" s="1"/>
      <c r="AH672" s="1"/>
    </row>
    <row r="673" spans="4:34"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  <c r="Z673" s="1"/>
      <c r="AA673" s="1"/>
      <c r="AB673" s="1"/>
      <c r="AC673" s="1"/>
      <c r="AD673" s="1"/>
      <c r="AE673" s="1"/>
      <c r="AF673" s="1"/>
      <c r="AG673" s="1"/>
      <c r="AH673" s="1"/>
    </row>
    <row r="674" spans="4:34"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  <c r="Z674" s="1"/>
      <c r="AA674" s="1"/>
      <c r="AB674" s="1"/>
      <c r="AC674" s="1"/>
      <c r="AD674" s="1"/>
      <c r="AE674" s="1"/>
      <c r="AF674" s="1"/>
      <c r="AG674" s="1"/>
      <c r="AH674" s="1"/>
    </row>
    <row r="675" spans="4:34"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  <c r="Z675" s="1"/>
      <c r="AA675" s="1"/>
      <c r="AB675" s="1"/>
      <c r="AC675" s="1"/>
      <c r="AD675" s="1"/>
      <c r="AE675" s="1"/>
      <c r="AF675" s="1"/>
      <c r="AG675" s="1"/>
      <c r="AH675" s="1"/>
    </row>
    <row r="676" spans="4:34"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  <c r="Z676" s="1"/>
      <c r="AA676" s="1"/>
      <c r="AB676" s="1"/>
      <c r="AC676" s="1"/>
      <c r="AD676" s="1"/>
      <c r="AE676" s="1"/>
      <c r="AF676" s="1"/>
      <c r="AG676" s="1"/>
      <c r="AH676" s="1"/>
    </row>
    <row r="677" spans="4:34"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  <c r="Z677" s="1"/>
      <c r="AA677" s="1"/>
      <c r="AB677" s="1"/>
      <c r="AC677" s="1"/>
      <c r="AD677" s="1"/>
      <c r="AE677" s="1"/>
      <c r="AF677" s="1"/>
      <c r="AG677" s="1"/>
      <c r="AH677" s="1"/>
    </row>
    <row r="678" spans="4:34"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  <c r="Z678" s="1"/>
      <c r="AA678" s="1"/>
      <c r="AB678" s="1"/>
      <c r="AC678" s="1"/>
      <c r="AD678" s="1"/>
      <c r="AE678" s="1"/>
      <c r="AF678" s="1"/>
      <c r="AG678" s="1"/>
      <c r="AH678" s="1"/>
    </row>
    <row r="679" spans="4:34"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  <c r="Z679" s="1"/>
      <c r="AA679" s="1"/>
      <c r="AB679" s="1"/>
      <c r="AC679" s="1"/>
      <c r="AD679" s="1"/>
      <c r="AE679" s="1"/>
      <c r="AF679" s="1"/>
      <c r="AG679" s="1"/>
      <c r="AH679" s="1"/>
    </row>
    <row r="680" spans="4:34"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  <c r="Z680" s="1"/>
      <c r="AA680" s="1"/>
      <c r="AB680" s="1"/>
      <c r="AC680" s="1"/>
      <c r="AD680" s="1"/>
      <c r="AE680" s="1"/>
      <c r="AF680" s="1"/>
      <c r="AG680" s="1"/>
      <c r="AH680" s="1"/>
    </row>
    <row r="681" spans="4:34"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  <c r="Z681" s="1"/>
      <c r="AA681" s="1"/>
      <c r="AB681" s="1"/>
      <c r="AC681" s="1"/>
      <c r="AD681" s="1"/>
      <c r="AE681" s="1"/>
      <c r="AF681" s="1"/>
      <c r="AG681" s="1"/>
      <c r="AH681" s="1"/>
    </row>
    <row r="682" spans="4:34"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  <c r="Z682" s="1"/>
      <c r="AA682" s="1"/>
      <c r="AB682" s="1"/>
      <c r="AC682" s="1"/>
      <c r="AD682" s="1"/>
      <c r="AE682" s="1"/>
      <c r="AF682" s="1"/>
      <c r="AG682" s="1"/>
      <c r="AH682" s="1"/>
    </row>
    <row r="683" spans="4:34"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  <c r="Z683" s="1"/>
      <c r="AA683" s="1"/>
      <c r="AB683" s="1"/>
      <c r="AC683" s="1"/>
      <c r="AD683" s="1"/>
      <c r="AE683" s="1"/>
      <c r="AF683" s="1"/>
      <c r="AG683" s="1"/>
      <c r="AH683" s="1"/>
    </row>
    <row r="684" spans="4:34"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  <c r="Z684" s="1"/>
      <c r="AA684" s="1"/>
      <c r="AB684" s="1"/>
      <c r="AC684" s="1"/>
      <c r="AD684" s="1"/>
      <c r="AE684" s="1"/>
      <c r="AF684" s="1"/>
      <c r="AG684" s="1"/>
      <c r="AH684" s="1"/>
    </row>
    <row r="685" spans="4:34"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  <c r="Z685" s="1"/>
      <c r="AA685" s="1"/>
      <c r="AB685" s="1"/>
      <c r="AC685" s="1"/>
      <c r="AD685" s="1"/>
      <c r="AE685" s="1"/>
      <c r="AF685" s="1"/>
      <c r="AG685" s="1"/>
      <c r="AH685" s="1"/>
    </row>
    <row r="686" spans="4:34"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  <c r="Z686" s="1"/>
      <c r="AA686" s="1"/>
      <c r="AB686" s="1"/>
      <c r="AC686" s="1"/>
      <c r="AD686" s="1"/>
      <c r="AE686" s="1"/>
      <c r="AF686" s="1"/>
      <c r="AG686" s="1"/>
      <c r="AH686" s="1"/>
    </row>
    <row r="687" spans="4:34"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  <c r="Z687" s="1"/>
      <c r="AA687" s="1"/>
      <c r="AB687" s="1"/>
      <c r="AC687" s="1"/>
      <c r="AD687" s="1"/>
      <c r="AE687" s="1"/>
      <c r="AF687" s="1"/>
      <c r="AG687" s="1"/>
      <c r="AH687" s="1"/>
    </row>
    <row r="688" spans="4:34"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  <c r="Z688" s="1"/>
      <c r="AA688" s="1"/>
      <c r="AB688" s="1"/>
      <c r="AC688" s="1"/>
      <c r="AD688" s="1"/>
      <c r="AE688" s="1"/>
      <c r="AF688" s="1"/>
      <c r="AG688" s="1"/>
      <c r="AH688" s="1"/>
    </row>
    <row r="689" spans="4:34"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  <c r="Z689" s="1"/>
      <c r="AA689" s="1"/>
      <c r="AB689" s="1"/>
      <c r="AC689" s="1"/>
      <c r="AD689" s="1"/>
      <c r="AE689" s="1"/>
      <c r="AF689" s="1"/>
      <c r="AG689" s="1"/>
      <c r="AH689" s="1"/>
    </row>
    <row r="690" spans="4:34"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  <c r="Z690" s="1"/>
      <c r="AA690" s="1"/>
      <c r="AB690" s="1"/>
      <c r="AC690" s="1"/>
      <c r="AD690" s="1"/>
      <c r="AE690" s="1"/>
      <c r="AF690" s="1"/>
      <c r="AG690" s="1"/>
      <c r="AH690" s="1"/>
    </row>
    <row r="691" spans="4:34"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  <c r="Z691" s="1"/>
      <c r="AA691" s="1"/>
      <c r="AB691" s="1"/>
      <c r="AC691" s="1"/>
      <c r="AD691" s="1"/>
      <c r="AE691" s="1"/>
      <c r="AF691" s="1"/>
      <c r="AG691" s="1"/>
      <c r="AH691" s="1"/>
    </row>
    <row r="692" spans="4:34"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  <c r="Z692" s="1"/>
      <c r="AA692" s="1"/>
      <c r="AB692" s="1"/>
      <c r="AC692" s="1"/>
      <c r="AD692" s="1"/>
      <c r="AE692" s="1"/>
      <c r="AF692" s="1"/>
      <c r="AG692" s="1"/>
      <c r="AH692" s="1"/>
    </row>
    <row r="693" spans="4:34"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  <c r="Z693" s="1"/>
      <c r="AA693" s="1"/>
      <c r="AB693" s="1"/>
      <c r="AC693" s="1"/>
      <c r="AD693" s="1"/>
      <c r="AE693" s="1"/>
      <c r="AF693" s="1"/>
      <c r="AG693" s="1"/>
      <c r="AH693" s="1"/>
    </row>
    <row r="694" spans="4:34"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  <c r="Z694" s="1"/>
      <c r="AA694" s="1"/>
      <c r="AB694" s="1"/>
      <c r="AC694" s="1"/>
      <c r="AD694" s="1"/>
      <c r="AE694" s="1"/>
      <c r="AF694" s="1"/>
      <c r="AG694" s="1"/>
      <c r="AH694" s="1"/>
    </row>
    <row r="695" spans="4:34"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  <c r="Z695" s="1"/>
      <c r="AA695" s="1"/>
      <c r="AB695" s="1"/>
      <c r="AC695" s="1"/>
      <c r="AD695" s="1"/>
      <c r="AE695" s="1"/>
      <c r="AF695" s="1"/>
      <c r="AG695" s="1"/>
      <c r="AH695" s="1"/>
    </row>
    <row r="696" spans="4:34"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  <c r="Z696" s="1"/>
      <c r="AA696" s="1"/>
      <c r="AB696" s="1"/>
      <c r="AC696" s="1"/>
      <c r="AD696" s="1"/>
      <c r="AE696" s="1"/>
      <c r="AF696" s="1"/>
      <c r="AG696" s="1"/>
      <c r="AH696" s="1"/>
    </row>
    <row r="697" spans="4:34"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  <c r="Z697" s="1"/>
      <c r="AA697" s="1"/>
      <c r="AB697" s="1"/>
      <c r="AC697" s="1"/>
      <c r="AD697" s="1"/>
      <c r="AE697" s="1"/>
      <c r="AF697" s="1"/>
      <c r="AG697" s="1"/>
      <c r="AH697" s="1"/>
    </row>
    <row r="698" spans="4:34"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  <c r="Z698" s="1"/>
      <c r="AA698" s="1"/>
      <c r="AB698" s="1"/>
      <c r="AC698" s="1"/>
      <c r="AD698" s="1"/>
      <c r="AE698" s="1"/>
      <c r="AF698" s="1"/>
      <c r="AG698" s="1"/>
      <c r="AH698" s="1"/>
    </row>
    <row r="699" spans="4:34"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  <c r="Z699" s="1"/>
      <c r="AA699" s="1"/>
      <c r="AB699" s="1"/>
      <c r="AC699" s="1"/>
      <c r="AD699" s="1"/>
      <c r="AE699" s="1"/>
      <c r="AF699" s="1"/>
      <c r="AG699" s="1"/>
      <c r="AH699" s="1"/>
    </row>
    <row r="700" spans="4:34"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  <c r="Z700" s="1"/>
      <c r="AA700" s="1"/>
      <c r="AB700" s="1"/>
      <c r="AC700" s="1"/>
      <c r="AD700" s="1"/>
      <c r="AE700" s="1"/>
      <c r="AF700" s="1"/>
      <c r="AG700" s="1"/>
      <c r="AH700" s="1"/>
    </row>
    <row r="701" spans="4:34"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  <c r="Z701" s="1"/>
      <c r="AA701" s="1"/>
      <c r="AB701" s="1"/>
      <c r="AC701" s="1"/>
      <c r="AD701" s="1"/>
      <c r="AE701" s="1"/>
      <c r="AF701" s="1"/>
      <c r="AG701" s="1"/>
      <c r="AH701" s="1"/>
    </row>
    <row r="702" spans="4:34"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  <c r="Z702" s="1"/>
      <c r="AA702" s="1"/>
      <c r="AB702" s="1"/>
      <c r="AC702" s="1"/>
      <c r="AD702" s="1"/>
      <c r="AE702" s="1"/>
      <c r="AF702" s="1"/>
      <c r="AG702" s="1"/>
      <c r="AH702" s="1"/>
    </row>
    <row r="703" spans="4:34"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  <c r="Z703" s="1"/>
      <c r="AA703" s="1"/>
      <c r="AB703" s="1"/>
      <c r="AC703" s="1"/>
      <c r="AD703" s="1"/>
      <c r="AE703" s="1"/>
      <c r="AF703" s="1"/>
      <c r="AG703" s="1"/>
      <c r="AH703" s="1"/>
    </row>
    <row r="704" spans="4:34"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  <c r="Z704" s="1"/>
      <c r="AA704" s="1"/>
      <c r="AB704" s="1"/>
      <c r="AC704" s="1"/>
      <c r="AD704" s="1"/>
      <c r="AE704" s="1"/>
      <c r="AF704" s="1"/>
      <c r="AG704" s="1"/>
      <c r="AH704" s="1"/>
    </row>
    <row r="705" spans="4:34"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  <c r="Z705" s="1"/>
      <c r="AA705" s="1"/>
      <c r="AB705" s="1"/>
      <c r="AC705" s="1"/>
      <c r="AD705" s="1"/>
      <c r="AE705" s="1"/>
      <c r="AF705" s="1"/>
      <c r="AG705" s="1"/>
      <c r="AH705" s="1"/>
    </row>
    <row r="706" spans="4:34"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  <c r="Z706" s="1"/>
      <c r="AA706" s="1"/>
      <c r="AB706" s="1"/>
      <c r="AC706" s="1"/>
      <c r="AD706" s="1"/>
      <c r="AE706" s="1"/>
      <c r="AF706" s="1"/>
      <c r="AG706" s="1"/>
      <c r="AH706" s="1"/>
    </row>
    <row r="707" spans="4:34"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  <c r="Z707" s="1"/>
      <c r="AA707" s="1"/>
      <c r="AB707" s="1"/>
      <c r="AC707" s="1"/>
      <c r="AD707" s="1"/>
      <c r="AE707" s="1"/>
      <c r="AF707" s="1"/>
      <c r="AG707" s="1"/>
      <c r="AH707" s="1"/>
    </row>
    <row r="708" spans="4:34"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  <c r="Z708" s="1"/>
      <c r="AA708" s="1"/>
      <c r="AB708" s="1"/>
      <c r="AC708" s="1"/>
      <c r="AD708" s="1"/>
      <c r="AE708" s="1"/>
      <c r="AF708" s="1"/>
      <c r="AG708" s="1"/>
      <c r="AH708" s="1"/>
    </row>
    <row r="709" spans="4:34"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  <c r="Z709" s="1"/>
      <c r="AA709" s="1"/>
      <c r="AB709" s="1"/>
      <c r="AC709" s="1"/>
      <c r="AD709" s="1"/>
      <c r="AE709" s="1"/>
      <c r="AF709" s="1"/>
      <c r="AG709" s="1"/>
      <c r="AH709" s="1"/>
    </row>
    <row r="710" spans="4:34"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  <c r="Z710" s="1"/>
      <c r="AA710" s="1"/>
      <c r="AB710" s="1"/>
      <c r="AC710" s="1"/>
      <c r="AD710" s="1"/>
      <c r="AE710" s="1"/>
      <c r="AF710" s="1"/>
      <c r="AG710" s="1"/>
      <c r="AH710" s="1"/>
    </row>
    <row r="711" spans="4:34"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  <c r="Z711" s="1"/>
      <c r="AA711" s="1"/>
      <c r="AB711" s="1"/>
      <c r="AC711" s="1"/>
      <c r="AD711" s="1"/>
      <c r="AE711" s="1"/>
      <c r="AF711" s="1"/>
      <c r="AG711" s="1"/>
      <c r="AH711" s="1"/>
    </row>
    <row r="712" spans="4:34"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  <c r="Z712" s="1"/>
      <c r="AA712" s="1"/>
      <c r="AB712" s="1"/>
      <c r="AC712" s="1"/>
      <c r="AD712" s="1"/>
      <c r="AE712" s="1"/>
      <c r="AF712" s="1"/>
      <c r="AG712" s="1"/>
      <c r="AH712" s="1"/>
    </row>
    <row r="713" spans="4:34"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  <c r="Z713" s="1"/>
      <c r="AA713" s="1"/>
      <c r="AB713" s="1"/>
      <c r="AC713" s="1"/>
      <c r="AD713" s="1"/>
      <c r="AE713" s="1"/>
      <c r="AF713" s="1"/>
      <c r="AG713" s="1"/>
      <c r="AH713" s="1"/>
    </row>
    <row r="714" spans="4:34"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  <c r="Z714" s="1"/>
      <c r="AA714" s="1"/>
      <c r="AB714" s="1"/>
      <c r="AC714" s="1"/>
      <c r="AD714" s="1"/>
      <c r="AE714" s="1"/>
      <c r="AF714" s="1"/>
      <c r="AG714" s="1"/>
      <c r="AH714" s="1"/>
    </row>
    <row r="715" spans="4:34"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  <c r="Z715" s="1"/>
      <c r="AA715" s="1"/>
      <c r="AB715" s="1"/>
      <c r="AC715" s="1"/>
      <c r="AD715" s="1"/>
      <c r="AE715" s="1"/>
      <c r="AF715" s="1"/>
      <c r="AG715" s="1"/>
      <c r="AH715" s="1"/>
    </row>
    <row r="716" spans="4:34"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  <c r="Z716" s="1"/>
      <c r="AA716" s="1"/>
      <c r="AB716" s="1"/>
      <c r="AC716" s="1"/>
      <c r="AD716" s="1"/>
      <c r="AE716" s="1"/>
      <c r="AF716" s="1"/>
      <c r="AG716" s="1"/>
      <c r="AH716" s="1"/>
    </row>
    <row r="717" spans="4:34"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  <c r="Z717" s="1"/>
      <c r="AA717" s="1"/>
      <c r="AB717" s="1"/>
      <c r="AC717" s="1"/>
      <c r="AD717" s="1"/>
      <c r="AE717" s="1"/>
      <c r="AF717" s="1"/>
      <c r="AG717" s="1"/>
      <c r="AH717" s="1"/>
    </row>
    <row r="718" spans="4:34"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  <c r="Z718" s="1"/>
      <c r="AA718" s="1"/>
      <c r="AB718" s="1"/>
      <c r="AC718" s="1"/>
      <c r="AD718" s="1"/>
      <c r="AE718" s="1"/>
      <c r="AF718" s="1"/>
      <c r="AG718" s="1"/>
      <c r="AH718" s="1"/>
    </row>
    <row r="719" spans="4:34"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  <c r="Z719" s="1"/>
      <c r="AA719" s="1"/>
      <c r="AB719" s="1"/>
      <c r="AC719" s="1"/>
      <c r="AD719" s="1"/>
      <c r="AE719" s="1"/>
      <c r="AF719" s="1"/>
      <c r="AG719" s="1"/>
      <c r="AH719" s="1"/>
    </row>
    <row r="720" spans="4:34"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  <c r="Z720" s="1"/>
      <c r="AA720" s="1"/>
      <c r="AB720" s="1"/>
      <c r="AC720" s="1"/>
      <c r="AD720" s="1"/>
      <c r="AE720" s="1"/>
      <c r="AF720" s="1"/>
      <c r="AG720" s="1"/>
      <c r="AH720" s="1"/>
    </row>
    <row r="721" spans="4:34"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  <c r="Z721" s="1"/>
      <c r="AA721" s="1"/>
      <c r="AB721" s="1"/>
      <c r="AC721" s="1"/>
      <c r="AD721" s="1"/>
      <c r="AE721" s="1"/>
      <c r="AF721" s="1"/>
      <c r="AG721" s="1"/>
      <c r="AH721" s="1"/>
    </row>
    <row r="722" spans="4:34"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  <c r="Z722" s="1"/>
      <c r="AA722" s="1"/>
      <c r="AB722" s="1"/>
      <c r="AC722" s="1"/>
      <c r="AD722" s="1"/>
      <c r="AE722" s="1"/>
      <c r="AF722" s="1"/>
      <c r="AG722" s="1"/>
      <c r="AH722" s="1"/>
    </row>
    <row r="723" spans="4:34"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  <c r="Z723" s="1"/>
      <c r="AA723" s="1"/>
      <c r="AB723" s="1"/>
      <c r="AC723" s="1"/>
      <c r="AD723" s="1"/>
      <c r="AE723" s="1"/>
      <c r="AF723" s="1"/>
      <c r="AG723" s="1"/>
      <c r="AH723" s="1"/>
    </row>
    <row r="724" spans="4:34"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  <c r="Z724" s="1"/>
      <c r="AA724" s="1"/>
      <c r="AB724" s="1"/>
      <c r="AC724" s="1"/>
      <c r="AD724" s="1"/>
      <c r="AE724" s="1"/>
      <c r="AF724" s="1"/>
      <c r="AG724" s="1"/>
      <c r="AH724" s="1"/>
    </row>
    <row r="725" spans="4:34"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  <c r="Z725" s="1"/>
      <c r="AA725" s="1"/>
      <c r="AB725" s="1"/>
      <c r="AC725" s="1"/>
      <c r="AD725" s="1"/>
      <c r="AE725" s="1"/>
      <c r="AF725" s="1"/>
      <c r="AG725" s="1"/>
      <c r="AH725" s="1"/>
    </row>
    <row r="726" spans="4:34"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  <c r="Z726" s="1"/>
      <c r="AA726" s="1"/>
      <c r="AB726" s="1"/>
      <c r="AC726" s="1"/>
      <c r="AD726" s="1"/>
      <c r="AE726" s="1"/>
      <c r="AF726" s="1"/>
      <c r="AG726" s="1"/>
      <c r="AH726" s="1"/>
    </row>
    <row r="727" spans="4:34"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  <c r="Z727" s="1"/>
      <c r="AA727" s="1"/>
      <c r="AB727" s="1"/>
      <c r="AC727" s="1"/>
      <c r="AD727" s="1"/>
      <c r="AE727" s="1"/>
      <c r="AF727" s="1"/>
      <c r="AG727" s="1"/>
      <c r="AH727" s="1"/>
    </row>
    <row r="728" spans="4:34"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  <c r="Z728" s="1"/>
      <c r="AA728" s="1"/>
      <c r="AB728" s="1"/>
      <c r="AC728" s="1"/>
      <c r="AD728" s="1"/>
      <c r="AE728" s="1"/>
      <c r="AF728" s="1"/>
      <c r="AG728" s="1"/>
      <c r="AH728" s="1"/>
    </row>
    <row r="729" spans="4:34"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  <c r="Z729" s="1"/>
      <c r="AA729" s="1"/>
      <c r="AB729" s="1"/>
      <c r="AC729" s="1"/>
      <c r="AD729" s="1"/>
      <c r="AE729" s="1"/>
      <c r="AF729" s="1"/>
      <c r="AG729" s="1"/>
      <c r="AH729" s="1"/>
    </row>
    <row r="730" spans="4:34"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  <c r="Z730" s="1"/>
      <c r="AA730" s="1"/>
      <c r="AB730" s="1"/>
      <c r="AC730" s="1"/>
      <c r="AD730" s="1"/>
      <c r="AE730" s="1"/>
      <c r="AF730" s="1"/>
      <c r="AG730" s="1"/>
      <c r="AH730" s="1"/>
    </row>
    <row r="731" spans="4:34"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  <c r="Z731" s="1"/>
      <c r="AA731" s="1"/>
      <c r="AB731" s="1"/>
      <c r="AC731" s="1"/>
      <c r="AD731" s="1"/>
      <c r="AE731" s="1"/>
      <c r="AF731" s="1"/>
      <c r="AG731" s="1"/>
      <c r="AH731" s="1"/>
    </row>
    <row r="732" spans="4:34"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  <c r="Z732" s="1"/>
      <c r="AA732" s="1"/>
      <c r="AB732" s="1"/>
      <c r="AC732" s="1"/>
      <c r="AD732" s="1"/>
      <c r="AE732" s="1"/>
      <c r="AF732" s="1"/>
      <c r="AG732" s="1"/>
      <c r="AH732" s="1"/>
    </row>
    <row r="733" spans="4:34"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  <c r="Z733" s="1"/>
      <c r="AA733" s="1"/>
      <c r="AB733" s="1"/>
      <c r="AC733" s="1"/>
      <c r="AD733" s="1"/>
      <c r="AE733" s="1"/>
      <c r="AF733" s="1"/>
      <c r="AG733" s="1"/>
      <c r="AH733" s="1"/>
    </row>
    <row r="734" spans="4:34"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  <c r="Z734" s="1"/>
      <c r="AA734" s="1"/>
      <c r="AB734" s="1"/>
      <c r="AC734" s="1"/>
      <c r="AD734" s="1"/>
      <c r="AE734" s="1"/>
      <c r="AF734" s="1"/>
      <c r="AG734" s="1"/>
      <c r="AH734" s="1"/>
    </row>
    <row r="735" spans="4:34"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  <c r="Z735" s="1"/>
      <c r="AA735" s="1"/>
      <c r="AB735" s="1"/>
      <c r="AC735" s="1"/>
      <c r="AD735" s="1"/>
      <c r="AE735" s="1"/>
      <c r="AF735" s="1"/>
      <c r="AG735" s="1"/>
      <c r="AH735" s="1"/>
    </row>
    <row r="736" spans="4:34"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  <c r="Z736" s="1"/>
      <c r="AA736" s="1"/>
      <c r="AB736" s="1"/>
      <c r="AC736" s="1"/>
      <c r="AD736" s="1"/>
      <c r="AE736" s="1"/>
      <c r="AF736" s="1"/>
      <c r="AG736" s="1"/>
      <c r="AH736" s="1"/>
    </row>
    <row r="737" spans="4:34"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  <c r="Z737" s="1"/>
      <c r="AA737" s="1"/>
      <c r="AB737" s="1"/>
      <c r="AC737" s="1"/>
      <c r="AD737" s="1"/>
      <c r="AE737" s="1"/>
      <c r="AF737" s="1"/>
      <c r="AG737" s="1"/>
      <c r="AH737" s="1"/>
    </row>
    <row r="738" spans="4:34"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  <c r="Z738" s="1"/>
      <c r="AA738" s="1"/>
      <c r="AB738" s="1"/>
      <c r="AC738" s="1"/>
      <c r="AD738" s="1"/>
      <c r="AE738" s="1"/>
      <c r="AF738" s="1"/>
      <c r="AG738" s="1"/>
      <c r="AH738" s="1"/>
    </row>
    <row r="739" spans="4:34"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  <c r="Z739" s="1"/>
      <c r="AA739" s="1"/>
      <c r="AB739" s="1"/>
      <c r="AC739" s="1"/>
      <c r="AD739" s="1"/>
      <c r="AE739" s="1"/>
      <c r="AF739" s="1"/>
      <c r="AG739" s="1"/>
      <c r="AH739" s="1"/>
    </row>
    <row r="740" spans="4:34"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  <c r="Z740" s="1"/>
      <c r="AA740" s="1"/>
      <c r="AB740" s="1"/>
      <c r="AC740" s="1"/>
      <c r="AD740" s="1"/>
      <c r="AE740" s="1"/>
      <c r="AF740" s="1"/>
      <c r="AG740" s="1"/>
      <c r="AH740" s="1"/>
    </row>
    <row r="741" spans="4:34"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  <c r="Z741" s="1"/>
      <c r="AA741" s="1"/>
      <c r="AB741" s="1"/>
      <c r="AC741" s="1"/>
      <c r="AD741" s="1"/>
      <c r="AE741" s="1"/>
      <c r="AF741" s="1"/>
      <c r="AG741" s="1"/>
      <c r="AH741" s="1"/>
    </row>
    <row r="742" spans="4:34"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  <c r="Z742" s="1"/>
      <c r="AA742" s="1"/>
      <c r="AB742" s="1"/>
      <c r="AC742" s="1"/>
      <c r="AD742" s="1"/>
      <c r="AE742" s="1"/>
      <c r="AF742" s="1"/>
      <c r="AG742" s="1"/>
      <c r="AH742" s="1"/>
    </row>
    <row r="743" spans="4:34"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  <c r="Z743" s="1"/>
      <c r="AA743" s="1"/>
      <c r="AB743" s="1"/>
      <c r="AC743" s="1"/>
      <c r="AD743" s="1"/>
      <c r="AE743" s="1"/>
      <c r="AF743" s="1"/>
      <c r="AG743" s="1"/>
      <c r="AH743" s="1"/>
    </row>
    <row r="744" spans="4:34"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  <c r="Z744" s="1"/>
      <c r="AA744" s="1"/>
      <c r="AB744" s="1"/>
      <c r="AC744" s="1"/>
      <c r="AD744" s="1"/>
      <c r="AE744" s="1"/>
      <c r="AF744" s="1"/>
      <c r="AG744" s="1"/>
      <c r="AH744" s="1"/>
    </row>
    <row r="745" spans="4:34"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  <c r="Z745" s="1"/>
      <c r="AA745" s="1"/>
      <c r="AB745" s="1"/>
      <c r="AC745" s="1"/>
      <c r="AD745" s="1"/>
      <c r="AE745" s="1"/>
      <c r="AF745" s="1"/>
      <c r="AG745" s="1"/>
      <c r="AH745" s="1"/>
    </row>
    <row r="746" spans="4:34"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  <c r="Z746" s="1"/>
      <c r="AA746" s="1"/>
      <c r="AB746" s="1"/>
      <c r="AC746" s="1"/>
      <c r="AD746" s="1"/>
      <c r="AE746" s="1"/>
      <c r="AF746" s="1"/>
      <c r="AG746" s="1"/>
      <c r="AH746" s="1"/>
    </row>
    <row r="747" spans="4:34"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  <c r="Z747" s="1"/>
      <c r="AA747" s="1"/>
      <c r="AB747" s="1"/>
      <c r="AC747" s="1"/>
      <c r="AD747" s="1"/>
      <c r="AE747" s="1"/>
      <c r="AF747" s="1"/>
      <c r="AG747" s="1"/>
      <c r="AH747" s="1"/>
    </row>
    <row r="748" spans="4:34"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  <c r="Z748" s="1"/>
      <c r="AA748" s="1"/>
      <c r="AB748" s="1"/>
      <c r="AC748" s="1"/>
      <c r="AD748" s="1"/>
      <c r="AE748" s="1"/>
      <c r="AF748" s="1"/>
      <c r="AG748" s="1"/>
      <c r="AH748" s="1"/>
    </row>
    <row r="749" spans="4:34"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  <c r="Z749" s="1"/>
      <c r="AA749" s="1"/>
      <c r="AB749" s="1"/>
      <c r="AC749" s="1"/>
      <c r="AD749" s="1"/>
      <c r="AE749" s="1"/>
      <c r="AF749" s="1"/>
      <c r="AG749" s="1"/>
      <c r="AH749" s="1"/>
    </row>
    <row r="750" spans="4:34"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  <c r="Z750" s="1"/>
      <c r="AA750" s="1"/>
      <c r="AB750" s="1"/>
      <c r="AC750" s="1"/>
      <c r="AD750" s="1"/>
      <c r="AE750" s="1"/>
      <c r="AF750" s="1"/>
      <c r="AG750" s="1"/>
      <c r="AH750" s="1"/>
    </row>
    <row r="751" spans="4:34"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  <c r="Z751" s="1"/>
      <c r="AA751" s="1"/>
      <c r="AB751" s="1"/>
      <c r="AC751" s="1"/>
      <c r="AD751" s="1"/>
      <c r="AE751" s="1"/>
      <c r="AF751" s="1"/>
      <c r="AG751" s="1"/>
      <c r="AH751" s="1"/>
    </row>
    <row r="752" spans="4:34"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  <c r="Z752" s="1"/>
      <c r="AA752" s="1"/>
      <c r="AB752" s="1"/>
      <c r="AC752" s="1"/>
      <c r="AD752" s="1"/>
      <c r="AE752" s="1"/>
      <c r="AF752" s="1"/>
      <c r="AG752" s="1"/>
      <c r="AH752" s="1"/>
    </row>
    <row r="753" spans="4:34"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  <c r="Z753" s="1"/>
      <c r="AA753" s="1"/>
      <c r="AB753" s="1"/>
      <c r="AC753" s="1"/>
      <c r="AD753" s="1"/>
      <c r="AE753" s="1"/>
      <c r="AF753" s="1"/>
      <c r="AG753" s="1"/>
      <c r="AH753" s="1"/>
    </row>
    <row r="754" spans="4:34"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  <c r="Z754" s="1"/>
      <c r="AA754" s="1"/>
      <c r="AB754" s="1"/>
      <c r="AC754" s="1"/>
      <c r="AD754" s="1"/>
      <c r="AE754" s="1"/>
      <c r="AF754" s="1"/>
      <c r="AG754" s="1"/>
      <c r="AH754" s="1"/>
    </row>
    <row r="755" spans="4:34"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  <c r="Z755" s="1"/>
      <c r="AA755" s="1"/>
      <c r="AB755" s="1"/>
      <c r="AC755" s="1"/>
      <c r="AD755" s="1"/>
      <c r="AE755" s="1"/>
      <c r="AF755" s="1"/>
      <c r="AG755" s="1"/>
      <c r="AH755" s="1"/>
    </row>
    <row r="756" spans="4:34"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  <c r="Z756" s="1"/>
      <c r="AA756" s="1"/>
      <c r="AB756" s="1"/>
      <c r="AC756" s="1"/>
      <c r="AD756" s="1"/>
      <c r="AE756" s="1"/>
      <c r="AF756" s="1"/>
      <c r="AG756" s="1"/>
      <c r="AH756" s="1"/>
    </row>
    <row r="757" spans="4:34"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  <c r="Z757" s="1"/>
      <c r="AA757" s="1"/>
      <c r="AB757" s="1"/>
      <c r="AC757" s="1"/>
      <c r="AD757" s="1"/>
      <c r="AE757" s="1"/>
      <c r="AF757" s="1"/>
      <c r="AG757" s="1"/>
      <c r="AH757" s="1"/>
    </row>
    <row r="758" spans="4:34"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  <c r="Z758" s="1"/>
      <c r="AA758" s="1"/>
      <c r="AB758" s="1"/>
      <c r="AC758" s="1"/>
      <c r="AD758" s="1"/>
      <c r="AE758" s="1"/>
      <c r="AF758" s="1"/>
      <c r="AG758" s="1"/>
      <c r="AH758" s="1"/>
    </row>
    <row r="759" spans="4:34"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  <c r="Z759" s="1"/>
      <c r="AA759" s="1"/>
      <c r="AB759" s="1"/>
      <c r="AC759" s="1"/>
      <c r="AD759" s="1"/>
      <c r="AE759" s="1"/>
      <c r="AF759" s="1"/>
      <c r="AG759" s="1"/>
      <c r="AH759" s="1"/>
    </row>
    <row r="760" spans="4:34"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  <c r="Z760" s="1"/>
      <c r="AA760" s="1"/>
      <c r="AB760" s="1"/>
      <c r="AC760" s="1"/>
      <c r="AD760" s="1"/>
      <c r="AE760" s="1"/>
      <c r="AF760" s="1"/>
      <c r="AG760" s="1"/>
      <c r="AH760" s="1"/>
    </row>
    <row r="761" spans="4:34"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  <c r="Z761" s="1"/>
      <c r="AA761" s="1"/>
      <c r="AB761" s="1"/>
      <c r="AC761" s="1"/>
      <c r="AD761" s="1"/>
      <c r="AE761" s="1"/>
      <c r="AF761" s="1"/>
      <c r="AG761" s="1"/>
      <c r="AH761" s="1"/>
    </row>
    <row r="762" spans="4:34"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  <c r="Z762" s="1"/>
      <c r="AA762" s="1"/>
      <c r="AB762" s="1"/>
      <c r="AC762" s="1"/>
      <c r="AD762" s="1"/>
      <c r="AE762" s="1"/>
      <c r="AF762" s="1"/>
      <c r="AG762" s="1"/>
      <c r="AH762" s="1"/>
    </row>
    <row r="763" spans="4:34"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  <c r="Z763" s="1"/>
      <c r="AA763" s="1"/>
      <c r="AB763" s="1"/>
      <c r="AC763" s="1"/>
      <c r="AD763" s="1"/>
      <c r="AE763" s="1"/>
      <c r="AF763" s="1"/>
      <c r="AG763" s="1"/>
      <c r="AH763" s="1"/>
    </row>
    <row r="764" spans="4:34"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  <c r="Z764" s="1"/>
      <c r="AA764" s="1"/>
      <c r="AB764" s="1"/>
      <c r="AC764" s="1"/>
      <c r="AD764" s="1"/>
      <c r="AE764" s="1"/>
      <c r="AF764" s="1"/>
      <c r="AG764" s="1"/>
      <c r="AH764" s="1"/>
    </row>
    <row r="765" spans="4:34"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  <c r="Z765" s="1"/>
      <c r="AA765" s="1"/>
      <c r="AB765" s="1"/>
      <c r="AC765" s="1"/>
      <c r="AD765" s="1"/>
      <c r="AE765" s="1"/>
      <c r="AF765" s="1"/>
      <c r="AG765" s="1"/>
      <c r="AH765" s="1"/>
    </row>
    <row r="766" spans="4:34"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  <c r="Z766" s="1"/>
      <c r="AA766" s="1"/>
      <c r="AB766" s="1"/>
      <c r="AC766" s="1"/>
      <c r="AD766" s="1"/>
      <c r="AE766" s="1"/>
      <c r="AF766" s="1"/>
      <c r="AG766" s="1"/>
      <c r="AH766" s="1"/>
    </row>
    <row r="767" spans="4:34"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  <c r="Z767" s="1"/>
      <c r="AA767" s="1"/>
      <c r="AB767" s="1"/>
      <c r="AC767" s="1"/>
      <c r="AD767" s="1"/>
      <c r="AE767" s="1"/>
      <c r="AF767" s="1"/>
      <c r="AG767" s="1"/>
      <c r="AH767" s="1"/>
    </row>
    <row r="768" spans="4:34"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  <c r="Z768" s="1"/>
      <c r="AA768" s="1"/>
      <c r="AB768" s="1"/>
      <c r="AC768" s="1"/>
      <c r="AD768" s="1"/>
      <c r="AE768" s="1"/>
      <c r="AF768" s="1"/>
      <c r="AG768" s="1"/>
      <c r="AH768" s="1"/>
    </row>
    <row r="769" spans="4:34"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  <c r="Z769" s="1"/>
      <c r="AA769" s="1"/>
      <c r="AB769" s="1"/>
      <c r="AC769" s="1"/>
      <c r="AD769" s="1"/>
      <c r="AE769" s="1"/>
      <c r="AF769" s="1"/>
      <c r="AG769" s="1"/>
      <c r="AH769" s="1"/>
    </row>
    <row r="770" spans="4:34"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  <c r="Z770" s="1"/>
      <c r="AA770" s="1"/>
      <c r="AB770" s="1"/>
      <c r="AC770" s="1"/>
      <c r="AD770" s="1"/>
      <c r="AE770" s="1"/>
      <c r="AF770" s="1"/>
      <c r="AG770" s="1"/>
      <c r="AH770" s="1"/>
    </row>
    <row r="771" spans="4:34"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  <c r="Z771" s="1"/>
      <c r="AA771" s="1"/>
      <c r="AB771" s="1"/>
      <c r="AC771" s="1"/>
      <c r="AD771" s="1"/>
      <c r="AE771" s="1"/>
      <c r="AF771" s="1"/>
      <c r="AG771" s="1"/>
      <c r="AH771" s="1"/>
    </row>
    <row r="772" spans="4:34"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  <c r="Z772" s="1"/>
      <c r="AA772" s="1"/>
      <c r="AB772" s="1"/>
      <c r="AC772" s="1"/>
      <c r="AD772" s="1"/>
      <c r="AE772" s="1"/>
      <c r="AF772" s="1"/>
      <c r="AG772" s="1"/>
      <c r="AH772" s="1"/>
    </row>
    <row r="773" spans="4:34"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  <c r="Z773" s="1"/>
      <c r="AA773" s="1"/>
      <c r="AB773" s="1"/>
      <c r="AC773" s="1"/>
      <c r="AD773" s="1"/>
      <c r="AE773" s="1"/>
      <c r="AF773" s="1"/>
      <c r="AG773" s="1"/>
      <c r="AH773" s="1"/>
    </row>
    <row r="774" spans="4:34"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  <c r="Z774" s="1"/>
      <c r="AA774" s="1"/>
      <c r="AB774" s="1"/>
      <c r="AC774" s="1"/>
      <c r="AD774" s="1"/>
      <c r="AE774" s="1"/>
      <c r="AF774" s="1"/>
      <c r="AG774" s="1"/>
      <c r="AH774" s="1"/>
    </row>
    <row r="775" spans="4:34"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  <c r="Z775" s="1"/>
      <c r="AA775" s="1"/>
      <c r="AB775" s="1"/>
      <c r="AC775" s="1"/>
      <c r="AD775" s="1"/>
      <c r="AE775" s="1"/>
      <c r="AF775" s="1"/>
      <c r="AG775" s="1"/>
      <c r="AH775" s="1"/>
    </row>
    <row r="776" spans="4:34"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  <c r="Z776" s="1"/>
      <c r="AA776" s="1"/>
      <c r="AB776" s="1"/>
      <c r="AC776" s="1"/>
      <c r="AD776" s="1"/>
      <c r="AE776" s="1"/>
      <c r="AF776" s="1"/>
      <c r="AG776" s="1"/>
      <c r="AH776" s="1"/>
    </row>
    <row r="777" spans="4:34"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  <c r="Z777" s="1"/>
      <c r="AA777" s="1"/>
      <c r="AB777" s="1"/>
      <c r="AC777" s="1"/>
      <c r="AD777" s="1"/>
      <c r="AE777" s="1"/>
      <c r="AF777" s="1"/>
      <c r="AG777" s="1"/>
      <c r="AH777" s="1"/>
    </row>
    <row r="778" spans="4:34"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  <c r="Z778" s="1"/>
      <c r="AA778" s="1"/>
      <c r="AB778" s="1"/>
      <c r="AC778" s="1"/>
      <c r="AD778" s="1"/>
      <c r="AE778" s="1"/>
      <c r="AF778" s="1"/>
      <c r="AG778" s="1"/>
      <c r="AH778" s="1"/>
    </row>
    <row r="779" spans="4:34"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  <c r="Z779" s="1"/>
      <c r="AA779" s="1"/>
      <c r="AB779" s="1"/>
      <c r="AC779" s="1"/>
      <c r="AD779" s="1"/>
      <c r="AE779" s="1"/>
      <c r="AF779" s="1"/>
      <c r="AG779" s="1"/>
      <c r="AH779" s="1"/>
    </row>
    <row r="780" spans="4:34"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  <c r="Z780" s="1"/>
      <c r="AA780" s="1"/>
      <c r="AB780" s="1"/>
      <c r="AC780" s="1"/>
      <c r="AD780" s="1"/>
      <c r="AE780" s="1"/>
      <c r="AF780" s="1"/>
      <c r="AG780" s="1"/>
      <c r="AH780" s="1"/>
    </row>
    <row r="781" spans="4:34"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  <c r="Z781" s="1"/>
      <c r="AA781" s="1"/>
      <c r="AB781" s="1"/>
      <c r="AC781" s="1"/>
      <c r="AD781" s="1"/>
      <c r="AE781" s="1"/>
      <c r="AF781" s="1"/>
      <c r="AG781" s="1"/>
      <c r="AH781" s="1"/>
    </row>
    <row r="782" spans="4:34"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  <c r="Z782" s="1"/>
      <c r="AA782" s="1"/>
      <c r="AB782" s="1"/>
      <c r="AC782" s="1"/>
      <c r="AD782" s="1"/>
      <c r="AE782" s="1"/>
      <c r="AF782" s="1"/>
      <c r="AG782" s="1"/>
      <c r="AH782" s="1"/>
    </row>
    <row r="783" spans="4:34"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  <c r="Z783" s="1"/>
      <c r="AA783" s="1"/>
      <c r="AB783" s="1"/>
      <c r="AC783" s="1"/>
      <c r="AD783" s="1"/>
      <c r="AE783" s="1"/>
      <c r="AF783" s="1"/>
      <c r="AG783" s="1"/>
      <c r="AH783" s="1"/>
    </row>
    <row r="784" spans="4:34"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  <c r="Z784" s="1"/>
      <c r="AA784" s="1"/>
      <c r="AB784" s="1"/>
      <c r="AC784" s="1"/>
      <c r="AD784" s="1"/>
      <c r="AE784" s="1"/>
      <c r="AF784" s="1"/>
      <c r="AG784" s="1"/>
      <c r="AH784" s="1"/>
    </row>
    <row r="785" spans="4:34"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  <c r="Z785" s="1"/>
      <c r="AA785" s="1"/>
      <c r="AB785" s="1"/>
      <c r="AC785" s="1"/>
      <c r="AD785" s="1"/>
      <c r="AE785" s="1"/>
      <c r="AF785" s="1"/>
      <c r="AG785" s="1"/>
      <c r="AH785" s="1"/>
    </row>
    <row r="786" spans="4:34"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  <c r="Z786" s="1"/>
      <c r="AA786" s="1"/>
      <c r="AB786" s="1"/>
      <c r="AC786" s="1"/>
      <c r="AD786" s="1"/>
      <c r="AE786" s="1"/>
      <c r="AF786" s="1"/>
      <c r="AG786" s="1"/>
      <c r="AH786" s="1"/>
    </row>
    <row r="787" spans="4:34"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  <c r="Z787" s="1"/>
      <c r="AA787" s="1"/>
      <c r="AB787" s="1"/>
      <c r="AC787" s="1"/>
      <c r="AD787" s="1"/>
      <c r="AE787" s="1"/>
      <c r="AF787" s="1"/>
      <c r="AG787" s="1"/>
      <c r="AH787" s="1"/>
    </row>
    <row r="788" spans="4:34"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  <c r="Z788" s="1"/>
      <c r="AA788" s="1"/>
      <c r="AB788" s="1"/>
      <c r="AC788" s="1"/>
      <c r="AD788" s="1"/>
      <c r="AE788" s="1"/>
      <c r="AF788" s="1"/>
      <c r="AG788" s="1"/>
      <c r="AH788" s="1"/>
    </row>
    <row r="789" spans="4:34"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  <c r="Z789" s="1"/>
      <c r="AA789" s="1"/>
      <c r="AB789" s="1"/>
      <c r="AC789" s="1"/>
      <c r="AD789" s="1"/>
      <c r="AE789" s="1"/>
      <c r="AF789" s="1"/>
      <c r="AG789" s="1"/>
      <c r="AH789" s="1"/>
    </row>
    <row r="790" spans="4:34"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  <c r="Z790" s="1"/>
      <c r="AA790" s="1"/>
      <c r="AB790" s="1"/>
      <c r="AC790" s="1"/>
      <c r="AD790" s="1"/>
      <c r="AE790" s="1"/>
      <c r="AF790" s="1"/>
      <c r="AG790" s="1"/>
      <c r="AH790" s="1"/>
    </row>
    <row r="791" spans="4:34"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  <c r="Z791" s="1"/>
      <c r="AA791" s="1"/>
      <c r="AB791" s="1"/>
      <c r="AC791" s="1"/>
      <c r="AD791" s="1"/>
      <c r="AE791" s="1"/>
      <c r="AF791" s="1"/>
      <c r="AG791" s="1"/>
      <c r="AH791" s="1"/>
    </row>
    <row r="792" spans="4:34"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  <c r="Z792" s="1"/>
      <c r="AA792" s="1"/>
      <c r="AB792" s="1"/>
      <c r="AC792" s="1"/>
      <c r="AD792" s="1"/>
      <c r="AE792" s="1"/>
      <c r="AF792" s="1"/>
      <c r="AG792" s="1"/>
      <c r="AH792" s="1"/>
    </row>
    <row r="793" spans="4:34"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  <c r="Z793" s="1"/>
      <c r="AA793" s="1"/>
      <c r="AB793" s="1"/>
      <c r="AC793" s="1"/>
      <c r="AD793" s="1"/>
      <c r="AE793" s="1"/>
      <c r="AF793" s="1"/>
      <c r="AG793" s="1"/>
      <c r="AH793" s="1"/>
    </row>
    <row r="794" spans="4:34"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  <c r="Z794" s="1"/>
      <c r="AA794" s="1"/>
      <c r="AB794" s="1"/>
      <c r="AC794" s="1"/>
      <c r="AD794" s="1"/>
      <c r="AE794" s="1"/>
      <c r="AF794" s="1"/>
      <c r="AG794" s="1"/>
      <c r="AH794" s="1"/>
    </row>
    <row r="795" spans="4:34"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  <c r="Z795" s="1"/>
      <c r="AA795" s="1"/>
      <c r="AB795" s="1"/>
      <c r="AC795" s="1"/>
      <c r="AD795" s="1"/>
      <c r="AE795" s="1"/>
      <c r="AF795" s="1"/>
      <c r="AG795" s="1"/>
      <c r="AH795" s="1"/>
    </row>
    <row r="796" spans="4:34"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  <c r="Z796" s="1"/>
      <c r="AA796" s="1"/>
      <c r="AB796" s="1"/>
      <c r="AC796" s="1"/>
      <c r="AD796" s="1"/>
      <c r="AE796" s="1"/>
      <c r="AF796" s="1"/>
      <c r="AG796" s="1"/>
      <c r="AH796" s="1"/>
    </row>
    <row r="797" spans="4:34"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  <c r="Z797" s="1"/>
      <c r="AA797" s="1"/>
      <c r="AB797" s="1"/>
      <c r="AC797" s="1"/>
      <c r="AD797" s="1"/>
      <c r="AE797" s="1"/>
      <c r="AF797" s="1"/>
      <c r="AG797" s="1"/>
      <c r="AH797" s="1"/>
    </row>
    <row r="798" spans="4:34"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  <c r="Z798" s="1"/>
      <c r="AA798" s="1"/>
      <c r="AB798" s="1"/>
      <c r="AC798" s="1"/>
      <c r="AD798" s="1"/>
      <c r="AE798" s="1"/>
      <c r="AF798" s="1"/>
      <c r="AG798" s="1"/>
      <c r="AH798" s="1"/>
    </row>
    <row r="799" spans="4:34"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  <c r="Z799" s="1"/>
      <c r="AA799" s="1"/>
      <c r="AB799" s="1"/>
      <c r="AC799" s="1"/>
      <c r="AD799" s="1"/>
      <c r="AE799" s="1"/>
      <c r="AF799" s="1"/>
      <c r="AG799" s="1"/>
      <c r="AH799" s="1"/>
    </row>
    <row r="800" spans="4:34"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  <c r="Z800" s="1"/>
      <c r="AA800" s="1"/>
      <c r="AB800" s="1"/>
      <c r="AC800" s="1"/>
      <c r="AD800" s="1"/>
      <c r="AE800" s="1"/>
      <c r="AF800" s="1"/>
      <c r="AG800" s="1"/>
      <c r="AH800" s="1"/>
    </row>
    <row r="801" spans="4:34"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  <c r="Z801" s="1"/>
      <c r="AA801" s="1"/>
      <c r="AB801" s="1"/>
      <c r="AC801" s="1"/>
      <c r="AD801" s="1"/>
      <c r="AE801" s="1"/>
      <c r="AF801" s="1"/>
      <c r="AG801" s="1"/>
      <c r="AH801" s="1"/>
    </row>
    <row r="802" spans="4:34"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  <c r="Z802" s="1"/>
      <c r="AA802" s="1"/>
      <c r="AB802" s="1"/>
      <c r="AC802" s="1"/>
      <c r="AD802" s="1"/>
      <c r="AE802" s="1"/>
      <c r="AF802" s="1"/>
      <c r="AG802" s="1"/>
      <c r="AH802" s="1"/>
    </row>
    <row r="803" spans="4:34"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  <c r="Z803" s="1"/>
      <c r="AA803" s="1"/>
      <c r="AB803" s="1"/>
      <c r="AC803" s="1"/>
      <c r="AD803" s="1"/>
      <c r="AE803" s="1"/>
      <c r="AF803" s="1"/>
      <c r="AG803" s="1"/>
      <c r="AH803" s="1"/>
    </row>
    <row r="804" spans="4:34"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  <c r="Z804" s="1"/>
      <c r="AA804" s="1"/>
      <c r="AB804" s="1"/>
      <c r="AC804" s="1"/>
      <c r="AD804" s="1"/>
      <c r="AE804" s="1"/>
      <c r="AF804" s="1"/>
      <c r="AG804" s="1"/>
      <c r="AH804" s="1"/>
    </row>
    <row r="805" spans="4:34"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  <c r="Z805" s="1"/>
      <c r="AA805" s="1"/>
      <c r="AB805" s="1"/>
      <c r="AC805" s="1"/>
      <c r="AD805" s="1"/>
      <c r="AE805" s="1"/>
      <c r="AF805" s="1"/>
      <c r="AG805" s="1"/>
      <c r="AH805" s="1"/>
    </row>
    <row r="806" spans="4:34"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  <c r="Z806" s="1"/>
      <c r="AA806" s="1"/>
      <c r="AB806" s="1"/>
      <c r="AC806" s="1"/>
      <c r="AD806" s="1"/>
      <c r="AE806" s="1"/>
      <c r="AF806" s="1"/>
      <c r="AG806" s="1"/>
      <c r="AH806" s="1"/>
    </row>
    <row r="807" spans="4:34"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  <c r="Z807" s="1"/>
      <c r="AA807" s="1"/>
      <c r="AB807" s="1"/>
      <c r="AC807" s="1"/>
      <c r="AD807" s="1"/>
      <c r="AE807" s="1"/>
      <c r="AF807" s="1"/>
      <c r="AG807" s="1"/>
      <c r="AH807" s="1"/>
    </row>
    <row r="808" spans="4:34"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  <c r="Z808" s="1"/>
      <c r="AA808" s="1"/>
      <c r="AB808" s="1"/>
      <c r="AC808" s="1"/>
      <c r="AD808" s="1"/>
      <c r="AE808" s="1"/>
      <c r="AF808" s="1"/>
      <c r="AG808" s="1"/>
      <c r="AH808" s="1"/>
    </row>
    <row r="809" spans="4:34"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  <c r="Z809" s="1"/>
      <c r="AA809" s="1"/>
      <c r="AB809" s="1"/>
      <c r="AC809" s="1"/>
      <c r="AD809" s="1"/>
      <c r="AE809" s="1"/>
      <c r="AF809" s="1"/>
      <c r="AG809" s="1"/>
      <c r="AH809" s="1"/>
    </row>
    <row r="810" spans="4:34"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  <c r="Z810" s="1"/>
      <c r="AA810" s="1"/>
      <c r="AB810" s="1"/>
      <c r="AC810" s="1"/>
      <c r="AD810" s="1"/>
      <c r="AE810" s="1"/>
      <c r="AF810" s="1"/>
      <c r="AG810" s="1"/>
      <c r="AH810" s="1"/>
    </row>
    <row r="811" spans="4:34"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  <c r="Z811" s="1"/>
      <c r="AA811" s="1"/>
      <c r="AB811" s="1"/>
      <c r="AC811" s="1"/>
      <c r="AD811" s="1"/>
      <c r="AE811" s="1"/>
      <c r="AF811" s="1"/>
      <c r="AG811" s="1"/>
      <c r="AH811" s="1"/>
    </row>
    <row r="812" spans="4:34"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  <c r="Z812" s="1"/>
      <c r="AA812" s="1"/>
      <c r="AB812" s="1"/>
      <c r="AC812" s="1"/>
      <c r="AD812" s="1"/>
      <c r="AE812" s="1"/>
      <c r="AF812" s="1"/>
      <c r="AG812" s="1"/>
      <c r="AH812" s="1"/>
    </row>
    <row r="813" spans="4:34"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  <c r="Z813" s="1"/>
      <c r="AA813" s="1"/>
      <c r="AB813" s="1"/>
      <c r="AC813" s="1"/>
      <c r="AD813" s="1"/>
      <c r="AE813" s="1"/>
      <c r="AF813" s="1"/>
      <c r="AG813" s="1"/>
      <c r="AH813" s="1"/>
    </row>
    <row r="814" spans="4:34"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  <c r="Z814" s="1"/>
      <c r="AA814" s="1"/>
      <c r="AB814" s="1"/>
      <c r="AC814" s="1"/>
      <c r="AD814" s="1"/>
      <c r="AE814" s="1"/>
      <c r="AF814" s="1"/>
      <c r="AG814" s="1"/>
      <c r="AH814" s="1"/>
    </row>
    <row r="815" spans="4:34"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  <c r="Z815" s="1"/>
      <c r="AA815" s="1"/>
      <c r="AB815" s="1"/>
      <c r="AC815" s="1"/>
      <c r="AD815" s="1"/>
      <c r="AE815" s="1"/>
      <c r="AF815" s="1"/>
      <c r="AG815" s="1"/>
      <c r="AH815" s="1"/>
    </row>
    <row r="816" spans="4:34"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  <c r="Z816" s="1"/>
      <c r="AA816" s="1"/>
      <c r="AB816" s="1"/>
      <c r="AC816" s="1"/>
      <c r="AD816" s="1"/>
      <c r="AE816" s="1"/>
      <c r="AF816" s="1"/>
      <c r="AG816" s="1"/>
      <c r="AH816" s="1"/>
    </row>
    <row r="817" spans="4:34"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  <c r="Z817" s="1"/>
      <c r="AA817" s="1"/>
      <c r="AB817" s="1"/>
      <c r="AC817" s="1"/>
      <c r="AD817" s="1"/>
      <c r="AE817" s="1"/>
      <c r="AF817" s="1"/>
      <c r="AG817" s="1"/>
      <c r="AH817" s="1"/>
    </row>
    <row r="818" spans="4:34"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  <c r="Z818" s="1"/>
      <c r="AA818" s="1"/>
      <c r="AB818" s="1"/>
      <c r="AC818" s="1"/>
      <c r="AD818" s="1"/>
      <c r="AE818" s="1"/>
      <c r="AF818" s="1"/>
      <c r="AG818" s="1"/>
      <c r="AH818" s="1"/>
    </row>
    <row r="819" spans="4:34"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  <c r="Z819" s="1"/>
      <c r="AA819" s="1"/>
      <c r="AB819" s="1"/>
      <c r="AC819" s="1"/>
      <c r="AD819" s="1"/>
      <c r="AE819" s="1"/>
      <c r="AF819" s="1"/>
      <c r="AG819" s="1"/>
      <c r="AH819" s="1"/>
    </row>
    <row r="820" spans="4:34"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  <c r="Z820" s="1"/>
      <c r="AA820" s="1"/>
      <c r="AB820" s="1"/>
      <c r="AC820" s="1"/>
      <c r="AD820" s="1"/>
      <c r="AE820" s="1"/>
      <c r="AF820" s="1"/>
      <c r="AG820" s="1"/>
      <c r="AH820" s="1"/>
    </row>
    <row r="821" spans="4:34"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  <c r="Z821" s="1"/>
      <c r="AA821" s="1"/>
      <c r="AB821" s="1"/>
      <c r="AC821" s="1"/>
      <c r="AD821" s="1"/>
      <c r="AE821" s="1"/>
      <c r="AF821" s="1"/>
      <c r="AG821" s="1"/>
      <c r="AH821" s="1"/>
    </row>
    <row r="822" spans="4:34"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  <c r="Z822" s="1"/>
      <c r="AA822" s="1"/>
      <c r="AB822" s="1"/>
      <c r="AC822" s="1"/>
      <c r="AD822" s="1"/>
      <c r="AE822" s="1"/>
      <c r="AF822" s="1"/>
      <c r="AG822" s="1"/>
      <c r="AH822" s="1"/>
    </row>
    <row r="823" spans="4:34"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  <c r="Z823" s="1"/>
      <c r="AA823" s="1"/>
      <c r="AB823" s="1"/>
      <c r="AC823" s="1"/>
      <c r="AD823" s="1"/>
      <c r="AE823" s="1"/>
      <c r="AF823" s="1"/>
      <c r="AG823" s="1"/>
      <c r="AH823" s="1"/>
    </row>
    <row r="824" spans="4:34"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  <c r="Z824" s="1"/>
      <c r="AA824" s="1"/>
      <c r="AB824" s="1"/>
      <c r="AC824" s="1"/>
      <c r="AD824" s="1"/>
      <c r="AE824" s="1"/>
      <c r="AF824" s="1"/>
      <c r="AG824" s="1"/>
      <c r="AH824" s="1"/>
    </row>
    <row r="825" spans="4:34"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  <c r="Z825" s="1"/>
      <c r="AA825" s="1"/>
      <c r="AB825" s="1"/>
      <c r="AC825" s="1"/>
      <c r="AD825" s="1"/>
      <c r="AE825" s="1"/>
      <c r="AF825" s="1"/>
      <c r="AG825" s="1"/>
      <c r="AH825" s="1"/>
    </row>
    <row r="826" spans="4:34"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  <c r="Z826" s="1"/>
      <c r="AA826" s="1"/>
      <c r="AB826" s="1"/>
      <c r="AC826" s="1"/>
      <c r="AD826" s="1"/>
      <c r="AE826" s="1"/>
      <c r="AF826" s="1"/>
      <c r="AG826" s="1"/>
      <c r="AH826" s="1"/>
    </row>
    <row r="827" spans="4:34"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  <c r="Z827" s="1"/>
      <c r="AA827" s="1"/>
      <c r="AB827" s="1"/>
      <c r="AC827" s="1"/>
      <c r="AD827" s="1"/>
      <c r="AE827" s="1"/>
      <c r="AF827" s="1"/>
      <c r="AG827" s="1"/>
      <c r="AH827" s="1"/>
    </row>
    <row r="828" spans="4:34"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  <c r="Z828" s="1"/>
      <c r="AA828" s="1"/>
      <c r="AB828" s="1"/>
      <c r="AC828" s="1"/>
      <c r="AD828" s="1"/>
      <c r="AE828" s="1"/>
      <c r="AF828" s="1"/>
      <c r="AG828" s="1"/>
      <c r="AH828" s="1"/>
    </row>
    <row r="829" spans="4:34"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  <c r="Z829" s="1"/>
      <c r="AA829" s="1"/>
      <c r="AB829" s="1"/>
      <c r="AC829" s="1"/>
      <c r="AD829" s="1"/>
      <c r="AE829" s="1"/>
      <c r="AF829" s="1"/>
      <c r="AG829" s="1"/>
      <c r="AH829" s="1"/>
    </row>
    <row r="830" spans="4:34"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  <c r="Z830" s="1"/>
      <c r="AA830" s="1"/>
      <c r="AB830" s="1"/>
      <c r="AC830" s="1"/>
      <c r="AD830" s="1"/>
      <c r="AE830" s="1"/>
      <c r="AF830" s="1"/>
      <c r="AG830" s="1"/>
      <c r="AH830" s="1"/>
    </row>
    <row r="831" spans="4:34"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  <c r="Z831" s="1"/>
      <c r="AA831" s="1"/>
      <c r="AB831" s="1"/>
      <c r="AC831" s="1"/>
      <c r="AD831" s="1"/>
      <c r="AE831" s="1"/>
      <c r="AF831" s="1"/>
      <c r="AG831" s="1"/>
      <c r="AH831" s="1"/>
    </row>
    <row r="832" spans="4:34"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  <c r="Z832" s="1"/>
      <c r="AA832" s="1"/>
      <c r="AB832" s="1"/>
      <c r="AC832" s="1"/>
      <c r="AD832" s="1"/>
      <c r="AE832" s="1"/>
      <c r="AF832" s="1"/>
      <c r="AG832" s="1"/>
      <c r="AH832" s="1"/>
    </row>
    <row r="833" spans="4:34"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  <c r="Z833" s="1"/>
      <c r="AA833" s="1"/>
      <c r="AB833" s="1"/>
      <c r="AC833" s="1"/>
      <c r="AD833" s="1"/>
      <c r="AE833" s="1"/>
      <c r="AF833" s="1"/>
      <c r="AG833" s="1"/>
      <c r="AH833" s="1"/>
    </row>
    <row r="834" spans="4:34"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  <c r="Z834" s="1"/>
      <c r="AA834" s="1"/>
      <c r="AB834" s="1"/>
      <c r="AC834" s="1"/>
      <c r="AD834" s="1"/>
      <c r="AE834" s="1"/>
      <c r="AF834" s="1"/>
      <c r="AG834" s="1"/>
      <c r="AH834" s="1"/>
    </row>
    <row r="835" spans="4:34"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  <c r="Z835" s="1"/>
      <c r="AA835" s="1"/>
      <c r="AB835" s="1"/>
      <c r="AC835" s="1"/>
      <c r="AD835" s="1"/>
      <c r="AE835" s="1"/>
      <c r="AF835" s="1"/>
      <c r="AG835" s="1"/>
      <c r="AH835" s="1"/>
    </row>
    <row r="836" spans="4:34"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  <c r="Z836" s="1"/>
      <c r="AA836" s="1"/>
      <c r="AB836" s="1"/>
      <c r="AC836" s="1"/>
      <c r="AD836" s="1"/>
      <c r="AE836" s="1"/>
      <c r="AF836" s="1"/>
      <c r="AG836" s="1"/>
      <c r="AH836" s="1"/>
    </row>
    <row r="837" spans="4:34"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  <c r="Z837" s="1"/>
      <c r="AA837" s="1"/>
      <c r="AB837" s="1"/>
      <c r="AC837" s="1"/>
      <c r="AD837" s="1"/>
      <c r="AE837" s="1"/>
      <c r="AF837" s="1"/>
      <c r="AG837" s="1"/>
      <c r="AH837" s="1"/>
    </row>
    <row r="838" spans="4:34"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  <c r="Z838" s="1"/>
      <c r="AA838" s="1"/>
      <c r="AB838" s="1"/>
      <c r="AC838" s="1"/>
      <c r="AD838" s="1"/>
      <c r="AE838" s="1"/>
      <c r="AF838" s="1"/>
      <c r="AG838" s="1"/>
      <c r="AH838" s="1"/>
    </row>
    <row r="839" spans="4:34"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  <c r="Z839" s="1"/>
      <c r="AA839" s="1"/>
      <c r="AB839" s="1"/>
      <c r="AC839" s="1"/>
      <c r="AD839" s="1"/>
      <c r="AE839" s="1"/>
      <c r="AF839" s="1"/>
      <c r="AG839" s="1"/>
      <c r="AH839" s="1"/>
    </row>
    <row r="840" spans="4:34"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  <c r="Z840" s="1"/>
      <c r="AA840" s="1"/>
      <c r="AB840" s="1"/>
      <c r="AC840" s="1"/>
      <c r="AD840" s="1"/>
      <c r="AE840" s="1"/>
      <c r="AF840" s="1"/>
      <c r="AG840" s="1"/>
      <c r="AH840" s="1"/>
    </row>
    <row r="841" spans="4:34"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  <c r="Z841" s="1"/>
      <c r="AA841" s="1"/>
      <c r="AB841" s="1"/>
      <c r="AC841" s="1"/>
      <c r="AD841" s="1"/>
      <c r="AE841" s="1"/>
      <c r="AF841" s="1"/>
      <c r="AG841" s="1"/>
      <c r="AH841" s="1"/>
    </row>
    <row r="842" spans="4:34"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  <c r="Z842" s="1"/>
      <c r="AA842" s="1"/>
      <c r="AB842" s="1"/>
      <c r="AC842" s="1"/>
      <c r="AD842" s="1"/>
      <c r="AE842" s="1"/>
      <c r="AF842" s="1"/>
      <c r="AG842" s="1"/>
      <c r="AH842" s="1"/>
    </row>
    <row r="843" spans="4:34"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  <c r="Z843" s="1"/>
      <c r="AA843" s="1"/>
      <c r="AB843" s="1"/>
      <c r="AC843" s="1"/>
      <c r="AD843" s="1"/>
      <c r="AE843" s="1"/>
      <c r="AF843" s="1"/>
      <c r="AG843" s="1"/>
      <c r="AH843" s="1"/>
    </row>
    <row r="844" spans="4:34"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  <c r="Z844" s="1"/>
      <c r="AA844" s="1"/>
      <c r="AB844" s="1"/>
      <c r="AC844" s="1"/>
      <c r="AD844" s="1"/>
      <c r="AE844" s="1"/>
      <c r="AF844" s="1"/>
      <c r="AG844" s="1"/>
      <c r="AH844" s="1"/>
    </row>
    <row r="845" spans="4:34"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  <c r="Z845" s="1"/>
      <c r="AA845" s="1"/>
      <c r="AB845" s="1"/>
      <c r="AC845" s="1"/>
      <c r="AD845" s="1"/>
      <c r="AE845" s="1"/>
      <c r="AF845" s="1"/>
      <c r="AG845" s="1"/>
      <c r="AH845" s="1"/>
    </row>
    <row r="846" spans="4:34"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  <c r="Z846" s="1"/>
      <c r="AA846" s="1"/>
      <c r="AB846" s="1"/>
      <c r="AC846" s="1"/>
      <c r="AD846" s="1"/>
      <c r="AE846" s="1"/>
      <c r="AF846" s="1"/>
      <c r="AG846" s="1"/>
      <c r="AH846" s="1"/>
    </row>
    <row r="847" spans="4:34"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  <c r="Z847" s="1"/>
      <c r="AA847" s="1"/>
      <c r="AB847" s="1"/>
      <c r="AC847" s="1"/>
      <c r="AD847" s="1"/>
      <c r="AE847" s="1"/>
      <c r="AF847" s="1"/>
      <c r="AG847" s="1"/>
      <c r="AH847" s="1"/>
    </row>
    <row r="848" spans="4:34"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  <c r="Z848" s="1"/>
      <c r="AA848" s="1"/>
      <c r="AB848" s="1"/>
      <c r="AC848" s="1"/>
      <c r="AD848" s="1"/>
      <c r="AE848" s="1"/>
      <c r="AF848" s="1"/>
      <c r="AG848" s="1"/>
      <c r="AH848" s="1"/>
    </row>
    <row r="849" spans="4:34"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  <c r="Z849" s="1"/>
      <c r="AA849" s="1"/>
      <c r="AB849" s="1"/>
      <c r="AC849" s="1"/>
      <c r="AD849" s="1"/>
      <c r="AE849" s="1"/>
      <c r="AF849" s="1"/>
      <c r="AG849" s="1"/>
      <c r="AH849" s="1"/>
    </row>
    <row r="850" spans="4:34"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  <c r="Z850" s="1"/>
      <c r="AA850" s="1"/>
      <c r="AB850" s="1"/>
      <c r="AC850" s="1"/>
      <c r="AD850" s="1"/>
      <c r="AE850" s="1"/>
      <c r="AF850" s="1"/>
      <c r="AG850" s="1"/>
      <c r="AH850" s="1"/>
    </row>
    <row r="851" spans="4:34"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  <c r="Z851" s="1"/>
      <c r="AA851" s="1"/>
      <c r="AB851" s="1"/>
      <c r="AC851" s="1"/>
      <c r="AD851" s="1"/>
      <c r="AE851" s="1"/>
      <c r="AF851" s="1"/>
      <c r="AG851" s="1"/>
      <c r="AH851" s="1"/>
    </row>
    <row r="852" spans="4:34"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  <c r="Z852" s="1"/>
      <c r="AA852" s="1"/>
      <c r="AB852" s="1"/>
      <c r="AC852" s="1"/>
      <c r="AD852" s="1"/>
      <c r="AE852" s="1"/>
      <c r="AF852" s="1"/>
      <c r="AG852" s="1"/>
      <c r="AH852" s="1"/>
    </row>
    <row r="853" spans="4:34"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  <c r="Z853" s="1"/>
      <c r="AA853" s="1"/>
      <c r="AB853" s="1"/>
      <c r="AC853" s="1"/>
      <c r="AD853" s="1"/>
      <c r="AE853" s="1"/>
      <c r="AF853" s="1"/>
      <c r="AG853" s="1"/>
      <c r="AH853" s="1"/>
    </row>
    <row r="854" spans="4:34"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  <c r="Z854" s="1"/>
      <c r="AA854" s="1"/>
      <c r="AB854" s="1"/>
      <c r="AC854" s="1"/>
      <c r="AD854" s="1"/>
      <c r="AE854" s="1"/>
      <c r="AF854" s="1"/>
      <c r="AG854" s="1"/>
      <c r="AH854" s="1"/>
    </row>
    <row r="855" spans="4:34"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  <c r="Z855" s="1"/>
      <c r="AA855" s="1"/>
      <c r="AB855" s="1"/>
      <c r="AC855" s="1"/>
      <c r="AD855" s="1"/>
      <c r="AE855" s="1"/>
      <c r="AF855" s="1"/>
      <c r="AG855" s="1"/>
      <c r="AH855" s="1"/>
    </row>
    <row r="856" spans="4:34"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  <c r="Z856" s="1"/>
      <c r="AA856" s="1"/>
      <c r="AB856" s="1"/>
      <c r="AC856" s="1"/>
      <c r="AD856" s="1"/>
      <c r="AE856" s="1"/>
      <c r="AF856" s="1"/>
      <c r="AG856" s="1"/>
      <c r="AH856" s="1"/>
    </row>
    <row r="857" spans="4:34"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  <c r="Z857" s="1"/>
      <c r="AA857" s="1"/>
      <c r="AB857" s="1"/>
      <c r="AC857" s="1"/>
      <c r="AD857" s="1"/>
      <c r="AE857" s="1"/>
      <c r="AF857" s="1"/>
      <c r="AG857" s="1"/>
      <c r="AH857" s="1"/>
    </row>
    <row r="858" spans="4:34"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  <c r="Z858" s="1"/>
      <c r="AA858" s="1"/>
      <c r="AB858" s="1"/>
      <c r="AC858" s="1"/>
      <c r="AD858" s="1"/>
      <c r="AE858" s="1"/>
      <c r="AF858" s="1"/>
      <c r="AG858" s="1"/>
      <c r="AH858" s="1"/>
    </row>
    <row r="859" spans="4:34"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  <c r="Z859" s="1"/>
      <c r="AA859" s="1"/>
      <c r="AB859" s="1"/>
      <c r="AC859" s="1"/>
      <c r="AD859" s="1"/>
      <c r="AE859" s="1"/>
      <c r="AF859" s="1"/>
      <c r="AG859" s="1"/>
      <c r="AH859" s="1"/>
    </row>
    <row r="860" spans="4:34"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  <c r="Z860" s="1"/>
      <c r="AA860" s="1"/>
      <c r="AB860" s="1"/>
      <c r="AC860" s="1"/>
      <c r="AD860" s="1"/>
      <c r="AE860" s="1"/>
      <c r="AF860" s="1"/>
      <c r="AG860" s="1"/>
      <c r="AH860" s="1"/>
    </row>
    <row r="861" spans="4:34"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  <c r="Z861" s="1"/>
      <c r="AA861" s="1"/>
      <c r="AB861" s="1"/>
      <c r="AC861" s="1"/>
      <c r="AD861" s="1"/>
      <c r="AE861" s="1"/>
      <c r="AF861" s="1"/>
      <c r="AG861" s="1"/>
      <c r="AH861" s="1"/>
    </row>
    <row r="862" spans="4:34"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  <c r="Z862" s="1"/>
      <c r="AA862" s="1"/>
      <c r="AB862" s="1"/>
      <c r="AC862" s="1"/>
      <c r="AD862" s="1"/>
      <c r="AE862" s="1"/>
      <c r="AF862" s="1"/>
      <c r="AG862" s="1"/>
      <c r="AH862" s="1"/>
    </row>
    <row r="863" spans="4:34"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  <c r="Z863" s="1"/>
      <c r="AA863" s="1"/>
      <c r="AB863" s="1"/>
      <c r="AC863" s="1"/>
      <c r="AD863" s="1"/>
      <c r="AE863" s="1"/>
      <c r="AF863" s="1"/>
      <c r="AG863" s="1"/>
      <c r="AH863" s="1"/>
    </row>
    <row r="864" spans="4:34"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  <c r="Z864" s="1"/>
      <c r="AA864" s="1"/>
      <c r="AB864" s="1"/>
      <c r="AC864" s="1"/>
      <c r="AD864" s="1"/>
      <c r="AE864" s="1"/>
      <c r="AF864" s="1"/>
      <c r="AG864" s="1"/>
      <c r="AH864" s="1"/>
    </row>
    <row r="865" spans="4:34"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  <c r="Z865" s="1"/>
      <c r="AA865" s="1"/>
      <c r="AB865" s="1"/>
      <c r="AC865" s="1"/>
      <c r="AD865" s="1"/>
      <c r="AE865" s="1"/>
      <c r="AF865" s="1"/>
      <c r="AG865" s="1"/>
      <c r="AH865" s="1"/>
    </row>
    <row r="866" spans="4:34"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  <c r="Z866" s="1"/>
      <c r="AA866" s="1"/>
      <c r="AB866" s="1"/>
      <c r="AC866" s="1"/>
      <c r="AD866" s="1"/>
      <c r="AE866" s="1"/>
      <c r="AF866" s="1"/>
      <c r="AG866" s="1"/>
      <c r="AH866" s="1"/>
    </row>
    <row r="867" spans="4:34"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  <c r="Z867" s="1"/>
      <c r="AA867" s="1"/>
      <c r="AB867" s="1"/>
      <c r="AC867" s="1"/>
      <c r="AD867" s="1"/>
      <c r="AE867" s="1"/>
      <c r="AF867" s="1"/>
      <c r="AG867" s="1"/>
      <c r="AH867" s="1"/>
    </row>
    <row r="868" spans="4:34"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  <c r="Z868" s="1"/>
      <c r="AA868" s="1"/>
      <c r="AB868" s="1"/>
      <c r="AC868" s="1"/>
      <c r="AD868" s="1"/>
      <c r="AE868" s="1"/>
      <c r="AF868" s="1"/>
      <c r="AG868" s="1"/>
      <c r="AH868" s="1"/>
    </row>
    <row r="869" spans="4:34"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  <c r="Z869" s="1"/>
      <c r="AA869" s="1"/>
      <c r="AB869" s="1"/>
      <c r="AC869" s="1"/>
      <c r="AD869" s="1"/>
      <c r="AE869" s="1"/>
      <c r="AF869" s="1"/>
      <c r="AG869" s="1"/>
      <c r="AH869" s="1"/>
    </row>
    <row r="870" spans="4:34"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  <c r="Z870" s="1"/>
      <c r="AA870" s="1"/>
      <c r="AB870" s="1"/>
      <c r="AC870" s="1"/>
      <c r="AD870" s="1"/>
      <c r="AE870" s="1"/>
      <c r="AF870" s="1"/>
      <c r="AG870" s="1"/>
      <c r="AH870" s="1"/>
    </row>
    <row r="871" spans="4:34"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  <c r="Z871" s="1"/>
      <c r="AA871" s="1"/>
      <c r="AB871" s="1"/>
      <c r="AC871" s="1"/>
      <c r="AD871" s="1"/>
      <c r="AE871" s="1"/>
      <c r="AF871" s="1"/>
      <c r="AG871" s="1"/>
      <c r="AH871" s="1"/>
    </row>
    <row r="872" spans="4:34"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  <c r="Z872" s="1"/>
      <c r="AA872" s="1"/>
      <c r="AB872" s="1"/>
      <c r="AC872" s="1"/>
      <c r="AD872" s="1"/>
      <c r="AE872" s="1"/>
      <c r="AF872" s="1"/>
      <c r="AG872" s="1"/>
      <c r="AH872" s="1"/>
    </row>
    <row r="873" spans="4:34"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  <c r="Z873" s="1"/>
      <c r="AA873" s="1"/>
      <c r="AB873" s="1"/>
      <c r="AC873" s="1"/>
      <c r="AD873" s="1"/>
      <c r="AE873" s="1"/>
      <c r="AF873" s="1"/>
      <c r="AG873" s="1"/>
      <c r="AH873" s="1"/>
    </row>
    <row r="874" spans="4:34"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  <c r="Z874" s="1"/>
      <c r="AA874" s="1"/>
      <c r="AB874" s="1"/>
      <c r="AC874" s="1"/>
      <c r="AD874" s="1"/>
      <c r="AE874" s="1"/>
      <c r="AF874" s="1"/>
      <c r="AG874" s="1"/>
      <c r="AH874" s="1"/>
    </row>
    <row r="875" spans="4:34"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  <c r="Z875" s="1"/>
      <c r="AA875" s="1"/>
      <c r="AB875" s="1"/>
      <c r="AC875" s="1"/>
      <c r="AD875" s="1"/>
      <c r="AE875" s="1"/>
      <c r="AF875" s="1"/>
      <c r="AG875" s="1"/>
      <c r="AH875" s="1"/>
    </row>
    <row r="876" spans="4:34"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  <c r="Z876" s="1"/>
      <c r="AA876" s="1"/>
      <c r="AB876" s="1"/>
      <c r="AC876" s="1"/>
      <c r="AD876" s="1"/>
      <c r="AE876" s="1"/>
      <c r="AF876" s="1"/>
      <c r="AG876" s="1"/>
      <c r="AH876" s="1"/>
    </row>
    <row r="877" spans="4:34"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  <c r="Z877" s="1"/>
      <c r="AA877" s="1"/>
      <c r="AB877" s="1"/>
      <c r="AC877" s="1"/>
      <c r="AD877" s="1"/>
      <c r="AE877" s="1"/>
      <c r="AF877" s="1"/>
      <c r="AG877" s="1"/>
      <c r="AH877" s="1"/>
    </row>
    <row r="878" spans="4:34"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  <c r="Z878" s="1"/>
      <c r="AA878" s="1"/>
      <c r="AB878" s="1"/>
      <c r="AC878" s="1"/>
      <c r="AD878" s="1"/>
      <c r="AE878" s="1"/>
      <c r="AF878" s="1"/>
      <c r="AG878" s="1"/>
      <c r="AH878" s="1"/>
    </row>
    <row r="879" spans="4:34"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  <c r="Z879" s="1"/>
      <c r="AA879" s="1"/>
      <c r="AB879" s="1"/>
      <c r="AC879" s="1"/>
      <c r="AD879" s="1"/>
      <c r="AE879" s="1"/>
      <c r="AF879" s="1"/>
      <c r="AG879" s="1"/>
      <c r="AH879" s="1"/>
    </row>
    <row r="880" spans="4:34"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  <c r="Z880" s="1"/>
      <c r="AA880" s="1"/>
      <c r="AB880" s="1"/>
      <c r="AC880" s="1"/>
      <c r="AD880" s="1"/>
      <c r="AE880" s="1"/>
      <c r="AF880" s="1"/>
      <c r="AG880" s="1"/>
      <c r="AH880" s="1"/>
    </row>
    <row r="881" spans="4:34"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  <c r="Z881" s="1"/>
      <c r="AA881" s="1"/>
      <c r="AB881" s="1"/>
      <c r="AC881" s="1"/>
      <c r="AD881" s="1"/>
      <c r="AE881" s="1"/>
      <c r="AF881" s="1"/>
      <c r="AG881" s="1"/>
      <c r="AH881" s="1"/>
    </row>
    <row r="882" spans="4:34"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  <c r="Z882" s="1"/>
      <c r="AA882" s="1"/>
      <c r="AB882" s="1"/>
      <c r="AC882" s="1"/>
      <c r="AD882" s="1"/>
      <c r="AE882" s="1"/>
      <c r="AF882" s="1"/>
      <c r="AG882" s="1"/>
      <c r="AH882" s="1"/>
    </row>
    <row r="883" spans="4:34"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  <c r="Z883" s="1"/>
      <c r="AA883" s="1"/>
      <c r="AB883" s="1"/>
      <c r="AC883" s="1"/>
      <c r="AD883" s="1"/>
      <c r="AE883" s="1"/>
      <c r="AF883" s="1"/>
      <c r="AG883" s="1"/>
      <c r="AH883" s="1"/>
    </row>
    <row r="884" spans="4:34"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  <c r="Z884" s="1"/>
      <c r="AA884" s="1"/>
      <c r="AB884" s="1"/>
      <c r="AC884" s="1"/>
      <c r="AD884" s="1"/>
      <c r="AE884" s="1"/>
      <c r="AF884" s="1"/>
      <c r="AG884" s="1"/>
      <c r="AH884" s="1"/>
    </row>
    <row r="885" spans="4:34"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  <c r="Z885" s="1"/>
      <c r="AA885" s="1"/>
      <c r="AB885" s="1"/>
      <c r="AC885" s="1"/>
      <c r="AD885" s="1"/>
      <c r="AE885" s="1"/>
      <c r="AF885" s="1"/>
      <c r="AG885" s="1"/>
      <c r="AH885" s="1"/>
    </row>
    <row r="886" spans="4:34"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  <c r="Z886" s="1"/>
      <c r="AA886" s="1"/>
      <c r="AB886" s="1"/>
      <c r="AC886" s="1"/>
      <c r="AD886" s="1"/>
      <c r="AE886" s="1"/>
      <c r="AF886" s="1"/>
      <c r="AG886" s="1"/>
      <c r="AH886" s="1"/>
    </row>
    <row r="887" spans="4:34"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  <c r="Z887" s="1"/>
      <c r="AA887" s="1"/>
      <c r="AB887" s="1"/>
      <c r="AC887" s="1"/>
      <c r="AD887" s="1"/>
      <c r="AE887" s="1"/>
      <c r="AF887" s="1"/>
      <c r="AG887" s="1"/>
      <c r="AH887" s="1"/>
    </row>
    <row r="888" spans="4:34"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  <c r="Z888" s="1"/>
      <c r="AA888" s="1"/>
      <c r="AB888" s="1"/>
      <c r="AC888" s="1"/>
      <c r="AD888" s="1"/>
      <c r="AE888" s="1"/>
      <c r="AF888" s="1"/>
      <c r="AG888" s="1"/>
      <c r="AH888" s="1"/>
    </row>
    <row r="889" spans="4:34"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  <c r="Z889" s="1"/>
      <c r="AA889" s="1"/>
      <c r="AB889" s="1"/>
      <c r="AC889" s="1"/>
      <c r="AD889" s="1"/>
      <c r="AE889" s="1"/>
      <c r="AF889" s="1"/>
      <c r="AG889" s="1"/>
      <c r="AH889" s="1"/>
    </row>
    <row r="890" spans="4:34"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  <c r="Z890" s="1"/>
      <c r="AA890" s="1"/>
      <c r="AB890" s="1"/>
      <c r="AC890" s="1"/>
      <c r="AD890" s="1"/>
      <c r="AE890" s="1"/>
      <c r="AF890" s="1"/>
      <c r="AG890" s="1"/>
      <c r="AH890" s="1"/>
    </row>
    <row r="891" spans="4:34"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  <c r="Z891" s="1"/>
      <c r="AA891" s="1"/>
      <c r="AB891" s="1"/>
      <c r="AC891" s="1"/>
      <c r="AD891" s="1"/>
      <c r="AE891" s="1"/>
      <c r="AF891" s="1"/>
      <c r="AG891" s="1"/>
      <c r="AH891" s="1"/>
    </row>
    <row r="892" spans="4:34"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  <c r="Z892" s="1"/>
      <c r="AA892" s="1"/>
      <c r="AB892" s="1"/>
      <c r="AC892" s="1"/>
      <c r="AD892" s="1"/>
      <c r="AE892" s="1"/>
      <c r="AF892" s="1"/>
      <c r="AG892" s="1"/>
      <c r="AH892" s="1"/>
    </row>
    <row r="893" spans="4:34"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  <c r="Z893" s="1"/>
      <c r="AA893" s="1"/>
      <c r="AB893" s="1"/>
      <c r="AC893" s="1"/>
      <c r="AD893" s="1"/>
      <c r="AE893" s="1"/>
      <c r="AF893" s="1"/>
      <c r="AG893" s="1"/>
      <c r="AH893" s="1"/>
    </row>
    <row r="894" spans="4:34"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  <c r="Z894" s="1"/>
      <c r="AA894" s="1"/>
      <c r="AB894" s="1"/>
      <c r="AC894" s="1"/>
      <c r="AD894" s="1"/>
      <c r="AE894" s="1"/>
      <c r="AF894" s="1"/>
      <c r="AG894" s="1"/>
      <c r="AH894" s="1"/>
    </row>
    <row r="895" spans="4:34"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  <c r="Z895" s="1"/>
      <c r="AA895" s="1"/>
      <c r="AB895" s="1"/>
      <c r="AC895" s="1"/>
      <c r="AD895" s="1"/>
      <c r="AE895" s="1"/>
      <c r="AF895" s="1"/>
      <c r="AG895" s="1"/>
      <c r="AH895" s="1"/>
    </row>
    <row r="896" spans="4:34"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  <c r="Z896" s="1"/>
      <c r="AA896" s="1"/>
      <c r="AB896" s="1"/>
      <c r="AC896" s="1"/>
      <c r="AD896" s="1"/>
      <c r="AE896" s="1"/>
      <c r="AF896" s="1"/>
      <c r="AG896" s="1"/>
      <c r="AH896" s="1"/>
    </row>
    <row r="897" spans="4:34"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  <c r="Z897" s="1"/>
      <c r="AA897" s="1"/>
      <c r="AB897" s="1"/>
      <c r="AC897" s="1"/>
      <c r="AD897" s="1"/>
      <c r="AE897" s="1"/>
      <c r="AF897" s="1"/>
      <c r="AG897" s="1"/>
      <c r="AH897" s="1"/>
    </row>
    <row r="898" spans="4:34"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  <c r="Z898" s="1"/>
      <c r="AA898" s="1"/>
      <c r="AB898" s="1"/>
      <c r="AC898" s="1"/>
      <c r="AD898" s="1"/>
      <c r="AE898" s="1"/>
      <c r="AF898" s="1"/>
      <c r="AG898" s="1"/>
      <c r="AH898" s="1"/>
    </row>
    <row r="899" spans="4:34"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  <c r="Z899" s="1"/>
      <c r="AA899" s="1"/>
      <c r="AB899" s="1"/>
      <c r="AC899" s="1"/>
      <c r="AD899" s="1"/>
      <c r="AE899" s="1"/>
      <c r="AF899" s="1"/>
      <c r="AG899" s="1"/>
      <c r="AH899" s="1"/>
    </row>
    <row r="900" spans="4:34"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  <c r="Z900" s="1"/>
      <c r="AA900" s="1"/>
      <c r="AB900" s="1"/>
      <c r="AC900" s="1"/>
      <c r="AD900" s="1"/>
      <c r="AE900" s="1"/>
      <c r="AF900" s="1"/>
      <c r="AG900" s="1"/>
      <c r="AH900" s="1"/>
    </row>
    <row r="901" spans="4:34"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  <c r="Z901" s="1"/>
      <c r="AA901" s="1"/>
      <c r="AB901" s="1"/>
      <c r="AC901" s="1"/>
      <c r="AD901" s="1"/>
      <c r="AE901" s="1"/>
      <c r="AF901" s="1"/>
      <c r="AG901" s="1"/>
      <c r="AH901" s="1"/>
    </row>
    <row r="902" spans="4:34"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  <c r="Z902" s="1"/>
      <c r="AA902" s="1"/>
      <c r="AB902" s="1"/>
      <c r="AC902" s="1"/>
      <c r="AD902" s="1"/>
      <c r="AE902" s="1"/>
      <c r="AF902" s="1"/>
      <c r="AG902" s="1"/>
      <c r="AH902" s="1"/>
    </row>
    <row r="903" spans="4:34"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  <c r="Z903" s="1"/>
      <c r="AA903" s="1"/>
      <c r="AB903" s="1"/>
      <c r="AC903" s="1"/>
      <c r="AD903" s="1"/>
      <c r="AE903" s="1"/>
      <c r="AF903" s="1"/>
      <c r="AG903" s="1"/>
      <c r="AH903" s="1"/>
    </row>
    <row r="904" spans="4:34"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  <c r="Z904" s="1"/>
      <c r="AA904" s="1"/>
      <c r="AB904" s="1"/>
      <c r="AC904" s="1"/>
      <c r="AD904" s="1"/>
      <c r="AE904" s="1"/>
      <c r="AF904" s="1"/>
      <c r="AG904" s="1"/>
      <c r="AH904" s="1"/>
    </row>
    <row r="905" spans="4:34"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  <c r="Z905" s="1"/>
      <c r="AA905" s="1"/>
      <c r="AB905" s="1"/>
      <c r="AC905" s="1"/>
      <c r="AD905" s="1"/>
      <c r="AE905" s="1"/>
      <c r="AF905" s="1"/>
      <c r="AG905" s="1"/>
      <c r="AH905" s="1"/>
    </row>
    <row r="906" spans="4:34"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  <c r="Z906" s="1"/>
      <c r="AA906" s="1"/>
      <c r="AB906" s="1"/>
      <c r="AC906" s="1"/>
      <c r="AD906" s="1"/>
      <c r="AE906" s="1"/>
      <c r="AF906" s="1"/>
      <c r="AG906" s="1"/>
      <c r="AH906" s="1"/>
    </row>
    <row r="907" spans="4:34"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  <c r="Z907" s="1"/>
      <c r="AA907" s="1"/>
      <c r="AB907" s="1"/>
      <c r="AC907" s="1"/>
      <c r="AD907" s="1"/>
      <c r="AE907" s="1"/>
      <c r="AF907" s="1"/>
      <c r="AG907" s="1"/>
      <c r="AH907" s="1"/>
    </row>
    <row r="908" spans="4:34"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  <c r="Z908" s="1"/>
      <c r="AA908" s="1"/>
      <c r="AB908" s="1"/>
      <c r="AC908" s="1"/>
      <c r="AD908" s="1"/>
      <c r="AE908" s="1"/>
      <c r="AF908" s="1"/>
      <c r="AG908" s="1"/>
      <c r="AH908" s="1"/>
    </row>
    <row r="909" spans="4:34"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  <c r="Z909" s="1"/>
      <c r="AA909" s="1"/>
      <c r="AB909" s="1"/>
      <c r="AC909" s="1"/>
      <c r="AD909" s="1"/>
      <c r="AE909" s="1"/>
      <c r="AF909" s="1"/>
      <c r="AG909" s="1"/>
      <c r="AH909" s="1"/>
    </row>
    <row r="910" spans="4:34"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  <c r="Z910" s="1"/>
      <c r="AA910" s="1"/>
      <c r="AB910" s="1"/>
      <c r="AC910" s="1"/>
      <c r="AD910" s="1"/>
      <c r="AE910" s="1"/>
      <c r="AF910" s="1"/>
      <c r="AG910" s="1"/>
      <c r="AH910" s="1"/>
    </row>
    <row r="911" spans="4:34"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  <c r="Z911" s="1"/>
      <c r="AA911" s="1"/>
      <c r="AB911" s="1"/>
      <c r="AC911" s="1"/>
      <c r="AD911" s="1"/>
      <c r="AE911" s="1"/>
      <c r="AF911" s="1"/>
      <c r="AG911" s="1"/>
      <c r="AH911" s="1"/>
    </row>
    <row r="912" spans="4:34"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  <c r="Z912" s="1"/>
      <c r="AA912" s="1"/>
      <c r="AB912" s="1"/>
      <c r="AC912" s="1"/>
      <c r="AD912" s="1"/>
      <c r="AE912" s="1"/>
      <c r="AF912" s="1"/>
      <c r="AG912" s="1"/>
      <c r="AH912" s="1"/>
    </row>
    <row r="913" spans="4:34"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  <c r="Z913" s="1"/>
      <c r="AA913" s="1"/>
      <c r="AB913" s="1"/>
      <c r="AC913" s="1"/>
      <c r="AD913" s="1"/>
      <c r="AE913" s="1"/>
      <c r="AF913" s="1"/>
      <c r="AG913" s="1"/>
      <c r="AH913" s="1"/>
    </row>
    <row r="914" spans="4:34"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  <c r="Z914" s="1"/>
      <c r="AA914" s="1"/>
      <c r="AB914" s="1"/>
      <c r="AC914" s="1"/>
      <c r="AD914" s="1"/>
      <c r="AE914" s="1"/>
      <c r="AF914" s="1"/>
      <c r="AG914" s="1"/>
      <c r="AH914" s="1"/>
    </row>
    <row r="915" spans="4:34"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  <c r="Z915" s="1"/>
      <c r="AA915" s="1"/>
      <c r="AB915" s="1"/>
      <c r="AC915" s="1"/>
      <c r="AD915" s="1"/>
      <c r="AE915" s="1"/>
      <c r="AF915" s="1"/>
      <c r="AG915" s="1"/>
      <c r="AH915" s="1"/>
    </row>
    <row r="916" spans="4:34"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  <c r="Z916" s="1"/>
      <c r="AA916" s="1"/>
      <c r="AB916" s="1"/>
      <c r="AC916" s="1"/>
      <c r="AD916" s="1"/>
      <c r="AE916" s="1"/>
      <c r="AF916" s="1"/>
      <c r="AG916" s="1"/>
      <c r="AH916" s="1"/>
    </row>
    <row r="917" spans="4:34"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  <c r="Z917" s="1"/>
      <c r="AA917" s="1"/>
      <c r="AB917" s="1"/>
      <c r="AC917" s="1"/>
      <c r="AD917" s="1"/>
      <c r="AE917" s="1"/>
      <c r="AF917" s="1"/>
      <c r="AG917" s="1"/>
      <c r="AH917" s="1"/>
    </row>
    <row r="918" spans="4:34"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  <c r="Z918" s="1"/>
      <c r="AA918" s="1"/>
      <c r="AB918" s="1"/>
      <c r="AC918" s="1"/>
      <c r="AD918" s="1"/>
      <c r="AE918" s="1"/>
      <c r="AF918" s="1"/>
      <c r="AG918" s="1"/>
      <c r="AH918" s="1"/>
    </row>
    <row r="919" spans="4:34"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  <c r="Z919" s="1"/>
      <c r="AA919" s="1"/>
      <c r="AB919" s="1"/>
      <c r="AC919" s="1"/>
      <c r="AD919" s="1"/>
      <c r="AE919" s="1"/>
      <c r="AF919" s="1"/>
      <c r="AG919" s="1"/>
      <c r="AH919" s="1"/>
    </row>
    <row r="920" spans="4:34"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  <c r="Z920" s="1"/>
      <c r="AA920" s="1"/>
      <c r="AB920" s="1"/>
      <c r="AC920" s="1"/>
      <c r="AD920" s="1"/>
      <c r="AE920" s="1"/>
      <c r="AF920" s="1"/>
      <c r="AG920" s="1"/>
      <c r="AH920" s="1"/>
    </row>
    <row r="921" spans="4:34"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  <c r="Z921" s="1"/>
      <c r="AA921" s="1"/>
      <c r="AB921" s="1"/>
      <c r="AC921" s="1"/>
      <c r="AD921" s="1"/>
      <c r="AE921" s="1"/>
      <c r="AF921" s="1"/>
      <c r="AG921" s="1"/>
      <c r="AH921" s="1"/>
    </row>
    <row r="922" spans="4:34"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  <c r="Z922" s="1"/>
      <c r="AA922" s="1"/>
      <c r="AB922" s="1"/>
      <c r="AC922" s="1"/>
      <c r="AD922" s="1"/>
      <c r="AE922" s="1"/>
      <c r="AF922" s="1"/>
      <c r="AG922" s="1"/>
      <c r="AH922" s="1"/>
    </row>
    <row r="923" spans="4:34"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  <c r="Z923" s="1"/>
      <c r="AA923" s="1"/>
      <c r="AB923" s="1"/>
      <c r="AC923" s="1"/>
      <c r="AD923" s="1"/>
      <c r="AE923" s="1"/>
      <c r="AF923" s="1"/>
      <c r="AG923" s="1"/>
      <c r="AH923" s="1"/>
    </row>
    <row r="924" spans="4:34"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  <c r="Z924" s="1"/>
      <c r="AA924" s="1"/>
      <c r="AB924" s="1"/>
      <c r="AC924" s="1"/>
      <c r="AD924" s="1"/>
      <c r="AE924" s="1"/>
      <c r="AF924" s="1"/>
      <c r="AG924" s="1"/>
      <c r="AH924" s="1"/>
    </row>
    <row r="925" spans="4:34"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  <c r="Z925" s="1"/>
      <c r="AA925" s="1"/>
      <c r="AB925" s="1"/>
      <c r="AC925" s="1"/>
      <c r="AD925" s="1"/>
      <c r="AE925" s="1"/>
      <c r="AF925" s="1"/>
      <c r="AG925" s="1"/>
      <c r="AH925" s="1"/>
    </row>
    <row r="926" spans="4:34"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  <c r="Z926" s="1"/>
      <c r="AA926" s="1"/>
      <c r="AB926" s="1"/>
      <c r="AC926" s="1"/>
      <c r="AD926" s="1"/>
      <c r="AE926" s="1"/>
      <c r="AF926" s="1"/>
      <c r="AG926" s="1"/>
      <c r="AH926" s="1"/>
    </row>
    <row r="927" spans="4:34"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  <c r="Z927" s="1"/>
      <c r="AA927" s="1"/>
      <c r="AB927" s="1"/>
      <c r="AC927" s="1"/>
      <c r="AD927" s="1"/>
      <c r="AE927" s="1"/>
      <c r="AF927" s="1"/>
      <c r="AG927" s="1"/>
      <c r="AH927" s="1"/>
    </row>
    <row r="928" spans="4:34"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  <c r="Z928" s="1"/>
      <c r="AA928" s="1"/>
      <c r="AB928" s="1"/>
      <c r="AC928" s="1"/>
      <c r="AD928" s="1"/>
      <c r="AE928" s="1"/>
      <c r="AF928" s="1"/>
      <c r="AG928" s="1"/>
      <c r="AH928" s="1"/>
    </row>
    <row r="929" spans="4:34"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  <c r="Z929" s="1"/>
      <c r="AA929" s="1"/>
      <c r="AB929" s="1"/>
      <c r="AC929" s="1"/>
      <c r="AD929" s="1"/>
      <c r="AE929" s="1"/>
      <c r="AF929" s="1"/>
      <c r="AG929" s="1"/>
      <c r="AH929" s="1"/>
    </row>
    <row r="930" spans="4:34"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  <c r="Z930" s="1"/>
      <c r="AA930" s="1"/>
      <c r="AB930" s="1"/>
      <c r="AC930" s="1"/>
      <c r="AD930" s="1"/>
      <c r="AE930" s="1"/>
      <c r="AF930" s="1"/>
      <c r="AG930" s="1"/>
      <c r="AH930" s="1"/>
    </row>
    <row r="931" spans="4:34"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  <c r="Z931" s="1"/>
      <c r="AA931" s="1"/>
      <c r="AB931" s="1"/>
      <c r="AC931" s="1"/>
      <c r="AD931" s="1"/>
      <c r="AE931" s="1"/>
      <c r="AF931" s="1"/>
      <c r="AG931" s="1"/>
      <c r="AH931" s="1"/>
    </row>
    <row r="932" spans="4:34"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  <c r="Z932" s="1"/>
      <c r="AA932" s="1"/>
      <c r="AB932" s="1"/>
      <c r="AC932" s="1"/>
      <c r="AD932" s="1"/>
      <c r="AE932" s="1"/>
      <c r="AF932" s="1"/>
      <c r="AG932" s="1"/>
      <c r="AH932" s="1"/>
    </row>
    <row r="933" spans="4:34"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  <c r="Z933" s="1"/>
      <c r="AA933" s="1"/>
      <c r="AB933" s="1"/>
      <c r="AC933" s="1"/>
      <c r="AD933" s="1"/>
      <c r="AE933" s="1"/>
      <c r="AF933" s="1"/>
      <c r="AG933" s="1"/>
      <c r="AH933" s="1"/>
    </row>
    <row r="934" spans="4:34"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  <c r="Z934" s="1"/>
      <c r="AA934" s="1"/>
      <c r="AB934" s="1"/>
      <c r="AC934" s="1"/>
      <c r="AD934" s="1"/>
      <c r="AE934" s="1"/>
      <c r="AF934" s="1"/>
      <c r="AG934" s="1"/>
      <c r="AH934" s="1"/>
    </row>
    <row r="935" spans="4:34"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  <c r="Z935" s="1"/>
      <c r="AA935" s="1"/>
      <c r="AB935" s="1"/>
      <c r="AC935" s="1"/>
      <c r="AD935" s="1"/>
      <c r="AE935" s="1"/>
      <c r="AF935" s="1"/>
      <c r="AG935" s="1"/>
      <c r="AH935" s="1"/>
    </row>
    <row r="936" spans="4:34"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  <c r="Z936" s="1"/>
      <c r="AA936" s="1"/>
      <c r="AB936" s="1"/>
      <c r="AC936" s="1"/>
      <c r="AD936" s="1"/>
      <c r="AE936" s="1"/>
      <c r="AF936" s="1"/>
      <c r="AG936" s="1"/>
      <c r="AH936" s="1"/>
    </row>
    <row r="937" spans="4:34"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  <c r="Z937" s="1"/>
      <c r="AA937" s="1"/>
      <c r="AB937" s="1"/>
      <c r="AC937" s="1"/>
      <c r="AD937" s="1"/>
      <c r="AE937" s="1"/>
      <c r="AF937" s="1"/>
      <c r="AG937" s="1"/>
      <c r="AH937" s="1"/>
    </row>
    <row r="938" spans="4:34"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  <c r="Z938" s="1"/>
      <c r="AA938" s="1"/>
      <c r="AB938" s="1"/>
      <c r="AC938" s="1"/>
      <c r="AD938" s="1"/>
      <c r="AE938" s="1"/>
      <c r="AF938" s="1"/>
      <c r="AG938" s="1"/>
      <c r="AH938" s="1"/>
    </row>
    <row r="939" spans="4:34"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  <c r="Z939" s="1"/>
      <c r="AA939" s="1"/>
      <c r="AB939" s="1"/>
      <c r="AC939" s="1"/>
      <c r="AD939" s="1"/>
      <c r="AE939" s="1"/>
      <c r="AF939" s="1"/>
      <c r="AG939" s="1"/>
      <c r="AH939" s="1"/>
    </row>
    <row r="940" spans="4:34"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  <c r="Z940" s="1"/>
      <c r="AA940" s="1"/>
      <c r="AB940" s="1"/>
      <c r="AC940" s="1"/>
      <c r="AD940" s="1"/>
      <c r="AE940" s="1"/>
      <c r="AF940" s="1"/>
      <c r="AG940" s="1"/>
      <c r="AH940" s="1"/>
    </row>
    <row r="941" spans="4:34"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  <c r="Z941" s="1"/>
      <c r="AA941" s="1"/>
      <c r="AB941" s="1"/>
      <c r="AC941" s="1"/>
      <c r="AD941" s="1"/>
      <c r="AE941" s="1"/>
      <c r="AF941" s="1"/>
      <c r="AG941" s="1"/>
      <c r="AH941" s="1"/>
    </row>
    <row r="942" spans="4:34"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  <c r="Z942" s="1"/>
      <c r="AA942" s="1"/>
      <c r="AB942" s="1"/>
      <c r="AC942" s="1"/>
      <c r="AD942" s="1"/>
      <c r="AE942" s="1"/>
      <c r="AF942" s="1"/>
      <c r="AG942" s="1"/>
      <c r="AH942" s="1"/>
    </row>
    <row r="943" spans="4:34"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  <c r="Z943" s="1"/>
      <c r="AA943" s="1"/>
      <c r="AB943" s="1"/>
      <c r="AC943" s="1"/>
      <c r="AD943" s="1"/>
      <c r="AE943" s="1"/>
      <c r="AF943" s="1"/>
      <c r="AG943" s="1"/>
      <c r="AH943" s="1"/>
    </row>
    <row r="944" spans="4:34"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  <c r="Z944" s="1"/>
      <c r="AA944" s="1"/>
      <c r="AB944" s="1"/>
      <c r="AC944" s="1"/>
      <c r="AD944" s="1"/>
      <c r="AE944" s="1"/>
      <c r="AF944" s="1"/>
      <c r="AG944" s="1"/>
      <c r="AH944" s="1"/>
    </row>
    <row r="945" spans="4:34"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  <c r="Z945" s="1"/>
      <c r="AA945" s="1"/>
      <c r="AB945" s="1"/>
      <c r="AC945" s="1"/>
      <c r="AD945" s="1"/>
      <c r="AE945" s="1"/>
      <c r="AF945" s="1"/>
      <c r="AG945" s="1"/>
      <c r="AH945" s="1"/>
    </row>
    <row r="946" spans="4:34"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  <c r="Z946" s="1"/>
      <c r="AA946" s="1"/>
      <c r="AB946" s="1"/>
      <c r="AC946" s="1"/>
      <c r="AD946" s="1"/>
      <c r="AE946" s="1"/>
      <c r="AF946" s="1"/>
      <c r="AG946" s="1"/>
      <c r="AH946" s="1"/>
    </row>
    <row r="947" spans="4:34"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  <c r="Z947" s="1"/>
      <c r="AA947" s="1"/>
      <c r="AB947" s="1"/>
      <c r="AC947" s="1"/>
      <c r="AD947" s="1"/>
      <c r="AE947" s="1"/>
      <c r="AF947" s="1"/>
      <c r="AG947" s="1"/>
      <c r="AH947" s="1"/>
    </row>
    <row r="948" spans="4:34"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  <c r="Z948" s="1"/>
      <c r="AA948" s="1"/>
      <c r="AB948" s="1"/>
      <c r="AC948" s="1"/>
      <c r="AD948" s="1"/>
      <c r="AE948" s="1"/>
      <c r="AF948" s="1"/>
      <c r="AG948" s="1"/>
      <c r="AH948" s="1"/>
    </row>
    <row r="949" spans="4:34"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  <c r="Z949" s="1"/>
      <c r="AA949" s="1"/>
      <c r="AB949" s="1"/>
      <c r="AC949" s="1"/>
      <c r="AD949" s="1"/>
      <c r="AE949" s="1"/>
      <c r="AF949" s="1"/>
      <c r="AG949" s="1"/>
      <c r="AH949" s="1"/>
    </row>
    <row r="950" spans="4:34"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  <c r="Z950" s="1"/>
      <c r="AA950" s="1"/>
      <c r="AB950" s="1"/>
      <c r="AC950" s="1"/>
      <c r="AD950" s="1"/>
      <c r="AE950" s="1"/>
      <c r="AF950" s="1"/>
      <c r="AG950" s="1"/>
      <c r="AH950" s="1"/>
    </row>
    <row r="951" spans="4:34"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  <c r="Z951" s="1"/>
      <c r="AA951" s="1"/>
      <c r="AB951" s="1"/>
      <c r="AC951" s="1"/>
      <c r="AD951" s="1"/>
      <c r="AE951" s="1"/>
      <c r="AF951" s="1"/>
      <c r="AG951" s="1"/>
      <c r="AH951" s="1"/>
    </row>
    <row r="952" spans="4:34"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  <c r="Z952" s="1"/>
      <c r="AA952" s="1"/>
      <c r="AB952" s="1"/>
      <c r="AC952" s="1"/>
      <c r="AD952" s="1"/>
      <c r="AE952" s="1"/>
      <c r="AF952" s="1"/>
      <c r="AG952" s="1"/>
      <c r="AH952" s="1"/>
    </row>
    <row r="953" spans="4:34"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  <c r="Z953" s="1"/>
      <c r="AA953" s="1"/>
      <c r="AB953" s="1"/>
      <c r="AC953" s="1"/>
      <c r="AD953" s="1"/>
      <c r="AE953" s="1"/>
      <c r="AF953" s="1"/>
      <c r="AG953" s="1"/>
      <c r="AH953" s="1"/>
    </row>
    <row r="954" spans="4:34"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  <c r="Z954" s="1"/>
      <c r="AA954" s="1"/>
      <c r="AB954" s="1"/>
      <c r="AC954" s="1"/>
      <c r="AD954" s="1"/>
      <c r="AE954" s="1"/>
      <c r="AF954" s="1"/>
      <c r="AG954" s="1"/>
      <c r="AH954" s="1"/>
    </row>
    <row r="955" spans="4:34"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  <c r="Z955" s="1"/>
      <c r="AA955" s="1"/>
      <c r="AB955" s="1"/>
      <c r="AC955" s="1"/>
      <c r="AD955" s="1"/>
      <c r="AE955" s="1"/>
      <c r="AF955" s="1"/>
      <c r="AG955" s="1"/>
      <c r="AH955" s="1"/>
    </row>
    <row r="956" spans="4:34"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  <c r="Z956" s="1"/>
      <c r="AA956" s="1"/>
      <c r="AB956" s="1"/>
      <c r="AC956" s="1"/>
      <c r="AD956" s="1"/>
      <c r="AE956" s="1"/>
      <c r="AF956" s="1"/>
      <c r="AG956" s="1"/>
      <c r="AH956" s="1"/>
    </row>
    <row r="957" spans="4:34"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  <c r="Z957" s="1"/>
      <c r="AA957" s="1"/>
      <c r="AB957" s="1"/>
      <c r="AC957" s="1"/>
      <c r="AD957" s="1"/>
      <c r="AE957" s="1"/>
      <c r="AF957" s="1"/>
      <c r="AG957" s="1"/>
      <c r="AH957" s="1"/>
    </row>
    <row r="958" spans="4:34"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  <c r="Z958" s="1"/>
      <c r="AA958" s="1"/>
      <c r="AB958" s="1"/>
      <c r="AC958" s="1"/>
      <c r="AD958" s="1"/>
      <c r="AE958" s="1"/>
      <c r="AF958" s="1"/>
      <c r="AG958" s="1"/>
      <c r="AH958" s="1"/>
    </row>
    <row r="959" spans="4:34"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  <c r="Z959" s="1"/>
      <c r="AA959" s="1"/>
      <c r="AB959" s="1"/>
      <c r="AC959" s="1"/>
      <c r="AD959" s="1"/>
      <c r="AE959" s="1"/>
      <c r="AF959" s="1"/>
      <c r="AG959" s="1"/>
      <c r="AH959" s="1"/>
    </row>
    <row r="960" spans="4:34"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  <c r="Z960" s="1"/>
      <c r="AA960" s="1"/>
      <c r="AB960" s="1"/>
      <c r="AC960" s="1"/>
      <c r="AD960" s="1"/>
      <c r="AE960" s="1"/>
      <c r="AF960" s="1"/>
      <c r="AG960" s="1"/>
      <c r="AH960" s="1"/>
    </row>
    <row r="961" spans="4:34"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  <c r="Z961" s="1"/>
      <c r="AA961" s="1"/>
      <c r="AB961" s="1"/>
      <c r="AC961" s="1"/>
      <c r="AD961" s="1"/>
      <c r="AE961" s="1"/>
      <c r="AF961" s="1"/>
      <c r="AG961" s="1"/>
      <c r="AH961" s="1"/>
    </row>
    <row r="962" spans="4:34"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  <c r="Z962" s="1"/>
      <c r="AA962" s="1"/>
      <c r="AB962" s="1"/>
      <c r="AC962" s="1"/>
      <c r="AD962" s="1"/>
      <c r="AE962" s="1"/>
      <c r="AF962" s="1"/>
      <c r="AG962" s="1"/>
      <c r="AH962" s="1"/>
    </row>
    <row r="963" spans="4:34"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  <c r="Z963" s="1"/>
      <c r="AA963" s="1"/>
      <c r="AB963" s="1"/>
      <c r="AC963" s="1"/>
      <c r="AD963" s="1"/>
      <c r="AE963" s="1"/>
      <c r="AF963" s="1"/>
      <c r="AG963" s="1"/>
      <c r="AH963" s="1"/>
    </row>
    <row r="964" spans="4:34"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  <c r="Z964" s="1"/>
      <c r="AA964" s="1"/>
      <c r="AB964" s="1"/>
      <c r="AC964" s="1"/>
      <c r="AD964" s="1"/>
      <c r="AE964" s="1"/>
      <c r="AF964" s="1"/>
      <c r="AG964" s="1"/>
      <c r="AH964" s="1"/>
    </row>
    <row r="965" spans="4:34"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  <c r="Z965" s="1"/>
      <c r="AA965" s="1"/>
      <c r="AB965" s="1"/>
      <c r="AC965" s="1"/>
      <c r="AD965" s="1"/>
      <c r="AE965" s="1"/>
      <c r="AF965" s="1"/>
      <c r="AG965" s="1"/>
      <c r="AH965" s="1"/>
    </row>
    <row r="966" spans="4:34"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  <c r="Z966" s="1"/>
      <c r="AA966" s="1"/>
      <c r="AB966" s="1"/>
      <c r="AC966" s="1"/>
      <c r="AD966" s="1"/>
      <c r="AE966" s="1"/>
      <c r="AF966" s="1"/>
      <c r="AG966" s="1"/>
      <c r="AH966" s="1"/>
    </row>
    <row r="967" spans="4:34"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  <c r="Z967" s="1"/>
      <c r="AA967" s="1"/>
      <c r="AB967" s="1"/>
      <c r="AC967" s="1"/>
      <c r="AD967" s="1"/>
      <c r="AE967" s="1"/>
      <c r="AF967" s="1"/>
      <c r="AG967" s="1"/>
      <c r="AH967" s="1"/>
    </row>
    <row r="968" spans="4:34"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  <c r="Z968" s="1"/>
      <c r="AA968" s="1"/>
      <c r="AB968" s="1"/>
      <c r="AC968" s="1"/>
      <c r="AD968" s="1"/>
      <c r="AE968" s="1"/>
      <c r="AF968" s="1"/>
      <c r="AG968" s="1"/>
      <c r="AH968" s="1"/>
    </row>
    <row r="969" spans="4:34"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  <c r="Z969" s="1"/>
      <c r="AA969" s="1"/>
      <c r="AB969" s="1"/>
      <c r="AC969" s="1"/>
      <c r="AD969" s="1"/>
      <c r="AE969" s="1"/>
      <c r="AF969" s="1"/>
      <c r="AG969" s="1"/>
      <c r="AH969" s="1"/>
    </row>
    <row r="970" spans="4:34"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  <c r="Z970" s="1"/>
      <c r="AA970" s="1"/>
      <c r="AB970" s="1"/>
      <c r="AC970" s="1"/>
      <c r="AD970" s="1"/>
      <c r="AE970" s="1"/>
      <c r="AF970" s="1"/>
      <c r="AG970" s="1"/>
      <c r="AH970" s="1"/>
    </row>
    <row r="971" spans="4:34"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  <c r="Z971" s="1"/>
      <c r="AA971" s="1"/>
      <c r="AB971" s="1"/>
      <c r="AC971" s="1"/>
      <c r="AD971" s="1"/>
      <c r="AE971" s="1"/>
      <c r="AF971" s="1"/>
      <c r="AG971" s="1"/>
      <c r="AH971" s="1"/>
    </row>
    <row r="972" spans="4:34"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  <c r="Z972" s="1"/>
      <c r="AA972" s="1"/>
      <c r="AB972" s="1"/>
      <c r="AC972" s="1"/>
      <c r="AD972" s="1"/>
      <c r="AE972" s="1"/>
      <c r="AF972" s="1"/>
      <c r="AG972" s="1"/>
      <c r="AH972" s="1"/>
    </row>
    <row r="973" spans="4:34"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  <c r="Z973" s="1"/>
      <c r="AA973" s="1"/>
      <c r="AB973" s="1"/>
      <c r="AC973" s="1"/>
      <c r="AD973" s="1"/>
      <c r="AE973" s="1"/>
      <c r="AF973" s="1"/>
      <c r="AG973" s="1"/>
      <c r="AH973" s="1"/>
    </row>
    <row r="974" spans="4:34"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  <c r="Z974" s="1"/>
      <c r="AA974" s="1"/>
      <c r="AB974" s="1"/>
      <c r="AC974" s="1"/>
      <c r="AD974" s="1"/>
      <c r="AE974" s="1"/>
      <c r="AF974" s="1"/>
      <c r="AG974" s="1"/>
      <c r="AH974" s="1"/>
    </row>
    <row r="975" spans="4:34"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  <c r="Z975" s="1"/>
      <c r="AA975" s="1"/>
      <c r="AB975" s="1"/>
      <c r="AC975" s="1"/>
      <c r="AD975" s="1"/>
      <c r="AE975" s="1"/>
      <c r="AF975" s="1"/>
      <c r="AG975" s="1"/>
      <c r="AH975" s="1"/>
    </row>
    <row r="976" spans="4:34"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  <c r="Z976" s="1"/>
      <c r="AA976" s="1"/>
      <c r="AB976" s="1"/>
      <c r="AC976" s="1"/>
      <c r="AD976" s="1"/>
      <c r="AE976" s="1"/>
      <c r="AF976" s="1"/>
      <c r="AG976" s="1"/>
      <c r="AH976" s="1"/>
    </row>
    <row r="977" spans="4:34"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  <c r="Z977" s="1"/>
      <c r="AA977" s="1"/>
      <c r="AB977" s="1"/>
      <c r="AC977" s="1"/>
      <c r="AD977" s="1"/>
      <c r="AE977" s="1"/>
      <c r="AF977" s="1"/>
      <c r="AG977" s="1"/>
      <c r="AH977" s="1"/>
    </row>
    <row r="978" spans="4:34"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  <c r="Z978" s="1"/>
      <c r="AA978" s="1"/>
      <c r="AB978" s="1"/>
      <c r="AC978" s="1"/>
      <c r="AD978" s="1"/>
      <c r="AE978" s="1"/>
      <c r="AF978" s="1"/>
      <c r="AG978" s="1"/>
      <c r="AH978" s="1"/>
    </row>
    <row r="979" spans="4:34"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  <c r="Z979" s="1"/>
      <c r="AA979" s="1"/>
      <c r="AB979" s="1"/>
      <c r="AC979" s="1"/>
      <c r="AD979" s="1"/>
      <c r="AE979" s="1"/>
      <c r="AF979" s="1"/>
      <c r="AG979" s="1"/>
      <c r="AH979" s="1"/>
    </row>
    <row r="980" spans="4:34"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  <c r="Z980" s="1"/>
      <c r="AA980" s="1"/>
      <c r="AB980" s="1"/>
      <c r="AC980" s="1"/>
      <c r="AD980" s="1"/>
      <c r="AE980" s="1"/>
      <c r="AF980" s="1"/>
      <c r="AG980" s="1"/>
      <c r="AH980" s="1"/>
    </row>
    <row r="981" spans="4:34"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  <c r="Z981" s="1"/>
      <c r="AA981" s="1"/>
      <c r="AB981" s="1"/>
      <c r="AC981" s="1"/>
      <c r="AD981" s="1"/>
      <c r="AE981" s="1"/>
      <c r="AF981" s="1"/>
      <c r="AG981" s="1"/>
      <c r="AH981" s="1"/>
    </row>
    <row r="982" spans="4:34"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  <c r="Z982" s="1"/>
      <c r="AA982" s="1"/>
      <c r="AB982" s="1"/>
      <c r="AC982" s="1"/>
      <c r="AD982" s="1"/>
      <c r="AE982" s="1"/>
      <c r="AF982" s="1"/>
      <c r="AG982" s="1"/>
      <c r="AH982" s="1"/>
    </row>
    <row r="983" spans="4:34"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  <c r="Z983" s="1"/>
      <c r="AA983" s="1"/>
      <c r="AB983" s="1"/>
      <c r="AC983" s="1"/>
      <c r="AD983" s="1"/>
      <c r="AE983" s="1"/>
      <c r="AF983" s="1"/>
      <c r="AG983" s="1"/>
      <c r="AH983" s="1"/>
    </row>
    <row r="984" spans="4:34"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  <c r="Z984" s="1"/>
      <c r="AA984" s="1"/>
      <c r="AB984" s="1"/>
      <c r="AC984" s="1"/>
      <c r="AD984" s="1"/>
      <c r="AE984" s="1"/>
      <c r="AF984" s="1"/>
      <c r="AG984" s="1"/>
      <c r="AH984" s="1"/>
    </row>
    <row r="985" spans="4:34"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  <c r="Z985" s="1"/>
      <c r="AA985" s="1"/>
      <c r="AB985" s="1"/>
      <c r="AC985" s="1"/>
      <c r="AD985" s="1"/>
      <c r="AE985" s="1"/>
      <c r="AF985" s="1"/>
      <c r="AG985" s="1"/>
      <c r="AH985" s="1"/>
    </row>
    <row r="986" spans="4:34"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  <c r="Z986" s="1"/>
      <c r="AA986" s="1"/>
      <c r="AB986" s="1"/>
      <c r="AC986" s="1"/>
      <c r="AD986" s="1"/>
      <c r="AE986" s="1"/>
      <c r="AF986" s="1"/>
      <c r="AG986" s="1"/>
      <c r="AH986" s="1"/>
    </row>
    <row r="987" spans="4:34"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  <c r="Z987" s="1"/>
      <c r="AA987" s="1"/>
      <c r="AB987" s="1"/>
      <c r="AC987" s="1"/>
      <c r="AD987" s="1"/>
      <c r="AE987" s="1"/>
      <c r="AF987" s="1"/>
      <c r="AG987" s="1"/>
      <c r="AH987" s="1"/>
    </row>
    <row r="988" spans="4:34"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  <c r="Z988" s="1"/>
      <c r="AA988" s="1"/>
      <c r="AB988" s="1"/>
      <c r="AC988" s="1"/>
      <c r="AD988" s="1"/>
      <c r="AE988" s="1"/>
      <c r="AF988" s="1"/>
      <c r="AG988" s="1"/>
      <c r="AH988" s="1"/>
    </row>
    <row r="989" spans="4:34"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  <c r="Z989" s="1"/>
      <c r="AA989" s="1"/>
      <c r="AB989" s="1"/>
      <c r="AC989" s="1"/>
      <c r="AD989" s="1"/>
      <c r="AE989" s="1"/>
      <c r="AF989" s="1"/>
      <c r="AG989" s="1"/>
      <c r="AH989" s="1"/>
    </row>
    <row r="990" spans="4:34"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  <c r="Z990" s="1"/>
      <c r="AA990" s="1"/>
      <c r="AB990" s="1"/>
      <c r="AC990" s="1"/>
      <c r="AD990" s="1"/>
      <c r="AE990" s="1"/>
      <c r="AF990" s="1"/>
      <c r="AG990" s="1"/>
      <c r="AH990" s="1"/>
    </row>
    <row r="991" spans="4:34"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  <c r="Z991" s="1"/>
      <c r="AA991" s="1"/>
      <c r="AB991" s="1"/>
      <c r="AC991" s="1"/>
      <c r="AD991" s="1"/>
      <c r="AE991" s="1"/>
      <c r="AF991" s="1"/>
      <c r="AG991" s="1"/>
      <c r="AH991" s="1"/>
    </row>
    <row r="992" spans="4:34"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  <c r="Z992" s="1"/>
      <c r="AA992" s="1"/>
      <c r="AB992" s="1"/>
      <c r="AC992" s="1"/>
      <c r="AD992" s="1"/>
      <c r="AE992" s="1"/>
      <c r="AF992" s="1"/>
      <c r="AG992" s="1"/>
      <c r="AH992" s="1"/>
    </row>
    <row r="993" spans="4:34"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  <c r="Z993" s="1"/>
      <c r="AA993" s="1"/>
      <c r="AB993" s="1"/>
      <c r="AC993" s="1"/>
      <c r="AD993" s="1"/>
      <c r="AE993" s="1"/>
      <c r="AF993" s="1"/>
      <c r="AG993" s="1"/>
      <c r="AH993" s="1"/>
    </row>
    <row r="994" spans="4:34"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  <c r="Z994" s="1"/>
      <c r="AA994" s="1"/>
      <c r="AB994" s="1"/>
      <c r="AC994" s="1"/>
      <c r="AD994" s="1"/>
      <c r="AE994" s="1"/>
      <c r="AF994" s="1"/>
      <c r="AG994" s="1"/>
      <c r="AH994" s="1"/>
    </row>
    <row r="995" spans="4:34"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  <c r="Z995" s="1"/>
      <c r="AA995" s="1"/>
      <c r="AB995" s="1"/>
      <c r="AC995" s="1"/>
      <c r="AD995" s="1"/>
      <c r="AE995" s="1"/>
      <c r="AF995" s="1"/>
      <c r="AG995" s="1"/>
      <c r="AH995" s="1"/>
    </row>
    <row r="996" spans="4:34"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  <c r="Z996" s="1"/>
      <c r="AA996" s="1"/>
      <c r="AB996" s="1"/>
      <c r="AC996" s="1"/>
      <c r="AD996" s="1"/>
      <c r="AE996" s="1"/>
      <c r="AF996" s="1"/>
      <c r="AG996" s="1"/>
      <c r="AH996" s="1"/>
    </row>
    <row r="997" spans="4:34"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  <c r="Z997" s="1"/>
      <c r="AA997" s="1"/>
      <c r="AB997" s="1"/>
      <c r="AC997" s="1"/>
      <c r="AD997" s="1"/>
      <c r="AE997" s="1"/>
      <c r="AF997" s="1"/>
      <c r="AG997" s="1"/>
      <c r="AH997" s="1"/>
    </row>
    <row r="998" spans="4:34"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  <c r="Z998" s="1"/>
      <c r="AA998" s="1"/>
      <c r="AB998" s="1"/>
      <c r="AC998" s="1"/>
      <c r="AD998" s="1"/>
      <c r="AE998" s="1"/>
      <c r="AF998" s="1"/>
      <c r="AG998" s="1"/>
      <c r="AH998" s="1"/>
    </row>
    <row r="999" spans="4:34"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  <c r="Z999" s="1"/>
      <c r="AA999" s="1"/>
      <c r="AB999" s="1"/>
      <c r="AC999" s="1"/>
      <c r="AD999" s="1"/>
      <c r="AE999" s="1"/>
      <c r="AF999" s="1"/>
      <c r="AG999" s="1"/>
      <c r="AH999" s="1"/>
    </row>
    <row r="1000" spans="4:34"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  <c r="Z1000" s="1"/>
      <c r="AA1000" s="1"/>
      <c r="AB1000" s="1"/>
      <c r="AC1000" s="1"/>
      <c r="AD1000" s="1"/>
      <c r="AE1000" s="1"/>
      <c r="AF1000" s="1"/>
      <c r="AG1000" s="1"/>
      <c r="AH1000" s="1"/>
    </row>
    <row r="1001" spans="4:34"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  <c r="Z1001" s="1"/>
      <c r="AA1001" s="1"/>
      <c r="AB1001" s="1"/>
      <c r="AC1001" s="1"/>
      <c r="AD1001" s="1"/>
      <c r="AE1001" s="1"/>
      <c r="AF1001" s="1"/>
      <c r="AG1001" s="1"/>
      <c r="AH1001" s="1"/>
    </row>
    <row r="1002" spans="4:34">
      <c r="D1002" s="1"/>
      <c r="E1002" s="1"/>
      <c r="F1002" s="1"/>
      <c r="G1002" s="1"/>
      <c r="H1002" s="1"/>
      <c r="I1002" s="1"/>
      <c r="J1002" s="1"/>
      <c r="K1002" s="1"/>
      <c r="L1002" s="1"/>
      <c r="M1002" s="1"/>
      <c r="N1002" s="1"/>
      <c r="O1002" s="1"/>
      <c r="P1002" s="1"/>
      <c r="Q1002" s="1"/>
      <c r="R1002" s="1"/>
      <c r="S1002" s="1"/>
      <c r="T1002" s="1"/>
      <c r="U1002" s="1"/>
      <c r="V1002" s="1"/>
      <c r="W1002" s="1"/>
      <c r="X1002" s="1"/>
      <c r="Y1002" s="1"/>
      <c r="Z1002" s="1"/>
      <c r="AA1002" s="1"/>
      <c r="AB1002" s="1"/>
      <c r="AC1002" s="1"/>
      <c r="AD1002" s="1"/>
      <c r="AE1002" s="1"/>
      <c r="AF1002" s="1"/>
      <c r="AG1002" s="1"/>
      <c r="AH1002" s="1"/>
    </row>
    <row r="1003" spans="4:34">
      <c r="D1003" s="1"/>
      <c r="E1003" s="1"/>
      <c r="F1003" s="1"/>
      <c r="G1003" s="1"/>
      <c r="H1003" s="1"/>
      <c r="I1003" s="1"/>
      <c r="J1003" s="1"/>
      <c r="K1003" s="1"/>
      <c r="L1003" s="1"/>
      <c r="M1003" s="1"/>
      <c r="N1003" s="1"/>
      <c r="O1003" s="1"/>
      <c r="P1003" s="1"/>
      <c r="Q1003" s="1"/>
      <c r="R1003" s="1"/>
      <c r="S1003" s="1"/>
      <c r="T1003" s="1"/>
      <c r="U1003" s="1"/>
      <c r="V1003" s="1"/>
      <c r="W1003" s="1"/>
      <c r="X1003" s="1"/>
      <c r="Y1003" s="1"/>
      <c r="Z1003" s="1"/>
      <c r="AA1003" s="1"/>
      <c r="AB1003" s="1"/>
      <c r="AC1003" s="1"/>
      <c r="AD1003" s="1"/>
      <c r="AE1003" s="1"/>
      <c r="AF1003" s="1"/>
      <c r="AG1003" s="1"/>
      <c r="AH1003" s="1"/>
    </row>
    <row r="1004" spans="4:34">
      <c r="D1004" s="1"/>
      <c r="E1004" s="1"/>
      <c r="F1004" s="1"/>
      <c r="G1004" s="1"/>
      <c r="H1004" s="1"/>
      <c r="I1004" s="1"/>
      <c r="J1004" s="1"/>
      <c r="K1004" s="1"/>
      <c r="L1004" s="1"/>
      <c r="M1004" s="1"/>
      <c r="N1004" s="1"/>
      <c r="O1004" s="1"/>
      <c r="P1004" s="1"/>
      <c r="Q1004" s="1"/>
      <c r="R1004" s="1"/>
      <c r="S1004" s="1"/>
      <c r="T1004" s="1"/>
      <c r="U1004" s="1"/>
      <c r="V1004" s="1"/>
      <c r="W1004" s="1"/>
      <c r="X1004" s="1"/>
      <c r="Y1004" s="1"/>
      <c r="Z1004" s="1"/>
      <c r="AA1004" s="1"/>
      <c r="AB1004" s="1"/>
      <c r="AC1004" s="1"/>
      <c r="AD1004" s="1"/>
      <c r="AE1004" s="1"/>
      <c r="AF1004" s="1"/>
      <c r="AG1004" s="1"/>
      <c r="AH1004" s="1"/>
    </row>
    <row r="1005" spans="4:34">
      <c r="D1005" s="1"/>
      <c r="E1005" s="1"/>
      <c r="F1005" s="1"/>
      <c r="G1005" s="1"/>
      <c r="H1005" s="1"/>
      <c r="I1005" s="1"/>
      <c r="J1005" s="1"/>
      <c r="K1005" s="1"/>
      <c r="L1005" s="1"/>
      <c r="M1005" s="1"/>
      <c r="N1005" s="1"/>
      <c r="O1005" s="1"/>
      <c r="P1005" s="1"/>
      <c r="Q1005" s="1"/>
      <c r="R1005" s="1"/>
      <c r="S1005" s="1"/>
      <c r="T1005" s="1"/>
      <c r="U1005" s="1"/>
      <c r="V1005" s="1"/>
      <c r="W1005" s="1"/>
      <c r="X1005" s="1"/>
      <c r="Y1005" s="1"/>
      <c r="Z1005" s="1"/>
      <c r="AA1005" s="1"/>
      <c r="AB1005" s="1"/>
      <c r="AC1005" s="1"/>
      <c r="AD1005" s="1"/>
      <c r="AE1005" s="1"/>
      <c r="AF1005" s="1"/>
      <c r="AG1005" s="1"/>
      <c r="AH1005" s="1"/>
    </row>
    <row r="1006" spans="4:34">
      <c r="D1006" s="1"/>
      <c r="E1006" s="1"/>
      <c r="F1006" s="1"/>
      <c r="G1006" s="1"/>
      <c r="H1006" s="1"/>
      <c r="I1006" s="1"/>
      <c r="J1006" s="1"/>
      <c r="K1006" s="1"/>
      <c r="L1006" s="1"/>
      <c r="M1006" s="1"/>
      <c r="N1006" s="1"/>
      <c r="O1006" s="1"/>
      <c r="P1006" s="1"/>
      <c r="Q1006" s="1"/>
      <c r="R1006" s="1"/>
      <c r="S1006" s="1"/>
      <c r="T1006" s="1"/>
      <c r="U1006" s="1"/>
      <c r="V1006" s="1"/>
      <c r="W1006" s="1"/>
      <c r="X1006" s="1"/>
      <c r="Y1006" s="1"/>
      <c r="Z1006" s="1"/>
      <c r="AA1006" s="1"/>
      <c r="AB1006" s="1"/>
      <c r="AC1006" s="1"/>
      <c r="AD1006" s="1"/>
      <c r="AE1006" s="1"/>
      <c r="AF1006" s="1"/>
      <c r="AG1006" s="1"/>
      <c r="AH1006" s="1"/>
    </row>
    <row r="1007" spans="4:34">
      <c r="D1007" s="1"/>
      <c r="E1007" s="1"/>
      <c r="F1007" s="1"/>
      <c r="G1007" s="1"/>
      <c r="H1007" s="1"/>
      <c r="I1007" s="1"/>
      <c r="J1007" s="1"/>
      <c r="K1007" s="1"/>
      <c r="L1007" s="1"/>
      <c r="M1007" s="1"/>
      <c r="N1007" s="1"/>
      <c r="O1007" s="1"/>
      <c r="P1007" s="1"/>
      <c r="Q1007" s="1"/>
      <c r="R1007" s="1"/>
      <c r="S1007" s="1"/>
      <c r="T1007" s="1"/>
      <c r="U1007" s="1"/>
      <c r="V1007" s="1"/>
      <c r="W1007" s="1"/>
      <c r="X1007" s="1"/>
      <c r="Y1007" s="1"/>
      <c r="Z1007" s="1"/>
      <c r="AA1007" s="1"/>
      <c r="AB1007" s="1"/>
      <c r="AC1007" s="1"/>
      <c r="AD1007" s="1"/>
      <c r="AE1007" s="1"/>
      <c r="AF1007" s="1"/>
      <c r="AG1007" s="1"/>
      <c r="AH1007" s="1"/>
    </row>
    <row r="1008" spans="4:34">
      <c r="D1008" s="1"/>
      <c r="E1008" s="1"/>
      <c r="F1008" s="1"/>
      <c r="G1008" s="1"/>
      <c r="H1008" s="1"/>
      <c r="I1008" s="1"/>
      <c r="J1008" s="1"/>
      <c r="K1008" s="1"/>
      <c r="L1008" s="1"/>
      <c r="M1008" s="1"/>
      <c r="N1008" s="1"/>
      <c r="O1008" s="1"/>
      <c r="P1008" s="1"/>
      <c r="Q1008" s="1"/>
      <c r="R1008" s="1"/>
      <c r="S1008" s="1"/>
      <c r="T1008" s="1"/>
      <c r="U1008" s="1"/>
      <c r="V1008" s="1"/>
      <c r="W1008" s="1"/>
      <c r="X1008" s="1"/>
      <c r="Y1008" s="1"/>
      <c r="Z1008" s="1"/>
      <c r="AA1008" s="1"/>
      <c r="AB1008" s="1"/>
      <c r="AC1008" s="1"/>
      <c r="AD1008" s="1"/>
      <c r="AE1008" s="1"/>
      <c r="AF1008" s="1"/>
      <c r="AG1008" s="1"/>
      <c r="AH1008" s="1"/>
    </row>
    <row r="1009" spans="4:34">
      <c r="D1009" s="1"/>
      <c r="E1009" s="1"/>
      <c r="F1009" s="1"/>
      <c r="G1009" s="1"/>
      <c r="H1009" s="1"/>
      <c r="I1009" s="1"/>
      <c r="J1009" s="1"/>
      <c r="K1009" s="1"/>
      <c r="L1009" s="1"/>
      <c r="M1009" s="1"/>
      <c r="N1009" s="1"/>
      <c r="O1009" s="1"/>
      <c r="P1009" s="1"/>
      <c r="Q1009" s="1"/>
      <c r="R1009" s="1"/>
      <c r="S1009" s="1"/>
      <c r="T1009" s="1"/>
      <c r="U1009" s="1"/>
      <c r="V1009" s="1"/>
      <c r="W1009" s="1"/>
      <c r="X1009" s="1"/>
      <c r="Y1009" s="1"/>
      <c r="Z1009" s="1"/>
      <c r="AA1009" s="1"/>
      <c r="AB1009" s="1"/>
      <c r="AC1009" s="1"/>
      <c r="AD1009" s="1"/>
      <c r="AE1009" s="1"/>
      <c r="AF1009" s="1"/>
      <c r="AG1009" s="1"/>
      <c r="AH1009" s="1"/>
    </row>
    <row r="1010" spans="4:34">
      <c r="D1010" s="1"/>
      <c r="E1010" s="1"/>
      <c r="F1010" s="1"/>
      <c r="G1010" s="1"/>
      <c r="H1010" s="1"/>
      <c r="I1010" s="1"/>
      <c r="J1010" s="1"/>
      <c r="K1010" s="1"/>
      <c r="L1010" s="1"/>
      <c r="M1010" s="1"/>
      <c r="N1010" s="1"/>
      <c r="O1010" s="1"/>
      <c r="P1010" s="1"/>
      <c r="Q1010" s="1"/>
      <c r="R1010" s="1"/>
      <c r="S1010" s="1"/>
      <c r="T1010" s="1"/>
      <c r="U1010" s="1"/>
      <c r="V1010" s="1"/>
      <c r="W1010" s="1"/>
      <c r="X1010" s="1"/>
      <c r="Y1010" s="1"/>
      <c r="Z1010" s="1"/>
      <c r="AA1010" s="1"/>
      <c r="AB1010" s="1"/>
      <c r="AC1010" s="1"/>
      <c r="AD1010" s="1"/>
      <c r="AE1010" s="1"/>
      <c r="AF1010" s="1"/>
      <c r="AG1010" s="1"/>
      <c r="AH1010" s="1"/>
    </row>
    <row r="1011" spans="4:34">
      <c r="D1011" s="1"/>
      <c r="E1011" s="1"/>
      <c r="F1011" s="1"/>
      <c r="G1011" s="1"/>
      <c r="H1011" s="1"/>
      <c r="I1011" s="1"/>
      <c r="J1011" s="1"/>
      <c r="K1011" s="1"/>
      <c r="L1011" s="1"/>
      <c r="M1011" s="1"/>
      <c r="N1011" s="1"/>
      <c r="O1011" s="1"/>
      <c r="P1011" s="1"/>
      <c r="Q1011" s="1"/>
      <c r="R1011" s="1"/>
      <c r="S1011" s="1"/>
      <c r="T1011" s="1"/>
      <c r="U1011" s="1"/>
      <c r="V1011" s="1"/>
      <c r="W1011" s="1"/>
      <c r="X1011" s="1"/>
      <c r="Y1011" s="1"/>
      <c r="Z1011" s="1"/>
      <c r="AA1011" s="1"/>
      <c r="AB1011" s="1"/>
      <c r="AC1011" s="1"/>
      <c r="AD1011" s="1"/>
      <c r="AE1011" s="1"/>
      <c r="AF1011" s="1"/>
      <c r="AG1011" s="1"/>
      <c r="AH1011" s="1"/>
    </row>
    <row r="1012" spans="4:34">
      <c r="D1012" s="1"/>
      <c r="E1012" s="1"/>
      <c r="F1012" s="1"/>
      <c r="G1012" s="1"/>
      <c r="H1012" s="1"/>
      <c r="I1012" s="1"/>
      <c r="J1012" s="1"/>
      <c r="K1012" s="1"/>
      <c r="L1012" s="1"/>
      <c r="M1012" s="1"/>
      <c r="N1012" s="1"/>
      <c r="O1012" s="1"/>
      <c r="P1012" s="1"/>
      <c r="Q1012" s="1"/>
      <c r="R1012" s="1"/>
      <c r="S1012" s="1"/>
      <c r="T1012" s="1"/>
      <c r="U1012" s="1"/>
      <c r="V1012" s="1"/>
      <c r="W1012" s="1"/>
      <c r="X1012" s="1"/>
      <c r="Y1012" s="1"/>
      <c r="Z1012" s="1"/>
      <c r="AA1012" s="1"/>
      <c r="AB1012" s="1"/>
      <c r="AC1012" s="1"/>
      <c r="AD1012" s="1"/>
      <c r="AE1012" s="1"/>
      <c r="AF1012" s="1"/>
      <c r="AG1012" s="1"/>
      <c r="AH1012" s="1"/>
    </row>
    <row r="1013" spans="4:34">
      <c r="D1013" s="1"/>
      <c r="E1013" s="1"/>
      <c r="F1013" s="1"/>
      <c r="G1013" s="1"/>
      <c r="H1013" s="1"/>
      <c r="I1013" s="1"/>
      <c r="J1013" s="1"/>
      <c r="K1013" s="1"/>
      <c r="L1013" s="1"/>
      <c r="M1013" s="1"/>
      <c r="N1013" s="1"/>
      <c r="O1013" s="1"/>
      <c r="P1013" s="1"/>
      <c r="Q1013" s="1"/>
      <c r="R1013" s="1"/>
      <c r="S1013" s="1"/>
      <c r="T1013" s="1"/>
      <c r="U1013" s="1"/>
      <c r="V1013" s="1"/>
      <c r="W1013" s="1"/>
      <c r="X1013" s="1"/>
      <c r="Y1013" s="1"/>
      <c r="Z1013" s="1"/>
      <c r="AA1013" s="1"/>
      <c r="AB1013" s="1"/>
      <c r="AC1013" s="1"/>
      <c r="AD1013" s="1"/>
      <c r="AE1013" s="1"/>
      <c r="AF1013" s="1"/>
      <c r="AG1013" s="1"/>
      <c r="AH1013" s="1"/>
    </row>
    <row r="1014" spans="4:34">
      <c r="D1014" s="1"/>
      <c r="E1014" s="1"/>
      <c r="F1014" s="1"/>
      <c r="G1014" s="1"/>
      <c r="H1014" s="1"/>
      <c r="I1014" s="1"/>
      <c r="J1014" s="1"/>
      <c r="K1014" s="1"/>
      <c r="L1014" s="1"/>
      <c r="M1014" s="1"/>
      <c r="N1014" s="1"/>
      <c r="O1014" s="1"/>
      <c r="P1014" s="1"/>
      <c r="Q1014" s="1"/>
      <c r="R1014" s="1"/>
      <c r="S1014" s="1"/>
      <c r="T1014" s="1"/>
      <c r="U1014" s="1"/>
      <c r="V1014" s="1"/>
      <c r="W1014" s="1"/>
      <c r="X1014" s="1"/>
      <c r="Y1014" s="1"/>
      <c r="Z1014" s="1"/>
      <c r="AA1014" s="1"/>
      <c r="AB1014" s="1"/>
      <c r="AC1014" s="1"/>
      <c r="AD1014" s="1"/>
      <c r="AE1014" s="1"/>
      <c r="AF1014" s="1"/>
      <c r="AG1014" s="1"/>
      <c r="AH1014" s="1"/>
    </row>
    <row r="1015" spans="4:34">
      <c r="D1015" s="1"/>
      <c r="E1015" s="1"/>
      <c r="F1015" s="1"/>
      <c r="G1015" s="1"/>
      <c r="H1015" s="1"/>
      <c r="I1015" s="1"/>
      <c r="J1015" s="1"/>
      <c r="K1015" s="1"/>
      <c r="L1015" s="1"/>
      <c r="M1015" s="1"/>
      <c r="N1015" s="1"/>
      <c r="O1015" s="1"/>
      <c r="P1015" s="1"/>
      <c r="Q1015" s="1"/>
      <c r="R1015" s="1"/>
      <c r="S1015" s="1"/>
      <c r="T1015" s="1"/>
      <c r="U1015" s="1"/>
      <c r="V1015" s="1"/>
      <c r="W1015" s="1"/>
      <c r="X1015" s="1"/>
      <c r="Y1015" s="1"/>
      <c r="Z1015" s="1"/>
      <c r="AA1015" s="1"/>
      <c r="AB1015" s="1"/>
      <c r="AC1015" s="1"/>
      <c r="AD1015" s="1"/>
      <c r="AE1015" s="1"/>
      <c r="AF1015" s="1"/>
      <c r="AG1015" s="1"/>
      <c r="AH1015" s="1"/>
    </row>
    <row r="1016" spans="4:34">
      <c r="D1016" s="1"/>
      <c r="E1016" s="1"/>
      <c r="F1016" s="1"/>
      <c r="G1016" s="1"/>
      <c r="H1016" s="1"/>
      <c r="I1016" s="1"/>
      <c r="J1016" s="1"/>
      <c r="K1016" s="1"/>
      <c r="L1016" s="1"/>
      <c r="M1016" s="1"/>
      <c r="N1016" s="1"/>
      <c r="O1016" s="1"/>
      <c r="P1016" s="1"/>
      <c r="Q1016" s="1"/>
      <c r="R1016" s="1"/>
      <c r="S1016" s="1"/>
      <c r="T1016" s="1"/>
      <c r="U1016" s="1"/>
      <c r="V1016" s="1"/>
      <c r="W1016" s="1"/>
      <c r="X1016" s="1"/>
      <c r="Y1016" s="1"/>
      <c r="Z1016" s="1"/>
      <c r="AA1016" s="1"/>
      <c r="AB1016" s="1"/>
      <c r="AC1016" s="1"/>
      <c r="AD1016" s="1"/>
      <c r="AE1016" s="1"/>
      <c r="AF1016" s="1"/>
      <c r="AG1016" s="1"/>
      <c r="AH1016" s="1"/>
    </row>
    <row r="1017" spans="4:34">
      <c r="D1017" s="1"/>
      <c r="E1017" s="1"/>
      <c r="F1017" s="1"/>
      <c r="G1017" s="1"/>
      <c r="H1017" s="1"/>
      <c r="I1017" s="1"/>
      <c r="J1017" s="1"/>
      <c r="K1017" s="1"/>
      <c r="L1017" s="1"/>
      <c r="M1017" s="1"/>
      <c r="N1017" s="1"/>
      <c r="O1017" s="1"/>
      <c r="P1017" s="1"/>
      <c r="Q1017" s="1"/>
      <c r="R1017" s="1"/>
      <c r="S1017" s="1"/>
      <c r="T1017" s="1"/>
      <c r="U1017" s="1"/>
      <c r="V1017" s="1"/>
      <c r="W1017" s="1"/>
      <c r="X1017" s="1"/>
      <c r="Y1017" s="1"/>
      <c r="Z1017" s="1"/>
      <c r="AA1017" s="1"/>
      <c r="AB1017" s="1"/>
      <c r="AC1017" s="1"/>
      <c r="AD1017" s="1"/>
      <c r="AE1017" s="1"/>
      <c r="AF1017" s="1"/>
      <c r="AG1017" s="1"/>
      <c r="AH1017" s="1"/>
    </row>
    <row r="1018" spans="4:34">
      <c r="D1018" s="1"/>
      <c r="E1018" s="1"/>
      <c r="F1018" s="1"/>
      <c r="G1018" s="1"/>
      <c r="H1018" s="1"/>
      <c r="I1018" s="1"/>
      <c r="J1018" s="1"/>
      <c r="K1018" s="1"/>
      <c r="L1018" s="1"/>
      <c r="M1018" s="1"/>
      <c r="N1018" s="1"/>
      <c r="O1018" s="1"/>
      <c r="P1018" s="1"/>
      <c r="Q1018" s="1"/>
      <c r="R1018" s="1"/>
      <c r="S1018" s="1"/>
      <c r="T1018" s="1"/>
      <c r="U1018" s="1"/>
      <c r="V1018" s="1"/>
      <c r="W1018" s="1"/>
      <c r="X1018" s="1"/>
      <c r="Y1018" s="1"/>
      <c r="Z1018" s="1"/>
      <c r="AA1018" s="1"/>
      <c r="AB1018" s="1"/>
      <c r="AC1018" s="1"/>
      <c r="AD1018" s="1"/>
      <c r="AE1018" s="1"/>
      <c r="AF1018" s="1"/>
      <c r="AG1018" s="1"/>
      <c r="AH1018" s="1"/>
    </row>
    <row r="1019" spans="4:34">
      <c r="D1019" s="1"/>
      <c r="E1019" s="1"/>
      <c r="F1019" s="1"/>
      <c r="G1019" s="1"/>
      <c r="H1019" s="1"/>
      <c r="I1019" s="1"/>
      <c r="J1019" s="1"/>
      <c r="K1019" s="1"/>
      <c r="L1019" s="1"/>
      <c r="M1019" s="1"/>
      <c r="N1019" s="1"/>
      <c r="O1019" s="1"/>
      <c r="P1019" s="1"/>
      <c r="Q1019" s="1"/>
      <c r="R1019" s="1"/>
      <c r="S1019" s="1"/>
      <c r="T1019" s="1"/>
      <c r="U1019" s="1"/>
      <c r="V1019" s="1"/>
      <c r="W1019" s="1"/>
      <c r="X1019" s="1"/>
      <c r="Y1019" s="1"/>
      <c r="Z1019" s="1"/>
      <c r="AA1019" s="1"/>
      <c r="AB1019" s="1"/>
      <c r="AC1019" s="1"/>
      <c r="AD1019" s="1"/>
      <c r="AE1019" s="1"/>
      <c r="AF1019" s="1"/>
      <c r="AG1019" s="1"/>
      <c r="AH1019" s="1"/>
    </row>
    <row r="1020" spans="4:34">
      <c r="D1020" s="1"/>
      <c r="E1020" s="1"/>
      <c r="F1020" s="1"/>
      <c r="G1020" s="1"/>
      <c r="H1020" s="1"/>
      <c r="I1020" s="1"/>
      <c r="J1020" s="1"/>
      <c r="K1020" s="1"/>
      <c r="L1020" s="1"/>
      <c r="M1020" s="1"/>
      <c r="N1020" s="1"/>
      <c r="O1020" s="1"/>
      <c r="P1020" s="1"/>
      <c r="Q1020" s="1"/>
      <c r="R1020" s="1"/>
      <c r="S1020" s="1"/>
      <c r="T1020" s="1"/>
      <c r="U1020" s="1"/>
      <c r="V1020" s="1"/>
      <c r="W1020" s="1"/>
      <c r="X1020" s="1"/>
      <c r="Y1020" s="1"/>
      <c r="Z1020" s="1"/>
      <c r="AA1020" s="1"/>
      <c r="AB1020" s="1"/>
      <c r="AC1020" s="1"/>
      <c r="AD1020" s="1"/>
      <c r="AE1020" s="1"/>
      <c r="AF1020" s="1"/>
      <c r="AG1020" s="1"/>
      <c r="AH1020" s="1"/>
    </row>
  </sheetData>
  <mergeCells count="17">
    <mergeCell ref="B108:B113"/>
    <mergeCell ref="B114:B119"/>
    <mergeCell ref="B48:B52"/>
    <mergeCell ref="B102:B107"/>
    <mergeCell ref="B54:B58"/>
    <mergeCell ref="B60:B64"/>
    <mergeCell ref="B66:B70"/>
    <mergeCell ref="B72:B76"/>
    <mergeCell ref="B78:B82"/>
    <mergeCell ref="B84:B88"/>
    <mergeCell ref="B90:B94"/>
    <mergeCell ref="B96:B100"/>
    <mergeCell ref="B120:B125"/>
    <mergeCell ref="B126:B131"/>
    <mergeCell ref="B132:B137"/>
    <mergeCell ref="B138:B143"/>
    <mergeCell ref="B144:B149"/>
  </mergeCell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8</vt:i4>
      </vt:variant>
    </vt:vector>
  </HeadingPairs>
  <TitlesOfParts>
    <vt:vector size="11" baseType="lpstr">
      <vt:lpstr>Summary</vt:lpstr>
      <vt:lpstr>Calculations</vt:lpstr>
      <vt:lpstr>data0</vt:lpstr>
      <vt:lpstr>LUT_0</vt:lpstr>
      <vt:lpstr>LUT_1</vt:lpstr>
      <vt:lpstr>LUT_2</vt:lpstr>
      <vt:lpstr>LUT_3</vt:lpstr>
      <vt:lpstr>LUT_4</vt:lpstr>
      <vt:lpstr>LUT_5</vt:lpstr>
      <vt:lpstr>LUT_6</vt:lpstr>
      <vt:lpstr>LUT_7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dcterms:created xsi:type="dcterms:W3CDTF">2006-09-16T00:00:00Z</dcterms:created>
  <dcterms:modified xsi:type="dcterms:W3CDTF">2014-05-27T21:11:15Z</dcterms:modified>
</cp:coreProperties>
</file>