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4560" windowHeight="4770" activeTab="3"/>
  </bookViews>
  <sheets>
    <sheet name="Summary" sheetId="12" r:id="rId1"/>
    <sheet name="Calculations" sheetId="10" r:id="rId2"/>
    <sheet name="data0" sheetId="11" r:id="rId3"/>
    <sheet name="DUTenable" sheetId="13" r:id="rId4"/>
  </sheets>
  <functionGroups/>
  <definedNames>
    <definedName name="comp38">Summary!$D$5</definedName>
    <definedName name="Enable">DUTenable!$C$2:$C$9,DUTenable!$E$2:$E$9,DUTenable!$G$2:$G$9,DUTenable!$I$2:$I$9</definedName>
    <definedName name="PorB">Calculations!$Q$17</definedName>
    <definedName name="UseEnableMask">DUTenable!$G$11</definedName>
    <definedName name="xOffset">Summary!$D$6</definedName>
    <definedName name="yOffset">Summary!$D$7</definedName>
  </definedNames>
  <calcPr calcId="125725"/>
</workbook>
</file>

<file path=xl/calcChain.xml><?xml version="1.0" encoding="utf-8"?>
<calcChain xmlns="http://schemas.openxmlformats.org/spreadsheetml/2006/main">
  <c r="AG97" i="10"/>
  <c r="AG98"/>
  <c r="H98"/>
  <c r="C10"/>
  <c r="AA7"/>
  <c r="AA10"/>
  <c r="T221"/>
  <c r="S221"/>
  <c r="R221"/>
  <c r="Q221"/>
  <c r="Q16"/>
  <c r="P16"/>
  <c r="Q15"/>
  <c r="P15"/>
  <c r="Q14"/>
  <c r="P14"/>
  <c r="AA12"/>
  <c r="AA6"/>
  <c r="AB9"/>
  <c r="Z13"/>
  <c r="Y13"/>
  <c r="Z12"/>
  <c r="Y12"/>
  <c r="Z11"/>
  <c r="Y11"/>
  <c r="Z10"/>
  <c r="Y10"/>
  <c r="Z9"/>
  <c r="Y9"/>
  <c r="Z8"/>
  <c r="Y8"/>
  <c r="Z7"/>
  <c r="Y7"/>
  <c r="Z6"/>
  <c r="Y6"/>
  <c r="P7" l="1"/>
  <c r="P9"/>
  <c r="P10"/>
  <c r="Q9"/>
  <c r="P12"/>
  <c r="P6"/>
  <c r="AB7"/>
  <c r="Q7" s="1"/>
  <c r="AA5"/>
  <c r="AB11" s="1"/>
  <c r="AB10"/>
  <c r="Q10" s="1"/>
  <c r="AB8"/>
  <c r="Q8" s="1"/>
  <c r="AA8"/>
  <c r="AA13"/>
  <c r="P13" s="1"/>
  <c r="Z4"/>
  <c r="AB4" s="1"/>
  <c r="Y4"/>
  <c r="AA4" s="1"/>
  <c r="T220"/>
  <c r="T209"/>
  <c r="Z5"/>
  <c r="Y5"/>
  <c r="AB5" l="1"/>
  <c r="AB6"/>
  <c r="Q6" s="1"/>
  <c r="Q5"/>
  <c r="P5"/>
  <c r="P8"/>
  <c r="AA11"/>
  <c r="P11" s="1"/>
  <c r="AB12"/>
  <c r="Q11"/>
  <c r="S220"/>
  <c r="R220"/>
  <c r="Q220"/>
  <c r="AM59" i="11"/>
  <c r="AL59"/>
  <c r="AK59"/>
  <c r="AJ59"/>
  <c r="AI59"/>
  <c r="AH59"/>
  <c r="B59"/>
  <c r="AG180" i="10"/>
  <c r="AG179"/>
  <c r="Q12" l="1"/>
  <c r="AB13"/>
  <c r="Q13" s="1"/>
  <c r="AG178"/>
  <c r="AG177" l="1"/>
  <c r="AG176"/>
  <c r="AG175"/>
  <c r="AG171"/>
  <c r="AG170"/>
  <c r="AG169" l="1"/>
  <c r="AG168" l="1"/>
  <c r="AG167"/>
  <c r="AG166"/>
  <c r="AG162"/>
  <c r="AG161"/>
  <c r="AG160" l="1"/>
  <c r="AG159" l="1"/>
  <c r="AG158"/>
  <c r="AG157"/>
  <c r="AG153"/>
  <c r="AG152"/>
  <c r="AG151" l="1"/>
  <c r="AG150" l="1"/>
  <c r="AG149"/>
  <c r="AG148"/>
  <c r="AG144"/>
  <c r="AG143"/>
  <c r="AG142" l="1"/>
  <c r="AG141" l="1"/>
  <c r="AG140"/>
  <c r="AG139"/>
  <c r="AG135"/>
  <c r="AG134"/>
  <c r="AG133" l="1"/>
  <c r="AG132" l="1"/>
  <c r="AG131"/>
  <c r="AG130"/>
  <c r="AG126"/>
  <c r="AG125"/>
  <c r="AG124" l="1"/>
  <c r="AG123" l="1"/>
  <c r="AG122"/>
  <c r="AG121"/>
  <c r="AG117"/>
  <c r="AG116"/>
  <c r="AG115" l="1"/>
  <c r="AG114" l="1"/>
  <c r="AG113"/>
  <c r="AG112"/>
  <c r="AG108"/>
  <c r="AG107"/>
  <c r="AG106"/>
  <c r="AG105"/>
  <c r="AG104"/>
  <c r="AG103"/>
  <c r="AG16" i="13"/>
  <c r="AG93" i="11" s="1"/>
  <c r="AF16" i="13"/>
  <c r="AF93" i="11" s="1"/>
  <c r="AE16" i="13"/>
  <c r="AE93" i="11" s="1"/>
  <c r="AD16" i="13"/>
  <c r="AD93" i="11" s="1"/>
  <c r="AC16" i="13"/>
  <c r="AC93" i="11" s="1"/>
  <c r="AB16" i="13"/>
  <c r="AB93" i="11" s="1"/>
  <c r="AA16" i="13"/>
  <c r="AA93" i="11" s="1"/>
  <c r="Z16" i="13"/>
  <c r="Z93" i="11" s="1"/>
  <c r="Y16" i="13"/>
  <c r="Y93" i="11" s="1"/>
  <c r="X16" i="13"/>
  <c r="X93" i="11" s="1"/>
  <c r="W16" i="13"/>
  <c r="W93" i="11" s="1"/>
  <c r="V16" i="13"/>
  <c r="V93" i="11" s="1"/>
  <c r="U16" i="13"/>
  <c r="U93" i="11" s="1"/>
  <c r="T16" i="13"/>
  <c r="T93" i="11" s="1"/>
  <c r="S16" i="13"/>
  <c r="S93" i="11" s="1"/>
  <c r="R16" i="13"/>
  <c r="R93" i="11" s="1"/>
  <c r="Q16" i="13"/>
  <c r="Q93" i="11" s="1"/>
  <c r="P16" i="13"/>
  <c r="P93" i="11" s="1"/>
  <c r="O16" i="13"/>
  <c r="O93" i="11" s="1"/>
  <c r="N16" i="13"/>
  <c r="N93" i="11" s="1"/>
  <c r="M16" i="13"/>
  <c r="M93" i="11" s="1"/>
  <c r="L16" i="13"/>
  <c r="L93" i="11" s="1"/>
  <c r="K16" i="13"/>
  <c r="K93" i="11" s="1"/>
  <c r="J16" i="13"/>
  <c r="J93" i="11" s="1"/>
  <c r="I16" i="13"/>
  <c r="I93" i="11" s="1"/>
  <c r="H16" i="13"/>
  <c r="H93" i="11" s="1"/>
  <c r="G16" i="13"/>
  <c r="G93" i="11" s="1"/>
  <c r="F16" i="13"/>
  <c r="F93" i="11" s="1"/>
  <c r="E16" i="13"/>
  <c r="E93" i="11" s="1"/>
  <c r="D16" i="13"/>
  <c r="D93" i="11" s="1"/>
  <c r="C16" i="13"/>
  <c r="C93" i="11" s="1"/>
  <c r="B16" i="13"/>
  <c r="B93" i="11" s="1"/>
  <c r="AG15" i="13"/>
  <c r="AF15"/>
  <c r="AG14"/>
  <c r="AF14"/>
  <c r="R15"/>
  <c r="Z15" s="1"/>
  <c r="Q15"/>
  <c r="Y15" s="1"/>
  <c r="P15"/>
  <c r="X15" s="1"/>
  <c r="O15"/>
  <c r="W15" s="1"/>
  <c r="AE15" s="1"/>
  <c r="N15"/>
  <c r="V15" s="1"/>
  <c r="AD15" s="1"/>
  <c r="M15"/>
  <c r="U15" s="1"/>
  <c r="AC15" s="1"/>
  <c r="L15"/>
  <c r="T15" s="1"/>
  <c r="AB15" s="1"/>
  <c r="K15"/>
  <c r="S15" s="1"/>
  <c r="AA15" s="1"/>
  <c r="V14"/>
  <c r="T14"/>
  <c r="AB14" s="1"/>
  <c r="R14"/>
  <c r="Q14"/>
  <c r="P14"/>
  <c r="O14"/>
  <c r="W14" s="1"/>
  <c r="N14"/>
  <c r="M14"/>
  <c r="L14"/>
  <c r="K14"/>
  <c r="S14" s="1"/>
  <c r="J14"/>
  <c r="J15"/>
  <c r="D15"/>
  <c r="E15" s="1"/>
  <c r="F15" s="1"/>
  <c r="G15" s="1"/>
  <c r="H15" s="1"/>
  <c r="I15" s="1"/>
  <c r="C15"/>
  <c r="D14"/>
  <c r="E14" s="1"/>
  <c r="F14" s="1"/>
  <c r="G14" s="1"/>
  <c r="H14" s="1"/>
  <c r="I14" s="1"/>
  <c r="C14"/>
  <c r="F9"/>
  <c r="H9" s="1"/>
  <c r="D9"/>
  <c r="D8"/>
  <c r="F8" s="1"/>
  <c r="H8" s="1"/>
  <c r="F7"/>
  <c r="H7" s="1"/>
  <c r="D7"/>
  <c r="H6"/>
  <c r="F6"/>
  <c r="D6"/>
  <c r="F5"/>
  <c r="H5" s="1"/>
  <c r="D5"/>
  <c r="D4"/>
  <c r="F4" s="1"/>
  <c r="H4" s="1"/>
  <c r="H3"/>
  <c r="F3"/>
  <c r="D3"/>
  <c r="H2"/>
  <c r="F2"/>
  <c r="D2"/>
  <c r="B5"/>
  <c r="B6" s="1"/>
  <c r="B7" s="1"/>
  <c r="B8" s="1"/>
  <c r="B9" s="1"/>
  <c r="B4"/>
  <c r="B3"/>
  <c r="O209" i="10"/>
  <c r="S209" s="1"/>
  <c r="N209"/>
  <c r="R209" s="1"/>
  <c r="M209"/>
  <c r="Q209" s="1"/>
  <c r="K209"/>
  <c r="J210"/>
  <c r="J211" s="1"/>
  <c r="J212" s="1"/>
  <c r="J213" s="1"/>
  <c r="J214" s="1"/>
  <c r="J215" s="1"/>
  <c r="J216" s="1"/>
  <c r="J217" s="1"/>
  <c r="J218" s="1"/>
  <c r="I210"/>
  <c r="H209" s="1"/>
  <c r="H211"/>
  <c r="H212" s="1"/>
  <c r="H213" s="1"/>
  <c r="H214" s="1"/>
  <c r="H215" s="1"/>
  <c r="H216" s="1"/>
  <c r="H217" s="1"/>
  <c r="H218" s="1"/>
  <c r="B86" i="11" l="1"/>
  <c r="B85"/>
  <c r="B84"/>
  <c r="B83"/>
  <c r="B82"/>
  <c r="B81"/>
  <c r="B80"/>
  <c r="B79"/>
  <c r="B78"/>
  <c r="B77"/>
  <c r="B76"/>
  <c r="B75"/>
  <c r="B74"/>
  <c r="B73"/>
  <c r="B72"/>
  <c r="B71"/>
  <c r="B70"/>
  <c r="B69"/>
  <c r="B67"/>
  <c r="B64"/>
  <c r="B63"/>
  <c r="B68"/>
  <c r="B66"/>
  <c r="B65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5"/>
  <c r="F67"/>
  <c r="F66"/>
  <c r="F64"/>
  <c r="F63"/>
  <c r="J86"/>
  <c r="J85"/>
  <c r="J84"/>
  <c r="J83"/>
  <c r="J82"/>
  <c r="J81"/>
  <c r="J80"/>
  <c r="J79"/>
  <c r="J78"/>
  <c r="J77"/>
  <c r="J76"/>
  <c r="J75"/>
  <c r="J74"/>
  <c r="J73"/>
  <c r="J72"/>
  <c r="J71"/>
  <c r="J70"/>
  <c r="J68"/>
  <c r="J67"/>
  <c r="J66"/>
  <c r="J63"/>
  <c r="J69"/>
  <c r="J65"/>
  <c r="J64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5"/>
  <c r="N64"/>
  <c r="N68"/>
  <c r="N67"/>
  <c r="N66"/>
  <c r="N63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3"/>
  <c r="R65"/>
  <c r="R64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5"/>
  <c r="V64"/>
  <c r="V67"/>
  <c r="V66"/>
  <c r="V63"/>
  <c r="Z86"/>
  <c r="Z85"/>
  <c r="Z84"/>
  <c r="Z83"/>
  <c r="Z82"/>
  <c r="Z81"/>
  <c r="Z80"/>
  <c r="Z79"/>
  <c r="Z78"/>
  <c r="Z77"/>
  <c r="Z76"/>
  <c r="Z75"/>
  <c r="Z74"/>
  <c r="Z73"/>
  <c r="Z72"/>
  <c r="Z71"/>
  <c r="Z70"/>
  <c r="Z69"/>
  <c r="Z68"/>
  <c r="Z66"/>
  <c r="Z63"/>
  <c r="Z67"/>
  <c r="Z65"/>
  <c r="Z64"/>
  <c r="AD86"/>
  <c r="AD85"/>
  <c r="AD84"/>
  <c r="AD83"/>
  <c r="AD82"/>
  <c r="AD81"/>
  <c r="AD80"/>
  <c r="AD79"/>
  <c r="AD78"/>
  <c r="AD77"/>
  <c r="AD76"/>
  <c r="AD75"/>
  <c r="AD74"/>
  <c r="AD73"/>
  <c r="AD72"/>
  <c r="AD71"/>
  <c r="AD70"/>
  <c r="AD69"/>
  <c r="AD68"/>
  <c r="AD67"/>
  <c r="AD65"/>
  <c r="AD64"/>
  <c r="AD66"/>
  <c r="AD63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Y86"/>
  <c r="Y85"/>
  <c r="Y84"/>
  <c r="Y83"/>
  <c r="Y82"/>
  <c r="Y81"/>
  <c r="Y80"/>
  <c r="Y79"/>
  <c r="Y78"/>
  <c r="Y77"/>
  <c r="Y76"/>
  <c r="Y75"/>
  <c r="Y74"/>
  <c r="Y73"/>
  <c r="Y72"/>
  <c r="Y71"/>
  <c r="Y70"/>
  <c r="Y69"/>
  <c r="Y68"/>
  <c r="Y67"/>
  <c r="Y66"/>
  <c r="Y65"/>
  <c r="Y64"/>
  <c r="Y63"/>
  <c r="AC86"/>
  <c r="AC85"/>
  <c r="AC84"/>
  <c r="AC83"/>
  <c r="AC82"/>
  <c r="AC81"/>
  <c r="AC80"/>
  <c r="AC79"/>
  <c r="AC78"/>
  <c r="AC77"/>
  <c r="AC76"/>
  <c r="AC75"/>
  <c r="AC74"/>
  <c r="AC73"/>
  <c r="AC72"/>
  <c r="AC71"/>
  <c r="AC70"/>
  <c r="AC69"/>
  <c r="AC68"/>
  <c r="AC67"/>
  <c r="AC66"/>
  <c r="AC65"/>
  <c r="AC64"/>
  <c r="AC63"/>
  <c r="AG86"/>
  <c r="AG85"/>
  <c r="AG84"/>
  <c r="AG83"/>
  <c r="AG82"/>
  <c r="AG81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D70"/>
  <c r="D68"/>
  <c r="D67"/>
  <c r="D66"/>
  <c r="D65"/>
  <c r="D86"/>
  <c r="D85"/>
  <c r="D84"/>
  <c r="D83"/>
  <c r="D82"/>
  <c r="D81"/>
  <c r="D80"/>
  <c r="D79"/>
  <c r="D78"/>
  <c r="D77"/>
  <c r="D76"/>
  <c r="D75"/>
  <c r="D74"/>
  <c r="D73"/>
  <c r="D72"/>
  <c r="D71"/>
  <c r="D69"/>
  <c r="D64"/>
  <c r="D63"/>
  <c r="H69"/>
  <c r="H68"/>
  <c r="H66"/>
  <c r="H64"/>
  <c r="H63"/>
  <c r="H86"/>
  <c r="H85"/>
  <c r="H84"/>
  <c r="H83"/>
  <c r="H82"/>
  <c r="H81"/>
  <c r="H80"/>
  <c r="H79"/>
  <c r="H78"/>
  <c r="H77"/>
  <c r="H76"/>
  <c r="H75"/>
  <c r="H74"/>
  <c r="H73"/>
  <c r="H72"/>
  <c r="H71"/>
  <c r="H70"/>
  <c r="H67"/>
  <c r="H65"/>
  <c r="L70"/>
  <c r="L69"/>
  <c r="L67"/>
  <c r="L65"/>
  <c r="L64"/>
  <c r="L63"/>
  <c r="L86"/>
  <c r="L85"/>
  <c r="L84"/>
  <c r="L83"/>
  <c r="L82"/>
  <c r="L81"/>
  <c r="L80"/>
  <c r="L79"/>
  <c r="L78"/>
  <c r="L77"/>
  <c r="L76"/>
  <c r="L75"/>
  <c r="L74"/>
  <c r="L73"/>
  <c r="L72"/>
  <c r="L71"/>
  <c r="L68"/>
  <c r="L66"/>
  <c r="P71"/>
  <c r="P68"/>
  <c r="P67"/>
  <c r="P66"/>
  <c r="P65"/>
  <c r="P63"/>
  <c r="P86"/>
  <c r="P85"/>
  <c r="P84"/>
  <c r="P83"/>
  <c r="P82"/>
  <c r="P81"/>
  <c r="P80"/>
  <c r="P79"/>
  <c r="P78"/>
  <c r="P77"/>
  <c r="P76"/>
  <c r="P75"/>
  <c r="P74"/>
  <c r="P73"/>
  <c r="P72"/>
  <c r="P70"/>
  <c r="P69"/>
  <c r="P64"/>
  <c r="T69"/>
  <c r="T68"/>
  <c r="T67"/>
  <c r="T66"/>
  <c r="T64"/>
  <c r="T86"/>
  <c r="T85"/>
  <c r="T84"/>
  <c r="T83"/>
  <c r="T82"/>
  <c r="T81"/>
  <c r="T80"/>
  <c r="T79"/>
  <c r="T78"/>
  <c r="T77"/>
  <c r="T76"/>
  <c r="T75"/>
  <c r="T74"/>
  <c r="T73"/>
  <c r="T72"/>
  <c r="T71"/>
  <c r="T70"/>
  <c r="T65"/>
  <c r="T63"/>
  <c r="X65"/>
  <c r="X64"/>
  <c r="X63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66"/>
  <c r="AB69"/>
  <c r="AB68"/>
  <c r="AB67"/>
  <c r="AB66"/>
  <c r="AB65"/>
  <c r="AB63"/>
  <c r="AB86"/>
  <c r="AB85"/>
  <c r="AB84"/>
  <c r="AB83"/>
  <c r="AB82"/>
  <c r="AB81"/>
  <c r="AB80"/>
  <c r="AB79"/>
  <c r="AB78"/>
  <c r="AB77"/>
  <c r="AB76"/>
  <c r="AB75"/>
  <c r="AB74"/>
  <c r="AB73"/>
  <c r="AB72"/>
  <c r="AB71"/>
  <c r="AB70"/>
  <c r="AB64"/>
  <c r="AF68"/>
  <c r="AF66"/>
  <c r="AF64"/>
  <c r="AF63"/>
  <c r="AF86"/>
  <c r="AF85"/>
  <c r="AF84"/>
  <c r="AF83"/>
  <c r="AF82"/>
  <c r="AF81"/>
  <c r="AF80"/>
  <c r="AF79"/>
  <c r="AF78"/>
  <c r="AF77"/>
  <c r="AF76"/>
  <c r="AF75"/>
  <c r="AF74"/>
  <c r="AF73"/>
  <c r="AF72"/>
  <c r="AF71"/>
  <c r="AF70"/>
  <c r="AF69"/>
  <c r="AF67"/>
  <c r="AF65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AA86"/>
  <c r="AA85"/>
  <c r="AA84"/>
  <c r="AA83"/>
  <c r="AA82"/>
  <c r="AA81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F62"/>
  <c r="F61"/>
  <c r="F60"/>
  <c r="J61"/>
  <c r="J60"/>
  <c r="J62"/>
  <c r="N61"/>
  <c r="N62"/>
  <c r="N60"/>
  <c r="R61"/>
  <c r="R60"/>
  <c r="R62"/>
  <c r="V61"/>
  <c r="V62"/>
  <c r="V60"/>
  <c r="Z61"/>
  <c r="Z62"/>
  <c r="Z60"/>
  <c r="AD61"/>
  <c r="AD60"/>
  <c r="AD62"/>
  <c r="E60"/>
  <c r="E62"/>
  <c r="E61"/>
  <c r="I60"/>
  <c r="I62"/>
  <c r="I61"/>
  <c r="M61"/>
  <c r="M60"/>
  <c r="M62"/>
  <c r="Q60"/>
  <c r="Q61"/>
  <c r="Q62"/>
  <c r="U60"/>
  <c r="U62"/>
  <c r="U61"/>
  <c r="Y95"/>
  <c r="Y97" s="1"/>
  <c r="Y60"/>
  <c r="Y61"/>
  <c r="Y62"/>
  <c r="AC60"/>
  <c r="AC62"/>
  <c r="AC61"/>
  <c r="AG60"/>
  <c r="AG62"/>
  <c r="AG61"/>
  <c r="D60"/>
  <c r="D62"/>
  <c r="D61"/>
  <c r="H61"/>
  <c r="H62"/>
  <c r="H60"/>
  <c r="L60"/>
  <c r="L62"/>
  <c r="L61"/>
  <c r="P61"/>
  <c r="P60"/>
  <c r="P62"/>
  <c r="T61"/>
  <c r="T62"/>
  <c r="T60"/>
  <c r="X60"/>
  <c r="X62"/>
  <c r="X61"/>
  <c r="AB61"/>
  <c r="AB60"/>
  <c r="AB62"/>
  <c r="AF62"/>
  <c r="AF61"/>
  <c r="AF60"/>
  <c r="C62"/>
  <c r="C61"/>
  <c r="C60"/>
  <c r="G62"/>
  <c r="G60"/>
  <c r="G61"/>
  <c r="K62"/>
  <c r="K61"/>
  <c r="K60"/>
  <c r="O62"/>
  <c r="O60"/>
  <c r="O61"/>
  <c r="S62"/>
  <c r="S61"/>
  <c r="S60"/>
  <c r="W62"/>
  <c r="W60"/>
  <c r="W61"/>
  <c r="AA62"/>
  <c r="AA61"/>
  <c r="AA60"/>
  <c r="AE62"/>
  <c r="AE60"/>
  <c r="AE61"/>
  <c r="B60"/>
  <c r="B61"/>
  <c r="B62"/>
  <c r="I211" i="10"/>
  <c r="I212" s="1"/>
  <c r="Y106" i="11"/>
  <c r="Y111" s="1"/>
  <c r="Y107"/>
  <c r="Y109" s="1"/>
  <c r="Y108"/>
  <c r="Y112"/>
  <c r="Y117" s="1"/>
  <c r="Y113"/>
  <c r="Y115" s="1"/>
  <c r="Y114"/>
  <c r="Y118"/>
  <c r="Y123" s="1"/>
  <c r="Y119"/>
  <c r="Y121" s="1"/>
  <c r="Y120"/>
  <c r="Y124"/>
  <c r="Y129" s="1"/>
  <c r="Y125"/>
  <c r="Y127" s="1"/>
  <c r="Y126"/>
  <c r="Y130"/>
  <c r="Y135" s="1"/>
  <c r="Y131"/>
  <c r="Y133" s="1"/>
  <c r="Y132"/>
  <c r="Y136"/>
  <c r="Y141" s="1"/>
  <c r="Y137"/>
  <c r="Y139" s="1"/>
  <c r="Y138"/>
  <c r="Y142"/>
  <c r="Y147" s="1"/>
  <c r="Y143"/>
  <c r="Y145" s="1"/>
  <c r="Y144"/>
  <c r="Y96"/>
  <c r="Y100"/>
  <c r="Y105" s="1"/>
  <c r="Y101"/>
  <c r="Y103" s="1"/>
  <c r="Y102"/>
  <c r="Y94"/>
  <c r="Y99" s="1"/>
  <c r="AA14" i="13"/>
  <c r="AE14"/>
  <c r="Z14"/>
  <c r="AD14"/>
  <c r="U14"/>
  <c r="Y14"/>
  <c r="X14"/>
  <c r="F12" l="1"/>
  <c r="Y116" i="11"/>
  <c r="Y122"/>
  <c r="Y146"/>
  <c r="Y140"/>
  <c r="AI63"/>
  <c r="AH63"/>
  <c r="L66" i="10" s="1"/>
  <c r="H45" s="1"/>
  <c r="H65" s="1"/>
  <c r="AH70" i="11"/>
  <c r="M68" i="10" s="1"/>
  <c r="I47" s="1"/>
  <c r="I69" s="1"/>
  <c r="AI70" i="11"/>
  <c r="AI74"/>
  <c r="AH74"/>
  <c r="N69" i="10" s="1"/>
  <c r="J48" s="1"/>
  <c r="J71" s="1"/>
  <c r="AH78" i="11"/>
  <c r="L71" i="10" s="1"/>
  <c r="H50" s="1"/>
  <c r="H75" s="1"/>
  <c r="AI78" i="11"/>
  <c r="AI82"/>
  <c r="AH82"/>
  <c r="M72" i="10" s="1"/>
  <c r="I51" s="1"/>
  <c r="I77" s="1"/>
  <c r="AI86" i="11"/>
  <c r="AH86"/>
  <c r="N73" i="10" s="1"/>
  <c r="J52" s="1"/>
  <c r="J79" s="1"/>
  <c r="AH68" i="11"/>
  <c r="N67" i="10" s="1"/>
  <c r="J46" s="1"/>
  <c r="J67" s="1"/>
  <c r="AI68" i="11"/>
  <c r="AI69"/>
  <c r="AH69"/>
  <c r="L68" i="10" s="1"/>
  <c r="H47" s="1"/>
  <c r="H69" s="1"/>
  <c r="AH73" i="11"/>
  <c r="M69" i="10" s="1"/>
  <c r="I48" s="1"/>
  <c r="I71" s="1"/>
  <c r="AI73" i="11"/>
  <c r="AI77"/>
  <c r="AH77"/>
  <c r="N70" i="10" s="1"/>
  <c r="J49" s="1"/>
  <c r="J73" s="1"/>
  <c r="AH81" i="11"/>
  <c r="L72" i="10" s="1"/>
  <c r="H51" s="1"/>
  <c r="H77" s="1"/>
  <c r="AI81" i="11"/>
  <c r="AH85"/>
  <c r="M73" i="10" s="1"/>
  <c r="I52" s="1"/>
  <c r="I79" s="1"/>
  <c r="AI85" i="11"/>
  <c r="AI66"/>
  <c r="AH66"/>
  <c r="L67" i="10" s="1"/>
  <c r="H46" s="1"/>
  <c r="H67" s="1"/>
  <c r="AH67" i="11"/>
  <c r="M67" i="10" s="1"/>
  <c r="I46" s="1"/>
  <c r="I67" s="1"/>
  <c r="AI67" i="11"/>
  <c r="AI72"/>
  <c r="AH72"/>
  <c r="L69" i="10" s="1"/>
  <c r="H48" s="1"/>
  <c r="H71" s="1"/>
  <c r="AI76" i="11"/>
  <c r="AH76"/>
  <c r="M70" i="10" s="1"/>
  <c r="I49" s="1"/>
  <c r="I73" s="1"/>
  <c r="AI80" i="11"/>
  <c r="AH80"/>
  <c r="N71" i="10" s="1"/>
  <c r="J50" s="1"/>
  <c r="J75" s="1"/>
  <c r="AH84" i="11"/>
  <c r="L73" i="10" s="1"/>
  <c r="H52" s="1"/>
  <c r="H79" s="1"/>
  <c r="AI84" i="11"/>
  <c r="AH65"/>
  <c r="N66" i="10" s="1"/>
  <c r="J45" s="1"/>
  <c r="J65" s="1"/>
  <c r="AI65" i="11"/>
  <c r="AI64"/>
  <c r="AH64"/>
  <c r="M66" i="10" s="1"/>
  <c r="I45" s="1"/>
  <c r="I65" s="1"/>
  <c r="AI71" i="11"/>
  <c r="AH71"/>
  <c r="N68" i="10" s="1"/>
  <c r="J47" s="1"/>
  <c r="J69" s="1"/>
  <c r="AH75" i="11"/>
  <c r="L70" i="10" s="1"/>
  <c r="H49" s="1"/>
  <c r="H73" s="1"/>
  <c r="AI75" i="11"/>
  <c r="AI79"/>
  <c r="AH79"/>
  <c r="M71" i="10" s="1"/>
  <c r="I50" s="1"/>
  <c r="I75" s="1"/>
  <c r="AI83" i="11"/>
  <c r="AH83"/>
  <c r="N72" i="10" s="1"/>
  <c r="J51" s="1"/>
  <c r="J77" s="1"/>
  <c r="AH62" i="11"/>
  <c r="N65" i="10" s="1"/>
  <c r="J44" s="1"/>
  <c r="J63" s="1"/>
  <c r="AI62" i="11"/>
  <c r="AH60"/>
  <c r="L65" i="10" s="1"/>
  <c r="H44" s="1"/>
  <c r="H63" s="1"/>
  <c r="AI60" i="11"/>
  <c r="AH61"/>
  <c r="M65" i="10" s="1"/>
  <c r="I44" s="1"/>
  <c r="I63" s="1"/>
  <c r="AI61" i="11"/>
  <c r="Y110"/>
  <c r="Y134"/>
  <c r="Y128"/>
  <c r="I213" i="10"/>
  <c r="Y104" i="11"/>
  <c r="Y98"/>
  <c r="AC14" i="13"/>
  <c r="AK85" i="11" l="1"/>
  <c r="AK86"/>
  <c r="AK82"/>
  <c r="AL74"/>
  <c r="AK63"/>
  <c r="AJ64"/>
  <c r="AJ84"/>
  <c r="AL76"/>
  <c r="AK68"/>
  <c r="AL79"/>
  <c r="AL80"/>
  <c r="AL85"/>
  <c r="AL69"/>
  <c r="AJ83"/>
  <c r="AK75"/>
  <c r="AL86"/>
  <c r="AJ71"/>
  <c r="AL65"/>
  <c r="AJ80"/>
  <c r="AJ72"/>
  <c r="AK81"/>
  <c r="AL70"/>
  <c r="AL75"/>
  <c r="AL72"/>
  <c r="AK66"/>
  <c r="AK77"/>
  <c r="AK69"/>
  <c r="AJ78"/>
  <c r="AK70"/>
  <c r="AK67"/>
  <c r="AL81"/>
  <c r="AL73"/>
  <c r="AL68"/>
  <c r="AM68" s="1"/>
  <c r="AJ82"/>
  <c r="AK83"/>
  <c r="AJ79"/>
  <c r="AL71"/>
  <c r="AK64"/>
  <c r="AJ65"/>
  <c r="AK84"/>
  <c r="AK76"/>
  <c r="AJ67"/>
  <c r="AJ66"/>
  <c r="AL77"/>
  <c r="AJ73"/>
  <c r="AJ69"/>
  <c r="AJ86"/>
  <c r="AL78"/>
  <c r="AK74"/>
  <c r="AJ70"/>
  <c r="AJ63"/>
  <c r="AL83"/>
  <c r="AL64"/>
  <c r="AK65"/>
  <c r="AK72"/>
  <c r="AL67"/>
  <c r="AK73"/>
  <c r="AK79"/>
  <c r="AJ75"/>
  <c r="AK71"/>
  <c r="AL84"/>
  <c r="AK80"/>
  <c r="AJ76"/>
  <c r="AL66"/>
  <c r="AJ85"/>
  <c r="AJ81"/>
  <c r="AJ77"/>
  <c r="AJ68"/>
  <c r="AL82"/>
  <c r="AK78"/>
  <c r="AJ74"/>
  <c r="AL63"/>
  <c r="AK61"/>
  <c r="AJ60"/>
  <c r="AL60"/>
  <c r="AJ62"/>
  <c r="AL61"/>
  <c r="AK62"/>
  <c r="AL62"/>
  <c r="AJ61"/>
  <c r="AK60"/>
  <c r="I214" i="10"/>
  <c r="AM61" i="11" l="1"/>
  <c r="AM63"/>
  <c r="AM66"/>
  <c r="AM81"/>
  <c r="AM85"/>
  <c r="AM82"/>
  <c r="AM78"/>
  <c r="AM80"/>
  <c r="AM60"/>
  <c r="AM69"/>
  <c r="AM75"/>
  <c r="AM86"/>
  <c r="AM79"/>
  <c r="AM65"/>
  <c r="AM74"/>
  <c r="AM76"/>
  <c r="AM77"/>
  <c r="AM72"/>
  <c r="AM70"/>
  <c r="AM73"/>
  <c r="AM67"/>
  <c r="AM83"/>
  <c r="AM71"/>
  <c r="AM64"/>
  <c r="AM84"/>
  <c r="AM62"/>
  <c r="I215" i="10"/>
  <c r="I216" l="1"/>
  <c r="I217" l="1"/>
  <c r="I218" l="1"/>
  <c r="B216" l="1"/>
  <c r="B248" s="1"/>
  <c r="B280" s="1"/>
  <c r="B312" s="1"/>
  <c r="B344" s="1"/>
  <c r="B376" s="1"/>
  <c r="B408" s="1"/>
  <c r="B440" s="1"/>
  <c r="A216"/>
  <c r="A248" s="1"/>
  <c r="A280" s="1"/>
  <c r="A312" s="1"/>
  <c r="A344" s="1"/>
  <c r="A376" s="1"/>
  <c r="A408" s="1"/>
  <c r="A440" s="1"/>
  <c r="B183" l="1"/>
  <c r="D184"/>
  <c r="C184"/>
  <c r="F183"/>
  <c r="E183"/>
  <c r="A186"/>
  <c r="A185"/>
  <c r="A217" s="1"/>
  <c r="A249" s="1"/>
  <c r="A281" s="1"/>
  <c r="A313" s="1"/>
  <c r="A345" s="1"/>
  <c r="A377" s="1"/>
  <c r="A409" s="1"/>
  <c r="A441" s="1"/>
  <c r="B185"/>
  <c r="B217" s="1"/>
  <c r="B249" s="1"/>
  <c r="B281" s="1"/>
  <c r="B313" s="1"/>
  <c r="B345" s="1"/>
  <c r="B377" s="1"/>
  <c r="B409" s="1"/>
  <c r="B441" s="1"/>
  <c r="A187" l="1"/>
  <c r="A218"/>
  <c r="A250" s="1"/>
  <c r="A282" s="1"/>
  <c r="A314" s="1"/>
  <c r="A346" s="1"/>
  <c r="A378" s="1"/>
  <c r="A410" s="1"/>
  <c r="A442" s="1"/>
  <c r="B186"/>
  <c r="C185"/>
  <c r="C186" s="1"/>
  <c r="D185"/>
  <c r="D216"/>
  <c r="D248" s="1"/>
  <c r="D280" s="1"/>
  <c r="D312" s="1"/>
  <c r="D344" s="1"/>
  <c r="D376" s="1"/>
  <c r="D408" s="1"/>
  <c r="D440" s="1"/>
  <c r="A183"/>
  <c r="C216" s="1"/>
  <c r="B187" l="1"/>
  <c r="B218"/>
  <c r="B250" s="1"/>
  <c r="B282" s="1"/>
  <c r="B314" s="1"/>
  <c r="B346" s="1"/>
  <c r="B378" s="1"/>
  <c r="B410" s="1"/>
  <c r="B442" s="1"/>
  <c r="A188"/>
  <c r="A219"/>
  <c r="A251" s="1"/>
  <c r="A283" s="1"/>
  <c r="A315" s="1"/>
  <c r="A347" s="1"/>
  <c r="A379" s="1"/>
  <c r="A411" s="1"/>
  <c r="A443" s="1"/>
  <c r="C248"/>
  <c r="C217"/>
  <c r="D186"/>
  <c r="D217"/>
  <c r="D249" s="1"/>
  <c r="D281" s="1"/>
  <c r="D313" s="1"/>
  <c r="D345" s="1"/>
  <c r="D377" s="1"/>
  <c r="D409" s="1"/>
  <c r="D441" s="1"/>
  <c r="C218"/>
  <c r="C187"/>
  <c r="C174"/>
  <c r="C173"/>
  <c r="C172"/>
  <c r="A172"/>
  <c r="C176"/>
  <c r="C175"/>
  <c r="A189" l="1"/>
  <c r="A220"/>
  <c r="A252" s="1"/>
  <c r="A284" s="1"/>
  <c r="A316" s="1"/>
  <c r="A348" s="1"/>
  <c r="A380" s="1"/>
  <c r="A412" s="1"/>
  <c r="A444" s="1"/>
  <c r="B188"/>
  <c r="B219"/>
  <c r="B251" s="1"/>
  <c r="B283" s="1"/>
  <c r="B315" s="1"/>
  <c r="B347" s="1"/>
  <c r="B379" s="1"/>
  <c r="B411" s="1"/>
  <c r="B443" s="1"/>
  <c r="C219"/>
  <c r="C251" s="1"/>
  <c r="A178"/>
  <c r="C249"/>
  <c r="D187"/>
  <c r="D218"/>
  <c r="C250"/>
  <c r="C280"/>
  <c r="C188"/>
  <c r="C165"/>
  <c r="C164"/>
  <c r="C163"/>
  <c r="A163"/>
  <c r="C166"/>
  <c r="C167"/>
  <c r="K218"/>
  <c r="B189" l="1"/>
  <c r="B220"/>
  <c r="B252" s="1"/>
  <c r="B284" s="1"/>
  <c r="B316" s="1"/>
  <c r="B348" s="1"/>
  <c r="B380" s="1"/>
  <c r="B412" s="1"/>
  <c r="B444" s="1"/>
  <c r="A190"/>
  <c r="A221"/>
  <c r="A253" s="1"/>
  <c r="A285" s="1"/>
  <c r="A317" s="1"/>
  <c r="A349" s="1"/>
  <c r="A381" s="1"/>
  <c r="A413" s="1"/>
  <c r="A445" s="1"/>
  <c r="L218"/>
  <c r="C220"/>
  <c r="C252" s="1"/>
  <c r="A169"/>
  <c r="C312"/>
  <c r="D188"/>
  <c r="D219"/>
  <c r="D250"/>
  <c r="C282"/>
  <c r="C283"/>
  <c r="C281"/>
  <c r="C189"/>
  <c r="C156"/>
  <c r="C155"/>
  <c r="C154"/>
  <c r="C157"/>
  <c r="A154"/>
  <c r="C158"/>
  <c r="K217"/>
  <c r="A191" l="1"/>
  <c r="A222"/>
  <c r="A254" s="1"/>
  <c r="A286" s="1"/>
  <c r="A318" s="1"/>
  <c r="A350" s="1"/>
  <c r="A382" s="1"/>
  <c r="A414" s="1"/>
  <c r="A446" s="1"/>
  <c r="B190"/>
  <c r="B221"/>
  <c r="B253" s="1"/>
  <c r="B285" s="1"/>
  <c r="B317" s="1"/>
  <c r="B349" s="1"/>
  <c r="B381" s="1"/>
  <c r="B413" s="1"/>
  <c r="B445" s="1"/>
  <c r="L217"/>
  <c r="C221"/>
  <c r="C253" s="1"/>
  <c r="C314"/>
  <c r="C315"/>
  <c r="D282"/>
  <c r="C344"/>
  <c r="D189"/>
  <c r="D220"/>
  <c r="C284"/>
  <c r="C313"/>
  <c r="D251"/>
  <c r="C190"/>
  <c r="A160"/>
  <c r="C147"/>
  <c r="C146"/>
  <c r="C145"/>
  <c r="C148"/>
  <c r="A145"/>
  <c r="C149"/>
  <c r="K216"/>
  <c r="B191" l="1"/>
  <c r="B222"/>
  <c r="B254" s="1"/>
  <c r="B286" s="1"/>
  <c r="B318" s="1"/>
  <c r="B350" s="1"/>
  <c r="B382" s="1"/>
  <c r="B414" s="1"/>
  <c r="B446" s="1"/>
  <c r="A192"/>
  <c r="A223"/>
  <c r="A255" s="1"/>
  <c r="A287" s="1"/>
  <c r="A319" s="1"/>
  <c r="A351" s="1"/>
  <c r="A383" s="1"/>
  <c r="A415" s="1"/>
  <c r="A447" s="1"/>
  <c r="L216"/>
  <c r="C222"/>
  <c r="C254" s="1"/>
  <c r="D190"/>
  <c r="D221"/>
  <c r="C347"/>
  <c r="D252"/>
  <c r="C285"/>
  <c r="D314"/>
  <c r="C345"/>
  <c r="C376"/>
  <c r="C346"/>
  <c r="D283"/>
  <c r="C316"/>
  <c r="C191"/>
  <c r="A151"/>
  <c r="C138"/>
  <c r="C137"/>
  <c r="C136"/>
  <c r="A136"/>
  <c r="C140"/>
  <c r="C139"/>
  <c r="K215"/>
  <c r="A193" l="1"/>
  <c r="A224"/>
  <c r="A256" s="1"/>
  <c r="A288" s="1"/>
  <c r="A320" s="1"/>
  <c r="A352" s="1"/>
  <c r="A384" s="1"/>
  <c r="A416" s="1"/>
  <c r="A448" s="1"/>
  <c r="B192"/>
  <c r="B223"/>
  <c r="B255" s="1"/>
  <c r="B287" s="1"/>
  <c r="B319" s="1"/>
  <c r="B351" s="1"/>
  <c r="B383" s="1"/>
  <c r="B415" s="1"/>
  <c r="B447" s="1"/>
  <c r="L215"/>
  <c r="C223"/>
  <c r="C255" s="1"/>
  <c r="C317"/>
  <c r="D315"/>
  <c r="D346"/>
  <c r="C348"/>
  <c r="C377"/>
  <c r="C408"/>
  <c r="D284"/>
  <c r="D191"/>
  <c r="D222"/>
  <c r="C378"/>
  <c r="C379"/>
  <c r="D253"/>
  <c r="C286"/>
  <c r="C192"/>
  <c r="A142"/>
  <c r="C129"/>
  <c r="C128"/>
  <c r="C127"/>
  <c r="A127"/>
  <c r="C130"/>
  <c r="C131"/>
  <c r="K214"/>
  <c r="B193" l="1"/>
  <c r="B224"/>
  <c r="B256" s="1"/>
  <c r="B288" s="1"/>
  <c r="B320" s="1"/>
  <c r="B352" s="1"/>
  <c r="B384" s="1"/>
  <c r="B416" s="1"/>
  <c r="B448" s="1"/>
  <c r="A194"/>
  <c r="A225"/>
  <c r="A257" s="1"/>
  <c r="A289" s="1"/>
  <c r="A321" s="1"/>
  <c r="A353" s="1"/>
  <c r="A385" s="1"/>
  <c r="A417" s="1"/>
  <c r="A449" s="1"/>
  <c r="L214"/>
  <c r="C224"/>
  <c r="C256" s="1"/>
  <c r="C318"/>
  <c r="C440"/>
  <c r="D378"/>
  <c r="C411"/>
  <c r="D316"/>
  <c r="D285"/>
  <c r="D192"/>
  <c r="D223"/>
  <c r="C409"/>
  <c r="C349"/>
  <c r="D254"/>
  <c r="C410"/>
  <c r="C287"/>
  <c r="D347"/>
  <c r="C380"/>
  <c r="C193"/>
  <c r="A133"/>
  <c r="C120"/>
  <c r="C119"/>
  <c r="C118"/>
  <c r="C121"/>
  <c r="A118"/>
  <c r="C122"/>
  <c r="K213"/>
  <c r="A195" l="1"/>
  <c r="A226"/>
  <c r="A258" s="1"/>
  <c r="A290" s="1"/>
  <c r="A322" s="1"/>
  <c r="A354" s="1"/>
  <c r="A386" s="1"/>
  <c r="A418" s="1"/>
  <c r="A450" s="1"/>
  <c r="B194"/>
  <c r="B225"/>
  <c r="B257" s="1"/>
  <c r="B289" s="1"/>
  <c r="B321" s="1"/>
  <c r="B353" s="1"/>
  <c r="B385" s="1"/>
  <c r="B417" s="1"/>
  <c r="B449" s="1"/>
  <c r="L213"/>
  <c r="C225"/>
  <c r="C257" s="1"/>
  <c r="C441"/>
  <c r="D379"/>
  <c r="C381"/>
  <c r="D317"/>
  <c r="D286"/>
  <c r="C442"/>
  <c r="D255"/>
  <c r="C443"/>
  <c r="C350"/>
  <c r="C288"/>
  <c r="C319"/>
  <c r="D348"/>
  <c r="C412"/>
  <c r="D193"/>
  <c r="D224"/>
  <c r="D410"/>
  <c r="C194"/>
  <c r="A124"/>
  <c r="C111"/>
  <c r="C110"/>
  <c r="C109"/>
  <c r="B114"/>
  <c r="B123" s="1"/>
  <c r="B132" s="1"/>
  <c r="B141" s="1"/>
  <c r="B150" s="1"/>
  <c r="B159" s="1"/>
  <c r="B168" s="1"/>
  <c r="B177" s="1"/>
  <c r="B113"/>
  <c r="B122" s="1"/>
  <c r="B131" s="1"/>
  <c r="B140" s="1"/>
  <c r="B149" s="1"/>
  <c r="B158" s="1"/>
  <c r="B167" s="1"/>
  <c r="B176" s="1"/>
  <c r="B112"/>
  <c r="B121" s="1"/>
  <c r="B130" s="1"/>
  <c r="B139" s="1"/>
  <c r="B148" s="1"/>
  <c r="B157" s="1"/>
  <c r="B166" s="1"/>
  <c r="B175" s="1"/>
  <c r="B111"/>
  <c r="B120" s="1"/>
  <c r="B129" s="1"/>
  <c r="B138" s="1"/>
  <c r="B147" s="1"/>
  <c r="B156" s="1"/>
  <c r="B165" s="1"/>
  <c r="B174" s="1"/>
  <c r="B110"/>
  <c r="B119" s="1"/>
  <c r="B128" s="1"/>
  <c r="B137" s="1"/>
  <c r="B146" s="1"/>
  <c r="B155" s="1"/>
  <c r="B164" s="1"/>
  <c r="B173" s="1"/>
  <c r="B109"/>
  <c r="B118" s="1"/>
  <c r="B127" s="1"/>
  <c r="B136" s="1"/>
  <c r="B145" s="1"/>
  <c r="B154" s="1"/>
  <c r="B163" s="1"/>
  <c r="B172" s="1"/>
  <c r="A109"/>
  <c r="C112"/>
  <c r="C113"/>
  <c r="K212"/>
  <c r="B195" l="1"/>
  <c r="B226"/>
  <c r="B258" s="1"/>
  <c r="B290" s="1"/>
  <c r="B322" s="1"/>
  <c r="B354" s="1"/>
  <c r="B386" s="1"/>
  <c r="B418" s="1"/>
  <c r="B450" s="1"/>
  <c r="A196"/>
  <c r="A227"/>
  <c r="A259" s="1"/>
  <c r="A291" s="1"/>
  <c r="A323" s="1"/>
  <c r="A355" s="1"/>
  <c r="A387" s="1"/>
  <c r="A419" s="1"/>
  <c r="A451" s="1"/>
  <c r="L212"/>
  <c r="C226"/>
  <c r="C258" s="1"/>
  <c r="D380"/>
  <c r="D318"/>
  <c r="C382"/>
  <c r="D411"/>
  <c r="C444"/>
  <c r="C289"/>
  <c r="D194"/>
  <c r="D225"/>
  <c r="C320"/>
  <c r="C413"/>
  <c r="D442"/>
  <c r="D256"/>
  <c r="C351"/>
  <c r="D287"/>
  <c r="D349"/>
  <c r="C195"/>
  <c r="A115"/>
  <c r="C102"/>
  <c r="C101"/>
  <c r="C100"/>
  <c r="G13" i="12"/>
  <c r="G11"/>
  <c r="J11"/>
  <c r="F13"/>
  <c r="F12"/>
  <c r="F11"/>
  <c r="F10"/>
  <c r="AM92" i="11"/>
  <c r="I99" i="10" s="1"/>
  <c r="AL92" i="11"/>
  <c r="H99" i="10" s="1"/>
  <c r="AK92" i="11"/>
  <c r="G99" i="10" s="1"/>
  <c r="A13" i="11"/>
  <c r="A19" s="1"/>
  <c r="A25" s="1"/>
  <c r="A31" s="1"/>
  <c r="A37" s="1"/>
  <c r="A43" s="1"/>
  <c r="A49" s="1"/>
  <c r="A55" s="1"/>
  <c r="A99" s="1"/>
  <c r="A105" s="1"/>
  <c r="A111" s="1"/>
  <c r="A117" s="1"/>
  <c r="A123" s="1"/>
  <c r="A129" s="1"/>
  <c r="A135" s="1"/>
  <c r="A141" s="1"/>
  <c r="A147" s="1"/>
  <c r="A12"/>
  <c r="A18" s="1"/>
  <c r="A24" s="1"/>
  <c r="A30" s="1"/>
  <c r="A36" s="1"/>
  <c r="A42" s="1"/>
  <c r="A48" s="1"/>
  <c r="A54" s="1"/>
  <c r="A98" s="1"/>
  <c r="A104" s="1"/>
  <c r="A110" s="1"/>
  <c r="A116" s="1"/>
  <c r="A122" s="1"/>
  <c r="A128" s="1"/>
  <c r="A134" s="1"/>
  <c r="A140" s="1"/>
  <c r="A146" s="1"/>
  <c r="A11"/>
  <c r="A17" s="1"/>
  <c r="A23" s="1"/>
  <c r="A29" s="1"/>
  <c r="A35" s="1"/>
  <c r="A41" s="1"/>
  <c r="A47" s="1"/>
  <c r="A53" s="1"/>
  <c r="A97" s="1"/>
  <c r="A103" s="1"/>
  <c r="A109" s="1"/>
  <c r="A115" s="1"/>
  <c r="A121" s="1"/>
  <c r="A127" s="1"/>
  <c r="A133" s="1"/>
  <c r="A139" s="1"/>
  <c r="A145" s="1"/>
  <c r="A10"/>
  <c r="A16" s="1"/>
  <c r="A22" s="1"/>
  <c r="A28" s="1"/>
  <c r="A34" s="1"/>
  <c r="A40" s="1"/>
  <c r="A46" s="1"/>
  <c r="A52" s="1"/>
  <c r="A9"/>
  <c r="A15" s="1"/>
  <c r="A21" s="1"/>
  <c r="A27" s="1"/>
  <c r="A33" s="1"/>
  <c r="A39" s="1"/>
  <c r="A45" s="1"/>
  <c r="A51" s="1"/>
  <c r="A8"/>
  <c r="A14" s="1"/>
  <c r="A20" s="1"/>
  <c r="A26" s="1"/>
  <c r="A32" s="1"/>
  <c r="A38" s="1"/>
  <c r="A44" s="1"/>
  <c r="A50" s="1"/>
  <c r="AJ92"/>
  <c r="F99" i="10" s="1"/>
  <c r="AI92" i="11"/>
  <c r="E99" i="10" s="1"/>
  <c r="AH92" i="11"/>
  <c r="D99" i="10" s="1"/>
  <c r="B92" i="11"/>
  <c r="J99" i="10" s="1"/>
  <c r="A102" i="11"/>
  <c r="A108" s="1"/>
  <c r="A114" s="1"/>
  <c r="A120" s="1"/>
  <c r="A126" s="1"/>
  <c r="A132" s="1"/>
  <c r="A138" s="1"/>
  <c r="A144" s="1"/>
  <c r="A101"/>
  <c r="A107" s="1"/>
  <c r="A113" s="1"/>
  <c r="A119" s="1"/>
  <c r="A125" s="1"/>
  <c r="A131" s="1"/>
  <c r="A137" s="1"/>
  <c r="A143" s="1"/>
  <c r="A100"/>
  <c r="A106" s="1"/>
  <c r="A112" s="1"/>
  <c r="A118" s="1"/>
  <c r="A124" s="1"/>
  <c r="A130" s="1"/>
  <c r="A136" s="1"/>
  <c r="A142" s="1"/>
  <c r="K66" i="10"/>
  <c r="K67" s="1"/>
  <c r="K68" s="1"/>
  <c r="K69" s="1"/>
  <c r="K70" s="1"/>
  <c r="K71" s="1"/>
  <c r="K72" s="1"/>
  <c r="K73" s="1"/>
  <c r="AI53" i="11"/>
  <c r="AI52"/>
  <c r="AI51"/>
  <c r="AI50"/>
  <c r="AI47"/>
  <c r="AI46"/>
  <c r="AI45"/>
  <c r="AI44"/>
  <c r="AI41"/>
  <c r="AI40"/>
  <c r="AI39"/>
  <c r="AI38"/>
  <c r="AI35"/>
  <c r="AI34"/>
  <c r="AI33"/>
  <c r="AI32"/>
  <c r="AI29"/>
  <c r="AI28"/>
  <c r="AI27"/>
  <c r="AI26"/>
  <c r="AI23"/>
  <c r="AI22"/>
  <c r="AI21"/>
  <c r="AI20"/>
  <c r="AI17"/>
  <c r="AI16"/>
  <c r="AI15"/>
  <c r="AI14"/>
  <c r="AI11"/>
  <c r="AI10"/>
  <c r="AI9"/>
  <c r="AI8"/>
  <c r="AI5"/>
  <c r="AI4"/>
  <c r="AI3"/>
  <c r="AI2"/>
  <c r="AH55"/>
  <c r="AI55" s="1"/>
  <c r="AJ55" s="1"/>
  <c r="AH54"/>
  <c r="AI54" s="1"/>
  <c r="AJ54" s="1"/>
  <c r="AH53"/>
  <c r="AH52"/>
  <c r="M52" i="10" s="1"/>
  <c r="AH51" i="11"/>
  <c r="L52" i="10" s="1"/>
  <c r="AH50" i="11"/>
  <c r="K52" i="10" s="1"/>
  <c r="AH49" i="11"/>
  <c r="AI49" s="1"/>
  <c r="AJ49" s="1"/>
  <c r="AH48"/>
  <c r="AI48" s="1"/>
  <c r="AJ48" s="1"/>
  <c r="AH47"/>
  <c r="AH46"/>
  <c r="M51" i="10" s="1"/>
  <c r="AH45" i="11"/>
  <c r="L51" i="10" s="1"/>
  <c r="AH44" i="11"/>
  <c r="K51" i="10" s="1"/>
  <c r="AH43" i="11"/>
  <c r="AI43" s="1"/>
  <c r="AJ43" s="1"/>
  <c r="AH42"/>
  <c r="AI42" s="1"/>
  <c r="AJ42" s="1"/>
  <c r="AH41"/>
  <c r="AH40"/>
  <c r="M50" i="10" s="1"/>
  <c r="AH39" i="11"/>
  <c r="L50" i="10" s="1"/>
  <c r="AH38" i="11"/>
  <c r="K50" i="10" s="1"/>
  <c r="AH37" i="11"/>
  <c r="AI37" s="1"/>
  <c r="AJ37" s="1"/>
  <c r="AH36"/>
  <c r="AI36" s="1"/>
  <c r="AJ36" s="1"/>
  <c r="AH35"/>
  <c r="AH34"/>
  <c r="M49" i="10" s="1"/>
  <c r="AH33" i="11"/>
  <c r="L49" i="10" s="1"/>
  <c r="AH32" i="11"/>
  <c r="K49" i="10" s="1"/>
  <c r="AH31" i="11"/>
  <c r="AI31" s="1"/>
  <c r="AJ31" s="1"/>
  <c r="AH30"/>
  <c r="AI30" s="1"/>
  <c r="AJ30" s="1"/>
  <c r="AH29"/>
  <c r="AH28"/>
  <c r="M48" i="10" s="1"/>
  <c r="AH27" i="11"/>
  <c r="L48" i="10" s="1"/>
  <c r="AH26" i="11"/>
  <c r="K48" i="10" s="1"/>
  <c r="AH25" i="11"/>
  <c r="AI25" s="1"/>
  <c r="AJ25" s="1"/>
  <c r="AH24"/>
  <c r="AI24" s="1"/>
  <c r="AJ24" s="1"/>
  <c r="AH23"/>
  <c r="AH22"/>
  <c r="M47" i="10" s="1"/>
  <c r="AH21" i="11"/>
  <c r="L47" i="10" s="1"/>
  <c r="AH20" i="11"/>
  <c r="K47" i="10" s="1"/>
  <c r="AH19" i="11"/>
  <c r="AI19" s="1"/>
  <c r="AJ19" s="1"/>
  <c r="AH18"/>
  <c r="AI18" s="1"/>
  <c r="AJ18" s="1"/>
  <c r="AH17"/>
  <c r="AH16"/>
  <c r="M46" i="10" s="1"/>
  <c r="AH15" i="11"/>
  <c r="L46" i="10" s="1"/>
  <c r="AH14" i="11"/>
  <c r="K46" i="10" s="1"/>
  <c r="AH13" i="11"/>
  <c r="AI13" s="1"/>
  <c r="AJ13" s="1"/>
  <c r="AH12"/>
  <c r="AI12" s="1"/>
  <c r="AJ12" s="1"/>
  <c r="AH11"/>
  <c r="AH10"/>
  <c r="M45" i="10" s="1"/>
  <c r="AH9" i="11"/>
  <c r="L45" i="10" s="1"/>
  <c r="AH8" i="11"/>
  <c r="K45" i="10" s="1"/>
  <c r="AH7" i="11"/>
  <c r="AI7" s="1"/>
  <c r="AJ7" s="1"/>
  <c r="AH6"/>
  <c r="AI6" s="1"/>
  <c r="AJ6" s="1"/>
  <c r="AH5"/>
  <c r="AH4"/>
  <c r="M44" i="10" s="1"/>
  <c r="AH3" i="11"/>
  <c r="L44" i="10" s="1"/>
  <c r="AH2" i="11"/>
  <c r="C1"/>
  <c r="D1" s="1"/>
  <c r="R30" i="10"/>
  <c r="R27"/>
  <c r="R24"/>
  <c r="R26"/>
  <c r="R23"/>
  <c r="Q28"/>
  <c r="P28"/>
  <c r="P25"/>
  <c r="R29"/>
  <c r="Q29"/>
  <c r="Q26"/>
  <c r="Q23"/>
  <c r="Q25"/>
  <c r="P30"/>
  <c r="P27"/>
  <c r="P29"/>
  <c r="P26"/>
  <c r="P23"/>
  <c r="Q30"/>
  <c r="Q27"/>
  <c r="Q24"/>
  <c r="P24"/>
  <c r="R28"/>
  <c r="R25"/>
  <c r="A100"/>
  <c r="C103"/>
  <c r="C104"/>
  <c r="K211"/>
  <c r="A197" l="1"/>
  <c r="A228"/>
  <c r="A260" s="1"/>
  <c r="A292" s="1"/>
  <c r="A324" s="1"/>
  <c r="A356" s="1"/>
  <c r="A388" s="1"/>
  <c r="A420" s="1"/>
  <c r="A452" s="1"/>
  <c r="B196"/>
  <c r="B227"/>
  <c r="B259" s="1"/>
  <c r="B291" s="1"/>
  <c r="B323" s="1"/>
  <c r="B355" s="1"/>
  <c r="B387" s="1"/>
  <c r="B419" s="1"/>
  <c r="B451" s="1"/>
  <c r="L211"/>
  <c r="D59" i="11"/>
  <c r="D92"/>
  <c r="L99" i="10" s="1"/>
  <c r="E1" i="11"/>
  <c r="C92"/>
  <c r="K99" i="10" s="1"/>
  <c r="C59" i="11"/>
  <c r="C227" i="10"/>
  <c r="D288"/>
  <c r="D257"/>
  <c r="C290"/>
  <c r="D412"/>
  <c r="C383"/>
  <c r="C352"/>
  <c r="D350"/>
  <c r="D319"/>
  <c r="C445"/>
  <c r="C321"/>
  <c r="C414"/>
  <c r="D381"/>
  <c r="D195"/>
  <c r="D226"/>
  <c r="D443"/>
  <c r="C196"/>
  <c r="A106"/>
  <c r="K44"/>
  <c r="M56" s="1"/>
  <c r="AK8" i="11"/>
  <c r="AK9"/>
  <c r="AK10"/>
  <c r="AK14"/>
  <c r="AK15"/>
  <c r="AK16"/>
  <c r="AK20"/>
  <c r="AK21"/>
  <c r="AK22"/>
  <c r="AK26"/>
  <c r="AK27"/>
  <c r="AK28"/>
  <c r="AK32"/>
  <c r="AK33"/>
  <c r="AK34"/>
  <c r="AK38"/>
  <c r="AK39"/>
  <c r="AK40"/>
  <c r="AK44"/>
  <c r="AK45"/>
  <c r="AK46"/>
  <c r="AK50"/>
  <c r="AK51"/>
  <c r="AK52"/>
  <c r="AL8"/>
  <c r="AL9"/>
  <c r="AL10"/>
  <c r="AL14"/>
  <c r="AL15"/>
  <c r="AL16"/>
  <c r="AL20"/>
  <c r="AL21"/>
  <c r="AL22"/>
  <c r="AL26"/>
  <c r="AL27"/>
  <c r="AL28"/>
  <c r="AL32"/>
  <c r="AL33"/>
  <c r="AL34"/>
  <c r="AL38"/>
  <c r="AL39"/>
  <c r="AL40"/>
  <c r="AL44"/>
  <c r="AL45"/>
  <c r="AL46"/>
  <c r="AL50"/>
  <c r="AL51"/>
  <c r="AL52"/>
  <c r="AL2"/>
  <c r="AL3"/>
  <c r="AL4"/>
  <c r="AK2"/>
  <c r="AK3"/>
  <c r="AK4"/>
  <c r="AJ53"/>
  <c r="AJ52"/>
  <c r="AJ51"/>
  <c r="AJ50"/>
  <c r="AJ47"/>
  <c r="AJ46"/>
  <c r="AJ45"/>
  <c r="AJ44"/>
  <c r="AJ41"/>
  <c r="AJ40"/>
  <c r="AJ39"/>
  <c r="AJ38"/>
  <c r="AJ35"/>
  <c r="AJ34"/>
  <c r="AJ33"/>
  <c r="AJ32"/>
  <c r="AJ29"/>
  <c r="AJ28"/>
  <c r="AJ27"/>
  <c r="AJ26"/>
  <c r="AJ23"/>
  <c r="AJ22"/>
  <c r="AJ21"/>
  <c r="AJ20"/>
  <c r="AJ17"/>
  <c r="AJ16"/>
  <c r="AJ15"/>
  <c r="AJ14"/>
  <c r="AJ11"/>
  <c r="AJ10"/>
  <c r="AJ9"/>
  <c r="AJ8"/>
  <c r="AJ5"/>
  <c r="AJ4"/>
  <c r="AJ3"/>
  <c r="AJ2"/>
  <c r="D38" i="10"/>
  <c r="C38"/>
  <c r="C11" s="1"/>
  <c r="B38"/>
  <c r="D36"/>
  <c r="D12" s="1"/>
  <c r="C36"/>
  <c r="B36"/>
  <c r="B7" s="1"/>
  <c r="T16"/>
  <c r="S16"/>
  <c r="C37" s="1"/>
  <c r="C7" s="1"/>
  <c r="R16"/>
  <c r="B37" s="1"/>
  <c r="R6"/>
  <c r="R7" s="1"/>
  <c r="R8" s="1"/>
  <c r="R9" s="1"/>
  <c r="R10" s="1"/>
  <c r="R11" s="1"/>
  <c r="R12" s="1"/>
  <c r="R13" s="1"/>
  <c r="O3"/>
  <c r="N5"/>
  <c r="N6" s="1"/>
  <c r="N7" s="1"/>
  <c r="N8" s="1"/>
  <c r="N9" s="1"/>
  <c r="N10" s="1"/>
  <c r="N11" s="1"/>
  <c r="N12" s="1"/>
  <c r="N13" s="1"/>
  <c r="K56"/>
  <c r="M55"/>
  <c r="M54"/>
  <c r="K54"/>
  <c r="B54"/>
  <c r="U43"/>
  <c r="B42"/>
  <c r="J24"/>
  <c r="J25" s="1"/>
  <c r="J23"/>
  <c r="Y23" s="1"/>
  <c r="Y22"/>
  <c r="J21"/>
  <c r="I21"/>
  <c r="H21"/>
  <c r="G21"/>
  <c r="R21" s="1"/>
  <c r="F21"/>
  <c r="Q21" s="1"/>
  <c r="E21"/>
  <c r="P21" s="1"/>
  <c r="D21"/>
  <c r="C21"/>
  <c r="B21"/>
  <c r="Z21" s="1"/>
  <c r="J13"/>
  <c r="I13"/>
  <c r="H13"/>
  <c r="D13"/>
  <c r="J12"/>
  <c r="I12"/>
  <c r="H12"/>
  <c r="J11"/>
  <c r="I11"/>
  <c r="H11"/>
  <c r="J10"/>
  <c r="I10"/>
  <c r="H10"/>
  <c r="J9"/>
  <c r="I9"/>
  <c r="H9"/>
  <c r="B9"/>
  <c r="J8"/>
  <c r="I8"/>
  <c r="H8"/>
  <c r="J7"/>
  <c r="I7"/>
  <c r="H7"/>
  <c r="G6"/>
  <c r="F6"/>
  <c r="E6"/>
  <c r="G5"/>
  <c r="F5"/>
  <c r="E5"/>
  <c r="Q22"/>
  <c r="G47"/>
  <c r="E44"/>
  <c r="W27"/>
  <c r="T22"/>
  <c r="S28"/>
  <c r="F45"/>
  <c r="S27"/>
  <c r="T24"/>
  <c r="F51"/>
  <c r="W22"/>
  <c r="F52"/>
  <c r="T23"/>
  <c r="U24"/>
  <c r="S25"/>
  <c r="W30"/>
  <c r="F44"/>
  <c r="S29"/>
  <c r="G45"/>
  <c r="S30"/>
  <c r="E45"/>
  <c r="U26"/>
  <c r="U22"/>
  <c r="E51"/>
  <c r="S23"/>
  <c r="E52"/>
  <c r="W23"/>
  <c r="G50"/>
  <c r="F48"/>
  <c r="U27"/>
  <c r="F49"/>
  <c r="F47"/>
  <c r="W26"/>
  <c r="G46"/>
  <c r="S26"/>
  <c r="F50"/>
  <c r="T27"/>
  <c r="U29"/>
  <c r="G52"/>
  <c r="P22"/>
  <c r="W28"/>
  <c r="U30"/>
  <c r="E50"/>
  <c r="U25"/>
  <c r="G48"/>
  <c r="E49"/>
  <c r="S24"/>
  <c r="T28"/>
  <c r="E46"/>
  <c r="G49"/>
  <c r="T29"/>
  <c r="U28"/>
  <c r="F46"/>
  <c r="W25"/>
  <c r="W24"/>
  <c r="T30"/>
  <c r="T25"/>
  <c r="T26"/>
  <c r="W29"/>
  <c r="R22"/>
  <c r="G51"/>
  <c r="G44"/>
  <c r="E47"/>
  <c r="S22"/>
  <c r="E48"/>
  <c r="U23"/>
  <c r="U11"/>
  <c r="S10"/>
  <c r="U7"/>
  <c r="T13"/>
  <c r="S12"/>
  <c r="S6"/>
  <c r="S8"/>
  <c r="U13"/>
  <c r="T8"/>
  <c r="T12"/>
  <c r="U5"/>
  <c r="U6"/>
  <c r="T10"/>
  <c r="U10"/>
  <c r="U8"/>
  <c r="T9"/>
  <c r="T11"/>
  <c r="T6"/>
  <c r="T7"/>
  <c r="U12"/>
  <c r="U9"/>
  <c r="T5"/>
  <c r="K210"/>
  <c r="B197" l="1"/>
  <c r="B228"/>
  <c r="B260" s="1"/>
  <c r="B292" s="1"/>
  <c r="B324" s="1"/>
  <c r="B356" s="1"/>
  <c r="B388" s="1"/>
  <c r="B420" s="1"/>
  <c r="B452" s="1"/>
  <c r="A198"/>
  <c r="A229"/>
  <c r="A261" s="1"/>
  <c r="A293" s="1"/>
  <c r="A325" s="1"/>
  <c r="A357" s="1"/>
  <c r="A389" s="1"/>
  <c r="A421" s="1"/>
  <c r="A453" s="1"/>
  <c r="E71"/>
  <c r="E69"/>
  <c r="G63"/>
  <c r="G77"/>
  <c r="F67"/>
  <c r="G73"/>
  <c r="E67"/>
  <c r="E73"/>
  <c r="G71"/>
  <c r="E75"/>
  <c r="G79"/>
  <c r="F75"/>
  <c r="G67"/>
  <c r="F69"/>
  <c r="F73"/>
  <c r="F71"/>
  <c r="G75"/>
  <c r="E79"/>
  <c r="E77"/>
  <c r="E65"/>
  <c r="G65"/>
  <c r="F63"/>
  <c r="F79"/>
  <c r="F77"/>
  <c r="F65"/>
  <c r="E63"/>
  <c r="G69"/>
  <c r="L210"/>
  <c r="F1" i="11"/>
  <c r="E59"/>
  <c r="E92"/>
  <c r="M99" i="10" s="1"/>
  <c r="C228"/>
  <c r="C260" s="1"/>
  <c r="C259"/>
  <c r="D413"/>
  <c r="D351"/>
  <c r="D444"/>
  <c r="D196"/>
  <c r="D227"/>
  <c r="C415"/>
  <c r="D320"/>
  <c r="D258"/>
  <c r="C353"/>
  <c r="C384"/>
  <c r="D289"/>
  <c r="C446"/>
  <c r="D382"/>
  <c r="C322"/>
  <c r="C197"/>
  <c r="D43"/>
  <c r="J43" s="1"/>
  <c r="M43" s="1"/>
  <c r="AB21"/>
  <c r="C43"/>
  <c r="I43" s="1"/>
  <c r="L43" s="1"/>
  <c r="AA21"/>
  <c r="J5"/>
  <c r="B43"/>
  <c r="H43" s="1"/>
  <c r="K43" s="1"/>
  <c r="AM3" i="11"/>
  <c r="AM51"/>
  <c r="AM46"/>
  <c r="AM44"/>
  <c r="AM39"/>
  <c r="AM34"/>
  <c r="AM32"/>
  <c r="AM27"/>
  <c r="AM22"/>
  <c r="AM20"/>
  <c r="AM15"/>
  <c r="AM10"/>
  <c r="AM8"/>
  <c r="AM52"/>
  <c r="AM50"/>
  <c r="AM45"/>
  <c r="AM40"/>
  <c r="AM38"/>
  <c r="AM33"/>
  <c r="AM28"/>
  <c r="AM26"/>
  <c r="AM21"/>
  <c r="AM16"/>
  <c r="AM14"/>
  <c r="AM9"/>
  <c r="AM4"/>
  <c r="AM2"/>
  <c r="I22" i="10"/>
  <c r="I23"/>
  <c r="I24"/>
  <c r="I25"/>
  <c r="I26"/>
  <c r="I27"/>
  <c r="I28"/>
  <c r="I29"/>
  <c r="I30"/>
  <c r="H22"/>
  <c r="H23"/>
  <c r="H24"/>
  <c r="H25"/>
  <c r="H26"/>
  <c r="H27"/>
  <c r="H28"/>
  <c r="H29"/>
  <c r="H30"/>
  <c r="J6"/>
  <c r="D37"/>
  <c r="D7" s="1"/>
  <c r="D8" s="1"/>
  <c r="D9" s="1"/>
  <c r="D10" s="1"/>
  <c r="D11" s="1"/>
  <c r="C8"/>
  <c r="B8"/>
  <c r="M57"/>
  <c r="H61" s="1"/>
  <c r="H80" s="1"/>
  <c r="H6"/>
  <c r="H5"/>
  <c r="I5"/>
  <c r="I6"/>
  <c r="T33"/>
  <c r="T32"/>
  <c r="V30"/>
  <c r="F53"/>
  <c r="F64" s="1"/>
  <c r="F55"/>
  <c r="F68" s="1"/>
  <c r="F57"/>
  <c r="F72" s="1"/>
  <c r="F59"/>
  <c r="F76" s="1"/>
  <c r="F61"/>
  <c r="F80" s="1"/>
  <c r="S33"/>
  <c r="S32"/>
  <c r="V23"/>
  <c r="V27"/>
  <c r="E53"/>
  <c r="E64" s="1"/>
  <c r="G54"/>
  <c r="G66" s="1"/>
  <c r="E55"/>
  <c r="E68" s="1"/>
  <c r="G56"/>
  <c r="G70" s="1"/>
  <c r="E57"/>
  <c r="E72" s="1"/>
  <c r="G58"/>
  <c r="G74" s="1"/>
  <c r="E59"/>
  <c r="E76" s="1"/>
  <c r="G60"/>
  <c r="G78" s="1"/>
  <c r="E61"/>
  <c r="E80" s="1"/>
  <c r="V25"/>
  <c r="V26"/>
  <c r="V29"/>
  <c r="F54"/>
  <c r="F66" s="1"/>
  <c r="F56"/>
  <c r="F70" s="1"/>
  <c r="F58"/>
  <c r="F74" s="1"/>
  <c r="F60"/>
  <c r="F78" s="1"/>
  <c r="V22"/>
  <c r="V24"/>
  <c r="V28"/>
  <c r="G53"/>
  <c r="G64" s="1"/>
  <c r="E54"/>
  <c r="E66" s="1"/>
  <c r="G55"/>
  <c r="G68" s="1"/>
  <c r="E56"/>
  <c r="E70" s="1"/>
  <c r="G57"/>
  <c r="G72" s="1"/>
  <c r="E58"/>
  <c r="E74" s="1"/>
  <c r="G59"/>
  <c r="G76" s="1"/>
  <c r="E60"/>
  <c r="E78" s="1"/>
  <c r="G61"/>
  <c r="G80" s="1"/>
  <c r="J26"/>
  <c r="Y25"/>
  <c r="B10"/>
  <c r="B11" s="1"/>
  <c r="B12" s="1"/>
  <c r="B13" s="1"/>
  <c r="C9"/>
  <c r="C12" s="1"/>
  <c r="C13" s="1"/>
  <c r="Y24"/>
  <c r="K29"/>
  <c r="E26"/>
  <c r="G23"/>
  <c r="E24"/>
  <c r="G24"/>
  <c r="S7"/>
  <c r="K27"/>
  <c r="K24"/>
  <c r="F26"/>
  <c r="K23"/>
  <c r="L25"/>
  <c r="L30"/>
  <c r="L29"/>
  <c r="L28"/>
  <c r="G26"/>
  <c r="K25"/>
  <c r="G22"/>
  <c r="S5"/>
  <c r="L22"/>
  <c r="E22"/>
  <c r="L23"/>
  <c r="K26"/>
  <c r="F25"/>
  <c r="G25"/>
  <c r="F23"/>
  <c r="K28"/>
  <c r="E23"/>
  <c r="L24"/>
  <c r="S11"/>
  <c r="L26"/>
  <c r="E25"/>
  <c r="K30"/>
  <c r="F24"/>
  <c r="L27"/>
  <c r="S9"/>
  <c r="S13"/>
  <c r="F22"/>
  <c r="K22"/>
  <c r="C26" l="1"/>
  <c r="A199"/>
  <c r="A230"/>
  <c r="A262" s="1"/>
  <c r="A294" s="1"/>
  <c r="A326" s="1"/>
  <c r="A358" s="1"/>
  <c r="A390" s="1"/>
  <c r="A422" s="1"/>
  <c r="A454" s="1"/>
  <c r="B198"/>
  <c r="B229"/>
  <c r="B261" s="1"/>
  <c r="B293" s="1"/>
  <c r="B325" s="1"/>
  <c r="B357" s="1"/>
  <c r="B389" s="1"/>
  <c r="B421" s="1"/>
  <c r="B453" s="1"/>
  <c r="D24"/>
  <c r="X30"/>
  <c r="X28"/>
  <c r="X26"/>
  <c r="X24"/>
  <c r="X22"/>
  <c r="G1" i="11"/>
  <c r="F59"/>
  <c r="F92"/>
  <c r="N99" i="10" s="1"/>
  <c r="C229"/>
  <c r="C261" s="1"/>
  <c r="C291"/>
  <c r="C323" s="1"/>
  <c r="D321"/>
  <c r="D352"/>
  <c r="C292"/>
  <c r="D290"/>
  <c r="D197"/>
  <c r="D228"/>
  <c r="D445"/>
  <c r="D414"/>
  <c r="C385"/>
  <c r="D259"/>
  <c r="D383"/>
  <c r="C354"/>
  <c r="C416"/>
  <c r="C447"/>
  <c r="C198"/>
  <c r="X27"/>
  <c r="X23"/>
  <c r="X29"/>
  <c r="X25"/>
  <c r="K33"/>
  <c r="K32"/>
  <c r="L32"/>
  <c r="L33"/>
  <c r="H60"/>
  <c r="H78" s="1"/>
  <c r="H54"/>
  <c r="H66" s="1"/>
  <c r="I54"/>
  <c r="I66" s="1"/>
  <c r="H56"/>
  <c r="H70" s="1"/>
  <c r="J55"/>
  <c r="J68" s="1"/>
  <c r="J58"/>
  <c r="J74" s="1"/>
  <c r="I58"/>
  <c r="I74" s="1"/>
  <c r="I56"/>
  <c r="I70" s="1"/>
  <c r="H58"/>
  <c r="H74" s="1"/>
  <c r="I53"/>
  <c r="I64" s="1"/>
  <c r="I61"/>
  <c r="I80" s="1"/>
  <c r="J56"/>
  <c r="J70" s="1"/>
  <c r="J60"/>
  <c r="J78" s="1"/>
  <c r="I57"/>
  <c r="I72" s="1"/>
  <c r="I60"/>
  <c r="I78" s="1"/>
  <c r="H55"/>
  <c r="H68" s="1"/>
  <c r="J53"/>
  <c r="J64" s="1"/>
  <c r="H57"/>
  <c r="H72" s="1"/>
  <c r="J59"/>
  <c r="J76" s="1"/>
  <c r="J61"/>
  <c r="J80" s="1"/>
  <c r="J54"/>
  <c r="J66" s="1"/>
  <c r="I59"/>
  <c r="I76" s="1"/>
  <c r="H53"/>
  <c r="H64" s="1"/>
  <c r="I55"/>
  <c r="I68" s="1"/>
  <c r="J57"/>
  <c r="J72" s="1"/>
  <c r="H59"/>
  <c r="H76" s="1"/>
  <c r="B15" a="1"/>
  <c r="D15" s="1"/>
  <c r="K15" s="1"/>
  <c r="B17" a="1"/>
  <c r="B17" s="1"/>
  <c r="M17" s="1"/>
  <c r="B16" a="1"/>
  <c r="J27"/>
  <c r="Y26"/>
  <c r="F27"/>
  <c r="E27"/>
  <c r="G27"/>
  <c r="B56" l="1" a="1"/>
  <c r="B55" a="1"/>
  <c r="B57" a="1"/>
  <c r="B199"/>
  <c r="B230"/>
  <c r="B262" s="1"/>
  <c r="B294" s="1"/>
  <c r="B326" s="1"/>
  <c r="B358" s="1"/>
  <c r="B390" s="1"/>
  <c r="B422" s="1"/>
  <c r="B454" s="1"/>
  <c r="A200"/>
  <c r="A231"/>
  <c r="A263" s="1"/>
  <c r="A295" s="1"/>
  <c r="A327" s="1"/>
  <c r="A359" s="1"/>
  <c r="A391" s="1"/>
  <c r="A423" s="1"/>
  <c r="A455" s="1"/>
  <c r="Y32"/>
  <c r="Y35"/>
  <c r="H1" i="11"/>
  <c r="G59"/>
  <c r="G92"/>
  <c r="O99" i="10" s="1"/>
  <c r="C230"/>
  <c r="C262" s="1"/>
  <c r="C448"/>
  <c r="C417"/>
  <c r="D415"/>
  <c r="C324"/>
  <c r="C293"/>
  <c r="C386"/>
  <c r="D446"/>
  <c r="D322"/>
  <c r="D353"/>
  <c r="D198"/>
  <c r="D229"/>
  <c r="D384"/>
  <c r="D291"/>
  <c r="D260"/>
  <c r="C355"/>
  <c r="C199"/>
  <c r="Y33"/>
  <c r="E15"/>
  <c r="N15" s="1"/>
  <c r="D17"/>
  <c r="K17" s="1"/>
  <c r="B15"/>
  <c r="M15" s="1"/>
  <c r="C17"/>
  <c r="L17" s="1"/>
  <c r="E17"/>
  <c r="N17" s="1"/>
  <c r="C15"/>
  <c r="L15" s="1"/>
  <c r="Y27"/>
  <c r="J28"/>
  <c r="E16"/>
  <c r="N16" s="1"/>
  <c r="B16"/>
  <c r="M16" s="1"/>
  <c r="C16"/>
  <c r="L16" s="1"/>
  <c r="D16"/>
  <c r="K16" s="1"/>
  <c r="E28"/>
  <c r="F28"/>
  <c r="G28"/>
  <c r="C57" l="1"/>
  <c r="C61" s="1"/>
  <c r="B57"/>
  <c r="D61" s="1"/>
  <c r="D57"/>
  <c r="B61" s="1"/>
  <c r="C56"/>
  <c r="C60" s="1"/>
  <c r="B56"/>
  <c r="D60" s="1"/>
  <c r="D56"/>
  <c r="B60" s="1"/>
  <c r="C55"/>
  <c r="C59" s="1"/>
  <c r="B55"/>
  <c r="D59" s="1"/>
  <c r="D55"/>
  <c r="B59" s="1"/>
  <c r="A201"/>
  <c r="A232"/>
  <c r="A264" s="1"/>
  <c r="A296" s="1"/>
  <c r="A328" s="1"/>
  <c r="A360" s="1"/>
  <c r="A392" s="1"/>
  <c r="A424" s="1"/>
  <c r="A456" s="1"/>
  <c r="B200"/>
  <c r="B231"/>
  <c r="B263" s="1"/>
  <c r="B295" s="1"/>
  <c r="B327" s="1"/>
  <c r="B359" s="1"/>
  <c r="B391" s="1"/>
  <c r="B423" s="1"/>
  <c r="B455" s="1"/>
  <c r="Y34"/>
  <c r="I1" i="11"/>
  <c r="H59"/>
  <c r="H92"/>
  <c r="P99" i="10" s="1"/>
  <c r="C231"/>
  <c r="C263" s="1"/>
  <c r="D385"/>
  <c r="D292"/>
  <c r="D416"/>
  <c r="D354"/>
  <c r="C356"/>
  <c r="D323"/>
  <c r="C325"/>
  <c r="C449"/>
  <c r="D199"/>
  <c r="D230"/>
  <c r="C294"/>
  <c r="C418"/>
  <c r="C387"/>
  <c r="D261"/>
  <c r="D447"/>
  <c r="C200"/>
  <c r="B22"/>
  <c r="B44" s="1"/>
  <c r="B24"/>
  <c r="B46" s="1"/>
  <c r="V7"/>
  <c r="D46"/>
  <c r="B25"/>
  <c r="B47" s="1"/>
  <c r="V6"/>
  <c r="V12"/>
  <c r="X8"/>
  <c r="X13"/>
  <c r="X11"/>
  <c r="X9"/>
  <c r="X7"/>
  <c r="X5"/>
  <c r="X12"/>
  <c r="X10"/>
  <c r="X6"/>
  <c r="W12"/>
  <c r="W10"/>
  <c r="W8"/>
  <c r="W6"/>
  <c r="W13"/>
  <c r="W11"/>
  <c r="W7"/>
  <c r="W9"/>
  <c r="W5"/>
  <c r="B27"/>
  <c r="B49" s="1"/>
  <c r="D27"/>
  <c r="D49" s="1"/>
  <c r="V13"/>
  <c r="B23"/>
  <c r="D23"/>
  <c r="D45" s="1"/>
  <c r="V5"/>
  <c r="V10"/>
  <c r="D22"/>
  <c r="V8"/>
  <c r="V11"/>
  <c r="B26"/>
  <c r="B48" s="1"/>
  <c r="D25"/>
  <c r="D47" s="1"/>
  <c r="D26"/>
  <c r="D48" s="1"/>
  <c r="V9"/>
  <c r="D28"/>
  <c r="D50" s="1"/>
  <c r="B28"/>
  <c r="B50" s="1"/>
  <c r="C28"/>
  <c r="C50" s="1"/>
  <c r="C24"/>
  <c r="C46" s="1"/>
  <c r="C22"/>
  <c r="C25"/>
  <c r="C47" s="1"/>
  <c r="C27"/>
  <c r="C49" s="1"/>
  <c r="C48"/>
  <c r="C23"/>
  <c r="C45" s="1"/>
  <c r="J29"/>
  <c r="Y28"/>
  <c r="F29"/>
  <c r="E29"/>
  <c r="G29"/>
  <c r="B201" l="1"/>
  <c r="B232"/>
  <c r="B264" s="1"/>
  <c r="B296" s="1"/>
  <c r="B328" s="1"/>
  <c r="B360" s="1"/>
  <c r="B392" s="1"/>
  <c r="B424" s="1"/>
  <c r="B456" s="1"/>
  <c r="A202"/>
  <c r="A233"/>
  <c r="A265" s="1"/>
  <c r="A297" s="1"/>
  <c r="A329" s="1"/>
  <c r="A361" s="1"/>
  <c r="A393" s="1"/>
  <c r="A425" s="1"/>
  <c r="A457" s="1"/>
  <c r="B89" i="11"/>
  <c r="C16" i="12"/>
  <c r="C26" s="1"/>
  <c r="D89" i="11"/>
  <c r="E16" i="12"/>
  <c r="E26" s="1"/>
  <c r="C90" i="11"/>
  <c r="D17" i="12"/>
  <c r="D27" s="1"/>
  <c r="C91" i="11"/>
  <c r="D18" i="12"/>
  <c r="D28" s="1"/>
  <c r="C89" i="11"/>
  <c r="D16" i="12"/>
  <c r="D26" s="1"/>
  <c r="B91" i="11"/>
  <c r="C18" i="12"/>
  <c r="C28" s="1"/>
  <c r="D90" i="11"/>
  <c r="E17" i="12"/>
  <c r="E27" s="1"/>
  <c r="B90" i="11"/>
  <c r="T113" s="1"/>
  <c r="T115" s="1"/>
  <c r="C17" i="12"/>
  <c r="C27" s="1"/>
  <c r="D91" i="11"/>
  <c r="S126" s="1"/>
  <c r="E18" i="12"/>
  <c r="E28" s="1"/>
  <c r="T106" i="11"/>
  <c r="J1"/>
  <c r="I59"/>
  <c r="I92"/>
  <c r="Q99" i="10" s="1"/>
  <c r="Q137" i="11"/>
  <c r="Q139" s="1"/>
  <c r="C232" i="10"/>
  <c r="C264" s="1"/>
  <c r="C450"/>
  <c r="D386"/>
  <c r="D417"/>
  <c r="C419"/>
  <c r="D200"/>
  <c r="D231"/>
  <c r="C388"/>
  <c r="D324"/>
  <c r="D293"/>
  <c r="D262"/>
  <c r="D355"/>
  <c r="C295"/>
  <c r="C326"/>
  <c r="C357"/>
  <c r="D448"/>
  <c r="C201"/>
  <c r="N52"/>
  <c r="N56"/>
  <c r="P48"/>
  <c r="P49"/>
  <c r="N44"/>
  <c r="P56"/>
  <c r="N49"/>
  <c r="P44"/>
  <c r="P59"/>
  <c r="N59"/>
  <c r="P58"/>
  <c r="N45"/>
  <c r="N53"/>
  <c r="N58"/>
  <c r="N48"/>
  <c r="P46"/>
  <c r="P52"/>
  <c r="P45"/>
  <c r="P53"/>
  <c r="P60"/>
  <c r="P50"/>
  <c r="P54"/>
  <c r="P61"/>
  <c r="P47"/>
  <c r="P51"/>
  <c r="P55"/>
  <c r="P57"/>
  <c r="N61"/>
  <c r="N47"/>
  <c r="N51"/>
  <c r="N55"/>
  <c r="N57"/>
  <c r="N60"/>
  <c r="N46"/>
  <c r="N50"/>
  <c r="N54"/>
  <c r="O55"/>
  <c r="O54"/>
  <c r="O57"/>
  <c r="O51"/>
  <c r="D44"/>
  <c r="B45"/>
  <c r="O46"/>
  <c r="O47"/>
  <c r="O60"/>
  <c r="O50"/>
  <c r="O61"/>
  <c r="O56"/>
  <c r="O58"/>
  <c r="O44"/>
  <c r="O48"/>
  <c r="Q48" s="1"/>
  <c r="O52"/>
  <c r="O59"/>
  <c r="O45"/>
  <c r="O49"/>
  <c r="O53"/>
  <c r="V14"/>
  <c r="V16"/>
  <c r="X14"/>
  <c r="X16"/>
  <c r="W14"/>
  <c r="W16"/>
  <c r="D29"/>
  <c r="B29"/>
  <c r="C29"/>
  <c r="C51" s="1"/>
  <c r="Y29"/>
  <c r="J30"/>
  <c r="C44"/>
  <c r="F30"/>
  <c r="E30"/>
  <c r="G30"/>
  <c r="A203" l="1"/>
  <c r="A234"/>
  <c r="A266" s="1"/>
  <c r="A298" s="1"/>
  <c r="A330" s="1"/>
  <c r="A362" s="1"/>
  <c r="A394" s="1"/>
  <c r="A426" s="1"/>
  <c r="A458" s="1"/>
  <c r="B202"/>
  <c r="B233"/>
  <c r="B265" s="1"/>
  <c r="B297" s="1"/>
  <c r="B329" s="1"/>
  <c r="B361" s="1"/>
  <c r="B393" s="1"/>
  <c r="B425" s="1"/>
  <c r="B457" s="1"/>
  <c r="W138" i="11"/>
  <c r="AF120"/>
  <c r="AD132"/>
  <c r="AC118"/>
  <c r="S94"/>
  <c r="Q130"/>
  <c r="Q96"/>
  <c r="O142"/>
  <c r="N100"/>
  <c r="M94"/>
  <c r="M125"/>
  <c r="M127" s="1"/>
  <c r="U145" i="10" s="1"/>
  <c r="L108" i="11"/>
  <c r="J112"/>
  <c r="K137"/>
  <c r="K139" s="1"/>
  <c r="S163" i="10" s="1"/>
  <c r="I100" i="11"/>
  <c r="F142"/>
  <c r="H112"/>
  <c r="D120"/>
  <c r="B137"/>
  <c r="B139" s="1"/>
  <c r="J163" i="10" s="1"/>
  <c r="G136" i="11"/>
  <c r="G119"/>
  <c r="G121" s="1"/>
  <c r="O136" i="10" s="1"/>
  <c r="B106" i="11"/>
  <c r="E142"/>
  <c r="E94"/>
  <c r="AG94"/>
  <c r="B130"/>
  <c r="D142"/>
  <c r="E118"/>
  <c r="F118"/>
  <c r="G112"/>
  <c r="I106"/>
  <c r="AB124"/>
  <c r="AF94"/>
  <c r="P136"/>
  <c r="C96"/>
  <c r="B120"/>
  <c r="E108"/>
  <c r="Z138"/>
  <c r="V101"/>
  <c r="V103" s="1"/>
  <c r="AD109" i="10" s="1"/>
  <c r="E125" i="11"/>
  <c r="E127" s="1"/>
  <c r="M145" i="10" s="1"/>
  <c r="Z113" i="11"/>
  <c r="Z115" s="1"/>
  <c r="AH127" i="10" s="1"/>
  <c r="N107" i="11"/>
  <c r="N109" s="1"/>
  <c r="V118" i="10" s="1"/>
  <c r="S96" i="11"/>
  <c r="T94"/>
  <c r="J136"/>
  <c r="AA112"/>
  <c r="AC142"/>
  <c r="I94"/>
  <c r="N124"/>
  <c r="O118"/>
  <c r="P112"/>
  <c r="Q106"/>
  <c r="H102"/>
  <c r="B144"/>
  <c r="C126"/>
  <c r="E132"/>
  <c r="V132"/>
  <c r="H120"/>
  <c r="AA120"/>
  <c r="C102"/>
  <c r="AE126"/>
  <c r="AG114"/>
  <c r="AG101"/>
  <c r="AG103" s="1"/>
  <c r="AO109" i="10" s="1"/>
  <c r="C113" i="11"/>
  <c r="C115" s="1"/>
  <c r="K127" i="10" s="1"/>
  <c r="F125" i="11"/>
  <c r="F127" s="1"/>
  <c r="N145" i="10" s="1"/>
  <c r="I119" i="11"/>
  <c r="I121" s="1"/>
  <c r="Q136" i="10" s="1"/>
  <c r="L131" i="11"/>
  <c r="L133" s="1"/>
  <c r="T154" i="10" s="1"/>
  <c r="M101" i="11"/>
  <c r="M103" s="1"/>
  <c r="U109" i="10" s="1"/>
  <c r="P143" i="11"/>
  <c r="P145" s="1"/>
  <c r="X172" i="10" s="1"/>
  <c r="X107" i="11"/>
  <c r="X109" s="1"/>
  <c r="AF118" i="10" s="1"/>
  <c r="T108" i="11"/>
  <c r="X106"/>
  <c r="V100"/>
  <c r="Z100"/>
  <c r="U100"/>
  <c r="E100"/>
  <c r="B142"/>
  <c r="B118"/>
  <c r="C124"/>
  <c r="D118"/>
  <c r="E130"/>
  <c r="E106"/>
  <c r="F130"/>
  <c r="F106"/>
  <c r="G124"/>
  <c r="H136"/>
  <c r="I130"/>
  <c r="AD94"/>
  <c r="J124"/>
  <c r="AA136"/>
  <c r="AB136"/>
  <c r="AB112"/>
  <c r="AC130"/>
  <c r="AC106"/>
  <c r="AC100"/>
  <c r="N136"/>
  <c r="N112"/>
  <c r="O130"/>
  <c r="O106"/>
  <c r="P124"/>
  <c r="Q142"/>
  <c r="Q118"/>
  <c r="B102"/>
  <c r="Z96"/>
  <c r="AE96"/>
  <c r="AG102"/>
  <c r="B132"/>
  <c r="B108"/>
  <c r="D144"/>
  <c r="E144"/>
  <c r="E120"/>
  <c r="V144"/>
  <c r="V120"/>
  <c r="W114"/>
  <c r="I114"/>
  <c r="Z114"/>
  <c r="L132"/>
  <c r="M126"/>
  <c r="AC102"/>
  <c r="AD108"/>
  <c r="AF144"/>
  <c r="AG138"/>
  <c r="N102"/>
  <c r="AF95"/>
  <c r="AF97" s="1"/>
  <c r="AN100" i="10" s="1"/>
  <c r="AD101" i="11"/>
  <c r="AD103" s="1"/>
  <c r="AL109" i="10" s="1"/>
  <c r="B113" i="11"/>
  <c r="B115" s="1"/>
  <c r="J127" i="10" s="1"/>
  <c r="D107" i="11"/>
  <c r="D109" s="1"/>
  <c r="L118" i="10" s="1"/>
  <c r="E95" i="11"/>
  <c r="E97" s="1"/>
  <c r="M100" i="10" s="1"/>
  <c r="G143" i="11"/>
  <c r="G145" s="1"/>
  <c r="O172" i="10" s="1"/>
  <c r="H125" i="11"/>
  <c r="H127" s="1"/>
  <c r="P145" i="10" s="1"/>
  <c r="Z137" i="11"/>
  <c r="Z139" s="1"/>
  <c r="AH163" i="10" s="1"/>
  <c r="AA119" i="11"/>
  <c r="AA121" s="1"/>
  <c r="AI136" i="10" s="1"/>
  <c r="L107" i="11"/>
  <c r="L109" s="1"/>
  <c r="T118" i="10" s="1"/>
  <c r="M95" i="11"/>
  <c r="M97" s="1"/>
  <c r="U100" i="10" s="1"/>
  <c r="N131" i="11"/>
  <c r="N133" s="1"/>
  <c r="V154" i="10" s="1"/>
  <c r="O125" i="11"/>
  <c r="O127" s="1"/>
  <c r="W145" i="10" s="1"/>
  <c r="P119" i="11"/>
  <c r="P121" s="1"/>
  <c r="X136" i="10" s="1"/>
  <c r="Q113" i="11"/>
  <c r="Q115" s="1"/>
  <c r="Y127" i="10" s="1"/>
  <c r="K132" i="11"/>
  <c r="S108"/>
  <c r="T101"/>
  <c r="T103" s="1"/>
  <c r="AB109" i="10" s="1"/>
  <c r="K119" i="11"/>
  <c r="K121" s="1"/>
  <c r="S136" i="10" s="1"/>
  <c r="X142" i="11"/>
  <c r="K114"/>
  <c r="K112"/>
  <c r="C100"/>
  <c r="W100"/>
  <c r="F94"/>
  <c r="AE100"/>
  <c r="H100"/>
  <c r="V94"/>
  <c r="P100"/>
  <c r="B100"/>
  <c r="C94"/>
  <c r="B136"/>
  <c r="B124"/>
  <c r="B112"/>
  <c r="C136"/>
  <c r="C112"/>
  <c r="D130"/>
  <c r="D106"/>
  <c r="E136"/>
  <c r="E124"/>
  <c r="E112"/>
  <c r="B94"/>
  <c r="F136"/>
  <c r="F124"/>
  <c r="F112"/>
  <c r="G142"/>
  <c r="G130"/>
  <c r="G118"/>
  <c r="G106"/>
  <c r="H124"/>
  <c r="I142"/>
  <c r="I118"/>
  <c r="W94"/>
  <c r="J142"/>
  <c r="J130"/>
  <c r="J118"/>
  <c r="J106"/>
  <c r="AA124"/>
  <c r="AB142"/>
  <c r="AB130"/>
  <c r="AB118"/>
  <c r="AB106"/>
  <c r="AC136"/>
  <c r="AC124"/>
  <c r="AC112"/>
  <c r="P94"/>
  <c r="L100"/>
  <c r="AA94"/>
  <c r="N142"/>
  <c r="N130"/>
  <c r="N118"/>
  <c r="N106"/>
  <c r="O136"/>
  <c r="O124"/>
  <c r="O112"/>
  <c r="P142"/>
  <c r="P130"/>
  <c r="P118"/>
  <c r="P106"/>
  <c r="Q136"/>
  <c r="Q124"/>
  <c r="Q112"/>
  <c r="AD96"/>
  <c r="B96"/>
  <c r="P96"/>
  <c r="W96"/>
  <c r="AG96"/>
  <c r="D96"/>
  <c r="AF96"/>
  <c r="U96"/>
  <c r="B138"/>
  <c r="B126"/>
  <c r="B114"/>
  <c r="C138"/>
  <c r="C114"/>
  <c r="D132"/>
  <c r="D108"/>
  <c r="E138"/>
  <c r="E126"/>
  <c r="E114"/>
  <c r="AF102"/>
  <c r="V138"/>
  <c r="V126"/>
  <c r="V108"/>
  <c r="W126"/>
  <c r="H144"/>
  <c r="I138"/>
  <c r="F102"/>
  <c r="Z126"/>
  <c r="AA144"/>
  <c r="L144"/>
  <c r="L120"/>
  <c r="M138"/>
  <c r="M114"/>
  <c r="AA96"/>
  <c r="AD144"/>
  <c r="AD120"/>
  <c r="AE138"/>
  <c r="AE114"/>
  <c r="AF132"/>
  <c r="AF108"/>
  <c r="AG126"/>
  <c r="AE102"/>
  <c r="G101"/>
  <c r="G103" s="1"/>
  <c r="O109" i="10" s="1"/>
  <c r="P101" i="11"/>
  <c r="P103" s="1"/>
  <c r="X109" i="10" s="1"/>
  <c r="J101" i="11"/>
  <c r="J103" s="1"/>
  <c r="R109" i="10" s="1"/>
  <c r="V95" i="11"/>
  <c r="V97" s="1"/>
  <c r="AD100" i="10" s="1"/>
  <c r="U101" i="11"/>
  <c r="U103" s="1"/>
  <c r="AC109" i="10" s="1"/>
  <c r="B125" i="11"/>
  <c r="B127" s="1"/>
  <c r="J145" i="10" s="1"/>
  <c r="C137" i="11"/>
  <c r="C139" s="1"/>
  <c r="K163" i="10" s="1"/>
  <c r="D131" i="11"/>
  <c r="D133" s="1"/>
  <c r="L154" i="10" s="1"/>
  <c r="E137" i="11"/>
  <c r="E139" s="1"/>
  <c r="M163" i="10" s="1"/>
  <c r="E113" i="11"/>
  <c r="E115" s="1"/>
  <c r="M127" i="10" s="1"/>
  <c r="F137" i="11"/>
  <c r="F139" s="1"/>
  <c r="N163" i="10" s="1"/>
  <c r="F113" i="11"/>
  <c r="F115" s="1"/>
  <c r="N127" i="10" s="1"/>
  <c r="G131" i="11"/>
  <c r="G133" s="1"/>
  <c r="O154" i="10" s="1"/>
  <c r="G107" i="11"/>
  <c r="G109" s="1"/>
  <c r="O118" i="10" s="1"/>
  <c r="I143" i="11"/>
  <c r="I145" s="1"/>
  <c r="Q172" i="10" s="1"/>
  <c r="I95" i="11"/>
  <c r="I97" s="1"/>
  <c r="Q100" i="10" s="1"/>
  <c r="Z125" i="11"/>
  <c r="Z127" s="1"/>
  <c r="AH145" i="10" s="1"/>
  <c r="AA143" i="11"/>
  <c r="AA145" s="1"/>
  <c r="AI172" i="10" s="1"/>
  <c r="L143" i="11"/>
  <c r="L145" s="1"/>
  <c r="T172" i="10" s="1"/>
  <c r="L119" i="11"/>
  <c r="L121" s="1"/>
  <c r="T136" i="10" s="1"/>
  <c r="M137" i="11"/>
  <c r="M139" s="1"/>
  <c r="U163" i="10" s="1"/>
  <c r="M113" i="11"/>
  <c r="M115" s="1"/>
  <c r="U127" i="10" s="1"/>
  <c r="AB101" i="11"/>
  <c r="AB103" s="1"/>
  <c r="AJ109" i="10" s="1"/>
  <c r="N143" i="11"/>
  <c r="N145" s="1"/>
  <c r="V172" i="10" s="1"/>
  <c r="N119" i="11"/>
  <c r="N121" s="1"/>
  <c r="V136" i="10" s="1"/>
  <c r="O137" i="11"/>
  <c r="O139" s="1"/>
  <c r="W163" i="10" s="1"/>
  <c r="O113" i="11"/>
  <c r="O115" s="1"/>
  <c r="W127" i="10" s="1"/>
  <c r="P131" i="11"/>
  <c r="P133" s="1"/>
  <c r="X154" i="10" s="1"/>
  <c r="P107" i="11"/>
  <c r="P109" s="1"/>
  <c r="X118" i="10" s="1"/>
  <c r="Q125" i="11"/>
  <c r="Q127" s="1"/>
  <c r="Y145" i="10" s="1"/>
  <c r="T126" i="11"/>
  <c r="T96"/>
  <c r="K102"/>
  <c r="S119"/>
  <c r="S121" s="1"/>
  <c r="AA136" i="10" s="1"/>
  <c r="T131" i="11"/>
  <c r="T133" s="1"/>
  <c r="AB154" i="10" s="1"/>
  <c r="S113" i="11"/>
  <c r="S115" s="1"/>
  <c r="AA127" i="10" s="1"/>
  <c r="X101" i="11"/>
  <c r="X103" s="1"/>
  <c r="AF109" i="10" s="1"/>
  <c r="K106" i="11"/>
  <c r="S106"/>
  <c r="S124"/>
  <c r="T125"/>
  <c r="T127" s="1"/>
  <c r="AB145" i="10" s="1"/>
  <c r="K107" i="11"/>
  <c r="K109" s="1"/>
  <c r="S118" i="10" s="1"/>
  <c r="K131" i="11"/>
  <c r="K133" s="1"/>
  <c r="S154" i="10" s="1"/>
  <c r="X95" i="11"/>
  <c r="X97" s="1"/>
  <c r="AF100" i="10" s="1"/>
  <c r="S101" i="11"/>
  <c r="S103" s="1"/>
  <c r="AA109" i="10" s="1"/>
  <c r="X137" i="11"/>
  <c r="X139" s="1"/>
  <c r="AF163" i="10" s="1"/>
  <c r="X119" i="11"/>
  <c r="X121" s="1"/>
  <c r="AF136" i="10" s="1"/>
  <c r="X143" i="11"/>
  <c r="X145" s="1"/>
  <c r="AF172" i="10" s="1"/>
  <c r="S125" i="11"/>
  <c r="S127" s="1"/>
  <c r="AA145" i="10" s="1"/>
  <c r="T95" i="11"/>
  <c r="T97" s="1"/>
  <c r="AB100" i="10" s="1"/>
  <c r="K101" i="11"/>
  <c r="K103" s="1"/>
  <c r="S109" i="10" s="1"/>
  <c r="T119" i="11"/>
  <c r="T121" s="1"/>
  <c r="AB136" i="10" s="1"/>
  <c r="T143" i="11"/>
  <c r="T145" s="1"/>
  <c r="AB172" i="10" s="1"/>
  <c r="K125" i="11"/>
  <c r="K127" s="1"/>
  <c r="S145" i="10" s="1"/>
  <c r="S95" i="11"/>
  <c r="S97" s="1"/>
  <c r="AA100" i="10" s="1"/>
  <c r="S107" i="11"/>
  <c r="S109" s="1"/>
  <c r="AA118" i="10" s="1"/>
  <c r="S131" i="11"/>
  <c r="S133" s="1"/>
  <c r="AA154" i="10" s="1"/>
  <c r="K95" i="11"/>
  <c r="K97" s="1"/>
  <c r="S100" i="10" s="1"/>
  <c r="Q95" i="11"/>
  <c r="Q97" s="1"/>
  <c r="Y100" i="10" s="1"/>
  <c r="AG107" i="11"/>
  <c r="AG109" s="1"/>
  <c r="AO118" i="10" s="1"/>
  <c r="AG113" i="11"/>
  <c r="AG115" s="1"/>
  <c r="AO127" i="10" s="1"/>
  <c r="AG119" i="11"/>
  <c r="AG121" s="1"/>
  <c r="AO136" i="10" s="1"/>
  <c r="AG125" i="11"/>
  <c r="AG127" s="1"/>
  <c r="AO145" i="10" s="1"/>
  <c r="AG131" i="11"/>
  <c r="AG133" s="1"/>
  <c r="AO154" i="10" s="1"/>
  <c r="AG137" i="11"/>
  <c r="AG139" s="1"/>
  <c r="AO163" i="10" s="1"/>
  <c r="AG143" i="11"/>
  <c r="AG145" s="1"/>
  <c r="AO172" i="10" s="1"/>
  <c r="AF107" i="11"/>
  <c r="AF109" s="1"/>
  <c r="AN118" i="10" s="1"/>
  <c r="AF113" i="11"/>
  <c r="AF115" s="1"/>
  <c r="AN127" i="10" s="1"/>
  <c r="AF119" i="11"/>
  <c r="AF121" s="1"/>
  <c r="AN136" i="10" s="1"/>
  <c r="AF125" i="11"/>
  <c r="AF127" s="1"/>
  <c r="AN145" i="10" s="1"/>
  <c r="AF131" i="11"/>
  <c r="AF133" s="1"/>
  <c r="AN154" i="10" s="1"/>
  <c r="AF137" i="11"/>
  <c r="AF139" s="1"/>
  <c r="AN163" i="10" s="1"/>
  <c r="AF143" i="11"/>
  <c r="AF145" s="1"/>
  <c r="AN172" i="10" s="1"/>
  <c r="AE107" i="11"/>
  <c r="AE109" s="1"/>
  <c r="AM118" i="10" s="1"/>
  <c r="AE113" i="11"/>
  <c r="AE115" s="1"/>
  <c r="AM127" i="10" s="1"/>
  <c r="AE119" i="11"/>
  <c r="AE121" s="1"/>
  <c r="AM136" i="10" s="1"/>
  <c r="AE125" i="11"/>
  <c r="AE127" s="1"/>
  <c r="AM145" i="10" s="1"/>
  <c r="AE131" i="11"/>
  <c r="AE133" s="1"/>
  <c r="AM154" i="10" s="1"/>
  <c r="AE137" i="11"/>
  <c r="AE139" s="1"/>
  <c r="AM163" i="10" s="1"/>
  <c r="AE143" i="11"/>
  <c r="AE145" s="1"/>
  <c r="AM172" i="10" s="1"/>
  <c r="AD107" i="11"/>
  <c r="AD109" s="1"/>
  <c r="AL118" i="10" s="1"/>
  <c r="AD113" i="11"/>
  <c r="AD115" s="1"/>
  <c r="AL127" i="10" s="1"/>
  <c r="AD119" i="11"/>
  <c r="AD121" s="1"/>
  <c r="AL136" i="10" s="1"/>
  <c r="AD125" i="11"/>
  <c r="AD127" s="1"/>
  <c r="AL145" i="10" s="1"/>
  <c r="AD131" i="11"/>
  <c r="AD133" s="1"/>
  <c r="AL154" i="10" s="1"/>
  <c r="AD137" i="11"/>
  <c r="AD139" s="1"/>
  <c r="AL163" i="10" s="1"/>
  <c r="AD143" i="11"/>
  <c r="AD145" s="1"/>
  <c r="AL172" i="10" s="1"/>
  <c r="AB95" i="11"/>
  <c r="AB97" s="1"/>
  <c r="AJ100" i="10" s="1"/>
  <c r="AC101" i="11"/>
  <c r="AC103" s="1"/>
  <c r="AK109" i="10" s="1"/>
  <c r="L101" i="11"/>
  <c r="L103" s="1"/>
  <c r="T109" i="10" s="1"/>
  <c r="J95" i="11"/>
  <c r="J97" s="1"/>
  <c r="R100" i="10" s="1"/>
  <c r="AA101" i="11"/>
  <c r="AA103" s="1"/>
  <c r="AI109" i="10" s="1"/>
  <c r="AG95" i="11"/>
  <c r="AG97" s="1"/>
  <c r="AO100" i="10" s="1"/>
  <c r="AO97" s="1"/>
  <c r="AC107" i="11"/>
  <c r="AC109" s="1"/>
  <c r="AK118" i="10" s="1"/>
  <c r="AC113" i="11"/>
  <c r="AC115" s="1"/>
  <c r="AK127" i="10" s="1"/>
  <c r="AC119" i="11"/>
  <c r="AC121" s="1"/>
  <c r="AK136" i="10" s="1"/>
  <c r="AC125" i="11"/>
  <c r="AC127" s="1"/>
  <c r="AK145" i="10" s="1"/>
  <c r="AC131" i="11"/>
  <c r="AC133" s="1"/>
  <c r="AK154" i="10" s="1"/>
  <c r="AC137" i="11"/>
  <c r="AC139" s="1"/>
  <c r="AK163" i="10" s="1"/>
  <c r="AC143" i="11"/>
  <c r="AC145" s="1"/>
  <c r="AK172" i="10" s="1"/>
  <c r="AB107" i="11"/>
  <c r="AB109" s="1"/>
  <c r="AJ118" i="10" s="1"/>
  <c r="AB113" i="11"/>
  <c r="AB115" s="1"/>
  <c r="AJ127" i="10" s="1"/>
  <c r="AB119" i="11"/>
  <c r="AB121" s="1"/>
  <c r="AJ136" i="10" s="1"/>
  <c r="AB125" i="11"/>
  <c r="AB127" s="1"/>
  <c r="AJ145" i="10" s="1"/>
  <c r="AB131" i="11"/>
  <c r="AB133" s="1"/>
  <c r="AJ154" i="10" s="1"/>
  <c r="AB137" i="11"/>
  <c r="AB139" s="1"/>
  <c r="AJ163" i="10" s="1"/>
  <c r="AB143" i="11"/>
  <c r="AB145" s="1"/>
  <c r="AJ172" i="10" s="1"/>
  <c r="AA113" i="11"/>
  <c r="AA115" s="1"/>
  <c r="AI127" i="10" s="1"/>
  <c r="AA125" i="11"/>
  <c r="AA127" s="1"/>
  <c r="AI145" i="10" s="1"/>
  <c r="AA137" i="11"/>
  <c r="AA139" s="1"/>
  <c r="AI163" i="10" s="1"/>
  <c r="J107" i="11"/>
  <c r="J109" s="1"/>
  <c r="R118" i="10" s="1"/>
  <c r="J113" i="11"/>
  <c r="J115" s="1"/>
  <c r="R127" i="10" s="1"/>
  <c r="J119" i="11"/>
  <c r="J121" s="1"/>
  <c r="R136" i="10" s="1"/>
  <c r="J125" i="11"/>
  <c r="J127" s="1"/>
  <c r="R145" i="10" s="1"/>
  <c r="J131" i="11"/>
  <c r="J133" s="1"/>
  <c r="R154" i="10" s="1"/>
  <c r="J137" i="11"/>
  <c r="J139" s="1"/>
  <c r="R163" i="10" s="1"/>
  <c r="J143" i="11"/>
  <c r="J145" s="1"/>
  <c r="R172" i="10" s="1"/>
  <c r="H95" i="11"/>
  <c r="H97" s="1"/>
  <c r="P100" i="10" s="1"/>
  <c r="AC95" i="11"/>
  <c r="AC97" s="1"/>
  <c r="AK100" i="10" s="1"/>
  <c r="AK97" s="1"/>
  <c r="I113" i="11"/>
  <c r="I115" s="1"/>
  <c r="Q127" i="10" s="1"/>
  <c r="I125" i="11"/>
  <c r="I127" s="1"/>
  <c r="Q145" i="10" s="1"/>
  <c r="I137" i="11"/>
  <c r="I139" s="1"/>
  <c r="Q163" i="10" s="1"/>
  <c r="H107" i="11"/>
  <c r="H109" s="1"/>
  <c r="P118" i="10" s="1"/>
  <c r="H119" i="11"/>
  <c r="H121" s="1"/>
  <c r="P136" i="10" s="1"/>
  <c r="H131" i="11"/>
  <c r="H133" s="1"/>
  <c r="P154" i="10" s="1"/>
  <c r="H143" i="11"/>
  <c r="H145" s="1"/>
  <c r="P172" i="10" s="1"/>
  <c r="W107" i="11"/>
  <c r="W109" s="1"/>
  <c r="AE118" i="10" s="1"/>
  <c r="W113" i="11"/>
  <c r="W115" s="1"/>
  <c r="AE127" i="10" s="1"/>
  <c r="W119" i="11"/>
  <c r="W121" s="1"/>
  <c r="AE136" i="10" s="1"/>
  <c r="W125" i="11"/>
  <c r="W127" s="1"/>
  <c r="AE145" i="10" s="1"/>
  <c r="W131" i="11"/>
  <c r="W133" s="1"/>
  <c r="AE154" i="10" s="1"/>
  <c r="W137" i="11"/>
  <c r="W139" s="1"/>
  <c r="AE163" i="10" s="1"/>
  <c r="W143" i="11"/>
  <c r="W145" s="1"/>
  <c r="AE172" i="10" s="1"/>
  <c r="V107" i="11"/>
  <c r="V109" s="1"/>
  <c r="AD118" i="10" s="1"/>
  <c r="V113" i="11"/>
  <c r="V115" s="1"/>
  <c r="AD127" i="10" s="1"/>
  <c r="V119" i="11"/>
  <c r="V121" s="1"/>
  <c r="AD136" i="10" s="1"/>
  <c r="V125" i="11"/>
  <c r="V127" s="1"/>
  <c r="AD145" i="10" s="1"/>
  <c r="V131" i="11"/>
  <c r="V133" s="1"/>
  <c r="AD154" i="10" s="1"/>
  <c r="V137" i="11"/>
  <c r="V139" s="1"/>
  <c r="AD163" i="10" s="1"/>
  <c r="V143" i="11"/>
  <c r="V145" s="1"/>
  <c r="AD172" i="10" s="1"/>
  <c r="U95" i="11"/>
  <c r="U97" s="1"/>
  <c r="AC100" i="10" s="1"/>
  <c r="U107" i="11"/>
  <c r="U109" s="1"/>
  <c r="AC118" i="10" s="1"/>
  <c r="U113" i="11"/>
  <c r="U115" s="1"/>
  <c r="AC127" i="10" s="1"/>
  <c r="U119" i="11"/>
  <c r="U121" s="1"/>
  <c r="AC136" i="10" s="1"/>
  <c r="U125" i="11"/>
  <c r="U127" s="1"/>
  <c r="AC145" i="10" s="1"/>
  <c r="U131" i="11"/>
  <c r="U133" s="1"/>
  <c r="AC154" i="10" s="1"/>
  <c r="U137" i="11"/>
  <c r="U139" s="1"/>
  <c r="AC163" i="10" s="1"/>
  <c r="U143" i="11"/>
  <c r="U145" s="1"/>
  <c r="AC172" i="10" s="1"/>
  <c r="D113" i="11"/>
  <c r="D115" s="1"/>
  <c r="L127" i="10" s="1"/>
  <c r="D125" i="11"/>
  <c r="D127" s="1"/>
  <c r="L145" i="10" s="1"/>
  <c r="D137" i="11"/>
  <c r="D139" s="1"/>
  <c r="L163" i="10" s="1"/>
  <c r="C107" i="11"/>
  <c r="C109" s="1"/>
  <c r="K118" i="10" s="1"/>
  <c r="C119" i="11"/>
  <c r="C121" s="1"/>
  <c r="K136" i="10" s="1"/>
  <c r="C131" i="11"/>
  <c r="C133" s="1"/>
  <c r="K154" i="10" s="1"/>
  <c r="C143" i="11"/>
  <c r="C145" s="1"/>
  <c r="K172" i="10" s="1"/>
  <c r="R107" i="11"/>
  <c r="R109" s="1"/>
  <c r="Z118" i="10" s="1"/>
  <c r="R113" i="11"/>
  <c r="R115" s="1"/>
  <c r="Z127" i="10" s="1"/>
  <c r="R119" i="11"/>
  <c r="R121" s="1"/>
  <c r="Z136" i="10" s="1"/>
  <c r="R125" i="11"/>
  <c r="R127" s="1"/>
  <c r="Z145" i="10" s="1"/>
  <c r="R131" i="11"/>
  <c r="R133" s="1"/>
  <c r="Z154" i="10" s="1"/>
  <c r="R137" i="11"/>
  <c r="R139" s="1"/>
  <c r="Z163" i="10" s="1"/>
  <c r="R143" i="11"/>
  <c r="R145" s="1"/>
  <c r="Z172" i="10" s="1"/>
  <c r="C95" i="11"/>
  <c r="C97" s="1"/>
  <c r="K100" i="10" s="1"/>
  <c r="R101" i="11"/>
  <c r="R103" s="1"/>
  <c r="Z109" i="10" s="1"/>
  <c r="Q101" i="11"/>
  <c r="Q103" s="1"/>
  <c r="Y109" i="10" s="1"/>
  <c r="D101" i="11"/>
  <c r="D103" s="1"/>
  <c r="L109" i="10" s="1"/>
  <c r="C101" i="11"/>
  <c r="C103" s="1"/>
  <c r="K109" i="10" s="1"/>
  <c r="I101" i="11"/>
  <c r="I103" s="1"/>
  <c r="Q109" i="10" s="1"/>
  <c r="AE95" i="11"/>
  <c r="AE97" s="1"/>
  <c r="AM100" i="10" s="1"/>
  <c r="O101" i="11"/>
  <c r="O103" s="1"/>
  <c r="W109" i="10" s="1"/>
  <c r="Z101" i="11"/>
  <c r="Z103" s="1"/>
  <c r="AH109" i="10" s="1"/>
  <c r="D95" i="11"/>
  <c r="D97" s="1"/>
  <c r="L100" i="10" s="1"/>
  <c r="E101" i="11"/>
  <c r="E103" s="1"/>
  <c r="M109" i="10" s="1"/>
  <c r="W95" i="11"/>
  <c r="W97" s="1"/>
  <c r="AE100" i="10" s="1"/>
  <c r="N95" i="11"/>
  <c r="N97" s="1"/>
  <c r="V100" i="10" s="1"/>
  <c r="F101" i="11"/>
  <c r="F103" s="1"/>
  <c r="N109" i="10" s="1"/>
  <c r="AF101" i="11"/>
  <c r="AF103" s="1"/>
  <c r="AN109" i="10" s="1"/>
  <c r="AD95" i="11"/>
  <c r="AD97" s="1"/>
  <c r="AL100" i="10" s="1"/>
  <c r="W101" i="11"/>
  <c r="W103" s="1"/>
  <c r="AE109" i="10" s="1"/>
  <c r="N101" i="11"/>
  <c r="N103" s="1"/>
  <c r="V109" i="10" s="1"/>
  <c r="T120" i="11"/>
  <c r="T144"/>
  <c r="K126"/>
  <c r="X96"/>
  <c r="X108"/>
  <c r="X102"/>
  <c r="X114"/>
  <c r="X138"/>
  <c r="S120"/>
  <c r="S144"/>
  <c r="K96"/>
  <c r="S114"/>
  <c r="S138"/>
  <c r="T114"/>
  <c r="T138"/>
  <c r="K120"/>
  <c r="K144"/>
  <c r="T102"/>
  <c r="AD102"/>
  <c r="G102"/>
  <c r="Q108"/>
  <c r="Q114"/>
  <c r="Q120"/>
  <c r="Q126"/>
  <c r="Q132"/>
  <c r="Q138"/>
  <c r="Q144"/>
  <c r="P108"/>
  <c r="P114"/>
  <c r="P120"/>
  <c r="P126"/>
  <c r="P132"/>
  <c r="P138"/>
  <c r="P144"/>
  <c r="O108"/>
  <c r="O114"/>
  <c r="O120"/>
  <c r="O126"/>
  <c r="O132"/>
  <c r="O138"/>
  <c r="O144"/>
  <c r="N108"/>
  <c r="N114"/>
  <c r="N120"/>
  <c r="N126"/>
  <c r="N132"/>
  <c r="N138"/>
  <c r="N144"/>
  <c r="M96"/>
  <c r="M102"/>
  <c r="L96"/>
  <c r="L102"/>
  <c r="N96"/>
  <c r="Z102"/>
  <c r="AA102"/>
  <c r="AC108"/>
  <c r="AC114"/>
  <c r="AC120"/>
  <c r="AC126"/>
  <c r="AC132"/>
  <c r="AC138"/>
  <c r="AC144"/>
  <c r="AB108"/>
  <c r="AB114"/>
  <c r="AB120"/>
  <c r="AB126"/>
  <c r="AB132"/>
  <c r="AB138"/>
  <c r="AB144"/>
  <c r="AA114"/>
  <c r="AA126"/>
  <c r="AA138"/>
  <c r="J108"/>
  <c r="J114"/>
  <c r="J120"/>
  <c r="J126"/>
  <c r="J132"/>
  <c r="J138"/>
  <c r="J144"/>
  <c r="I96"/>
  <c r="I98" s="1"/>
  <c r="Q101" i="10" s="1"/>
  <c r="V102" i="11"/>
  <c r="I108"/>
  <c r="I120"/>
  <c r="I132"/>
  <c r="I144"/>
  <c r="H114"/>
  <c r="H126"/>
  <c r="H138"/>
  <c r="G108"/>
  <c r="G114"/>
  <c r="G120"/>
  <c r="G126"/>
  <c r="G132"/>
  <c r="G138"/>
  <c r="G144"/>
  <c r="F108"/>
  <c r="F114"/>
  <c r="F120"/>
  <c r="T118"/>
  <c r="T142"/>
  <c r="K124"/>
  <c r="X94"/>
  <c r="X99" s="1"/>
  <c r="AF102" i="10" s="1"/>
  <c r="X118" i="11"/>
  <c r="S112"/>
  <c r="S117" s="1"/>
  <c r="AA129" i="10" s="1"/>
  <c r="S136" i="11"/>
  <c r="K100"/>
  <c r="X112"/>
  <c r="X136"/>
  <c r="X141" s="1"/>
  <c r="AF165" i="10" s="1"/>
  <c r="S118" i="11"/>
  <c r="S142"/>
  <c r="T112"/>
  <c r="T136"/>
  <c r="K118"/>
  <c r="K142"/>
  <c r="X100"/>
  <c r="K94"/>
  <c r="AD100"/>
  <c r="AD104" s="1"/>
  <c r="AL110" i="10" s="1"/>
  <c r="R100" i="11"/>
  <c r="U94"/>
  <c r="U99" s="1"/>
  <c r="AC102" i="10" s="1"/>
  <c r="F100" i="11"/>
  <c r="G100"/>
  <c r="D100"/>
  <c r="Q100"/>
  <c r="J100"/>
  <c r="AC94"/>
  <c r="AF100"/>
  <c r="J94"/>
  <c r="O94"/>
  <c r="O100"/>
  <c r="Q94"/>
  <c r="R94"/>
  <c r="Z94"/>
  <c r="AG100"/>
  <c r="AE94"/>
  <c r="R142"/>
  <c r="R136"/>
  <c r="R130"/>
  <c r="R124"/>
  <c r="R118"/>
  <c r="R112"/>
  <c r="R106"/>
  <c r="C142"/>
  <c r="C130"/>
  <c r="C118"/>
  <c r="C106"/>
  <c r="D136"/>
  <c r="D124"/>
  <c r="D112"/>
  <c r="U142"/>
  <c r="U136"/>
  <c r="U130"/>
  <c r="U124"/>
  <c r="U118"/>
  <c r="U112"/>
  <c r="U106"/>
  <c r="H94"/>
  <c r="V142"/>
  <c r="V136"/>
  <c r="V130"/>
  <c r="V124"/>
  <c r="V118"/>
  <c r="V112"/>
  <c r="V106"/>
  <c r="W142"/>
  <c r="W136"/>
  <c r="W130"/>
  <c r="W124"/>
  <c r="W118"/>
  <c r="W112"/>
  <c r="W106"/>
  <c r="H142"/>
  <c r="H130"/>
  <c r="H118"/>
  <c r="H106"/>
  <c r="I136"/>
  <c r="I124"/>
  <c r="I112"/>
  <c r="L94"/>
  <c r="G94"/>
  <c r="Z142"/>
  <c r="Z136"/>
  <c r="Z130"/>
  <c r="Z124"/>
  <c r="Z118"/>
  <c r="Z112"/>
  <c r="Z106"/>
  <c r="AA142"/>
  <c r="AA130"/>
  <c r="AA118"/>
  <c r="AA106"/>
  <c r="L142"/>
  <c r="L136"/>
  <c r="L130"/>
  <c r="L134" s="1"/>
  <c r="T155" i="10" s="1"/>
  <c r="L124" i="11"/>
  <c r="L118"/>
  <c r="L112"/>
  <c r="L106"/>
  <c r="M142"/>
  <c r="M136"/>
  <c r="M130"/>
  <c r="M124"/>
  <c r="M118"/>
  <c r="M112"/>
  <c r="M106"/>
  <c r="AA100"/>
  <c r="AB100"/>
  <c r="N94"/>
  <c r="N98" s="1"/>
  <c r="V101" i="10" s="1"/>
  <c r="M100" i="11"/>
  <c r="M105" s="1"/>
  <c r="U111" i="10" s="1"/>
  <c r="AB94" i="11"/>
  <c r="AD142"/>
  <c r="AD136"/>
  <c r="AD130"/>
  <c r="AD124"/>
  <c r="AD118"/>
  <c r="AD112"/>
  <c r="AD106"/>
  <c r="AE142"/>
  <c r="AE136"/>
  <c r="AE130"/>
  <c r="AE124"/>
  <c r="AE118"/>
  <c r="AE112"/>
  <c r="AE106"/>
  <c r="AF142"/>
  <c r="AF136"/>
  <c r="AF130"/>
  <c r="AF124"/>
  <c r="AF118"/>
  <c r="AF112"/>
  <c r="AF106"/>
  <c r="AG142"/>
  <c r="AG136"/>
  <c r="AG130"/>
  <c r="AG124"/>
  <c r="AG118"/>
  <c r="AG112"/>
  <c r="AG106"/>
  <c r="D94"/>
  <c r="J96"/>
  <c r="R96"/>
  <c r="V96"/>
  <c r="D102"/>
  <c r="Q102"/>
  <c r="F96"/>
  <c r="G96"/>
  <c r="U102"/>
  <c r="E96"/>
  <c r="P102"/>
  <c r="E102"/>
  <c r="O96"/>
  <c r="H96"/>
  <c r="I102"/>
  <c r="R144"/>
  <c r="R138"/>
  <c r="R132"/>
  <c r="R126"/>
  <c r="R120"/>
  <c r="R114"/>
  <c r="R108"/>
  <c r="C144"/>
  <c r="C132"/>
  <c r="C120"/>
  <c r="C108"/>
  <c r="D138"/>
  <c r="D126"/>
  <c r="D114"/>
  <c r="U144"/>
  <c r="U138"/>
  <c r="U132"/>
  <c r="U126"/>
  <c r="U120"/>
  <c r="U114"/>
  <c r="U108"/>
  <c r="O102"/>
  <c r="R102"/>
  <c r="F144"/>
  <c r="F138"/>
  <c r="F132"/>
  <c r="F126"/>
  <c r="V114"/>
  <c r="W144"/>
  <c r="W132"/>
  <c r="W120"/>
  <c r="W108"/>
  <c r="H132"/>
  <c r="H108"/>
  <c r="I126"/>
  <c r="W102"/>
  <c r="Z144"/>
  <c r="Z132"/>
  <c r="Z120"/>
  <c r="Z108"/>
  <c r="AA132"/>
  <c r="AA108"/>
  <c r="L138"/>
  <c r="L126"/>
  <c r="L114"/>
  <c r="M144"/>
  <c r="M132"/>
  <c r="M120"/>
  <c r="M108"/>
  <c r="J102"/>
  <c r="AB96"/>
  <c r="AC96"/>
  <c r="AD138"/>
  <c r="AD126"/>
  <c r="AD114"/>
  <c r="AE144"/>
  <c r="AE132"/>
  <c r="AE120"/>
  <c r="AE108"/>
  <c r="AF138"/>
  <c r="AF126"/>
  <c r="AF114"/>
  <c r="AG144"/>
  <c r="AG132"/>
  <c r="AG120"/>
  <c r="AG108"/>
  <c r="AB102"/>
  <c r="B101"/>
  <c r="B103" s="1"/>
  <c r="J109" i="10" s="1"/>
  <c r="F95" i="11"/>
  <c r="F97" s="1"/>
  <c r="N100" i="10" s="1"/>
  <c r="AE101" i="11"/>
  <c r="AE103" s="1"/>
  <c r="AM109" i="10" s="1"/>
  <c r="G95" i="11"/>
  <c r="G97" s="1"/>
  <c r="O100" i="10" s="1"/>
  <c r="B95" i="11"/>
  <c r="R95"/>
  <c r="R97" s="1"/>
  <c r="Z100" i="10" s="1"/>
  <c r="Z97" s="1"/>
  <c r="P95" i="11"/>
  <c r="P97" s="1"/>
  <c r="X100" i="10" s="1"/>
  <c r="O95" i="11"/>
  <c r="O97" s="1"/>
  <c r="W100" i="10" s="1"/>
  <c r="H101" i="11"/>
  <c r="H103" s="1"/>
  <c r="P109" i="10" s="1"/>
  <c r="B143" i="11"/>
  <c r="B145" s="1"/>
  <c r="J172" i="10" s="1"/>
  <c r="B131" i="11"/>
  <c r="B133" s="1"/>
  <c r="J154" i="10" s="1"/>
  <c r="B119" i="11"/>
  <c r="B121" s="1"/>
  <c r="J136" i="10" s="1"/>
  <c r="B107" i="11"/>
  <c r="B109" s="1"/>
  <c r="J118" i="10" s="1"/>
  <c r="C125" i="11"/>
  <c r="C127" s="1"/>
  <c r="K145" i="10" s="1"/>
  <c r="D143" i="11"/>
  <c r="D145" s="1"/>
  <c r="L172" i="10" s="1"/>
  <c r="D119" i="11"/>
  <c r="D121" s="1"/>
  <c r="L136" i="10" s="1"/>
  <c r="E143" i="11"/>
  <c r="E145" s="1"/>
  <c r="M172" i="10" s="1"/>
  <c r="E131" i="11"/>
  <c r="E133" s="1"/>
  <c r="M154" i="10" s="1"/>
  <c r="E119" i="11"/>
  <c r="E121" s="1"/>
  <c r="M136" i="10" s="1"/>
  <c r="E107" i="11"/>
  <c r="E109" s="1"/>
  <c r="M118" i="10" s="1"/>
  <c r="F143" i="11"/>
  <c r="F145" s="1"/>
  <c r="N172" i="10" s="1"/>
  <c r="F131" i="11"/>
  <c r="F133" s="1"/>
  <c r="N154" i="10" s="1"/>
  <c r="F119" i="11"/>
  <c r="F121" s="1"/>
  <c r="N136" i="10" s="1"/>
  <c r="F107" i="11"/>
  <c r="F109" s="1"/>
  <c r="N118" i="10" s="1"/>
  <c r="G137" i="11"/>
  <c r="G139" s="1"/>
  <c r="O163" i="10" s="1"/>
  <c r="G125" i="11"/>
  <c r="G127" s="1"/>
  <c r="O145" i="10" s="1"/>
  <c r="G113" i="11"/>
  <c r="G115" s="1"/>
  <c r="O127" i="10" s="1"/>
  <c r="H137" i="11"/>
  <c r="H139" s="1"/>
  <c r="P163" i="10" s="1"/>
  <c r="H113" i="11"/>
  <c r="H115" s="1"/>
  <c r="P127" i="10" s="1"/>
  <c r="I131" i="11"/>
  <c r="I133" s="1"/>
  <c r="Q154" i="10" s="1"/>
  <c r="I107" i="11"/>
  <c r="I109" s="1"/>
  <c r="Q118" i="10" s="1"/>
  <c r="Z143" i="11"/>
  <c r="Z145" s="1"/>
  <c r="AH172" i="10" s="1"/>
  <c r="Z131" i="11"/>
  <c r="Z133" s="1"/>
  <c r="AH154" i="10" s="1"/>
  <c r="Z119" i="11"/>
  <c r="Z121" s="1"/>
  <c r="AH136" i="10" s="1"/>
  <c r="Z107" i="11"/>
  <c r="Z109" s="1"/>
  <c r="AH118" i="10" s="1"/>
  <c r="AA131" i="11"/>
  <c r="AA133" s="1"/>
  <c r="AI154" i="10" s="1"/>
  <c r="AA107" i="11"/>
  <c r="AA109" s="1"/>
  <c r="AI118" i="10" s="1"/>
  <c r="L137" i="11"/>
  <c r="L139" s="1"/>
  <c r="T163" i="10" s="1"/>
  <c r="L125" i="11"/>
  <c r="L127" s="1"/>
  <c r="T145" i="10" s="1"/>
  <c r="L113" i="11"/>
  <c r="L115" s="1"/>
  <c r="T127" i="10" s="1"/>
  <c r="M143" i="11"/>
  <c r="M145" s="1"/>
  <c r="U172" i="10" s="1"/>
  <c r="M131" i="11"/>
  <c r="M133" s="1"/>
  <c r="U154" i="10" s="1"/>
  <c r="M119" i="11"/>
  <c r="M121" s="1"/>
  <c r="U136" i="10" s="1"/>
  <c r="M107" i="11"/>
  <c r="M109" s="1"/>
  <c r="U118" i="10" s="1"/>
  <c r="Z95" i="11"/>
  <c r="Z97" s="1"/>
  <c r="AH100" i="10" s="1"/>
  <c r="AA95" i="11"/>
  <c r="AA97" s="1"/>
  <c r="AI100" i="10" s="1"/>
  <c r="L95" i="11"/>
  <c r="L97" s="1"/>
  <c r="T100" i="10" s="1"/>
  <c r="N137" i="11"/>
  <c r="N139" s="1"/>
  <c r="V163" i="10" s="1"/>
  <c r="N125" i="11"/>
  <c r="N127" s="1"/>
  <c r="V145" i="10" s="1"/>
  <c r="N113" i="11"/>
  <c r="N115" s="1"/>
  <c r="V127" i="10" s="1"/>
  <c r="O143" i="11"/>
  <c r="O145" s="1"/>
  <c r="W172" i="10" s="1"/>
  <c r="O131" i="11"/>
  <c r="O133" s="1"/>
  <c r="W154" i="10" s="1"/>
  <c r="O119" i="11"/>
  <c r="O121" s="1"/>
  <c r="W136" i="10" s="1"/>
  <c r="O107" i="11"/>
  <c r="O109" s="1"/>
  <c r="W118" i="10" s="1"/>
  <c r="P137" i="11"/>
  <c r="P139" s="1"/>
  <c r="X163" i="10" s="1"/>
  <c r="P125" i="11"/>
  <c r="P127" s="1"/>
  <c r="X145" i="10" s="1"/>
  <c r="P113" i="11"/>
  <c r="P115" s="1"/>
  <c r="X127" i="10" s="1"/>
  <c r="Q143" i="11"/>
  <c r="Q145" s="1"/>
  <c r="Y172" i="10" s="1"/>
  <c r="Q131" i="11"/>
  <c r="Q133" s="1"/>
  <c r="Y154" i="10" s="1"/>
  <c r="Q119" i="11"/>
  <c r="Q121" s="1"/>
  <c r="Y136" i="10" s="1"/>
  <c r="Q107" i="11"/>
  <c r="Q109" s="1"/>
  <c r="Y118" i="10" s="1"/>
  <c r="X132" i="11"/>
  <c r="K108"/>
  <c r="S102"/>
  <c r="X120"/>
  <c r="S132"/>
  <c r="X126"/>
  <c r="X144"/>
  <c r="K138"/>
  <c r="T132"/>
  <c r="S143"/>
  <c r="S145" s="1"/>
  <c r="AA172" i="10" s="1"/>
  <c r="X125" i="11"/>
  <c r="X127" s="1"/>
  <c r="AF145" i="10" s="1"/>
  <c r="K113" i="11"/>
  <c r="K115" s="1"/>
  <c r="S127" i="10" s="1"/>
  <c r="T107" i="11"/>
  <c r="T109" s="1"/>
  <c r="AB118" i="10" s="1"/>
  <c r="S137" i="11"/>
  <c r="S139" s="1"/>
  <c r="AA163" i="10" s="1"/>
  <c r="X131" i="11"/>
  <c r="X133" s="1"/>
  <c r="AF154" i="10" s="1"/>
  <c r="X113" i="11"/>
  <c r="X115" s="1"/>
  <c r="AF127" i="10" s="1"/>
  <c r="K143" i="11"/>
  <c r="K145" s="1"/>
  <c r="S172" i="10" s="1"/>
  <c r="T137" i="11"/>
  <c r="T139" s="1"/>
  <c r="AB163" i="10" s="1"/>
  <c r="S100" i="11"/>
  <c r="S104" s="1"/>
  <c r="AA110" i="10" s="1"/>
  <c r="K130" i="11"/>
  <c r="T124"/>
  <c r="T129" s="1"/>
  <c r="AB147" i="10" s="1"/>
  <c r="S130" i="11"/>
  <c r="X124"/>
  <c r="T100"/>
  <c r="X130"/>
  <c r="X135" s="1"/>
  <c r="AF156" i="10" s="1"/>
  <c r="K136" i="11"/>
  <c r="K141" s="1"/>
  <c r="S165" i="10" s="1"/>
  <c r="T130" i="11"/>
  <c r="T134" s="1"/>
  <c r="AB155" i="10" s="1"/>
  <c r="K110" i="11"/>
  <c r="S119" i="10" s="1"/>
  <c r="T111" i="11"/>
  <c r="AB120" i="10" s="1"/>
  <c r="K1" i="11"/>
  <c r="J59"/>
  <c r="J92"/>
  <c r="R99" i="10" s="1"/>
  <c r="C233"/>
  <c r="C265" s="1"/>
  <c r="C327"/>
  <c r="D356"/>
  <c r="C451"/>
  <c r="C296"/>
  <c r="C358"/>
  <c r="D325"/>
  <c r="D201"/>
  <c r="D232"/>
  <c r="C389"/>
  <c r="D294"/>
  <c r="D263"/>
  <c r="D418"/>
  <c r="D387"/>
  <c r="C420"/>
  <c r="D449"/>
  <c r="C202"/>
  <c r="R45"/>
  <c r="AB127"/>
  <c r="Y163"/>
  <c r="Q56"/>
  <c r="R54"/>
  <c r="Q49"/>
  <c r="R48"/>
  <c r="Q44"/>
  <c r="R44"/>
  <c r="Q59"/>
  <c r="R58"/>
  <c r="Q61"/>
  <c r="Q60"/>
  <c r="R55"/>
  <c r="R53"/>
  <c r="R52"/>
  <c r="R51"/>
  <c r="Q50"/>
  <c r="R47"/>
  <c r="Q51"/>
  <c r="Q46"/>
  <c r="R57"/>
  <c r="Q45"/>
  <c r="Q58"/>
  <c r="Q54"/>
  <c r="U54" s="1"/>
  <c r="Q55"/>
  <c r="U55" s="1"/>
  <c r="Q57"/>
  <c r="R60"/>
  <c r="R49"/>
  <c r="R46"/>
  <c r="R59"/>
  <c r="R61"/>
  <c r="R56"/>
  <c r="Q53"/>
  <c r="R50"/>
  <c r="Q52"/>
  <c r="U52" s="1"/>
  <c r="Q47"/>
  <c r="V15"/>
  <c r="W15"/>
  <c r="X15"/>
  <c r="D30"/>
  <c r="D52" s="1"/>
  <c r="B30"/>
  <c r="C30"/>
  <c r="F37" s="1" a="1"/>
  <c r="Y30"/>
  <c r="B51"/>
  <c r="D51"/>
  <c r="AL97" l="1"/>
  <c r="AI97"/>
  <c r="W97"/>
  <c r="O97"/>
  <c r="N97"/>
  <c r="V97"/>
  <c r="AM97"/>
  <c r="K97"/>
  <c r="AC97"/>
  <c r="R97"/>
  <c r="Y97"/>
  <c r="AA97"/>
  <c r="T97"/>
  <c r="AH97"/>
  <c r="X97"/>
  <c r="AE97"/>
  <c r="L97"/>
  <c r="P97"/>
  <c r="AJ97"/>
  <c r="S97"/>
  <c r="AB97"/>
  <c r="AF97"/>
  <c r="Q97"/>
  <c r="AD97"/>
  <c r="U97"/>
  <c r="M97"/>
  <c r="AN97"/>
  <c r="D104" i="11"/>
  <c r="L110" i="10" s="1"/>
  <c r="B203"/>
  <c r="B234"/>
  <c r="B266" s="1"/>
  <c r="B298" s="1"/>
  <c r="B330" s="1"/>
  <c r="B362" s="1"/>
  <c r="B394" s="1"/>
  <c r="B426" s="1"/>
  <c r="B458" s="1"/>
  <c r="A204"/>
  <c r="A235"/>
  <c r="A267" s="1"/>
  <c r="A299" s="1"/>
  <c r="A331" s="1"/>
  <c r="A363" s="1"/>
  <c r="A395" s="1"/>
  <c r="A427" s="1"/>
  <c r="A459" s="1"/>
  <c r="AG117" i="11"/>
  <c r="AO129" i="10" s="1"/>
  <c r="AG129" i="11"/>
  <c r="AO147" i="10" s="1"/>
  <c r="AG141" i="11"/>
  <c r="AO165" i="10" s="1"/>
  <c r="AG104" i="11"/>
  <c r="AO110" i="10" s="1"/>
  <c r="AG110" i="11"/>
  <c r="AO119" i="10" s="1"/>
  <c r="AG122" i="11"/>
  <c r="AO137" i="10" s="1"/>
  <c r="AG134" i="11"/>
  <c r="AO155" i="10" s="1"/>
  <c r="AG146" i="11"/>
  <c r="AO173" i="10" s="1"/>
  <c r="AG99" i="11"/>
  <c r="AO102" i="10" s="1"/>
  <c r="AF111" i="11"/>
  <c r="AN120" i="10" s="1"/>
  <c r="AF123" i="11"/>
  <c r="AN138" i="10" s="1"/>
  <c r="AF135" i="11"/>
  <c r="AN156" i="10" s="1"/>
  <c r="AF147" i="11"/>
  <c r="AN174" i="10" s="1"/>
  <c r="AF104" i="11"/>
  <c r="AN110" i="10" s="1"/>
  <c r="AF116" i="11"/>
  <c r="AN128" i="10" s="1"/>
  <c r="AF128" i="11"/>
  <c r="AN146" i="10" s="1"/>
  <c r="AF140" i="11"/>
  <c r="AN164" i="10" s="1"/>
  <c r="AF99" i="11"/>
  <c r="AN102" i="10" s="1"/>
  <c r="AE117" i="11"/>
  <c r="AM129" i="10" s="1"/>
  <c r="AE129" i="11"/>
  <c r="AM147" i="10" s="1"/>
  <c r="AE141" i="11"/>
  <c r="AM165" i="10" s="1"/>
  <c r="AE99" i="11"/>
  <c r="AM102" i="10" s="1"/>
  <c r="AE110" i="11"/>
  <c r="AM119" i="10" s="1"/>
  <c r="AE122" i="11"/>
  <c r="AM137" i="10" s="1"/>
  <c r="AE134" i="11"/>
  <c r="AM155" i="10" s="1"/>
  <c r="AE146" i="11"/>
  <c r="AM173" i="10" s="1"/>
  <c r="AE104" i="11"/>
  <c r="AM110" i="10" s="1"/>
  <c r="AD128" i="11"/>
  <c r="AL146" i="10" s="1"/>
  <c r="AD116" i="11"/>
  <c r="AL128" i="10" s="1"/>
  <c r="AD140" i="11"/>
  <c r="AL164" i="10" s="1"/>
  <c r="AD111" i="11"/>
  <c r="AL120" i="10" s="1"/>
  <c r="AD123" i="11"/>
  <c r="AL138" i="10" s="1"/>
  <c r="AD135" i="11"/>
  <c r="AL156" i="10" s="1"/>
  <c r="AD147" i="11"/>
  <c r="AL174" i="10" s="1"/>
  <c r="AD99" i="11"/>
  <c r="AL102" i="10" s="1"/>
  <c r="AC122" i="11"/>
  <c r="AK137" i="10" s="1"/>
  <c r="AC129" i="11"/>
  <c r="AK147" i="10" s="1"/>
  <c r="AC105" i="11"/>
  <c r="AK111" i="10" s="1"/>
  <c r="AC134" i="11"/>
  <c r="AK155" i="10" s="1"/>
  <c r="AC146" i="11"/>
  <c r="AK173" i="10" s="1"/>
  <c r="AC117" i="11"/>
  <c r="AK129" i="10" s="1"/>
  <c r="AC141" i="11"/>
  <c r="AK165" i="10" s="1"/>
  <c r="AC110" i="11"/>
  <c r="AK119" i="10" s="1"/>
  <c r="AB98" i="11"/>
  <c r="AJ101" i="10" s="1"/>
  <c r="AB110" i="11"/>
  <c r="AJ119" i="10" s="1"/>
  <c r="AB135" i="11"/>
  <c r="AJ156" i="10" s="1"/>
  <c r="AB140" i="11"/>
  <c r="AJ164" i="10" s="1"/>
  <c r="AB104" i="11"/>
  <c r="AJ110" i="10" s="1"/>
  <c r="AB123" i="11"/>
  <c r="AJ138" i="10" s="1"/>
  <c r="AB147" i="11"/>
  <c r="AJ174" i="10" s="1"/>
  <c r="AB116" i="11"/>
  <c r="AJ128" i="10" s="1"/>
  <c r="AB128" i="11"/>
  <c r="AJ146" i="10" s="1"/>
  <c r="AA104" i="11"/>
  <c r="AI110" i="10" s="1"/>
  <c r="AA122" i="11"/>
  <c r="AI137" i="10" s="1"/>
  <c r="AA146" i="11"/>
  <c r="AI173" i="10" s="1"/>
  <c r="AA98" i="11"/>
  <c r="AI101" i="10" s="1"/>
  <c r="AA128" i="11"/>
  <c r="AI146" i="10" s="1"/>
  <c r="AA110" i="11"/>
  <c r="AI119" i="10" s="1"/>
  <c r="AA135" i="11"/>
  <c r="AI156" i="10" s="1"/>
  <c r="AA140" i="11"/>
  <c r="AI164" i="10" s="1"/>
  <c r="AA116" i="11"/>
  <c r="AI128" i="10" s="1"/>
  <c r="Z116" i="11"/>
  <c r="AH128" i="10" s="1"/>
  <c r="Z128" i="11"/>
  <c r="AH146" i="10" s="1"/>
  <c r="Z141" i="11"/>
  <c r="AH165" i="10" s="1"/>
  <c r="Z110" i="11"/>
  <c r="AH119" i="10" s="1"/>
  <c r="Z123" i="11"/>
  <c r="AH138" i="10" s="1"/>
  <c r="Z134" i="11"/>
  <c r="AH155" i="10" s="1"/>
  <c r="Z147" i="11"/>
  <c r="AH174" i="10" s="1"/>
  <c r="Z105" i="11"/>
  <c r="AH111" i="10" s="1"/>
  <c r="Z104" i="11"/>
  <c r="AH110" i="10" s="1"/>
  <c r="X104" i="11"/>
  <c r="AF110" i="10" s="1"/>
  <c r="X147" i="11"/>
  <c r="AF174" i="10" s="1"/>
  <c r="X111" i="11"/>
  <c r="AF120" i="10" s="1"/>
  <c r="W135" i="11"/>
  <c r="AE156" i="10" s="1"/>
  <c r="W116" i="11"/>
  <c r="AE128" i="10" s="1"/>
  <c r="W128" i="11"/>
  <c r="AE146" i="10" s="1"/>
  <c r="W140" i="11"/>
  <c r="AE164" i="10" s="1"/>
  <c r="W110" i="11"/>
  <c r="AE119" i="10" s="1"/>
  <c r="W123" i="11"/>
  <c r="AE138" i="10" s="1"/>
  <c r="W146" i="11"/>
  <c r="AE173" i="10" s="1"/>
  <c r="W99" i="11"/>
  <c r="AE102" i="10" s="1"/>
  <c r="V110" i="11"/>
  <c r="AD119" i="10" s="1"/>
  <c r="V122" i="11"/>
  <c r="AD137" i="10" s="1"/>
  <c r="V134" i="11"/>
  <c r="AD155" i="10" s="1"/>
  <c r="V146" i="11"/>
  <c r="AD173" i="10" s="1"/>
  <c r="V98" i="11"/>
  <c r="AD101" i="10" s="1"/>
  <c r="V104" i="11"/>
  <c r="AD110" i="10" s="1"/>
  <c r="V117" i="11"/>
  <c r="AD129" i="10" s="1"/>
  <c r="V128" i="11"/>
  <c r="AD146" i="10" s="1"/>
  <c r="V140" i="11"/>
  <c r="AD164" i="10" s="1"/>
  <c r="U117" i="11"/>
  <c r="AC129" i="10" s="1"/>
  <c r="U110" i="11"/>
  <c r="AC119" i="10" s="1"/>
  <c r="U122" i="11"/>
  <c r="AC137" i="10" s="1"/>
  <c r="U134" i="11"/>
  <c r="AC155" i="10" s="1"/>
  <c r="U146" i="11"/>
  <c r="AC173" i="10" s="1"/>
  <c r="U105" i="11"/>
  <c r="AC111" i="10" s="1"/>
  <c r="U129" i="11"/>
  <c r="AC147" i="10" s="1"/>
  <c r="U140" i="11"/>
  <c r="AC164" i="10" s="1"/>
  <c r="T104" i="11"/>
  <c r="AB110" i="10" s="1"/>
  <c r="T147" i="11"/>
  <c r="AB174" i="10" s="1"/>
  <c r="T110" i="11"/>
  <c r="AB119" i="10" s="1"/>
  <c r="AB123" s="1"/>
  <c r="T99" i="11"/>
  <c r="AB102" i="10" s="1"/>
  <c r="T117" i="11"/>
  <c r="AB129" i="10" s="1"/>
  <c r="T122" i="11"/>
  <c r="AB137" i="10" s="1"/>
  <c r="T98" i="11"/>
  <c r="AB101" i="10" s="1"/>
  <c r="S99" i="11"/>
  <c r="AA102" i="10" s="1"/>
  <c r="S98" i="11"/>
  <c r="AA101" i="10" s="1"/>
  <c r="S135" i="11"/>
  <c r="AA156" i="10" s="1"/>
  <c r="S123" i="11"/>
  <c r="AA138" i="10" s="1"/>
  <c r="S140" i="11"/>
  <c r="AA164" i="10" s="1"/>
  <c r="S110" i="11"/>
  <c r="AA119" i="10" s="1"/>
  <c r="S146" i="11"/>
  <c r="AA173" i="10" s="1"/>
  <c r="S128" i="11"/>
  <c r="AA146" i="10" s="1"/>
  <c r="R116" i="11"/>
  <c r="Z128" i="10" s="1"/>
  <c r="R129" i="11"/>
  <c r="Z147" i="10" s="1"/>
  <c r="R141" i="11"/>
  <c r="Z165" i="10" s="1"/>
  <c r="R104" i="11"/>
  <c r="Z110" i="10" s="1"/>
  <c r="R110" i="11"/>
  <c r="Z119" i="10" s="1"/>
  <c r="R122" i="11"/>
  <c r="Z137" i="10" s="1"/>
  <c r="R134" i="11"/>
  <c r="Z155" i="10" s="1"/>
  <c r="R146" i="11"/>
  <c r="Z173" i="10" s="1"/>
  <c r="Q98" i="11"/>
  <c r="Y101" i="10" s="1"/>
  <c r="Q134" i="11"/>
  <c r="Y155" i="10" s="1"/>
  <c r="Q105" i="11"/>
  <c r="Y111" i="10" s="1"/>
  <c r="Q116" i="11"/>
  <c r="Y128" i="10" s="1"/>
  <c r="Q141" i="11"/>
  <c r="Y165" i="10" s="1"/>
  <c r="Q147" i="11"/>
  <c r="Y174" i="10" s="1"/>
  <c r="Q122" i="11"/>
  <c r="Y137" i="10" s="1"/>
  <c r="Q110" i="11"/>
  <c r="Y119" i="10" s="1"/>
  <c r="P111" i="11"/>
  <c r="X120" i="10" s="1"/>
  <c r="P105" i="11"/>
  <c r="X111" i="10" s="1"/>
  <c r="P128" i="11"/>
  <c r="X146" i="10" s="1"/>
  <c r="P140" i="11"/>
  <c r="X164" i="10" s="1"/>
  <c r="P122" i="11"/>
  <c r="X137" i="10" s="1"/>
  <c r="P147" i="11"/>
  <c r="X174" i="10" s="1"/>
  <c r="P98" i="11"/>
  <c r="X101" i="10" s="1"/>
  <c r="P116" i="11"/>
  <c r="X128" i="10" s="1"/>
  <c r="O146" i="11"/>
  <c r="W173" i="10" s="1"/>
  <c r="O105" i="11"/>
  <c r="W111" i="10" s="1"/>
  <c r="O128" i="11"/>
  <c r="W146" i="10" s="1"/>
  <c r="O111" i="11"/>
  <c r="W120" i="10" s="1"/>
  <c r="O99" i="11"/>
  <c r="W102" i="10" s="1"/>
  <c r="O117" i="11"/>
  <c r="W129" i="10" s="1"/>
  <c r="O135" i="11"/>
  <c r="W156" i="10" s="1"/>
  <c r="O122" i="11"/>
  <c r="W137" i="10" s="1"/>
  <c r="N104" i="11"/>
  <c r="V110" i="10" s="1"/>
  <c r="N123" i="11"/>
  <c r="V138" i="10" s="1"/>
  <c r="N141" i="11"/>
  <c r="V165" i="10" s="1"/>
  <c r="N111" i="11"/>
  <c r="V120" i="10" s="1"/>
  <c r="N134" i="11"/>
  <c r="V155" i="10" s="1"/>
  <c r="N117" i="11"/>
  <c r="V129" i="10" s="1"/>
  <c r="N128" i="11"/>
  <c r="V146" i="10" s="1"/>
  <c r="M98" i="11"/>
  <c r="U101" i="10" s="1"/>
  <c r="M99" i="11"/>
  <c r="U102" i="10" s="1"/>
  <c r="M116" i="11"/>
  <c r="U128" i="10" s="1"/>
  <c r="M128" i="11"/>
  <c r="U146" i="10" s="1"/>
  <c r="M140" i="11"/>
  <c r="U164" i="10" s="1"/>
  <c r="M111" i="11"/>
  <c r="U120" i="10" s="1"/>
  <c r="M122" i="11"/>
  <c r="U137" i="10" s="1"/>
  <c r="M135" i="11"/>
  <c r="U156" i="10" s="1"/>
  <c r="M146" i="11"/>
  <c r="U173" i="10" s="1"/>
  <c r="L111" i="11"/>
  <c r="T120" i="10" s="1"/>
  <c r="L122" i="11"/>
  <c r="T137" i="10" s="1"/>
  <c r="L146" i="11"/>
  <c r="T173" i="10" s="1"/>
  <c r="L117" i="11"/>
  <c r="T129" i="10" s="1"/>
  <c r="L128" i="11"/>
  <c r="T146" i="10" s="1"/>
  <c r="L141" i="11"/>
  <c r="T165" i="10" s="1"/>
  <c r="L98" i="11"/>
  <c r="T101" i="10" s="1"/>
  <c r="K134" i="11"/>
  <c r="S155" i="10" s="1"/>
  <c r="K98" i="11"/>
  <c r="S101" i="10" s="1"/>
  <c r="K105" i="11"/>
  <c r="S111" i="10" s="1"/>
  <c r="J116" i="11"/>
  <c r="R128" i="10" s="1"/>
  <c r="K117" i="11"/>
  <c r="S129" i="10" s="1"/>
  <c r="K122" i="11"/>
  <c r="S137" i="10" s="1"/>
  <c r="K128" i="11"/>
  <c r="S146" i="10" s="1"/>
  <c r="K146" i="11"/>
  <c r="S173" i="10" s="1"/>
  <c r="F146" i="11"/>
  <c r="N173" i="10" s="1"/>
  <c r="J128" i="11"/>
  <c r="R146" i="10" s="1"/>
  <c r="J140" i="11"/>
  <c r="R164" i="10" s="1"/>
  <c r="J98" i="11"/>
  <c r="R101" i="10" s="1"/>
  <c r="J123" i="11"/>
  <c r="R138" i="10" s="1"/>
  <c r="J147" i="11"/>
  <c r="R174" i="10" s="1"/>
  <c r="J105" i="11"/>
  <c r="R111" i="10" s="1"/>
  <c r="J111" i="11"/>
  <c r="R120" i="10" s="1"/>
  <c r="J135" i="11"/>
  <c r="R156" i="10" s="1"/>
  <c r="I105" i="11"/>
  <c r="Q111" i="10" s="1"/>
  <c r="I116" i="11"/>
  <c r="Q128" i="10" s="1"/>
  <c r="I140" i="11"/>
  <c r="Q164" i="10" s="1"/>
  <c r="I129" i="11"/>
  <c r="Q147" i="10" s="1"/>
  <c r="I147" i="11"/>
  <c r="Q174" i="10" s="1"/>
  <c r="I99" i="11"/>
  <c r="Q102" i="10" s="1"/>
  <c r="Q105" s="1"/>
  <c r="I123" i="11"/>
  <c r="Q138" i="10" s="1"/>
  <c r="I134" i="11"/>
  <c r="Q155" i="10" s="1"/>
  <c r="I110" i="11"/>
  <c r="Q119" i="10" s="1"/>
  <c r="H116" i="11"/>
  <c r="P128" i="10" s="1"/>
  <c r="H122" i="11"/>
  <c r="P137" i="10" s="1"/>
  <c r="H146" i="11"/>
  <c r="P173" i="10" s="1"/>
  <c r="H111" i="11"/>
  <c r="P120" i="10" s="1"/>
  <c r="H134" i="11"/>
  <c r="P155" i="10" s="1"/>
  <c r="H99" i="11"/>
  <c r="P102" i="10" s="1"/>
  <c r="H141" i="11"/>
  <c r="P165" i="10" s="1"/>
  <c r="H140" i="11"/>
  <c r="P164" i="10" s="1"/>
  <c r="H128" i="11"/>
  <c r="P146" i="10" s="1"/>
  <c r="G140" i="11"/>
  <c r="O164" i="10" s="1"/>
  <c r="G104" i="11"/>
  <c r="O110" i="10" s="1"/>
  <c r="G111" i="11"/>
  <c r="O120" i="10" s="1"/>
  <c r="G135" i="11"/>
  <c r="O156" i="10" s="1"/>
  <c r="G116" i="11"/>
  <c r="O128" i="10" s="1"/>
  <c r="G99" i="11"/>
  <c r="O102" i="10" s="1"/>
  <c r="G122" i="11"/>
  <c r="O137" i="10" s="1"/>
  <c r="G147" i="11"/>
  <c r="O174" i="10" s="1"/>
  <c r="G128" i="11"/>
  <c r="O146" i="10" s="1"/>
  <c r="F105" i="11"/>
  <c r="N111" i="10" s="1"/>
  <c r="F111" i="11"/>
  <c r="N120" i="10" s="1"/>
  <c r="F141" i="11"/>
  <c r="N165" i="10" s="1"/>
  <c r="F116" i="11"/>
  <c r="N128" i="10" s="1"/>
  <c r="F98" i="11"/>
  <c r="N101" i="10" s="1"/>
  <c r="F110" i="11"/>
  <c r="N119" i="10" s="1"/>
  <c r="N123" s="1"/>
  <c r="F129" i="11"/>
  <c r="N147" i="10" s="1"/>
  <c r="F134" i="11"/>
  <c r="N155" i="10" s="1"/>
  <c r="F122" i="11"/>
  <c r="N137" i="10" s="1"/>
  <c r="AC128" i="11"/>
  <c r="AK146" i="10" s="1"/>
  <c r="E146" i="11"/>
  <c r="M173" i="10" s="1"/>
  <c r="O110" i="11"/>
  <c r="W119" i="10" s="1"/>
  <c r="N116" i="11"/>
  <c r="V128" i="10" s="1"/>
  <c r="V132" s="1"/>
  <c r="G123" i="11"/>
  <c r="O138" i="10" s="1"/>
  <c r="E141" i="11"/>
  <c r="M165" i="10" s="1"/>
  <c r="E117" i="11"/>
  <c r="M129" i="10" s="1"/>
  <c r="E111" i="11"/>
  <c r="M120" i="10" s="1"/>
  <c r="E104" i="11"/>
  <c r="M110" i="10" s="1"/>
  <c r="E122" i="11"/>
  <c r="M137" i="10" s="1"/>
  <c r="E98" i="11"/>
  <c r="M101" i="10" s="1"/>
  <c r="E129" i="11"/>
  <c r="M147" i="10" s="1"/>
  <c r="E134" i="11"/>
  <c r="M155" i="10" s="1"/>
  <c r="J122" i="11"/>
  <c r="R137" i="10" s="1"/>
  <c r="R141" s="1"/>
  <c r="C134" i="11"/>
  <c r="K155" i="10" s="1"/>
  <c r="AB134" i="11"/>
  <c r="AJ155" i="10" s="1"/>
  <c r="I122" i="11"/>
  <c r="Q137" i="10" s="1"/>
  <c r="Q141" s="1"/>
  <c r="F128" i="11"/>
  <c r="N146" i="10" s="1"/>
  <c r="N150" s="1"/>
  <c r="C147" i="11"/>
  <c r="K174" i="10" s="1"/>
  <c r="D99" i="11"/>
  <c r="L102" i="10" s="1"/>
  <c r="D117" i="11"/>
  <c r="L129" i="10" s="1"/>
  <c r="D141" i="11"/>
  <c r="L165" i="10" s="1"/>
  <c r="D135" i="11"/>
  <c r="L156" i="10" s="1"/>
  <c r="D122" i="11"/>
  <c r="L137" i="10" s="1"/>
  <c r="D128" i="11"/>
  <c r="L146" i="10" s="1"/>
  <c r="D110" i="11"/>
  <c r="L119" i="10" s="1"/>
  <c r="D146" i="11"/>
  <c r="L173" i="10" s="1"/>
  <c r="C123" i="11"/>
  <c r="K138" i="10" s="1"/>
  <c r="C141" i="11"/>
  <c r="K165" i="10" s="1"/>
  <c r="C99" i="11"/>
  <c r="K102" i="10" s="1"/>
  <c r="C105" i="11"/>
  <c r="K111" i="10" s="1"/>
  <c r="C110" i="11"/>
  <c r="K119" i="10" s="1"/>
  <c r="C117" i="11"/>
  <c r="K129" i="10" s="1"/>
  <c r="C128" i="11"/>
  <c r="K146" i="10" s="1"/>
  <c r="E110" i="11"/>
  <c r="M119" i="10" s="1"/>
  <c r="J99" i="11"/>
  <c r="R102" i="10" s="1"/>
  <c r="S105" i="11"/>
  <c r="AA111" i="10" s="1"/>
  <c r="AA114" s="1"/>
  <c r="E99" i="11"/>
  <c r="M102" i="10" s="1"/>
  <c r="AE140" i="11"/>
  <c r="AM164" i="10" s="1"/>
  <c r="AC104" i="11"/>
  <c r="AK110" i="10" s="1"/>
  <c r="Q146" i="11"/>
  <c r="Y173" i="10" s="1"/>
  <c r="AF98" i="11"/>
  <c r="AN101" i="10" s="1"/>
  <c r="E135" i="11"/>
  <c r="M156" i="10" s="1"/>
  <c r="C129" i="11"/>
  <c r="K147" i="10" s="1"/>
  <c r="AG98" i="11"/>
  <c r="AO101" i="10" s="1"/>
  <c r="V105" i="11"/>
  <c r="AD111" i="10" s="1"/>
  <c r="AB111" i="11"/>
  <c r="AJ120" i="10" s="1"/>
  <c r="AA129" i="11"/>
  <c r="AI147" i="10" s="1"/>
  <c r="J146" i="11"/>
  <c r="R173" i="10" s="1"/>
  <c r="R177" s="1"/>
  <c r="H129" i="11"/>
  <c r="P147" i="10" s="1"/>
  <c r="G146" i="11"/>
  <c r="O173" i="10" s="1"/>
  <c r="L110" i="11"/>
  <c r="T119" i="10" s="1"/>
  <c r="U98" i="11"/>
  <c r="AC101" i="10" s="1"/>
  <c r="AC105" s="1"/>
  <c r="X134" i="11"/>
  <c r="AF155" i="10" s="1"/>
  <c r="AF159" s="1"/>
  <c r="N99" i="11"/>
  <c r="V102" i="10" s="1"/>
  <c r="V105" s="1"/>
  <c r="L135" i="11"/>
  <c r="T156" i="10" s="1"/>
  <c r="T159" s="1"/>
  <c r="Z140" i="11"/>
  <c r="AH164" i="10" s="1"/>
  <c r="AH168" s="1"/>
  <c r="Q104" i="11"/>
  <c r="Y110" i="10" s="1"/>
  <c r="AD105" i="11"/>
  <c r="AL111" i="10" s="1"/>
  <c r="AL114" s="1"/>
  <c r="T135" i="11"/>
  <c r="AB156" i="10" s="1"/>
  <c r="AB159" s="1"/>
  <c r="T128" i="11"/>
  <c r="AB146" i="10" s="1"/>
  <c r="AB150" s="1"/>
  <c r="B99" i="11"/>
  <c r="J102" i="10" s="1"/>
  <c r="AI136" i="11"/>
  <c r="P129"/>
  <c r="X147" i="10" s="1"/>
  <c r="O134" i="11"/>
  <c r="W155" i="10" s="1"/>
  <c r="W159" s="1"/>
  <c r="Q99" i="11"/>
  <c r="Y102" i="10" s="1"/>
  <c r="AH130" i="11"/>
  <c r="AH144"/>
  <c r="AG128"/>
  <c r="AO146" i="10" s="1"/>
  <c r="AO150" s="1"/>
  <c r="H98" i="11"/>
  <c r="P101" i="10" s="1"/>
  <c r="H135" i="11"/>
  <c r="P156" i="10" s="1"/>
  <c r="K104" i="11"/>
  <c r="S110" i="10" s="1"/>
  <c r="S114" s="1"/>
  <c r="AI114" i="11"/>
  <c r="B147"/>
  <c r="J174" i="10" s="1"/>
  <c r="AI126" i="11"/>
  <c r="AH118"/>
  <c r="AI102"/>
  <c r="AI94"/>
  <c r="AI106"/>
  <c r="Q123"/>
  <c r="Y138" i="10" s="1"/>
  <c r="N140" i="11"/>
  <c r="V164" i="10" s="1"/>
  <c r="V168" s="1"/>
  <c r="D123" i="11"/>
  <c r="L138" i="10" s="1"/>
  <c r="B122" i="11"/>
  <c r="J137" i="10" s="1"/>
  <c r="E105" i="11"/>
  <c r="M111" i="10" s="1"/>
  <c r="AF134" i="11"/>
  <c r="AN155" i="10" s="1"/>
  <c r="AN159" s="1"/>
  <c r="AD146" i="11"/>
  <c r="AL173" i="10" s="1"/>
  <c r="I128" i="11"/>
  <c r="Q146" i="10" s="1"/>
  <c r="K99" i="11"/>
  <c r="S102" i="10" s="1"/>
  <c r="AI95" i="11"/>
  <c r="AI107"/>
  <c r="B110"/>
  <c r="J119" i="10" s="1"/>
  <c r="W147" i="11"/>
  <c r="AE174" i="10" s="1"/>
  <c r="D98" i="11"/>
  <c r="L101" i="10" s="1"/>
  <c r="AF110" i="11"/>
  <c r="AN119" i="10" s="1"/>
  <c r="AE116" i="11"/>
  <c r="AM128" i="10" s="1"/>
  <c r="AD122" i="11"/>
  <c r="AL137" i="10" s="1"/>
  <c r="AB105" i="11"/>
  <c r="AJ111" i="10" s="1"/>
  <c r="W122" i="11"/>
  <c r="AE137" i="10" s="1"/>
  <c r="AE141" s="1"/>
  <c r="B116" i="11"/>
  <c r="J128" i="10" s="1"/>
  <c r="X98" i="11"/>
  <c r="AF101" i="10" s="1"/>
  <c r="AF105" s="1"/>
  <c r="X110" i="11"/>
  <c r="AF119" i="10" s="1"/>
  <c r="B129" i="11"/>
  <c r="J147" i="10" s="1"/>
  <c r="B140" i="11"/>
  <c r="J164" i="10" s="1"/>
  <c r="AI108" i="11"/>
  <c r="AI138"/>
  <c r="AI96"/>
  <c r="AI112"/>
  <c r="B105"/>
  <c r="J111" i="10" s="1"/>
  <c r="AH120" i="11"/>
  <c r="B134"/>
  <c r="J155" i="10" s="1"/>
  <c r="B146" i="11"/>
  <c r="J173" i="10" s="1"/>
  <c r="AI125" i="11"/>
  <c r="AI132"/>
  <c r="AI100"/>
  <c r="AI101"/>
  <c r="AH142"/>
  <c r="B123"/>
  <c r="J138" i="10" s="1"/>
  <c r="G98" i="11"/>
  <c r="O101" i="10" s="1"/>
  <c r="O105" s="1"/>
  <c r="X128" i="11"/>
  <c r="AF146" i="10" s="1"/>
  <c r="X123" i="11"/>
  <c r="AF138" i="10" s="1"/>
  <c r="B98" i="11"/>
  <c r="J101" i="10" s="1"/>
  <c r="AC99" i="11"/>
  <c r="AK102" i="10" s="1"/>
  <c r="W104" i="11"/>
  <c r="AE110" i="10" s="1"/>
  <c r="F135" i="11"/>
  <c r="N156" i="10" s="1"/>
  <c r="O104" i="11"/>
  <c r="W110" i="10" s="1"/>
  <c r="U104" i="11"/>
  <c r="AC110" i="10" s="1"/>
  <c r="R98" i="11"/>
  <c r="Z101" i="10" s="1"/>
  <c r="G129" i="11"/>
  <c r="O147" i="10" s="1"/>
  <c r="I135" i="11"/>
  <c r="Q156" i="10" s="1"/>
  <c r="N135" i="11"/>
  <c r="V156" i="10" s="1"/>
  <c r="N110" i="11"/>
  <c r="V119" i="10" s="1"/>
  <c r="O129" i="11"/>
  <c r="W147" i="10" s="1"/>
  <c r="P146" i="11"/>
  <c r="X173" i="10" s="1"/>
  <c r="P123" i="11"/>
  <c r="X138" i="10" s="1"/>
  <c r="Q140" i="11"/>
  <c r="Y164" i="10" s="1"/>
  <c r="Y168" s="1"/>
  <c r="Q117" i="11"/>
  <c r="Y129" i="10" s="1"/>
  <c r="G105" i="11"/>
  <c r="O111" i="10" s="1"/>
  <c r="T116" i="11"/>
  <c r="AB128" i="10" s="1"/>
  <c r="AB132" s="1"/>
  <c r="X105" i="11"/>
  <c r="AF111" i="10" s="1"/>
  <c r="AA99" i="11"/>
  <c r="AI102" i="10" s="1"/>
  <c r="E128" i="11"/>
  <c r="M146" i="10" s="1"/>
  <c r="D111" i="11"/>
  <c r="L120" i="10" s="1"/>
  <c r="C116" i="11"/>
  <c r="K128" i="10" s="1"/>
  <c r="K132" s="1"/>
  <c r="B117" i="11"/>
  <c r="J129" i="10" s="1"/>
  <c r="B141" i="11"/>
  <c r="J165" i="10" s="1"/>
  <c r="L99" i="11"/>
  <c r="T102" i="10" s="1"/>
  <c r="AI120" i="11"/>
  <c r="AL120" s="1"/>
  <c r="AH96"/>
  <c r="AK96" s="1"/>
  <c r="AH136"/>
  <c r="AL136" s="1"/>
  <c r="AI118"/>
  <c r="AJ118" s="1"/>
  <c r="AI142"/>
  <c r="AH100"/>
  <c r="AL100" s="1"/>
  <c r="M141"/>
  <c r="U165" i="10" s="1"/>
  <c r="L147" i="11"/>
  <c r="T174" i="10" s="1"/>
  <c r="Z129" i="11"/>
  <c r="AH147" i="10" s="1"/>
  <c r="M129" i="11"/>
  <c r="U147" i="10" s="1"/>
  <c r="Z117" i="11"/>
  <c r="AH129" i="10" s="1"/>
  <c r="AG105" i="11"/>
  <c r="AO111" i="10" s="1"/>
  <c r="K135" i="11"/>
  <c r="S156" i="10" s="1"/>
  <c r="AH94" i="11"/>
  <c r="AK94" s="1"/>
  <c r="AI131"/>
  <c r="AI130"/>
  <c r="AI124"/>
  <c r="AH132"/>
  <c r="AH126"/>
  <c r="AL126" s="1"/>
  <c r="AH112"/>
  <c r="AI113"/>
  <c r="AH102"/>
  <c r="AI137"/>
  <c r="AI119"/>
  <c r="AH106"/>
  <c r="AL106" s="1"/>
  <c r="AH108"/>
  <c r="AK108" s="1"/>
  <c r="AH143"/>
  <c r="AI144"/>
  <c r="AJ144" s="1"/>
  <c r="Q111"/>
  <c r="Y120" i="10" s="1"/>
  <c r="Q135" i="11"/>
  <c r="Y156" i="10" s="1"/>
  <c r="P117" i="11"/>
  <c r="X129" i="10" s="1"/>
  <c r="P141" i="11"/>
  <c r="X165" i="10" s="1"/>
  <c r="O123" i="11"/>
  <c r="W138" i="10" s="1"/>
  <c r="O147" i="11"/>
  <c r="W174" i="10" s="1"/>
  <c r="N129" i="11"/>
  <c r="V147" i="10" s="1"/>
  <c r="AC111" i="11"/>
  <c r="AK120" i="10" s="1"/>
  <c r="AK123" s="1"/>
  <c r="AC123" i="11"/>
  <c r="AK138" i="10" s="1"/>
  <c r="AC135" i="11"/>
  <c r="AK156" i="10" s="1"/>
  <c r="AC147" i="11"/>
  <c r="AK174" i="10" s="1"/>
  <c r="AK177" s="1"/>
  <c r="AB117" i="11"/>
  <c r="AJ129" i="10" s="1"/>
  <c r="AB129" i="11"/>
  <c r="AJ147" i="10" s="1"/>
  <c r="AB141" i="11"/>
  <c r="AJ165" i="10" s="1"/>
  <c r="AA117" i="11"/>
  <c r="AI129" i="10" s="1"/>
  <c r="AA141" i="11"/>
  <c r="AI165" i="10" s="1"/>
  <c r="J117" i="11"/>
  <c r="R129" i="10" s="1"/>
  <c r="J129" i="11"/>
  <c r="R147" i="10" s="1"/>
  <c r="J141" i="11"/>
  <c r="R165" i="10" s="1"/>
  <c r="AD98" i="11"/>
  <c r="AL101" i="10" s="1"/>
  <c r="AL105" s="1"/>
  <c r="I111" i="11"/>
  <c r="Q120" i="10" s="1"/>
  <c r="Q123" s="1"/>
  <c r="H117" i="11"/>
  <c r="P129" i="10" s="1"/>
  <c r="P132" s="1"/>
  <c r="G117" i="11"/>
  <c r="O129" i="10" s="1"/>
  <c r="G141" i="11"/>
  <c r="O165" i="10" s="1"/>
  <c r="F123" i="11"/>
  <c r="N138" i="10" s="1"/>
  <c r="F147" i="11"/>
  <c r="N174" i="10" s="1"/>
  <c r="N177" s="1"/>
  <c r="E123" i="11"/>
  <c r="M138" i="10" s="1"/>
  <c r="E147" i="11"/>
  <c r="M174" i="10" s="1"/>
  <c r="M177" s="1"/>
  <c r="D147" i="11"/>
  <c r="L174" i="10" s="1"/>
  <c r="B111" i="11"/>
  <c r="J120" i="10" s="1"/>
  <c r="B135" i="11"/>
  <c r="J156" i="10" s="1"/>
  <c r="I104" i="11"/>
  <c r="Q110" i="10" s="1"/>
  <c r="N105" i="11"/>
  <c r="V111" i="10" s="1"/>
  <c r="V129" i="11"/>
  <c r="AD147" i="10" s="1"/>
  <c r="AF105" i="11"/>
  <c r="AN111" i="10" s="1"/>
  <c r="R105" i="11"/>
  <c r="Z111" i="10" s="1"/>
  <c r="H104" i="11"/>
  <c r="P110" i="10" s="1"/>
  <c r="L104" i="11"/>
  <c r="T110" i="10" s="1"/>
  <c r="AG116" i="11"/>
  <c r="AO128" i="10" s="1"/>
  <c r="AG140" i="11"/>
  <c r="AO164" i="10" s="1"/>
  <c r="AO168" s="1"/>
  <c r="AF122" i="11"/>
  <c r="AN137" i="10" s="1"/>
  <c r="AF146" i="11"/>
  <c r="AN173" i="10" s="1"/>
  <c r="AN177" s="1"/>
  <c r="AE128" i="11"/>
  <c r="AM146" i="10" s="1"/>
  <c r="AM150" s="1"/>
  <c r="AD110" i="11"/>
  <c r="AL119" i="10" s="1"/>
  <c r="AL123" s="1"/>
  <c r="AD134" i="11"/>
  <c r="AL155" i="10" s="1"/>
  <c r="M104" i="11"/>
  <c r="U110" i="10" s="1"/>
  <c r="U114" s="1"/>
  <c r="M110" i="11"/>
  <c r="U119" i="10" s="1"/>
  <c r="U123" s="1"/>
  <c r="M134" i="11"/>
  <c r="U155" i="10" s="1"/>
  <c r="L116" i="11"/>
  <c r="T128" i="10" s="1"/>
  <c r="L140" i="11"/>
  <c r="T164" i="10" s="1"/>
  <c r="T168" s="1"/>
  <c r="AA134" i="11"/>
  <c r="AI155" i="10" s="1"/>
  <c r="Z122" i="11"/>
  <c r="AH137" i="10" s="1"/>
  <c r="Z146" i="11"/>
  <c r="AH173" i="10" s="1"/>
  <c r="AH177" s="1"/>
  <c r="F104" i="11"/>
  <c r="N110" i="10" s="1"/>
  <c r="N114" s="1"/>
  <c r="AE105" i="11"/>
  <c r="AM111" i="10" s="1"/>
  <c r="Q129" i="11"/>
  <c r="Y147" i="10" s="1"/>
  <c r="P135" i="11"/>
  <c r="X156" i="10" s="1"/>
  <c r="O141" i="11"/>
  <c r="W165" i="10" s="1"/>
  <c r="N147" i="11"/>
  <c r="V174" i="10" s="1"/>
  <c r="P99" i="11"/>
  <c r="X102" i="10" s="1"/>
  <c r="B104" i="11"/>
  <c r="J110" i="10" s="1"/>
  <c r="AG111" i="11"/>
  <c r="AO120" i="10" s="1"/>
  <c r="AG123" i="11"/>
  <c r="AO138" i="10" s="1"/>
  <c r="AG135" i="11"/>
  <c r="AO156" i="10" s="1"/>
  <c r="AG147" i="11"/>
  <c r="AO174" i="10" s="1"/>
  <c r="AO177" s="1"/>
  <c r="AF117" i="11"/>
  <c r="AN129" i="10" s="1"/>
  <c r="AF129" i="11"/>
  <c r="AN147" i="10" s="1"/>
  <c r="AF141" i="11"/>
  <c r="AN165" i="10" s="1"/>
  <c r="AE111" i="11"/>
  <c r="AM120" i="10" s="1"/>
  <c r="AE123" i="11"/>
  <c r="AM138" i="10" s="1"/>
  <c r="AE135" i="11"/>
  <c r="AM156" i="10" s="1"/>
  <c r="AE147" i="11"/>
  <c r="AM174" i="10" s="1"/>
  <c r="AD117" i="11"/>
  <c r="AL129" i="10" s="1"/>
  <c r="AD129" i="11"/>
  <c r="AL147" i="10" s="1"/>
  <c r="AD141" i="11"/>
  <c r="AL165" i="10" s="1"/>
  <c r="AB99" i="11"/>
  <c r="AJ102" i="10" s="1"/>
  <c r="AA105" i="11"/>
  <c r="AI111" i="10" s="1"/>
  <c r="M117" i="11"/>
  <c r="U129" i="10" s="1"/>
  <c r="L123" i="11"/>
  <c r="T138" i="10" s="1"/>
  <c r="AA123" i="11"/>
  <c r="AI138" i="10" s="1"/>
  <c r="AA147" i="11"/>
  <c r="AI174" i="10" s="1"/>
  <c r="I117" i="11"/>
  <c r="Q129" i="10" s="1"/>
  <c r="I141" i="11"/>
  <c r="Q165" i="10" s="1"/>
  <c r="Q168" s="1"/>
  <c r="H123" i="11"/>
  <c r="P138" i="10" s="1"/>
  <c r="H147" i="11"/>
  <c r="P174" i="10" s="1"/>
  <c r="W117" i="11"/>
  <c r="AE129" i="10" s="1"/>
  <c r="W129" i="11"/>
  <c r="AE147" i="10" s="1"/>
  <c r="W141" i="11"/>
  <c r="AE165" i="10" s="1"/>
  <c r="V111" i="11"/>
  <c r="AD120" i="10" s="1"/>
  <c r="AD123" s="1"/>
  <c r="V123" i="11"/>
  <c r="AD138" i="10" s="1"/>
  <c r="V135" i="11"/>
  <c r="AD156" i="10" s="1"/>
  <c r="AD159" s="1"/>
  <c r="V147" i="11"/>
  <c r="AD174" i="10" s="1"/>
  <c r="U111" i="11"/>
  <c r="AC120" i="10" s="1"/>
  <c r="U123" i="11"/>
  <c r="AC138" i="10" s="1"/>
  <c r="U135" i="11"/>
  <c r="AC156" i="10" s="1"/>
  <c r="U147" i="11"/>
  <c r="AC174" i="10" s="1"/>
  <c r="D129" i="11"/>
  <c r="L147" i="10" s="1"/>
  <c r="L150" s="1"/>
  <c r="C111" i="11"/>
  <c r="K120" i="10" s="1"/>
  <c r="C135" i="11"/>
  <c r="K156" i="10" s="1"/>
  <c r="K159" s="1"/>
  <c r="R111" i="11"/>
  <c r="Z120" i="10" s="1"/>
  <c r="R123" i="11"/>
  <c r="Z138" i="10" s="1"/>
  <c r="R135" i="11"/>
  <c r="Z156" i="10" s="1"/>
  <c r="R147" i="11"/>
  <c r="Z174" i="10" s="1"/>
  <c r="R99" i="11"/>
  <c r="Z102" i="10" s="1"/>
  <c r="AC98" i="11"/>
  <c r="AK101" i="10" s="1"/>
  <c r="V141" i="11"/>
  <c r="AD165" i="10" s="1"/>
  <c r="V99" i="11"/>
  <c r="AD102" i="10" s="1"/>
  <c r="W105" i="11"/>
  <c r="AE111" i="10" s="1"/>
  <c r="T146" i="11"/>
  <c r="AB173" i="10" s="1"/>
  <c r="AB177" s="1"/>
  <c r="S116" i="11"/>
  <c r="AA128" i="10" s="1"/>
  <c r="AA132" s="1"/>
  <c r="X140" i="11"/>
  <c r="AF164" i="10" s="1"/>
  <c r="AF168" s="1"/>
  <c r="X129" i="11"/>
  <c r="AF147" i="10" s="1"/>
  <c r="T123" i="11"/>
  <c r="AB138" i="10" s="1"/>
  <c r="K129" i="11"/>
  <c r="S147" i="10" s="1"/>
  <c r="X122" i="11"/>
  <c r="AF137" i="10" s="1"/>
  <c r="X116" i="11"/>
  <c r="AF128" i="10" s="1"/>
  <c r="S122" i="11"/>
  <c r="AA137" i="10" s="1"/>
  <c r="K123" i="11"/>
  <c r="S138" i="10" s="1"/>
  <c r="S129" i="11"/>
  <c r="AA147" i="10" s="1"/>
  <c r="S111" i="11"/>
  <c r="AA120" i="10" s="1"/>
  <c r="X146" i="11"/>
  <c r="AF173" i="10" s="1"/>
  <c r="AF177" s="1"/>
  <c r="Z99" i="11"/>
  <c r="AH102" i="10" s="1"/>
  <c r="T140" i="11"/>
  <c r="AB164" i="10" s="1"/>
  <c r="S141" i="11"/>
  <c r="AA165" i="10" s="1"/>
  <c r="X117" i="11"/>
  <c r="AF129" i="10" s="1"/>
  <c r="K116" i="11"/>
  <c r="S128" i="10" s="1"/>
  <c r="S132" s="1"/>
  <c r="M123" i="11"/>
  <c r="U138" i="10" s="1"/>
  <c r="M147" i="11"/>
  <c r="U174" i="10" s="1"/>
  <c r="U177" s="1"/>
  <c r="L129" i="11"/>
  <c r="T147" i="10" s="1"/>
  <c r="AA111" i="11"/>
  <c r="AI120" i="10" s="1"/>
  <c r="Z111" i="11"/>
  <c r="AH120" i="10" s="1"/>
  <c r="Z135" i="11"/>
  <c r="AH156" i="10" s="1"/>
  <c r="H110" i="11"/>
  <c r="P119" i="10" s="1"/>
  <c r="P123" s="1"/>
  <c r="W111" i="11"/>
  <c r="AE120" i="10" s="1"/>
  <c r="W134" i="11"/>
  <c r="AE155" i="10" s="1"/>
  <c r="AE159" s="1"/>
  <c r="V116" i="11"/>
  <c r="AD128" i="10" s="1"/>
  <c r="U116" i="11"/>
  <c r="AC128" i="10" s="1"/>
  <c r="U128" i="11"/>
  <c r="AC146" i="10" s="1"/>
  <c r="AC150" s="1"/>
  <c r="U141" i="11"/>
  <c r="AC165" i="10" s="1"/>
  <c r="D116" i="11"/>
  <c r="L128" i="10" s="1"/>
  <c r="D140" i="11"/>
  <c r="L164" i="10" s="1"/>
  <c r="C122" i="11"/>
  <c r="K137" i="10" s="1"/>
  <c r="K141" s="1"/>
  <c r="C146" i="11"/>
  <c r="K173" i="10" s="1"/>
  <c r="K177" s="1"/>
  <c r="R117" i="11"/>
  <c r="Z129" i="10" s="1"/>
  <c r="R128" i="11"/>
  <c r="Z146" i="10" s="1"/>
  <c r="R140" i="11"/>
  <c r="Z164" i="10" s="1"/>
  <c r="Z98" i="11"/>
  <c r="AH101" i="10" s="1"/>
  <c r="O98" i="11"/>
  <c r="W101" i="10" s="1"/>
  <c r="J104" i="11"/>
  <c r="R110" i="10" s="1"/>
  <c r="D105" i="11"/>
  <c r="L111" i="10" s="1"/>
  <c r="K147" i="11"/>
  <c r="S174" i="10" s="1"/>
  <c r="T141" i="11"/>
  <c r="AB165" i="10" s="1"/>
  <c r="S147" i="11"/>
  <c r="AA174" i="10" s="1"/>
  <c r="AA177" s="1"/>
  <c r="K111" i="11"/>
  <c r="S120" i="10" s="1"/>
  <c r="S123" s="1"/>
  <c r="AH114" i="11"/>
  <c r="AL114" s="1"/>
  <c r="AH138"/>
  <c r="Q128"/>
  <c r="Y146" i="10" s="1"/>
  <c r="P110" i="11"/>
  <c r="X119" i="10" s="1"/>
  <c r="P134" i="11"/>
  <c r="X155" i="10" s="1"/>
  <c r="O116" i="11"/>
  <c r="W128" i="10" s="1"/>
  <c r="W132" s="1"/>
  <c r="O140" i="11"/>
  <c r="W164" i="10" s="1"/>
  <c r="N122" i="11"/>
  <c r="V137" i="10" s="1"/>
  <c r="V141" s="1"/>
  <c r="N146" i="11"/>
  <c r="V173" i="10" s="1"/>
  <c r="V177" s="1"/>
  <c r="L105" i="11"/>
  <c r="T111" i="10" s="1"/>
  <c r="T114" s="1"/>
  <c r="AC116" i="11"/>
  <c r="AK128" i="10" s="1"/>
  <c r="AC140" i="11"/>
  <c r="AK164" i="10" s="1"/>
  <c r="AB122" i="11"/>
  <c r="AJ137" i="10" s="1"/>
  <c r="AB146" i="11"/>
  <c r="AJ173" i="10" s="1"/>
  <c r="J110" i="11"/>
  <c r="R119" i="10" s="1"/>
  <c r="R123" s="1"/>
  <c r="J134" i="11"/>
  <c r="R155" i="10" s="1"/>
  <c r="W98" i="11"/>
  <c r="AE101" i="10" s="1"/>
  <c r="I146" i="11"/>
  <c r="Q173" i="10" s="1"/>
  <c r="G110" i="11"/>
  <c r="O119" i="10" s="1"/>
  <c r="O123" s="1"/>
  <c r="G134" i="11"/>
  <c r="O155" i="10" s="1"/>
  <c r="O159" s="1"/>
  <c r="F117" i="11"/>
  <c r="N129" i="10" s="1"/>
  <c r="F140" i="11"/>
  <c r="N164" i="10" s="1"/>
  <c r="N168" s="1"/>
  <c r="E116" i="11"/>
  <c r="M128" i="10" s="1"/>
  <c r="M132" s="1"/>
  <c r="E140" i="11"/>
  <c r="M164" i="10" s="1"/>
  <c r="M168" s="1"/>
  <c r="D134" i="11"/>
  <c r="L155" i="10" s="1"/>
  <c r="L159" s="1"/>
  <c r="C140" i="11"/>
  <c r="K164" i="10" s="1"/>
  <c r="B128" i="11"/>
  <c r="J146" i="10" s="1"/>
  <c r="C98" i="11"/>
  <c r="K101" i="10" s="1"/>
  <c r="K105" s="1"/>
  <c r="P104" i="11"/>
  <c r="X110" i="10" s="1"/>
  <c r="H105" i="11"/>
  <c r="P111" i="10" s="1"/>
  <c r="F99" i="11"/>
  <c r="N102" i="10" s="1"/>
  <c r="C104" i="11"/>
  <c r="K110" i="10" s="1"/>
  <c r="T105" i="11"/>
  <c r="AB111" i="10" s="1"/>
  <c r="AH95" i="11"/>
  <c r="K140"/>
  <c r="S164" i="10" s="1"/>
  <c r="S168" s="1"/>
  <c r="S134" i="11"/>
  <c r="AA155" i="10" s="1"/>
  <c r="B97" i="11"/>
  <c r="J100" i="10" s="1"/>
  <c r="J97" s="1"/>
  <c r="I97" s="1"/>
  <c r="AH131" i="11"/>
  <c r="AH125"/>
  <c r="AH124"/>
  <c r="AH113"/>
  <c r="AL113" s="1"/>
  <c r="AH101"/>
  <c r="AH137"/>
  <c r="AL137" s="1"/>
  <c r="AH119"/>
  <c r="AL119" s="1"/>
  <c r="AH107"/>
  <c r="AI143"/>
  <c r="AE98"/>
  <c r="AM101" i="10" s="1"/>
  <c r="AM105" s="1"/>
  <c r="U56"/>
  <c r="U45"/>
  <c r="L1" i="11"/>
  <c r="K59"/>
  <c r="K92"/>
  <c r="S99" i="10" s="1"/>
  <c r="C234"/>
  <c r="C266" s="1"/>
  <c r="R159"/>
  <c r="AO141"/>
  <c r="D450"/>
  <c r="D264"/>
  <c r="C328"/>
  <c r="C297"/>
  <c r="D419"/>
  <c r="C421"/>
  <c r="C390"/>
  <c r="C359"/>
  <c r="C452"/>
  <c r="D326"/>
  <c r="D357"/>
  <c r="D388"/>
  <c r="D295"/>
  <c r="D202"/>
  <c r="D233"/>
  <c r="C203"/>
  <c r="U61"/>
  <c r="AH145" i="11"/>
  <c r="D172" i="10" s="1"/>
  <c r="AI145" i="11"/>
  <c r="E172" i="10" s="1"/>
  <c r="AH103" i="11"/>
  <c r="D109" i="10" s="1"/>
  <c r="AI103" i="11"/>
  <c r="E109" i="10" s="1"/>
  <c r="AH115" i="11"/>
  <c r="D127" i="10" s="1"/>
  <c r="AI115" i="11"/>
  <c r="E127" i="10" s="1"/>
  <c r="AH109" i="11"/>
  <c r="D118" i="10" s="1"/>
  <c r="AI109" i="11"/>
  <c r="E118" i="10" s="1"/>
  <c r="AH121" i="11"/>
  <c r="D136" i="10" s="1"/>
  <c r="AI121" i="11"/>
  <c r="E136" i="10" s="1"/>
  <c r="AH133" i="11"/>
  <c r="D154" i="10" s="1"/>
  <c r="AI133" i="11"/>
  <c r="E154" i="10" s="1"/>
  <c r="AH127" i="11"/>
  <c r="D145" i="10" s="1"/>
  <c r="AI127" i="11"/>
  <c r="E145" i="10" s="1"/>
  <c r="AH139" i="11"/>
  <c r="D163" i="10" s="1"/>
  <c r="AI139" i="11"/>
  <c r="E163" i="10" s="1"/>
  <c r="U48"/>
  <c r="U53"/>
  <c r="U58"/>
  <c r="U57"/>
  <c r="U51"/>
  <c r="U44"/>
  <c r="U50"/>
  <c r="U46"/>
  <c r="U60"/>
  <c r="U59"/>
  <c r="U49"/>
  <c r="F37"/>
  <c r="M37" s="1"/>
  <c r="G37"/>
  <c r="L37" s="1"/>
  <c r="I37"/>
  <c r="N37" s="1"/>
  <c r="H37"/>
  <c r="K37" s="1"/>
  <c r="F38" a="1"/>
  <c r="B32"/>
  <c r="F36" a="1"/>
  <c r="U47"/>
  <c r="D32"/>
  <c r="B52"/>
  <c r="B34"/>
  <c r="D34"/>
  <c r="C52"/>
  <c r="C32"/>
  <c r="C34"/>
  <c r="AJ166"/>
  <c r="AJ131"/>
  <c r="AJ160"/>
  <c r="AJ167"/>
  <c r="AJ133"/>
  <c r="AJ121"/>
  <c r="AJ149"/>
  <c r="AJ115"/>
  <c r="AJ104"/>
  <c r="AJ175"/>
  <c r="AJ106"/>
  <c r="AJ169"/>
  <c r="AJ157"/>
  <c r="AJ122"/>
  <c r="AJ130"/>
  <c r="AJ158"/>
  <c r="AJ124"/>
  <c r="AJ112"/>
  <c r="AJ176"/>
  <c r="AJ142"/>
  <c r="AJ148"/>
  <c r="AJ113"/>
  <c r="AJ178"/>
  <c r="AJ103"/>
  <c r="AJ139"/>
  <c r="AJ151"/>
  <c r="AJ140"/>
  <c r="AC157"/>
  <c r="AC149"/>
  <c r="AC142"/>
  <c r="AC121"/>
  <c r="AC113"/>
  <c r="AC106"/>
  <c r="AC169"/>
  <c r="AC148"/>
  <c r="AC140"/>
  <c r="AC133"/>
  <c r="AC112"/>
  <c r="AC104"/>
  <c r="AC178"/>
  <c r="AC176"/>
  <c r="AC167"/>
  <c r="AC160"/>
  <c r="AC139"/>
  <c r="AC131"/>
  <c r="AC124"/>
  <c r="AC103"/>
  <c r="AC166"/>
  <c r="AC158"/>
  <c r="AC151"/>
  <c r="AC130"/>
  <c r="AC122"/>
  <c r="AC115"/>
  <c r="AC175"/>
  <c r="AF169"/>
  <c r="AF149"/>
  <c r="AF121"/>
  <c r="AF167"/>
  <c r="AF113"/>
  <c r="AF176"/>
  <c r="AF139"/>
  <c r="AF106"/>
  <c r="AF175"/>
  <c r="AF131"/>
  <c r="AF133"/>
  <c r="AF148"/>
  <c r="AF158"/>
  <c r="AF140"/>
  <c r="AF103"/>
  <c r="AF122"/>
  <c r="AF104"/>
  <c r="AF157"/>
  <c r="AF124"/>
  <c r="AF112"/>
  <c r="AF151"/>
  <c r="AF115"/>
  <c r="AF166"/>
  <c r="AF160"/>
  <c r="AF130"/>
  <c r="AF178"/>
  <c r="AF142"/>
  <c r="AB106"/>
  <c r="AB176"/>
  <c r="AB131"/>
  <c r="AB122"/>
  <c r="AB113"/>
  <c r="AB130"/>
  <c r="AB169"/>
  <c r="AB151"/>
  <c r="AB112"/>
  <c r="AB178"/>
  <c r="AB167"/>
  <c r="AB158"/>
  <c r="AB149"/>
  <c r="AB175"/>
  <c r="AB121"/>
  <c r="AB104"/>
  <c r="AB139"/>
  <c r="AB157"/>
  <c r="AB140"/>
  <c r="AB124"/>
  <c r="AB103"/>
  <c r="AB142"/>
  <c r="AB148"/>
  <c r="AB133"/>
  <c r="AB115"/>
  <c r="AB160"/>
  <c r="AB166"/>
  <c r="AA115"/>
  <c r="AA176"/>
  <c r="AA158"/>
  <c r="AA121"/>
  <c r="AA113"/>
  <c r="AA140"/>
  <c r="AA122"/>
  <c r="AA175"/>
  <c r="AA142"/>
  <c r="AA103"/>
  <c r="AA169"/>
  <c r="AA106"/>
  <c r="AA133"/>
  <c r="AA160"/>
  <c r="AA167"/>
  <c r="AA112"/>
  <c r="AA139"/>
  <c r="AA131"/>
  <c r="AA104"/>
  <c r="AA157"/>
  <c r="AA124"/>
  <c r="AA148"/>
  <c r="AA166"/>
  <c r="AA149"/>
  <c r="AA130"/>
  <c r="AA151"/>
  <c r="AA178"/>
  <c r="S166"/>
  <c r="S148"/>
  <c r="S130"/>
  <c r="S112"/>
  <c r="S167"/>
  <c r="S160"/>
  <c r="S149"/>
  <c r="S142"/>
  <c r="S131"/>
  <c r="S124"/>
  <c r="S113"/>
  <c r="S104"/>
  <c r="S176"/>
  <c r="S175"/>
  <c r="S169"/>
  <c r="S158"/>
  <c r="S151"/>
  <c r="S140"/>
  <c r="S133"/>
  <c r="S122"/>
  <c r="S115"/>
  <c r="S103"/>
  <c r="S157"/>
  <c r="S139"/>
  <c r="S121"/>
  <c r="S106"/>
  <c r="S178"/>
  <c r="AH106"/>
  <c r="Y113"/>
  <c r="T124"/>
  <c r="W130"/>
  <c r="AI131"/>
  <c r="Z142"/>
  <c r="AE148"/>
  <c r="X158"/>
  <c r="V175"/>
  <c r="AH176"/>
  <c r="Y106"/>
  <c r="AD112"/>
  <c r="W122"/>
  <c r="AI124"/>
  <c r="U139"/>
  <c r="AE140"/>
  <c r="X151"/>
  <c r="V167"/>
  <c r="AH169"/>
  <c r="T103"/>
  <c r="AD103"/>
  <c r="W115"/>
  <c r="Z121"/>
  <c r="U131"/>
  <c r="AE133"/>
  <c r="V160"/>
  <c r="Y166"/>
  <c r="T176"/>
  <c r="AD178"/>
  <c r="AI106"/>
  <c r="Z113"/>
  <c r="U124"/>
  <c r="X130"/>
  <c r="AH148"/>
  <c r="Y158"/>
  <c r="T169"/>
  <c r="W175"/>
  <c r="AI176"/>
  <c r="AN103"/>
  <c r="AO113"/>
  <c r="AM133"/>
  <c r="AL157"/>
  <c r="AN176"/>
  <c r="AO103"/>
  <c r="AK139"/>
  <c r="AL149"/>
  <c r="AN169"/>
  <c r="AL106"/>
  <c r="AN122"/>
  <c r="AO133"/>
  <c r="AK166"/>
  <c r="AL176"/>
  <c r="AN115"/>
  <c r="AM139"/>
  <c r="AK158"/>
  <c r="AL169"/>
  <c r="N104"/>
  <c r="O122"/>
  <c r="R133"/>
  <c r="P148"/>
  <c r="N167"/>
  <c r="M178"/>
  <c r="L121"/>
  <c r="O131"/>
  <c r="R142"/>
  <c r="P157"/>
  <c r="N176"/>
  <c r="M103"/>
  <c r="L104"/>
  <c r="M124"/>
  <c r="O139"/>
  <c r="R149"/>
  <c r="Q160"/>
  <c r="O112"/>
  <c r="R122"/>
  <c r="Q133"/>
  <c r="N157"/>
  <c r="M167"/>
  <c r="L178"/>
  <c r="K121"/>
  <c r="K140"/>
  <c r="K104"/>
  <c r="Z106"/>
  <c r="U113"/>
  <c r="AE115"/>
  <c r="V142"/>
  <c r="Y148"/>
  <c r="T158"/>
  <c r="AD160"/>
  <c r="AI166"/>
  <c r="Z176"/>
  <c r="U106"/>
  <c r="X112"/>
  <c r="AH130"/>
  <c r="Y140"/>
  <c r="T151"/>
  <c r="W157"/>
  <c r="AI158"/>
  <c r="Z169"/>
  <c r="AE175"/>
  <c r="X104"/>
  <c r="V121"/>
  <c r="AH122"/>
  <c r="Y133"/>
  <c r="AD139"/>
  <c r="W149"/>
  <c r="AI151"/>
  <c r="U166"/>
  <c r="AE167"/>
  <c r="X178"/>
  <c r="V113"/>
  <c r="V104"/>
  <c r="AH103"/>
  <c r="Y115"/>
  <c r="AD121"/>
  <c r="W131"/>
  <c r="AI133"/>
  <c r="U148"/>
  <c r="AE149"/>
  <c r="X160"/>
  <c r="V176"/>
  <c r="AH178"/>
  <c r="T112"/>
  <c r="AD113"/>
  <c r="W124"/>
  <c r="Z130"/>
  <c r="U140"/>
  <c r="AE142"/>
  <c r="V169"/>
  <c r="Y175"/>
  <c r="T104"/>
  <c r="AD104"/>
  <c r="AI112"/>
  <c r="Z122"/>
  <c r="U133"/>
  <c r="X139"/>
  <c r="AH157"/>
  <c r="Y167"/>
  <c r="T178"/>
  <c r="W106"/>
  <c r="AI103"/>
  <c r="Z115"/>
  <c r="AE121"/>
  <c r="X131"/>
  <c r="V148"/>
  <c r="AH149"/>
  <c r="Y160"/>
  <c r="AD166"/>
  <c r="W176"/>
  <c r="AI178"/>
  <c r="AN104"/>
  <c r="AO115"/>
  <c r="AK148"/>
  <c r="AL158"/>
  <c r="AN178"/>
  <c r="AM121"/>
  <c r="AK140"/>
  <c r="AL151"/>
  <c r="AO175"/>
  <c r="AL103"/>
  <c r="AN124"/>
  <c r="AM148"/>
  <c r="AK167"/>
  <c r="AL178"/>
  <c r="AO121"/>
  <c r="AM140"/>
  <c r="AK160"/>
  <c r="R112"/>
  <c r="N106"/>
  <c r="O124"/>
  <c r="Q139"/>
  <c r="P149"/>
  <c r="N169"/>
  <c r="M112"/>
  <c r="L122"/>
  <c r="O133"/>
  <c r="Q148"/>
  <c r="P158"/>
  <c r="N178"/>
  <c r="M104"/>
  <c r="L106"/>
  <c r="L130"/>
  <c r="O140"/>
  <c r="R151"/>
  <c r="P166"/>
  <c r="O113"/>
  <c r="R124"/>
  <c r="P139"/>
  <c r="N158"/>
  <c r="M169"/>
  <c r="L112"/>
  <c r="K122"/>
  <c r="K142"/>
  <c r="K166"/>
  <c r="Z103"/>
  <c r="U115"/>
  <c r="X121"/>
  <c r="AH139"/>
  <c r="Y149"/>
  <c r="T160"/>
  <c r="W166"/>
  <c r="AI167"/>
  <c r="Z178"/>
  <c r="AE106"/>
  <c r="X113"/>
  <c r="V130"/>
  <c r="AH131"/>
  <c r="Y142"/>
  <c r="AD148"/>
  <c r="W158"/>
  <c r="AI160"/>
  <c r="U175"/>
  <c r="AE176"/>
  <c r="X106"/>
  <c r="V122"/>
  <c r="AH124"/>
  <c r="T139"/>
  <c r="AD140"/>
  <c r="W151"/>
  <c r="Z157"/>
  <c r="U167"/>
  <c r="AE169"/>
  <c r="V115"/>
  <c r="Y121"/>
  <c r="T131"/>
  <c r="Y122"/>
  <c r="AD133"/>
  <c r="AI139"/>
  <c r="Z149"/>
  <c r="U160"/>
  <c r="X166"/>
  <c r="AK113"/>
  <c r="AL124"/>
  <c r="AO148"/>
  <c r="AM167"/>
  <c r="AK106"/>
  <c r="AN130"/>
  <c r="AO140"/>
  <c r="AM160"/>
  <c r="AM112"/>
  <c r="AK131"/>
  <c r="AL142"/>
  <c r="AO166"/>
  <c r="AM103"/>
  <c r="AK124"/>
  <c r="AN148"/>
  <c r="AO158"/>
  <c r="AM178"/>
  <c r="O106"/>
  <c r="R103"/>
  <c r="N133"/>
  <c r="L148"/>
  <c r="O158"/>
  <c r="R169"/>
  <c r="Q112"/>
  <c r="P122"/>
  <c r="V106"/>
  <c r="AH104"/>
  <c r="T121"/>
  <c r="AD122"/>
  <c r="W133"/>
  <c r="Z139"/>
  <c r="U149"/>
  <c r="AE151"/>
  <c r="V178"/>
  <c r="Y103"/>
  <c r="T113"/>
  <c r="AD115"/>
  <c r="AI121"/>
  <c r="Z131"/>
  <c r="U142"/>
  <c r="X148"/>
  <c r="AH166"/>
  <c r="Y176"/>
  <c r="T106"/>
  <c r="W112"/>
  <c r="AI113"/>
  <c r="Z124"/>
  <c r="AE130"/>
  <c r="X140"/>
  <c r="V157"/>
  <c r="AH158"/>
  <c r="Y169"/>
  <c r="AD175"/>
  <c r="W103"/>
  <c r="AI104"/>
  <c r="U121"/>
  <c r="AE122"/>
  <c r="X133"/>
  <c r="V149"/>
  <c r="AH151"/>
  <c r="T166"/>
  <c r="AD167"/>
  <c r="W178"/>
  <c r="AN106"/>
  <c r="AM130"/>
  <c r="AK149"/>
  <c r="AL160"/>
  <c r="AO104"/>
  <c r="AM122"/>
  <c r="AK142"/>
  <c r="AN166"/>
  <c r="AO176"/>
  <c r="AL104"/>
  <c r="AO130"/>
  <c r="AM149"/>
  <c r="AK169"/>
  <c r="AN112"/>
  <c r="AO122"/>
  <c r="AM142"/>
  <c r="AL166"/>
  <c r="R113"/>
  <c r="N103"/>
  <c r="R130"/>
  <c r="Q140"/>
  <c r="P151"/>
  <c r="M175"/>
  <c r="M113"/>
  <c r="L124"/>
  <c r="R139"/>
  <c r="Q149"/>
  <c r="P160"/>
  <c r="M106"/>
  <c r="M121"/>
  <c r="L131"/>
  <c r="O142"/>
  <c r="Q157"/>
  <c r="P167"/>
  <c r="O115"/>
  <c r="Q130"/>
  <c r="P140"/>
  <c r="N160"/>
  <c r="L175"/>
  <c r="L113"/>
  <c r="K124"/>
  <c r="K106"/>
  <c r="K167"/>
  <c r="Z104"/>
  <c r="AE112"/>
  <c r="X122"/>
  <c r="V139"/>
  <c r="AH140"/>
  <c r="Y151"/>
  <c r="AD157"/>
  <c r="W167"/>
  <c r="AI169"/>
  <c r="U103"/>
  <c r="AE103"/>
  <c r="X115"/>
  <c r="V131"/>
  <c r="AH133"/>
  <c r="T148"/>
  <c r="AD149"/>
  <c r="W160"/>
  <c r="Z166"/>
  <c r="U176"/>
  <c r="AE178"/>
  <c r="V124"/>
  <c r="Y130"/>
  <c r="T140"/>
  <c r="AD142"/>
  <c r="AI148"/>
  <c r="Z158"/>
  <c r="U169"/>
  <c r="X175"/>
  <c r="AH112"/>
  <c r="V103"/>
  <c r="Y112"/>
  <c r="T122"/>
  <c r="AD124"/>
  <c r="AI130"/>
  <c r="Z140"/>
  <c r="U151"/>
  <c r="X157"/>
  <c r="AH175"/>
  <c r="Y104"/>
  <c r="T115"/>
  <c r="W121"/>
  <c r="AI122"/>
  <c r="Z133"/>
  <c r="AE139"/>
  <c r="X149"/>
  <c r="V166"/>
  <c r="AH167"/>
  <c r="Y178"/>
  <c r="AD106"/>
  <c r="W113"/>
  <c r="AI115"/>
  <c r="U130"/>
  <c r="AE131"/>
  <c r="X142"/>
  <c r="V158"/>
  <c r="AH160"/>
  <c r="T175"/>
  <c r="AD176"/>
  <c r="W104"/>
  <c r="Z112"/>
  <c r="U122"/>
  <c r="AE124"/>
  <c r="V151"/>
  <c r="Y157"/>
  <c r="T167"/>
  <c r="AD169"/>
  <c r="AI175"/>
  <c r="AO112"/>
  <c r="AM131"/>
  <c r="AK151"/>
  <c r="AN175"/>
  <c r="AO106"/>
  <c r="AM124"/>
  <c r="AL148"/>
  <c r="AN167"/>
  <c r="AO178"/>
  <c r="AN121"/>
  <c r="AO131"/>
  <c r="AM151"/>
  <c r="AL175"/>
  <c r="AN113"/>
  <c r="AO124"/>
  <c r="AK157"/>
  <c r="AL167"/>
  <c r="R115"/>
  <c r="O121"/>
  <c r="R131"/>
  <c r="Q142"/>
  <c r="N166"/>
  <c r="M176"/>
  <c r="M115"/>
  <c r="O130"/>
  <c r="R140"/>
  <c r="Q151"/>
  <c r="N175"/>
  <c r="L103"/>
  <c r="M122"/>
  <c r="L133"/>
  <c r="R148"/>
  <c r="Q158"/>
  <c r="P169"/>
  <c r="R121"/>
  <c r="Q131"/>
  <c r="P142"/>
  <c r="M166"/>
  <c r="L176"/>
  <c r="L115"/>
  <c r="K139"/>
  <c r="K103"/>
  <c r="K169"/>
  <c r="U112"/>
  <c r="AE113"/>
  <c r="X124"/>
  <c r="V140"/>
  <c r="AH142"/>
  <c r="T157"/>
  <c r="AD158"/>
  <c r="W169"/>
  <c r="Z175"/>
  <c r="U104"/>
  <c r="AE104"/>
  <c r="V133"/>
  <c r="Y139"/>
  <c r="T149"/>
  <c r="AD151"/>
  <c r="AI157"/>
  <c r="Z167"/>
  <c r="U178"/>
  <c r="X103"/>
  <c r="AH121"/>
  <c r="Y131"/>
  <c r="T142"/>
  <c r="W148"/>
  <c r="AI149"/>
  <c r="Z160"/>
  <c r="AE166"/>
  <c r="X176"/>
  <c r="V112"/>
  <c r="AH113"/>
  <c r="Y124"/>
  <c r="AD130"/>
  <c r="T133"/>
  <c r="W140"/>
  <c r="AI142"/>
  <c r="U157"/>
  <c r="AE158"/>
  <c r="X169"/>
  <c r="AL121"/>
  <c r="AN140"/>
  <c r="AO151"/>
  <c r="AK103"/>
  <c r="AL113"/>
  <c r="AN133"/>
  <c r="AM157"/>
  <c r="AK176"/>
  <c r="AM115"/>
  <c r="AL139"/>
  <c r="AN158"/>
  <c r="AO169"/>
  <c r="AK121"/>
  <c r="AL131"/>
  <c r="AN151"/>
  <c r="AM175"/>
  <c r="N113"/>
  <c r="O104"/>
  <c r="M140"/>
  <c r="R166"/>
  <c r="Q115"/>
  <c r="N142"/>
  <c r="L157"/>
  <c r="O167"/>
  <c r="R178"/>
  <c r="Q103"/>
  <c r="Q121"/>
  <c r="P131"/>
  <c r="N151"/>
  <c r="L166"/>
  <c r="O176"/>
  <c r="N124"/>
  <c r="L139"/>
  <c r="O149"/>
  <c r="R160"/>
  <c r="P175"/>
  <c r="P113"/>
  <c r="K115"/>
  <c r="K175"/>
  <c r="K131"/>
  <c r="K160"/>
  <c r="T57"/>
  <c r="T50"/>
  <c r="T53"/>
  <c r="S45"/>
  <c r="T46"/>
  <c r="S48"/>
  <c r="T52"/>
  <c r="S57"/>
  <c r="S47"/>
  <c r="S49"/>
  <c r="T54"/>
  <c r="T130"/>
  <c r="W139"/>
  <c r="AI140"/>
  <c r="Z151"/>
  <c r="AE157"/>
  <c r="X167"/>
  <c r="AK115"/>
  <c r="AN139"/>
  <c r="AO149"/>
  <c r="AM169"/>
  <c r="AL112"/>
  <c r="AN131"/>
  <c r="AO142"/>
  <c r="AK175"/>
  <c r="AM113"/>
  <c r="AK133"/>
  <c r="AN157"/>
  <c r="AO167"/>
  <c r="AM104"/>
  <c r="AL130"/>
  <c r="AN149"/>
  <c r="AO160"/>
  <c r="N112"/>
  <c r="O103"/>
  <c r="R104"/>
  <c r="M139"/>
  <c r="L149"/>
  <c r="O160"/>
  <c r="Q175"/>
  <c r="Q113"/>
  <c r="P124"/>
  <c r="M148"/>
  <c r="L158"/>
  <c r="O169"/>
  <c r="P103"/>
  <c r="Q122"/>
  <c r="P133"/>
  <c r="M157"/>
  <c r="L167"/>
  <c r="O178"/>
  <c r="M130"/>
  <c r="L140"/>
  <c r="O151"/>
  <c r="Q166"/>
  <c r="P176"/>
  <c r="P115"/>
  <c r="K148"/>
  <c r="K176"/>
  <c r="K133"/>
  <c r="T48"/>
  <c r="S59"/>
  <c r="S50"/>
  <c r="T45"/>
  <c r="S54"/>
  <c r="S53"/>
  <c r="S60"/>
  <c r="F450"/>
  <c r="F295"/>
  <c r="J103"/>
  <c r="J140"/>
  <c r="J122"/>
  <c r="J166"/>
  <c r="J158"/>
  <c r="J178"/>
  <c r="F264"/>
  <c r="F388"/>
  <c r="E295"/>
  <c r="E326"/>
  <c r="J160"/>
  <c r="J157"/>
  <c r="J115"/>
  <c r="E419"/>
  <c r="E264"/>
  <c r="J151"/>
  <c r="N130"/>
  <c r="L151"/>
  <c r="Q176"/>
  <c r="N139"/>
  <c r="M149"/>
  <c r="L160"/>
  <c r="R175"/>
  <c r="Q104"/>
  <c r="P104"/>
  <c r="Q124"/>
  <c r="N148"/>
  <c r="M158"/>
  <c r="L169"/>
  <c r="N121"/>
  <c r="M131"/>
  <c r="L142"/>
  <c r="R157"/>
  <c r="Q167"/>
  <c r="P178"/>
  <c r="K112"/>
  <c r="K149"/>
  <c r="K178"/>
  <c r="K157"/>
  <c r="T51"/>
  <c r="T60"/>
  <c r="T44"/>
  <c r="S46"/>
  <c r="T49"/>
  <c r="S56"/>
  <c r="T59"/>
  <c r="T47"/>
  <c r="S52"/>
  <c r="T58"/>
  <c r="T61"/>
  <c r="AH115"/>
  <c r="AD131"/>
  <c r="W142"/>
  <c r="Z148"/>
  <c r="U158"/>
  <c r="AE160"/>
  <c r="AK112"/>
  <c r="AL122"/>
  <c r="AN142"/>
  <c r="AM166"/>
  <c r="AK104"/>
  <c r="AL115"/>
  <c r="AO139"/>
  <c r="AM158"/>
  <c r="AK178"/>
  <c r="AK130"/>
  <c r="AL140"/>
  <c r="AN160"/>
  <c r="AM106"/>
  <c r="AK122"/>
  <c r="AL133"/>
  <c r="AO157"/>
  <c r="AM176"/>
  <c r="N115"/>
  <c r="R106"/>
  <c r="N131"/>
  <c r="M142"/>
  <c r="O157"/>
  <c r="R167"/>
  <c r="Q178"/>
  <c r="P121"/>
  <c r="N140"/>
  <c r="M151"/>
  <c r="O166"/>
  <c r="R176"/>
  <c r="Q106"/>
  <c r="P106"/>
  <c r="P130"/>
  <c r="N149"/>
  <c r="M160"/>
  <c r="O175"/>
  <c r="N122"/>
  <c r="M133"/>
  <c r="O148"/>
  <c r="R158"/>
  <c r="Q169"/>
  <c r="P112"/>
  <c r="K113"/>
  <c r="K151"/>
  <c r="K130"/>
  <c r="K158"/>
  <c r="S58"/>
  <c r="S61"/>
  <c r="S55"/>
  <c r="S44"/>
  <c r="T55"/>
  <c r="T56"/>
  <c r="S51"/>
  <c r="F419"/>
  <c r="F357"/>
  <c r="J112"/>
  <c r="J130"/>
  <c r="J113"/>
  <c r="J131"/>
  <c r="J104"/>
  <c r="J167"/>
  <c r="J149"/>
  <c r="F326"/>
  <c r="E450"/>
  <c r="E357"/>
  <c r="J175"/>
  <c r="J176"/>
  <c r="J148"/>
  <c r="J133"/>
  <c r="E388"/>
  <c r="J139"/>
  <c r="J169"/>
  <c r="J106"/>
  <c r="J124"/>
  <c r="J121"/>
  <c r="J142"/>
  <c r="B33" l="1"/>
  <c r="X159"/>
  <c r="L114"/>
  <c r="A205"/>
  <c r="A236"/>
  <c r="A268" s="1"/>
  <c r="A300" s="1"/>
  <c r="A332" s="1"/>
  <c r="A364" s="1"/>
  <c r="A396" s="1"/>
  <c r="A428" s="1"/>
  <c r="A460" s="1"/>
  <c r="B204"/>
  <c r="B235"/>
  <c r="B267" s="1"/>
  <c r="B299" s="1"/>
  <c r="B331" s="1"/>
  <c r="B363" s="1"/>
  <c r="B395" s="1"/>
  <c r="B427" s="1"/>
  <c r="B459" s="1"/>
  <c r="AO114"/>
  <c r="AO132"/>
  <c r="AN132"/>
  <c r="AO123"/>
  <c r="AO105"/>
  <c r="AO159"/>
  <c r="AN168"/>
  <c r="AN141"/>
  <c r="AN105"/>
  <c r="AN150"/>
  <c r="AN114"/>
  <c r="AN123"/>
  <c r="AM159"/>
  <c r="AM141"/>
  <c r="AM177"/>
  <c r="AM123"/>
  <c r="AM168"/>
  <c r="AM114"/>
  <c r="AM132"/>
  <c r="AL168"/>
  <c r="AL132"/>
  <c r="AL141"/>
  <c r="AL150"/>
  <c r="AL177"/>
  <c r="AL159"/>
  <c r="AK141"/>
  <c r="AK168"/>
  <c r="AK114"/>
  <c r="AK105"/>
  <c r="AK132"/>
  <c r="AK159"/>
  <c r="AK150"/>
  <c r="AI150"/>
  <c r="AJ177"/>
  <c r="AJ159"/>
  <c r="AJ132"/>
  <c r="AH132"/>
  <c r="AJ150"/>
  <c r="AJ105"/>
  <c r="AJ168"/>
  <c r="AJ141"/>
  <c r="AJ123"/>
  <c r="AJ114"/>
  <c r="AI105"/>
  <c r="AI177"/>
  <c r="AI114"/>
  <c r="AI159"/>
  <c r="AI132"/>
  <c r="AI168"/>
  <c r="AI123"/>
  <c r="AI141"/>
  <c r="AH105"/>
  <c r="AH141"/>
  <c r="AH159"/>
  <c r="AH150"/>
  <c r="AH114"/>
  <c r="AH123"/>
  <c r="AF114"/>
  <c r="AF123"/>
  <c r="AE150"/>
  <c r="AE168"/>
  <c r="AF132"/>
  <c r="AF141"/>
  <c r="AF150"/>
  <c r="AE177"/>
  <c r="AE132"/>
  <c r="AE105"/>
  <c r="AE114"/>
  <c r="AE123"/>
  <c r="AC159"/>
  <c r="AD105"/>
  <c r="AD132"/>
  <c r="AD150"/>
  <c r="AD114"/>
  <c r="AD177"/>
  <c r="AD141"/>
  <c r="AD168"/>
  <c r="AC168"/>
  <c r="AC123"/>
  <c r="AC114"/>
  <c r="AC177"/>
  <c r="AC141"/>
  <c r="AC132"/>
  <c r="AB114"/>
  <c r="AB141"/>
  <c r="S177"/>
  <c r="AB105"/>
  <c r="AA159"/>
  <c r="AB168"/>
  <c r="AA168"/>
  <c r="AA105"/>
  <c r="X168"/>
  <c r="AA123"/>
  <c r="AA150"/>
  <c r="AA141"/>
  <c r="Z114"/>
  <c r="Z150"/>
  <c r="Z177"/>
  <c r="Z141"/>
  <c r="Z105"/>
  <c r="Z159"/>
  <c r="Z123"/>
  <c r="Z168"/>
  <c r="Z132"/>
  <c r="Y159"/>
  <c r="Y105"/>
  <c r="Y132"/>
  <c r="Y141"/>
  <c r="Y114"/>
  <c r="Y123"/>
  <c r="Y177"/>
  <c r="Y150"/>
  <c r="X114"/>
  <c r="W141"/>
  <c r="X132"/>
  <c r="W114"/>
  <c r="X141"/>
  <c r="X123"/>
  <c r="W105"/>
  <c r="X105"/>
  <c r="W177"/>
  <c r="W150"/>
  <c r="X150"/>
  <c r="S150"/>
  <c r="X177"/>
  <c r="W168"/>
  <c r="W123"/>
  <c r="V123"/>
  <c r="V150"/>
  <c r="V114"/>
  <c r="V159"/>
  <c r="T150"/>
  <c r="U132"/>
  <c r="U159"/>
  <c r="U105"/>
  <c r="U150"/>
  <c r="U141"/>
  <c r="U168"/>
  <c r="T132"/>
  <c r="T141"/>
  <c r="T105"/>
  <c r="T177"/>
  <c r="T123"/>
  <c r="R132"/>
  <c r="S105"/>
  <c r="S141"/>
  <c r="S159"/>
  <c r="Q114"/>
  <c r="R150"/>
  <c r="R105"/>
  <c r="Q132"/>
  <c r="R114"/>
  <c r="R168"/>
  <c r="Q159"/>
  <c r="Q177"/>
  <c r="P150"/>
  <c r="Q150"/>
  <c r="P177"/>
  <c r="P141"/>
  <c r="P105"/>
  <c r="P168"/>
  <c r="P159"/>
  <c r="P114"/>
  <c r="O177"/>
  <c r="O132"/>
  <c r="O150"/>
  <c r="O141"/>
  <c r="O168"/>
  <c r="O114"/>
  <c r="N105"/>
  <c r="N159"/>
  <c r="AK100" i="11"/>
  <c r="AM100" s="1"/>
  <c r="N141" i="10"/>
  <c r="N132"/>
  <c r="M141"/>
  <c r="M150"/>
  <c r="M123"/>
  <c r="M105"/>
  <c r="L177"/>
  <c r="M114"/>
  <c r="M159"/>
  <c r="L132"/>
  <c r="L123"/>
  <c r="L141"/>
  <c r="L168"/>
  <c r="L105"/>
  <c r="K114"/>
  <c r="K168"/>
  <c r="AJ108" i="11"/>
  <c r="AL108"/>
  <c r="AM108" s="1"/>
  <c r="AJ119"/>
  <c r="K150" i="10"/>
  <c r="K123"/>
  <c r="AK119" i="11"/>
  <c r="AM119" s="1"/>
  <c r="AL94"/>
  <c r="AM94" s="1"/>
  <c r="J150" i="10"/>
  <c r="E129"/>
  <c r="J114"/>
  <c r="AJ113" i="11"/>
  <c r="AH140"/>
  <c r="D164" i="10" s="1"/>
  <c r="AK106" i="11"/>
  <c r="AM106" s="1"/>
  <c r="AK136"/>
  <c r="AM136" s="1"/>
  <c r="AJ143"/>
  <c r="AJ124"/>
  <c r="AL95"/>
  <c r="AL102"/>
  <c r="AL112"/>
  <c r="AK132"/>
  <c r="AL130"/>
  <c r="E174" i="10"/>
  <c r="E165"/>
  <c r="AJ130" i="11"/>
  <c r="AH129"/>
  <c r="AI129" s="1"/>
  <c r="AK130"/>
  <c r="AJ100"/>
  <c r="AJ96"/>
  <c r="E147" i="10"/>
  <c r="AK118" i="11"/>
  <c r="AL144"/>
  <c r="AL96"/>
  <c r="AM96" s="1"/>
  <c r="J105" i="10"/>
  <c r="D120"/>
  <c r="AJ94" i="11"/>
  <c r="AL118"/>
  <c r="AM118" s="1"/>
  <c r="AK144"/>
  <c r="AM144" s="1"/>
  <c r="AH110"/>
  <c r="D119" i="10" s="1"/>
  <c r="AH99" i="11"/>
  <c r="AI99" s="1"/>
  <c r="AH134"/>
  <c r="D155" i="10" s="1"/>
  <c r="AL107" i="11"/>
  <c r="AL125"/>
  <c r="E102" i="10"/>
  <c r="D129"/>
  <c r="J159"/>
  <c r="AK142" i="11"/>
  <c r="D138" i="10"/>
  <c r="J177"/>
  <c r="AJ137" i="11"/>
  <c r="E111" i="10"/>
  <c r="AL101" i="11"/>
  <c r="AL138"/>
  <c r="J141" i="10"/>
  <c r="AJ102" i="11"/>
  <c r="AJ126"/>
  <c r="AJ125"/>
  <c r="AH104"/>
  <c r="D110" i="10" s="1"/>
  <c r="AK113" i="11"/>
  <c r="AM113" s="1"/>
  <c r="AK126"/>
  <c r="AM126" s="1"/>
  <c r="AK125"/>
  <c r="AM125" s="1"/>
  <c r="E156" i="10"/>
  <c r="AK143" i="11"/>
  <c r="AK124"/>
  <c r="AK131"/>
  <c r="AK101"/>
  <c r="AM101" s="1"/>
  <c r="AL132"/>
  <c r="AM132" s="1"/>
  <c r="AK120"/>
  <c r="AM120" s="1"/>
  <c r="AK112"/>
  <c r="AK138"/>
  <c r="J168" i="10"/>
  <c r="J132"/>
  <c r="J123"/>
  <c r="AK95" i="11"/>
  <c r="AM95" s="1"/>
  <c r="AK102"/>
  <c r="AM102" s="1"/>
  <c r="AI97"/>
  <c r="E100" i="10" s="1"/>
  <c r="AJ120" i="11"/>
  <c r="AJ136"/>
  <c r="AJ132"/>
  <c r="AH141"/>
  <c r="AI141" s="1"/>
  <c r="AH123"/>
  <c r="AI123" s="1"/>
  <c r="AJ138"/>
  <c r="AJ101"/>
  <c r="AJ112"/>
  <c r="AJ95"/>
  <c r="AH116"/>
  <c r="D128" i="10" s="1"/>
  <c r="AK107" i="11"/>
  <c r="AK137"/>
  <c r="AM137" s="1"/>
  <c r="AK114"/>
  <c r="AM114" s="1"/>
  <c r="D102" i="10"/>
  <c r="F102" s="1"/>
  <c r="AL142" i="11"/>
  <c r="AM142" s="1"/>
  <c r="D147" i="10"/>
  <c r="H147" s="1"/>
  <c r="D165"/>
  <c r="D111"/>
  <c r="D156"/>
  <c r="D174"/>
  <c r="E138"/>
  <c r="E120"/>
  <c r="AL143" i="11"/>
  <c r="AM143" s="1"/>
  <c r="AL124"/>
  <c r="AL131"/>
  <c r="AM131" s="1"/>
  <c r="AH97"/>
  <c r="D100" i="10" s="1"/>
  <c r="AJ106" i="11"/>
  <c r="AJ114"/>
  <c r="AH128"/>
  <c r="D146" i="10" s="1"/>
  <c r="AH147" i="11"/>
  <c r="AI147" s="1"/>
  <c r="AJ147" s="1"/>
  <c r="AH135"/>
  <c r="AI135" s="1"/>
  <c r="AH122"/>
  <c r="D137" i="10" s="1"/>
  <c r="AH98" i="11"/>
  <c r="D101" i="10" s="1"/>
  <c r="AJ142" i="11"/>
  <c r="AJ107"/>
  <c r="AH111"/>
  <c r="AI111" s="1"/>
  <c r="AJ111" s="1"/>
  <c r="AJ131"/>
  <c r="AH146"/>
  <c r="D173" i="10" s="1"/>
  <c r="AH117" i="11"/>
  <c r="AI117" s="1"/>
  <c r="AH105"/>
  <c r="AI105" s="1"/>
  <c r="K134" i="10"/>
  <c r="K135"/>
  <c r="K153"/>
  <c r="K152"/>
  <c r="P116"/>
  <c r="P117"/>
  <c r="Q170"/>
  <c r="Q171"/>
  <c r="O152"/>
  <c r="O153"/>
  <c r="M135"/>
  <c r="M134"/>
  <c r="O179"/>
  <c r="O180"/>
  <c r="M162"/>
  <c r="M161"/>
  <c r="P134"/>
  <c r="P135"/>
  <c r="P108"/>
  <c r="P107"/>
  <c r="Q108"/>
  <c r="Q107"/>
  <c r="AJ108"/>
  <c r="AJ107"/>
  <c r="AJ179"/>
  <c r="AJ180"/>
  <c r="O171"/>
  <c r="O170"/>
  <c r="M152"/>
  <c r="M153"/>
  <c r="P126"/>
  <c r="P125"/>
  <c r="Q179"/>
  <c r="Q180"/>
  <c r="O161"/>
  <c r="O162"/>
  <c r="M143"/>
  <c r="M144"/>
  <c r="R107"/>
  <c r="R108"/>
  <c r="N117"/>
  <c r="N116"/>
  <c r="AO161"/>
  <c r="AO162"/>
  <c r="AL135"/>
  <c r="AL134"/>
  <c r="AM107"/>
  <c r="AM108"/>
  <c r="AN161"/>
  <c r="AN162"/>
  <c r="AK135"/>
  <c r="AK134"/>
  <c r="AK179"/>
  <c r="AK180"/>
  <c r="AO143"/>
  <c r="AO144"/>
  <c r="AL116"/>
  <c r="AL117"/>
  <c r="AM171"/>
  <c r="AM170"/>
  <c r="AN143"/>
  <c r="AN144"/>
  <c r="AK117"/>
  <c r="AK116"/>
  <c r="AJ152"/>
  <c r="AJ153"/>
  <c r="S180"/>
  <c r="S179"/>
  <c r="AE161"/>
  <c r="AE162"/>
  <c r="Z152"/>
  <c r="Z153"/>
  <c r="W144"/>
  <c r="W143"/>
  <c r="AH117"/>
  <c r="AH116"/>
  <c r="K162"/>
  <c r="K161"/>
  <c r="K180"/>
  <c r="K179"/>
  <c r="K116"/>
  <c r="K117"/>
  <c r="P180"/>
  <c r="P179"/>
  <c r="R162"/>
  <c r="R161"/>
  <c r="L143"/>
  <c r="L144"/>
  <c r="N126"/>
  <c r="N125"/>
  <c r="L171"/>
  <c r="L170"/>
  <c r="N153"/>
  <c r="N152"/>
  <c r="Q125"/>
  <c r="Q126"/>
  <c r="AJ143"/>
  <c r="AJ144"/>
  <c r="R180"/>
  <c r="R179"/>
  <c r="L161"/>
  <c r="L162"/>
  <c r="N143"/>
  <c r="N144"/>
  <c r="Q117"/>
  <c r="Q116"/>
  <c r="R170"/>
  <c r="R171"/>
  <c r="L152"/>
  <c r="L153"/>
  <c r="N135"/>
  <c r="N134"/>
  <c r="O108"/>
  <c r="O107"/>
  <c r="AM179"/>
  <c r="AM180"/>
  <c r="AN153"/>
  <c r="AN152"/>
  <c r="AK125"/>
  <c r="AK126"/>
  <c r="AO171"/>
  <c r="AO170"/>
  <c r="AL144"/>
  <c r="AL143"/>
  <c r="AM116"/>
  <c r="AM117"/>
  <c r="AM161"/>
  <c r="AM162"/>
  <c r="AN135"/>
  <c r="AN134"/>
  <c r="AK107"/>
  <c r="AK108"/>
  <c r="AO152"/>
  <c r="AO153"/>
  <c r="AL125"/>
  <c r="AL126"/>
  <c r="AJ117"/>
  <c r="AJ116"/>
  <c r="AC180"/>
  <c r="AC179"/>
  <c r="X170"/>
  <c r="X171"/>
  <c r="U161"/>
  <c r="U162"/>
  <c r="AI143"/>
  <c r="AI144"/>
  <c r="AD135"/>
  <c r="AD134"/>
  <c r="T134"/>
  <c r="T135"/>
  <c r="Y125"/>
  <c r="Y126"/>
  <c r="V116"/>
  <c r="V117"/>
  <c r="S108"/>
  <c r="S107"/>
  <c r="AE171"/>
  <c r="AE170"/>
  <c r="Z161"/>
  <c r="Z162"/>
  <c r="W152"/>
  <c r="W153"/>
  <c r="T143"/>
  <c r="T144"/>
  <c r="AH126"/>
  <c r="AH125"/>
  <c r="AC117"/>
  <c r="AC116"/>
  <c r="X108"/>
  <c r="X107"/>
  <c r="U179"/>
  <c r="U180"/>
  <c r="AI161"/>
  <c r="AI162"/>
  <c r="AD152"/>
  <c r="AD153"/>
  <c r="Y144"/>
  <c r="Y143"/>
  <c r="V135"/>
  <c r="V134"/>
  <c r="S125"/>
  <c r="S126"/>
  <c r="AE108"/>
  <c r="AE107"/>
  <c r="Z180"/>
  <c r="Z179"/>
  <c r="W171"/>
  <c r="W170"/>
  <c r="T161"/>
  <c r="T162"/>
  <c r="AH144"/>
  <c r="AH143"/>
  <c r="AC135"/>
  <c r="AC134"/>
  <c r="X125"/>
  <c r="X126"/>
  <c r="U117"/>
  <c r="U116"/>
  <c r="K170"/>
  <c r="K171"/>
  <c r="K143"/>
  <c r="K144"/>
  <c r="L117"/>
  <c r="L116"/>
  <c r="M170"/>
  <c r="M171"/>
  <c r="P144"/>
  <c r="P143"/>
  <c r="R126"/>
  <c r="R125"/>
  <c r="P171"/>
  <c r="P170"/>
  <c r="R153"/>
  <c r="R152"/>
  <c r="L135"/>
  <c r="L134"/>
  <c r="L107"/>
  <c r="L108"/>
  <c r="AJ125"/>
  <c r="AJ126"/>
  <c r="N180"/>
  <c r="N179"/>
  <c r="Q152"/>
  <c r="Q153"/>
  <c r="O134"/>
  <c r="O135"/>
  <c r="M116"/>
  <c r="M117"/>
  <c r="N171"/>
  <c r="N170"/>
  <c r="Q143"/>
  <c r="Q144"/>
  <c r="O125"/>
  <c r="O126"/>
  <c r="N108"/>
  <c r="N107"/>
  <c r="R117"/>
  <c r="R116"/>
  <c r="AK162"/>
  <c r="AK161"/>
  <c r="AO126"/>
  <c r="AO125"/>
  <c r="AL180"/>
  <c r="AL179"/>
  <c r="AM153"/>
  <c r="AM152"/>
  <c r="AN125"/>
  <c r="AN126"/>
  <c r="AO179"/>
  <c r="AO180"/>
  <c r="AL153"/>
  <c r="AL152"/>
  <c r="AM126"/>
  <c r="AM125"/>
  <c r="AO107"/>
  <c r="AO108"/>
  <c r="AN180"/>
  <c r="AN179"/>
  <c r="AK153"/>
  <c r="AK152"/>
  <c r="AO117"/>
  <c r="AO116"/>
  <c r="AJ134"/>
  <c r="AJ135"/>
  <c r="AI179"/>
  <c r="AI180"/>
  <c r="AD171"/>
  <c r="AD170"/>
  <c r="Y161"/>
  <c r="Y162"/>
  <c r="V153"/>
  <c r="V152"/>
  <c r="S144"/>
  <c r="S143"/>
  <c r="AE125"/>
  <c r="AE126"/>
  <c r="Z117"/>
  <c r="Z116"/>
  <c r="W107"/>
  <c r="W108"/>
  <c r="T180"/>
  <c r="T179"/>
  <c r="AH161"/>
  <c r="AH162"/>
  <c r="AC152"/>
  <c r="AC153"/>
  <c r="X143"/>
  <c r="X144"/>
  <c r="U134"/>
  <c r="U135"/>
  <c r="AI117"/>
  <c r="AI116"/>
  <c r="AD107"/>
  <c r="AD108"/>
  <c r="Y179"/>
  <c r="Y180"/>
  <c r="V171"/>
  <c r="V170"/>
  <c r="S162"/>
  <c r="S161"/>
  <c r="AE144"/>
  <c r="AE143"/>
  <c r="Z134"/>
  <c r="Z135"/>
  <c r="W125"/>
  <c r="W126"/>
  <c r="T117"/>
  <c r="T116"/>
  <c r="AH179"/>
  <c r="AH180"/>
  <c r="AC170"/>
  <c r="AC171"/>
  <c r="X162"/>
  <c r="X161"/>
  <c r="U152"/>
  <c r="U153"/>
  <c r="AI135"/>
  <c r="AI134"/>
  <c r="AD126"/>
  <c r="AD125"/>
  <c r="Y117"/>
  <c r="Y116"/>
  <c r="AC108"/>
  <c r="AC107"/>
  <c r="X180"/>
  <c r="X179"/>
  <c r="U170"/>
  <c r="U171"/>
  <c r="AI153"/>
  <c r="AI152"/>
  <c r="AD144"/>
  <c r="AD143"/>
  <c r="Y135"/>
  <c r="Y134"/>
  <c r="V125"/>
  <c r="V126"/>
  <c r="S116"/>
  <c r="S117"/>
  <c r="AE179"/>
  <c r="AE180"/>
  <c r="Z171"/>
  <c r="Z170"/>
  <c r="W162"/>
  <c r="W161"/>
  <c r="T153"/>
  <c r="T152"/>
  <c r="AH134"/>
  <c r="AH135"/>
  <c r="AC125"/>
  <c r="AC126"/>
  <c r="X116"/>
  <c r="X117"/>
  <c r="U108"/>
  <c r="U107"/>
  <c r="AI171"/>
  <c r="AI170"/>
  <c r="AD162"/>
  <c r="AD161"/>
  <c r="Y153"/>
  <c r="Y152"/>
  <c r="V144"/>
  <c r="V143"/>
  <c r="S135"/>
  <c r="S134"/>
  <c r="AE116"/>
  <c r="AE117"/>
  <c r="Z107"/>
  <c r="Z108"/>
  <c r="K108"/>
  <c r="K107"/>
  <c r="K125"/>
  <c r="K126"/>
  <c r="L180"/>
  <c r="L179"/>
  <c r="N162"/>
  <c r="N161"/>
  <c r="Q134"/>
  <c r="Q135"/>
  <c r="O116"/>
  <c r="O117"/>
  <c r="Q161"/>
  <c r="Q162"/>
  <c r="O144"/>
  <c r="O143"/>
  <c r="M125"/>
  <c r="M126"/>
  <c r="M107"/>
  <c r="M108"/>
  <c r="AJ162"/>
  <c r="AJ161"/>
  <c r="P161"/>
  <c r="P162"/>
  <c r="R143"/>
  <c r="R144"/>
  <c r="L125"/>
  <c r="L126"/>
  <c r="M179"/>
  <c r="M180"/>
  <c r="P152"/>
  <c r="P153"/>
  <c r="R135"/>
  <c r="R134"/>
  <c r="AL171"/>
  <c r="AL170"/>
  <c r="AM144"/>
  <c r="AM143"/>
  <c r="AN117"/>
  <c r="AN116"/>
  <c r="AK170"/>
  <c r="AK171"/>
  <c r="AO134"/>
  <c r="AO135"/>
  <c r="AL108"/>
  <c r="AL107"/>
  <c r="AN171"/>
  <c r="AN170"/>
  <c r="AK143"/>
  <c r="AK144"/>
  <c r="AL162"/>
  <c r="AL161"/>
  <c r="AM134"/>
  <c r="AM135"/>
  <c r="AN108"/>
  <c r="AN107"/>
  <c r="AJ171"/>
  <c r="AJ170"/>
  <c r="W179"/>
  <c r="W180"/>
  <c r="T170"/>
  <c r="T171"/>
  <c r="AH153"/>
  <c r="AH152"/>
  <c r="AC144"/>
  <c r="AC143"/>
  <c r="X135"/>
  <c r="X134"/>
  <c r="U126"/>
  <c r="U125"/>
  <c r="AI108"/>
  <c r="AI107"/>
  <c r="AD180"/>
  <c r="AD179"/>
  <c r="Y170"/>
  <c r="Y171"/>
  <c r="V161"/>
  <c r="V162"/>
  <c r="S153"/>
  <c r="S152"/>
  <c r="AE135"/>
  <c r="AE134"/>
  <c r="Z126"/>
  <c r="Z125"/>
  <c r="W117"/>
  <c r="W116"/>
  <c r="T108"/>
  <c r="T107"/>
  <c r="AH171"/>
  <c r="AH170"/>
  <c r="AC162"/>
  <c r="AC161"/>
  <c r="X152"/>
  <c r="X153"/>
  <c r="U143"/>
  <c r="U144"/>
  <c r="AI125"/>
  <c r="AI126"/>
  <c r="AD116"/>
  <c r="AD117"/>
  <c r="Y107"/>
  <c r="Y108"/>
  <c r="V180"/>
  <c r="V179"/>
  <c r="S170"/>
  <c r="S171"/>
  <c r="AE153"/>
  <c r="AE152"/>
  <c r="Z143"/>
  <c r="Z144"/>
  <c r="W135"/>
  <c r="W134"/>
  <c r="T125"/>
  <c r="T126"/>
  <c r="AH108"/>
  <c r="AH107"/>
  <c r="V107"/>
  <c r="V108"/>
  <c r="M1" i="11"/>
  <c r="L59"/>
  <c r="L92"/>
  <c r="T99" i="10" s="1"/>
  <c r="C235"/>
  <c r="C267" s="1"/>
  <c r="AA107"/>
  <c r="AA108"/>
  <c r="AF143"/>
  <c r="AF144"/>
  <c r="AB152"/>
  <c r="AB153"/>
  <c r="AA162"/>
  <c r="AA161"/>
  <c r="AF152"/>
  <c r="AF153"/>
  <c r="AB162"/>
  <c r="AB161"/>
  <c r="AA170"/>
  <c r="AA171"/>
  <c r="AF161"/>
  <c r="AF162"/>
  <c r="AB170"/>
  <c r="AB171"/>
  <c r="AA179"/>
  <c r="AA180"/>
  <c r="AF134"/>
  <c r="AF135"/>
  <c r="AB143"/>
  <c r="AB144"/>
  <c r="AA153"/>
  <c r="AA152"/>
  <c r="AF180"/>
  <c r="AF179"/>
  <c r="AF107"/>
  <c r="AF108"/>
  <c r="AB117"/>
  <c r="AB116"/>
  <c r="AA125"/>
  <c r="AA126"/>
  <c r="AF117"/>
  <c r="AF116"/>
  <c r="AB126"/>
  <c r="AB125"/>
  <c r="AA134"/>
  <c r="AA135"/>
  <c r="AF126"/>
  <c r="AF125"/>
  <c r="AB135"/>
  <c r="AB134"/>
  <c r="AA143"/>
  <c r="AA144"/>
  <c r="AF171"/>
  <c r="AF170"/>
  <c r="AB179"/>
  <c r="AB180"/>
  <c r="AB107"/>
  <c r="AB108"/>
  <c r="AA116"/>
  <c r="AA117"/>
  <c r="J135"/>
  <c r="J134"/>
  <c r="E133"/>
  <c r="D133"/>
  <c r="E149"/>
  <c r="D149"/>
  <c r="J126"/>
  <c r="E124"/>
  <c r="J125"/>
  <c r="D124"/>
  <c r="J180"/>
  <c r="D178"/>
  <c r="J179"/>
  <c r="E178"/>
  <c r="J117"/>
  <c r="J116"/>
  <c r="E115"/>
  <c r="D115"/>
  <c r="D167"/>
  <c r="E167"/>
  <c r="J144"/>
  <c r="D142"/>
  <c r="J143"/>
  <c r="E142"/>
  <c r="E158"/>
  <c r="D158"/>
  <c r="E148"/>
  <c r="D148"/>
  <c r="E104"/>
  <c r="D104"/>
  <c r="E106"/>
  <c r="J107"/>
  <c r="D106"/>
  <c r="J108"/>
  <c r="D166"/>
  <c r="E166"/>
  <c r="E157"/>
  <c r="D157"/>
  <c r="D131"/>
  <c r="E131"/>
  <c r="J153"/>
  <c r="D151"/>
  <c r="J152"/>
  <c r="E151"/>
  <c r="E122"/>
  <c r="D122"/>
  <c r="E176"/>
  <c r="D176"/>
  <c r="E113"/>
  <c r="D113"/>
  <c r="J171"/>
  <c r="E169"/>
  <c r="J170"/>
  <c r="D169"/>
  <c r="D140"/>
  <c r="E140"/>
  <c r="E160"/>
  <c r="D160"/>
  <c r="J162"/>
  <c r="J161"/>
  <c r="D130"/>
  <c r="E130"/>
  <c r="E121"/>
  <c r="D121"/>
  <c r="E103"/>
  <c r="D103"/>
  <c r="E175"/>
  <c r="D175"/>
  <c r="E112"/>
  <c r="D112"/>
  <c r="D139"/>
  <c r="E139"/>
  <c r="D420"/>
  <c r="C391"/>
  <c r="C329"/>
  <c r="C298"/>
  <c r="D327"/>
  <c r="D451"/>
  <c r="D203"/>
  <c r="D234"/>
  <c r="D358"/>
  <c r="C453"/>
  <c r="D296"/>
  <c r="D265"/>
  <c r="D389"/>
  <c r="C422"/>
  <c r="C360"/>
  <c r="C204"/>
  <c r="AK139" i="11"/>
  <c r="G163" i="10" s="1"/>
  <c r="AL139" i="11"/>
  <c r="H163" i="10" s="1"/>
  <c r="AK127" i="11"/>
  <c r="G145" i="10" s="1"/>
  <c r="AL127" i="11"/>
  <c r="H145" i="10" s="1"/>
  <c r="AK133" i="11"/>
  <c r="G154" i="10" s="1"/>
  <c r="AL133" i="11"/>
  <c r="H154" i="10" s="1"/>
  <c r="AK121" i="11"/>
  <c r="G136" i="10" s="1"/>
  <c r="AL121" i="11"/>
  <c r="H136" i="10" s="1"/>
  <c r="AK109" i="11"/>
  <c r="G118" i="10" s="1"/>
  <c r="AL109" i="11"/>
  <c r="H118" i="10" s="1"/>
  <c r="AK115" i="11"/>
  <c r="G127" i="10" s="1"/>
  <c r="AL115" i="11"/>
  <c r="H127" i="10" s="1"/>
  <c r="AK103" i="11"/>
  <c r="G109" i="10" s="1"/>
  <c r="AL103" i="11"/>
  <c r="H109" i="10" s="1"/>
  <c r="AK145" i="11"/>
  <c r="G172" i="10" s="1"/>
  <c r="AL145" i="11"/>
  <c r="H172" i="10" s="1"/>
  <c r="AJ145" i="11"/>
  <c r="F172" i="10" s="1"/>
  <c r="AJ109" i="11"/>
  <c r="F118" i="10" s="1"/>
  <c r="AJ139" i="11"/>
  <c r="F163" i="10" s="1"/>
  <c r="AJ127" i="11"/>
  <c r="F145" i="10" s="1"/>
  <c r="AJ133" i="11"/>
  <c r="F154" i="10" s="1"/>
  <c r="AJ121" i="11"/>
  <c r="F136" i="10" s="1"/>
  <c r="AJ115" i="11"/>
  <c r="F127" i="10" s="1"/>
  <c r="AJ103" i="11"/>
  <c r="F109" i="10" s="1"/>
  <c r="U64"/>
  <c r="M61"/>
  <c r="U66"/>
  <c r="M58"/>
  <c r="M59"/>
  <c r="F36"/>
  <c r="M36" s="1"/>
  <c r="I36"/>
  <c r="N36" s="1"/>
  <c r="H36"/>
  <c r="K36" s="1"/>
  <c r="G36"/>
  <c r="L36" s="1"/>
  <c r="F38"/>
  <c r="M38" s="1"/>
  <c r="H38"/>
  <c r="K38" s="1"/>
  <c r="G38"/>
  <c r="L38" s="1"/>
  <c r="I38"/>
  <c r="N38" s="1"/>
  <c r="AA29"/>
  <c r="AA27"/>
  <c r="AA25"/>
  <c r="AA23"/>
  <c r="AA30"/>
  <c r="AA28"/>
  <c r="AA26"/>
  <c r="AA24"/>
  <c r="AA22"/>
  <c r="U63"/>
  <c r="D33"/>
  <c r="C33"/>
  <c r="E312"/>
  <c r="E440"/>
  <c r="F408"/>
  <c r="F280"/>
  <c r="E280"/>
  <c r="F202"/>
  <c r="E281"/>
  <c r="E222"/>
  <c r="E349"/>
  <c r="E445"/>
  <c r="E286"/>
  <c r="E413"/>
  <c r="E254"/>
  <c r="E381"/>
  <c r="F192"/>
  <c r="F387"/>
  <c r="F281"/>
  <c r="F222"/>
  <c r="F349"/>
  <c r="F445"/>
  <c r="F286"/>
  <c r="F191"/>
  <c r="F347"/>
  <c r="F447"/>
  <c r="F315"/>
  <c r="F220"/>
  <c r="F263"/>
  <c r="F193"/>
  <c r="E198"/>
  <c r="F230"/>
  <c r="F289"/>
  <c r="E409"/>
  <c r="E218"/>
  <c r="E318"/>
  <c r="E414"/>
  <c r="E282"/>
  <c r="E444"/>
  <c r="E285"/>
  <c r="E412"/>
  <c r="E253"/>
  <c r="E321"/>
  <c r="F197"/>
  <c r="F194"/>
  <c r="E226"/>
  <c r="F293"/>
  <c r="F196"/>
  <c r="E260"/>
  <c r="F292"/>
  <c r="F386"/>
  <c r="F227"/>
  <c r="F313"/>
  <c r="F411"/>
  <c r="F256"/>
  <c r="F352"/>
  <c r="F186"/>
  <c r="F351"/>
  <c r="F219"/>
  <c r="F319"/>
  <c r="F188"/>
  <c r="F321"/>
  <c r="E197"/>
  <c r="E194"/>
  <c r="F226"/>
  <c r="E293"/>
  <c r="P218"/>
  <c r="P212"/>
  <c r="F265"/>
  <c r="E344"/>
  <c r="E201"/>
  <c r="F376"/>
  <c r="F248"/>
  <c r="E184"/>
  <c r="F233"/>
  <c r="F441"/>
  <c r="F446"/>
  <c r="F314"/>
  <c r="F410"/>
  <c r="F255"/>
  <c r="F378"/>
  <c r="F223"/>
  <c r="F346"/>
  <c r="E189"/>
  <c r="E325"/>
  <c r="E441"/>
  <c r="E446"/>
  <c r="E314"/>
  <c r="E410"/>
  <c r="E255"/>
  <c r="E448"/>
  <c r="E316"/>
  <c r="E416"/>
  <c r="E284"/>
  <c r="F449"/>
  <c r="F290"/>
  <c r="E322"/>
  <c r="F354"/>
  <c r="F195"/>
  <c r="E262"/>
  <c r="E185"/>
  <c r="F442"/>
  <c r="F287"/>
  <c r="F383"/>
  <c r="F251"/>
  <c r="F382"/>
  <c r="F250"/>
  <c r="F350"/>
  <c r="E224"/>
  <c r="F294"/>
  <c r="F353"/>
  <c r="E385"/>
  <c r="F199"/>
  <c r="F258"/>
  <c r="F228"/>
  <c r="E225"/>
  <c r="F257"/>
  <c r="E324"/>
  <c r="F200"/>
  <c r="E249"/>
  <c r="E380"/>
  <c r="E221"/>
  <c r="E317"/>
  <c r="E187"/>
  <c r="E320"/>
  <c r="E443"/>
  <c r="E288"/>
  <c r="F224"/>
  <c r="E294"/>
  <c r="E353"/>
  <c r="F385"/>
  <c r="E199"/>
  <c r="E258"/>
  <c r="P216"/>
  <c r="P213"/>
  <c r="E234"/>
  <c r="E451"/>
  <c r="E376"/>
  <c r="E202"/>
  <c r="F184"/>
  <c r="F216"/>
  <c r="E216"/>
  <c r="E233"/>
  <c r="E345"/>
  <c r="E415"/>
  <c r="E283"/>
  <c r="E379"/>
  <c r="E190"/>
  <c r="E347"/>
  <c r="E447"/>
  <c r="E315"/>
  <c r="E220"/>
  <c r="E290"/>
  <c r="F345"/>
  <c r="F415"/>
  <c r="F283"/>
  <c r="F379"/>
  <c r="F190"/>
  <c r="F413"/>
  <c r="F254"/>
  <c r="F381"/>
  <c r="E192"/>
  <c r="E387"/>
  <c r="E263"/>
  <c r="F260"/>
  <c r="E292"/>
  <c r="E386"/>
  <c r="E227"/>
  <c r="E313"/>
  <c r="E411"/>
  <c r="E256"/>
  <c r="E352"/>
  <c r="E186"/>
  <c r="E351"/>
  <c r="E219"/>
  <c r="E319"/>
  <c r="F418"/>
  <c r="F259"/>
  <c r="E291"/>
  <c r="F323"/>
  <c r="F417"/>
  <c r="E231"/>
  <c r="E193"/>
  <c r="F198"/>
  <c r="E230"/>
  <c r="E289"/>
  <c r="F409"/>
  <c r="F218"/>
  <c r="F318"/>
  <c r="F414"/>
  <c r="F282"/>
  <c r="F444"/>
  <c r="F285"/>
  <c r="F412"/>
  <c r="F253"/>
  <c r="E418"/>
  <c r="E259"/>
  <c r="F291"/>
  <c r="E323"/>
  <c r="E417"/>
  <c r="F231"/>
  <c r="P217"/>
  <c r="F234"/>
  <c r="F203"/>
  <c r="F451"/>
  <c r="F327"/>
  <c r="E248"/>
  <c r="F440"/>
  <c r="F344"/>
  <c r="E408"/>
  <c r="F312"/>
  <c r="F201"/>
  <c r="F377"/>
  <c r="F217"/>
  <c r="F384"/>
  <c r="F252"/>
  <c r="F348"/>
  <c r="F448"/>
  <c r="F316"/>
  <c r="F416"/>
  <c r="F284"/>
  <c r="E449"/>
  <c r="E377"/>
  <c r="E217"/>
  <c r="E384"/>
  <c r="E252"/>
  <c r="E348"/>
  <c r="E191"/>
  <c r="E378"/>
  <c r="E223"/>
  <c r="E346"/>
  <c r="F189"/>
  <c r="F325"/>
  <c r="E228"/>
  <c r="F225"/>
  <c r="E257"/>
  <c r="F324"/>
  <c r="E200"/>
  <c r="F249"/>
  <c r="F380"/>
  <c r="F221"/>
  <c r="F317"/>
  <c r="F187"/>
  <c r="F320"/>
  <c r="F443"/>
  <c r="F288"/>
  <c r="E356"/>
  <c r="E232"/>
  <c r="F229"/>
  <c r="E261"/>
  <c r="E355"/>
  <c r="E196"/>
  <c r="F322"/>
  <c r="E354"/>
  <c r="E195"/>
  <c r="F262"/>
  <c r="F185"/>
  <c r="E442"/>
  <c r="E287"/>
  <c r="E383"/>
  <c r="E251"/>
  <c r="E382"/>
  <c r="E250"/>
  <c r="E350"/>
  <c r="E188"/>
  <c r="F356"/>
  <c r="F232"/>
  <c r="E229"/>
  <c r="F261"/>
  <c r="F355"/>
  <c r="P214"/>
  <c r="P215"/>
  <c r="P211"/>
  <c r="E265"/>
  <c r="E296"/>
  <c r="E420"/>
  <c r="E358"/>
  <c r="F389"/>
  <c r="E327"/>
  <c r="F420"/>
  <c r="E203"/>
  <c r="F358"/>
  <c r="F296"/>
  <c r="E389"/>
  <c r="AC98" l="1"/>
  <c r="AJ98"/>
  <c r="O98"/>
  <c r="AF98"/>
  <c r="AB98"/>
  <c r="J98"/>
  <c r="K98"/>
  <c r="AA98"/>
  <c r="AL98"/>
  <c r="L98"/>
  <c r="Q98"/>
  <c r="V98"/>
  <c r="X98"/>
  <c r="AM98"/>
  <c r="S98"/>
  <c r="T98"/>
  <c r="U98"/>
  <c r="W98"/>
  <c r="AD98"/>
  <c r="AE98"/>
  <c r="AK98"/>
  <c r="AN98"/>
  <c r="AO98"/>
  <c r="M98"/>
  <c r="N98"/>
  <c r="P98"/>
  <c r="R98"/>
  <c r="Y98"/>
  <c r="Z98"/>
  <c r="AH98"/>
  <c r="AI98"/>
  <c r="B205"/>
  <c r="B236"/>
  <c r="B268" s="1"/>
  <c r="B300" s="1"/>
  <c r="B332" s="1"/>
  <c r="B364" s="1"/>
  <c r="B396" s="1"/>
  <c r="B428" s="1"/>
  <c r="B460" s="1"/>
  <c r="A206"/>
  <c r="A237"/>
  <c r="A269" s="1"/>
  <c r="A301" s="1"/>
  <c r="A333" s="1"/>
  <c r="A365" s="1"/>
  <c r="A397" s="1"/>
  <c r="A429" s="1"/>
  <c r="A461" s="1"/>
  <c r="D150"/>
  <c r="E150"/>
  <c r="D159"/>
  <c r="E177"/>
  <c r="E132"/>
  <c r="D141"/>
  <c r="E105"/>
  <c r="E168"/>
  <c r="AJ129" i="11"/>
  <c r="D114" i="10"/>
  <c r="AI140" i="11"/>
  <c r="AJ140" s="1"/>
  <c r="F164" i="10" s="1"/>
  <c r="E114"/>
  <c r="G114" s="1"/>
  <c r="E123"/>
  <c r="F129"/>
  <c r="H174"/>
  <c r="D105"/>
  <c r="E159"/>
  <c r="G159" s="1"/>
  <c r="F174"/>
  <c r="AM112" i="11"/>
  <c r="AM130"/>
  <c r="H165" i="10"/>
  <c r="AI146" i="11"/>
  <c r="E173" i="10" s="1"/>
  <c r="AI134" i="11"/>
  <c r="AJ134" s="1"/>
  <c r="F155" i="10" s="1"/>
  <c r="F165"/>
  <c r="AI128" i="11"/>
  <c r="E146" i="10" s="1"/>
  <c r="H129"/>
  <c r="G120"/>
  <c r="E141"/>
  <c r="F141" s="1"/>
  <c r="AI116" i="11"/>
  <c r="E128" i="10" s="1"/>
  <c r="F120"/>
  <c r="AI104" i="11"/>
  <c r="AJ104" s="1"/>
  <c r="F110" i="10" s="1"/>
  <c r="D132"/>
  <c r="H120"/>
  <c r="F138"/>
  <c r="F156"/>
  <c r="AM107" i="11"/>
  <c r="AI110"/>
  <c r="AJ110" s="1"/>
  <c r="F119" i="10" s="1"/>
  <c r="G129"/>
  <c r="I129" s="1"/>
  <c r="D177"/>
  <c r="D168"/>
  <c r="G168" s="1"/>
  <c r="D123"/>
  <c r="F123" s="1"/>
  <c r="H111"/>
  <c r="AM138" i="11"/>
  <c r="H156" i="10"/>
  <c r="F111"/>
  <c r="G174"/>
  <c r="G156"/>
  <c r="G165"/>
  <c r="AM124" i="11"/>
  <c r="AJ141"/>
  <c r="G147" i="10"/>
  <c r="I147" s="1"/>
  <c r="G111"/>
  <c r="I111" s="1"/>
  <c r="F147"/>
  <c r="AJ117" i="11"/>
  <c r="AI98"/>
  <c r="AJ98" s="1"/>
  <c r="F101" i="10" s="1"/>
  <c r="AJ123" i="11"/>
  <c r="H138" i="10"/>
  <c r="AJ105" i="11"/>
  <c r="AK97"/>
  <c r="G100" i="10" s="1"/>
  <c r="H102"/>
  <c r="G102"/>
  <c r="AJ135" i="11"/>
  <c r="G138" i="10"/>
  <c r="AJ97" i="11"/>
  <c r="F100" i="10" s="1"/>
  <c r="AI122" i="11"/>
  <c r="AJ122" s="1"/>
  <c r="F137" i="10" s="1"/>
  <c r="AL97" i="11"/>
  <c r="H100" i="10" s="1"/>
  <c r="P220"/>
  <c r="N1" i="11"/>
  <c r="M59"/>
  <c r="M92"/>
  <c r="U99" i="10" s="1"/>
  <c r="F149"/>
  <c r="E162"/>
  <c r="D161"/>
  <c r="H151"/>
  <c r="H124"/>
  <c r="H103"/>
  <c r="E170"/>
  <c r="F113"/>
  <c r="H157"/>
  <c r="H104"/>
  <c r="H158"/>
  <c r="H149"/>
  <c r="E135"/>
  <c r="E134"/>
  <c r="H167"/>
  <c r="G158"/>
  <c r="E143"/>
  <c r="E126"/>
  <c r="G106"/>
  <c r="D144"/>
  <c r="E125"/>
  <c r="D135"/>
  <c r="D152"/>
  <c r="E117"/>
  <c r="F148"/>
  <c r="G157"/>
  <c r="D117"/>
  <c r="D126"/>
  <c r="D162"/>
  <c r="E116"/>
  <c r="D180"/>
  <c r="D171"/>
  <c r="E152"/>
  <c r="D143"/>
  <c r="G139"/>
  <c r="G175"/>
  <c r="F121"/>
  <c r="H140"/>
  <c r="H176"/>
  <c r="F131"/>
  <c r="G166"/>
  <c r="D107"/>
  <c r="G148"/>
  <c r="G167"/>
  <c r="H133"/>
  <c r="C236"/>
  <c r="C268" s="1"/>
  <c r="F166"/>
  <c r="F133"/>
  <c r="G122"/>
  <c r="G104"/>
  <c r="E144"/>
  <c r="H115"/>
  <c r="G149"/>
  <c r="H131"/>
  <c r="H112"/>
  <c r="G103"/>
  <c r="H130"/>
  <c r="F122"/>
  <c r="D108"/>
  <c r="F115"/>
  <c r="D134"/>
  <c r="H166"/>
  <c r="E108"/>
  <c r="F140"/>
  <c r="G131"/>
  <c r="G115"/>
  <c r="G176"/>
  <c r="H122"/>
  <c r="F104"/>
  <c r="F158"/>
  <c r="D125"/>
  <c r="E171"/>
  <c r="F106"/>
  <c r="G151"/>
  <c r="E107"/>
  <c r="H142"/>
  <c r="D116"/>
  <c r="F178"/>
  <c r="G124"/>
  <c r="E180"/>
  <c r="G112"/>
  <c r="F103"/>
  <c r="F157"/>
  <c r="D170"/>
  <c r="G121"/>
  <c r="G140"/>
  <c r="H148"/>
  <c r="G133"/>
  <c r="F176"/>
  <c r="F167"/>
  <c r="E161"/>
  <c r="G169"/>
  <c r="G142"/>
  <c r="F124"/>
  <c r="H139"/>
  <c r="H175"/>
  <c r="I120"/>
  <c r="G178"/>
  <c r="G130"/>
  <c r="F160"/>
  <c r="G113"/>
  <c r="E153"/>
  <c r="E179"/>
  <c r="H121"/>
  <c r="H106"/>
  <c r="H113"/>
  <c r="D153"/>
  <c r="D179"/>
  <c r="H178"/>
  <c r="F139"/>
  <c r="F112"/>
  <c r="F130"/>
  <c r="G160"/>
  <c r="H169"/>
  <c r="F151"/>
  <c r="F142"/>
  <c r="F175"/>
  <c r="F169"/>
  <c r="H160"/>
  <c r="D297"/>
  <c r="D266"/>
  <c r="C330"/>
  <c r="C299"/>
  <c r="D421"/>
  <c r="D390"/>
  <c r="D359"/>
  <c r="D452"/>
  <c r="C454"/>
  <c r="C423"/>
  <c r="C392"/>
  <c r="D328"/>
  <c r="D204"/>
  <c r="D235"/>
  <c r="C361"/>
  <c r="C205"/>
  <c r="F114"/>
  <c r="F159"/>
  <c r="G141"/>
  <c r="AJ99" i="11"/>
  <c r="AL141"/>
  <c r="AL123"/>
  <c r="AL129"/>
  <c r="AK123"/>
  <c r="AM145"/>
  <c r="I172" i="10" s="1"/>
  <c r="AM103" i="11"/>
  <c r="I109" i="10" s="1"/>
  <c r="AM115" i="11"/>
  <c r="I127" i="10" s="1"/>
  <c r="AM109" i="11"/>
  <c r="I118" i="10" s="1"/>
  <c r="AM121" i="11"/>
  <c r="I136" i="10" s="1"/>
  <c r="AM133" i="11"/>
  <c r="I154" i="10" s="1"/>
  <c r="AM127" i="11"/>
  <c r="I145" i="10" s="1"/>
  <c r="AL99" i="11"/>
  <c r="AM139"/>
  <c r="I163" i="10" s="1"/>
  <c r="AL105" i="11"/>
  <c r="AK105"/>
  <c r="AL117"/>
  <c r="AL135"/>
  <c r="AL111"/>
  <c r="AK135"/>
  <c r="AL147"/>
  <c r="AK117"/>
  <c r="AK99"/>
  <c r="AK141"/>
  <c r="AK111"/>
  <c r="AK147"/>
  <c r="AK129"/>
  <c r="U65" i="10"/>
  <c r="M60"/>
  <c r="AA32"/>
  <c r="AA34"/>
  <c r="Z30"/>
  <c r="Z26"/>
  <c r="Z22"/>
  <c r="Z27"/>
  <c r="Z23"/>
  <c r="Z28"/>
  <c r="Z24"/>
  <c r="Z29"/>
  <c r="Z25"/>
  <c r="AB29"/>
  <c r="AB25"/>
  <c r="AB30"/>
  <c r="AB26"/>
  <c r="AB22"/>
  <c r="AB27"/>
  <c r="AB23"/>
  <c r="AB28"/>
  <c r="AB24"/>
  <c r="P210"/>
  <c r="M211"/>
  <c r="E421"/>
  <c r="E297"/>
  <c r="E328"/>
  <c r="M214"/>
  <c r="F266"/>
  <c r="F204"/>
  <c r="F452"/>
  <c r="F359"/>
  <c r="F235"/>
  <c r="E235"/>
  <c r="M216"/>
  <c r="E204"/>
  <c r="E452"/>
  <c r="M212"/>
  <c r="F297"/>
  <c r="F390"/>
  <c r="E266"/>
  <c r="E390"/>
  <c r="F421"/>
  <c r="F328"/>
  <c r="E359"/>
  <c r="I98" l="1"/>
  <c r="I104"/>
  <c r="A207"/>
  <c r="A238"/>
  <c r="A270" s="1"/>
  <c r="A302" s="1"/>
  <c r="A334" s="1"/>
  <c r="A366" s="1"/>
  <c r="A398" s="1"/>
  <c r="A430" s="1"/>
  <c r="A462" s="1"/>
  <c r="B206"/>
  <c r="B237"/>
  <c r="B269" s="1"/>
  <c r="B301" s="1"/>
  <c r="B333" s="1"/>
  <c r="B365" s="1"/>
  <c r="B397" s="1"/>
  <c r="B429" s="1"/>
  <c r="B461" s="1"/>
  <c r="P221"/>
  <c r="I138"/>
  <c r="H150"/>
  <c r="H114"/>
  <c r="I114" s="1"/>
  <c r="H159"/>
  <c r="I159" s="1"/>
  <c r="F150"/>
  <c r="G150"/>
  <c r="I150" s="1"/>
  <c r="F177"/>
  <c r="H132"/>
  <c r="F105"/>
  <c r="AK140" i="11"/>
  <c r="G164" i="10" s="1"/>
  <c r="AL140" i="11"/>
  <c r="H164" i="10" s="1"/>
  <c r="E164"/>
  <c r="AJ146" i="11"/>
  <c r="F173" i="10" s="1"/>
  <c r="E155"/>
  <c r="AJ128" i="11"/>
  <c r="F146" i="10" s="1"/>
  <c r="G105"/>
  <c r="AL128" i="11"/>
  <c r="H146" i="10" s="1"/>
  <c r="AL146" i="11"/>
  <c r="H173" i="10" s="1"/>
  <c r="H105"/>
  <c r="AK134" i="11"/>
  <c r="I174" i="10"/>
  <c r="AL134" i="11"/>
  <c r="H155" i="10" s="1"/>
  <c r="I165"/>
  <c r="AK146" i="11"/>
  <c r="G173" i="10" s="1"/>
  <c r="G132"/>
  <c r="F132"/>
  <c r="H177"/>
  <c r="AK110" i="11"/>
  <c r="G119" i="10" s="1"/>
  <c r="AK104" i="11"/>
  <c r="G110" i="10" s="1"/>
  <c r="AK128" i="11"/>
  <c r="E119" i="10"/>
  <c r="AJ116" i="11"/>
  <c r="F128" i="10" s="1"/>
  <c r="AK116" i="11"/>
  <c r="G128" i="10" s="1"/>
  <c r="AL116" i="11"/>
  <c r="H128" i="10" s="1"/>
  <c r="E110"/>
  <c r="H141"/>
  <c r="I141" s="1"/>
  <c r="AL110" i="11"/>
  <c r="H119" i="10" s="1"/>
  <c r="AL104" i="11"/>
  <c r="H110" i="10" s="1"/>
  <c r="E101"/>
  <c r="G177"/>
  <c r="I133"/>
  <c r="I122"/>
  <c r="I156"/>
  <c r="H168"/>
  <c r="I168" s="1"/>
  <c r="F168"/>
  <c r="F116"/>
  <c r="I131"/>
  <c r="AK98" i="11"/>
  <c r="G101" i="10" s="1"/>
  <c r="AL98" i="11"/>
  <c r="H101" i="10" s="1"/>
  <c r="E137"/>
  <c r="G123"/>
  <c r="H123"/>
  <c r="I106"/>
  <c r="I102"/>
  <c r="AM111" i="11"/>
  <c r="AM97"/>
  <c r="I100" i="10" s="1"/>
  <c r="AK122" i="11"/>
  <c r="G137" i="10" s="1"/>
  <c r="AL122" i="11"/>
  <c r="H137" i="10" s="1"/>
  <c r="G126"/>
  <c r="F108"/>
  <c r="O1" i="11"/>
  <c r="N59"/>
  <c r="N92"/>
  <c r="V99" i="10" s="1"/>
  <c r="H108"/>
  <c r="H144"/>
  <c r="F117"/>
  <c r="I158"/>
  <c r="F170"/>
  <c r="F152"/>
  <c r="H117"/>
  <c r="G161"/>
  <c r="I103"/>
  <c r="I167"/>
  <c r="H126"/>
  <c r="G117"/>
  <c r="H162"/>
  <c r="H135"/>
  <c r="F126"/>
  <c r="H152"/>
  <c r="I157"/>
  <c r="I124"/>
  <c r="G134"/>
  <c r="I149"/>
  <c r="F162"/>
  <c r="I151"/>
  <c r="G144"/>
  <c r="G143"/>
  <c r="F135"/>
  <c r="G135"/>
  <c r="G162"/>
  <c r="F143"/>
  <c r="F134"/>
  <c r="I130"/>
  <c r="G125"/>
  <c r="G107"/>
  <c r="I176"/>
  <c r="G108"/>
  <c r="G180"/>
  <c r="G152"/>
  <c r="H125"/>
  <c r="I112"/>
  <c r="H143"/>
  <c r="F144"/>
  <c r="H116"/>
  <c r="G116"/>
  <c r="G171"/>
  <c r="F107"/>
  <c r="H134"/>
  <c r="H107"/>
  <c r="H170"/>
  <c r="I166"/>
  <c r="H161"/>
  <c r="F171"/>
  <c r="F125"/>
  <c r="I169"/>
  <c r="I139"/>
  <c r="I148"/>
  <c r="I115"/>
  <c r="I140"/>
  <c r="I175"/>
  <c r="C237"/>
  <c r="C269" s="1"/>
  <c r="I121"/>
  <c r="H153"/>
  <c r="I113"/>
  <c r="I142"/>
  <c r="H180"/>
  <c r="H171"/>
  <c r="G170"/>
  <c r="F153"/>
  <c r="F180"/>
  <c r="F161"/>
  <c r="H179"/>
  <c r="G179"/>
  <c r="I160"/>
  <c r="F179"/>
  <c r="I178"/>
  <c r="G153"/>
  <c r="D360"/>
  <c r="C300"/>
  <c r="D329"/>
  <c r="D205"/>
  <c r="D236"/>
  <c r="D453"/>
  <c r="D298"/>
  <c r="D267"/>
  <c r="C455"/>
  <c r="D422"/>
  <c r="C362"/>
  <c r="C393"/>
  <c r="C424"/>
  <c r="D391"/>
  <c r="C331"/>
  <c r="C206"/>
  <c r="AM123" i="11"/>
  <c r="AM129"/>
  <c r="AM141"/>
  <c r="AM99"/>
  <c r="AM135"/>
  <c r="AM117"/>
  <c r="AM147"/>
  <c r="AM105"/>
  <c r="AA33" i="10"/>
  <c r="Z32"/>
  <c r="Z34"/>
  <c r="AB34"/>
  <c r="AB32"/>
  <c r="M218"/>
  <c r="M213"/>
  <c r="N211"/>
  <c r="O217"/>
  <c r="O213"/>
  <c r="O214"/>
  <c r="O212"/>
  <c r="E453"/>
  <c r="E360"/>
  <c r="E205"/>
  <c r="E329"/>
  <c r="E391"/>
  <c r="O215"/>
  <c r="O210"/>
  <c r="N210"/>
  <c r="N212"/>
  <c r="F422"/>
  <c r="F236"/>
  <c r="F298"/>
  <c r="M215"/>
  <c r="M210"/>
  <c r="M217"/>
  <c r="O211"/>
  <c r="N217"/>
  <c r="N213"/>
  <c r="N216"/>
  <c r="O218"/>
  <c r="E422"/>
  <c r="E236"/>
  <c r="E267"/>
  <c r="E298"/>
  <c r="N215"/>
  <c r="O216"/>
  <c r="N214"/>
  <c r="N218"/>
  <c r="F453"/>
  <c r="F360"/>
  <c r="F205"/>
  <c r="F329"/>
  <c r="F391"/>
  <c r="F267"/>
  <c r="I135" l="1"/>
  <c r="B207"/>
  <c r="B238"/>
  <c r="B270" s="1"/>
  <c r="B302" s="1"/>
  <c r="B334" s="1"/>
  <c r="B366" s="1"/>
  <c r="B398" s="1"/>
  <c r="B430" s="1"/>
  <c r="B462" s="1"/>
  <c r="A208"/>
  <c r="A239"/>
  <c r="A271" s="1"/>
  <c r="A303" s="1"/>
  <c r="A335" s="1"/>
  <c r="A367" s="1"/>
  <c r="A399" s="1"/>
  <c r="A431" s="1"/>
  <c r="A463" s="1"/>
  <c r="O221"/>
  <c r="N221"/>
  <c r="M221"/>
  <c r="I132"/>
  <c r="AM140" i="11"/>
  <c r="I164" i="10" s="1"/>
  <c r="I105"/>
  <c r="M220"/>
  <c r="AK149" i="11"/>
  <c r="AM128"/>
  <c r="I146" i="10" s="1"/>
  <c r="AM134" i="11"/>
  <c r="I155" i="10" s="1"/>
  <c r="AL148" i="11"/>
  <c r="G155" i="10"/>
  <c r="AL150" i="11"/>
  <c r="AK150"/>
  <c r="AK148"/>
  <c r="AL149"/>
  <c r="AM146"/>
  <c r="I173" i="10" s="1"/>
  <c r="G146"/>
  <c r="AM110" i="11"/>
  <c r="I119" i="10" s="1"/>
  <c r="AM116" i="11"/>
  <c r="I128" i="10" s="1"/>
  <c r="AM104" i="11"/>
  <c r="I110" i="10" s="1"/>
  <c r="I177"/>
  <c r="AM98" i="11"/>
  <c r="I101" i="10" s="1"/>
  <c r="I123"/>
  <c r="AM122" i="11"/>
  <c r="I137" i="10" s="1"/>
  <c r="N220"/>
  <c r="O220"/>
  <c r="I126"/>
  <c r="I152"/>
  <c r="I162"/>
  <c r="P1" i="11"/>
  <c r="O59"/>
  <c r="O92"/>
  <c r="W99" i="10" s="1"/>
  <c r="I108"/>
  <c r="I117"/>
  <c r="I144"/>
  <c r="I161"/>
  <c r="I134"/>
  <c r="I143"/>
  <c r="I125"/>
  <c r="I170"/>
  <c r="I107"/>
  <c r="I180"/>
  <c r="I171"/>
  <c r="I116"/>
  <c r="I153"/>
  <c r="C238"/>
  <c r="C270" s="1"/>
  <c r="I179"/>
  <c r="C363"/>
  <c r="C301"/>
  <c r="D299"/>
  <c r="D206"/>
  <c r="D237"/>
  <c r="C425"/>
  <c r="D268"/>
  <c r="D392"/>
  <c r="C456"/>
  <c r="D454"/>
  <c r="C332"/>
  <c r="D423"/>
  <c r="C394"/>
  <c r="D330"/>
  <c r="D361"/>
  <c r="C207"/>
  <c r="Z33"/>
  <c r="AB33"/>
  <c r="E268"/>
  <c r="F206"/>
  <c r="F423"/>
  <c r="F268"/>
  <c r="F454"/>
  <c r="F237"/>
  <c r="F392"/>
  <c r="F361"/>
  <c r="E237"/>
  <c r="E392"/>
  <c r="E299"/>
  <c r="E361"/>
  <c r="E330"/>
  <c r="F299"/>
  <c r="F330"/>
  <c r="E454"/>
  <c r="E206"/>
  <c r="E423"/>
  <c r="A209" l="1"/>
  <c r="A240"/>
  <c r="A272" s="1"/>
  <c r="A304" s="1"/>
  <c r="A336" s="1"/>
  <c r="A368" s="1"/>
  <c r="A400" s="1"/>
  <c r="A432" s="1"/>
  <c r="A464" s="1"/>
  <c r="B208"/>
  <c r="B239"/>
  <c r="B271" s="1"/>
  <c r="B303" s="1"/>
  <c r="B335" s="1"/>
  <c r="B367" s="1"/>
  <c r="B399" s="1"/>
  <c r="B431" s="1"/>
  <c r="B463" s="1"/>
  <c r="AM148" i="11"/>
  <c r="AM150"/>
  <c r="AM149"/>
  <c r="Q1"/>
  <c r="P59"/>
  <c r="P92"/>
  <c r="X99" i="10" s="1"/>
  <c r="C239"/>
  <c r="C271" s="1"/>
  <c r="C395"/>
  <c r="D393"/>
  <c r="C364"/>
  <c r="D300"/>
  <c r="D331"/>
  <c r="D455"/>
  <c r="D424"/>
  <c r="D207"/>
  <c r="D238"/>
  <c r="C302"/>
  <c r="C426"/>
  <c r="D269"/>
  <c r="D362"/>
  <c r="C457"/>
  <c r="C333"/>
  <c r="C208"/>
  <c r="E393"/>
  <c r="E362"/>
  <c r="E207"/>
  <c r="E300"/>
  <c r="E455"/>
  <c r="F238"/>
  <c r="F331"/>
  <c r="F269"/>
  <c r="F424"/>
  <c r="F455"/>
  <c r="E238"/>
  <c r="E331"/>
  <c r="E269"/>
  <c r="E424"/>
  <c r="F393"/>
  <c r="F362"/>
  <c r="F207"/>
  <c r="F300"/>
  <c r="B209" l="1"/>
  <c r="B240"/>
  <c r="B272" s="1"/>
  <c r="B304" s="1"/>
  <c r="B336" s="1"/>
  <c r="B368" s="1"/>
  <c r="B400" s="1"/>
  <c r="B432" s="1"/>
  <c r="B464" s="1"/>
  <c r="A210"/>
  <c r="A241"/>
  <c r="A273" s="1"/>
  <c r="A305" s="1"/>
  <c r="A337" s="1"/>
  <c r="A369" s="1"/>
  <c r="A401" s="1"/>
  <c r="A433" s="1"/>
  <c r="A465" s="1"/>
  <c r="R1" i="11"/>
  <c r="Q59"/>
  <c r="Q92"/>
  <c r="Y99" i="10" s="1"/>
  <c r="C240"/>
  <c r="D270"/>
  <c r="C365"/>
  <c r="C458"/>
  <c r="D456"/>
  <c r="D332"/>
  <c r="D301"/>
  <c r="D208"/>
  <c r="D239"/>
  <c r="D363"/>
  <c r="C427"/>
  <c r="D394"/>
  <c r="C303"/>
  <c r="D425"/>
  <c r="C334"/>
  <c r="C396"/>
  <c r="C209"/>
  <c r="E425"/>
  <c r="E332"/>
  <c r="E301"/>
  <c r="E208"/>
  <c r="F363"/>
  <c r="F270"/>
  <c r="F239"/>
  <c r="F456"/>
  <c r="E363"/>
  <c r="E270"/>
  <c r="E239"/>
  <c r="E456"/>
  <c r="E394"/>
  <c r="F425"/>
  <c r="F332"/>
  <c r="F301"/>
  <c r="F208"/>
  <c r="F394"/>
  <c r="A211" l="1"/>
  <c r="A242"/>
  <c r="A274" s="1"/>
  <c r="A306" s="1"/>
  <c r="A338" s="1"/>
  <c r="A370" s="1"/>
  <c r="A402" s="1"/>
  <c r="A434" s="1"/>
  <c r="A466" s="1"/>
  <c r="B210"/>
  <c r="B241"/>
  <c r="B273" s="1"/>
  <c r="B305" s="1"/>
  <c r="B337" s="1"/>
  <c r="B369" s="1"/>
  <c r="B401" s="1"/>
  <c r="B433" s="1"/>
  <c r="B465" s="1"/>
  <c r="S1" i="11"/>
  <c r="R59"/>
  <c r="R92"/>
  <c r="Z99" i="10" s="1"/>
  <c r="C241"/>
  <c r="C273" s="1"/>
  <c r="C272"/>
  <c r="C304" s="1"/>
  <c r="D457"/>
  <c r="C366"/>
  <c r="C428"/>
  <c r="D426"/>
  <c r="D209"/>
  <c r="D240"/>
  <c r="C335"/>
  <c r="D271"/>
  <c r="D364"/>
  <c r="D302"/>
  <c r="D395"/>
  <c r="C397"/>
  <c r="C459"/>
  <c r="D333"/>
  <c r="C210"/>
  <c r="E426"/>
  <c r="E302"/>
  <c r="E364"/>
  <c r="E271"/>
  <c r="F457"/>
  <c r="F395"/>
  <c r="F240"/>
  <c r="F209"/>
  <c r="F333"/>
  <c r="E457"/>
  <c r="E395"/>
  <c r="E240"/>
  <c r="E209"/>
  <c r="E333"/>
  <c r="F426"/>
  <c r="F302"/>
  <c r="F364"/>
  <c r="F271"/>
  <c r="B211" l="1"/>
  <c r="B242"/>
  <c r="B274" s="1"/>
  <c r="B306" s="1"/>
  <c r="B338" s="1"/>
  <c r="B370" s="1"/>
  <c r="B402" s="1"/>
  <c r="B434" s="1"/>
  <c r="B466" s="1"/>
  <c r="A212"/>
  <c r="A243"/>
  <c r="A275" s="1"/>
  <c r="A307" s="1"/>
  <c r="A339" s="1"/>
  <c r="A371" s="1"/>
  <c r="A403" s="1"/>
  <c r="A435" s="1"/>
  <c r="A467" s="1"/>
  <c r="T1" i="11"/>
  <c r="S59"/>
  <c r="S92"/>
  <c r="AA99" i="10" s="1"/>
  <c r="C242"/>
  <c r="C274" s="1"/>
  <c r="D303"/>
  <c r="C336"/>
  <c r="D396"/>
  <c r="D365"/>
  <c r="D334"/>
  <c r="C305"/>
  <c r="C460"/>
  <c r="D427"/>
  <c r="C367"/>
  <c r="D458"/>
  <c r="C429"/>
  <c r="D210"/>
  <c r="D241"/>
  <c r="D272"/>
  <c r="C398"/>
  <c r="C211"/>
  <c r="E458"/>
  <c r="E365"/>
  <c r="E303"/>
  <c r="E427"/>
  <c r="F396"/>
  <c r="F272"/>
  <c r="F241"/>
  <c r="F334"/>
  <c r="F210"/>
  <c r="E396"/>
  <c r="E272"/>
  <c r="E241"/>
  <c r="E334"/>
  <c r="E210"/>
  <c r="F458"/>
  <c r="F365"/>
  <c r="F303"/>
  <c r="F427"/>
  <c r="A213" l="1"/>
  <c r="A244"/>
  <c r="A276" s="1"/>
  <c r="A308" s="1"/>
  <c r="A340" s="1"/>
  <c r="A372" s="1"/>
  <c r="A404" s="1"/>
  <c r="A436" s="1"/>
  <c r="A468" s="1"/>
  <c r="B212"/>
  <c r="B243"/>
  <c r="B275" s="1"/>
  <c r="B307" s="1"/>
  <c r="B339" s="1"/>
  <c r="B371" s="1"/>
  <c r="B403" s="1"/>
  <c r="B435" s="1"/>
  <c r="B467" s="1"/>
  <c r="U1" i="11"/>
  <c r="T59"/>
  <c r="T92"/>
  <c r="AB99" i="10" s="1"/>
  <c r="C243"/>
  <c r="C275" s="1"/>
  <c r="C399"/>
  <c r="C430"/>
  <c r="C461"/>
  <c r="C306"/>
  <c r="D397"/>
  <c r="D211"/>
  <c r="D242"/>
  <c r="D459"/>
  <c r="D366"/>
  <c r="D335"/>
  <c r="D273"/>
  <c r="C337"/>
  <c r="C368"/>
  <c r="D304"/>
  <c r="D428"/>
  <c r="C212"/>
  <c r="E397"/>
  <c r="E242"/>
  <c r="E428"/>
  <c r="E335"/>
  <c r="F366"/>
  <c r="F459"/>
  <c r="F273"/>
  <c r="F211"/>
  <c r="F304"/>
  <c r="E366"/>
  <c r="E459"/>
  <c r="E273"/>
  <c r="E211"/>
  <c r="E304"/>
  <c r="F397"/>
  <c r="F242"/>
  <c r="F428"/>
  <c r="F335"/>
  <c r="B213" l="1"/>
  <c r="B244"/>
  <c r="B276" s="1"/>
  <c r="B308" s="1"/>
  <c r="B340" s="1"/>
  <c r="B372" s="1"/>
  <c r="B404" s="1"/>
  <c r="B436" s="1"/>
  <c r="B468" s="1"/>
  <c r="A214"/>
  <c r="A245"/>
  <c r="A277" s="1"/>
  <c r="A309" s="1"/>
  <c r="A341" s="1"/>
  <c r="A373" s="1"/>
  <c r="A405" s="1"/>
  <c r="A437" s="1"/>
  <c r="A469" s="1"/>
  <c r="V1" i="11"/>
  <c r="U59"/>
  <c r="U92"/>
  <c r="AC99" i="10" s="1"/>
  <c r="C244"/>
  <c r="C276" s="1"/>
  <c r="D460"/>
  <c r="C431"/>
  <c r="D305"/>
  <c r="D274"/>
  <c r="C338"/>
  <c r="C369"/>
  <c r="D429"/>
  <c r="C400"/>
  <c r="D398"/>
  <c r="C307"/>
  <c r="C462"/>
  <c r="D336"/>
  <c r="D367"/>
  <c r="D212"/>
  <c r="D243"/>
  <c r="C213"/>
  <c r="E367"/>
  <c r="E274"/>
  <c r="E429"/>
  <c r="E212"/>
  <c r="F398"/>
  <c r="F460"/>
  <c r="F243"/>
  <c r="E398"/>
  <c r="E460"/>
  <c r="E305"/>
  <c r="E243"/>
  <c r="E336"/>
  <c r="F367"/>
  <c r="F274"/>
  <c r="F429"/>
  <c r="F212"/>
  <c r="F305"/>
  <c r="F336"/>
  <c r="A215" l="1"/>
  <c r="A247" s="1"/>
  <c r="A279" s="1"/>
  <c r="A311" s="1"/>
  <c r="A343" s="1"/>
  <c r="A375" s="1"/>
  <c r="A407" s="1"/>
  <c r="A439" s="1"/>
  <c r="A471" s="1"/>
  <c r="A246"/>
  <c r="A278" s="1"/>
  <c r="A310" s="1"/>
  <c r="A342" s="1"/>
  <c r="A374" s="1"/>
  <c r="A406" s="1"/>
  <c r="A438" s="1"/>
  <c r="A470" s="1"/>
  <c r="B214"/>
  <c r="B245"/>
  <c r="B277" s="1"/>
  <c r="B309" s="1"/>
  <c r="B341" s="1"/>
  <c r="B373" s="1"/>
  <c r="B405" s="1"/>
  <c r="B437" s="1"/>
  <c r="B469" s="1"/>
  <c r="W1" i="11"/>
  <c r="V59"/>
  <c r="V92"/>
  <c r="AD99" i="10" s="1"/>
  <c r="C245"/>
  <c r="D399"/>
  <c r="C370"/>
  <c r="D275"/>
  <c r="D461"/>
  <c r="D337"/>
  <c r="D368"/>
  <c r="C432"/>
  <c r="D306"/>
  <c r="D430"/>
  <c r="C308"/>
  <c r="D213"/>
  <c r="D244"/>
  <c r="C339"/>
  <c r="C401"/>
  <c r="C463"/>
  <c r="C214"/>
  <c r="E430"/>
  <c r="E337"/>
  <c r="E213"/>
  <c r="F399"/>
  <c r="F275"/>
  <c r="E399"/>
  <c r="E306"/>
  <c r="E461"/>
  <c r="E275"/>
  <c r="F430"/>
  <c r="F337"/>
  <c r="F244"/>
  <c r="F213"/>
  <c r="F368"/>
  <c r="F461"/>
  <c r="F306"/>
  <c r="E368"/>
  <c r="E244"/>
  <c r="B215" l="1"/>
  <c r="B247" s="1"/>
  <c r="B279" s="1"/>
  <c r="B311" s="1"/>
  <c r="B343" s="1"/>
  <c r="B375" s="1"/>
  <c r="B407" s="1"/>
  <c r="B439" s="1"/>
  <c r="B471" s="1"/>
  <c r="B246"/>
  <c r="B278" s="1"/>
  <c r="B310" s="1"/>
  <c r="B342" s="1"/>
  <c r="B374" s="1"/>
  <c r="B406" s="1"/>
  <c r="B438" s="1"/>
  <c r="B470" s="1"/>
  <c r="X1" i="11"/>
  <c r="W59"/>
  <c r="W92"/>
  <c r="AE99" i="10" s="1"/>
  <c r="C246"/>
  <c r="C278" s="1"/>
  <c r="C277"/>
  <c r="D462"/>
  <c r="C402"/>
  <c r="C433"/>
  <c r="D214"/>
  <c r="D245"/>
  <c r="C464"/>
  <c r="D276"/>
  <c r="D338"/>
  <c r="D369"/>
  <c r="D431"/>
  <c r="C371"/>
  <c r="C340"/>
  <c r="D400"/>
  <c r="D307"/>
  <c r="C215"/>
  <c r="E245"/>
  <c r="E214"/>
  <c r="E400"/>
  <c r="E276"/>
  <c r="F462"/>
  <c r="F276"/>
  <c r="F400"/>
  <c r="E307"/>
  <c r="F369"/>
  <c r="F338"/>
  <c r="F431"/>
  <c r="E462"/>
  <c r="E338"/>
  <c r="E431"/>
  <c r="E369"/>
  <c r="F245"/>
  <c r="F307"/>
  <c r="F214"/>
  <c r="Y1" i="11" l="1"/>
  <c r="X59"/>
  <c r="X92"/>
  <c r="AF99" i="10" s="1"/>
  <c r="C247"/>
  <c r="C279" s="1"/>
  <c r="C309"/>
  <c r="C341" s="1"/>
  <c r="D401"/>
  <c r="C434"/>
  <c r="D432"/>
  <c r="D339"/>
  <c r="C403"/>
  <c r="D308"/>
  <c r="D215"/>
  <c r="D246"/>
  <c r="D370"/>
  <c r="D277"/>
  <c r="C372"/>
  <c r="D463"/>
  <c r="C310"/>
  <c r="C465"/>
  <c r="F401"/>
  <c r="F246"/>
  <c r="F432"/>
  <c r="F370"/>
  <c r="F463"/>
  <c r="E339"/>
  <c r="E277"/>
  <c r="E215"/>
  <c r="E308"/>
  <c r="E463"/>
  <c r="F339"/>
  <c r="F277"/>
  <c r="F215"/>
  <c r="F308"/>
  <c r="E401"/>
  <c r="E246"/>
  <c r="E432"/>
  <c r="E370"/>
  <c r="Z1" i="11" l="1"/>
  <c r="Y59"/>
  <c r="Y92"/>
  <c r="AG99" i="10" s="1"/>
  <c r="C373"/>
  <c r="C466"/>
  <c r="C342"/>
  <c r="D402"/>
  <c r="D309"/>
  <c r="D278"/>
  <c r="D371"/>
  <c r="C404"/>
  <c r="C311"/>
  <c r="C435"/>
  <c r="D433"/>
  <c r="D340"/>
  <c r="D247"/>
  <c r="D464"/>
  <c r="F371"/>
  <c r="F247"/>
  <c r="F340"/>
  <c r="F278"/>
  <c r="E371"/>
  <c r="E247"/>
  <c r="E340"/>
  <c r="E278"/>
  <c r="E464"/>
  <c r="F309"/>
  <c r="F402"/>
  <c r="F433"/>
  <c r="F464"/>
  <c r="E309"/>
  <c r="E402"/>
  <c r="E433"/>
  <c r="AA1" i="11" l="1"/>
  <c r="Z59"/>
  <c r="Z92"/>
  <c r="AH99" i="10" s="1"/>
  <c r="C467"/>
  <c r="D372"/>
  <c r="C436"/>
  <c r="D434"/>
  <c r="D279"/>
  <c r="C343"/>
  <c r="D341"/>
  <c r="C405"/>
  <c r="D310"/>
  <c r="D465"/>
  <c r="D403"/>
  <c r="C374"/>
  <c r="F279"/>
  <c r="F403"/>
  <c r="E310"/>
  <c r="E341"/>
  <c r="F310"/>
  <c r="F341"/>
  <c r="F372"/>
  <c r="E279"/>
  <c r="E434"/>
  <c r="E403"/>
  <c r="E465"/>
  <c r="E372"/>
  <c r="F434"/>
  <c r="F465"/>
  <c r="AB1" i="11" l="1"/>
  <c r="AA59"/>
  <c r="AA92"/>
  <c r="AI99" i="10" s="1"/>
  <c r="C406"/>
  <c r="C437"/>
  <c r="D466"/>
  <c r="D342"/>
  <c r="D311"/>
  <c r="C375"/>
  <c r="D404"/>
  <c r="D435"/>
  <c r="D373"/>
  <c r="C468"/>
  <c r="F466"/>
  <c r="F311"/>
  <c r="E466"/>
  <c r="E311"/>
  <c r="F404"/>
  <c r="F342"/>
  <c r="F373"/>
  <c r="E404"/>
  <c r="E342"/>
  <c r="E373"/>
  <c r="F435"/>
  <c r="AC1" i="11" l="1"/>
  <c r="AB59"/>
  <c r="AB92"/>
  <c r="AJ99" i="10" s="1"/>
  <c r="C407"/>
  <c r="C469"/>
  <c r="D436"/>
  <c r="D467"/>
  <c r="D374"/>
  <c r="D405"/>
  <c r="D343"/>
  <c r="C438"/>
  <c r="F405"/>
  <c r="E467"/>
  <c r="F467"/>
  <c r="E435"/>
  <c r="F436"/>
  <c r="F343"/>
  <c r="E374"/>
  <c r="E436"/>
  <c r="E405"/>
  <c r="F374"/>
  <c r="E343"/>
  <c r="AD1" i="11" l="1"/>
  <c r="AC59"/>
  <c r="AC92"/>
  <c r="AK99" i="10" s="1"/>
  <c r="D437"/>
  <c r="D375"/>
  <c r="D468"/>
  <c r="C470"/>
  <c r="D406"/>
  <c r="C439"/>
  <c r="F437"/>
  <c r="F468"/>
  <c r="E437"/>
  <c r="E468"/>
  <c r="F406"/>
  <c r="F375"/>
  <c r="E406"/>
  <c r="E375"/>
  <c r="AE1" i="11" l="1"/>
  <c r="AD59"/>
  <c r="AD92"/>
  <c r="AL99" i="10" s="1"/>
  <c r="C471"/>
  <c r="D407"/>
  <c r="D438"/>
  <c r="D469"/>
  <c r="E438"/>
  <c r="F438"/>
  <c r="E469"/>
  <c r="E407"/>
  <c r="F407"/>
  <c r="F469"/>
  <c r="AF1" i="11" l="1"/>
  <c r="AE59"/>
  <c r="AE92"/>
  <c r="AM99" i="10" s="1"/>
  <c r="D439"/>
  <c r="D470"/>
  <c r="F439"/>
  <c r="E470"/>
  <c r="E439"/>
  <c r="F470"/>
  <c r="AF92" i="11" l="1"/>
  <c r="AN99" i="10" s="1"/>
  <c r="AF59" i="11"/>
  <c r="AG1"/>
  <c r="D471" i="10"/>
  <c r="F471"/>
  <c r="E471"/>
  <c r="AG92" i="11" l="1"/>
  <c r="AO99" i="10" s="1"/>
  <c r="AG59" i="11"/>
</calcChain>
</file>

<file path=xl/comments1.xml><?xml version="1.0" encoding="utf-8"?>
<comments xmlns="http://schemas.openxmlformats.org/spreadsheetml/2006/main">
  <authors>
    <author>jgetchel</author>
  </authors>
  <commentList>
    <comment ref="M222" authorId="0">
      <text>
        <r>
          <rPr>
            <b/>
            <sz val="8"/>
            <color indexed="81"/>
            <rFont val="Tahoma"/>
            <family val="2"/>
          </rPr>
          <t>Use DUTenable to select BIN1 devices</t>
        </r>
      </text>
    </comment>
  </commentList>
</comments>
</file>

<file path=xl/sharedStrings.xml><?xml version="1.0" encoding="utf-8"?>
<sst xmlns="http://schemas.openxmlformats.org/spreadsheetml/2006/main" count="202" uniqueCount="96">
  <si>
    <t>Voltage</t>
  </si>
  <si>
    <t>x</t>
  </si>
  <si>
    <t>y</t>
  </si>
  <si>
    <t>CCT</t>
  </si>
  <si>
    <t>MAX</t>
  </si>
  <si>
    <t>MIN</t>
  </si>
  <si>
    <t>Range</t>
  </si>
  <si>
    <t>LINEST</t>
  </si>
  <si>
    <t>Rescramble</t>
  </si>
  <si>
    <t>Y</t>
  </si>
  <si>
    <t>Ev</t>
  </si>
  <si>
    <t>u</t>
  </si>
  <si>
    <t>v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</si>
  <si>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uv</t>
    </r>
  </si>
  <si>
    <t>MK-1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</si>
  <si>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xy</t>
    </r>
  </si>
  <si>
    <t>Lo Range</t>
  </si>
  <si>
    <t>Hi Range</t>
  </si>
  <si>
    <t>X</t>
  </si>
  <si>
    <t>Z</t>
  </si>
  <si>
    <t>R</t>
  </si>
  <si>
    <t>G</t>
  </si>
  <si>
    <t>B</t>
  </si>
  <si>
    <t>Chroma</t>
  </si>
  <si>
    <t>Calculated</t>
  </si>
  <si>
    <t>Target</t>
  </si>
  <si>
    <t>Actual</t>
  </si>
  <si>
    <t>Set</t>
  </si>
  <si>
    <t>Error</t>
  </si>
  <si>
    <t>Tcp</t>
  </si>
  <si>
    <t>DUT</t>
  </si>
  <si>
    <t>Source Calibration</t>
  </si>
  <si>
    <t>MID</t>
  </si>
  <si>
    <t>Mean</t>
  </si>
  <si>
    <t>Stdev</t>
  </si>
  <si>
    <r>
      <t>Mean+1.5</t>
    </r>
    <r>
      <rPr>
        <sz val="11"/>
        <color theme="1"/>
        <rFont val="Calibri"/>
        <family val="2"/>
      </rPr>
      <t>σ</t>
    </r>
  </si>
  <si>
    <t>Max</t>
  </si>
  <si>
    <t>Calibrate Test Points</t>
  </si>
  <si>
    <t>Mult</t>
  </si>
  <si>
    <t>Result</t>
  </si>
  <si>
    <t>Results</t>
  </si>
  <si>
    <t>Calibrate Device</t>
  </si>
  <si>
    <t>High</t>
  </si>
  <si>
    <t>Low</t>
  </si>
  <si>
    <t>Step</t>
  </si>
  <si>
    <t>#</t>
  </si>
  <si>
    <r>
      <t>V</t>
    </r>
    <r>
      <rPr>
        <vertAlign val="subscript"/>
        <sz val="11"/>
        <color theme="1"/>
        <rFont val="Calibri"/>
        <family val="2"/>
        <scheme val="minor"/>
      </rPr>
      <t>R</t>
    </r>
  </si>
  <si>
    <r>
      <t>V</t>
    </r>
    <r>
      <rPr>
        <vertAlign val="subscript"/>
        <sz val="11"/>
        <color theme="1"/>
        <rFont val="Calibri"/>
        <family val="2"/>
        <scheme val="minor"/>
      </rPr>
      <t>G</t>
    </r>
  </si>
  <si>
    <r>
      <t>V</t>
    </r>
    <r>
      <rPr>
        <vertAlign val="subscript"/>
        <sz val="11"/>
        <color theme="1"/>
        <rFont val="Calibri"/>
        <family val="2"/>
        <scheme val="minor"/>
      </rPr>
      <t>B</t>
    </r>
  </si>
  <si>
    <t>Min</t>
  </si>
  <si>
    <t>Mid</t>
  </si>
  <si>
    <t>Next Set</t>
  </si>
  <si>
    <t>comp38=</t>
  </si>
  <si>
    <t>stdDev</t>
  </si>
  <si>
    <t>%/val</t>
  </si>
  <si>
    <t>From data0</t>
  </si>
  <si>
    <t>xOffset=</t>
  </si>
  <si>
    <t>yOffset=</t>
  </si>
  <si>
    <r>
      <t xml:space="preserve">RGB </t>
    </r>
    <r>
      <rPr>
        <b/>
        <sz val="36"/>
        <color theme="1"/>
        <rFont val="Calibri"/>
        <family val="2"/>
      </rPr>
      <t>→</t>
    </r>
    <r>
      <rPr>
        <b/>
        <sz val="36"/>
        <color theme="1"/>
        <rFont val="Calibri"/>
        <family val="2"/>
        <scheme val="minor"/>
      </rPr>
      <t xml:space="preserve"> XYZ</t>
    </r>
  </si>
  <si>
    <r>
      <t>min</t>
    </r>
    <r>
      <rPr>
        <sz val="11"/>
        <color theme="1"/>
        <rFont val="Calibri"/>
        <family val="2"/>
      </rPr>
      <t>σ</t>
    </r>
  </si>
  <si>
    <r>
      <t>max</t>
    </r>
    <r>
      <rPr>
        <sz val="11"/>
        <color theme="1"/>
        <rFont val="Calibri"/>
        <family val="2"/>
      </rPr>
      <t>σ</t>
    </r>
  </si>
  <si>
    <t>balance</t>
  </si>
  <si>
    <t>Pre</t>
  </si>
  <si>
    <t>mean</t>
  </si>
  <si>
    <t>std</t>
  </si>
  <si>
    <t>Post</t>
  </si>
  <si>
    <t>%/value</t>
  </si>
  <si>
    <t>LO</t>
  </si>
  <si>
    <t>HI</t>
  </si>
  <si>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%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</si>
  <si>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Trim</t>
    </r>
  </si>
  <si>
    <t>MEAN</t>
  </si>
  <si>
    <t>cal</t>
  </si>
  <si>
    <t>%/Val</t>
  </si>
  <si>
    <t>ROW</t>
  </si>
  <si>
    <t>COL</t>
  </si>
  <si>
    <t xml:space="preserve"> </t>
  </si>
  <si>
    <t>Enable</t>
  </si>
  <si>
    <t>UseEnableMask=</t>
  </si>
  <si>
    <t>Bin1 Yield=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</si>
  <si>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Y</t>
    </r>
  </si>
  <si>
    <t>ATE Population</t>
  </si>
  <si>
    <r>
      <t xml:space="preserve">RGB </t>
    </r>
    <r>
      <rPr>
        <sz val="11"/>
        <color theme="1"/>
        <rFont val="Calibri"/>
        <family val="2"/>
      </rPr>
      <t>→</t>
    </r>
    <r>
      <rPr>
        <sz val="11"/>
        <color theme="1"/>
        <rFont val="Calibri"/>
        <family val="2"/>
        <scheme val="minor"/>
      </rPr>
      <t xml:space="preserve"> XYZ</t>
    </r>
  </si>
  <si>
    <t>↓ −−→ Manual −−→ Copy ↑</t>
  </si>
  <si>
    <r>
      <t xml:space="preserve">Copy </t>
    </r>
    <r>
      <rPr>
        <sz val="11"/>
        <color theme="1"/>
        <rFont val="Calibri"/>
        <family val="2"/>
      </rPr>
      <t>←−−−−−−−−−−−−−</t>
    </r>
  </si>
  <si>
    <r>
      <rPr>
        <sz val="11"/>
        <color theme="1"/>
        <rFont val="Calibri"/>
        <family val="2"/>
      </rPr>
      <t xml:space="preserve">←−−−−−−−−−−−−− </t>
    </r>
    <r>
      <rPr>
        <sz val="11"/>
        <color theme="1"/>
        <rFont val="Calibri"/>
        <family val="2"/>
        <scheme val="minor"/>
      </rPr>
      <t>Rescramble</t>
    </r>
  </si>
  <si>
    <t>Planckian</t>
  </si>
  <si>
    <t>Box</t>
  </si>
  <si>
    <t>Planckian/Box=</t>
  </si>
  <si>
    <t>From ATE</t>
  </si>
  <si>
    <t>Limits</t>
  </si>
  <si>
    <t>BIN1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</si>
  <si>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- %/value</t>
    </r>
  </si>
  <si>
    <t>Transform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</si>
  <si>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ev</t>
    </r>
  </si>
  <si>
    <t>BIN1 (74%)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</si>
</sst>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%"/>
    <numFmt numFmtId="167" formatCode="0.000E+00"/>
    <numFmt numFmtId="168" formatCode="0.0000;[Red]0.0000"/>
    <numFmt numFmtId="169" formatCode="0.000"/>
  </numFmts>
  <fonts count="9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1"/>
      <name val="Calibri"/>
      <family val="2"/>
    </font>
    <font>
      <b/>
      <sz val="20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8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35">
    <xf numFmtId="0" fontId="0" fillId="0" borderId="0" xfId="0"/>
    <xf numFmtId="164" fontId="0" fillId="0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/>
    <xf numFmtId="165" fontId="0" fillId="2" borderId="4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6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5" fontId="0" fillId="0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0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164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9" fontId="0" fillId="0" borderId="4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9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65" fontId="0" fillId="0" borderId="3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69" fontId="0" fillId="0" borderId="29" xfId="0" applyNumberFormat="1" applyBorder="1" applyAlignment="1">
      <alignment horizontal="center"/>
    </xf>
    <xf numFmtId="166" fontId="0" fillId="0" borderId="29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169" fontId="0" fillId="0" borderId="39" xfId="0" applyNumberFormat="1" applyBorder="1" applyAlignment="1">
      <alignment horizontal="center"/>
    </xf>
    <xf numFmtId="166" fontId="0" fillId="0" borderId="3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166" fontId="0" fillId="0" borderId="40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0" fontId="0" fillId="0" borderId="42" xfId="0" applyBorder="1" applyAlignment="1">
      <alignment horizontal="center"/>
    </xf>
    <xf numFmtId="169" fontId="0" fillId="0" borderId="42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166" fontId="0" fillId="0" borderId="46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9" fontId="0" fillId="0" borderId="50" xfId="0" applyNumberFormat="1" applyBorder="1" applyAlignment="1">
      <alignment horizontal="center"/>
    </xf>
    <xf numFmtId="169" fontId="0" fillId="0" borderId="48" xfId="0" applyNumberFormat="1" applyBorder="1" applyAlignment="1">
      <alignment horizontal="center"/>
    </xf>
    <xf numFmtId="169" fontId="0" fillId="0" borderId="51" xfId="0" applyNumberFormat="1" applyBorder="1" applyAlignment="1">
      <alignment horizontal="center"/>
    </xf>
    <xf numFmtId="169" fontId="0" fillId="0" borderId="52" xfId="0" applyNumberFormat="1" applyBorder="1" applyAlignment="1">
      <alignment horizontal="center"/>
    </xf>
    <xf numFmtId="166" fontId="0" fillId="0" borderId="53" xfId="0" applyNumberFormat="1" applyBorder="1" applyAlignment="1">
      <alignment horizontal="center"/>
    </xf>
    <xf numFmtId="169" fontId="0" fillId="0" borderId="54" xfId="0" applyNumberFormat="1" applyBorder="1" applyAlignment="1">
      <alignment horizontal="center"/>
    </xf>
    <xf numFmtId="167" fontId="0" fillId="0" borderId="20" xfId="0" applyNumberFormat="1" applyBorder="1" applyAlignment="1">
      <alignment horizontal="center"/>
    </xf>
    <xf numFmtId="167" fontId="0" fillId="0" borderId="53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36" xfId="0" applyBorder="1" applyAlignment="1">
      <alignment horizontal="center"/>
    </xf>
    <xf numFmtId="165" fontId="0" fillId="0" borderId="55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169" fontId="0" fillId="0" borderId="56" xfId="0" applyNumberFormat="1" applyBorder="1" applyAlignment="1">
      <alignment horizontal="center"/>
    </xf>
    <xf numFmtId="166" fontId="0" fillId="0" borderId="56" xfId="0" applyNumberFormat="1" applyBorder="1" applyAlignment="1">
      <alignment horizontal="center"/>
    </xf>
    <xf numFmtId="165" fontId="0" fillId="0" borderId="56" xfId="0" applyNumberFormat="1" applyBorder="1" applyAlignment="1">
      <alignment horizontal="center"/>
    </xf>
    <xf numFmtId="166" fontId="0" fillId="0" borderId="57" xfId="0" applyNumberFormat="1" applyBorder="1" applyAlignment="1">
      <alignment horizontal="center"/>
    </xf>
    <xf numFmtId="169" fontId="0" fillId="0" borderId="58" xfId="0" applyNumberFormat="1" applyBorder="1" applyAlignment="1">
      <alignment horizontal="center"/>
    </xf>
    <xf numFmtId="166" fontId="0" fillId="0" borderId="59" xfId="0" applyNumberFormat="1" applyBorder="1" applyAlignment="1">
      <alignment horizontal="center"/>
    </xf>
    <xf numFmtId="169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5" borderId="24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25" xfId="0" applyNumberFormat="1" applyFill="1" applyBorder="1" applyAlignment="1">
      <alignment horizontal="center"/>
    </xf>
    <xf numFmtId="0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69" fontId="0" fillId="5" borderId="4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165" fontId="0" fillId="5" borderId="4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169" fontId="0" fillId="5" borderId="48" xfId="0" applyNumberFormat="1" applyFill="1" applyBorder="1" applyAlignment="1">
      <alignment horizontal="center"/>
    </xf>
    <xf numFmtId="166" fontId="0" fillId="5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15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44" xfId="0" applyBorder="1" applyAlignment="1">
      <alignment horizontal="center"/>
    </xf>
    <xf numFmtId="167" fontId="3" fillId="0" borderId="0" xfId="0" applyNumberFormat="1" applyFont="1" applyAlignment="1">
      <alignment horizontal="center" vertical="center"/>
    </xf>
    <xf numFmtId="0" fontId="0" fillId="0" borderId="10" xfId="0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47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165" fontId="0" fillId="5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8271162862176271E-2"/>
          <c:y val="4.2442066988521626E-2"/>
          <c:w val="0.89125816880752795"/>
          <c:h val="0.8821640330840631"/>
        </c:manualLayout>
      </c:layout>
      <c:scatterChart>
        <c:scatterStyle val="lineMarker"/>
        <c:ser>
          <c:idx val="1"/>
          <c:order val="0"/>
          <c:tx>
            <c:strRef>
              <c:f>Calculations!$H$41</c:f>
              <c:strCache>
                <c:ptCount val="1"/>
                <c:pt idx="0">
                  <c:v>DUT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0"/>
            <c:spPr>
              <a:ln w="25400"/>
            </c:spPr>
          </c:marker>
          <c:xVal>
            <c:numRef>
              <c:f>Calculations!$S$44:$S$61</c:f>
              <c:numCache>
                <c:formatCode>0.0000</c:formatCode>
                <c:ptCount val="18"/>
                <c:pt idx="0">
                  <c:v>0.13948468839477371</c:v>
                </c:pt>
                <c:pt idx="1">
                  <c:v>0.17676781661122251</c:v>
                </c:pt>
                <c:pt idx="2">
                  <c:v>0.21716909491036193</c:v>
                </c:pt>
                <c:pt idx="3">
                  <c:v>0.15393880980665628</c:v>
                </c:pt>
                <c:pt idx="4">
                  <c:v>0.19869751423201215</c:v>
                </c:pt>
                <c:pt idx="5">
                  <c:v>0.24721319456959615</c:v>
                </c:pt>
                <c:pt idx="6">
                  <c:v>0.17502030222705892</c:v>
                </c:pt>
                <c:pt idx="7">
                  <c:v>0.22578052815319324</c:v>
                </c:pt>
                <c:pt idx="8">
                  <c:v>0.29669742740628791</c:v>
                </c:pt>
                <c:pt idx="9">
                  <c:v>0.13948468839477371</c:v>
                </c:pt>
                <c:pt idx="10">
                  <c:v>0.17676781661122251</c:v>
                </c:pt>
                <c:pt idx="11">
                  <c:v>0.21716909491036193</c:v>
                </c:pt>
                <c:pt idx="12">
                  <c:v>0.15393880980665628</c:v>
                </c:pt>
                <c:pt idx="13">
                  <c:v>0.19869751423201215</c:v>
                </c:pt>
                <c:pt idx="14">
                  <c:v>0.24721319456959615</c:v>
                </c:pt>
                <c:pt idx="15">
                  <c:v>0.17502030222705892</c:v>
                </c:pt>
                <c:pt idx="16">
                  <c:v>0.22578052815319324</c:v>
                </c:pt>
                <c:pt idx="17">
                  <c:v>0.29669742740628791</c:v>
                </c:pt>
              </c:numCache>
            </c:numRef>
          </c:xVal>
          <c:yVal>
            <c:numRef>
              <c:f>Calculations!$T$44:$T$61</c:f>
              <c:numCache>
                <c:formatCode>0.0000</c:formatCode>
                <c:ptCount val="18"/>
                <c:pt idx="0">
                  <c:v>0.31951424547352703</c:v>
                </c:pt>
                <c:pt idx="1">
                  <c:v>0.32416510211725791</c:v>
                </c:pt>
                <c:pt idx="2">
                  <c:v>0.33018874233005047</c:v>
                </c:pt>
                <c:pt idx="3">
                  <c:v>0.2945731783778146</c:v>
                </c:pt>
                <c:pt idx="4">
                  <c:v>0.29915551333315771</c:v>
                </c:pt>
                <c:pt idx="5">
                  <c:v>0.30541612892852937</c:v>
                </c:pt>
                <c:pt idx="6">
                  <c:v>0.26243539727993509</c:v>
                </c:pt>
                <c:pt idx="7">
                  <c:v>0.26909640638956889</c:v>
                </c:pt>
                <c:pt idx="8">
                  <c:v>0.2754994221814972</c:v>
                </c:pt>
                <c:pt idx="9">
                  <c:v>0.31951424547352703</c:v>
                </c:pt>
                <c:pt idx="10">
                  <c:v>0.32416510211725791</c:v>
                </c:pt>
                <c:pt idx="11">
                  <c:v>0.33018874233005047</c:v>
                </c:pt>
                <c:pt idx="12">
                  <c:v>0.2945731783778146</c:v>
                </c:pt>
                <c:pt idx="13">
                  <c:v>0.29915551333315771</c:v>
                </c:pt>
                <c:pt idx="14">
                  <c:v>0.30541612892852937</c:v>
                </c:pt>
                <c:pt idx="15">
                  <c:v>0.26243539727993509</c:v>
                </c:pt>
                <c:pt idx="16">
                  <c:v>0.26909640638956889</c:v>
                </c:pt>
                <c:pt idx="17">
                  <c:v>0.2754994221814972</c:v>
                </c:pt>
              </c:numCache>
            </c:numRef>
          </c:yVal>
        </c:ser>
        <c:ser>
          <c:idx val="0"/>
          <c:order val="1"/>
          <c:tx>
            <c:strRef>
              <c:f>Calculations!$E$20</c:f>
              <c:strCache>
                <c:ptCount val="1"/>
                <c:pt idx="0">
                  <c:v>Chroma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1"/>
            <c:spPr>
              <a:ln w="19050"/>
            </c:spPr>
          </c:marker>
          <c:xVal>
            <c:numRef>
              <c:f>Calculations!$S$22:$S$30</c:f>
              <c:numCache>
                <c:formatCode>0.0000</c:formatCode>
                <c:ptCount val="9"/>
                <c:pt idx="0">
                  <c:v>0.13636101665610051</c:v>
                </c:pt>
                <c:pt idx="1">
                  <c:v>0.17591102004975853</c:v>
                </c:pt>
                <c:pt idx="2">
                  <c:v>0.2197586052749218</c:v>
                </c:pt>
                <c:pt idx="3">
                  <c:v>0.15211010371143435</c:v>
                </c:pt>
                <c:pt idx="4">
                  <c:v>0.19931317307371718</c:v>
                </c:pt>
                <c:pt idx="5">
                  <c:v>0.25038449707782223</c:v>
                </c:pt>
                <c:pt idx="6">
                  <c:v>0.17469204927211648</c:v>
                </c:pt>
                <c:pt idx="7">
                  <c:v>0.23074257997459294</c:v>
                </c:pt>
                <c:pt idx="8">
                  <c:v>0.29158699808795413</c:v>
                </c:pt>
              </c:numCache>
            </c:numRef>
          </c:xVal>
          <c:yVal>
            <c:numRef>
              <c:f>Calculations!$T$22:$T$30</c:f>
              <c:numCache>
                <c:formatCode>0.0000</c:formatCode>
                <c:ptCount val="9"/>
                <c:pt idx="0">
                  <c:v>0.31796438245634256</c:v>
                </c:pt>
                <c:pt idx="1">
                  <c:v>0.32445485145616859</c:v>
                </c:pt>
                <c:pt idx="2">
                  <c:v>0.33142601698703622</c:v>
                </c:pt>
                <c:pt idx="3">
                  <c:v>0.2934250864261953</c:v>
                </c:pt>
                <c:pt idx="4">
                  <c:v>0.29976994632080822</c:v>
                </c:pt>
                <c:pt idx="5">
                  <c:v>0.30626473905464985</c:v>
                </c:pt>
                <c:pt idx="6">
                  <c:v>0.26371780515117582</c:v>
                </c:pt>
                <c:pt idx="7">
                  <c:v>0.26896870308349696</c:v>
                </c:pt>
                <c:pt idx="8">
                  <c:v>0.27413957934990441</c:v>
                </c:pt>
              </c:numCache>
            </c:numRef>
          </c:yVal>
        </c:ser>
        <c:axId val="185261440"/>
        <c:axId val="185559296"/>
      </c:scatterChart>
      <c:valAx>
        <c:axId val="185261440"/>
        <c:scaling>
          <c:orientation val="minMax"/>
          <c:max val="0.35000000000000031"/>
          <c:min val="0.1"/>
        </c:scaling>
        <c:axPos val="b"/>
        <c:title>
          <c:tx>
            <c:strRef>
              <c:f>Calculations!$S$43</c:f>
              <c:strCache>
                <c:ptCount val="1"/>
                <c:pt idx="0">
                  <c:v>u</c:v>
                </c:pt>
              </c:strCache>
            </c:strRef>
          </c:tx>
          <c:txPr>
            <a:bodyPr/>
            <a:lstStyle/>
            <a:p>
              <a:pPr>
                <a:defRPr sz="2000"/>
              </a:pPr>
              <a:endParaRPr lang="en-US"/>
            </a:p>
          </c:txPr>
        </c:title>
        <c:numFmt formatCode="0.00" sourceLinked="0"/>
        <c:tickLblPos val="nextTo"/>
        <c:crossAx val="185559296"/>
        <c:crosses val="autoZero"/>
        <c:crossBetween val="midCat"/>
        <c:majorUnit val="0.05"/>
      </c:valAx>
      <c:valAx>
        <c:axId val="185559296"/>
        <c:scaling>
          <c:orientation val="minMax"/>
          <c:max val="0.4"/>
          <c:min val="0.25"/>
        </c:scaling>
        <c:axPos val="l"/>
        <c:majorGridlines/>
        <c:title>
          <c:tx>
            <c:strRef>
              <c:f>Calculations!$T$43</c:f>
              <c:strCache>
                <c:ptCount val="1"/>
                <c:pt idx="0">
                  <c:v>v</c:v>
                </c:pt>
              </c:strCache>
            </c:strRef>
          </c:tx>
          <c:txPr>
            <a:bodyPr rot="-5400000" vert="horz"/>
            <a:lstStyle/>
            <a:p>
              <a:pPr>
                <a:defRPr sz="2000"/>
              </a:pPr>
              <a:endParaRPr lang="en-US"/>
            </a:p>
          </c:txPr>
        </c:title>
        <c:numFmt formatCode="0.00" sourceLinked="0"/>
        <c:tickLblPos val="nextTo"/>
        <c:crossAx val="185261440"/>
        <c:crosses val="autoZero"/>
        <c:crossBetween val="midCat"/>
        <c:majorUnit val="0.05"/>
      </c:valAx>
      <c:spPr>
        <a:noFill/>
      </c:spPr>
    </c:plotArea>
    <c:legend>
      <c:legendPos val="r"/>
      <c:layout>
        <c:manualLayout>
          <c:xMode val="edge"/>
          <c:yMode val="edge"/>
          <c:x val="0.15837645060600541"/>
          <c:y val="0.60207463796089478"/>
          <c:w val="0.10005030660399288"/>
          <c:h val="9.982922969486363E-2"/>
        </c:manualLayout>
      </c:layout>
      <c:overlay val="1"/>
      <c:spPr>
        <a:solidFill>
          <a:schemeClr val="bg1"/>
        </a:solidFill>
        <a:ln w="25400">
          <a:solidFill>
            <a:srgbClr val="C0504D">
              <a:shade val="95000"/>
              <a:satMod val="105000"/>
            </a:srgbClr>
          </a:solidFill>
        </a:ln>
      </c:spPr>
    </c:legend>
    <c:plotVisOnly val="1"/>
  </c:chart>
  <c:spPr>
    <a:noFill/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8271162862176271E-2"/>
          <c:y val="4.2442066988521696E-2"/>
          <c:w val="0.89125816880752728"/>
          <c:h val="0.8821640330840631"/>
        </c:manualLayout>
      </c:layout>
      <c:scatterChart>
        <c:scatterStyle val="lineMarker"/>
        <c:ser>
          <c:idx val="1"/>
          <c:order val="0"/>
          <c:tx>
            <c:strRef>
              <c:f>Calculations!$H$41</c:f>
              <c:strCache>
                <c:ptCount val="1"/>
                <c:pt idx="0">
                  <c:v>DUT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ln w="25400">
                <a:solidFill>
                  <a:schemeClr val="tx1"/>
                </a:solidFill>
              </a:ln>
            </c:spPr>
          </c:marker>
          <c:xVal>
            <c:numRef>
              <c:f>Calculations!$E$184:$E$471</c:f>
              <c:numCache>
                <c:formatCode>0.0000</c:formatCode>
                <c:ptCount val="288"/>
                <c:pt idx="0">
                  <c:v>0</c:v>
                </c:pt>
                <c:pt idx="1">
                  <c:v>0.13511144652337637</c:v>
                </c:pt>
                <c:pt idx="2">
                  <c:v>0.14011787454353605</c:v>
                </c:pt>
                <c:pt idx="3">
                  <c:v>0.1398212732705349</c:v>
                </c:pt>
                <c:pt idx="4">
                  <c:v>0.14262956974254121</c:v>
                </c:pt>
                <c:pt idx="5">
                  <c:v>0.13765861673896215</c:v>
                </c:pt>
                <c:pt idx="6">
                  <c:v>0.14068160948418199</c:v>
                </c:pt>
                <c:pt idx="7">
                  <c:v>0.13606408729915054</c:v>
                </c:pt>
                <c:pt idx="8">
                  <c:v>0.14078434873066556</c:v>
                </c:pt>
                <c:pt idx="9">
                  <c:v>0</c:v>
                </c:pt>
                <c:pt idx="10">
                  <c:v>0.14024958072892127</c:v>
                </c:pt>
                <c:pt idx="11">
                  <c:v>0.14072628761268283</c:v>
                </c:pt>
                <c:pt idx="12">
                  <c:v>0.13832569267791525</c:v>
                </c:pt>
                <c:pt idx="13">
                  <c:v>0.14252691547809626</c:v>
                </c:pt>
                <c:pt idx="14">
                  <c:v>0.13994780682774988</c:v>
                </c:pt>
                <c:pt idx="15">
                  <c:v>0.14178744755126657</c:v>
                </c:pt>
                <c:pt idx="16">
                  <c:v>0.14032748958254798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0.14014209722091253</c:v>
                </c:pt>
                <c:pt idx="21">
                  <c:v>0.14220761199551668</c:v>
                </c:pt>
                <c:pt idx="22">
                  <c:v>0</c:v>
                </c:pt>
                <c:pt idx="23">
                  <c:v>0</c:v>
                </c:pt>
                <c:pt idx="24">
                  <c:v>0.13881029413935189</c:v>
                </c:pt>
                <c:pt idx="25">
                  <c:v>0</c:v>
                </c:pt>
                <c:pt idx="26">
                  <c:v>0</c:v>
                </c:pt>
                <c:pt idx="27">
                  <c:v>0.13787216209050582</c:v>
                </c:pt>
                <c:pt idx="28">
                  <c:v>0.13997545606040326</c:v>
                </c:pt>
                <c:pt idx="29">
                  <c:v>0.13866660005185252</c:v>
                </c:pt>
                <c:pt idx="30">
                  <c:v>0.13951455274537783</c:v>
                </c:pt>
                <c:pt idx="31">
                  <c:v>0.13462761208487925</c:v>
                </c:pt>
                <c:pt idx="32">
                  <c:v>0</c:v>
                </c:pt>
                <c:pt idx="33">
                  <c:v>0.17020867478016638</c:v>
                </c:pt>
                <c:pt idx="34">
                  <c:v>0.17760886376213358</c:v>
                </c:pt>
                <c:pt idx="35">
                  <c:v>0.17608319793989319</c:v>
                </c:pt>
                <c:pt idx="36">
                  <c:v>0.17681028057904094</c:v>
                </c:pt>
                <c:pt idx="37">
                  <c:v>0.17384483481861157</c:v>
                </c:pt>
                <c:pt idx="38">
                  <c:v>0.17559281510703684</c:v>
                </c:pt>
                <c:pt idx="39">
                  <c:v>0.17086459178557939</c:v>
                </c:pt>
                <c:pt idx="40">
                  <c:v>0.17768802849099738</c:v>
                </c:pt>
                <c:pt idx="41">
                  <c:v>0</c:v>
                </c:pt>
                <c:pt idx="42">
                  <c:v>0.17804138841062547</c:v>
                </c:pt>
                <c:pt idx="43">
                  <c:v>0.17989764794815696</c:v>
                </c:pt>
                <c:pt idx="44">
                  <c:v>0.17792536811803225</c:v>
                </c:pt>
                <c:pt idx="45">
                  <c:v>0.18013086614907797</c:v>
                </c:pt>
                <c:pt idx="46">
                  <c:v>0.1776286194364918</c:v>
                </c:pt>
                <c:pt idx="47">
                  <c:v>0.1802294259144869</c:v>
                </c:pt>
                <c:pt idx="48">
                  <c:v>0.17961840608341109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0.1778039223547751</c:v>
                </c:pt>
                <c:pt idx="53">
                  <c:v>0.18009931910905133</c:v>
                </c:pt>
                <c:pt idx="54">
                  <c:v>0</c:v>
                </c:pt>
                <c:pt idx="55">
                  <c:v>0</c:v>
                </c:pt>
                <c:pt idx="56">
                  <c:v>0.1767111033503598</c:v>
                </c:pt>
                <c:pt idx="57">
                  <c:v>0</c:v>
                </c:pt>
                <c:pt idx="58">
                  <c:v>0</c:v>
                </c:pt>
                <c:pt idx="59">
                  <c:v>0.17727311413544869</c:v>
                </c:pt>
                <c:pt idx="60">
                  <c:v>0.17807929371925429</c:v>
                </c:pt>
                <c:pt idx="61">
                  <c:v>0.17829761653517714</c:v>
                </c:pt>
                <c:pt idx="62">
                  <c:v>0.17748097910476143</c:v>
                </c:pt>
                <c:pt idx="63">
                  <c:v>0.16894473530162482</c:v>
                </c:pt>
                <c:pt idx="64">
                  <c:v>0</c:v>
                </c:pt>
                <c:pt idx="65">
                  <c:v>0.20733970763877513</c:v>
                </c:pt>
                <c:pt idx="66">
                  <c:v>0.21583298049294414</c:v>
                </c:pt>
                <c:pt idx="67">
                  <c:v>0.21068249817801313</c:v>
                </c:pt>
                <c:pt idx="68">
                  <c:v>0.21217922027290992</c:v>
                </c:pt>
                <c:pt idx="69">
                  <c:v>0.21337721111283714</c:v>
                </c:pt>
                <c:pt idx="70">
                  <c:v>0.21178852623621336</c:v>
                </c:pt>
                <c:pt idx="71">
                  <c:v>0.2110228064685172</c:v>
                </c:pt>
                <c:pt idx="72">
                  <c:v>0.2162142802416811</c:v>
                </c:pt>
                <c:pt idx="73">
                  <c:v>0</c:v>
                </c:pt>
                <c:pt idx="74">
                  <c:v>0.22181853046867267</c:v>
                </c:pt>
                <c:pt idx="75">
                  <c:v>0.21599342715916009</c:v>
                </c:pt>
                <c:pt idx="76">
                  <c:v>0.22853098427978666</c:v>
                </c:pt>
                <c:pt idx="77">
                  <c:v>0.22281357288384929</c:v>
                </c:pt>
                <c:pt idx="78">
                  <c:v>0.21783077652213892</c:v>
                </c:pt>
                <c:pt idx="79">
                  <c:v>0.22718632853399612</c:v>
                </c:pt>
                <c:pt idx="80">
                  <c:v>0.21681446707108623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0.21570366483354808</c:v>
                </c:pt>
                <c:pt idx="85">
                  <c:v>0.21924047851897968</c:v>
                </c:pt>
                <c:pt idx="86">
                  <c:v>0</c:v>
                </c:pt>
                <c:pt idx="87">
                  <c:v>0</c:v>
                </c:pt>
                <c:pt idx="88">
                  <c:v>0.2121581861842626</c:v>
                </c:pt>
                <c:pt idx="89">
                  <c:v>0</c:v>
                </c:pt>
                <c:pt idx="90">
                  <c:v>0</c:v>
                </c:pt>
                <c:pt idx="91">
                  <c:v>0.21760229668561504</c:v>
                </c:pt>
                <c:pt idx="92">
                  <c:v>0.22792736590344537</c:v>
                </c:pt>
                <c:pt idx="93">
                  <c:v>0.2204589723164441</c:v>
                </c:pt>
                <c:pt idx="94">
                  <c:v>0.22439671170377212</c:v>
                </c:pt>
                <c:pt idx="95">
                  <c:v>0.21141748774706037</c:v>
                </c:pt>
                <c:pt idx="96">
                  <c:v>0</c:v>
                </c:pt>
                <c:pt idx="97">
                  <c:v>0.14813260195535952</c:v>
                </c:pt>
                <c:pt idx="98">
                  <c:v>0.15493964396955412</c:v>
                </c:pt>
                <c:pt idx="99">
                  <c:v>0.15322252244738502</c:v>
                </c:pt>
                <c:pt idx="100">
                  <c:v>0.15635521400851266</c:v>
                </c:pt>
                <c:pt idx="101">
                  <c:v>0.15132387593694729</c:v>
                </c:pt>
                <c:pt idx="102">
                  <c:v>0.15412485706087914</c:v>
                </c:pt>
                <c:pt idx="103">
                  <c:v>0.15034521929943051</c:v>
                </c:pt>
                <c:pt idx="104">
                  <c:v>0.15584301113079196</c:v>
                </c:pt>
                <c:pt idx="105">
                  <c:v>0</c:v>
                </c:pt>
                <c:pt idx="106">
                  <c:v>0.1554320264869786</c:v>
                </c:pt>
                <c:pt idx="107">
                  <c:v>0.15506800476258453</c:v>
                </c:pt>
                <c:pt idx="108">
                  <c:v>0.15382132674732885</c:v>
                </c:pt>
                <c:pt idx="109">
                  <c:v>0.15678997703980777</c:v>
                </c:pt>
                <c:pt idx="110">
                  <c:v>0.15442284782281743</c:v>
                </c:pt>
                <c:pt idx="111">
                  <c:v>0.15692366138206218</c:v>
                </c:pt>
                <c:pt idx="112">
                  <c:v>0.15502222555814274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0.15332473174761305</c:v>
                </c:pt>
                <c:pt idx="117">
                  <c:v>0.15648831152700807</c:v>
                </c:pt>
                <c:pt idx="118">
                  <c:v>0</c:v>
                </c:pt>
                <c:pt idx="119">
                  <c:v>0</c:v>
                </c:pt>
                <c:pt idx="120">
                  <c:v>0.15263443113579991</c:v>
                </c:pt>
                <c:pt idx="121">
                  <c:v>0</c:v>
                </c:pt>
                <c:pt idx="122">
                  <c:v>0</c:v>
                </c:pt>
                <c:pt idx="123">
                  <c:v>0.15451719066058028</c:v>
                </c:pt>
                <c:pt idx="124">
                  <c:v>0.15509303605439212</c:v>
                </c:pt>
                <c:pt idx="125">
                  <c:v>0.15523648177665833</c:v>
                </c:pt>
                <c:pt idx="126">
                  <c:v>0.15422288477515711</c:v>
                </c:pt>
                <c:pt idx="127">
                  <c:v>0.14832593420377024</c:v>
                </c:pt>
                <c:pt idx="128">
                  <c:v>0</c:v>
                </c:pt>
                <c:pt idx="129">
                  <c:v>0.19128999195318078</c:v>
                </c:pt>
                <c:pt idx="130">
                  <c:v>0.19859165833512438</c:v>
                </c:pt>
                <c:pt idx="131">
                  <c:v>0.1937726701564797</c:v>
                </c:pt>
                <c:pt idx="132">
                  <c:v>0.19640448489121001</c:v>
                </c:pt>
                <c:pt idx="133">
                  <c:v>0.19479059496444853</c:v>
                </c:pt>
                <c:pt idx="134">
                  <c:v>0.19589435511742889</c:v>
                </c:pt>
                <c:pt idx="135">
                  <c:v>0.19341242389620295</c:v>
                </c:pt>
                <c:pt idx="136">
                  <c:v>0.19905288462374549</c:v>
                </c:pt>
                <c:pt idx="137">
                  <c:v>0</c:v>
                </c:pt>
                <c:pt idx="138">
                  <c:v>0.20373121354551288</c:v>
                </c:pt>
                <c:pt idx="139">
                  <c:v>0.20427746052683407</c:v>
                </c:pt>
                <c:pt idx="140">
                  <c:v>0.20451285618961965</c:v>
                </c:pt>
                <c:pt idx="141">
                  <c:v>0.20029314994053546</c:v>
                </c:pt>
                <c:pt idx="142">
                  <c:v>0.19897319451858281</c:v>
                </c:pt>
                <c:pt idx="143">
                  <c:v>0.20404603991823381</c:v>
                </c:pt>
                <c:pt idx="144">
                  <c:v>0.20223550965164247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0.1989379998703506</c:v>
                </c:pt>
                <c:pt idx="149">
                  <c:v>0.20355200944119703</c:v>
                </c:pt>
                <c:pt idx="150">
                  <c:v>0</c:v>
                </c:pt>
                <c:pt idx="151">
                  <c:v>0</c:v>
                </c:pt>
                <c:pt idx="152">
                  <c:v>0.199667840460972</c:v>
                </c:pt>
                <c:pt idx="153">
                  <c:v>0</c:v>
                </c:pt>
                <c:pt idx="154">
                  <c:v>0</c:v>
                </c:pt>
                <c:pt idx="155">
                  <c:v>0.19200917802039688</c:v>
                </c:pt>
                <c:pt idx="156">
                  <c:v>0.20476392822960979</c:v>
                </c:pt>
                <c:pt idx="157">
                  <c:v>0.19667956829056113</c:v>
                </c:pt>
                <c:pt idx="158">
                  <c:v>0.20301746890688721</c:v>
                </c:pt>
                <c:pt idx="159">
                  <c:v>0.19161819178223333</c:v>
                </c:pt>
                <c:pt idx="160">
                  <c:v>0</c:v>
                </c:pt>
                <c:pt idx="161">
                  <c:v>0.23314050277339482</c:v>
                </c:pt>
                <c:pt idx="162">
                  <c:v>0.2418794714653596</c:v>
                </c:pt>
                <c:pt idx="163">
                  <c:v>0.23278621102713928</c:v>
                </c:pt>
                <c:pt idx="164">
                  <c:v>0.24166177657326809</c:v>
                </c:pt>
                <c:pt idx="165">
                  <c:v>0.24533159029070717</c:v>
                </c:pt>
                <c:pt idx="166">
                  <c:v>0.23725507570699678</c:v>
                </c:pt>
                <c:pt idx="167">
                  <c:v>0.23653840312032359</c:v>
                </c:pt>
                <c:pt idx="168">
                  <c:v>0.24626418077636367</c:v>
                </c:pt>
                <c:pt idx="169">
                  <c:v>0</c:v>
                </c:pt>
                <c:pt idx="170">
                  <c:v>0.25183549099630392</c:v>
                </c:pt>
                <c:pt idx="171">
                  <c:v>0.25227746463470618</c:v>
                </c:pt>
                <c:pt idx="172">
                  <c:v>0.25760127370916847</c:v>
                </c:pt>
                <c:pt idx="173">
                  <c:v>0.25728708962943325</c:v>
                </c:pt>
                <c:pt idx="174">
                  <c:v>0.24042997255118531</c:v>
                </c:pt>
                <c:pt idx="175">
                  <c:v>0.25969453858434427</c:v>
                </c:pt>
                <c:pt idx="176">
                  <c:v>0.25166370907869257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0.25429058317207121</c:v>
                </c:pt>
                <c:pt idx="181">
                  <c:v>0.25513725171165974</c:v>
                </c:pt>
                <c:pt idx="182">
                  <c:v>0</c:v>
                </c:pt>
                <c:pt idx="183">
                  <c:v>0</c:v>
                </c:pt>
                <c:pt idx="184">
                  <c:v>0.24415861122186919</c:v>
                </c:pt>
                <c:pt idx="185">
                  <c:v>0</c:v>
                </c:pt>
                <c:pt idx="186">
                  <c:v>0</c:v>
                </c:pt>
                <c:pt idx="187">
                  <c:v>0.24638562623967866</c:v>
                </c:pt>
                <c:pt idx="188">
                  <c:v>0.25464695923401126</c:v>
                </c:pt>
                <c:pt idx="189">
                  <c:v>0.24949950625693693</c:v>
                </c:pt>
                <c:pt idx="190">
                  <c:v>0.25440116425630871</c:v>
                </c:pt>
                <c:pt idx="191">
                  <c:v>0.24428185510753914</c:v>
                </c:pt>
                <c:pt idx="192">
                  <c:v>0</c:v>
                </c:pt>
                <c:pt idx="193">
                  <c:v>0.16789733022158609</c:v>
                </c:pt>
                <c:pt idx="194">
                  <c:v>0.1751049211416642</c:v>
                </c:pt>
                <c:pt idx="195">
                  <c:v>0.17277105909167922</c:v>
                </c:pt>
                <c:pt idx="196">
                  <c:v>0.17616104841044403</c:v>
                </c:pt>
                <c:pt idx="197">
                  <c:v>0.17219324188054219</c:v>
                </c:pt>
                <c:pt idx="198">
                  <c:v>0.17415257502419604</c:v>
                </c:pt>
                <c:pt idx="199">
                  <c:v>0.17002509227377186</c:v>
                </c:pt>
                <c:pt idx="200">
                  <c:v>0.17606590521497778</c:v>
                </c:pt>
                <c:pt idx="201">
                  <c:v>0</c:v>
                </c:pt>
                <c:pt idx="202">
                  <c:v>0.17793628659335245</c:v>
                </c:pt>
                <c:pt idx="203">
                  <c:v>0.17870023880808547</c:v>
                </c:pt>
                <c:pt idx="204">
                  <c:v>0.17696521878125129</c:v>
                </c:pt>
                <c:pt idx="205">
                  <c:v>0.17722185043928229</c:v>
                </c:pt>
                <c:pt idx="206">
                  <c:v>0.17572380925020251</c:v>
                </c:pt>
                <c:pt idx="207">
                  <c:v>0.17865192824948284</c:v>
                </c:pt>
                <c:pt idx="208">
                  <c:v>0.17676480706121975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0.17570608647594799</c:v>
                </c:pt>
                <c:pt idx="213">
                  <c:v>0.17899998164114772</c:v>
                </c:pt>
                <c:pt idx="214">
                  <c:v>0</c:v>
                </c:pt>
                <c:pt idx="215">
                  <c:v>0</c:v>
                </c:pt>
                <c:pt idx="216">
                  <c:v>0.17459936610997023</c:v>
                </c:pt>
                <c:pt idx="217">
                  <c:v>0</c:v>
                </c:pt>
                <c:pt idx="218">
                  <c:v>0</c:v>
                </c:pt>
                <c:pt idx="219">
                  <c:v>0.17245686071935021</c:v>
                </c:pt>
                <c:pt idx="220">
                  <c:v>0.17935947586072712</c:v>
                </c:pt>
                <c:pt idx="221">
                  <c:v>0.17277492871022415</c:v>
                </c:pt>
                <c:pt idx="222">
                  <c:v>0.17704229616764133</c:v>
                </c:pt>
                <c:pt idx="223">
                  <c:v>0.16878958534844787</c:v>
                </c:pt>
                <c:pt idx="224">
                  <c:v>0</c:v>
                </c:pt>
                <c:pt idx="225">
                  <c:v>0.21512993232332489</c:v>
                </c:pt>
                <c:pt idx="226">
                  <c:v>0.22103685748943891</c:v>
                </c:pt>
                <c:pt idx="227">
                  <c:v>0.21811787613622269</c:v>
                </c:pt>
                <c:pt idx="228">
                  <c:v>0.2217817367274228</c:v>
                </c:pt>
                <c:pt idx="229">
                  <c:v>0.22033112443554911</c:v>
                </c:pt>
                <c:pt idx="230">
                  <c:v>0.21820299536547746</c:v>
                </c:pt>
                <c:pt idx="231">
                  <c:v>0.22048093202071642</c:v>
                </c:pt>
                <c:pt idx="232">
                  <c:v>0.22165236526466386</c:v>
                </c:pt>
                <c:pt idx="233">
                  <c:v>0</c:v>
                </c:pt>
                <c:pt idx="234">
                  <c:v>0.22754003949970333</c:v>
                </c:pt>
                <c:pt idx="235">
                  <c:v>0.22669157972799833</c:v>
                </c:pt>
                <c:pt idx="236">
                  <c:v>0.23487925216716515</c:v>
                </c:pt>
                <c:pt idx="237">
                  <c:v>0.23670651391027767</c:v>
                </c:pt>
                <c:pt idx="238">
                  <c:v>0.22536573991747635</c:v>
                </c:pt>
                <c:pt idx="239">
                  <c:v>0.236632002863496</c:v>
                </c:pt>
                <c:pt idx="240">
                  <c:v>0.22833116069212722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0.22878854408894617</c:v>
                </c:pt>
                <c:pt idx="245">
                  <c:v>0.23304307596714399</c:v>
                </c:pt>
                <c:pt idx="246">
                  <c:v>0</c:v>
                </c:pt>
                <c:pt idx="247">
                  <c:v>0</c:v>
                </c:pt>
                <c:pt idx="248">
                  <c:v>0.22274239207574706</c:v>
                </c:pt>
                <c:pt idx="249">
                  <c:v>0</c:v>
                </c:pt>
                <c:pt idx="250">
                  <c:v>0</c:v>
                </c:pt>
                <c:pt idx="251">
                  <c:v>0.22485856332999962</c:v>
                </c:pt>
                <c:pt idx="252">
                  <c:v>0.23139940232778647</c:v>
                </c:pt>
                <c:pt idx="253">
                  <c:v>0.22798925162280109</c:v>
                </c:pt>
                <c:pt idx="254">
                  <c:v>0.22638850509560501</c:v>
                </c:pt>
                <c:pt idx="255">
                  <c:v>0.22405029579565947</c:v>
                </c:pt>
                <c:pt idx="256">
                  <c:v>0</c:v>
                </c:pt>
                <c:pt idx="257">
                  <c:v>0.28404155479952026</c:v>
                </c:pt>
                <c:pt idx="258">
                  <c:v>0.29617726316485488</c:v>
                </c:pt>
                <c:pt idx="259">
                  <c:v>0.29562619637639997</c:v>
                </c:pt>
                <c:pt idx="260">
                  <c:v>0.28060815518559801</c:v>
                </c:pt>
                <c:pt idx="261">
                  <c:v>0.29562949403431832</c:v>
                </c:pt>
                <c:pt idx="262">
                  <c:v>0.28392860197857761</c:v>
                </c:pt>
                <c:pt idx="263">
                  <c:v>0.28989874068795762</c:v>
                </c:pt>
                <c:pt idx="264">
                  <c:v>0.28560236158819768</c:v>
                </c:pt>
                <c:pt idx="265">
                  <c:v>0</c:v>
                </c:pt>
                <c:pt idx="266">
                  <c:v>0.29688277935844137</c:v>
                </c:pt>
                <c:pt idx="267">
                  <c:v>0.31200042639445974</c:v>
                </c:pt>
                <c:pt idx="268">
                  <c:v>0.31287528444055068</c:v>
                </c:pt>
                <c:pt idx="269">
                  <c:v>0.29267224711635242</c:v>
                </c:pt>
                <c:pt idx="270">
                  <c:v>0.30269297467953088</c:v>
                </c:pt>
                <c:pt idx="271">
                  <c:v>0.30205401020727801</c:v>
                </c:pt>
                <c:pt idx="272">
                  <c:v>0.31508959484664212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0.30047024499695246</c:v>
                </c:pt>
                <c:pt idx="277">
                  <c:v>0.3033416634899756</c:v>
                </c:pt>
                <c:pt idx="278">
                  <c:v>0</c:v>
                </c:pt>
                <c:pt idx="279">
                  <c:v>0</c:v>
                </c:pt>
                <c:pt idx="280">
                  <c:v>0.3073818170000403</c:v>
                </c:pt>
                <c:pt idx="281">
                  <c:v>0</c:v>
                </c:pt>
                <c:pt idx="282">
                  <c:v>0</c:v>
                </c:pt>
                <c:pt idx="283">
                  <c:v>0.28782026716870651</c:v>
                </c:pt>
                <c:pt idx="284">
                  <c:v>0.30493771213878218</c:v>
                </c:pt>
                <c:pt idx="285">
                  <c:v>0.28927479703996373</c:v>
                </c:pt>
                <c:pt idx="286">
                  <c:v>0.29555990480322653</c:v>
                </c:pt>
                <c:pt idx="287">
                  <c:v>0.29241903448279882</c:v>
                </c:pt>
              </c:numCache>
            </c:numRef>
          </c:xVal>
          <c:yVal>
            <c:numRef>
              <c:f>Calculations!$F$184:$F$471</c:f>
              <c:numCache>
                <c:formatCode>0.0000</c:formatCode>
                <c:ptCount val="288"/>
                <c:pt idx="0">
                  <c:v>0</c:v>
                </c:pt>
                <c:pt idx="1">
                  <c:v>0.32157684192393388</c:v>
                </c:pt>
                <c:pt idx="2">
                  <c:v>0.31708744049761595</c:v>
                </c:pt>
                <c:pt idx="3">
                  <c:v>0.32032277989255881</c:v>
                </c:pt>
                <c:pt idx="4">
                  <c:v>0.31417490645512475</c:v>
                </c:pt>
                <c:pt idx="5">
                  <c:v>0.32236088911253319</c:v>
                </c:pt>
                <c:pt idx="6">
                  <c:v>0.31700152425100797</c:v>
                </c:pt>
                <c:pt idx="7">
                  <c:v>0.32625385237471355</c:v>
                </c:pt>
                <c:pt idx="8">
                  <c:v>0.317452008228646</c:v>
                </c:pt>
                <c:pt idx="9">
                  <c:v>0</c:v>
                </c:pt>
                <c:pt idx="10">
                  <c:v>0.31810589902864916</c:v>
                </c:pt>
                <c:pt idx="11">
                  <c:v>0.31893406902456978</c:v>
                </c:pt>
                <c:pt idx="12">
                  <c:v>0.32204926579215026</c:v>
                </c:pt>
                <c:pt idx="13">
                  <c:v>0.31534587136609926</c:v>
                </c:pt>
                <c:pt idx="14">
                  <c:v>0.3168271291538598</c:v>
                </c:pt>
                <c:pt idx="15">
                  <c:v>0.31794888682599021</c:v>
                </c:pt>
                <c:pt idx="16">
                  <c:v>0.31813068323850291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0.31593023665918635</c:v>
                </c:pt>
                <c:pt idx="21">
                  <c:v>0.31568684230183286</c:v>
                </c:pt>
                <c:pt idx="22">
                  <c:v>0</c:v>
                </c:pt>
                <c:pt idx="23">
                  <c:v>0</c:v>
                </c:pt>
                <c:pt idx="24">
                  <c:v>0.31925679624920239</c:v>
                </c:pt>
                <c:pt idx="25">
                  <c:v>0</c:v>
                </c:pt>
                <c:pt idx="26">
                  <c:v>0</c:v>
                </c:pt>
                <c:pt idx="27">
                  <c:v>0.32390191618770697</c:v>
                </c:pt>
                <c:pt idx="28">
                  <c:v>0.32047580460723546</c:v>
                </c:pt>
                <c:pt idx="29">
                  <c:v>0.31744756693945742</c:v>
                </c:pt>
                <c:pt idx="30">
                  <c:v>0.32536467744459358</c:v>
                </c:pt>
                <c:pt idx="31">
                  <c:v>0.32735436479512475</c:v>
                </c:pt>
                <c:pt idx="32">
                  <c:v>0</c:v>
                </c:pt>
                <c:pt idx="33">
                  <c:v>0.3271334431507924</c:v>
                </c:pt>
                <c:pt idx="34">
                  <c:v>0.32116493179047645</c:v>
                </c:pt>
                <c:pt idx="35">
                  <c:v>0.32580600870086568</c:v>
                </c:pt>
                <c:pt idx="36">
                  <c:v>0.32166224425488843</c:v>
                </c:pt>
                <c:pt idx="37">
                  <c:v>0.32696393237434762</c:v>
                </c:pt>
                <c:pt idx="38">
                  <c:v>0.32380658582095823</c:v>
                </c:pt>
                <c:pt idx="39">
                  <c:v>0.32874785756425717</c:v>
                </c:pt>
                <c:pt idx="40">
                  <c:v>0.3218663211072646</c:v>
                </c:pt>
                <c:pt idx="41">
                  <c:v>0</c:v>
                </c:pt>
                <c:pt idx="42">
                  <c:v>0.32365646454390284</c:v>
                </c:pt>
                <c:pt idx="43">
                  <c:v>0.32324629563972501</c:v>
                </c:pt>
                <c:pt idx="44">
                  <c:v>0.32455463263687268</c:v>
                </c:pt>
                <c:pt idx="45">
                  <c:v>0.32403258980923971</c:v>
                </c:pt>
                <c:pt idx="46">
                  <c:v>0.32148057371459909</c:v>
                </c:pt>
                <c:pt idx="47">
                  <c:v>0.32219948330702336</c:v>
                </c:pt>
                <c:pt idx="48">
                  <c:v>0.32270124810929501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0.32371584557692079</c:v>
                </c:pt>
                <c:pt idx="53">
                  <c:v>0.32071967352894837</c:v>
                </c:pt>
                <c:pt idx="54">
                  <c:v>0</c:v>
                </c:pt>
                <c:pt idx="55">
                  <c:v>0</c:v>
                </c:pt>
                <c:pt idx="56">
                  <c:v>0.3243767481818815</c:v>
                </c:pt>
                <c:pt idx="57">
                  <c:v>0</c:v>
                </c:pt>
                <c:pt idx="58">
                  <c:v>0</c:v>
                </c:pt>
                <c:pt idx="59">
                  <c:v>0.32601729042148819</c:v>
                </c:pt>
                <c:pt idx="60">
                  <c:v>0.32194674593716399</c:v>
                </c:pt>
                <c:pt idx="61">
                  <c:v>0.31863902618263151</c:v>
                </c:pt>
                <c:pt idx="62">
                  <c:v>0.32691844798480912</c:v>
                </c:pt>
                <c:pt idx="63">
                  <c:v>0.33338439286940941</c:v>
                </c:pt>
                <c:pt idx="64">
                  <c:v>0</c:v>
                </c:pt>
                <c:pt idx="65">
                  <c:v>0.33541647482225878</c:v>
                </c:pt>
                <c:pt idx="66">
                  <c:v>0.32902349436662043</c:v>
                </c:pt>
                <c:pt idx="67">
                  <c:v>0.33284672029652795</c:v>
                </c:pt>
                <c:pt idx="68">
                  <c:v>0.33017408936803655</c:v>
                </c:pt>
                <c:pt idx="69">
                  <c:v>0.3317198895200108</c:v>
                </c:pt>
                <c:pt idx="70">
                  <c:v>0.33253607878306318</c:v>
                </c:pt>
                <c:pt idx="71">
                  <c:v>0.3337804006214074</c:v>
                </c:pt>
                <c:pt idx="72">
                  <c:v>0.32798238622754144</c:v>
                </c:pt>
                <c:pt idx="73">
                  <c:v>0</c:v>
                </c:pt>
                <c:pt idx="74">
                  <c:v>0.32776085843066433</c:v>
                </c:pt>
                <c:pt idx="75">
                  <c:v>0.32765828806176744</c:v>
                </c:pt>
                <c:pt idx="76">
                  <c:v>0.32875401256283626</c:v>
                </c:pt>
                <c:pt idx="77">
                  <c:v>0.33045668441077564</c:v>
                </c:pt>
                <c:pt idx="78">
                  <c:v>0.3288653232354467</c:v>
                </c:pt>
                <c:pt idx="79">
                  <c:v>0.32721348590171312</c:v>
                </c:pt>
                <c:pt idx="80">
                  <c:v>0.32947000211835564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0.32819567169474478</c:v>
                </c:pt>
                <c:pt idx="85">
                  <c:v>0.32638931515951597</c:v>
                </c:pt>
                <c:pt idx="86">
                  <c:v>0</c:v>
                </c:pt>
                <c:pt idx="87">
                  <c:v>0</c:v>
                </c:pt>
                <c:pt idx="88">
                  <c:v>0.33125597836011306</c:v>
                </c:pt>
                <c:pt idx="89">
                  <c:v>0</c:v>
                </c:pt>
                <c:pt idx="90">
                  <c:v>0</c:v>
                </c:pt>
                <c:pt idx="91">
                  <c:v>0.33339171205063667</c:v>
                </c:pt>
                <c:pt idx="92">
                  <c:v>0.32314256371513322</c:v>
                </c:pt>
                <c:pt idx="93">
                  <c:v>0.32512825808723195</c:v>
                </c:pt>
                <c:pt idx="94">
                  <c:v>0.33158254423376077</c:v>
                </c:pt>
                <c:pt idx="95">
                  <c:v>0.34001226152708858</c:v>
                </c:pt>
                <c:pt idx="96">
                  <c:v>0</c:v>
                </c:pt>
                <c:pt idx="97">
                  <c:v>0.29999408478406003</c:v>
                </c:pt>
                <c:pt idx="98">
                  <c:v>0.29120026978628588</c:v>
                </c:pt>
                <c:pt idx="99">
                  <c:v>0.29853509772066361</c:v>
                </c:pt>
                <c:pt idx="100">
                  <c:v>0.28910445250314054</c:v>
                </c:pt>
                <c:pt idx="101">
                  <c:v>0.30061243067561338</c:v>
                </c:pt>
                <c:pt idx="102">
                  <c:v>0.2935893020199758</c:v>
                </c:pt>
                <c:pt idx="103">
                  <c:v>0.29855308580383677</c:v>
                </c:pt>
                <c:pt idx="104">
                  <c:v>0.29042021208164792</c:v>
                </c:pt>
                <c:pt idx="105">
                  <c:v>0</c:v>
                </c:pt>
                <c:pt idx="106">
                  <c:v>0.29336500492657286</c:v>
                </c:pt>
                <c:pt idx="107">
                  <c:v>0.29592731338332362</c:v>
                </c:pt>
                <c:pt idx="108">
                  <c:v>0.2930374655318726</c:v>
                </c:pt>
                <c:pt idx="109">
                  <c:v>0.29345432071721078</c:v>
                </c:pt>
                <c:pt idx="110">
                  <c:v>0.29189783301875027</c:v>
                </c:pt>
                <c:pt idx="111">
                  <c:v>0.28836435109393027</c:v>
                </c:pt>
                <c:pt idx="112">
                  <c:v>0.29321146579660207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0.29626886609248698</c:v>
                </c:pt>
                <c:pt idx="117">
                  <c:v>0.29219165622099447</c:v>
                </c:pt>
                <c:pt idx="118">
                  <c:v>0</c:v>
                </c:pt>
                <c:pt idx="119">
                  <c:v>0</c:v>
                </c:pt>
                <c:pt idx="120">
                  <c:v>0.29630685804989276</c:v>
                </c:pt>
                <c:pt idx="121">
                  <c:v>0</c:v>
                </c:pt>
                <c:pt idx="122">
                  <c:v>0</c:v>
                </c:pt>
                <c:pt idx="123">
                  <c:v>0.29592470111955776</c:v>
                </c:pt>
                <c:pt idx="124">
                  <c:v>0.29020965245807007</c:v>
                </c:pt>
                <c:pt idx="125">
                  <c:v>0.28869437530848452</c:v>
                </c:pt>
                <c:pt idx="126">
                  <c:v>0.29975581878581808</c:v>
                </c:pt>
                <c:pt idx="127">
                  <c:v>0.30340713484399051</c:v>
                </c:pt>
                <c:pt idx="128">
                  <c:v>0</c:v>
                </c:pt>
                <c:pt idx="129">
                  <c:v>0.30466808141557117</c:v>
                </c:pt>
                <c:pt idx="130">
                  <c:v>0.29725028295102757</c:v>
                </c:pt>
                <c:pt idx="131">
                  <c:v>0.30502295980902844</c:v>
                </c:pt>
                <c:pt idx="132">
                  <c:v>0.29759469521058451</c:v>
                </c:pt>
                <c:pt idx="133">
                  <c:v>0.30375755475068145</c:v>
                </c:pt>
                <c:pt idx="134">
                  <c:v>0.29971466078888626</c:v>
                </c:pt>
                <c:pt idx="135">
                  <c:v>0.30406016470238834</c:v>
                </c:pt>
                <c:pt idx="136">
                  <c:v>0.29592685934195584</c:v>
                </c:pt>
                <c:pt idx="137">
                  <c:v>0</c:v>
                </c:pt>
                <c:pt idx="138">
                  <c:v>0.29502304644491112</c:v>
                </c:pt>
                <c:pt idx="139">
                  <c:v>0.298999590102135</c:v>
                </c:pt>
                <c:pt idx="140">
                  <c:v>0.29621466610352831</c:v>
                </c:pt>
                <c:pt idx="141">
                  <c:v>0.29809489023448282</c:v>
                </c:pt>
                <c:pt idx="142">
                  <c:v>0.29746655849840276</c:v>
                </c:pt>
                <c:pt idx="143">
                  <c:v>0.29273144834447651</c:v>
                </c:pt>
                <c:pt idx="144">
                  <c:v>0.29666061587293646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0.29778553524562562</c:v>
                </c:pt>
                <c:pt idx="149">
                  <c:v>0.29558819217212567</c:v>
                </c:pt>
                <c:pt idx="150">
                  <c:v>0</c:v>
                </c:pt>
                <c:pt idx="151">
                  <c:v>0</c:v>
                </c:pt>
                <c:pt idx="152">
                  <c:v>0.30032865248386176</c:v>
                </c:pt>
                <c:pt idx="153">
                  <c:v>0</c:v>
                </c:pt>
                <c:pt idx="154">
                  <c:v>0</c:v>
                </c:pt>
                <c:pt idx="155">
                  <c:v>0.30440118073166444</c:v>
                </c:pt>
                <c:pt idx="156">
                  <c:v>0.29038558730206193</c:v>
                </c:pt>
                <c:pt idx="157">
                  <c:v>0.29721233114981199</c:v>
                </c:pt>
                <c:pt idx="158">
                  <c:v>0.3027447902387555</c:v>
                </c:pt>
                <c:pt idx="159">
                  <c:v>0.30793127844716622</c:v>
                </c:pt>
                <c:pt idx="160">
                  <c:v>0</c:v>
                </c:pt>
                <c:pt idx="161">
                  <c:v>0.31040184584382086</c:v>
                </c:pt>
                <c:pt idx="162">
                  <c:v>0.30284495937014788</c:v>
                </c:pt>
                <c:pt idx="163">
                  <c:v>0.31091350969446097</c:v>
                </c:pt>
                <c:pt idx="164">
                  <c:v>0.30671105990149239</c:v>
                </c:pt>
                <c:pt idx="165">
                  <c:v>0.30973176908886707</c:v>
                </c:pt>
                <c:pt idx="166">
                  <c:v>0.30795080648252493</c:v>
                </c:pt>
                <c:pt idx="167">
                  <c:v>0.30876566529361588</c:v>
                </c:pt>
                <c:pt idx="168">
                  <c:v>0.30396103474825126</c:v>
                </c:pt>
                <c:pt idx="169">
                  <c:v>0</c:v>
                </c:pt>
                <c:pt idx="170">
                  <c:v>0.30472722623363374</c:v>
                </c:pt>
                <c:pt idx="171">
                  <c:v>0.30191344383703422</c:v>
                </c:pt>
                <c:pt idx="172">
                  <c:v>0.30050030617826989</c:v>
                </c:pt>
                <c:pt idx="173">
                  <c:v>0.30142752782704169</c:v>
                </c:pt>
                <c:pt idx="174">
                  <c:v>0.30328372859878711</c:v>
                </c:pt>
                <c:pt idx="175">
                  <c:v>0.30039681947128027</c:v>
                </c:pt>
                <c:pt idx="176">
                  <c:v>0.30126626779507604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0.30022918024932538</c:v>
                </c:pt>
                <c:pt idx="181">
                  <c:v>0.30116378641031655</c:v>
                </c:pt>
                <c:pt idx="182">
                  <c:v>0</c:v>
                </c:pt>
                <c:pt idx="183">
                  <c:v>0</c:v>
                </c:pt>
                <c:pt idx="184">
                  <c:v>0.30537352218442176</c:v>
                </c:pt>
                <c:pt idx="185">
                  <c:v>0</c:v>
                </c:pt>
                <c:pt idx="186">
                  <c:v>0</c:v>
                </c:pt>
                <c:pt idx="187">
                  <c:v>0.31169679921910837</c:v>
                </c:pt>
                <c:pt idx="188">
                  <c:v>0.3000768428185594</c:v>
                </c:pt>
                <c:pt idx="189">
                  <c:v>0.3031434674278875</c:v>
                </c:pt>
                <c:pt idx="190">
                  <c:v>0.31180870817030348</c:v>
                </c:pt>
                <c:pt idx="191">
                  <c:v>0.31620506969352669</c:v>
                </c:pt>
                <c:pt idx="192">
                  <c:v>0</c:v>
                </c:pt>
                <c:pt idx="193">
                  <c:v>0.27068402131538033</c:v>
                </c:pt>
                <c:pt idx="194">
                  <c:v>0.26210225651334751</c:v>
                </c:pt>
                <c:pt idx="195">
                  <c:v>0.27500136266332137</c:v>
                </c:pt>
                <c:pt idx="196">
                  <c:v>0.25615164336588864</c:v>
                </c:pt>
                <c:pt idx="197">
                  <c:v>0.26931122278121072</c:v>
                </c:pt>
                <c:pt idx="198">
                  <c:v>0.26291677738233005</c:v>
                </c:pt>
                <c:pt idx="199">
                  <c:v>0.27107360617129306</c:v>
                </c:pt>
                <c:pt idx="200">
                  <c:v>0.25866419566647741</c:v>
                </c:pt>
                <c:pt idx="201">
                  <c:v>0</c:v>
                </c:pt>
                <c:pt idx="202">
                  <c:v>0.25792308492202765</c:v>
                </c:pt>
                <c:pt idx="203">
                  <c:v>0.2641248064069267</c:v>
                </c:pt>
                <c:pt idx="204">
                  <c:v>0.25890803901519915</c:v>
                </c:pt>
                <c:pt idx="205">
                  <c:v>0.25577723128555618</c:v>
                </c:pt>
                <c:pt idx="206">
                  <c:v>0.26145677012511342</c:v>
                </c:pt>
                <c:pt idx="207">
                  <c:v>0.25408577557798229</c:v>
                </c:pt>
                <c:pt idx="208">
                  <c:v>0.2620769217826997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0.2595862394035896</c:v>
                </c:pt>
                <c:pt idx="213">
                  <c:v>0.25532585466685481</c:v>
                </c:pt>
                <c:pt idx="214">
                  <c:v>0</c:v>
                </c:pt>
                <c:pt idx="215">
                  <c:v>0</c:v>
                </c:pt>
                <c:pt idx="216">
                  <c:v>0.26475469034798083</c:v>
                </c:pt>
                <c:pt idx="217">
                  <c:v>0</c:v>
                </c:pt>
                <c:pt idx="218">
                  <c:v>0</c:v>
                </c:pt>
                <c:pt idx="219">
                  <c:v>0.26910145358228327</c:v>
                </c:pt>
                <c:pt idx="220">
                  <c:v>0.25181484405778365</c:v>
                </c:pt>
                <c:pt idx="221">
                  <c:v>0.25995525084749938</c:v>
                </c:pt>
                <c:pt idx="222">
                  <c:v>0.26635861795949339</c:v>
                </c:pt>
                <c:pt idx="223">
                  <c:v>0.26957854892560346</c:v>
                </c:pt>
                <c:pt idx="224">
                  <c:v>0</c:v>
                </c:pt>
                <c:pt idx="225">
                  <c:v>0.28057902761901293</c:v>
                </c:pt>
                <c:pt idx="226">
                  <c:v>0.26929285439075545</c:v>
                </c:pt>
                <c:pt idx="227">
                  <c:v>0.28056183235567284</c:v>
                </c:pt>
                <c:pt idx="228">
                  <c:v>0.26588868540395588</c:v>
                </c:pt>
                <c:pt idx="229">
                  <c:v>0.27468121613463115</c:v>
                </c:pt>
                <c:pt idx="230">
                  <c:v>0.27243007155563803</c:v>
                </c:pt>
                <c:pt idx="231">
                  <c:v>0.27427741838544739</c:v>
                </c:pt>
                <c:pt idx="232">
                  <c:v>0.266888202220676</c:v>
                </c:pt>
                <c:pt idx="233">
                  <c:v>0</c:v>
                </c:pt>
                <c:pt idx="234">
                  <c:v>0.26625431901886143</c:v>
                </c:pt>
                <c:pt idx="235">
                  <c:v>0.27110401455687294</c:v>
                </c:pt>
                <c:pt idx="236">
                  <c:v>0.26354642696977326</c:v>
                </c:pt>
                <c:pt idx="237">
                  <c:v>0.25888626448066715</c:v>
                </c:pt>
                <c:pt idx="238">
                  <c:v>0.27036736543793144</c:v>
                </c:pt>
                <c:pt idx="239">
                  <c:v>0.25912945352620242</c:v>
                </c:pt>
                <c:pt idx="240">
                  <c:v>0.26797040042568637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0.26332466090093826</c:v>
                </c:pt>
                <c:pt idx="245">
                  <c:v>0.26232520264487696</c:v>
                </c:pt>
                <c:pt idx="246">
                  <c:v>0</c:v>
                </c:pt>
                <c:pt idx="247">
                  <c:v>0</c:v>
                </c:pt>
                <c:pt idx="248">
                  <c:v>0.27174332590542738</c:v>
                </c:pt>
                <c:pt idx="249">
                  <c:v>0</c:v>
                </c:pt>
                <c:pt idx="250">
                  <c:v>0</c:v>
                </c:pt>
                <c:pt idx="251">
                  <c:v>0.2765704793582735</c:v>
                </c:pt>
                <c:pt idx="252">
                  <c:v>0.25899518433217139</c:v>
                </c:pt>
                <c:pt idx="253">
                  <c:v>0.26528879507989828</c:v>
                </c:pt>
                <c:pt idx="254">
                  <c:v>0.27977993985957089</c:v>
                </c:pt>
                <c:pt idx="255">
                  <c:v>0.27152402415781846</c:v>
                </c:pt>
                <c:pt idx="256">
                  <c:v>0</c:v>
                </c:pt>
                <c:pt idx="257">
                  <c:v>0.28500787562902086</c:v>
                </c:pt>
                <c:pt idx="258">
                  <c:v>0.27850877998648499</c:v>
                </c:pt>
                <c:pt idx="259">
                  <c:v>0.28561873719044606</c:v>
                </c:pt>
                <c:pt idx="260">
                  <c:v>0.27646225769326177</c:v>
                </c:pt>
                <c:pt idx="261">
                  <c:v>0.28031519576388347</c:v>
                </c:pt>
                <c:pt idx="262">
                  <c:v>0.28179132940205626</c:v>
                </c:pt>
                <c:pt idx="263">
                  <c:v>0.2792050938944341</c:v>
                </c:pt>
                <c:pt idx="264">
                  <c:v>0.27613873260220206</c:v>
                </c:pt>
                <c:pt idx="265">
                  <c:v>0</c:v>
                </c:pt>
                <c:pt idx="266">
                  <c:v>0.27554648918855507</c:v>
                </c:pt>
                <c:pt idx="267">
                  <c:v>0.27972451133722198</c:v>
                </c:pt>
                <c:pt idx="268">
                  <c:v>0.26701562540542234</c:v>
                </c:pt>
                <c:pt idx="269">
                  <c:v>0.26682843713146165</c:v>
                </c:pt>
                <c:pt idx="270">
                  <c:v>0.27403589199993456</c:v>
                </c:pt>
                <c:pt idx="271">
                  <c:v>0.26747554402134049</c:v>
                </c:pt>
                <c:pt idx="272">
                  <c:v>0.2755369636250648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0.26961912768954177</c:v>
                </c:pt>
                <c:pt idx="277">
                  <c:v>0.26691743901454684</c:v>
                </c:pt>
                <c:pt idx="278">
                  <c:v>0</c:v>
                </c:pt>
                <c:pt idx="279">
                  <c:v>0</c:v>
                </c:pt>
                <c:pt idx="280">
                  <c:v>0.28123843803390736</c:v>
                </c:pt>
                <c:pt idx="281">
                  <c:v>0</c:v>
                </c:pt>
                <c:pt idx="282">
                  <c:v>0</c:v>
                </c:pt>
                <c:pt idx="283">
                  <c:v>0.27872752557147107</c:v>
                </c:pt>
                <c:pt idx="284">
                  <c:v>0.26393652830795772</c:v>
                </c:pt>
                <c:pt idx="285">
                  <c:v>0.26741841290197943</c:v>
                </c:pt>
                <c:pt idx="286">
                  <c:v>0.28221637299768532</c:v>
                </c:pt>
                <c:pt idx="287">
                  <c:v>0.27815978729983643</c:v>
                </c:pt>
              </c:numCache>
            </c:numRef>
          </c:yVal>
        </c:ser>
        <c:ser>
          <c:idx val="0"/>
          <c:order val="1"/>
          <c:tx>
            <c:strRef>
              <c:f>Calculations!$E$20</c:f>
              <c:strCache>
                <c:ptCount val="1"/>
                <c:pt idx="0">
                  <c:v>Chroma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7"/>
            <c:spPr>
              <a:noFill/>
              <a:ln w="19050">
                <a:solidFill>
                  <a:srgbClr val="C00000"/>
                </a:solidFill>
              </a:ln>
            </c:spPr>
          </c:marker>
          <c:xVal>
            <c:numRef>
              <c:f>Calculations!$S$22:$S$30</c:f>
              <c:numCache>
                <c:formatCode>0.0000</c:formatCode>
                <c:ptCount val="9"/>
                <c:pt idx="0">
                  <c:v>0.13636101665610051</c:v>
                </c:pt>
                <c:pt idx="1">
                  <c:v>0.17591102004975853</c:v>
                </c:pt>
                <c:pt idx="2">
                  <c:v>0.2197586052749218</c:v>
                </c:pt>
                <c:pt idx="3">
                  <c:v>0.15211010371143435</c:v>
                </c:pt>
                <c:pt idx="4">
                  <c:v>0.19931317307371718</c:v>
                </c:pt>
                <c:pt idx="5">
                  <c:v>0.25038449707782223</c:v>
                </c:pt>
                <c:pt idx="6">
                  <c:v>0.17469204927211648</c:v>
                </c:pt>
                <c:pt idx="7">
                  <c:v>0.23074257997459294</c:v>
                </c:pt>
                <c:pt idx="8">
                  <c:v>0.29158699808795413</c:v>
                </c:pt>
              </c:numCache>
            </c:numRef>
          </c:xVal>
          <c:yVal>
            <c:numRef>
              <c:f>Calculations!$T$22:$T$30</c:f>
              <c:numCache>
                <c:formatCode>0.0000</c:formatCode>
                <c:ptCount val="9"/>
                <c:pt idx="0">
                  <c:v>0.31796438245634256</c:v>
                </c:pt>
                <c:pt idx="1">
                  <c:v>0.32445485145616859</c:v>
                </c:pt>
                <c:pt idx="2">
                  <c:v>0.33142601698703622</c:v>
                </c:pt>
                <c:pt idx="3">
                  <c:v>0.2934250864261953</c:v>
                </c:pt>
                <c:pt idx="4">
                  <c:v>0.29976994632080822</c:v>
                </c:pt>
                <c:pt idx="5">
                  <c:v>0.30626473905464985</c:v>
                </c:pt>
                <c:pt idx="6">
                  <c:v>0.26371780515117582</c:v>
                </c:pt>
                <c:pt idx="7">
                  <c:v>0.26896870308349696</c:v>
                </c:pt>
                <c:pt idx="8">
                  <c:v>0.27413957934990441</c:v>
                </c:pt>
              </c:numCache>
            </c:numRef>
          </c:yVal>
        </c:ser>
        <c:axId val="185579776"/>
        <c:axId val="185582336"/>
      </c:scatterChart>
      <c:valAx>
        <c:axId val="185579776"/>
        <c:scaling>
          <c:orientation val="minMax"/>
          <c:max val="0.35000000000000031"/>
          <c:min val="0.1"/>
        </c:scaling>
        <c:axPos val="b"/>
        <c:title>
          <c:tx>
            <c:strRef>
              <c:f>Calculations!$S$43</c:f>
              <c:strCache>
                <c:ptCount val="1"/>
                <c:pt idx="0">
                  <c:v>u</c:v>
                </c:pt>
              </c:strCache>
            </c:strRef>
          </c:tx>
          <c:layout/>
          <c:txPr>
            <a:bodyPr/>
            <a:lstStyle/>
            <a:p>
              <a:pPr>
                <a:defRPr sz="2000"/>
              </a:pPr>
              <a:endParaRPr lang="en-US"/>
            </a:p>
          </c:txPr>
        </c:title>
        <c:numFmt formatCode="0.00" sourceLinked="0"/>
        <c:tickLblPos val="nextTo"/>
        <c:crossAx val="185582336"/>
        <c:crosses val="autoZero"/>
        <c:crossBetween val="midCat"/>
        <c:majorUnit val="0.05"/>
      </c:valAx>
      <c:valAx>
        <c:axId val="185582336"/>
        <c:scaling>
          <c:orientation val="minMax"/>
          <c:max val="0.4"/>
          <c:min val="0.25"/>
        </c:scaling>
        <c:axPos val="l"/>
        <c:majorGridlines/>
        <c:title>
          <c:tx>
            <c:strRef>
              <c:f>Calculations!$T$43</c:f>
              <c:strCache>
                <c:ptCount val="1"/>
                <c:pt idx="0">
                  <c:v>v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 sz="2000"/>
              </a:pPr>
              <a:endParaRPr lang="en-US"/>
            </a:p>
          </c:txPr>
        </c:title>
        <c:numFmt formatCode="0.00" sourceLinked="0"/>
        <c:tickLblPos val="nextTo"/>
        <c:crossAx val="185579776"/>
        <c:crosses val="autoZero"/>
        <c:crossBetween val="midCat"/>
        <c:majorUnit val="0.05"/>
      </c:valAx>
      <c:spPr>
        <a:noFill/>
      </c:spPr>
    </c:plotArea>
    <c:legend>
      <c:legendPos val="r"/>
      <c:layout>
        <c:manualLayout>
          <c:xMode val="edge"/>
          <c:yMode val="edge"/>
          <c:x val="0.1016070406849623"/>
          <c:y val="0.7170735179350507"/>
          <c:w val="0.10005030660399288"/>
          <c:h val="9.9829229694863741E-2"/>
        </c:manualLayout>
      </c:layout>
      <c:overlay val="1"/>
      <c:spPr>
        <a:solidFill>
          <a:schemeClr val="bg1"/>
        </a:solidFill>
        <a:ln w="25400">
          <a:solidFill>
            <a:srgbClr val="C0504D">
              <a:shade val="95000"/>
              <a:satMod val="105000"/>
            </a:srgbClr>
          </a:solidFill>
        </a:ln>
      </c:spPr>
    </c:legend>
    <c:dispBlanksAs val="gap"/>
  </c:chart>
  <c:spPr>
    <a:noFill/>
  </c:sp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Calculations!$Q$209</c:f>
          <c:strCache>
            <c:ptCount val="1"/>
            <c:pt idx="0">
              <c:v>Δxy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Calculations!$M$209</c:f>
              <c:strCache>
                <c:ptCount val="1"/>
                <c:pt idx="0">
                  <c:v>Δxy</c:v>
                </c:pt>
              </c:strCache>
            </c:strRef>
          </c:tx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Calculations!$M$210:$M$218</c:f>
              <c:numCache>
                <c:formatCode>0.000</c:formatCode>
                <c:ptCount val="9"/>
                <c:pt idx="0">
                  <c:v>2.2133769130467312E-2</c:v>
                </c:pt>
                <c:pt idx="1">
                  <c:v>1.7603648776017944E-2</c:v>
                </c:pt>
                <c:pt idx="2">
                  <c:v>2.1702665736784865E-2</c:v>
                </c:pt>
                <c:pt idx="3">
                  <c:v>1.7917047029817047E-2</c:v>
                </c:pt>
                <c:pt idx="4">
                  <c:v>1.7632626298557646E-2</c:v>
                </c:pt>
                <c:pt idx="5">
                  <c:v>2.0416203256521763E-2</c:v>
                </c:pt>
                <c:pt idx="6">
                  <c:v>1.884798307639917E-2</c:v>
                </c:pt>
                <c:pt idx="7">
                  <c:v>2.1072327262688834E-2</c:v>
                </c:pt>
                <c:pt idx="8">
                  <c:v>2.437649054165119E-2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Calculations!$Q$210:$Q$218</c:f>
              <c:numCache>
                <c:formatCode>0.000</c:formatCode>
                <c:ptCount val="9"/>
                <c:pt idx="0">
                  <c:v>2.2133769130467312E-2</c:v>
                </c:pt>
                <c:pt idx="1">
                  <c:v>1.7603648776017944E-2</c:v>
                </c:pt>
                <c:pt idx="2">
                  <c:v>2.1702665736784865E-2</c:v>
                </c:pt>
                <c:pt idx="3">
                  <c:v>1.7917047029817047E-2</c:v>
                </c:pt>
                <c:pt idx="4">
                  <c:v>1.7632626298557646E-2</c:v>
                </c:pt>
                <c:pt idx="5">
                  <c:v>2.0416203256521763E-2</c:v>
                </c:pt>
                <c:pt idx="6">
                  <c:v>1.884798307639917E-2</c:v>
                </c:pt>
                <c:pt idx="7">
                  <c:v>2.1072327262688834E-2</c:v>
                </c:pt>
                <c:pt idx="8">
                  <c:v>2.437649054165119E-2</c:v>
                </c:pt>
              </c:numCache>
            </c:numRef>
          </c:yVal>
        </c:ser>
        <c:axId val="184782848"/>
        <c:axId val="184784384"/>
      </c:scatterChart>
      <c:valAx>
        <c:axId val="184782848"/>
        <c:scaling>
          <c:orientation val="minMax"/>
          <c:max val="10000"/>
          <c:min val="2000"/>
        </c:scaling>
        <c:axPos val="b"/>
        <c:numFmt formatCode="General" sourceLinked="1"/>
        <c:tickLblPos val="nextTo"/>
        <c:crossAx val="184784384"/>
        <c:crosses val="autoZero"/>
        <c:crossBetween val="midCat"/>
      </c:valAx>
      <c:valAx>
        <c:axId val="184784384"/>
        <c:scaling>
          <c:orientation val="minMax"/>
          <c:max val="4.0000000000000022E-2"/>
          <c:min val="0"/>
        </c:scaling>
        <c:axPos val="l"/>
        <c:majorGridlines/>
        <c:numFmt formatCode="0.000" sourceLinked="1"/>
        <c:tickLblPos val="nextTo"/>
        <c:crossAx val="184782848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Calculations!$S$209</c:f>
          <c:strCache>
            <c:ptCount val="1"/>
            <c:pt idx="0">
              <c:v>MK-1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Calculations!$O$209</c:f>
              <c:strCache>
                <c:ptCount val="1"/>
                <c:pt idx="0">
                  <c:v>MK-1</c:v>
                </c:pt>
              </c:strCache>
            </c:strRef>
          </c:tx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Calculations!$O$210:$O$218</c:f>
              <c:numCache>
                <c:formatCode>0.0</c:formatCode>
                <c:ptCount val="9"/>
                <c:pt idx="0">
                  <c:v>11.42738853889043</c:v>
                </c:pt>
                <c:pt idx="1">
                  <c:v>5.7829449130330062</c:v>
                </c:pt>
                <c:pt idx="2">
                  <c:v>22.697767654284046</c:v>
                </c:pt>
                <c:pt idx="3">
                  <c:v>13.416998175182304</c:v>
                </c:pt>
                <c:pt idx="4">
                  <c:v>13.052895309373177</c:v>
                </c:pt>
                <c:pt idx="5">
                  <c:v>46.837703311554044</c:v>
                </c:pt>
                <c:pt idx="6">
                  <c:v>0</c:v>
                </c:pt>
                <c:pt idx="7">
                  <c:v>146.79215335938952</c:v>
                </c:pt>
                <c:pt idx="8">
                  <c:v>90.790576533579468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Calculations!$S$210:$S$218</c:f>
              <c:numCache>
                <c:formatCode>0.0</c:formatCode>
                <c:ptCount val="9"/>
                <c:pt idx="0">
                  <c:v>11.42738853889043</c:v>
                </c:pt>
                <c:pt idx="1">
                  <c:v>5.7829449130330062</c:v>
                </c:pt>
                <c:pt idx="2">
                  <c:v>22.697767654284046</c:v>
                </c:pt>
                <c:pt idx="3">
                  <c:v>13.416998175182304</c:v>
                </c:pt>
                <c:pt idx="4">
                  <c:v>13.052895309373177</c:v>
                </c:pt>
                <c:pt idx="5">
                  <c:v>46.837703311554044</c:v>
                </c:pt>
                <c:pt idx="6">
                  <c:v>0</c:v>
                </c:pt>
                <c:pt idx="7">
                  <c:v>146.79215335938952</c:v>
                </c:pt>
                <c:pt idx="8">
                  <c:v>90.790576533579468</c:v>
                </c:pt>
              </c:numCache>
            </c:numRef>
          </c:yVal>
        </c:ser>
        <c:axId val="184808960"/>
        <c:axId val="184810496"/>
      </c:scatterChart>
      <c:valAx>
        <c:axId val="184808960"/>
        <c:scaling>
          <c:orientation val="minMax"/>
          <c:max val="10000"/>
          <c:min val="2000"/>
        </c:scaling>
        <c:axPos val="b"/>
        <c:numFmt formatCode="General" sourceLinked="1"/>
        <c:tickLblPos val="nextTo"/>
        <c:crossAx val="184810496"/>
        <c:crosses val="autoZero"/>
        <c:crossBetween val="midCat"/>
      </c:valAx>
      <c:valAx>
        <c:axId val="184810496"/>
        <c:scaling>
          <c:orientation val="minMax"/>
          <c:max val="60"/>
        </c:scaling>
        <c:axPos val="l"/>
        <c:majorGridlines/>
        <c:numFmt formatCode="0.0" sourceLinked="1"/>
        <c:tickLblPos val="nextTo"/>
        <c:crossAx val="184808960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Calculations!$R$209</c:f>
          <c:strCache>
            <c:ptCount val="1"/>
            <c:pt idx="0">
              <c:v>%/Val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Calculations!$N$209</c:f>
              <c:strCache>
                <c:ptCount val="1"/>
                <c:pt idx="0">
                  <c:v>%/Val</c:v>
                </c:pt>
              </c:strCache>
            </c:strRef>
          </c:tx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Calculations!$N$210:$N$218</c:f>
              <c:numCache>
                <c:formatCode>0.0%</c:formatCode>
                <c:ptCount val="9"/>
                <c:pt idx="0">
                  <c:v>0.10751972857874145</c:v>
                </c:pt>
                <c:pt idx="1">
                  <c:v>3.9502077410470057E-2</c:v>
                </c:pt>
                <c:pt idx="2">
                  <c:v>0.10327618231318572</c:v>
                </c:pt>
                <c:pt idx="3">
                  <c:v>0.18567830588894293</c:v>
                </c:pt>
                <c:pt idx="4">
                  <c:v>0.11212004412382373</c:v>
                </c:pt>
                <c:pt idx="5">
                  <c:v>0.20102389642025337</c:v>
                </c:pt>
                <c:pt idx="6">
                  <c:v>0</c:v>
                </c:pt>
                <c:pt idx="7">
                  <c:v>2.8712621892572052</c:v>
                </c:pt>
                <c:pt idx="8">
                  <c:v>0.19418483444830648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Calculations!$L$210:$L$218</c:f>
              <c:numCache>
                <c:formatCode>General</c:formatCode>
                <c:ptCount val="9"/>
                <c:pt idx="0">
                  <c:v>10480</c:v>
                </c:pt>
                <c:pt idx="1">
                  <c:v>6925</c:v>
                </c:pt>
                <c:pt idx="2">
                  <c:v>4331</c:v>
                </c:pt>
                <c:pt idx="3">
                  <c:v>15742</c:v>
                </c:pt>
                <c:pt idx="4">
                  <c:v>8035</c:v>
                </c:pt>
                <c:pt idx="5">
                  <c:v>3723</c:v>
                </c:pt>
                <c:pt idx="6">
                  <c:v>-20000</c:v>
                </c:pt>
                <c:pt idx="7">
                  <c:v>14247.999999999998</c:v>
                </c:pt>
                <c:pt idx="8">
                  <c:v>2450</c:v>
                </c:pt>
              </c:numCache>
            </c:numRef>
          </c:xVal>
          <c:yVal>
            <c:numRef>
              <c:f>Calculations!$R$210:$R$218</c:f>
              <c:numCache>
                <c:formatCode>0.0%</c:formatCode>
                <c:ptCount val="9"/>
                <c:pt idx="0">
                  <c:v>0.10751972857874145</c:v>
                </c:pt>
                <c:pt idx="1">
                  <c:v>3.9502077410470057E-2</c:v>
                </c:pt>
                <c:pt idx="2">
                  <c:v>0.10327618231318572</c:v>
                </c:pt>
                <c:pt idx="3">
                  <c:v>0.18567830588894293</c:v>
                </c:pt>
                <c:pt idx="4">
                  <c:v>0.11212004412382373</c:v>
                </c:pt>
                <c:pt idx="5">
                  <c:v>0.20102389642025337</c:v>
                </c:pt>
                <c:pt idx="6">
                  <c:v>0</c:v>
                </c:pt>
                <c:pt idx="7">
                  <c:v>2.8712621892572052</c:v>
                </c:pt>
                <c:pt idx="8">
                  <c:v>0.19418483444830648</c:v>
                </c:pt>
              </c:numCache>
            </c:numRef>
          </c:yVal>
        </c:ser>
        <c:axId val="185633792"/>
        <c:axId val="185639680"/>
      </c:scatterChart>
      <c:valAx>
        <c:axId val="185633792"/>
        <c:scaling>
          <c:orientation val="minMax"/>
          <c:max val="10000"/>
          <c:min val="2000"/>
        </c:scaling>
        <c:axPos val="b"/>
        <c:numFmt formatCode="General" sourceLinked="1"/>
        <c:tickLblPos val="nextTo"/>
        <c:crossAx val="185639680"/>
        <c:crosses val="autoZero"/>
        <c:crossBetween val="midCat"/>
      </c:valAx>
      <c:valAx>
        <c:axId val="185639680"/>
        <c:scaling>
          <c:orientation val="minMax"/>
          <c:max val="0.4"/>
        </c:scaling>
        <c:axPos val="l"/>
        <c:majorGridlines/>
        <c:numFmt formatCode="0.0%" sourceLinked="1"/>
        <c:tickLblPos val="nextTo"/>
        <c:crossAx val="185633792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17</xdr:row>
      <xdr:rowOff>0</xdr:rowOff>
    </xdr:from>
    <xdr:to>
      <xdr:col>39</xdr:col>
      <xdr:colOff>181080</xdr:colOff>
      <xdr:row>41</xdr:row>
      <xdr:rowOff>152933</xdr:rowOff>
    </xdr:to>
    <xdr:grpSp>
      <xdr:nvGrpSpPr>
        <xdr:cNvPr id="17" name="Group 16"/>
        <xdr:cNvGrpSpPr/>
      </xdr:nvGrpSpPr>
      <xdr:grpSpPr>
        <a:xfrm>
          <a:off x="19609594" y="3298031"/>
          <a:ext cx="7777267" cy="4748746"/>
          <a:chOff x="21118286" y="3112434"/>
          <a:chExt cx="7864580" cy="4724933"/>
        </a:xfrm>
      </xdr:grpSpPr>
      <xdr:pic>
        <xdr:nvPicPr>
          <xdr:cNvPr id="18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21653500" y="3302000"/>
            <a:ext cx="7009643" cy="4192858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graphicFrame macro="">
        <xdr:nvGraphicFramePr>
          <xdr:cNvPr id="19" name="Chart 18"/>
          <xdr:cNvGraphicFramePr/>
        </xdr:nvGraphicFramePr>
        <xdr:xfrm>
          <a:off x="21118286" y="3112434"/>
          <a:ext cx="7864580" cy="4724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6</xdr:col>
      <xdr:colOff>0</xdr:colOff>
      <xdr:row>182</xdr:row>
      <xdr:rowOff>0</xdr:rowOff>
    </xdr:from>
    <xdr:to>
      <xdr:col>16</xdr:col>
      <xdr:colOff>612086</xdr:colOff>
      <xdr:row>206</xdr:row>
      <xdr:rowOff>176746</xdr:rowOff>
    </xdr:to>
    <xdr:grpSp>
      <xdr:nvGrpSpPr>
        <xdr:cNvPr id="8" name="Group 7"/>
        <xdr:cNvGrpSpPr/>
      </xdr:nvGrpSpPr>
      <xdr:grpSpPr>
        <a:xfrm>
          <a:off x="4155281" y="34813875"/>
          <a:ext cx="7779649" cy="4748746"/>
          <a:chOff x="21118286" y="3112434"/>
          <a:chExt cx="7864580" cy="4724933"/>
        </a:xfrm>
      </xdr:grpSpPr>
      <xdr:pic>
        <xdr:nvPicPr>
          <xdr:cNvPr id="9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21653500" y="3302000"/>
            <a:ext cx="7009643" cy="4192858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graphicFrame macro="">
        <xdr:nvGraphicFramePr>
          <xdr:cNvPr id="10" name="Chart 9"/>
          <xdr:cNvGraphicFramePr/>
        </xdr:nvGraphicFramePr>
        <xdr:xfrm>
          <a:off x="21118286" y="3112434"/>
          <a:ext cx="7864580" cy="4724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18</xdr:col>
      <xdr:colOff>0</xdr:colOff>
      <xdr:row>182</xdr:row>
      <xdr:rowOff>19050</xdr:rowOff>
    </xdr:from>
    <xdr:to>
      <xdr:col>24</xdr:col>
      <xdr:colOff>400050</xdr:colOff>
      <xdr:row>196</xdr:row>
      <xdr:rowOff>95250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182</xdr:row>
      <xdr:rowOff>0</xdr:rowOff>
    </xdr:from>
    <xdr:to>
      <xdr:col>31</xdr:col>
      <xdr:colOff>409575</xdr:colOff>
      <xdr:row>196</xdr:row>
      <xdr:rowOff>76200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197</xdr:row>
      <xdr:rowOff>0</xdr:rowOff>
    </xdr:from>
    <xdr:to>
      <xdr:col>31</xdr:col>
      <xdr:colOff>400050</xdr:colOff>
      <xdr:row>211</xdr:row>
      <xdr:rowOff>76200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5:J28"/>
  <sheetViews>
    <sheetView workbookViewId="0"/>
  </sheetViews>
  <sheetFormatPr defaultRowHeight="15"/>
  <cols>
    <col min="3" max="3" width="9.140625" style="46"/>
    <col min="4" max="4" width="9.140625" style="45"/>
  </cols>
  <sheetData>
    <row r="5" spans="2:10">
      <c r="C5" s="46" t="s">
        <v>52</v>
      </c>
      <c r="D5" s="45">
        <v>0</v>
      </c>
    </row>
    <row r="6" spans="2:10">
      <c r="C6" s="46" t="s">
        <v>56</v>
      </c>
      <c r="D6" s="45">
        <v>6.9</v>
      </c>
    </row>
    <row r="7" spans="2:10">
      <c r="C7" s="46" t="s">
        <v>57</v>
      </c>
      <c r="D7" s="45">
        <v>9.6</v>
      </c>
    </row>
    <row r="8" spans="2:10" ht="15.75" thickBot="1"/>
    <row r="9" spans="2:10">
      <c r="B9" s="203" t="s">
        <v>89</v>
      </c>
      <c r="C9" s="201"/>
      <c r="D9" s="42" t="s">
        <v>63</v>
      </c>
      <c r="E9" s="42" t="s">
        <v>64</v>
      </c>
      <c r="F9" s="42" t="s">
        <v>66</v>
      </c>
      <c r="G9" s="42" t="s">
        <v>70</v>
      </c>
      <c r="H9" s="201" t="s">
        <v>90</v>
      </c>
      <c r="I9" s="201"/>
      <c r="J9" s="202"/>
    </row>
    <row r="10" spans="2:10">
      <c r="B10" s="199" t="s">
        <v>67</v>
      </c>
      <c r="C10" s="63" t="s">
        <v>62</v>
      </c>
      <c r="D10" s="63">
        <v>25100</v>
      </c>
      <c r="E10" s="63">
        <v>1133.6300000000001</v>
      </c>
      <c r="F10" s="64">
        <f>E10/D10</f>
        <v>4.5164541832669325E-2</v>
      </c>
      <c r="G10" s="63"/>
      <c r="H10" s="63" t="s">
        <v>67</v>
      </c>
      <c r="I10" s="63" t="s">
        <v>68</v>
      </c>
      <c r="J10" s="65" t="s">
        <v>69</v>
      </c>
    </row>
    <row r="11" spans="2:10">
      <c r="B11" s="199"/>
      <c r="C11" s="63" t="s">
        <v>65</v>
      </c>
      <c r="D11" s="63">
        <v>29440.2</v>
      </c>
      <c r="E11" s="63">
        <v>369.24</v>
      </c>
      <c r="F11" s="64">
        <f>E11/D11</f>
        <v>1.2542034361179611E-2</v>
      </c>
      <c r="G11" s="64">
        <f>1-D11/D10</f>
        <v>-0.1729163346613547</v>
      </c>
      <c r="H11" s="63">
        <v>28589</v>
      </c>
      <c r="I11" s="63">
        <v>30357</v>
      </c>
      <c r="J11" s="66">
        <f>(I11-H11)/(I11+H11)</f>
        <v>2.9993553421775863E-2</v>
      </c>
    </row>
    <row r="12" spans="2:10">
      <c r="B12" s="199" t="s">
        <v>68</v>
      </c>
      <c r="C12" s="63" t="s">
        <v>62</v>
      </c>
      <c r="D12" s="63">
        <v>26245.4</v>
      </c>
      <c r="E12" s="63">
        <v>1314.47</v>
      </c>
      <c r="F12" s="64">
        <f>E12/D12</f>
        <v>5.0083824213004946E-2</v>
      </c>
      <c r="G12" s="63"/>
      <c r="H12" s="204"/>
      <c r="I12" s="204"/>
      <c r="J12" s="205"/>
    </row>
    <row r="13" spans="2:10" ht="15.75" thickBot="1">
      <c r="B13" s="200"/>
      <c r="C13" s="68" t="s">
        <v>65</v>
      </c>
      <c r="D13" s="68">
        <v>31824.5</v>
      </c>
      <c r="E13" s="68">
        <v>1094.8900000000001</v>
      </c>
      <c r="F13" s="69">
        <f>E13/D13</f>
        <v>3.4403996920611482E-2</v>
      </c>
      <c r="G13" s="69">
        <f>1-D13/D12</f>
        <v>-0.21257439398904188</v>
      </c>
      <c r="H13" s="206"/>
      <c r="I13" s="206"/>
      <c r="J13" s="207"/>
    </row>
    <row r="15" spans="2:10" ht="15.75" thickBot="1">
      <c r="C15" s="198" t="s">
        <v>82</v>
      </c>
      <c r="D15" s="198"/>
      <c r="E15" s="198"/>
    </row>
    <row r="16" spans="2:10">
      <c r="C16" s="49">
        <f>Calculations!B59/Calculations!$C$60</f>
        <v>0.47442548331797091</v>
      </c>
      <c r="D16" s="50">
        <f>Calculations!C59/Calculations!$C$60</f>
        <v>0.25626665832978679</v>
      </c>
      <c r="E16" s="51">
        <f>Calculations!D59/Calculations!$C$60</f>
        <v>0.30525308359470932</v>
      </c>
    </row>
    <row r="17" spans="3:5">
      <c r="C17" s="87">
        <f>Calculations!B60/Calculations!$C$60</f>
        <v>6.148068218150593E-2</v>
      </c>
      <c r="D17" s="63">
        <f>Calculations!C60/Calculations!$C$60</f>
        <v>1</v>
      </c>
      <c r="E17" s="67">
        <f>Calculations!D60/Calculations!$C$60</f>
        <v>5.5401675039642106E-2</v>
      </c>
    </row>
    <row r="18" spans="3:5" ht="15.75" thickBot="1">
      <c r="C18" s="88">
        <f>Calculations!B61/Calculations!$C$60</f>
        <v>-9.1384969661165494E-2</v>
      </c>
      <c r="D18" s="70">
        <f>Calculations!C61/Calculations!$C$60</f>
        <v>-0.44255764696913369</v>
      </c>
      <c r="E18" s="71">
        <f>Calculations!D61/Calculations!$C$60</f>
        <v>1.7788069001668647</v>
      </c>
    </row>
    <row r="20" spans="3:5">
      <c r="C20" s="197" t="s">
        <v>91</v>
      </c>
      <c r="D20" s="197"/>
      <c r="E20" s="197"/>
    </row>
    <row r="21" spans="3:5">
      <c r="C21" s="46">
        <v>0.47699377941462673</v>
      </c>
      <c r="D21" s="45">
        <v>0.25627444437894747</v>
      </c>
      <c r="E21">
        <v>0.30602991912280691</v>
      </c>
    </row>
    <row r="22" spans="3:5">
      <c r="C22" s="46">
        <v>6.3869979718661804E-2</v>
      </c>
      <c r="D22" s="45">
        <v>1</v>
      </c>
      <c r="E22">
        <v>5.5866871271901014E-2</v>
      </c>
    </row>
    <row r="23" spans="3:5">
      <c r="C23" s="46">
        <v>-9.3226724703189309E-2</v>
      </c>
      <c r="D23" s="45">
        <v>-0.43943851057976474</v>
      </c>
      <c r="E23">
        <v>1.7809124163164083</v>
      </c>
    </row>
    <row r="25" spans="3:5">
      <c r="C25" s="197" t="s">
        <v>92</v>
      </c>
      <c r="D25" s="197"/>
      <c r="E25" s="197"/>
    </row>
    <row r="26" spans="3:5">
      <c r="C26" s="96">
        <f t="shared" ref="C26:E28" si="0">C21/C16-1</f>
        <v>5.4134868108137724E-3</v>
      </c>
      <c r="D26" s="96">
        <f t="shared" si="0"/>
        <v>3.0382606974521664E-5</v>
      </c>
      <c r="E26" s="96">
        <f t="shared" si="0"/>
        <v>2.5448900268245644E-3</v>
      </c>
    </row>
    <row r="27" spans="3:5">
      <c r="C27" s="96">
        <f t="shared" si="0"/>
        <v>3.8862573614620644E-2</v>
      </c>
      <c r="D27" s="96">
        <f t="shared" si="0"/>
        <v>0</v>
      </c>
      <c r="E27" s="96">
        <f t="shared" si="0"/>
        <v>8.3967900235153436E-3</v>
      </c>
    </row>
    <row r="28" spans="3:5">
      <c r="C28" s="96">
        <f t="shared" si="0"/>
        <v>2.0153807008445934E-2</v>
      </c>
      <c r="D28" s="96">
        <f t="shared" si="0"/>
        <v>-7.0479776154144247E-3</v>
      </c>
      <c r="E28" s="96">
        <f t="shared" si="0"/>
        <v>1.1836676310092997E-3</v>
      </c>
    </row>
  </sheetData>
  <mergeCells count="8">
    <mergeCell ref="H9:J9"/>
    <mergeCell ref="B9:C9"/>
    <mergeCell ref="H12:J13"/>
    <mergeCell ref="C20:E20"/>
    <mergeCell ref="C25:E25"/>
    <mergeCell ref="C15:E15"/>
    <mergeCell ref="B10:B11"/>
    <mergeCell ref="B12:B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AT686"/>
  <sheetViews>
    <sheetView workbookViewId="0"/>
  </sheetViews>
  <sheetFormatPr defaultColWidth="10.42578125" defaultRowHeight="15"/>
  <cols>
    <col min="1" max="5" width="10.42578125" style="14"/>
    <col min="6" max="7" width="10.5703125" style="14" bestFit="1" customWidth="1"/>
    <col min="8" max="8" width="10.5703125" style="13" bestFit="1" customWidth="1"/>
    <col min="9" max="9" width="10.7109375" style="13" bestFit="1" customWidth="1"/>
    <col min="10" max="10" width="12.28515625" style="14" bestFit="1" customWidth="1"/>
    <col min="11" max="12" width="10.42578125" style="14"/>
    <col min="13" max="13" width="11.5703125" style="14" bestFit="1" customWidth="1"/>
    <col min="14" max="16384" width="10.42578125" style="14"/>
  </cols>
  <sheetData>
    <row r="1" spans="2:28">
      <c r="B1" s="219" t="s">
        <v>31</v>
      </c>
      <c r="C1" s="219"/>
      <c r="D1" s="219"/>
      <c r="E1" s="219"/>
      <c r="F1" s="219"/>
      <c r="G1" s="219"/>
      <c r="H1" s="219"/>
      <c r="I1" s="219"/>
      <c r="J1" s="219"/>
    </row>
    <row r="2" spans="2:28">
      <c r="B2" s="219"/>
      <c r="C2" s="219"/>
      <c r="D2" s="219"/>
      <c r="E2" s="219"/>
      <c r="F2" s="219"/>
      <c r="G2" s="219"/>
      <c r="H2" s="219"/>
      <c r="I2" s="219"/>
      <c r="J2" s="219"/>
      <c r="M2" s="29" t="s">
        <v>42</v>
      </c>
      <c r="N2" s="29" t="s">
        <v>43</v>
      </c>
      <c r="O2" s="29" t="s">
        <v>44</v>
      </c>
    </row>
    <row r="3" spans="2:28">
      <c r="B3" s="197" t="s">
        <v>0</v>
      </c>
      <c r="C3" s="197"/>
      <c r="D3" s="197"/>
      <c r="E3" s="197" t="s">
        <v>23</v>
      </c>
      <c r="F3" s="197"/>
      <c r="G3" s="197"/>
      <c r="H3" s="220" t="s">
        <v>24</v>
      </c>
      <c r="I3" s="220"/>
      <c r="J3" s="220"/>
      <c r="K3" s="13"/>
      <c r="L3" s="13"/>
      <c r="M3" s="9">
        <v>500</v>
      </c>
      <c r="N3" s="9">
        <v>100</v>
      </c>
      <c r="O3" s="29">
        <f>(M3-N3)/8</f>
        <v>50</v>
      </c>
      <c r="P3" s="13"/>
      <c r="Q3" s="13"/>
      <c r="R3" s="13"/>
      <c r="S3" s="13"/>
      <c r="T3" s="13"/>
      <c r="U3" s="13"/>
      <c r="V3" s="13"/>
      <c r="W3" s="13"/>
      <c r="X3" s="13"/>
      <c r="Y3" s="197" t="s">
        <v>86</v>
      </c>
      <c r="Z3" s="197"/>
      <c r="AA3" s="197" t="s">
        <v>87</v>
      </c>
      <c r="AB3" s="197"/>
    </row>
    <row r="4" spans="2:28" ht="18">
      <c r="B4" s="14" t="s">
        <v>20</v>
      </c>
      <c r="C4" s="14" t="s">
        <v>21</v>
      </c>
      <c r="D4" s="14" t="s">
        <v>22</v>
      </c>
      <c r="E4" s="14" t="s">
        <v>18</v>
      </c>
      <c r="F4" s="14" t="s">
        <v>9</v>
      </c>
      <c r="G4" s="14" t="s">
        <v>19</v>
      </c>
      <c r="H4" s="13" t="s">
        <v>1</v>
      </c>
      <c r="I4" s="13" t="s">
        <v>2</v>
      </c>
      <c r="J4" s="14" t="s">
        <v>10</v>
      </c>
      <c r="M4" s="29" t="s">
        <v>45</v>
      </c>
      <c r="N4" s="29" t="s">
        <v>14</v>
      </c>
      <c r="O4" s="29" t="s">
        <v>3</v>
      </c>
      <c r="P4" s="29" t="s">
        <v>1</v>
      </c>
      <c r="Q4" s="29" t="s">
        <v>2</v>
      </c>
      <c r="R4" s="29" t="s">
        <v>10</v>
      </c>
      <c r="S4" s="29" t="s">
        <v>18</v>
      </c>
      <c r="T4" s="29" t="s">
        <v>9</v>
      </c>
      <c r="U4" s="29" t="s">
        <v>19</v>
      </c>
      <c r="V4" s="29" t="s">
        <v>46</v>
      </c>
      <c r="W4" s="29" t="s">
        <v>47</v>
      </c>
      <c r="X4" s="29" t="s">
        <v>48</v>
      </c>
      <c r="Y4" s="14" t="str">
        <f>P4</f>
        <v>x</v>
      </c>
      <c r="Z4" s="14" t="str">
        <f>Q4</f>
        <v>y</v>
      </c>
      <c r="AA4" s="14" t="str">
        <f>Y4</f>
        <v>x</v>
      </c>
      <c r="AB4" s="80" t="str">
        <f>Z4</f>
        <v>y</v>
      </c>
    </row>
    <row r="5" spans="2:28">
      <c r="B5" s="218">
        <v>660</v>
      </c>
      <c r="C5" s="218">
        <v>525</v>
      </c>
      <c r="D5" s="218">
        <v>445</v>
      </c>
      <c r="E5" s="2">
        <f t="shared" ref="E5:J5" si="0">MIN(E7:E13)</f>
        <v>97.6</v>
      </c>
      <c r="F5" s="2">
        <f t="shared" si="0"/>
        <v>118</v>
      </c>
      <c r="G5" s="2">
        <f t="shared" si="0"/>
        <v>101.4</v>
      </c>
      <c r="H5" s="13">
        <f t="shared" si="0"/>
        <v>0.2209144409234948</v>
      </c>
      <c r="I5" s="13">
        <f t="shared" si="0"/>
        <v>0.22693889541715631</v>
      </c>
      <c r="J5" s="2">
        <f t="shared" si="0"/>
        <v>118</v>
      </c>
      <c r="K5" s="14" t="s">
        <v>5</v>
      </c>
      <c r="M5" s="29">
        <v>0</v>
      </c>
      <c r="N5" s="29">
        <f>N3</f>
        <v>100</v>
      </c>
      <c r="O5" s="30">
        <v>10000</v>
      </c>
      <c r="P5" s="13">
        <f t="shared" ref="P5:P13" si="1">PorB*Y5+(1-PorB)*AA5</f>
        <v>0.23333333333333334</v>
      </c>
      <c r="Q5" s="81">
        <f t="shared" ref="Q5:Q13" si="2">PorB*Z5+(1-PorB)*AB5</f>
        <v>0.36666666666666664</v>
      </c>
      <c r="R5" s="14">
        <v>150</v>
      </c>
      <c r="S5" s="2">
        <f>getXYZ(R5,P5,Q5,0)</f>
        <v>95.454545454545467</v>
      </c>
      <c r="T5" s="2">
        <f>getXYZ(R5,P5,Q5,1)</f>
        <v>150</v>
      </c>
      <c r="U5" s="2">
        <f>getXYZ(R5,P5,Q5,2)</f>
        <v>163.63636363636365</v>
      </c>
      <c r="V5" s="13">
        <f>G$15*S5+H$15*T5+I$15*U5+J$15</f>
        <v>0.49134317318763787</v>
      </c>
      <c r="W5" s="13">
        <f>G$16*S5+H$16*T5+I$16*U5+J$16</f>
        <v>1.8925917564460595</v>
      </c>
      <c r="X5" s="13">
        <f>G$17*S5+H$17*T5+I$17*U5+J$17</f>
        <v>1.7948991616844396</v>
      </c>
      <c r="Y5" s="81">
        <f t="shared" ref="Y5:Y13" si="3">getPlanckianLocusX(O5)</f>
        <v>0.28069800210000001</v>
      </c>
      <c r="Z5" s="81">
        <f t="shared" ref="Z5:Z13" si="4">getPlanckianLocusY(O5)</f>
        <v>0.28830562944688032</v>
      </c>
      <c r="AA5" s="81">
        <f>2*AA9-AA7</f>
        <v>0.23333333333333334</v>
      </c>
      <c r="AB5" s="81">
        <f>AB7</f>
        <v>0.36666666666666664</v>
      </c>
    </row>
    <row r="6" spans="2:28">
      <c r="B6" s="218"/>
      <c r="C6" s="218"/>
      <c r="D6" s="218"/>
      <c r="E6" s="2">
        <f t="shared" ref="E6:J6" si="5">MAX(E7:E13)</f>
        <v>243.3</v>
      </c>
      <c r="F6" s="2">
        <f t="shared" si="5"/>
        <v>186.1</v>
      </c>
      <c r="G6" s="2">
        <f t="shared" si="5"/>
        <v>338.8</v>
      </c>
      <c r="H6" s="13">
        <f t="shared" si="5"/>
        <v>0.37506348400203149</v>
      </c>
      <c r="I6" s="13">
        <f t="shared" si="5"/>
        <v>0.36744540375825291</v>
      </c>
      <c r="J6" s="2">
        <f t="shared" si="5"/>
        <v>186.1</v>
      </c>
      <c r="K6" s="14" t="s">
        <v>4</v>
      </c>
      <c r="M6" s="29">
        <v>1</v>
      </c>
      <c r="N6" s="29">
        <f>N5+O$3</f>
        <v>150</v>
      </c>
      <c r="O6" s="30">
        <v>6666.666666666667</v>
      </c>
      <c r="P6" s="81">
        <f t="shared" si="1"/>
        <v>0.3</v>
      </c>
      <c r="Q6" s="81">
        <f t="shared" si="2"/>
        <v>0.36666666666666664</v>
      </c>
      <c r="R6" s="14">
        <f>R5</f>
        <v>150</v>
      </c>
      <c r="S6" s="2">
        <f t="shared" ref="S6:S13" si="6">getXYZ(R6,P6,Q6,0)</f>
        <v>122.72727272727273</v>
      </c>
      <c r="T6" s="2">
        <f t="shared" ref="T6:T13" si="7">getXYZ(R6,P6,Q6,1)</f>
        <v>150</v>
      </c>
      <c r="U6" s="2">
        <f t="shared" ref="U6:U13" si="8">getXYZ(R6,P6,Q6,2)</f>
        <v>136.3636363636364</v>
      </c>
      <c r="V6" s="13">
        <f t="shared" ref="V6:V13" si="9">G$15*S6+H$15*T6+I$15*U6+J$15</f>
        <v>1.0377672277910071</v>
      </c>
      <c r="W6" s="13">
        <f t="shared" ref="W6:W13" si="10">G$16*S6+H$16*T6+I$16*U6+J$16</f>
        <v>1.6822988162636019</v>
      </c>
      <c r="X6" s="13">
        <f t="shared" ref="X6:X13" si="11">G$17*S6+H$17*T6+I$17*U6+J$17</f>
        <v>1.4684369179537808</v>
      </c>
      <c r="Y6" s="81">
        <f t="shared" si="3"/>
        <v>0.31097644598782015</v>
      </c>
      <c r="Z6" s="81">
        <f t="shared" si="4"/>
        <v>0.32118337869044328</v>
      </c>
      <c r="AA6" s="81">
        <f>AA9</f>
        <v>0.3</v>
      </c>
      <c r="AB6" s="81">
        <f>AB7</f>
        <v>0.36666666666666664</v>
      </c>
    </row>
    <row r="7" spans="2:28">
      <c r="B7" s="6">
        <f>B36</f>
        <v>0.5</v>
      </c>
      <c r="C7" s="6">
        <f>C37</f>
        <v>1.4</v>
      </c>
      <c r="D7" s="6">
        <f>D37</f>
        <v>2.5999999999999996</v>
      </c>
      <c r="E7" s="8">
        <v>97.6</v>
      </c>
      <c r="F7" s="8">
        <v>118</v>
      </c>
      <c r="G7" s="8">
        <v>226.2</v>
      </c>
      <c r="H7" s="13">
        <f>E7/(SUM(E7:G7))</f>
        <v>0.2209144409234948</v>
      </c>
      <c r="I7" s="13">
        <f>F7/(SUM(E7:G7))</f>
        <v>0.26708918062471709</v>
      </c>
      <c r="J7" s="2">
        <f>F7</f>
        <v>118</v>
      </c>
      <c r="K7" s="2"/>
      <c r="L7" s="2"/>
      <c r="M7" s="29">
        <v>2</v>
      </c>
      <c r="N7" s="29">
        <f t="shared" ref="N7:N13" si="12">N6+O$3</f>
        <v>200</v>
      </c>
      <c r="O7" s="30">
        <v>5000</v>
      </c>
      <c r="P7" s="81">
        <f t="shared" si="1"/>
        <v>0.36666666666666664</v>
      </c>
      <c r="Q7" s="81">
        <f t="shared" si="2"/>
        <v>0.36666666666666664</v>
      </c>
      <c r="R7" s="29">
        <f t="shared" ref="R7:R13" si="13">R6</f>
        <v>150</v>
      </c>
      <c r="S7" s="2">
        <f t="shared" si="6"/>
        <v>150</v>
      </c>
      <c r="T7" s="2">
        <f t="shared" si="7"/>
        <v>150</v>
      </c>
      <c r="U7" s="2">
        <f t="shared" si="8"/>
        <v>109.09090909090912</v>
      </c>
      <c r="V7" s="13">
        <f t="shared" si="9"/>
        <v>1.584191282394376</v>
      </c>
      <c r="W7" s="13">
        <f t="shared" si="10"/>
        <v>1.4720058760811445</v>
      </c>
      <c r="X7" s="13">
        <f t="shared" si="11"/>
        <v>1.1419746742231214</v>
      </c>
      <c r="Y7" s="81">
        <f t="shared" si="3"/>
        <v>0.34499168079999998</v>
      </c>
      <c r="Z7" s="81">
        <f t="shared" si="4"/>
        <v>0.35158666604175465</v>
      </c>
      <c r="AA7" s="158">
        <f>AA9+2*(1/3-AA9)</f>
        <v>0.36666666666666664</v>
      </c>
      <c r="AB7" s="81">
        <f>AA7</f>
        <v>0.36666666666666664</v>
      </c>
    </row>
    <row r="8" spans="2:28">
      <c r="B8" s="38">
        <f>B37</f>
        <v>1.6</v>
      </c>
      <c r="C8" s="6">
        <f>C7</f>
        <v>1.4</v>
      </c>
      <c r="D8" s="6">
        <f>D7</f>
        <v>2.5999999999999996</v>
      </c>
      <c r="E8" s="8">
        <v>168.6</v>
      </c>
      <c r="F8" s="8">
        <v>150</v>
      </c>
      <c r="G8" s="8">
        <v>226.2</v>
      </c>
      <c r="H8" s="13">
        <f t="shared" ref="H8:H13" si="14">E8/(SUM(E8:G8))</f>
        <v>0.30947136563876654</v>
      </c>
      <c r="I8" s="13">
        <f t="shared" ref="I8:I13" si="15">F8/(SUM(E8:G8))</f>
        <v>0.27533039647577096</v>
      </c>
      <c r="J8" s="2">
        <f t="shared" ref="J8:J13" si="16">F8</f>
        <v>150</v>
      </c>
      <c r="K8" s="2"/>
      <c r="L8" s="2"/>
      <c r="M8" s="29">
        <v>3</v>
      </c>
      <c r="N8" s="29">
        <f t="shared" si="12"/>
        <v>250</v>
      </c>
      <c r="O8" s="30">
        <v>4000</v>
      </c>
      <c r="P8" s="81">
        <f t="shared" si="1"/>
        <v>0.23333333333333334</v>
      </c>
      <c r="Q8" s="81">
        <f t="shared" si="2"/>
        <v>0.3</v>
      </c>
      <c r="R8" s="29">
        <f t="shared" si="13"/>
        <v>150</v>
      </c>
      <c r="S8" s="2">
        <f t="shared" si="6"/>
        <v>116.66666666666667</v>
      </c>
      <c r="T8" s="2">
        <f t="shared" si="7"/>
        <v>150</v>
      </c>
      <c r="U8" s="2">
        <f t="shared" si="8"/>
        <v>233.33333333333334</v>
      </c>
      <c r="V8" s="13">
        <f t="shared" si="9"/>
        <v>0.6705613451145338</v>
      </c>
      <c r="W8" s="13">
        <f t="shared" si="10"/>
        <v>1.7782485997034541</v>
      </c>
      <c r="X8" s="13">
        <f t="shared" si="11"/>
        <v>2.6837823995767853</v>
      </c>
      <c r="Y8" s="81">
        <f t="shared" si="3"/>
        <v>0.38045968593750001</v>
      </c>
      <c r="Z8" s="81">
        <f t="shared" si="4"/>
        <v>0.37668534207426413</v>
      </c>
      <c r="AA8" s="81">
        <f>AA5</f>
        <v>0.23333333333333334</v>
      </c>
      <c r="AB8" s="81">
        <f>AB9</f>
        <v>0.3</v>
      </c>
    </row>
    <row r="9" spans="2:28">
      <c r="B9" s="38">
        <f>B38</f>
        <v>2.7</v>
      </c>
      <c r="C9" s="6">
        <f>C8</f>
        <v>1.4</v>
      </c>
      <c r="D9" s="6">
        <f t="shared" ref="D9:D11" si="17">D8</f>
        <v>2.5999999999999996</v>
      </c>
      <c r="E9" s="8">
        <v>243.3</v>
      </c>
      <c r="F9" s="8">
        <v>183.3</v>
      </c>
      <c r="G9" s="8">
        <v>226.3</v>
      </c>
      <c r="H9" s="13">
        <f t="shared" si="14"/>
        <v>0.37264512176443554</v>
      </c>
      <c r="I9" s="13">
        <f t="shared" si="15"/>
        <v>0.2807474345228978</v>
      </c>
      <c r="J9" s="2">
        <f t="shared" si="16"/>
        <v>183.3</v>
      </c>
      <c r="K9" s="2"/>
      <c r="L9" s="2"/>
      <c r="M9" s="29">
        <v>4</v>
      </c>
      <c r="N9" s="29">
        <f t="shared" si="12"/>
        <v>300</v>
      </c>
      <c r="O9" s="30">
        <v>3333.3333333333335</v>
      </c>
      <c r="P9" s="81">
        <f t="shared" si="1"/>
        <v>0.3</v>
      </c>
      <c r="Q9" s="81">
        <f t="shared" si="2"/>
        <v>0.3</v>
      </c>
      <c r="R9" s="29">
        <f t="shared" si="13"/>
        <v>150</v>
      </c>
      <c r="S9" s="2">
        <f t="shared" si="6"/>
        <v>150</v>
      </c>
      <c r="T9" s="2">
        <f t="shared" si="7"/>
        <v>150</v>
      </c>
      <c r="U9" s="2">
        <f t="shared" si="8"/>
        <v>200.00000000000003</v>
      </c>
      <c r="V9" s="13">
        <f t="shared" si="9"/>
        <v>1.3384129674075402</v>
      </c>
      <c r="W9" s="13">
        <f t="shared" si="10"/>
        <v>1.5212238950360062</v>
      </c>
      <c r="X9" s="13">
        <f t="shared" si="11"/>
        <v>2.2847729905726468</v>
      </c>
      <c r="Y9" s="81">
        <f t="shared" si="3"/>
        <v>0.41496107308971658</v>
      </c>
      <c r="Z9" s="81">
        <f t="shared" si="4"/>
        <v>0.39548963355009875</v>
      </c>
      <c r="AA9" s="158">
        <v>0.3</v>
      </c>
      <c r="AB9" s="81">
        <f>AA9</f>
        <v>0.3</v>
      </c>
    </row>
    <row r="10" spans="2:28">
      <c r="B10" s="38">
        <f>B8</f>
        <v>1.6</v>
      </c>
      <c r="C10" s="38">
        <f>C8</f>
        <v>1.4</v>
      </c>
      <c r="D10" s="6">
        <f t="shared" si="17"/>
        <v>2.5999999999999996</v>
      </c>
      <c r="E10" s="8">
        <v>168.6</v>
      </c>
      <c r="F10" s="8">
        <v>149.9</v>
      </c>
      <c r="G10" s="8">
        <v>226.2</v>
      </c>
      <c r="H10" s="13">
        <f t="shared" si="14"/>
        <v>0.30952818064989901</v>
      </c>
      <c r="I10" s="13">
        <f t="shared" si="15"/>
        <v>0.27519735634294107</v>
      </c>
      <c r="J10" s="2">
        <f t="shared" si="16"/>
        <v>149.9</v>
      </c>
      <c r="K10" s="2"/>
      <c r="L10" s="2"/>
      <c r="M10" s="29">
        <v>5</v>
      </c>
      <c r="N10" s="29">
        <f t="shared" si="12"/>
        <v>350</v>
      </c>
      <c r="O10" s="30">
        <v>2857.1428571428573</v>
      </c>
      <c r="P10" s="81">
        <f t="shared" si="1"/>
        <v>0.36666666666666664</v>
      </c>
      <c r="Q10" s="81">
        <f t="shared" si="2"/>
        <v>0.3</v>
      </c>
      <c r="R10" s="29">
        <f t="shared" si="13"/>
        <v>150</v>
      </c>
      <c r="S10" s="2">
        <f t="shared" si="6"/>
        <v>183.33333333333331</v>
      </c>
      <c r="T10" s="2">
        <f t="shared" si="7"/>
        <v>150</v>
      </c>
      <c r="U10" s="2">
        <f t="shared" si="8"/>
        <v>166.66666666666669</v>
      </c>
      <c r="V10" s="13">
        <f t="shared" si="9"/>
        <v>2.0062645897005473</v>
      </c>
      <c r="W10" s="13">
        <f t="shared" si="10"/>
        <v>1.2641991903685583</v>
      </c>
      <c r="X10" s="13">
        <f t="shared" si="11"/>
        <v>1.8857635815685077</v>
      </c>
      <c r="Y10" s="81">
        <f t="shared" si="3"/>
        <v>0.4469953204471942</v>
      </c>
      <c r="Z10" s="81">
        <f t="shared" si="4"/>
        <v>0.40748692655934693</v>
      </c>
      <c r="AA10" s="81">
        <f>AA7</f>
        <v>0.36666666666666664</v>
      </c>
      <c r="AB10" s="81">
        <f>AB9</f>
        <v>0.3</v>
      </c>
    </row>
    <row r="11" spans="2:28">
      <c r="B11" s="6">
        <f>B10</f>
        <v>1.6</v>
      </c>
      <c r="C11" s="38">
        <f>C38</f>
        <v>1.9</v>
      </c>
      <c r="D11" s="6">
        <f t="shared" si="17"/>
        <v>2.5999999999999996</v>
      </c>
      <c r="E11" s="8">
        <v>179.8</v>
      </c>
      <c r="F11" s="8">
        <v>186.1</v>
      </c>
      <c r="G11" s="8">
        <v>227.6</v>
      </c>
      <c r="H11" s="13">
        <f t="shared" si="14"/>
        <v>0.30294860994102785</v>
      </c>
      <c r="I11" s="13">
        <f t="shared" si="15"/>
        <v>0.31356360572872788</v>
      </c>
      <c r="J11" s="2">
        <f t="shared" si="16"/>
        <v>186.1</v>
      </c>
      <c r="K11" s="2"/>
      <c r="L11" s="2"/>
      <c r="M11" s="29">
        <v>6</v>
      </c>
      <c r="N11" s="29">
        <f t="shared" si="12"/>
        <v>400</v>
      </c>
      <c r="O11" s="30">
        <v>2500</v>
      </c>
      <c r="P11" s="81">
        <f t="shared" si="1"/>
        <v>0.23333333333333334</v>
      </c>
      <c r="Q11" s="81">
        <f t="shared" si="2"/>
        <v>0.23333333333333334</v>
      </c>
      <c r="R11" s="29">
        <f t="shared" si="13"/>
        <v>150</v>
      </c>
      <c r="S11" s="2">
        <f t="shared" si="6"/>
        <v>150</v>
      </c>
      <c r="T11" s="2">
        <f t="shared" si="7"/>
        <v>150</v>
      </c>
      <c r="U11" s="2">
        <f t="shared" si="8"/>
        <v>342.85714285714283</v>
      </c>
      <c r="V11" s="13">
        <f t="shared" si="9"/>
        <v>0.95218990099965539</v>
      </c>
      <c r="W11" s="13">
        <f t="shared" si="10"/>
        <v>1.5985664962507886</v>
      </c>
      <c r="X11" s="13">
        <f t="shared" si="11"/>
        <v>4.0805989162647567</v>
      </c>
      <c r="Y11" s="81">
        <f t="shared" si="3"/>
        <v>0.47645903039999998</v>
      </c>
      <c r="Z11" s="81">
        <f t="shared" si="4"/>
        <v>0.4137156550861692</v>
      </c>
      <c r="AA11" s="81">
        <f>AA8</f>
        <v>0.23333333333333334</v>
      </c>
      <c r="AB11" s="81">
        <f>AA5</f>
        <v>0.23333333333333334</v>
      </c>
    </row>
    <row r="12" spans="2:28">
      <c r="B12" s="6">
        <f t="shared" ref="B12:B13" si="18">B11</f>
        <v>1.6</v>
      </c>
      <c r="C12" s="38">
        <f>C9</f>
        <v>1.4</v>
      </c>
      <c r="D12" s="38">
        <f>D36</f>
        <v>1.1000000000000001</v>
      </c>
      <c r="E12" s="8">
        <v>147.69999999999999</v>
      </c>
      <c r="F12" s="8">
        <v>144.69999999999999</v>
      </c>
      <c r="G12" s="8">
        <v>101.4</v>
      </c>
      <c r="H12" s="13">
        <f t="shared" si="14"/>
        <v>0.37506348400203149</v>
      </c>
      <c r="I12" s="13">
        <f t="shared" si="15"/>
        <v>0.36744540375825291</v>
      </c>
      <c r="J12" s="2">
        <f t="shared" si="16"/>
        <v>144.69999999999999</v>
      </c>
      <c r="K12" s="2"/>
      <c r="L12" s="2"/>
      <c r="M12" s="29">
        <v>7</v>
      </c>
      <c r="N12" s="29">
        <f t="shared" si="12"/>
        <v>450</v>
      </c>
      <c r="O12" s="30">
        <v>2222.2222222222222</v>
      </c>
      <c r="P12" s="81">
        <f t="shared" si="1"/>
        <v>0.3</v>
      </c>
      <c r="Q12" s="81">
        <f t="shared" si="2"/>
        <v>0.23333333333333334</v>
      </c>
      <c r="R12" s="29">
        <f t="shared" si="13"/>
        <v>150</v>
      </c>
      <c r="S12" s="2">
        <f t="shared" si="6"/>
        <v>192.85714285714283</v>
      </c>
      <c r="T12" s="2">
        <f t="shared" si="7"/>
        <v>150</v>
      </c>
      <c r="U12" s="2">
        <f t="shared" si="8"/>
        <v>300</v>
      </c>
      <c r="V12" s="13">
        <f t="shared" si="9"/>
        <v>1.8108562725192354</v>
      </c>
      <c r="W12" s="13">
        <f t="shared" si="10"/>
        <v>1.2681061616783555</v>
      </c>
      <c r="X12" s="13">
        <f t="shared" si="11"/>
        <v>3.5675868189737217</v>
      </c>
      <c r="Y12" s="81">
        <f t="shared" si="3"/>
        <v>0.50318771532421924</v>
      </c>
      <c r="Z12" s="81">
        <f t="shared" si="4"/>
        <v>0.41525602545015833</v>
      </c>
      <c r="AA12" s="81">
        <f t="shared" ref="AA12:AA13" si="19">AA9</f>
        <v>0.3</v>
      </c>
      <c r="AB12" s="81">
        <f>AB11</f>
        <v>0.23333333333333334</v>
      </c>
    </row>
    <row r="13" spans="2:28" ht="15.75" thickBot="1">
      <c r="B13" s="6">
        <f t="shared" si="18"/>
        <v>1.6</v>
      </c>
      <c r="C13" s="6">
        <f>C12</f>
        <v>1.4</v>
      </c>
      <c r="D13" s="38">
        <f>D38</f>
        <v>4.0999999999999996</v>
      </c>
      <c r="E13" s="15">
        <v>187.5</v>
      </c>
      <c r="F13" s="8">
        <v>154.5</v>
      </c>
      <c r="G13" s="15">
        <v>338.8</v>
      </c>
      <c r="H13" s="13">
        <f t="shared" si="14"/>
        <v>0.27541128084606348</v>
      </c>
      <c r="I13" s="13">
        <f t="shared" si="15"/>
        <v>0.22693889541715631</v>
      </c>
      <c r="J13" s="2">
        <f t="shared" si="16"/>
        <v>154.5</v>
      </c>
      <c r="K13" s="2"/>
      <c r="L13" s="2"/>
      <c r="M13" s="29">
        <v>8</v>
      </c>
      <c r="N13" s="29">
        <f t="shared" si="12"/>
        <v>500</v>
      </c>
      <c r="O13" s="30">
        <v>2000</v>
      </c>
      <c r="P13" s="81">
        <f t="shared" si="1"/>
        <v>0.36666666666666664</v>
      </c>
      <c r="Q13" s="81">
        <f t="shared" si="2"/>
        <v>0.23333333333333334</v>
      </c>
      <c r="R13" s="29">
        <f t="shared" si="13"/>
        <v>150</v>
      </c>
      <c r="S13" s="2">
        <f t="shared" si="6"/>
        <v>235.71428571428569</v>
      </c>
      <c r="T13" s="2">
        <f t="shared" si="7"/>
        <v>150</v>
      </c>
      <c r="U13" s="2">
        <f t="shared" si="8"/>
        <v>257.14285714285717</v>
      </c>
      <c r="V13" s="13">
        <f t="shared" si="9"/>
        <v>2.6695226440388158</v>
      </c>
      <c r="W13" s="13">
        <f t="shared" si="10"/>
        <v>0.93764582710592248</v>
      </c>
      <c r="X13" s="13">
        <f t="shared" si="11"/>
        <v>3.0545747216826866</v>
      </c>
      <c r="Y13" s="81">
        <f t="shared" si="3"/>
        <v>0.52690281250000004</v>
      </c>
      <c r="Z13" s="81">
        <f t="shared" si="4"/>
        <v>0.41326484952953019</v>
      </c>
      <c r="AA13" s="81">
        <f t="shared" si="19"/>
        <v>0.36666666666666664</v>
      </c>
      <c r="AB13" s="81">
        <f>AB12</f>
        <v>0.23333333333333334</v>
      </c>
    </row>
    <row r="14" spans="2:28">
      <c r="B14" s="203" t="s">
        <v>7</v>
      </c>
      <c r="C14" s="201"/>
      <c r="D14" s="201"/>
      <c r="E14" s="202"/>
      <c r="G14" s="203" t="s">
        <v>84</v>
      </c>
      <c r="H14" s="201"/>
      <c r="I14" s="201"/>
      <c r="J14" s="221"/>
      <c r="K14" s="203" t="s">
        <v>85</v>
      </c>
      <c r="L14" s="201"/>
      <c r="M14" s="201"/>
      <c r="N14" s="202"/>
      <c r="O14" s="80" t="s">
        <v>49</v>
      </c>
      <c r="P14" s="81">
        <f t="shared" ref="P14:Q16" si="20">PorB*AB14+(1-PorB)*AD14</f>
        <v>0</v>
      </c>
      <c r="Q14" s="81">
        <f t="shared" si="20"/>
        <v>0</v>
      </c>
      <c r="R14" s="160" t="s">
        <v>20</v>
      </c>
      <c r="S14" s="161" t="s">
        <v>21</v>
      </c>
      <c r="T14" s="76" t="s">
        <v>22</v>
      </c>
      <c r="U14" s="29" t="s">
        <v>49</v>
      </c>
      <c r="V14" s="13">
        <f>MIN(V5:V13)</f>
        <v>0.49134317318763787</v>
      </c>
      <c r="W14" s="13">
        <f t="shared" ref="W14:X14" si="21">MIN(W5:W13)</f>
        <v>0.93764582710592248</v>
      </c>
      <c r="X14" s="13">
        <f t="shared" si="21"/>
        <v>1.1419746742231214</v>
      </c>
    </row>
    <row r="15" spans="2:28">
      <c r="B15" s="17">
        <f t="array" ref="B15:E15">LINEST(B7:B13,E7:G13,1)</f>
        <v>-2.7035614648551953E-3</v>
      </c>
      <c r="C15" s="16">
        <v>-4.9915911165860569E-3</v>
      </c>
      <c r="D15" s="16">
        <v>1.7331987203935015E-2</v>
      </c>
      <c r="E15" s="18">
        <v>2.8065847276235734E-2</v>
      </c>
      <c r="G15" s="17">
        <v>1.7331987203935015E-2</v>
      </c>
      <c r="H15" s="16">
        <v>-4.9915911165860569E-3</v>
      </c>
      <c r="I15" s="16">
        <v>-2.7035614648551953E-3</v>
      </c>
      <c r="J15" s="156">
        <v>2.8065847276235734E-2</v>
      </c>
      <c r="K15" s="17">
        <f>D15</f>
        <v>1.7331987203935015E-2</v>
      </c>
      <c r="L15" s="16">
        <f>C15</f>
        <v>-4.9915911165860569E-3</v>
      </c>
      <c r="M15" s="16">
        <f>B15</f>
        <v>-2.7035614648551953E-3</v>
      </c>
      <c r="N15" s="18">
        <f>E15</f>
        <v>2.8065847276235734E-2</v>
      </c>
      <c r="O15" s="80" t="s">
        <v>50</v>
      </c>
      <c r="P15" s="81">
        <f t="shared" si="20"/>
        <v>0</v>
      </c>
      <c r="Q15" s="81">
        <f t="shared" si="20"/>
        <v>0</v>
      </c>
      <c r="R15" s="163">
        <v>0.5</v>
      </c>
      <c r="S15" s="8">
        <v>0.9</v>
      </c>
      <c r="T15" s="164">
        <v>1.1000000000000001</v>
      </c>
      <c r="U15" s="29" t="s">
        <v>50</v>
      </c>
      <c r="V15" s="13">
        <f>(V14+V16)/2</f>
        <v>1.5804329086132269</v>
      </c>
      <c r="W15" s="13">
        <f t="shared" ref="W15:X15" si="22">(W14+W16)/2</f>
        <v>1.4151187917759911</v>
      </c>
      <c r="X15" s="13">
        <f t="shared" si="22"/>
        <v>2.6112867952439389</v>
      </c>
    </row>
    <row r="16" spans="2:28">
      <c r="B16" s="17">
        <f t="array" ref="B16:E16">LINEST(C7:C13,E7:G13,1)</f>
        <v>5.4139820850347795E-4</v>
      </c>
      <c r="C16" s="16">
        <v>1.5996335277805803E-2</v>
      </c>
      <c r="D16" s="16">
        <v>-7.1693429315199649E-3</v>
      </c>
      <c r="E16" s="18">
        <v>8.8895401392434861E-2</v>
      </c>
      <c r="G16" s="17">
        <v>-7.1693429315199649E-3</v>
      </c>
      <c r="H16" s="16">
        <v>1.5996335277805803E-2</v>
      </c>
      <c r="I16" s="16">
        <v>5.4139820850347795E-4</v>
      </c>
      <c r="J16" s="156">
        <v>8.8895401392434861E-2</v>
      </c>
      <c r="K16" s="17">
        <f t="shared" ref="K16:K17" si="23">D16</f>
        <v>-7.1693429315199649E-3</v>
      </c>
      <c r="L16" s="16">
        <f t="shared" ref="L16:L17" si="24">C16</f>
        <v>1.5996335277805803E-2</v>
      </c>
      <c r="M16" s="16">
        <f t="shared" ref="M16:M17" si="25">B16</f>
        <v>5.4139820850347795E-4</v>
      </c>
      <c r="N16" s="18">
        <f t="shared" ref="N16:N17" si="26">E16</f>
        <v>8.8895401392434861E-2</v>
      </c>
      <c r="O16" s="80" t="s">
        <v>36</v>
      </c>
      <c r="P16" s="81">
        <f t="shared" si="20"/>
        <v>0</v>
      </c>
      <c r="Q16" s="81">
        <f t="shared" si="20"/>
        <v>0</v>
      </c>
      <c r="R16" s="122">
        <f>(R15+R17)/2</f>
        <v>1.6</v>
      </c>
      <c r="S16" s="77">
        <f t="shared" ref="S16:T16" si="27">(S15+S17)/2</f>
        <v>1.4</v>
      </c>
      <c r="T16" s="78">
        <f t="shared" si="27"/>
        <v>2.5999999999999996</v>
      </c>
      <c r="U16" s="29" t="s">
        <v>36</v>
      </c>
      <c r="V16" s="13">
        <f>MAX(V5:V13)</f>
        <v>2.6695226440388158</v>
      </c>
      <c r="W16" s="13">
        <f t="shared" ref="W16:X16" si="28">MAX(W5:W13)</f>
        <v>1.8925917564460595</v>
      </c>
      <c r="X16" s="13">
        <f t="shared" si="28"/>
        <v>4.0805989162647567</v>
      </c>
    </row>
    <row r="17" spans="1:28" ht="15.75" thickBot="1">
      <c r="B17" s="19">
        <f t="array" ref="B17:E17">LINEST(D7:D13,E7:G13,1)</f>
        <v>1.257078147984478E-2</v>
      </c>
      <c r="C17" s="20">
        <v>-1.3785296572258738E-3</v>
      </c>
      <c r="D17" s="20">
        <v>6.004992097206085E-4</v>
      </c>
      <c r="E17" s="21">
        <v>-0.11267873827051966</v>
      </c>
      <c r="G17" s="19">
        <v>6.004992097206085E-4</v>
      </c>
      <c r="H17" s="20">
        <v>-1.3785296572258738E-3</v>
      </c>
      <c r="I17" s="20">
        <v>1.257078147984478E-2</v>
      </c>
      <c r="J17" s="157">
        <v>-0.11267873827051966</v>
      </c>
      <c r="K17" s="19">
        <f t="shared" si="23"/>
        <v>6.004992097206085E-4</v>
      </c>
      <c r="L17" s="20">
        <f t="shared" si="24"/>
        <v>-1.3785296572258738E-3</v>
      </c>
      <c r="M17" s="20">
        <f t="shared" si="25"/>
        <v>1.257078147984478E-2</v>
      </c>
      <c r="N17" s="21">
        <f t="shared" si="26"/>
        <v>-0.11267873827051966</v>
      </c>
      <c r="O17" s="211" t="s">
        <v>88</v>
      </c>
      <c r="P17" s="212"/>
      <c r="Q17" s="159">
        <v>0</v>
      </c>
      <c r="R17" s="165">
        <v>2.7</v>
      </c>
      <c r="S17" s="166">
        <v>1.9</v>
      </c>
      <c r="T17" s="167">
        <v>4.0999999999999996</v>
      </c>
    </row>
    <row r="18" spans="1:28">
      <c r="B18" s="222" t="s">
        <v>37</v>
      </c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</row>
    <row r="19" spans="1:28"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</row>
    <row r="20" spans="1:28">
      <c r="B20" s="197" t="s">
        <v>27</v>
      </c>
      <c r="C20" s="197"/>
      <c r="D20" s="197"/>
      <c r="E20" s="197" t="s">
        <v>23</v>
      </c>
      <c r="F20" s="197"/>
      <c r="G20" s="197"/>
      <c r="H20" s="220" t="s">
        <v>25</v>
      </c>
      <c r="I20" s="220"/>
      <c r="J20" s="220"/>
      <c r="K20" s="220"/>
      <c r="L20" s="220"/>
      <c r="M20" s="197" t="s">
        <v>26</v>
      </c>
      <c r="N20" s="197"/>
      <c r="O20" s="197"/>
      <c r="P20" s="197"/>
      <c r="Q20" s="197"/>
      <c r="R20" s="197"/>
      <c r="S20" s="197"/>
      <c r="T20" s="197"/>
      <c r="U20" s="197"/>
      <c r="V20" s="197"/>
      <c r="X20" s="197" t="s">
        <v>28</v>
      </c>
      <c r="Y20" s="197"/>
      <c r="Z20" s="197" t="s">
        <v>51</v>
      </c>
      <c r="AA20" s="197"/>
      <c r="AB20" s="197"/>
    </row>
    <row r="21" spans="1:28">
      <c r="B21" s="14" t="str">
        <f>B4</f>
        <v>R</v>
      </c>
      <c r="C21" s="14" t="str">
        <f t="shared" ref="C21:J21" si="29">C4</f>
        <v>G</v>
      </c>
      <c r="D21" s="14" t="str">
        <f t="shared" si="29"/>
        <v>B</v>
      </c>
      <c r="E21" s="14" t="str">
        <f t="shared" si="29"/>
        <v>X</v>
      </c>
      <c r="F21" s="14" t="str">
        <f t="shared" si="29"/>
        <v>Y</v>
      </c>
      <c r="G21" s="14" t="str">
        <f t="shared" si="29"/>
        <v>Z</v>
      </c>
      <c r="H21" s="14" t="str">
        <f t="shared" si="29"/>
        <v>x</v>
      </c>
      <c r="I21" s="14" t="str">
        <f t="shared" si="29"/>
        <v>y</v>
      </c>
      <c r="J21" s="14" t="str">
        <f t="shared" si="29"/>
        <v>Ev</v>
      </c>
      <c r="K21" s="14" t="s">
        <v>11</v>
      </c>
      <c r="L21" s="14" t="s">
        <v>12</v>
      </c>
      <c r="M21" s="14" t="s">
        <v>1</v>
      </c>
      <c r="N21" s="14" t="s">
        <v>2</v>
      </c>
      <c r="O21" s="14" t="s">
        <v>10</v>
      </c>
      <c r="P21" s="14" t="str">
        <f>E21</f>
        <v>X</v>
      </c>
      <c r="Q21" s="36" t="str">
        <f t="shared" ref="Q21:R21" si="30">F21</f>
        <v>Y</v>
      </c>
      <c r="R21" s="36" t="str">
        <f t="shared" si="30"/>
        <v>Z</v>
      </c>
      <c r="S21" s="14" t="s">
        <v>11</v>
      </c>
      <c r="T21" s="14" t="s">
        <v>12</v>
      </c>
      <c r="U21" s="14" t="s">
        <v>29</v>
      </c>
      <c r="V21" s="14" t="s">
        <v>14</v>
      </c>
      <c r="W21" s="14" t="s">
        <v>13</v>
      </c>
      <c r="X21" s="14" t="s">
        <v>15</v>
      </c>
      <c r="Y21" s="14" t="s">
        <v>10</v>
      </c>
      <c r="Z21" s="14" t="str">
        <f>B21</f>
        <v>R</v>
      </c>
      <c r="AA21" s="36" t="str">
        <f>C21</f>
        <v>G</v>
      </c>
      <c r="AB21" s="36" t="str">
        <f>D21</f>
        <v>B</v>
      </c>
    </row>
    <row r="22" spans="1:28">
      <c r="A22" s="13"/>
      <c r="B22" s="13">
        <f>G$15*E22+H$15*F22+I$15*G22+J$15</f>
        <v>0.49134317318763787</v>
      </c>
      <c r="C22" s="37">
        <f>G$16*E22+H$16*F22+I$16*G22+J$16</f>
        <v>1.8925917564460595</v>
      </c>
      <c r="D22" s="37">
        <f>G$17*E22+H$17*F22+I$17*G22+J$17</f>
        <v>1.7948991616844396</v>
      </c>
      <c r="E22" s="2">
        <f t="shared" ref="E22:E25" si="31">getXYZ(J22,H22,I22,0)</f>
        <v>95.454545454545467</v>
      </c>
      <c r="F22" s="2">
        <f t="shared" ref="F22:F25" si="32">getXYZ(J22,H22,I22,1)</f>
        <v>150</v>
      </c>
      <c r="G22" s="2">
        <f t="shared" ref="G22:G25" si="33">getXYZ(J22,H22,I22,2)</f>
        <v>163.63636363636365</v>
      </c>
      <c r="H22" s="13">
        <f>P5</f>
        <v>0.23333333333333334</v>
      </c>
      <c r="I22" s="13">
        <f t="shared" ref="I22:I30" si="34">Q5</f>
        <v>0.36666666666666664</v>
      </c>
      <c r="J22" s="9">
        <v>150</v>
      </c>
      <c r="K22" s="13">
        <f>getUVfromXY(H22,I22,0)</f>
        <v>0.13461538461538464</v>
      </c>
      <c r="L22" s="13">
        <f>getUVfromXY(H22,I22,1)</f>
        <v>0.31730769230769229</v>
      </c>
      <c r="M22" s="10">
        <v>0.2366</v>
      </c>
      <c r="N22" s="10">
        <v>0.36780000000000002</v>
      </c>
      <c r="O22" s="8">
        <v>150.9</v>
      </c>
      <c r="P22" s="2">
        <f>getXYZ($O22,$M22,$N22,0)</f>
        <v>97.071615008156613</v>
      </c>
      <c r="Q22" s="2">
        <f>getXYZ($O22,$M22,$N22,1)</f>
        <v>150.9</v>
      </c>
      <c r="R22" s="2">
        <f>getXYZ($O22,$M22,$N22,2)</f>
        <v>162.30570962479607</v>
      </c>
      <c r="S22" s="13">
        <f t="shared" ref="S22:S30" si="35">getUVfromXY(M22,N22,0)</f>
        <v>0.13636101665610051</v>
      </c>
      <c r="T22" s="13">
        <f t="shared" ref="T22:T30" si="36">getUVfromXY(M22,N22,1)</f>
        <v>0.31796438245634256</v>
      </c>
      <c r="U22" s="14">
        <f t="shared" ref="U22:U30" si="37">getCCTfromXY(M22,N22,0)</f>
        <v>10480</v>
      </c>
      <c r="V22" s="2">
        <f t="shared" ref="V22:V25" si="38">10^6/U22</f>
        <v>95.419847328244273</v>
      </c>
      <c r="W22" s="5">
        <f t="shared" ref="W22:W30" si="39">getCCTfromXY(M22,N22,1)</f>
        <v>5.8638957027553937E-2</v>
      </c>
      <c r="X22" s="13">
        <f t="shared" ref="X22:X30" si="40">((M22-H22)^2+(N22-I22)^2)^0.5</f>
        <v>3.4576806613039984E-3</v>
      </c>
      <c r="Y22" s="3">
        <f t="shared" ref="Y22:Y30" si="41">O22/J22-1</f>
        <v>6.0000000000000053E-3</v>
      </c>
      <c r="Z22" s="35">
        <f>$K$36*$E22+$L$36*$F22+$M$36*$G22+$N$36</f>
        <v>0.47483201538734954</v>
      </c>
      <c r="AA22" s="35">
        <f>$K$37*$E22+$L$37*$F22+$M$37*$G22+$N$37</f>
        <v>1.8988166796640056</v>
      </c>
      <c r="AB22" s="35">
        <f>$K$38*$E22+$L$38*$F22+$M$38*$G22+$N$38</f>
        <v>1.8076053315235892</v>
      </c>
    </row>
    <row r="23" spans="1:28">
      <c r="A23" s="13"/>
      <c r="B23" s="37">
        <f t="shared" ref="B23:B30" si="42">G$15*E23+H$15*F23+I$15*G23+J$15</f>
        <v>1.0377672277910071</v>
      </c>
      <c r="C23" s="37">
        <f t="shared" ref="C23:C30" si="43">G$16*E23+H$16*F23+I$16*G23+J$16</f>
        <v>1.6822988162636019</v>
      </c>
      <c r="D23" s="37">
        <f t="shared" ref="D23:D30" si="44">G$17*E23+H$17*F23+I$17*G23+J$17</f>
        <v>1.4684369179537808</v>
      </c>
      <c r="E23" s="2">
        <f t="shared" si="31"/>
        <v>122.72727272727273</v>
      </c>
      <c r="F23" s="2">
        <f t="shared" si="32"/>
        <v>150</v>
      </c>
      <c r="G23" s="2">
        <f t="shared" si="33"/>
        <v>136.3636363636364</v>
      </c>
      <c r="H23" s="13">
        <f t="shared" ref="H23:H30" si="45">P6</f>
        <v>0.3</v>
      </c>
      <c r="I23" s="13">
        <f t="shared" si="34"/>
        <v>0.36666666666666664</v>
      </c>
      <c r="J23" s="14">
        <f>J22</f>
        <v>150</v>
      </c>
      <c r="K23" s="13">
        <f t="shared" ref="K23:K30" si="46">getUVfromXY(H23,I23,0)</f>
        <v>0.17647058823529413</v>
      </c>
      <c r="L23" s="13">
        <f t="shared" ref="L23:L30" si="47">getUVfromXY(H23,I23,1)</f>
        <v>0.3235294117647059</v>
      </c>
      <c r="M23" s="10">
        <v>0.30049999999999999</v>
      </c>
      <c r="N23" s="10">
        <v>0.3695</v>
      </c>
      <c r="O23" s="8">
        <v>150.30000000000001</v>
      </c>
      <c r="P23" s="2">
        <f t="shared" ref="P23:P30" si="48">getXYZ($O23,$M23,$N23,0)</f>
        <v>122.23315290933695</v>
      </c>
      <c r="Q23" s="2">
        <f t="shared" ref="Q23:Q30" si="49">getXYZ($O23,$M23,$N23,1)</f>
        <v>150.30000000000001</v>
      </c>
      <c r="R23" s="2">
        <f t="shared" ref="R23:R30" si="50">getXYZ($O23,$M23,$N23,2)</f>
        <v>134.23274695534508</v>
      </c>
      <c r="S23" s="13">
        <f t="shared" si="35"/>
        <v>0.17591102004975853</v>
      </c>
      <c r="T23" s="13">
        <f t="shared" si="36"/>
        <v>0.32445485145616859</v>
      </c>
      <c r="U23" s="14">
        <f t="shared" si="37"/>
        <v>6925</v>
      </c>
      <c r="V23" s="2">
        <f t="shared" si="38"/>
        <v>144.4043321299639</v>
      </c>
      <c r="W23" s="5">
        <f t="shared" si="39"/>
        <v>2.7463508193069329E-2</v>
      </c>
      <c r="X23" s="13">
        <f t="shared" si="40"/>
        <v>2.8771127502720322E-3</v>
      </c>
      <c r="Y23" s="3">
        <f t="shared" si="41"/>
        <v>2.0000000000000018E-3</v>
      </c>
      <c r="Z23" s="35">
        <f t="shared" ref="Z23:Z30" si="51">$K$36*$E23+$L$36*$F23+$M$36*$G23+$N$36</f>
        <v>1.0284552569182124</v>
      </c>
      <c r="AA23" s="35">
        <f t="shared" ref="AA23:AA30" si="52">$K$37*$E23+$L$37*$F23+$M$37*$G23+$N$37</f>
        <v>1.6857757996771954</v>
      </c>
      <c r="AB23" s="35">
        <f t="shared" ref="AB23:AB30" si="53">$K$38*$E23+$L$38*$F23+$M$38*$G23+$N$38</f>
        <v>1.4763438583954502</v>
      </c>
    </row>
    <row r="24" spans="1:28">
      <c r="B24" s="37">
        <f t="shared" si="42"/>
        <v>1.584191282394376</v>
      </c>
      <c r="C24" s="37">
        <f t="shared" si="43"/>
        <v>1.4720058760811445</v>
      </c>
      <c r="D24" s="37">
        <f>G$17*E24+H$17*F24+I$17*G24+J$17</f>
        <v>1.1419746742231214</v>
      </c>
      <c r="E24" s="2">
        <f t="shared" si="31"/>
        <v>150</v>
      </c>
      <c r="F24" s="2">
        <f t="shared" si="32"/>
        <v>150</v>
      </c>
      <c r="G24" s="2">
        <f t="shared" si="33"/>
        <v>109.09090909090912</v>
      </c>
      <c r="H24" s="13">
        <f t="shared" si="45"/>
        <v>0.36666666666666664</v>
      </c>
      <c r="I24" s="13">
        <f t="shared" si="34"/>
        <v>0.36666666666666664</v>
      </c>
      <c r="J24" s="14">
        <f t="shared" ref="J24:J30" si="54">J23</f>
        <v>150</v>
      </c>
      <c r="K24" s="13">
        <f t="shared" si="46"/>
        <v>0.22</v>
      </c>
      <c r="L24" s="13">
        <f t="shared" si="47"/>
        <v>0.33</v>
      </c>
      <c r="M24" s="10">
        <v>0.36870000000000003</v>
      </c>
      <c r="N24" s="10">
        <v>0.37069999999999997</v>
      </c>
      <c r="O24" s="8">
        <v>150</v>
      </c>
      <c r="P24" s="2">
        <f t="shared" si="48"/>
        <v>149.19072025896955</v>
      </c>
      <c r="Q24" s="2">
        <f t="shared" si="49"/>
        <v>150</v>
      </c>
      <c r="R24" s="2">
        <f t="shared" si="50"/>
        <v>105.44915025627192</v>
      </c>
      <c r="S24" s="13">
        <f t="shared" si="35"/>
        <v>0.2197586052749218</v>
      </c>
      <c r="T24" s="13">
        <f t="shared" si="36"/>
        <v>0.33142601698703622</v>
      </c>
      <c r="U24" s="14">
        <f t="shared" si="37"/>
        <v>4331</v>
      </c>
      <c r="V24" s="2">
        <f t="shared" si="38"/>
        <v>230.89355806972986</v>
      </c>
      <c r="W24" s="5">
        <f t="shared" si="39"/>
        <v>-7.874396843512078E-6</v>
      </c>
      <c r="X24" s="13">
        <f t="shared" si="40"/>
        <v>4.5168819136902879E-3</v>
      </c>
      <c r="Y24" s="3">
        <f t="shared" si="41"/>
        <v>0</v>
      </c>
      <c r="Z24" s="35">
        <f t="shared" si="51"/>
        <v>1.5820784984490752</v>
      </c>
      <c r="AA24" s="35">
        <f t="shared" si="52"/>
        <v>1.4727349196903852</v>
      </c>
      <c r="AB24" s="35">
        <f t="shared" si="53"/>
        <v>1.1450823852673104</v>
      </c>
    </row>
    <row r="25" spans="1:28">
      <c r="B25" s="37">
        <f t="shared" si="42"/>
        <v>0.6705613451145338</v>
      </c>
      <c r="C25" s="37">
        <f t="shared" si="43"/>
        <v>1.7782485997034541</v>
      </c>
      <c r="D25" s="37">
        <f t="shared" si="44"/>
        <v>2.6837823995767853</v>
      </c>
      <c r="E25" s="2">
        <f t="shared" si="31"/>
        <v>116.66666666666667</v>
      </c>
      <c r="F25" s="2">
        <f t="shared" si="32"/>
        <v>150</v>
      </c>
      <c r="G25" s="2">
        <f t="shared" si="33"/>
        <v>233.33333333333334</v>
      </c>
      <c r="H25" s="13">
        <f t="shared" si="45"/>
        <v>0.23333333333333334</v>
      </c>
      <c r="I25" s="13">
        <f t="shared" si="34"/>
        <v>0.3</v>
      </c>
      <c r="J25" s="14">
        <f t="shared" si="54"/>
        <v>150</v>
      </c>
      <c r="K25" s="13">
        <f t="shared" si="46"/>
        <v>0.15217391304347827</v>
      </c>
      <c r="L25" s="13">
        <f t="shared" si="47"/>
        <v>0.29347826086956519</v>
      </c>
      <c r="M25" s="10">
        <v>0.23319999999999999</v>
      </c>
      <c r="N25" s="10">
        <v>0.2999</v>
      </c>
      <c r="O25" s="8">
        <v>150.4</v>
      </c>
      <c r="P25" s="2">
        <f t="shared" si="48"/>
        <v>116.94991663887963</v>
      </c>
      <c r="Q25" s="2">
        <f t="shared" si="49"/>
        <v>150.4</v>
      </c>
      <c r="R25" s="2">
        <f t="shared" si="50"/>
        <v>234.15058352784263</v>
      </c>
      <c r="S25" s="13">
        <f t="shared" si="35"/>
        <v>0.15211010371143435</v>
      </c>
      <c r="T25" s="13">
        <f t="shared" si="36"/>
        <v>0.2934250864261953</v>
      </c>
      <c r="U25" s="14">
        <f t="shared" si="37"/>
        <v>15742</v>
      </c>
      <c r="V25" s="2">
        <f t="shared" si="38"/>
        <v>63.524329818320417</v>
      </c>
      <c r="W25" s="5">
        <f t="shared" si="39"/>
        <v>3.4935189538241554E-2</v>
      </c>
      <c r="X25" s="13">
        <f t="shared" si="40"/>
        <v>1.6666666666667051E-4</v>
      </c>
      <c r="Y25" s="3">
        <f t="shared" si="41"/>
        <v>2.666666666666595E-3</v>
      </c>
      <c r="Z25" s="35">
        <f t="shared" si="51"/>
        <v>0.66087129586534155</v>
      </c>
      <c r="AA25" s="35">
        <f t="shared" si="52"/>
        <v>1.7815188511477851</v>
      </c>
      <c r="AB25" s="35">
        <f t="shared" si="53"/>
        <v>2.6996473983589575</v>
      </c>
    </row>
    <row r="26" spans="1:28">
      <c r="A26" s="196"/>
      <c r="B26" s="37">
        <f t="shared" si="42"/>
        <v>1.3384129674075402</v>
      </c>
      <c r="C26" s="37">
        <f t="shared" si="43"/>
        <v>1.5212238950360062</v>
      </c>
      <c r="D26" s="37">
        <f t="shared" si="44"/>
        <v>2.2847729905726468</v>
      </c>
      <c r="E26" s="31">
        <f>getXYZ(J26,H26,I26,0)</f>
        <v>150</v>
      </c>
      <c r="F26" s="31">
        <f>getXYZ(J26,H26,I26,1)</f>
        <v>150</v>
      </c>
      <c r="G26" s="31">
        <f>getXYZ(J26,H26,I26,2)</f>
        <v>200.00000000000003</v>
      </c>
      <c r="H26" s="28">
        <f t="shared" si="45"/>
        <v>0.3</v>
      </c>
      <c r="I26" s="28">
        <f t="shared" si="34"/>
        <v>0.3</v>
      </c>
      <c r="J26" s="32">
        <f t="shared" si="54"/>
        <v>150</v>
      </c>
      <c r="K26" s="28">
        <f t="shared" si="46"/>
        <v>0.19999999999999998</v>
      </c>
      <c r="L26" s="28">
        <f t="shared" si="47"/>
        <v>0.3</v>
      </c>
      <c r="M26" s="10">
        <v>0.2989</v>
      </c>
      <c r="N26" s="10">
        <v>0.29970000000000002</v>
      </c>
      <c r="O26" s="8">
        <v>150.19999999999999</v>
      </c>
      <c r="P26" s="2">
        <f t="shared" si="48"/>
        <v>149.79906573239904</v>
      </c>
      <c r="Q26" s="2">
        <f t="shared" si="49"/>
        <v>150.19999999999999</v>
      </c>
      <c r="R26" s="2">
        <f t="shared" si="50"/>
        <v>201.16876876876873</v>
      </c>
      <c r="S26" s="28">
        <f t="shared" si="35"/>
        <v>0.19931317307371718</v>
      </c>
      <c r="T26" s="28">
        <f t="shared" si="36"/>
        <v>0.29976994632080822</v>
      </c>
      <c r="U26" s="32">
        <f t="shared" si="37"/>
        <v>8035</v>
      </c>
      <c r="V26" s="31">
        <f>10^6/U26</f>
        <v>124.45550715619166</v>
      </c>
      <c r="W26" s="33">
        <f t="shared" si="39"/>
        <v>-5.596764753414407E-3</v>
      </c>
      <c r="X26" s="28">
        <f t="shared" si="40"/>
        <v>1.1401754250991195E-3</v>
      </c>
      <c r="Y26" s="34">
        <f t="shared" si="41"/>
        <v>1.3333333333331865E-3</v>
      </c>
      <c r="Z26" s="35">
        <f t="shared" si="51"/>
        <v>1.3375219244030625</v>
      </c>
      <c r="AA26" s="35">
        <f t="shared" si="52"/>
        <v>1.5211355533861279</v>
      </c>
      <c r="AB26" s="35">
        <f t="shared" si="53"/>
        <v>2.2947722645356765</v>
      </c>
    </row>
    <row r="27" spans="1:28">
      <c r="B27" s="37">
        <f t="shared" si="42"/>
        <v>2.0062645897005473</v>
      </c>
      <c r="C27" s="37">
        <f t="shared" si="43"/>
        <v>1.2641991903685583</v>
      </c>
      <c r="D27" s="37">
        <f t="shared" si="44"/>
        <v>1.8857635815685077</v>
      </c>
      <c r="E27" s="2">
        <f t="shared" ref="E27:E30" si="55">getXYZ(J27,H27,I27,0)</f>
        <v>183.33333333333331</v>
      </c>
      <c r="F27" s="2">
        <f t="shared" ref="F27:F30" si="56">getXYZ(J27,H27,I27,1)</f>
        <v>150</v>
      </c>
      <c r="G27" s="2">
        <f t="shared" ref="G27:G30" si="57">getXYZ(J27,H27,I27,2)</f>
        <v>166.66666666666669</v>
      </c>
      <c r="H27" s="13">
        <f t="shared" si="45"/>
        <v>0.36666666666666664</v>
      </c>
      <c r="I27" s="13">
        <f t="shared" si="34"/>
        <v>0.3</v>
      </c>
      <c r="J27" s="14">
        <f t="shared" si="54"/>
        <v>150</v>
      </c>
      <c r="K27" s="13">
        <f t="shared" si="46"/>
        <v>0.24999999999999997</v>
      </c>
      <c r="L27" s="13">
        <f t="shared" si="47"/>
        <v>0.30681818181818182</v>
      </c>
      <c r="M27" s="10">
        <v>0.36630000000000001</v>
      </c>
      <c r="N27" s="10">
        <v>0.29870000000000002</v>
      </c>
      <c r="O27" s="8">
        <v>149.69999999999999</v>
      </c>
      <c r="P27" s="2">
        <f t="shared" si="48"/>
        <v>183.57920990960829</v>
      </c>
      <c r="Q27" s="2">
        <f t="shared" si="49"/>
        <v>149.69999999999999</v>
      </c>
      <c r="R27" s="2">
        <f t="shared" si="50"/>
        <v>167.89253431536653</v>
      </c>
      <c r="S27" s="13">
        <f t="shared" si="35"/>
        <v>0.25038449707782223</v>
      </c>
      <c r="T27" s="13">
        <f t="shared" si="36"/>
        <v>0.30626473905464985</v>
      </c>
      <c r="U27" s="14">
        <f t="shared" si="37"/>
        <v>3723</v>
      </c>
      <c r="V27" s="2">
        <f t="shared" ref="V27:V30" si="58">10^6/U27</f>
        <v>268.60059092130001</v>
      </c>
      <c r="W27" s="5">
        <f t="shared" si="39"/>
        <v>-3.8198239440534028E-2</v>
      </c>
      <c r="X27" s="13">
        <f t="shared" si="40"/>
        <v>1.3507199726236121E-3</v>
      </c>
      <c r="Y27" s="3">
        <f t="shared" si="41"/>
        <v>-2.0000000000001128E-3</v>
      </c>
      <c r="Z27" s="35">
        <f t="shared" si="51"/>
        <v>2.0141725529407832</v>
      </c>
      <c r="AA27" s="35">
        <f t="shared" si="52"/>
        <v>1.260752255624471</v>
      </c>
      <c r="AB27" s="35">
        <f t="shared" si="53"/>
        <v>1.8898971307123946</v>
      </c>
    </row>
    <row r="28" spans="1:28">
      <c r="B28" s="37">
        <f t="shared" si="42"/>
        <v>0.95218990099965539</v>
      </c>
      <c r="C28" s="37">
        <f t="shared" si="43"/>
        <v>1.5985664962507886</v>
      </c>
      <c r="D28" s="37">
        <f t="shared" si="44"/>
        <v>4.0805989162647567</v>
      </c>
      <c r="E28" s="2">
        <f t="shared" si="55"/>
        <v>150</v>
      </c>
      <c r="F28" s="2">
        <f t="shared" si="56"/>
        <v>150</v>
      </c>
      <c r="G28" s="2">
        <f t="shared" si="57"/>
        <v>342.85714285714283</v>
      </c>
      <c r="H28" s="13">
        <f t="shared" si="45"/>
        <v>0.23333333333333334</v>
      </c>
      <c r="I28" s="13">
        <f t="shared" si="34"/>
        <v>0.23333333333333334</v>
      </c>
      <c r="J28" s="14">
        <f t="shared" si="54"/>
        <v>150</v>
      </c>
      <c r="K28" s="13">
        <f t="shared" si="46"/>
        <v>0.17499999999999999</v>
      </c>
      <c r="L28" s="13">
        <f t="shared" si="47"/>
        <v>0.26250000000000001</v>
      </c>
      <c r="M28" s="10">
        <v>0.23400000000000001</v>
      </c>
      <c r="N28" s="10">
        <v>0.23549999999999999</v>
      </c>
      <c r="O28" s="8">
        <v>150</v>
      </c>
      <c r="P28" s="2">
        <f t="shared" si="48"/>
        <v>149.04458598726117</v>
      </c>
      <c r="Q28" s="2">
        <f t="shared" si="49"/>
        <v>150</v>
      </c>
      <c r="R28" s="2">
        <f t="shared" si="50"/>
        <v>337.89808917197456</v>
      </c>
      <c r="S28" s="13">
        <f t="shared" si="35"/>
        <v>0.17469204927211648</v>
      </c>
      <c r="T28" s="13">
        <f t="shared" si="36"/>
        <v>0.26371780515117582</v>
      </c>
      <c r="U28" s="14">
        <f t="shared" si="37"/>
        <v>-20000</v>
      </c>
      <c r="V28" s="2">
        <f t="shared" si="58"/>
        <v>-50</v>
      </c>
      <c r="W28" s="5">
        <f t="shared" si="39"/>
        <v>1.7096524250306791E-2</v>
      </c>
      <c r="X28" s="13">
        <f t="shared" si="40"/>
        <v>2.2669117514558944E-3</v>
      </c>
      <c r="Y28" s="3">
        <f t="shared" si="41"/>
        <v>0</v>
      </c>
      <c r="Z28" s="35">
        <f t="shared" si="51"/>
        <v>0.95321873661647172</v>
      </c>
      <c r="AA28" s="35">
        <f t="shared" si="52"/>
        <v>1.5971936920508667</v>
      </c>
      <c r="AB28" s="35">
        <f t="shared" si="53"/>
        <v>4.1014277891002511</v>
      </c>
    </row>
    <row r="29" spans="1:28">
      <c r="B29" s="37">
        <f t="shared" si="42"/>
        <v>1.8108562725192354</v>
      </c>
      <c r="C29" s="37">
        <f t="shared" si="43"/>
        <v>1.2681061616783555</v>
      </c>
      <c r="D29" s="37">
        <f t="shared" si="44"/>
        <v>3.5675868189737217</v>
      </c>
      <c r="E29" s="2">
        <f t="shared" si="55"/>
        <v>192.85714285714283</v>
      </c>
      <c r="F29" s="2">
        <f t="shared" si="56"/>
        <v>150</v>
      </c>
      <c r="G29" s="2">
        <f t="shared" si="57"/>
        <v>300</v>
      </c>
      <c r="H29" s="13">
        <f t="shared" si="45"/>
        <v>0.3</v>
      </c>
      <c r="I29" s="13">
        <f t="shared" si="34"/>
        <v>0.23333333333333334</v>
      </c>
      <c r="J29" s="14">
        <f t="shared" si="54"/>
        <v>150</v>
      </c>
      <c r="K29" s="13">
        <f t="shared" si="46"/>
        <v>0.23076923076923075</v>
      </c>
      <c r="L29" s="13">
        <f t="shared" si="47"/>
        <v>0.26923076923076922</v>
      </c>
      <c r="M29" s="10">
        <v>0.29970000000000002</v>
      </c>
      <c r="N29" s="10">
        <v>0.2329</v>
      </c>
      <c r="O29" s="8">
        <v>149.4</v>
      </c>
      <c r="P29" s="2">
        <f t="shared" si="48"/>
        <v>192.25066552168315</v>
      </c>
      <c r="Q29" s="2">
        <f t="shared" si="49"/>
        <v>149.4</v>
      </c>
      <c r="R29" s="2">
        <f t="shared" si="50"/>
        <v>299.82636324602834</v>
      </c>
      <c r="S29" s="13">
        <f t="shared" si="35"/>
        <v>0.23074257997459294</v>
      </c>
      <c r="T29" s="13">
        <f t="shared" si="36"/>
        <v>0.26896870308349696</v>
      </c>
      <c r="U29" s="14">
        <f t="shared" si="37"/>
        <v>14248</v>
      </c>
      <c r="V29" s="2">
        <f t="shared" si="58"/>
        <v>70.18528916339136</v>
      </c>
      <c r="W29" s="5">
        <f t="shared" si="39"/>
        <v>-4.7390262754290133E-2</v>
      </c>
      <c r="X29" s="13">
        <f t="shared" si="40"/>
        <v>5.2704627669471747E-4</v>
      </c>
      <c r="Y29" s="3">
        <f t="shared" si="41"/>
        <v>-4.0000000000000036E-3</v>
      </c>
      <c r="Z29" s="35">
        <f t="shared" si="51"/>
        <v>1.8231981161649691</v>
      </c>
      <c r="AA29" s="35">
        <f t="shared" si="52"/>
        <v>1.2624151663573075</v>
      </c>
      <c r="AB29" s="35">
        <f t="shared" si="53"/>
        <v>3.5808740456131729</v>
      </c>
    </row>
    <row r="30" spans="1:28">
      <c r="B30" s="37">
        <f t="shared" si="42"/>
        <v>2.6695226440388158</v>
      </c>
      <c r="C30" s="37">
        <f t="shared" si="43"/>
        <v>0.93764582710592248</v>
      </c>
      <c r="D30" s="37">
        <f t="shared" si="44"/>
        <v>3.0545747216826866</v>
      </c>
      <c r="E30" s="2">
        <f t="shared" si="55"/>
        <v>235.71428571428569</v>
      </c>
      <c r="F30" s="2">
        <f t="shared" si="56"/>
        <v>150</v>
      </c>
      <c r="G30" s="2">
        <f t="shared" si="57"/>
        <v>257.14285714285717</v>
      </c>
      <c r="H30" s="13">
        <f t="shared" si="45"/>
        <v>0.36666666666666664</v>
      </c>
      <c r="I30" s="13">
        <f t="shared" si="34"/>
        <v>0.23333333333333334</v>
      </c>
      <c r="J30" s="14">
        <f t="shared" si="54"/>
        <v>150</v>
      </c>
      <c r="K30" s="13">
        <f t="shared" si="46"/>
        <v>0.28947368421052627</v>
      </c>
      <c r="L30" s="13">
        <f t="shared" si="47"/>
        <v>0.27631578947368424</v>
      </c>
      <c r="M30" s="10">
        <v>0.36599999999999999</v>
      </c>
      <c r="N30" s="10">
        <v>0.22939999999999999</v>
      </c>
      <c r="O30" s="8">
        <v>147.80000000000001</v>
      </c>
      <c r="P30" s="2">
        <f t="shared" si="48"/>
        <v>235.80993897122931</v>
      </c>
      <c r="Q30" s="2">
        <f t="shared" si="49"/>
        <v>147.80000000000001</v>
      </c>
      <c r="R30" s="2">
        <f t="shared" si="50"/>
        <v>260.67951176983439</v>
      </c>
      <c r="S30" s="13">
        <f t="shared" si="35"/>
        <v>0.29158699808795413</v>
      </c>
      <c r="T30" s="13">
        <f t="shared" si="36"/>
        <v>0.27413957934990441</v>
      </c>
      <c r="U30" s="14">
        <f t="shared" si="37"/>
        <v>2450</v>
      </c>
      <c r="V30" s="2">
        <f t="shared" si="58"/>
        <v>408.16326530612247</v>
      </c>
      <c r="W30" s="5">
        <f t="shared" si="39"/>
        <v>-8.3069664393348244E-2</v>
      </c>
      <c r="X30" s="13">
        <f t="shared" si="40"/>
        <v>3.989430480100589E-3</v>
      </c>
      <c r="Y30" s="3">
        <f t="shared" si="41"/>
        <v>-1.4666666666666606E-2</v>
      </c>
      <c r="Z30" s="35">
        <f t="shared" si="51"/>
        <v>2.693177495713468</v>
      </c>
      <c r="AA30" s="35">
        <f t="shared" si="52"/>
        <v>0.92763664066374885</v>
      </c>
      <c r="AB30" s="35">
        <f t="shared" si="53"/>
        <v>3.060320302126097</v>
      </c>
    </row>
    <row r="31" spans="1:28">
      <c r="B31" s="37"/>
      <c r="C31" s="37"/>
      <c r="D31" s="37"/>
      <c r="P31" s="2"/>
      <c r="Q31" s="2"/>
      <c r="R31" s="2"/>
    </row>
    <row r="32" spans="1:28">
      <c r="A32" s="14" t="s">
        <v>5</v>
      </c>
      <c r="B32" s="13">
        <f>MIN(B22:B30)</f>
        <v>0.49134317318763787</v>
      </c>
      <c r="C32" s="13">
        <f t="shared" ref="C32:D32" si="59">MIN(C22:C30)</f>
        <v>0.93764582710592248</v>
      </c>
      <c r="D32" s="13">
        <f t="shared" si="59"/>
        <v>1.1419746742231214</v>
      </c>
      <c r="J32" s="14" t="s">
        <v>5</v>
      </c>
      <c r="K32" s="13">
        <f>MIN(K22:K30)</f>
        <v>0.13461538461538464</v>
      </c>
      <c r="L32" s="13">
        <f>MIN(L22:L30)</f>
        <v>0.26250000000000001</v>
      </c>
      <c r="R32" s="14" t="s">
        <v>5</v>
      </c>
      <c r="S32" s="13">
        <f>MIN(S22:S30)</f>
        <v>0.13636101665610051</v>
      </c>
      <c r="T32" s="13">
        <f>MIN(T22:T30)</f>
        <v>0.26371780515117582</v>
      </c>
      <c r="X32" s="14" t="s">
        <v>33</v>
      </c>
      <c r="Y32" s="13">
        <f>AVERAGE(X22:X30)</f>
        <v>2.2547362108785471E-3</v>
      </c>
      <c r="Z32" s="35">
        <f>MIN(Z22:Z30)</f>
        <v>0.47483201538734954</v>
      </c>
      <c r="AA32" s="35">
        <f t="shared" ref="AA32:AB32" si="60">MIN(AA22:AA30)</f>
        <v>0.92763664066374885</v>
      </c>
      <c r="AB32" s="35">
        <f t="shared" si="60"/>
        <v>1.1450823852673104</v>
      </c>
    </row>
    <row r="33" spans="1:28">
      <c r="A33" s="14" t="s">
        <v>32</v>
      </c>
      <c r="B33" s="13">
        <f>(B32+B34)/2</f>
        <v>1.5804329086132269</v>
      </c>
      <c r="C33" s="13">
        <f t="shared" ref="C33:D33" si="61">(C32+C34)/2</f>
        <v>1.4151187917759911</v>
      </c>
      <c r="D33" s="13">
        <f t="shared" si="61"/>
        <v>2.6112867952439389</v>
      </c>
      <c r="J33" s="14" t="s">
        <v>4</v>
      </c>
      <c r="K33" s="13">
        <f>MAX(K22:K30)</f>
        <v>0.28947368421052627</v>
      </c>
      <c r="L33" s="13">
        <f>MAX(L22:L30)</f>
        <v>0.33</v>
      </c>
      <c r="R33" s="14" t="s">
        <v>4</v>
      </c>
      <c r="S33" s="13">
        <f>MAX(S22:S30)</f>
        <v>0.29158699808795413</v>
      </c>
      <c r="T33" s="13">
        <f>MAX(T22:T30)</f>
        <v>0.33142601698703622</v>
      </c>
      <c r="X33" s="14" t="s">
        <v>34</v>
      </c>
      <c r="Y33" s="13">
        <f>STDEV(X22:X30)</f>
        <v>1.5558551336073089E-3</v>
      </c>
      <c r="Z33" s="35">
        <f>(Z32+Z34)/2</f>
        <v>1.5840047555504086</v>
      </c>
      <c r="AA33" s="35">
        <f t="shared" ref="AA33:AB33" si="62">(AA32+AA34)/2</f>
        <v>1.4132266601638772</v>
      </c>
      <c r="AB33" s="35">
        <f t="shared" si="62"/>
        <v>2.6232550871837805</v>
      </c>
    </row>
    <row r="34" spans="1:28" ht="15.75" thickBot="1">
      <c r="A34" s="14" t="s">
        <v>4</v>
      </c>
      <c r="B34" s="13">
        <f>MAX(B22:B30)</f>
        <v>2.6695226440388158</v>
      </c>
      <c r="C34" s="13">
        <f t="shared" ref="C34:D34" si="63">MAX(C22:C30)</f>
        <v>1.8925917564460595</v>
      </c>
      <c r="D34" s="13">
        <f t="shared" si="63"/>
        <v>4.0805989162647567</v>
      </c>
      <c r="X34" s="14" t="s">
        <v>35</v>
      </c>
      <c r="Y34" s="13">
        <f>Y32+1.5*Y33</f>
        <v>4.5885189112895106E-3</v>
      </c>
      <c r="Z34" s="35">
        <f>MAX(Z22:Z30)</f>
        <v>2.693177495713468</v>
      </c>
      <c r="AA34" s="35">
        <f t="shared" ref="AA34:AB34" si="64">MAX(AA22:AA30)</f>
        <v>1.8988166796640056</v>
      </c>
      <c r="AB34" s="35">
        <f t="shared" si="64"/>
        <v>4.1014277891002511</v>
      </c>
    </row>
    <row r="35" spans="1:28">
      <c r="F35" s="197" t="s">
        <v>7</v>
      </c>
      <c r="G35" s="197"/>
      <c r="H35" s="197"/>
      <c r="I35" s="197"/>
      <c r="J35" s="36"/>
      <c r="K35" s="203" t="s">
        <v>8</v>
      </c>
      <c r="L35" s="201"/>
      <c r="M35" s="201"/>
      <c r="N35" s="202"/>
      <c r="X35" s="14" t="s">
        <v>36</v>
      </c>
      <c r="Y35" s="13">
        <f>MAX(X22:X30)</f>
        <v>4.5168819136902879E-3</v>
      </c>
    </row>
    <row r="36" spans="1:28">
      <c r="A36" s="218" t="s">
        <v>6</v>
      </c>
      <c r="B36" s="6">
        <f t="shared" ref="B36:D38" si="65">R15</f>
        <v>0.5</v>
      </c>
      <c r="C36" s="6">
        <f t="shared" si="65"/>
        <v>0.9</v>
      </c>
      <c r="D36" s="6">
        <f t="shared" si="65"/>
        <v>1.1000000000000001</v>
      </c>
      <c r="F36" s="4">
        <f t="array" ref="F36:I36">LINEST(B22:B30,P22:R30,1)</f>
        <v>-2.6901223145061391E-3</v>
      </c>
      <c r="G36" s="4">
        <v>5.1243417499994316E-3</v>
      </c>
      <c r="H36" s="4">
        <v>1.7609396541625497E-2</v>
      </c>
      <c r="I36" s="4">
        <v>-1.534514356439449</v>
      </c>
      <c r="J36" s="36"/>
      <c r="K36" s="17">
        <f>H36</f>
        <v>1.7609396541625497E-2</v>
      </c>
      <c r="L36" s="16">
        <f>G36</f>
        <v>5.1243417499994316E-3</v>
      </c>
      <c r="M36" s="16">
        <f>F36</f>
        <v>-2.6901223145061391E-3</v>
      </c>
      <c r="N36" s="18">
        <f>I36</f>
        <v>-1.534514356439449</v>
      </c>
    </row>
    <row r="37" spans="1:28">
      <c r="A37" s="218"/>
      <c r="B37" s="6">
        <f t="shared" si="65"/>
        <v>1.6</v>
      </c>
      <c r="C37" s="6">
        <f t="shared" si="65"/>
        <v>1.4</v>
      </c>
      <c r="D37" s="6">
        <f t="shared" si="65"/>
        <v>2.5999999999999996</v>
      </c>
      <c r="F37" s="4">
        <f t="array" ref="F37:I37">LINEST(C22:C30,P22:R30,1)</f>
        <v>5.3240697065317082E-4</v>
      </c>
      <c r="G37" s="4">
        <v>-2.9445466950253768E-3</v>
      </c>
      <c r="H37" s="4">
        <v>-7.2790919621965409E-3</v>
      </c>
      <c r="I37" s="4">
        <v>2.9481999578387814</v>
      </c>
      <c r="J37" s="36"/>
      <c r="K37" s="17">
        <f>H37</f>
        <v>-7.2790919621965409E-3</v>
      </c>
      <c r="L37" s="16">
        <f>G37</f>
        <v>-2.9445466950253768E-3</v>
      </c>
      <c r="M37" s="16">
        <f>F37</f>
        <v>5.3240697065317082E-4</v>
      </c>
      <c r="N37" s="18">
        <f>I37</f>
        <v>2.9481999578387814</v>
      </c>
    </row>
    <row r="38" spans="1:28" ht="15.75" thickBot="1">
      <c r="A38" s="218"/>
      <c r="B38" s="6">
        <f t="shared" si="65"/>
        <v>2.7</v>
      </c>
      <c r="C38" s="6">
        <f t="shared" si="65"/>
        <v>1.9</v>
      </c>
      <c r="D38" s="6">
        <f t="shared" si="65"/>
        <v>4.0999999999999996</v>
      </c>
      <c r="F38" s="4">
        <f t="array" ref="F38:I38">LINEST(D22:D30,P22:R30,1)</f>
        <v>1.264658867195202E-2</v>
      </c>
      <c r="G38" s="4">
        <v>1.8284859951216762E-2</v>
      </c>
      <c r="H38" s="4">
        <v>5.0033465725356826E-4</v>
      </c>
      <c r="I38" s="4">
        <v>-3.0523246611252781</v>
      </c>
      <c r="J38" s="36"/>
      <c r="K38" s="19">
        <f>H38</f>
        <v>5.0033465725356826E-4</v>
      </c>
      <c r="L38" s="20">
        <f>G38</f>
        <v>1.8284859951216762E-2</v>
      </c>
      <c r="M38" s="20">
        <f>F38</f>
        <v>1.264658867195202E-2</v>
      </c>
      <c r="N38" s="21">
        <f>I38</f>
        <v>-3.0523246611252781</v>
      </c>
    </row>
    <row r="39" spans="1:28">
      <c r="A39" s="12"/>
      <c r="B39" s="224" t="s">
        <v>41</v>
      </c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</row>
    <row r="40" spans="1:28">
      <c r="A40" s="12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</row>
    <row r="41" spans="1:28">
      <c r="H41" s="220" t="s">
        <v>30</v>
      </c>
      <c r="I41" s="220"/>
      <c r="J41" s="220"/>
      <c r="K41" s="220"/>
      <c r="L41" s="220"/>
      <c r="M41" s="220"/>
      <c r="N41" s="220"/>
      <c r="O41" s="220"/>
      <c r="P41" s="220"/>
      <c r="Q41" s="220"/>
      <c r="R41" s="220"/>
      <c r="S41" s="220"/>
      <c r="T41" s="220"/>
      <c r="U41" s="220"/>
    </row>
    <row r="42" spans="1:28">
      <c r="B42" s="197" t="str">
        <f>B20</f>
        <v>Set</v>
      </c>
      <c r="C42" s="197"/>
      <c r="D42" s="197"/>
      <c r="E42" s="197"/>
      <c r="F42" s="197"/>
      <c r="G42" s="197"/>
      <c r="H42" s="197" t="s">
        <v>16</v>
      </c>
      <c r="I42" s="197"/>
      <c r="J42" s="197"/>
      <c r="K42" s="197" t="s">
        <v>17</v>
      </c>
      <c r="L42" s="197"/>
      <c r="M42" s="197"/>
      <c r="N42" s="197" t="s">
        <v>40</v>
      </c>
      <c r="O42" s="197"/>
      <c r="P42" s="197"/>
      <c r="Q42" s="197"/>
      <c r="R42" s="197"/>
      <c r="S42" s="197"/>
      <c r="T42" s="197"/>
      <c r="U42" s="197"/>
      <c r="Y42" s="7"/>
    </row>
    <row r="43" spans="1:28">
      <c r="B43" s="14" t="str">
        <f>B21</f>
        <v>R</v>
      </c>
      <c r="C43" s="14" t="str">
        <f t="shared" ref="C43:D43" si="66">C21</f>
        <v>G</v>
      </c>
      <c r="D43" s="14" t="str">
        <f t="shared" si="66"/>
        <v>B</v>
      </c>
      <c r="E43" s="14" t="s">
        <v>18</v>
      </c>
      <c r="F43" s="14" t="s">
        <v>9</v>
      </c>
      <c r="G43" s="14" t="s">
        <v>19</v>
      </c>
      <c r="H43" s="13" t="str">
        <f>B43</f>
        <v>R</v>
      </c>
      <c r="I43" s="13" t="str">
        <f>C43</f>
        <v>G</v>
      </c>
      <c r="J43" s="13" t="str">
        <f>D43</f>
        <v>B</v>
      </c>
      <c r="K43" s="13" t="str">
        <f>H43</f>
        <v>R</v>
      </c>
      <c r="L43" s="13" t="str">
        <f t="shared" ref="L43:M52" si="67">I43</f>
        <v>G</v>
      </c>
      <c r="M43" s="13" t="str">
        <f t="shared" si="67"/>
        <v>B</v>
      </c>
      <c r="N43" s="14" t="s">
        <v>18</v>
      </c>
      <c r="O43" s="14" t="s">
        <v>9</v>
      </c>
      <c r="P43" s="14" t="s">
        <v>19</v>
      </c>
      <c r="Q43" s="14" t="s">
        <v>1</v>
      </c>
      <c r="R43" s="14" t="s">
        <v>2</v>
      </c>
      <c r="S43" s="14" t="s">
        <v>11</v>
      </c>
      <c r="T43" s="14" t="s">
        <v>12</v>
      </c>
      <c r="U43" s="14" t="str">
        <f>X21</f>
        <v>Δxy</v>
      </c>
    </row>
    <row r="44" spans="1:28">
      <c r="B44" s="11">
        <f t="shared" ref="B44:D52" si="68">B22</f>
        <v>0.49134317318763787</v>
      </c>
      <c r="C44" s="11">
        <f t="shared" si="68"/>
        <v>1.8925917564460595</v>
      </c>
      <c r="D44" s="11">
        <f t="shared" si="68"/>
        <v>1.7948991616844396</v>
      </c>
      <c r="E44" s="2">
        <f t="shared" ref="E44:E52" si="69">getXYZ(O22,M22,N22,0)</f>
        <v>97.071615008156613</v>
      </c>
      <c r="F44" s="2">
        <f t="shared" ref="F44:F52" si="70">getXYZ(O22,M22,N22,1)</f>
        <v>150.9</v>
      </c>
      <c r="G44" s="2">
        <f t="shared" ref="G44:G52" si="71">getXYZ(O22,M22,N22,2)</f>
        <v>162.30570962479607</v>
      </c>
      <c r="H44" s="8">
        <f t="shared" ref="H44:H52" si="72">L65</f>
        <v>50.622309311576508</v>
      </c>
      <c r="I44" s="8">
        <f t="shared" ref="I44:I52" si="73">M65</f>
        <v>139.23773193359375</v>
      </c>
      <c r="J44" s="8">
        <f t="shared" ref="J44:J52" si="74">N65</f>
        <v>124.60792010763417</v>
      </c>
      <c r="K44" s="8">
        <f>H44</f>
        <v>50.622309311576508</v>
      </c>
      <c r="L44" s="8">
        <f t="shared" si="67"/>
        <v>139.23773193359375</v>
      </c>
      <c r="M44" s="8">
        <f t="shared" si="67"/>
        <v>124.60792010763417</v>
      </c>
      <c r="N44" s="2">
        <f t="shared" ref="N44:N50" si="75">B$59*H44+C$59*I44+D$59*J44</f>
        <v>99.819075830349675</v>
      </c>
      <c r="O44" s="2">
        <f t="shared" ref="O44:O50" si="76">B$60*H44+C$60*I44+D$60*J44</f>
        <v>152.4354491991871</v>
      </c>
      <c r="P44" s="2">
        <f t="shared" ref="P44:P50" si="77">B$61*H44+C$61*I44+D$61*J44</f>
        <v>158.71969991760778</v>
      </c>
      <c r="Q44" s="13">
        <f>N44/(SUM(N44:P44))</f>
        <v>0.24288402963272801</v>
      </c>
      <c r="R44" s="13">
        <f>O44/(SUM(N44:P44))</f>
        <v>0.37091243184117412</v>
      </c>
      <c r="S44" s="13">
        <f>getUVfromXY(Q44,R44,0)</f>
        <v>0.13948468839477371</v>
      </c>
      <c r="T44" s="13">
        <f>getUVfromXY(Q44,R44,1)</f>
        <v>0.31951424547352703</v>
      </c>
      <c r="U44" s="13">
        <f t="shared" ref="U44:U52" si="78">((Q44-M22)^2+(R44-N22)^2)^0.5</f>
        <v>7.0125787261861158E-3</v>
      </c>
    </row>
    <row r="45" spans="1:28">
      <c r="B45" s="11">
        <f t="shared" si="68"/>
        <v>1.0377672277910071</v>
      </c>
      <c r="C45" s="11">
        <f t="shared" si="68"/>
        <v>1.6822988162636019</v>
      </c>
      <c r="D45" s="11">
        <f t="shared" si="68"/>
        <v>1.4684369179537808</v>
      </c>
      <c r="E45" s="2">
        <f t="shared" si="69"/>
        <v>122.23315290933695</v>
      </c>
      <c r="F45" s="2">
        <f t="shared" si="70"/>
        <v>150.30000000000001</v>
      </c>
      <c r="G45" s="2">
        <f t="shared" si="71"/>
        <v>134.23274695534508</v>
      </c>
      <c r="H45" s="8">
        <f t="shared" si="72"/>
        <v>108.45914359714673</v>
      </c>
      <c r="I45" s="8">
        <f t="shared" si="73"/>
        <v>134.30559108568275</v>
      </c>
      <c r="J45" s="8">
        <f t="shared" si="74"/>
        <v>113.24284694505775</v>
      </c>
      <c r="K45" s="8">
        <f t="shared" ref="K45:K52" si="79">H45</f>
        <v>108.45914359714673</v>
      </c>
      <c r="L45" s="8">
        <f t="shared" si="67"/>
        <v>134.30559108568275</v>
      </c>
      <c r="M45" s="8">
        <f t="shared" si="67"/>
        <v>113.24284694505775</v>
      </c>
      <c r="N45" s="2">
        <f t="shared" si="75"/>
        <v>123.00924837969342</v>
      </c>
      <c r="O45" s="2">
        <f t="shared" si="76"/>
        <v>150.38674771916931</v>
      </c>
      <c r="P45" s="2">
        <f t="shared" si="77"/>
        <v>134.90363236075865</v>
      </c>
      <c r="Q45" s="13">
        <f t="shared" ref="Q45:Q61" si="80">N45/(SUM(N45:P45))</f>
        <v>0.30127200664807452</v>
      </c>
      <c r="R45" s="13">
        <f t="shared" ref="R45:R61" si="81">O45/(SUM(N45:P45))</f>
        <v>0.36832447848784106</v>
      </c>
      <c r="S45" s="13">
        <f t="shared" ref="S45:S61" si="82">getUVfromXY(Q45,R45,0)</f>
        <v>0.17676781661122251</v>
      </c>
      <c r="T45" s="13">
        <f t="shared" ref="T45:T61" si="83">getUVfromXY(Q45,R45,1)</f>
        <v>0.32416510211725791</v>
      </c>
      <c r="U45" s="13">
        <f t="shared" si="78"/>
        <v>1.4063588056465925E-3</v>
      </c>
    </row>
    <row r="46" spans="1:28">
      <c r="B46" s="11">
        <f t="shared" si="68"/>
        <v>1.584191282394376</v>
      </c>
      <c r="C46" s="11">
        <f t="shared" si="68"/>
        <v>1.4720058760811445</v>
      </c>
      <c r="D46" s="11">
        <f t="shared" si="68"/>
        <v>1.1419746742231214</v>
      </c>
      <c r="E46" s="2">
        <f t="shared" si="69"/>
        <v>149.19072025896955</v>
      </c>
      <c r="F46" s="2">
        <f t="shared" si="70"/>
        <v>150</v>
      </c>
      <c r="G46" s="2">
        <f t="shared" si="71"/>
        <v>105.44915025627192</v>
      </c>
      <c r="H46" s="8">
        <f t="shared" si="72"/>
        <v>168.09845965841541</v>
      </c>
      <c r="I46" s="8">
        <f t="shared" si="73"/>
        <v>129.74191649063775</v>
      </c>
      <c r="J46" s="8">
        <f t="shared" si="74"/>
        <v>100.54643846594769</v>
      </c>
      <c r="K46" s="8">
        <f t="shared" si="79"/>
        <v>168.09845965841541</v>
      </c>
      <c r="L46" s="8">
        <f t="shared" si="67"/>
        <v>129.74191649063775</v>
      </c>
      <c r="M46" s="8">
        <f t="shared" si="67"/>
        <v>100.54643846594769</v>
      </c>
      <c r="N46" s="2">
        <f t="shared" si="75"/>
        <v>146.75417556257952</v>
      </c>
      <c r="O46" s="2">
        <f t="shared" si="76"/>
        <v>148.75221750035334</v>
      </c>
      <c r="P46" s="2">
        <f t="shared" si="77"/>
        <v>108.33411354915762</v>
      </c>
      <c r="Q46" s="13">
        <f t="shared" si="80"/>
        <v>0.36339637346865861</v>
      </c>
      <c r="R46" s="13">
        <f t="shared" si="81"/>
        <v>0.36834397507141969</v>
      </c>
      <c r="S46" s="13">
        <f t="shared" si="82"/>
        <v>0.21716909491036193</v>
      </c>
      <c r="T46" s="13">
        <f t="shared" si="83"/>
        <v>0.33018874233005047</v>
      </c>
      <c r="U46" s="13">
        <f t="shared" si="78"/>
        <v>5.8033876182829926E-3</v>
      </c>
    </row>
    <row r="47" spans="1:28">
      <c r="B47" s="11">
        <f t="shared" si="68"/>
        <v>0.6705613451145338</v>
      </c>
      <c r="C47" s="11">
        <f t="shared" si="68"/>
        <v>1.7782485997034541</v>
      </c>
      <c r="D47" s="11">
        <f t="shared" si="68"/>
        <v>2.6837823995767853</v>
      </c>
      <c r="E47" s="2">
        <f t="shared" si="69"/>
        <v>116.94991663887963</v>
      </c>
      <c r="F47" s="2">
        <f t="shared" si="70"/>
        <v>150.4</v>
      </c>
      <c r="G47" s="2">
        <f t="shared" si="71"/>
        <v>234.15058352784263</v>
      </c>
      <c r="H47" s="8">
        <f t="shared" si="72"/>
        <v>65.871703603993296</v>
      </c>
      <c r="I47" s="8">
        <f t="shared" si="73"/>
        <v>134.34543742304263</v>
      </c>
      <c r="J47" s="8">
        <f t="shared" si="74"/>
        <v>163.48683763586956</v>
      </c>
      <c r="K47" s="8">
        <f t="shared" si="79"/>
        <v>65.871703603993296</v>
      </c>
      <c r="L47" s="8">
        <f t="shared" si="67"/>
        <v>134.34543742304263</v>
      </c>
      <c r="M47" s="8">
        <f t="shared" si="67"/>
        <v>163.48683763586956</v>
      </c>
      <c r="N47" s="2">
        <f t="shared" si="75"/>
        <v>118.04847483090582</v>
      </c>
      <c r="O47" s="2">
        <f t="shared" si="76"/>
        <v>150.59626387596751</v>
      </c>
      <c r="P47" s="2">
        <f t="shared" si="77"/>
        <v>230.14017367510573</v>
      </c>
      <c r="Q47" s="13">
        <f t="shared" si="80"/>
        <v>0.23667210434886216</v>
      </c>
      <c r="R47" s="13">
        <f t="shared" si="81"/>
        <v>0.30192626147568391</v>
      </c>
      <c r="S47" s="13">
        <f t="shared" si="82"/>
        <v>0.15393880980665628</v>
      </c>
      <c r="T47" s="13">
        <f t="shared" si="83"/>
        <v>0.2945731783778146</v>
      </c>
      <c r="U47" s="13">
        <f t="shared" si="78"/>
        <v>4.0201049957965399E-3</v>
      </c>
    </row>
    <row r="48" spans="1:28">
      <c r="B48" s="1">
        <f t="shared" si="68"/>
        <v>1.3384129674075402</v>
      </c>
      <c r="C48" s="1">
        <f t="shared" si="68"/>
        <v>1.5212238950360062</v>
      </c>
      <c r="D48" s="28">
        <f t="shared" si="68"/>
        <v>2.2847729905726468</v>
      </c>
      <c r="E48" s="31">
        <f t="shared" si="69"/>
        <v>149.79906573239904</v>
      </c>
      <c r="F48" s="31">
        <f t="shared" si="70"/>
        <v>150.19999999999999</v>
      </c>
      <c r="G48" s="31">
        <f t="shared" si="71"/>
        <v>201.16876876876873</v>
      </c>
      <c r="H48" s="8">
        <f t="shared" si="72"/>
        <v>140.32035927150559</v>
      </c>
      <c r="I48" s="8">
        <f t="shared" si="73"/>
        <v>129.23114444898522</v>
      </c>
      <c r="J48" s="8">
        <f t="shared" si="74"/>
        <v>150.5968939739725</v>
      </c>
      <c r="K48" s="8">
        <f t="shared" si="79"/>
        <v>140.32035927150559</v>
      </c>
      <c r="L48" s="8">
        <f t="shared" si="67"/>
        <v>129.23114444898522</v>
      </c>
      <c r="M48" s="8">
        <f t="shared" si="67"/>
        <v>150.5968939739725</v>
      </c>
      <c r="N48" s="31">
        <f t="shared" si="75"/>
        <v>148.76466584470768</v>
      </c>
      <c r="O48" s="31">
        <f t="shared" si="76"/>
        <v>149.3183248873585</v>
      </c>
      <c r="P48" s="31">
        <f t="shared" si="77"/>
        <v>202.08572608375363</v>
      </c>
      <c r="Q48" s="28">
        <f t="shared" si="80"/>
        <v>0.29742896915219952</v>
      </c>
      <c r="R48" s="28">
        <f t="shared" si="81"/>
        <v>0.29853591371717658</v>
      </c>
      <c r="S48" s="28">
        <f t="shared" si="82"/>
        <v>0.19869751423201215</v>
      </c>
      <c r="T48" s="28">
        <f t="shared" si="83"/>
        <v>0.29915551333315771</v>
      </c>
      <c r="U48" s="28">
        <f t="shared" si="78"/>
        <v>1.8759074148364293E-3</v>
      </c>
    </row>
    <row r="49" spans="2:21">
      <c r="B49" s="11">
        <f t="shared" si="68"/>
        <v>2.0062645897005473</v>
      </c>
      <c r="C49" s="11">
        <f t="shared" si="68"/>
        <v>1.2641991903685583</v>
      </c>
      <c r="D49" s="11">
        <f t="shared" si="68"/>
        <v>1.8857635815685077</v>
      </c>
      <c r="E49" s="2">
        <f t="shared" si="69"/>
        <v>183.57920990960829</v>
      </c>
      <c r="F49" s="2">
        <f t="shared" si="70"/>
        <v>149.69999999999999</v>
      </c>
      <c r="G49" s="2">
        <f t="shared" si="71"/>
        <v>167.89253431536653</v>
      </c>
      <c r="H49" s="8">
        <f t="shared" si="72"/>
        <v>219.36903248662534</v>
      </c>
      <c r="I49" s="8">
        <f t="shared" si="73"/>
        <v>125.53401051396909</v>
      </c>
      <c r="J49" s="8">
        <f t="shared" si="74"/>
        <v>136.76071531876275</v>
      </c>
      <c r="K49" s="8">
        <f t="shared" si="79"/>
        <v>219.36903248662534</v>
      </c>
      <c r="L49" s="8">
        <f t="shared" si="67"/>
        <v>125.53401051396909</v>
      </c>
      <c r="M49" s="8">
        <f t="shared" si="67"/>
        <v>136.76071531876275</v>
      </c>
      <c r="N49" s="2">
        <f t="shared" si="75"/>
        <v>181.78566234951427</v>
      </c>
      <c r="O49" s="2">
        <f t="shared" si="76"/>
        <v>149.72305823227984</v>
      </c>
      <c r="P49" s="2">
        <f t="shared" si="77"/>
        <v>171.24234598106062</v>
      </c>
      <c r="Q49" s="13">
        <f t="shared" si="80"/>
        <v>0.36158185320684372</v>
      </c>
      <c r="R49" s="13">
        <f t="shared" si="81"/>
        <v>0.29780753973509716</v>
      </c>
      <c r="S49" s="13">
        <f t="shared" si="82"/>
        <v>0.24721319456959615</v>
      </c>
      <c r="T49" s="13">
        <f t="shared" si="83"/>
        <v>0.30541612892852937</v>
      </c>
      <c r="U49" s="13">
        <f t="shared" si="78"/>
        <v>4.8018115837880947E-3</v>
      </c>
    </row>
    <row r="50" spans="2:21">
      <c r="B50" s="11">
        <f t="shared" si="68"/>
        <v>0.95218990099965539</v>
      </c>
      <c r="C50" s="11">
        <f t="shared" si="68"/>
        <v>1.5985664962507886</v>
      </c>
      <c r="D50" s="11">
        <f t="shared" si="68"/>
        <v>4.0805989162647567</v>
      </c>
      <c r="E50" s="2">
        <f t="shared" si="69"/>
        <v>149.04458598726117</v>
      </c>
      <c r="F50" s="2">
        <f t="shared" si="70"/>
        <v>150</v>
      </c>
      <c r="G50" s="2">
        <f t="shared" si="71"/>
        <v>337.89808917197456</v>
      </c>
      <c r="H50" s="8">
        <f t="shared" si="72"/>
        <v>94.785196055536687</v>
      </c>
      <c r="I50" s="8">
        <f t="shared" si="73"/>
        <v>128.19361744756284</v>
      </c>
      <c r="J50" s="8">
        <f t="shared" si="74"/>
        <v>225.14932118291441</v>
      </c>
      <c r="K50" s="8">
        <f t="shared" si="79"/>
        <v>94.785196055536687</v>
      </c>
      <c r="L50" s="8">
        <f t="shared" si="67"/>
        <v>128.19361744756284</v>
      </c>
      <c r="M50" s="8">
        <f t="shared" si="67"/>
        <v>225.14932118291441</v>
      </c>
      <c r="N50" s="2">
        <f t="shared" si="75"/>
        <v>149.67203924645642</v>
      </c>
      <c r="O50" s="2">
        <f t="shared" si="76"/>
        <v>149.61784654515387</v>
      </c>
      <c r="P50" s="2">
        <f t="shared" si="77"/>
        <v>342.24620104438361</v>
      </c>
      <c r="Q50" s="13">
        <f t="shared" si="80"/>
        <v>0.23330260341959447</v>
      </c>
      <c r="R50" s="13">
        <f t="shared" si="81"/>
        <v>0.23321813007130657</v>
      </c>
      <c r="S50" s="13">
        <f t="shared" si="82"/>
        <v>0.17502030222705892</v>
      </c>
      <c r="T50" s="13">
        <f t="shared" si="83"/>
        <v>0.26243539727993509</v>
      </c>
      <c r="U50" s="13">
        <f t="shared" si="78"/>
        <v>2.3860621035163062E-3</v>
      </c>
    </row>
    <row r="51" spans="2:21">
      <c r="B51" s="11">
        <f t="shared" si="68"/>
        <v>1.8108562725192354</v>
      </c>
      <c r="C51" s="11">
        <f t="shared" si="68"/>
        <v>1.2681061616783555</v>
      </c>
      <c r="D51" s="11">
        <f t="shared" si="68"/>
        <v>3.5675868189737217</v>
      </c>
      <c r="E51" s="2">
        <f t="shared" si="69"/>
        <v>192.25066552168315</v>
      </c>
      <c r="F51" s="2">
        <f t="shared" si="70"/>
        <v>149.4</v>
      </c>
      <c r="G51" s="2">
        <f t="shared" si="71"/>
        <v>299.82636324602834</v>
      </c>
      <c r="H51" s="8">
        <f t="shared" si="72"/>
        <v>188.33670043945313</v>
      </c>
      <c r="I51" s="8">
        <f t="shared" si="73"/>
        <v>122.82295127536939</v>
      </c>
      <c r="J51" s="8">
        <f t="shared" si="74"/>
        <v>205.17467996348506</v>
      </c>
      <c r="K51" s="8">
        <f t="shared" si="79"/>
        <v>188.33670043945313</v>
      </c>
      <c r="L51" s="8">
        <f t="shared" si="67"/>
        <v>122.82295127536939</v>
      </c>
      <c r="M51" s="8">
        <f t="shared" si="67"/>
        <v>205.17467996348506</v>
      </c>
      <c r="N51" s="2">
        <f>B$59*K51+C$59*L51+D$59*M51</f>
        <v>187.3684886428409</v>
      </c>
      <c r="O51" s="2">
        <f>B$60*K51+C$60*L51+D$60*M51</f>
        <v>148.87669123300978</v>
      </c>
      <c r="P51" s="2">
        <f>B$61*K51+C$61*L51+D$61*M51</f>
        <v>299.65372458849401</v>
      </c>
      <c r="Q51" s="13">
        <f t="shared" si="80"/>
        <v>0.29465137827320598</v>
      </c>
      <c r="R51" s="13">
        <f t="shared" si="81"/>
        <v>0.23412006246247183</v>
      </c>
      <c r="S51" s="13">
        <f t="shared" si="82"/>
        <v>0.22578052815319324</v>
      </c>
      <c r="T51" s="13">
        <f t="shared" si="83"/>
        <v>0.26909640638956889</v>
      </c>
      <c r="U51" s="13">
        <f t="shared" si="78"/>
        <v>5.1939516509676631E-3</v>
      </c>
    </row>
    <row r="52" spans="2:21">
      <c r="B52" s="11">
        <f t="shared" si="68"/>
        <v>2.6695226440388158</v>
      </c>
      <c r="C52" s="11">
        <f t="shared" si="68"/>
        <v>0.93764582710592248</v>
      </c>
      <c r="D52" s="11">
        <f t="shared" si="68"/>
        <v>3.0545747216826866</v>
      </c>
      <c r="E52" s="2">
        <f t="shared" si="69"/>
        <v>235.80993897122931</v>
      </c>
      <c r="F52" s="2">
        <f t="shared" si="70"/>
        <v>147.80000000000001</v>
      </c>
      <c r="G52" s="2">
        <f t="shared" si="71"/>
        <v>260.67951176983439</v>
      </c>
      <c r="H52" s="8">
        <f t="shared" si="72"/>
        <v>314.04695195737094</v>
      </c>
      <c r="I52" s="8">
        <f t="shared" si="73"/>
        <v>116.22538259755011</v>
      </c>
      <c r="J52" s="8">
        <f t="shared" si="74"/>
        <v>186.16334467348844</v>
      </c>
      <c r="K52" s="8">
        <f t="shared" si="79"/>
        <v>314.04695195737094</v>
      </c>
      <c r="L52" s="8">
        <f t="shared" si="67"/>
        <v>116.22538259755011</v>
      </c>
      <c r="M52" s="8">
        <f t="shared" si="67"/>
        <v>186.16334467348844</v>
      </c>
      <c r="N52" s="2">
        <f>B$59*H52+C$59*I52+D$59*J52</f>
        <v>240.62633346467362</v>
      </c>
      <c r="O52" s="2">
        <f>B$60*H52+C$60*I52+D$60*J52</f>
        <v>148.95627600750117</v>
      </c>
      <c r="P52" s="2">
        <f>B$61*H52+C$61*I52+D$61*J52</f>
        <v>256.36438603083059</v>
      </c>
      <c r="Q52" s="13">
        <f t="shared" si="80"/>
        <v>0.3725171494563505</v>
      </c>
      <c r="R52" s="13">
        <f t="shared" si="81"/>
        <v>0.23060139151434156</v>
      </c>
      <c r="S52" s="13">
        <f t="shared" si="82"/>
        <v>0.29669742740628791</v>
      </c>
      <c r="T52" s="13">
        <f t="shared" si="83"/>
        <v>0.2754994221814972</v>
      </c>
      <c r="U52" s="13">
        <f t="shared" si="78"/>
        <v>6.6269584733225622E-3</v>
      </c>
    </row>
    <row r="53" spans="2:21">
      <c r="B53" s="220"/>
      <c r="C53" s="220"/>
      <c r="D53" s="220"/>
      <c r="E53" s="2">
        <f>E44</f>
        <v>97.071615008156613</v>
      </c>
      <c r="F53" s="2">
        <f t="shared" ref="F53:G53" si="84">F44</f>
        <v>150.9</v>
      </c>
      <c r="G53" s="2">
        <f t="shared" si="84"/>
        <v>162.30570962479607</v>
      </c>
      <c r="H53" s="2">
        <f>$M$57*K44</f>
        <v>50.622309311576508</v>
      </c>
      <c r="I53" s="2">
        <f t="shared" ref="I53:J53" si="85">$M$57*L44</f>
        <v>139.23773193359375</v>
      </c>
      <c r="J53" s="2">
        <f t="shared" si="85"/>
        <v>124.60792010763417</v>
      </c>
      <c r="K53" s="223"/>
      <c r="L53" s="223"/>
      <c r="M53" s="223"/>
      <c r="N53" s="2">
        <f t="shared" ref="N53:N61" si="86">B$59*H53+C$59*I53+D$59*J53</f>
        <v>99.819075830349675</v>
      </c>
      <c r="O53" s="2">
        <f t="shared" ref="O53:O61" si="87">B$60*H53+C$60*I53+D$60*J53</f>
        <v>152.4354491991871</v>
      </c>
      <c r="P53" s="2">
        <f t="shared" ref="P53:P61" si="88">B$61*H53+C$61*I53+D$61*J53</f>
        <v>158.71969991760778</v>
      </c>
      <c r="Q53" s="13">
        <f t="shared" si="80"/>
        <v>0.24288402963272801</v>
      </c>
      <c r="R53" s="13">
        <f t="shared" si="81"/>
        <v>0.37091243184117412</v>
      </c>
      <c r="S53" s="13">
        <f t="shared" si="82"/>
        <v>0.13948468839477371</v>
      </c>
      <c r="T53" s="13">
        <f t="shared" si="83"/>
        <v>0.31951424547352703</v>
      </c>
      <c r="U53" s="13">
        <f t="shared" ref="U53:U61" si="89">((Q53-M22)^2+(R53-N22)^2)^0.5</f>
        <v>7.0125787261861158E-3</v>
      </c>
    </row>
    <row r="54" spans="2:21">
      <c r="B54" s="197" t="str">
        <f>B14</f>
        <v>LINEST</v>
      </c>
      <c r="C54" s="197"/>
      <c r="D54" s="197"/>
      <c r="E54" s="2">
        <f t="shared" ref="E54:G61" si="90">E45</f>
        <v>122.23315290933695</v>
      </c>
      <c r="F54" s="2">
        <f t="shared" si="90"/>
        <v>150.30000000000001</v>
      </c>
      <c r="G54" s="2">
        <f t="shared" si="90"/>
        <v>134.23274695534508</v>
      </c>
      <c r="H54" s="2">
        <f t="shared" ref="H54:J61" si="91">$M$57*K45</f>
        <v>108.45914359714673</v>
      </c>
      <c r="I54" s="2">
        <f t="shared" si="91"/>
        <v>134.30559108568275</v>
      </c>
      <c r="J54" s="2">
        <f t="shared" si="91"/>
        <v>113.24284694505775</v>
      </c>
      <c r="K54" s="218" t="str">
        <f>H42</f>
        <v>Lo Range</v>
      </c>
      <c r="L54" s="14" t="s">
        <v>33</v>
      </c>
      <c r="M54" s="2">
        <f>AVERAGE(H44:J52)</f>
        <v>145.01024584685737</v>
      </c>
      <c r="N54" s="2">
        <f t="shared" si="86"/>
        <v>123.00924837969342</v>
      </c>
      <c r="O54" s="2">
        <f t="shared" si="87"/>
        <v>150.38674771916931</v>
      </c>
      <c r="P54" s="2">
        <f t="shared" si="88"/>
        <v>134.90363236075865</v>
      </c>
      <c r="Q54" s="13">
        <f t="shared" si="80"/>
        <v>0.30127200664807452</v>
      </c>
      <c r="R54" s="13">
        <f t="shared" si="81"/>
        <v>0.36832447848784106</v>
      </c>
      <c r="S54" s="13">
        <f t="shared" si="82"/>
        <v>0.17676781661122251</v>
      </c>
      <c r="T54" s="13">
        <f t="shared" si="83"/>
        <v>0.32416510211725791</v>
      </c>
      <c r="U54" s="13">
        <f t="shared" si="89"/>
        <v>1.4063588056465925E-3</v>
      </c>
    </row>
    <row r="55" spans="2:21">
      <c r="B55" s="14">
        <f t="array" ref="B55:D55">LINEST(E63:E80,H63:J80,0)</f>
        <v>0.31176077409034492</v>
      </c>
      <c r="C55" s="14">
        <v>0.26173000722415962</v>
      </c>
      <c r="D55" s="14">
        <v>0.48453976020689793</v>
      </c>
      <c r="E55" s="2">
        <f t="shared" si="90"/>
        <v>149.19072025896955</v>
      </c>
      <c r="F55" s="2">
        <f t="shared" si="90"/>
        <v>150</v>
      </c>
      <c r="G55" s="2">
        <f t="shared" si="90"/>
        <v>105.44915025627192</v>
      </c>
      <c r="H55" s="2">
        <f t="shared" si="91"/>
        <v>168.09845965841541</v>
      </c>
      <c r="I55" s="2">
        <f t="shared" si="91"/>
        <v>129.74191649063775</v>
      </c>
      <c r="J55" s="2">
        <f t="shared" si="91"/>
        <v>100.54643846594769</v>
      </c>
      <c r="K55" s="218"/>
      <c r="L55" s="13" t="s">
        <v>4</v>
      </c>
      <c r="M55" s="2">
        <f>MAX(H44:J52)</f>
        <v>314.04695195737094</v>
      </c>
      <c r="N55" s="2">
        <f t="shared" si="86"/>
        <v>146.75417556257952</v>
      </c>
      <c r="O55" s="2">
        <f t="shared" si="87"/>
        <v>148.75221750035334</v>
      </c>
      <c r="P55" s="2">
        <f t="shared" si="88"/>
        <v>108.33411354915762</v>
      </c>
      <c r="Q55" s="13">
        <f t="shared" si="80"/>
        <v>0.36339637346865861</v>
      </c>
      <c r="R55" s="13">
        <f t="shared" si="81"/>
        <v>0.36834397507141969</v>
      </c>
      <c r="S55" s="13">
        <f t="shared" si="82"/>
        <v>0.21716909491036193</v>
      </c>
      <c r="T55" s="13">
        <f t="shared" si="83"/>
        <v>0.33018874233005047</v>
      </c>
      <c r="U55" s="13">
        <f t="shared" si="89"/>
        <v>5.8033876182829926E-3</v>
      </c>
    </row>
    <row r="56" spans="2:21">
      <c r="B56" s="14">
        <f t="array" ref="B56:D56">LINEST(F63:F80,H63:J80,0)</f>
        <v>5.6582783350988312E-2</v>
      </c>
      <c r="C56" s="14">
        <v>1.0213190000212282</v>
      </c>
      <c r="D56" s="14">
        <v>6.2791388846238583E-2</v>
      </c>
      <c r="E56" s="2">
        <f t="shared" si="90"/>
        <v>116.94991663887963</v>
      </c>
      <c r="F56" s="2">
        <f t="shared" si="90"/>
        <v>150.4</v>
      </c>
      <c r="G56" s="2">
        <f t="shared" si="90"/>
        <v>234.15058352784263</v>
      </c>
      <c r="H56" s="2">
        <f t="shared" si="91"/>
        <v>65.871703603993296</v>
      </c>
      <c r="I56" s="2">
        <f t="shared" si="91"/>
        <v>134.34543742304263</v>
      </c>
      <c r="J56" s="2">
        <f t="shared" si="91"/>
        <v>163.48683763586956</v>
      </c>
      <c r="K56" s="218" t="str">
        <f>K42</f>
        <v>Hi Range</v>
      </c>
      <c r="L56" s="14" t="s">
        <v>33</v>
      </c>
      <c r="M56" s="2">
        <f>AVERAGE(K44:M52)</f>
        <v>145.01024584685737</v>
      </c>
      <c r="N56" s="2">
        <f t="shared" si="86"/>
        <v>118.04847483090582</v>
      </c>
      <c r="O56" s="2">
        <f t="shared" si="87"/>
        <v>150.59626387596751</v>
      </c>
      <c r="P56" s="2">
        <f t="shared" si="88"/>
        <v>230.14017367510573</v>
      </c>
      <c r="Q56" s="13">
        <f t="shared" si="80"/>
        <v>0.23667210434886216</v>
      </c>
      <c r="R56" s="13">
        <f t="shared" si="81"/>
        <v>0.30192626147568391</v>
      </c>
      <c r="S56" s="13">
        <f t="shared" si="82"/>
        <v>0.15393880980665628</v>
      </c>
      <c r="T56" s="13">
        <f t="shared" si="83"/>
        <v>0.2945731783778146</v>
      </c>
      <c r="U56" s="13">
        <f t="shared" si="89"/>
        <v>4.0201049957965399E-3</v>
      </c>
    </row>
    <row r="57" spans="2:21" ht="15.75" thickBot="1">
      <c r="B57" s="14">
        <f t="array" ref="B57:D57">LINEST(G63:G80,H63:J80,0)</f>
        <v>1.8167292845092831</v>
      </c>
      <c r="C57" s="14">
        <v>-0.45199253345426338</v>
      </c>
      <c r="D57" s="14">
        <v>-9.3333205831311827E-2</v>
      </c>
      <c r="E57" s="31">
        <f t="shared" si="90"/>
        <v>149.79906573239904</v>
      </c>
      <c r="F57" s="31">
        <f t="shared" si="90"/>
        <v>150.19999999999999</v>
      </c>
      <c r="G57" s="31">
        <f t="shared" si="90"/>
        <v>201.16876876876873</v>
      </c>
      <c r="H57" s="2">
        <f t="shared" si="91"/>
        <v>140.32035927150559</v>
      </c>
      <c r="I57" s="2">
        <f t="shared" si="91"/>
        <v>129.23114444898522</v>
      </c>
      <c r="J57" s="2">
        <f t="shared" si="91"/>
        <v>150.5968939739725</v>
      </c>
      <c r="K57" s="218"/>
      <c r="L57" s="14" t="s">
        <v>38</v>
      </c>
      <c r="M57" s="14">
        <f>M54/M56</f>
        <v>1</v>
      </c>
      <c r="N57" s="31">
        <f t="shared" si="86"/>
        <v>148.76466584470768</v>
      </c>
      <c r="O57" s="31">
        <f t="shared" si="87"/>
        <v>149.3183248873585</v>
      </c>
      <c r="P57" s="31">
        <f t="shared" si="88"/>
        <v>202.08572608375363</v>
      </c>
      <c r="Q57" s="28">
        <f t="shared" si="80"/>
        <v>0.29742896915219952</v>
      </c>
      <c r="R57" s="28">
        <f t="shared" si="81"/>
        <v>0.29853591371717658</v>
      </c>
      <c r="S57" s="28">
        <f t="shared" si="82"/>
        <v>0.19869751423201215</v>
      </c>
      <c r="T57" s="28">
        <f t="shared" si="83"/>
        <v>0.29915551333315771</v>
      </c>
      <c r="U57" s="28">
        <f t="shared" si="89"/>
        <v>1.8759074148364293E-3</v>
      </c>
    </row>
    <row r="58" spans="2:21">
      <c r="B58" s="203" t="s">
        <v>93</v>
      </c>
      <c r="C58" s="201"/>
      <c r="D58" s="202"/>
      <c r="E58" s="2">
        <f t="shared" si="90"/>
        <v>183.57920990960829</v>
      </c>
      <c r="F58" s="2">
        <f t="shared" si="90"/>
        <v>149.69999999999999</v>
      </c>
      <c r="G58" s="2">
        <f t="shared" si="90"/>
        <v>167.89253431536653</v>
      </c>
      <c r="H58" s="2">
        <f t="shared" si="91"/>
        <v>219.36903248662534</v>
      </c>
      <c r="I58" s="2">
        <f t="shared" si="91"/>
        <v>125.53401051396909</v>
      </c>
      <c r="J58" s="2">
        <f t="shared" si="91"/>
        <v>136.76071531876275</v>
      </c>
      <c r="K58" s="218" t="s">
        <v>39</v>
      </c>
      <c r="L58" s="14" t="s">
        <v>33</v>
      </c>
      <c r="M58" s="13">
        <f>AVERAGE(U44:U61)</f>
        <v>4.347457930260366E-3</v>
      </c>
      <c r="N58" s="2">
        <f t="shared" si="86"/>
        <v>181.78566234951427</v>
      </c>
      <c r="O58" s="2">
        <f t="shared" si="87"/>
        <v>149.72305823227984</v>
      </c>
      <c r="P58" s="2">
        <f t="shared" si="88"/>
        <v>171.24234598106062</v>
      </c>
      <c r="Q58" s="13">
        <f t="shared" si="80"/>
        <v>0.36158185320684372</v>
      </c>
      <c r="R58" s="13">
        <f t="shared" si="81"/>
        <v>0.29780753973509716</v>
      </c>
      <c r="S58" s="13">
        <f t="shared" si="82"/>
        <v>0.24721319456959615</v>
      </c>
      <c r="T58" s="13">
        <f t="shared" si="83"/>
        <v>0.30541612892852937</v>
      </c>
      <c r="U58" s="13">
        <f t="shared" si="89"/>
        <v>4.8018115837880947E-3</v>
      </c>
    </row>
    <row r="59" spans="2:21">
      <c r="B59" s="23">
        <f>D55</f>
        <v>0.48453976020689793</v>
      </c>
      <c r="C59" s="22">
        <f>C55</f>
        <v>0.26173000722415962</v>
      </c>
      <c r="D59" s="24">
        <f>B55</f>
        <v>0.31176077409034492</v>
      </c>
      <c r="E59" s="2">
        <f t="shared" si="90"/>
        <v>149.04458598726117</v>
      </c>
      <c r="F59" s="2">
        <f t="shared" si="90"/>
        <v>150</v>
      </c>
      <c r="G59" s="2">
        <f t="shared" si="90"/>
        <v>337.89808917197456</v>
      </c>
      <c r="H59" s="2">
        <f t="shared" si="91"/>
        <v>94.785196055536687</v>
      </c>
      <c r="I59" s="2">
        <f t="shared" si="91"/>
        <v>128.19361744756284</v>
      </c>
      <c r="J59" s="2">
        <f t="shared" si="91"/>
        <v>225.14932118291441</v>
      </c>
      <c r="K59" s="218"/>
      <c r="L59" s="14" t="s">
        <v>34</v>
      </c>
      <c r="M59" s="13">
        <f>STDEV(U44:U61)</f>
        <v>2.0016043930924836E-3</v>
      </c>
      <c r="N59" s="2">
        <f t="shared" si="86"/>
        <v>149.67203924645642</v>
      </c>
      <c r="O59" s="2">
        <f t="shared" si="87"/>
        <v>149.61784654515387</v>
      </c>
      <c r="P59" s="2">
        <f t="shared" si="88"/>
        <v>342.24620104438361</v>
      </c>
      <c r="Q59" s="13">
        <f t="shared" si="80"/>
        <v>0.23330260341959447</v>
      </c>
      <c r="R59" s="13">
        <f t="shared" si="81"/>
        <v>0.23321813007130657</v>
      </c>
      <c r="S59" s="13">
        <f t="shared" si="82"/>
        <v>0.17502030222705892</v>
      </c>
      <c r="T59" s="13">
        <f t="shared" si="83"/>
        <v>0.26243539727993509</v>
      </c>
      <c r="U59" s="13">
        <f t="shared" si="89"/>
        <v>2.3860621035163062E-3</v>
      </c>
    </row>
    <row r="60" spans="2:21">
      <c r="B60" s="23">
        <f>D56</f>
        <v>6.2791388846238583E-2</v>
      </c>
      <c r="C60" s="22">
        <f>C56</f>
        <v>1.0213190000212282</v>
      </c>
      <c r="D60" s="24">
        <f>B56</f>
        <v>5.6582783350988312E-2</v>
      </c>
      <c r="E60" s="2">
        <f t="shared" si="90"/>
        <v>192.25066552168315</v>
      </c>
      <c r="F60" s="2">
        <f t="shared" si="90"/>
        <v>149.4</v>
      </c>
      <c r="G60" s="2">
        <f t="shared" si="90"/>
        <v>299.82636324602834</v>
      </c>
      <c r="H60" s="2">
        <f t="shared" si="91"/>
        <v>188.33670043945313</v>
      </c>
      <c r="I60" s="2">
        <f t="shared" si="91"/>
        <v>122.82295127536939</v>
      </c>
      <c r="J60" s="2">
        <f t="shared" si="91"/>
        <v>205.17467996348506</v>
      </c>
      <c r="K60" s="218"/>
      <c r="L60" s="14" t="s">
        <v>35</v>
      </c>
      <c r="M60" s="13">
        <f>M58+1.5*M59</f>
        <v>7.3498645198990919E-3</v>
      </c>
      <c r="N60" s="2">
        <f t="shared" si="86"/>
        <v>187.3684886428409</v>
      </c>
      <c r="O60" s="2">
        <f t="shared" si="87"/>
        <v>148.87669123300978</v>
      </c>
      <c r="P60" s="2">
        <f t="shared" si="88"/>
        <v>299.65372458849401</v>
      </c>
      <c r="Q60" s="13">
        <f t="shared" si="80"/>
        <v>0.29465137827320598</v>
      </c>
      <c r="R60" s="13">
        <f t="shared" si="81"/>
        <v>0.23412006246247183</v>
      </c>
      <c r="S60" s="13">
        <f t="shared" si="82"/>
        <v>0.22578052815319324</v>
      </c>
      <c r="T60" s="13">
        <f t="shared" si="83"/>
        <v>0.26909640638956889</v>
      </c>
      <c r="U60" s="13">
        <f t="shared" si="89"/>
        <v>5.1939516509676631E-3</v>
      </c>
    </row>
    <row r="61" spans="2:21" ht="15.75" thickBot="1">
      <c r="B61" s="25">
        <f>D57</f>
        <v>-9.3333205831311827E-2</v>
      </c>
      <c r="C61" s="26">
        <f>C57</f>
        <v>-0.45199253345426338</v>
      </c>
      <c r="D61" s="27">
        <f>B57</f>
        <v>1.8167292845092831</v>
      </c>
      <c r="E61" s="2">
        <f t="shared" si="90"/>
        <v>235.80993897122931</v>
      </c>
      <c r="F61" s="2">
        <f t="shared" si="90"/>
        <v>147.80000000000001</v>
      </c>
      <c r="G61" s="2">
        <f t="shared" si="90"/>
        <v>260.67951176983439</v>
      </c>
      <c r="H61" s="2">
        <f t="shared" si="91"/>
        <v>314.04695195737094</v>
      </c>
      <c r="I61" s="2">
        <f t="shared" si="91"/>
        <v>116.22538259755011</v>
      </c>
      <c r="J61" s="2">
        <f t="shared" si="91"/>
        <v>186.16334467348844</v>
      </c>
      <c r="K61" s="218"/>
      <c r="L61" s="14" t="s">
        <v>36</v>
      </c>
      <c r="M61" s="13">
        <f>MAX(U44:U61)</f>
        <v>7.0125787261861158E-3</v>
      </c>
      <c r="N61" s="2">
        <f t="shared" si="86"/>
        <v>240.62633346467362</v>
      </c>
      <c r="O61" s="2">
        <f t="shared" si="87"/>
        <v>148.95627600750117</v>
      </c>
      <c r="P61" s="2">
        <f t="shared" si="88"/>
        <v>256.36438603083059</v>
      </c>
      <c r="Q61" s="13">
        <f t="shared" si="80"/>
        <v>0.3725171494563505</v>
      </c>
      <c r="R61" s="13">
        <f t="shared" si="81"/>
        <v>0.23060139151434156</v>
      </c>
      <c r="S61" s="13">
        <f t="shared" si="82"/>
        <v>0.29669742740628791</v>
      </c>
      <c r="T61" s="13">
        <f t="shared" si="83"/>
        <v>0.2754994221814972</v>
      </c>
      <c r="U61" s="13">
        <f t="shared" si="89"/>
        <v>6.6269584733225622E-3</v>
      </c>
    </row>
    <row r="62" spans="2:21" ht="15.75" thickBot="1"/>
    <row r="63" spans="2:21">
      <c r="E63" s="2">
        <f>E44</f>
        <v>97.071615008156613</v>
      </c>
      <c r="F63" s="2">
        <f t="shared" ref="F63:J63" si="92">F44</f>
        <v>150.9</v>
      </c>
      <c r="G63" s="2">
        <f t="shared" si="92"/>
        <v>162.30570962479607</v>
      </c>
      <c r="H63" s="2">
        <f t="shared" si="92"/>
        <v>50.622309311576508</v>
      </c>
      <c r="I63" s="2">
        <f t="shared" si="92"/>
        <v>139.23773193359375</v>
      </c>
      <c r="J63" s="2">
        <f t="shared" si="92"/>
        <v>124.60792010763417</v>
      </c>
      <c r="K63" s="203" t="s">
        <v>55</v>
      </c>
      <c r="L63" s="201"/>
      <c r="M63" s="201"/>
      <c r="N63" s="202"/>
      <c r="T63" s="14" t="s">
        <v>33</v>
      </c>
      <c r="U63" s="13">
        <f>AVERAGE(U44:U61)</f>
        <v>4.347457930260366E-3</v>
      </c>
    </row>
    <row r="64" spans="2:21" ht="15.75" thickBot="1">
      <c r="E64" s="2">
        <f>E53</f>
        <v>97.071615008156613</v>
      </c>
      <c r="F64" s="2">
        <f t="shared" ref="F64:J64" si="93">F53</f>
        <v>150.9</v>
      </c>
      <c r="G64" s="2">
        <f t="shared" si="93"/>
        <v>162.30570962479607</v>
      </c>
      <c r="H64" s="2">
        <f t="shared" si="93"/>
        <v>50.622309311576508</v>
      </c>
      <c r="I64" s="2">
        <f t="shared" si="93"/>
        <v>139.23773193359375</v>
      </c>
      <c r="J64" s="2">
        <f t="shared" si="93"/>
        <v>124.60792010763417</v>
      </c>
      <c r="K64" s="88" t="s">
        <v>33</v>
      </c>
      <c r="L64" s="70" t="s">
        <v>20</v>
      </c>
      <c r="M64" s="70" t="s">
        <v>21</v>
      </c>
      <c r="N64" s="71" t="s">
        <v>22</v>
      </c>
      <c r="T64" s="14" t="s">
        <v>34</v>
      </c>
      <c r="U64" s="13">
        <f>STDEV(U44:U61)</f>
        <v>2.0016043930924836E-3</v>
      </c>
    </row>
    <row r="65" spans="5:21">
      <c r="E65" s="116">
        <f>E45</f>
        <v>122.23315290933695</v>
      </c>
      <c r="F65" s="97">
        <f t="shared" ref="F65:J65" si="94">F45</f>
        <v>150.30000000000001</v>
      </c>
      <c r="G65" s="97">
        <f t="shared" si="94"/>
        <v>134.23274695534508</v>
      </c>
      <c r="H65" s="97">
        <f t="shared" si="94"/>
        <v>108.45914359714673</v>
      </c>
      <c r="I65" s="97">
        <f t="shared" si="94"/>
        <v>134.30559108568275</v>
      </c>
      <c r="J65" s="98">
        <f t="shared" si="94"/>
        <v>113.24284694505775</v>
      </c>
      <c r="K65" s="113">
        <v>0</v>
      </c>
      <c r="L65" s="104">
        <f>data0!AH60</f>
        <v>50.622309311576508</v>
      </c>
      <c r="M65" s="109">
        <f>data0!AH61</f>
        <v>139.23773193359375</v>
      </c>
      <c r="N65" s="110">
        <f>data0!AH62</f>
        <v>124.60792010763417</v>
      </c>
      <c r="T65" s="14" t="s">
        <v>35</v>
      </c>
      <c r="U65" s="13">
        <f>U63+1.5*U64</f>
        <v>7.3498645198990919E-3</v>
      </c>
    </row>
    <row r="66" spans="5:21">
      <c r="E66" s="117">
        <f>E54</f>
        <v>122.23315290933695</v>
      </c>
      <c r="F66" s="101">
        <f t="shared" ref="F66:J66" si="95">F54</f>
        <v>150.30000000000001</v>
      </c>
      <c r="G66" s="101">
        <f t="shared" si="95"/>
        <v>134.23274695534508</v>
      </c>
      <c r="H66" s="101">
        <f t="shared" si="95"/>
        <v>108.45914359714673</v>
      </c>
      <c r="I66" s="101">
        <f t="shared" si="95"/>
        <v>134.30559108568275</v>
      </c>
      <c r="J66" s="102">
        <f t="shared" si="95"/>
        <v>113.24284694505775</v>
      </c>
      <c r="K66" s="114">
        <f>K65+1</f>
        <v>1</v>
      </c>
      <c r="L66" s="111">
        <f>data0!AH63</f>
        <v>108.45914359714673</v>
      </c>
      <c r="M66" s="105">
        <f>data0!AH64</f>
        <v>134.30559108568275</v>
      </c>
      <c r="N66" s="106">
        <f>data0!AH65</f>
        <v>113.24284694505775</v>
      </c>
      <c r="T66" s="14" t="s">
        <v>36</v>
      </c>
      <c r="U66" s="13">
        <f>MAX(U44:U61)</f>
        <v>7.0125787261861158E-3</v>
      </c>
    </row>
    <row r="67" spans="5:21">
      <c r="E67" s="117">
        <f>E46</f>
        <v>149.19072025896955</v>
      </c>
      <c r="F67" s="101">
        <f t="shared" ref="F67:J67" si="96">F46</f>
        <v>150</v>
      </c>
      <c r="G67" s="101">
        <f t="shared" si="96"/>
        <v>105.44915025627192</v>
      </c>
      <c r="H67" s="101">
        <f t="shared" si="96"/>
        <v>168.09845965841541</v>
      </c>
      <c r="I67" s="101">
        <f t="shared" si="96"/>
        <v>129.74191649063775</v>
      </c>
      <c r="J67" s="102">
        <f t="shared" si="96"/>
        <v>100.54643846594769</v>
      </c>
      <c r="K67" s="114">
        <f t="shared" ref="K67:K73" si="97">K66+1</f>
        <v>2</v>
      </c>
      <c r="L67" s="111">
        <f>data0!AH66</f>
        <v>168.09845965841541</v>
      </c>
      <c r="M67" s="105">
        <f>data0!AH67</f>
        <v>129.74191649063775</v>
      </c>
      <c r="N67" s="106">
        <f>data0!AH68</f>
        <v>100.54643846594769</v>
      </c>
    </row>
    <row r="68" spans="5:21">
      <c r="E68" s="117">
        <f>E55</f>
        <v>149.19072025896955</v>
      </c>
      <c r="F68" s="101">
        <f t="shared" ref="F68:J68" si="98">F55</f>
        <v>150</v>
      </c>
      <c r="G68" s="101">
        <f t="shared" si="98"/>
        <v>105.44915025627192</v>
      </c>
      <c r="H68" s="101">
        <f t="shared" si="98"/>
        <v>168.09845965841541</v>
      </c>
      <c r="I68" s="101">
        <f t="shared" si="98"/>
        <v>129.74191649063775</v>
      </c>
      <c r="J68" s="102">
        <f t="shared" si="98"/>
        <v>100.54643846594769</v>
      </c>
      <c r="K68" s="114">
        <f t="shared" si="97"/>
        <v>3</v>
      </c>
      <c r="L68" s="111">
        <f>data0!AH69</f>
        <v>65.871703603993296</v>
      </c>
      <c r="M68" s="105">
        <f>data0!AH70</f>
        <v>134.34543742304263</v>
      </c>
      <c r="N68" s="106">
        <f>data0!AH71</f>
        <v>163.48683763586956</v>
      </c>
    </row>
    <row r="69" spans="5:21">
      <c r="E69" s="117">
        <f>E47</f>
        <v>116.94991663887963</v>
      </c>
      <c r="F69" s="101">
        <f t="shared" ref="F69:J69" si="99">F47</f>
        <v>150.4</v>
      </c>
      <c r="G69" s="101">
        <f t="shared" si="99"/>
        <v>234.15058352784263</v>
      </c>
      <c r="H69" s="101">
        <f t="shared" si="99"/>
        <v>65.871703603993296</v>
      </c>
      <c r="I69" s="101">
        <f t="shared" si="99"/>
        <v>134.34543742304263</v>
      </c>
      <c r="J69" s="102">
        <f t="shared" si="99"/>
        <v>163.48683763586956</v>
      </c>
      <c r="K69" s="114">
        <f t="shared" si="97"/>
        <v>4</v>
      </c>
      <c r="L69" s="111">
        <f>data0!AH72</f>
        <v>140.32035927150559</v>
      </c>
      <c r="M69" s="105">
        <f>data0!AH73</f>
        <v>129.23114444898522</v>
      </c>
      <c r="N69" s="106">
        <f>data0!AH74</f>
        <v>150.5968939739725</v>
      </c>
    </row>
    <row r="70" spans="5:21">
      <c r="E70" s="117">
        <f>E56</f>
        <v>116.94991663887963</v>
      </c>
      <c r="F70" s="101">
        <f t="shared" ref="F70:J70" si="100">F56</f>
        <v>150.4</v>
      </c>
      <c r="G70" s="101">
        <f t="shared" si="100"/>
        <v>234.15058352784263</v>
      </c>
      <c r="H70" s="101">
        <f t="shared" si="100"/>
        <v>65.871703603993296</v>
      </c>
      <c r="I70" s="101">
        <f t="shared" si="100"/>
        <v>134.34543742304263</v>
      </c>
      <c r="J70" s="102">
        <f t="shared" si="100"/>
        <v>163.48683763586956</v>
      </c>
      <c r="K70" s="114">
        <f t="shared" si="97"/>
        <v>5</v>
      </c>
      <c r="L70" s="111">
        <f>data0!AH75</f>
        <v>219.36903248662534</v>
      </c>
      <c r="M70" s="105">
        <f>data0!AH76</f>
        <v>125.53401051396909</v>
      </c>
      <c r="N70" s="106">
        <f>data0!AH77</f>
        <v>136.76071531876275</v>
      </c>
    </row>
    <row r="71" spans="5:21">
      <c r="E71" s="183">
        <f>E48</f>
        <v>149.79906573239904</v>
      </c>
      <c r="F71" s="184">
        <f t="shared" ref="F71:J71" si="101">F48</f>
        <v>150.19999999999999</v>
      </c>
      <c r="G71" s="184">
        <f t="shared" si="101"/>
        <v>201.16876876876873</v>
      </c>
      <c r="H71" s="184">
        <f t="shared" si="101"/>
        <v>140.32035927150559</v>
      </c>
      <c r="I71" s="184">
        <f t="shared" si="101"/>
        <v>129.23114444898522</v>
      </c>
      <c r="J71" s="185">
        <f t="shared" si="101"/>
        <v>150.5968939739725</v>
      </c>
      <c r="K71" s="114">
        <f t="shared" si="97"/>
        <v>6</v>
      </c>
      <c r="L71" s="111">
        <f>data0!AH78</f>
        <v>94.785196055536687</v>
      </c>
      <c r="M71" s="105">
        <f>data0!AH79</f>
        <v>128.19361744756284</v>
      </c>
      <c r="N71" s="106">
        <f>data0!AH80</f>
        <v>225.14932118291441</v>
      </c>
    </row>
    <row r="72" spans="5:21">
      <c r="E72" s="183">
        <f>E57</f>
        <v>149.79906573239904</v>
      </c>
      <c r="F72" s="184">
        <f t="shared" ref="F72:J72" si="102">F57</f>
        <v>150.19999999999999</v>
      </c>
      <c r="G72" s="184">
        <f t="shared" si="102"/>
        <v>201.16876876876873</v>
      </c>
      <c r="H72" s="184">
        <f t="shared" si="102"/>
        <v>140.32035927150559</v>
      </c>
      <c r="I72" s="184">
        <f t="shared" si="102"/>
        <v>129.23114444898522</v>
      </c>
      <c r="J72" s="185">
        <f t="shared" si="102"/>
        <v>150.5968939739725</v>
      </c>
      <c r="K72" s="114">
        <f t="shared" si="97"/>
        <v>7</v>
      </c>
      <c r="L72" s="111">
        <f>data0!AH81</f>
        <v>188.33670043945313</v>
      </c>
      <c r="M72" s="105">
        <f>data0!AH82</f>
        <v>122.82295127536939</v>
      </c>
      <c r="N72" s="106">
        <f>data0!AH83</f>
        <v>205.17467996348506</v>
      </c>
    </row>
    <row r="73" spans="5:21" ht="15.75" thickBot="1">
      <c r="E73" s="117">
        <f>E49</f>
        <v>183.57920990960829</v>
      </c>
      <c r="F73" s="101">
        <f t="shared" ref="F73:J73" si="103">F49</f>
        <v>149.69999999999999</v>
      </c>
      <c r="G73" s="101">
        <f t="shared" si="103"/>
        <v>167.89253431536653</v>
      </c>
      <c r="H73" s="101">
        <f t="shared" si="103"/>
        <v>219.36903248662534</v>
      </c>
      <c r="I73" s="101">
        <f t="shared" si="103"/>
        <v>125.53401051396909</v>
      </c>
      <c r="J73" s="102">
        <f t="shared" si="103"/>
        <v>136.76071531876275</v>
      </c>
      <c r="K73" s="115">
        <f t="shared" si="97"/>
        <v>8</v>
      </c>
      <c r="L73" s="112">
        <f>data0!AH84</f>
        <v>314.04695195737094</v>
      </c>
      <c r="M73" s="107">
        <f>data0!AH85</f>
        <v>116.22538259755011</v>
      </c>
      <c r="N73" s="108">
        <f>data0!AH86</f>
        <v>186.16334467348844</v>
      </c>
    </row>
    <row r="74" spans="5:21" s="48" customFormat="1">
      <c r="E74" s="118">
        <f>E58</f>
        <v>183.57920990960829</v>
      </c>
      <c r="F74" s="103">
        <f t="shared" ref="F74:J74" si="104">F58</f>
        <v>149.69999999999999</v>
      </c>
      <c r="G74" s="103">
        <f t="shared" si="104"/>
        <v>167.89253431536653</v>
      </c>
      <c r="H74" s="103">
        <f t="shared" si="104"/>
        <v>219.36903248662534</v>
      </c>
      <c r="I74" s="103">
        <f t="shared" si="104"/>
        <v>125.53401051396909</v>
      </c>
      <c r="J74" s="104">
        <f t="shared" si="104"/>
        <v>136.76071531876275</v>
      </c>
    </row>
    <row r="75" spans="5:21" s="48" customFormat="1">
      <c r="E75" s="2">
        <f>E50</f>
        <v>149.04458598726117</v>
      </c>
      <c r="F75" s="2">
        <f t="shared" ref="F75:J75" si="105">F50</f>
        <v>150</v>
      </c>
      <c r="G75" s="2">
        <f t="shared" si="105"/>
        <v>337.89808917197456</v>
      </c>
      <c r="H75" s="2">
        <f t="shared" si="105"/>
        <v>94.785196055536687</v>
      </c>
      <c r="I75" s="2">
        <f t="shared" si="105"/>
        <v>128.19361744756284</v>
      </c>
      <c r="J75" s="2">
        <f t="shared" si="105"/>
        <v>225.14932118291441</v>
      </c>
    </row>
    <row r="76" spans="5:21" s="48" customFormat="1">
      <c r="E76" s="2">
        <f>E59</f>
        <v>149.04458598726117</v>
      </c>
      <c r="F76" s="2">
        <f t="shared" ref="F76:J76" si="106">F59</f>
        <v>150</v>
      </c>
      <c r="G76" s="2">
        <f t="shared" si="106"/>
        <v>337.89808917197456</v>
      </c>
      <c r="H76" s="2">
        <f t="shared" si="106"/>
        <v>94.785196055536687</v>
      </c>
      <c r="I76" s="2">
        <f t="shared" si="106"/>
        <v>128.19361744756284</v>
      </c>
      <c r="J76" s="2">
        <f t="shared" si="106"/>
        <v>225.14932118291441</v>
      </c>
    </row>
    <row r="77" spans="5:21" s="48" customFormat="1">
      <c r="E77" s="2">
        <f>E51</f>
        <v>192.25066552168315</v>
      </c>
      <c r="F77" s="2">
        <f t="shared" ref="F77:J77" si="107">F51</f>
        <v>149.4</v>
      </c>
      <c r="G77" s="2">
        <f t="shared" si="107"/>
        <v>299.82636324602834</v>
      </c>
      <c r="H77" s="2">
        <f t="shared" si="107"/>
        <v>188.33670043945313</v>
      </c>
      <c r="I77" s="2">
        <f t="shared" si="107"/>
        <v>122.82295127536939</v>
      </c>
      <c r="J77" s="2">
        <f t="shared" si="107"/>
        <v>205.17467996348506</v>
      </c>
    </row>
    <row r="78" spans="5:21" s="48" customFormat="1">
      <c r="E78" s="2">
        <f>E60</f>
        <v>192.25066552168315</v>
      </c>
      <c r="F78" s="2">
        <f t="shared" ref="F78:J78" si="108">F60</f>
        <v>149.4</v>
      </c>
      <c r="G78" s="2">
        <f t="shared" si="108"/>
        <v>299.82636324602834</v>
      </c>
      <c r="H78" s="2">
        <f t="shared" si="108"/>
        <v>188.33670043945313</v>
      </c>
      <c r="I78" s="2">
        <f t="shared" si="108"/>
        <v>122.82295127536939</v>
      </c>
      <c r="J78" s="2">
        <f t="shared" si="108"/>
        <v>205.17467996348506</v>
      </c>
    </row>
    <row r="79" spans="5:21" s="48" customFormat="1">
      <c r="E79" s="2">
        <f>E52</f>
        <v>235.80993897122931</v>
      </c>
      <c r="F79" s="2">
        <f t="shared" ref="F79:J79" si="109">F52</f>
        <v>147.80000000000001</v>
      </c>
      <c r="G79" s="2">
        <f t="shared" si="109"/>
        <v>260.67951176983439</v>
      </c>
      <c r="H79" s="2">
        <f t="shared" si="109"/>
        <v>314.04695195737094</v>
      </c>
      <c r="I79" s="2">
        <f t="shared" si="109"/>
        <v>116.22538259755011</v>
      </c>
      <c r="J79" s="2">
        <f t="shared" si="109"/>
        <v>186.16334467348844</v>
      </c>
    </row>
    <row r="80" spans="5:21" s="48" customFormat="1">
      <c r="E80" s="2">
        <f>E61</f>
        <v>235.80993897122931</v>
      </c>
      <c r="F80" s="2">
        <f t="shared" ref="F80:J80" si="110">F61</f>
        <v>147.80000000000001</v>
      </c>
      <c r="G80" s="2">
        <f t="shared" si="110"/>
        <v>260.67951176983439</v>
      </c>
      <c r="H80" s="2">
        <f t="shared" si="110"/>
        <v>314.04695195737094</v>
      </c>
      <c r="I80" s="2">
        <f t="shared" si="110"/>
        <v>116.22538259755011</v>
      </c>
      <c r="J80" s="2">
        <f t="shared" si="110"/>
        <v>186.16334467348844</v>
      </c>
    </row>
    <row r="81" spans="8:9" s="48" customFormat="1">
      <c r="H81" s="52"/>
      <c r="I81" s="52"/>
    </row>
    <row r="82" spans="8:9" s="48" customFormat="1">
      <c r="H82" s="52"/>
      <c r="I82" s="52"/>
    </row>
    <row r="83" spans="8:9" s="48" customFormat="1">
      <c r="H83" s="52"/>
      <c r="I83" s="52"/>
    </row>
    <row r="84" spans="8:9" s="48" customFormat="1">
      <c r="H84" s="52"/>
      <c r="I84" s="52"/>
    </row>
    <row r="85" spans="8:9" s="48" customFormat="1">
      <c r="H85" s="52"/>
      <c r="I85" s="52"/>
    </row>
    <row r="86" spans="8:9" s="48" customFormat="1">
      <c r="H86" s="52"/>
      <c r="I86" s="52"/>
    </row>
    <row r="87" spans="8:9" s="48" customFormat="1">
      <c r="H87" s="52"/>
      <c r="I87" s="52"/>
    </row>
    <row r="88" spans="8:9" s="48" customFormat="1">
      <c r="H88" s="52"/>
      <c r="I88" s="52"/>
    </row>
    <row r="89" spans="8:9" s="48" customFormat="1">
      <c r="H89" s="52"/>
      <c r="I89" s="52"/>
    </row>
    <row r="90" spans="8:9" s="48" customFormat="1">
      <c r="H90" s="52"/>
      <c r="I90" s="52"/>
    </row>
    <row r="91" spans="8:9" s="48" customFormat="1">
      <c r="H91" s="52"/>
      <c r="I91" s="52"/>
    </row>
    <row r="92" spans="8:9" s="48" customFormat="1">
      <c r="H92" s="52"/>
      <c r="I92" s="52"/>
    </row>
    <row r="93" spans="8:9" s="48" customFormat="1">
      <c r="H93" s="52"/>
      <c r="I93" s="52"/>
    </row>
    <row r="94" spans="8:9" s="48" customFormat="1">
      <c r="H94" s="52"/>
      <c r="I94" s="52"/>
    </row>
    <row r="95" spans="8:9" s="48" customFormat="1">
      <c r="H95" s="52"/>
      <c r="I95" s="52"/>
    </row>
    <row r="96" spans="8:9" s="48" customFormat="1">
      <c r="H96" s="52"/>
      <c r="I96" s="126" t="s">
        <v>5</v>
      </c>
    </row>
    <row r="97" spans="1:46" s="48" customFormat="1">
      <c r="H97" s="125" t="s">
        <v>94</v>
      </c>
      <c r="I97" s="126">
        <f>MIN(J97:AO97)</f>
        <v>1.6241022455668053E-2</v>
      </c>
      <c r="J97" s="127" t="str">
        <f>IF(J100&lt;&gt;"",MAX(ABS(J100/$C100-1),ABS(J109/$C109-1),ABS(J118/$C118-1),ABS(J127/$C127-1),ABS(J136/$C136-1),ABS(J145/$C145-1),ABS(J154/$C154-1),ABS(J163/$C163-1),ABS(J172/$C172-1)),"")</f>
        <v/>
      </c>
      <c r="K97" s="127">
        <f t="shared" ref="K97:AO97" si="111">IF(K100&lt;&gt;"",MAX(ABS(K100/$C100-1),ABS(K109/$C109-1),ABS(K118/$C118-1),ABS(K127/$C127-1),ABS(K136/$C136-1),ABS(K145/$C145-1),ABS(K154/$C154-1),ABS(K163/$C163-1),ABS(K172/$C172-1)),"")</f>
        <v>0.1207297323058536</v>
      </c>
      <c r="L97" s="127">
        <f t="shared" si="111"/>
        <v>4.4016218987260824E-2</v>
      </c>
      <c r="M97" s="127">
        <f t="shared" si="111"/>
        <v>8.5368362638165829E-2</v>
      </c>
      <c r="N97" s="127">
        <f t="shared" si="111"/>
        <v>6.203451264631954E-2</v>
      </c>
      <c r="O97" s="127">
        <f t="shared" si="111"/>
        <v>3.4831539570163828E-2</v>
      </c>
      <c r="P97" s="127">
        <f t="shared" si="111"/>
        <v>3.1655919663300836E-2</v>
      </c>
      <c r="Q97" s="127">
        <f t="shared" si="111"/>
        <v>7.0285312561635616E-2</v>
      </c>
      <c r="R97" s="127">
        <f t="shared" si="111"/>
        <v>6.2149426628649307E-2</v>
      </c>
      <c r="S97" s="127" t="str">
        <f t="shared" si="111"/>
        <v/>
      </c>
      <c r="T97" s="127">
        <f t="shared" si="111"/>
        <v>6.5819908609182187E-2</v>
      </c>
      <c r="U97" s="127">
        <f t="shared" si="111"/>
        <v>3.3047146281367734E-2</v>
      </c>
      <c r="V97" s="127">
        <f t="shared" si="111"/>
        <v>5.6874274209030462E-2</v>
      </c>
      <c r="W97" s="127">
        <f t="shared" si="111"/>
        <v>7.0852612363215828E-2</v>
      </c>
      <c r="X97" s="127">
        <f t="shared" si="111"/>
        <v>2.4227032312439167E-2</v>
      </c>
      <c r="Y97" s="127">
        <f t="shared" si="111"/>
        <v>2.2425054307401382E-2</v>
      </c>
      <c r="Z97" s="127">
        <f t="shared" si="111"/>
        <v>4.1268438597034551E-2</v>
      </c>
      <c r="AA97" s="127" t="str">
        <f t="shared" si="111"/>
        <v/>
      </c>
      <c r="AB97" s="127" t="str">
        <f t="shared" si="111"/>
        <v/>
      </c>
      <c r="AC97" s="127" t="str">
        <f t="shared" si="111"/>
        <v/>
      </c>
      <c r="AD97" s="127">
        <f t="shared" si="111"/>
        <v>9.4117155687875487E-2</v>
      </c>
      <c r="AE97" s="127">
        <f t="shared" si="111"/>
        <v>1.6241022455668053E-2</v>
      </c>
      <c r="AF97" s="127" t="str">
        <f t="shared" si="111"/>
        <v/>
      </c>
      <c r="AG97" s="127" t="str">
        <f t="shared" si="111"/>
        <v/>
      </c>
      <c r="AH97" s="127">
        <f t="shared" si="111"/>
        <v>1.8024446448996145E-2</v>
      </c>
      <c r="AI97" s="127" t="str">
        <f t="shared" si="111"/>
        <v/>
      </c>
      <c r="AJ97" s="127" t="str">
        <f t="shared" si="111"/>
        <v/>
      </c>
      <c r="AK97" s="127">
        <f t="shared" si="111"/>
        <v>0.10386491060709713</v>
      </c>
      <c r="AL97" s="127">
        <f t="shared" si="111"/>
        <v>7.2597407935848679E-2</v>
      </c>
      <c r="AM97" s="127">
        <f t="shared" si="111"/>
        <v>8.679228609691636E-2</v>
      </c>
      <c r="AN97" s="127">
        <f t="shared" si="111"/>
        <v>8.022655842837445E-2</v>
      </c>
      <c r="AO97" s="127">
        <f t="shared" si="111"/>
        <v>7.9554997530352445E-2</v>
      </c>
    </row>
    <row r="98" spans="1:46">
      <c r="A98" s="125"/>
      <c r="H98" s="14" t="str">
        <f>B105</f>
        <v>Δxy</v>
      </c>
      <c r="I98" s="13">
        <f>MIN(J98:AO98)</f>
        <v>1.14956085259737E-2</v>
      </c>
      <c r="J98" s="126" t="str">
        <f>IF(J100&lt;&gt;"",MAX(J105,J114,J123,J132,J141,J150,J159,J168,J177),"")</f>
        <v/>
      </c>
      <c r="K98" s="126">
        <f t="shared" ref="K98:AO98" si="112">IF(K100&lt;&gt;"",MAX(K105,K114,K123,K132,K141,K150,K159,K168,K177),"")</f>
        <v>2.4253810134177073E-2</v>
      </c>
      <c r="L98" s="126">
        <f t="shared" si="112"/>
        <v>1.5013324708557653E-2</v>
      </c>
      <c r="M98" s="126">
        <f t="shared" si="112"/>
        <v>2.6044140023263818E-2</v>
      </c>
      <c r="N98" s="126">
        <f t="shared" si="112"/>
        <v>1.4051538881850874E-2</v>
      </c>
      <c r="O98" s="126">
        <f t="shared" si="112"/>
        <v>1.7947858687073236E-2</v>
      </c>
      <c r="P98" s="126">
        <f t="shared" si="112"/>
        <v>1.4488691662361101E-2</v>
      </c>
      <c r="Q98" s="126">
        <f t="shared" si="112"/>
        <v>2.6360763897217379E-2</v>
      </c>
      <c r="R98" s="126">
        <f t="shared" si="112"/>
        <v>1.2846751533281787E-2</v>
      </c>
      <c r="S98" s="126" t="str">
        <f t="shared" si="112"/>
        <v/>
      </c>
      <c r="T98" s="126">
        <f t="shared" si="112"/>
        <v>1.14956085259737E-2</v>
      </c>
      <c r="U98" s="126">
        <f t="shared" si="112"/>
        <v>2.673673935598482E-2</v>
      </c>
      <c r="V98" s="126">
        <f t="shared" si="112"/>
        <v>1.8527242466593579E-2</v>
      </c>
      <c r="W98" s="126">
        <f t="shared" si="112"/>
        <v>1.7848054125772613E-2</v>
      </c>
      <c r="X98" s="126">
        <f t="shared" si="112"/>
        <v>1.5628428668574005E-2</v>
      </c>
      <c r="Y98" s="126">
        <f t="shared" si="112"/>
        <v>1.7430053686154079E-2</v>
      </c>
      <c r="Z98" s="126">
        <f t="shared" si="112"/>
        <v>2.3765002509164024E-2</v>
      </c>
      <c r="AA98" s="126" t="str">
        <f t="shared" si="112"/>
        <v/>
      </c>
      <c r="AB98" s="126" t="str">
        <f t="shared" si="112"/>
        <v/>
      </c>
      <c r="AC98" s="126" t="str">
        <f t="shared" si="112"/>
        <v/>
      </c>
      <c r="AD98" s="126">
        <f t="shared" si="112"/>
        <v>1.4310780016710104E-2</v>
      </c>
      <c r="AE98" s="126">
        <f t="shared" si="112"/>
        <v>1.6079419603313699E-2</v>
      </c>
      <c r="AF98" s="126" t="str">
        <f t="shared" si="112"/>
        <v/>
      </c>
      <c r="AG98" s="126" t="str">
        <f t="shared" si="112"/>
        <v/>
      </c>
      <c r="AH98" s="126">
        <f t="shared" si="112"/>
        <v>2.538432279378923E-2</v>
      </c>
      <c r="AI98" s="126" t="str">
        <f t="shared" si="112"/>
        <v/>
      </c>
      <c r="AJ98" s="126" t="str">
        <f t="shared" si="112"/>
        <v/>
      </c>
      <c r="AK98" s="126">
        <f t="shared" si="112"/>
        <v>1.8995235745115146E-2</v>
      </c>
      <c r="AL98" s="126">
        <f t="shared" si="112"/>
        <v>2.5424675367489945E-2</v>
      </c>
      <c r="AM98" s="126">
        <f t="shared" si="112"/>
        <v>1.9591977475125158E-2</v>
      </c>
      <c r="AN98" s="126">
        <f t="shared" si="112"/>
        <v>2.4281483648797317E-2</v>
      </c>
      <c r="AO98" s="126">
        <f t="shared" si="112"/>
        <v>3.001016630201472E-2</v>
      </c>
    </row>
    <row r="99" spans="1:46">
      <c r="A99" s="197"/>
      <c r="B99" s="197"/>
      <c r="C99" s="40" t="s">
        <v>72</v>
      </c>
      <c r="D99" s="40" t="str">
        <f>data0!AH92</f>
        <v>Mean</v>
      </c>
      <c r="E99" s="40" t="str">
        <f>data0!AI92</f>
        <v>stdDev</v>
      </c>
      <c r="F99" s="40" t="str">
        <f>data0!AJ92</f>
        <v>%/val</v>
      </c>
      <c r="G99" s="40" t="str">
        <f>data0!AK92</f>
        <v>minσ</v>
      </c>
      <c r="H99" s="40" t="str">
        <f>data0!AL92</f>
        <v>maxσ</v>
      </c>
      <c r="I99" s="40" t="str">
        <f>data0!AM92</f>
        <v>balance</v>
      </c>
      <c r="J99" s="14">
        <f>data0!B92</f>
        <v>0</v>
      </c>
      <c r="K99" s="40">
        <f>data0!C92</f>
        <v>1</v>
      </c>
      <c r="L99" s="40">
        <f>data0!D92</f>
        <v>2</v>
      </c>
      <c r="M99" s="40">
        <f>data0!E92</f>
        <v>3</v>
      </c>
      <c r="N99" s="40">
        <f>data0!F92</f>
        <v>4</v>
      </c>
      <c r="O99" s="40">
        <f>data0!G92</f>
        <v>5</v>
      </c>
      <c r="P99" s="40">
        <f>data0!H92</f>
        <v>6</v>
      </c>
      <c r="Q99" s="40">
        <f>data0!I92</f>
        <v>7</v>
      </c>
      <c r="R99" s="40">
        <f>data0!J92</f>
        <v>8</v>
      </c>
      <c r="S99" s="40">
        <f>data0!K92</f>
        <v>9</v>
      </c>
      <c r="T99" s="40">
        <f>data0!L92</f>
        <v>10</v>
      </c>
      <c r="U99" s="40">
        <f>data0!M92</f>
        <v>11</v>
      </c>
      <c r="V99" s="40">
        <f>data0!N92</f>
        <v>12</v>
      </c>
      <c r="W99" s="40">
        <f>data0!O92</f>
        <v>13</v>
      </c>
      <c r="X99" s="40">
        <f>data0!P92</f>
        <v>14</v>
      </c>
      <c r="Y99" s="40">
        <f>data0!Q92</f>
        <v>15</v>
      </c>
      <c r="Z99" s="40">
        <f>data0!R92</f>
        <v>16</v>
      </c>
      <c r="AA99" s="40">
        <f>data0!S92</f>
        <v>17</v>
      </c>
      <c r="AB99" s="40">
        <f>data0!T92</f>
        <v>18</v>
      </c>
      <c r="AC99" s="40">
        <f>data0!U92</f>
        <v>19</v>
      </c>
      <c r="AD99" s="40">
        <f>data0!V92</f>
        <v>20</v>
      </c>
      <c r="AE99" s="40">
        <f>data0!W92</f>
        <v>21</v>
      </c>
      <c r="AF99" s="40">
        <f>data0!X92</f>
        <v>22</v>
      </c>
      <c r="AG99" s="40">
        <f>data0!Y92</f>
        <v>23</v>
      </c>
      <c r="AH99" s="40">
        <f>data0!Z92</f>
        <v>24</v>
      </c>
      <c r="AI99" s="40">
        <f>data0!AA92</f>
        <v>25</v>
      </c>
      <c r="AJ99" s="40">
        <f>data0!AB92</f>
        <v>26</v>
      </c>
      <c r="AK99" s="40">
        <f>data0!AC92</f>
        <v>27</v>
      </c>
      <c r="AL99" s="40">
        <f>data0!AD92</f>
        <v>28</v>
      </c>
      <c r="AM99" s="40">
        <f>data0!AE92</f>
        <v>29</v>
      </c>
      <c r="AN99" s="40">
        <f>data0!AF92</f>
        <v>30</v>
      </c>
      <c r="AO99" s="40">
        <f>data0!AG92</f>
        <v>31</v>
      </c>
      <c r="AR99" s="40"/>
      <c r="AS99" s="40"/>
      <c r="AT99" s="40"/>
    </row>
    <row r="100" spans="1:46">
      <c r="A100" s="218">
        <f>getCCTfromXY(C101,C102,0)</f>
        <v>10480</v>
      </c>
      <c r="B100" s="40" t="s">
        <v>10</v>
      </c>
      <c r="C100" s="14">
        <f>data0!B5</f>
        <v>150.9</v>
      </c>
      <c r="D100" s="2">
        <f>data0!AH97</f>
        <v>152.4354491991871</v>
      </c>
      <c r="E100" s="2">
        <f>data0!AI97</f>
        <v>6.9737234106585486</v>
      </c>
      <c r="F100" s="3">
        <f>data0!AJ97</f>
        <v>4.5748698529736335E-2</v>
      </c>
      <c r="G100" s="2">
        <f>data0!AK97</f>
        <v>-1.5231001442262082</v>
      </c>
      <c r="H100" s="2">
        <f>data0!AL97</f>
        <v>1.9210769215138317</v>
      </c>
      <c r="I100" s="2">
        <f>data0!AM97</f>
        <v>0.39797677728762348</v>
      </c>
      <c r="J100" s="2" t="str">
        <f>data0!B97</f>
        <v/>
      </c>
      <c r="K100" s="2">
        <f>data0!C97</f>
        <v>165.83250830042397</v>
      </c>
      <c r="L100" s="2">
        <f>data0!D97</f>
        <v>146.37098004497216</v>
      </c>
      <c r="M100" s="2">
        <f>data0!E97</f>
        <v>156.55386561991588</v>
      </c>
      <c r="N100" s="2">
        <f>data0!F97</f>
        <v>146.02809588508649</v>
      </c>
      <c r="O100" s="2">
        <f>data0!G97</f>
        <v>152.43592975372337</v>
      </c>
      <c r="P100" s="2">
        <f>data0!H97</f>
        <v>147.83567666290676</v>
      </c>
      <c r="Q100" s="2">
        <f>data0!I97</f>
        <v>161.36688109068172</v>
      </c>
      <c r="R100" s="2">
        <f>data0!J97</f>
        <v>143.04147123497347</v>
      </c>
      <c r="S100" s="2" t="str">
        <f>data0!K97</f>
        <v/>
      </c>
      <c r="T100" s="2">
        <f>data0!L97</f>
        <v>146.74762248487599</v>
      </c>
      <c r="U100" s="2">
        <f>data0!M97</f>
        <v>150.32296959283366</v>
      </c>
      <c r="V100" s="2">
        <f>data0!N97</f>
        <v>155.39155784632018</v>
      </c>
      <c r="W100" s="2">
        <f>data0!O97</f>
        <v>161.59165920560929</v>
      </c>
      <c r="X100" s="2">
        <f>data0!P97</f>
        <v>154.55585917594709</v>
      </c>
      <c r="Y100" s="2">
        <f>data0!Q97</f>
        <v>151.57913426592611</v>
      </c>
      <c r="Z100" s="2">
        <f>data0!R97</f>
        <v>150.75519073420568</v>
      </c>
      <c r="AA100" s="2" t="str">
        <f>data0!S97</f>
        <v/>
      </c>
      <c r="AB100" s="2" t="str">
        <f>data0!T97</f>
        <v/>
      </c>
      <c r="AC100" s="2" t="str">
        <f>data0!U97</f>
        <v/>
      </c>
      <c r="AD100" s="2">
        <f>data0!V97</f>
        <v>165.10227879330043</v>
      </c>
      <c r="AE100" s="2">
        <f>data0!W97</f>
        <v>151.82970715923207</v>
      </c>
      <c r="AF100" s="2" t="str">
        <f>data0!X97</f>
        <v/>
      </c>
      <c r="AG100" s="2"/>
      <c r="AH100" s="2">
        <f>data0!Z97</f>
        <v>151.67838953521129</v>
      </c>
      <c r="AI100" s="2" t="str">
        <f>data0!AA97</f>
        <v/>
      </c>
      <c r="AJ100" s="2" t="str">
        <f>data0!AB97</f>
        <v/>
      </c>
      <c r="AK100" s="2">
        <f>data0!AC97</f>
        <v>141.81377006661938</v>
      </c>
      <c r="AL100" s="2">
        <f>data0!AD97</f>
        <v>151.44332172189382</v>
      </c>
      <c r="AM100" s="2">
        <f>data0!AE97</f>
        <v>145.13300825476904</v>
      </c>
      <c r="AN100" s="2">
        <f>data0!AF97</f>
        <v>146.13147304295725</v>
      </c>
      <c r="AO100" s="2">
        <f>data0!AG97</f>
        <v>162.47398110891797</v>
      </c>
    </row>
    <row r="101" spans="1:46">
      <c r="A101" s="218"/>
      <c r="B101" s="40" t="s">
        <v>1</v>
      </c>
      <c r="C101" s="40">
        <f>data0!B6</f>
        <v>0.2366</v>
      </c>
      <c r="D101" s="41">
        <f>data0!AH98</f>
        <v>0.24294458964444332</v>
      </c>
      <c r="E101" s="41">
        <f>data0!AI98</f>
        <v>2.3532168578829604E-3</v>
      </c>
      <c r="F101" s="3">
        <f>data0!AJ98</f>
        <v>9.6862287047715847E-3</v>
      </c>
      <c r="G101" s="2">
        <f>data0!AK98</f>
        <v>-1.7748839576708866</v>
      </c>
      <c r="H101" s="2">
        <f>data0!AL98</f>
        <v>2.8754212349914434</v>
      </c>
      <c r="I101" s="2">
        <f>data0!AM98</f>
        <v>1.1005372773205568</v>
      </c>
      <c r="J101" s="41" t="str">
        <f>data0!B98</f>
        <v/>
      </c>
      <c r="K101" s="41">
        <f>data0!C98</f>
        <v>0.23876790279446616</v>
      </c>
      <c r="L101" s="41">
        <f>data0!D98</f>
        <v>0.2410925666915911</v>
      </c>
      <c r="M101" s="41">
        <f>data0!E98</f>
        <v>0.24429183879197408</v>
      </c>
      <c r="N101" s="41">
        <f>data0!F98</f>
        <v>0.24149127826820352</v>
      </c>
      <c r="O101" s="41">
        <f>data0!G98</f>
        <v>0.24343817361381334</v>
      </c>
      <c r="P101" s="41">
        <f>data0!H98</f>
        <v>0.24181085776836542</v>
      </c>
      <c r="Q101" s="41">
        <f>data0!I98</f>
        <v>0.24558865972682623</v>
      </c>
      <c r="R101" s="41">
        <f>data0!J98</f>
        <v>0.24245954713261242</v>
      </c>
      <c r="S101" s="41" t="str">
        <f>data0!K98</f>
        <v/>
      </c>
      <c r="T101" s="41">
        <f>data0!L98</f>
        <v>0.24241538606023139</v>
      </c>
      <c r="U101" s="41">
        <f>data0!M98</f>
        <v>0.24403684274856996</v>
      </c>
      <c r="V101" s="41">
        <f>data0!N98</f>
        <v>0.24406722913993995</v>
      </c>
      <c r="W101" s="41">
        <f>data0!O98</f>
        <v>0.24262834623169194</v>
      </c>
      <c r="X101" s="41">
        <f>data0!P98</f>
        <v>0.24055954458634501</v>
      </c>
      <c r="Y101" s="41">
        <f>data0!Q98</f>
        <v>0.24446339243669124</v>
      </c>
      <c r="Z101" s="41">
        <f>data0!R98</f>
        <v>0.24255598136105025</v>
      </c>
      <c r="AA101" s="41" t="str">
        <f>data0!S98</f>
        <v/>
      </c>
      <c r="AB101" s="41" t="str">
        <f>data0!T98</f>
        <v/>
      </c>
      <c r="AC101" s="41" t="str">
        <f>data0!U98</f>
        <v/>
      </c>
      <c r="AD101" s="41">
        <f>data0!V98</f>
        <v>0.2398540310115222</v>
      </c>
      <c r="AE101" s="41">
        <f>data0!W98</f>
        <v>0.24254810804978058</v>
      </c>
      <c r="AF101" s="41" t="str">
        <f>data0!X98</f>
        <v/>
      </c>
      <c r="AG101" s="41"/>
      <c r="AH101" s="41">
        <f>data0!Z98</f>
        <v>0.24161002809186899</v>
      </c>
      <c r="AI101" s="41" t="str">
        <f>data0!AA98</f>
        <v/>
      </c>
      <c r="AJ101" s="41" t="str">
        <f>data0!AB98</f>
        <v/>
      </c>
      <c r="AK101" s="41">
        <f>data0!AC98</f>
        <v>0.24553835973019147</v>
      </c>
      <c r="AL101" s="41">
        <f>data0!AD98</f>
        <v>0.2446917344280555</v>
      </c>
      <c r="AM101" s="41">
        <f>data0!AE98</f>
        <v>0.23938953375403113</v>
      </c>
      <c r="AN101" s="41">
        <f>data0!AF98</f>
        <v>0.24971107936813983</v>
      </c>
      <c r="AO101" s="41">
        <f>data0!AG98</f>
        <v>0.24471514003623571</v>
      </c>
      <c r="AR101" s="41"/>
      <c r="AS101" s="41"/>
      <c r="AT101" s="41"/>
    </row>
    <row r="102" spans="1:46">
      <c r="A102" s="218"/>
      <c r="B102" s="40" t="s">
        <v>2</v>
      </c>
      <c r="C102" s="40">
        <f>data0!B7</f>
        <v>0.36780000000000002</v>
      </c>
      <c r="D102" s="41">
        <f>AVERAGE(J102:AO102)</f>
        <v>0.37113037033859952</v>
      </c>
      <c r="E102" s="41">
        <f>STDEV(J102:AO102)</f>
        <v>1.1368598823383581E-2</v>
      </c>
      <c r="F102" s="3">
        <f>E102/D102</f>
        <v>3.0632359224634403E-2</v>
      </c>
      <c r="G102" s="2">
        <f>(MIN(J102:AO102)-$D102)/$E102</f>
        <v>-1.4516399933317476</v>
      </c>
      <c r="H102" s="2">
        <f>(MAX(J102:AO102)-$D102)/$E102</f>
        <v>2.2484520571826501</v>
      </c>
      <c r="I102" s="2">
        <f>G102+H102</f>
        <v>0.79681206385090242</v>
      </c>
      <c r="J102" s="41" t="str">
        <f>data0!B99</f>
        <v/>
      </c>
      <c r="K102" s="41">
        <f>data0!C99</f>
        <v>0.37885873777620438</v>
      </c>
      <c r="L102" s="41">
        <f>data0!D99</f>
        <v>0.36372911090885074</v>
      </c>
      <c r="M102" s="41">
        <f>data0!E99</f>
        <v>0.37310603304025447</v>
      </c>
      <c r="N102" s="41">
        <f>data0!F99</f>
        <v>0.35462725761843167</v>
      </c>
      <c r="O102" s="41">
        <f>data0!G99</f>
        <v>0.38004617484953007</v>
      </c>
      <c r="P102" s="41">
        <f>data0!H99</f>
        <v>0.36325245720495508</v>
      </c>
      <c r="Q102" s="41">
        <f>data0!I99</f>
        <v>0.39258091744791085</v>
      </c>
      <c r="R102" s="41">
        <f>data0!J99</f>
        <v>0.36447834741775037</v>
      </c>
      <c r="S102" s="41" t="str">
        <f>data0!K99</f>
        <v/>
      </c>
      <c r="T102" s="41">
        <f>data0!L99</f>
        <v>0.3665549368978856</v>
      </c>
      <c r="U102" s="41">
        <f>data0!M99</f>
        <v>0.36871416407015811</v>
      </c>
      <c r="V102" s="41">
        <f>data0!N99</f>
        <v>0.37882416214830211</v>
      </c>
      <c r="W102" s="41">
        <f>data0!O99</f>
        <v>0.3578825655673295</v>
      </c>
      <c r="X102" s="41">
        <f>data0!P99</f>
        <v>0.36306768753991886</v>
      </c>
      <c r="Y102" s="41">
        <f>data0!Q99</f>
        <v>0.36546189307694632</v>
      </c>
      <c r="Z102" s="41">
        <f>data0!R99</f>
        <v>0.36659246311861221</v>
      </c>
      <c r="AA102" s="41" t="str">
        <f>data0!S99</f>
        <v/>
      </c>
      <c r="AB102" s="41" t="str">
        <f>data0!T99</f>
        <v/>
      </c>
      <c r="AC102" s="41" t="str">
        <f>data0!U99</f>
        <v/>
      </c>
      <c r="AD102" s="41">
        <f>data0!V99</f>
        <v>0.3604776498702788</v>
      </c>
      <c r="AE102" s="41">
        <f>data0!W99</f>
        <v>0.35895521701015071</v>
      </c>
      <c r="AF102" s="41" t="str">
        <f>data0!X99</f>
        <v/>
      </c>
      <c r="AG102" s="41"/>
      <c r="AH102" s="41">
        <f>data0!Z99</f>
        <v>0.37046072597878699</v>
      </c>
      <c r="AI102" s="41" t="str">
        <f>data0!AA99</f>
        <v/>
      </c>
      <c r="AJ102" s="41" t="str">
        <f>data0!AB99</f>
        <v/>
      </c>
      <c r="AK102" s="41">
        <f>data0!AC99</f>
        <v>0.38456080864237141</v>
      </c>
      <c r="AL102" s="41">
        <f>data0!AD99</f>
        <v>0.37348347907379625</v>
      </c>
      <c r="AM102" s="41">
        <f>data0!AE99</f>
        <v>0.36535414205762357</v>
      </c>
      <c r="AN102" s="41">
        <f>data0!AF99</f>
        <v>0.38823746672142001</v>
      </c>
      <c r="AO102" s="41">
        <f>data0!AG99</f>
        <v>0.39669211975032059</v>
      </c>
      <c r="AR102" s="41"/>
      <c r="AS102" s="41"/>
      <c r="AT102" s="41"/>
    </row>
    <row r="103" spans="1:46">
      <c r="A103" s="218"/>
      <c r="B103" s="40" t="s">
        <v>11</v>
      </c>
      <c r="C103" s="41">
        <f>getUVfromXY(C101,C102,0)</f>
        <v>0.13636101665610051</v>
      </c>
      <c r="D103" s="41">
        <f t="shared" ref="D103:D105" si="113">AVERAGE(J103:AO103)</f>
        <v>0.13950332318177947</v>
      </c>
      <c r="E103" s="41">
        <f t="shared" ref="E103:E105" si="114">STDEV(J103:AO103)</f>
        <v>2.1535892497123836E-3</v>
      </c>
      <c r="F103" s="3">
        <f t="shared" ref="F103:F104" si="115">E103/D103</f>
        <v>1.5437548013864547E-2</v>
      </c>
      <c r="G103" s="2">
        <f t="shared" ref="G103:G105" si="116">(MIN(J103:AO103)-$D103)/$E103</f>
        <v>-2.2639930513914743</v>
      </c>
      <c r="H103" s="2">
        <f t="shared" ref="H103:H105" si="117">(MAX(J103:AO103)-$D103)/$E103</f>
        <v>1.4516447652119635</v>
      </c>
      <c r="I103" s="2">
        <f t="shared" ref="I103:I105" si="118">G103+H103</f>
        <v>-0.81234828617951083</v>
      </c>
      <c r="J103" s="41" t="str">
        <f>IF(J100&lt;&gt;"",getUVfromXY(J101,J102,0),"")</f>
        <v/>
      </c>
      <c r="K103" s="52">
        <f t="shared" ref="K103:AO103" si="119">IF(K100&lt;&gt;"",getUVfromXY(K101,K102,0),"")</f>
        <v>0.13511144652337637</v>
      </c>
      <c r="L103" s="52">
        <f t="shared" si="119"/>
        <v>0.14011787454353605</v>
      </c>
      <c r="M103" s="52">
        <f t="shared" si="119"/>
        <v>0.1398212732705349</v>
      </c>
      <c r="N103" s="52">
        <f t="shared" si="119"/>
        <v>0.14262956974254121</v>
      </c>
      <c r="O103" s="52">
        <f t="shared" si="119"/>
        <v>0.13765861673896215</v>
      </c>
      <c r="P103" s="52">
        <f t="shared" si="119"/>
        <v>0.14068160948418199</v>
      </c>
      <c r="Q103" s="52">
        <f t="shared" si="119"/>
        <v>0.13606408729915054</v>
      </c>
      <c r="R103" s="52">
        <f t="shared" si="119"/>
        <v>0.14078434873066556</v>
      </c>
      <c r="S103" s="52" t="str">
        <f t="shared" si="119"/>
        <v/>
      </c>
      <c r="T103" s="52">
        <f t="shared" si="119"/>
        <v>0.14024958072892127</v>
      </c>
      <c r="U103" s="52">
        <f t="shared" si="119"/>
        <v>0.14072628761268283</v>
      </c>
      <c r="V103" s="52">
        <f t="shared" si="119"/>
        <v>0.13832569267791525</v>
      </c>
      <c r="W103" s="52">
        <f t="shared" si="119"/>
        <v>0.14252691547809626</v>
      </c>
      <c r="X103" s="52">
        <f t="shared" si="119"/>
        <v>0.13994780682774988</v>
      </c>
      <c r="Y103" s="52">
        <f t="shared" si="119"/>
        <v>0.14178744755126657</v>
      </c>
      <c r="Z103" s="52">
        <f t="shared" si="119"/>
        <v>0.14032748958254798</v>
      </c>
      <c r="AA103" s="52" t="str">
        <f t="shared" si="119"/>
        <v/>
      </c>
      <c r="AB103" s="52" t="str">
        <f t="shared" si="119"/>
        <v/>
      </c>
      <c r="AC103" s="52" t="str">
        <f t="shared" si="119"/>
        <v/>
      </c>
      <c r="AD103" s="52">
        <f t="shared" si="119"/>
        <v>0.14014209722091253</v>
      </c>
      <c r="AE103" s="52">
        <f t="shared" si="119"/>
        <v>0.14220761199551668</v>
      </c>
      <c r="AF103" s="52" t="str">
        <f t="shared" si="119"/>
        <v/>
      </c>
      <c r="AG103" s="52" t="str">
        <f t="shared" si="119"/>
        <v/>
      </c>
      <c r="AH103" s="52">
        <f t="shared" si="119"/>
        <v>0.13881029413935189</v>
      </c>
      <c r="AI103" s="52" t="str">
        <f t="shared" si="119"/>
        <v/>
      </c>
      <c r="AJ103" s="52" t="str">
        <f t="shared" si="119"/>
        <v/>
      </c>
      <c r="AK103" s="52">
        <f t="shared" si="119"/>
        <v>0.13787216209050582</v>
      </c>
      <c r="AL103" s="52">
        <f t="shared" si="119"/>
        <v>0.13997545606040326</v>
      </c>
      <c r="AM103" s="52">
        <f t="shared" si="119"/>
        <v>0.13866660005185252</v>
      </c>
      <c r="AN103" s="52">
        <f t="shared" si="119"/>
        <v>0.13951455274537783</v>
      </c>
      <c r="AO103" s="52">
        <f t="shared" si="119"/>
        <v>0.13462761208487925</v>
      </c>
      <c r="AR103" s="2"/>
      <c r="AS103" s="2"/>
      <c r="AT103" s="2"/>
    </row>
    <row r="104" spans="1:46">
      <c r="A104" s="218"/>
      <c r="B104" s="40" t="s">
        <v>12</v>
      </c>
      <c r="C104" s="41">
        <f>getUVfromXY(C101,C102,1)</f>
        <v>0.31796438245634256</v>
      </c>
      <c r="D104" s="41">
        <f t="shared" si="113"/>
        <v>0.31952131531957806</v>
      </c>
      <c r="E104" s="41">
        <f t="shared" si="114"/>
        <v>3.6232006752703817E-3</v>
      </c>
      <c r="F104" s="3">
        <f t="shared" si="115"/>
        <v>1.1339464697829432E-2</v>
      </c>
      <c r="G104" s="2">
        <f t="shared" si="116"/>
        <v>-1.4756038496416803</v>
      </c>
      <c r="H104" s="2">
        <f t="shared" si="117"/>
        <v>2.1619143341990439</v>
      </c>
      <c r="I104" s="2">
        <f t="shared" si="118"/>
        <v>0.68631048455736354</v>
      </c>
      <c r="J104" s="41" t="str">
        <f>IF(J100&lt;&gt;"",getUVfromXY(J101,J102,1),"")</f>
        <v/>
      </c>
      <c r="K104" s="52">
        <f t="shared" ref="K104:AO104" si="120">IF(K100&lt;&gt;"",getUVfromXY(K101,K102,1),"")</f>
        <v>0.32157684192393388</v>
      </c>
      <c r="L104" s="52">
        <f t="shared" si="120"/>
        <v>0.31708744049761595</v>
      </c>
      <c r="M104" s="52">
        <f t="shared" si="120"/>
        <v>0.32032277989255881</v>
      </c>
      <c r="N104" s="52">
        <f t="shared" si="120"/>
        <v>0.31417490645512475</v>
      </c>
      <c r="O104" s="52">
        <f t="shared" si="120"/>
        <v>0.32236088911253319</v>
      </c>
      <c r="P104" s="52">
        <f t="shared" si="120"/>
        <v>0.31700152425100797</v>
      </c>
      <c r="Q104" s="52">
        <f t="shared" si="120"/>
        <v>0.32625385237471355</v>
      </c>
      <c r="R104" s="52">
        <f t="shared" si="120"/>
        <v>0.317452008228646</v>
      </c>
      <c r="S104" s="52" t="str">
        <f t="shared" si="120"/>
        <v/>
      </c>
      <c r="T104" s="52">
        <f t="shared" si="120"/>
        <v>0.31810589902864916</v>
      </c>
      <c r="U104" s="52">
        <f t="shared" si="120"/>
        <v>0.31893406902456978</v>
      </c>
      <c r="V104" s="52">
        <f t="shared" si="120"/>
        <v>0.32204926579215026</v>
      </c>
      <c r="W104" s="52">
        <f t="shared" si="120"/>
        <v>0.31534587136609926</v>
      </c>
      <c r="X104" s="52">
        <f t="shared" si="120"/>
        <v>0.3168271291538598</v>
      </c>
      <c r="Y104" s="52">
        <f t="shared" si="120"/>
        <v>0.31794888682599021</v>
      </c>
      <c r="Z104" s="52">
        <f t="shared" si="120"/>
        <v>0.31813068323850291</v>
      </c>
      <c r="AA104" s="52" t="str">
        <f t="shared" si="120"/>
        <v/>
      </c>
      <c r="AB104" s="52" t="str">
        <f t="shared" si="120"/>
        <v/>
      </c>
      <c r="AC104" s="52" t="str">
        <f t="shared" si="120"/>
        <v/>
      </c>
      <c r="AD104" s="52">
        <f t="shared" si="120"/>
        <v>0.31593023665918635</v>
      </c>
      <c r="AE104" s="52">
        <f t="shared" si="120"/>
        <v>0.31568684230183286</v>
      </c>
      <c r="AF104" s="52" t="str">
        <f t="shared" si="120"/>
        <v/>
      </c>
      <c r="AG104" s="52" t="str">
        <f t="shared" si="120"/>
        <v/>
      </c>
      <c r="AH104" s="52">
        <f t="shared" si="120"/>
        <v>0.31925679624920239</v>
      </c>
      <c r="AI104" s="52" t="str">
        <f t="shared" si="120"/>
        <v/>
      </c>
      <c r="AJ104" s="52" t="str">
        <f t="shared" si="120"/>
        <v/>
      </c>
      <c r="AK104" s="52">
        <f t="shared" si="120"/>
        <v>0.32390191618770697</v>
      </c>
      <c r="AL104" s="52">
        <f t="shared" si="120"/>
        <v>0.32047580460723546</v>
      </c>
      <c r="AM104" s="52">
        <f t="shared" si="120"/>
        <v>0.31744756693945742</v>
      </c>
      <c r="AN104" s="52">
        <f t="shared" si="120"/>
        <v>0.32536467744459358</v>
      </c>
      <c r="AO104" s="52">
        <f t="shared" si="120"/>
        <v>0.32735436479512475</v>
      </c>
    </row>
    <row r="105" spans="1:46">
      <c r="A105" s="218"/>
      <c r="B105" s="40" t="s">
        <v>15</v>
      </c>
      <c r="C105" s="40">
        <v>0</v>
      </c>
      <c r="D105" s="41">
        <f t="shared" si="113"/>
        <v>1.1513385682203139E-2</v>
      </c>
      <c r="E105" s="41">
        <f t="shared" si="114"/>
        <v>7.0802556321761159E-3</v>
      </c>
      <c r="F105" s="72">
        <f>ABS(D105)+1.5*E105</f>
        <v>2.2133769130467312E-2</v>
      </c>
      <c r="G105" s="2">
        <f t="shared" si="116"/>
        <v>-1.1021405651884588</v>
      </c>
      <c r="H105" s="2">
        <f t="shared" si="117"/>
        <v>2.6124453099903961</v>
      </c>
      <c r="I105" s="2">
        <f t="shared" si="118"/>
        <v>1.5103047448019373</v>
      </c>
      <c r="J105" s="41" t="str">
        <f>IF(J100&lt;&gt;"",((J101-$C101)^2+(J102-$C102)^2)^0.5,"")</f>
        <v/>
      </c>
      <c r="K105" s="52">
        <f t="shared" ref="K105:AO105" si="121">IF(K100&lt;&gt;"",((K101-$C101)^2+(K102-$C102)^2)^0.5,"")</f>
        <v>1.1269227290684292E-2</v>
      </c>
      <c r="L105" s="52">
        <f t="shared" si="121"/>
        <v>6.0626144088859824E-3</v>
      </c>
      <c r="M105" s="52">
        <f t="shared" si="121"/>
        <v>9.344429925147342E-3</v>
      </c>
      <c r="N105" s="52">
        <f t="shared" si="121"/>
        <v>1.4051538881850874E-2</v>
      </c>
      <c r="O105" s="52">
        <f t="shared" si="121"/>
        <v>1.4026026408713034E-2</v>
      </c>
      <c r="P105" s="52">
        <f t="shared" si="121"/>
        <v>6.9161538556411E-3</v>
      </c>
      <c r="Q105" s="52">
        <f t="shared" si="121"/>
        <v>2.6360763897217379E-2</v>
      </c>
      <c r="R105" s="52">
        <f t="shared" si="121"/>
        <v>6.7355525739520514E-3</v>
      </c>
      <c r="S105" s="52" t="str">
        <f t="shared" si="121"/>
        <v/>
      </c>
      <c r="T105" s="52">
        <f t="shared" si="121"/>
        <v>5.9471755613719904E-3</v>
      </c>
      <c r="U105" s="52">
        <f t="shared" si="121"/>
        <v>7.4928182958167045E-3</v>
      </c>
      <c r="V105" s="52">
        <f t="shared" si="121"/>
        <v>1.331509151678744E-2</v>
      </c>
      <c r="W105" s="52">
        <f t="shared" si="121"/>
        <v>1.1605880579063057E-2</v>
      </c>
      <c r="X105" s="52">
        <f t="shared" si="121"/>
        <v>6.1703139750820977E-3</v>
      </c>
      <c r="Y105" s="52">
        <f t="shared" si="121"/>
        <v>8.2036384974622425E-3</v>
      </c>
      <c r="Z105" s="52">
        <f t="shared" si="121"/>
        <v>6.077158817497672E-3</v>
      </c>
      <c r="AA105" s="52" t="str">
        <f t="shared" si="121"/>
        <v/>
      </c>
      <c r="AB105" s="52" t="str">
        <f t="shared" si="121"/>
        <v/>
      </c>
      <c r="AC105" s="52" t="str">
        <f t="shared" si="121"/>
        <v/>
      </c>
      <c r="AD105" s="52">
        <f t="shared" si="121"/>
        <v>8.0128352813580526E-3</v>
      </c>
      <c r="AE105" s="52">
        <f t="shared" si="121"/>
        <v>1.065880741496872E-2</v>
      </c>
      <c r="AF105" s="52" t="str">
        <f t="shared" si="121"/>
        <v/>
      </c>
      <c r="AG105" s="52" t="str">
        <f t="shared" si="121"/>
        <v/>
      </c>
      <c r="AH105" s="52">
        <f t="shared" si="121"/>
        <v>5.6727281104868984E-3</v>
      </c>
      <c r="AI105" s="52" t="str">
        <f t="shared" si="121"/>
        <v/>
      </c>
      <c r="AJ105" s="52" t="str">
        <f t="shared" si="121"/>
        <v/>
      </c>
      <c r="AK105" s="52">
        <f t="shared" si="121"/>
        <v>1.8995235745115146E-2</v>
      </c>
      <c r="AL105" s="52">
        <f t="shared" si="121"/>
        <v>9.8882809646802794E-3</v>
      </c>
      <c r="AM105" s="52">
        <f t="shared" si="121"/>
        <v>3.7099487380777849E-3</v>
      </c>
      <c r="AN105" s="52">
        <f t="shared" si="121"/>
        <v>2.4281483648797317E-2</v>
      </c>
      <c r="AO105" s="52">
        <f t="shared" si="121"/>
        <v>3.001016630201472E-2</v>
      </c>
    </row>
    <row r="106" spans="1:46" s="40" customFormat="1">
      <c r="A106" s="217">
        <f>10^6/A100</f>
        <v>95.419847328244273</v>
      </c>
      <c r="B106" s="40" t="s">
        <v>3</v>
      </c>
      <c r="C106" s="197"/>
      <c r="D106" s="30">
        <f t="shared" ref="D106:D108" si="122">AVERAGE(J106:AO106)</f>
        <v>10001.521739130434</v>
      </c>
      <c r="E106" s="30">
        <f t="shared" ref="E106:E108" si="123">STDEV(J106:AO106)</f>
        <v>432.21899642376667</v>
      </c>
      <c r="F106" s="73">
        <f>ABS(D106-A100)+1.5*E106</f>
        <v>1126.806755505216</v>
      </c>
      <c r="G106" s="2">
        <f t="shared" ref="G106:G108" si="124">(MIN(J106:AO106)-$D106)/$E106</f>
        <v>-1.9886255491827594</v>
      </c>
      <c r="H106" s="2">
        <f t="shared" ref="H106:H108" si="125">(MAX(J106:AO106)-$D106)/$E106</f>
        <v>1.4818373698725926</v>
      </c>
      <c r="I106" s="2">
        <f t="shared" ref="I106:I108" si="126">G106+H106</f>
        <v>-0.50678817931016673</v>
      </c>
      <c r="J106" s="30" t="str">
        <f>IF(J100&lt;&gt;"",getCCTfromXY(J101,J102,0),"")</f>
        <v/>
      </c>
      <c r="K106" s="30">
        <f t="shared" ref="K106:AO106" si="127">IF(K100&lt;&gt;"",getCCTfromXY(K101,K102,0),"")</f>
        <v>9988</v>
      </c>
      <c r="L106" s="30">
        <f t="shared" si="127"/>
        <v>10328</v>
      </c>
      <c r="M106" s="30">
        <f t="shared" si="127"/>
        <v>9827</v>
      </c>
      <c r="N106" s="30">
        <f t="shared" si="127"/>
        <v>10642</v>
      </c>
      <c r="O106" s="30">
        <f t="shared" si="127"/>
        <v>9683</v>
      </c>
      <c r="P106" s="30">
        <f t="shared" si="127"/>
        <v>10297</v>
      </c>
      <c r="Q106" s="30">
        <f t="shared" si="127"/>
        <v>9260</v>
      </c>
      <c r="R106" s="30">
        <f t="shared" si="127"/>
        <v>10213</v>
      </c>
      <c r="S106" s="30" t="str">
        <f t="shared" si="127"/>
        <v/>
      </c>
      <c r="T106" s="30">
        <f t="shared" si="127"/>
        <v>10146</v>
      </c>
      <c r="U106" s="30">
        <f t="shared" si="127"/>
        <v>9975</v>
      </c>
      <c r="V106" s="30">
        <f t="shared" si="127"/>
        <v>9680</v>
      </c>
      <c r="W106" s="30">
        <f t="shared" si="127"/>
        <v>10436</v>
      </c>
      <c r="X106" s="30">
        <f t="shared" si="127"/>
        <v>10387</v>
      </c>
      <c r="Y106" s="30">
        <f t="shared" si="127"/>
        <v>10051</v>
      </c>
      <c r="Z106" s="30">
        <f t="shared" si="127"/>
        <v>10136</v>
      </c>
      <c r="AA106" s="30" t="str">
        <f t="shared" si="127"/>
        <v/>
      </c>
      <c r="AB106" s="30" t="str">
        <f t="shared" si="127"/>
        <v/>
      </c>
      <c r="AC106" s="30" t="str">
        <f t="shared" si="127"/>
        <v/>
      </c>
      <c r="AD106" s="30">
        <f t="shared" si="127"/>
        <v>10530</v>
      </c>
      <c r="AE106" s="30">
        <f t="shared" si="127"/>
        <v>10402</v>
      </c>
      <c r="AF106" s="30" t="str">
        <f t="shared" si="127"/>
        <v/>
      </c>
      <c r="AG106" s="30" t="str">
        <f t="shared" si="127"/>
        <v/>
      </c>
      <c r="AH106" s="30">
        <f t="shared" si="127"/>
        <v>10071</v>
      </c>
      <c r="AI106" s="30" t="str">
        <f t="shared" si="127"/>
        <v/>
      </c>
      <c r="AJ106" s="30" t="str">
        <f t="shared" si="127"/>
        <v/>
      </c>
      <c r="AK106" s="30">
        <f t="shared" si="127"/>
        <v>9450</v>
      </c>
      <c r="AL106" s="30">
        <f t="shared" si="127"/>
        <v>9792</v>
      </c>
      <c r="AM106" s="30">
        <f t="shared" si="127"/>
        <v>10384</v>
      </c>
      <c r="AN106" s="30">
        <f t="shared" si="127"/>
        <v>9142</v>
      </c>
      <c r="AO106" s="30">
        <f t="shared" si="127"/>
        <v>9215</v>
      </c>
    </row>
    <row r="107" spans="1:46" s="40" customFormat="1">
      <c r="A107" s="217"/>
      <c r="B107" s="40" t="s">
        <v>73</v>
      </c>
      <c r="C107" s="197"/>
      <c r="D107" s="3">
        <f t="shared" si="122"/>
        <v>4.565632260205775E-2</v>
      </c>
      <c r="E107" s="3">
        <f t="shared" si="123"/>
        <v>4.1242270651122466E-2</v>
      </c>
      <c r="F107" s="74">
        <f t="shared" ref="F107:F108" si="128">ABS(D107)+1.5*E107</f>
        <v>0.10751972857874145</v>
      </c>
      <c r="G107" s="2">
        <f t="shared" si="124"/>
        <v>-1.4818373698726002</v>
      </c>
      <c r="H107" s="2">
        <f t="shared" si="125"/>
        <v>1.988625549182776</v>
      </c>
      <c r="I107" s="2">
        <f t="shared" si="126"/>
        <v>0.50678817931017583</v>
      </c>
      <c r="J107" s="3" t="str">
        <f>IF(J100&lt;&gt;"",1-J106/$A100,"")</f>
        <v/>
      </c>
      <c r="K107" s="3">
        <f t="shared" ref="K107:AO107" si="129">IF(K100&lt;&gt;"",1-K106/$A100,"")</f>
        <v>4.69465648854962E-2</v>
      </c>
      <c r="L107" s="3">
        <f t="shared" si="129"/>
        <v>1.4503816793893121E-2</v>
      </c>
      <c r="M107" s="3">
        <f t="shared" si="129"/>
        <v>6.2309160305343503E-2</v>
      </c>
      <c r="N107" s="3">
        <f t="shared" si="129"/>
        <v>-1.5458015267175496E-2</v>
      </c>
      <c r="O107" s="3">
        <f t="shared" si="129"/>
        <v>7.6049618320610635E-2</v>
      </c>
      <c r="P107" s="3">
        <f t="shared" si="129"/>
        <v>1.7461832061068661E-2</v>
      </c>
      <c r="Q107" s="3">
        <f t="shared" si="129"/>
        <v>0.11641221374045807</v>
      </c>
      <c r="R107" s="3">
        <f t="shared" si="129"/>
        <v>2.547709923664121E-2</v>
      </c>
      <c r="S107" s="3" t="str">
        <f t="shared" si="129"/>
        <v/>
      </c>
      <c r="T107" s="3">
        <f t="shared" si="129"/>
        <v>3.1870229007633588E-2</v>
      </c>
      <c r="U107" s="3">
        <f t="shared" si="129"/>
        <v>4.8187022900763377E-2</v>
      </c>
      <c r="V107" s="3">
        <f t="shared" si="129"/>
        <v>7.6335877862595436E-2</v>
      </c>
      <c r="W107" s="3">
        <f t="shared" si="129"/>
        <v>4.1984732824427162E-3</v>
      </c>
      <c r="X107" s="3">
        <f t="shared" si="129"/>
        <v>8.8740458015267309E-3</v>
      </c>
      <c r="Y107" s="3">
        <f t="shared" si="129"/>
        <v>4.0935114503816816E-2</v>
      </c>
      <c r="Z107" s="3">
        <f t="shared" si="129"/>
        <v>3.2824427480916074E-2</v>
      </c>
      <c r="AA107" s="3" t="str">
        <f t="shared" si="129"/>
        <v/>
      </c>
      <c r="AB107" s="3" t="str">
        <f t="shared" si="129"/>
        <v/>
      </c>
      <c r="AC107" s="3" t="str">
        <f t="shared" si="129"/>
        <v/>
      </c>
      <c r="AD107" s="3">
        <f t="shared" si="129"/>
        <v>-4.7709923664123188E-3</v>
      </c>
      <c r="AE107" s="3">
        <f t="shared" si="129"/>
        <v>7.4427480916030575E-3</v>
      </c>
      <c r="AF107" s="3" t="str">
        <f t="shared" si="129"/>
        <v/>
      </c>
      <c r="AG107" s="3" t="str">
        <f t="shared" si="129"/>
        <v/>
      </c>
      <c r="AH107" s="3">
        <f t="shared" si="129"/>
        <v>3.9026717557251955E-2</v>
      </c>
      <c r="AI107" s="3" t="str">
        <f t="shared" si="129"/>
        <v/>
      </c>
      <c r="AJ107" s="3" t="str">
        <f t="shared" si="129"/>
        <v/>
      </c>
      <c r="AK107" s="3">
        <f t="shared" si="129"/>
        <v>9.8282442748091614E-2</v>
      </c>
      <c r="AL107" s="3">
        <f t="shared" si="129"/>
        <v>6.5648854961832037E-2</v>
      </c>
      <c r="AM107" s="3">
        <f t="shared" si="129"/>
        <v>9.1603053435114212E-3</v>
      </c>
      <c r="AN107" s="3">
        <f t="shared" si="129"/>
        <v>0.12767175572519085</v>
      </c>
      <c r="AO107" s="3">
        <f t="shared" si="129"/>
        <v>0.12070610687022898</v>
      </c>
    </row>
    <row r="108" spans="1:46" s="40" customFormat="1">
      <c r="A108" s="217"/>
      <c r="B108" s="40" t="s">
        <v>14</v>
      </c>
      <c r="C108" s="197"/>
      <c r="D108" s="2">
        <f t="shared" si="122"/>
        <v>4.7488172489369802</v>
      </c>
      <c r="E108" s="2">
        <f t="shared" si="123"/>
        <v>4.4523808599689669</v>
      </c>
      <c r="F108" s="75">
        <f t="shared" si="128"/>
        <v>11.42738853889043</v>
      </c>
      <c r="G108" s="2">
        <f t="shared" si="124"/>
        <v>-1.392820019760989</v>
      </c>
      <c r="H108" s="2">
        <f t="shared" si="125"/>
        <v>2.0700363648869931</v>
      </c>
      <c r="I108" s="2">
        <f t="shared" si="126"/>
        <v>0.67721634512600404</v>
      </c>
      <c r="J108" s="2" t="str">
        <f>IF(J100&lt;&gt;"",10^6/J106-$A106,"")</f>
        <v/>
      </c>
      <c r="K108" s="2">
        <f t="shared" ref="K108:AO108" si="130">IF(K100&lt;&gt;"",10^6/K106-$A106,"")</f>
        <v>4.7002968447633293</v>
      </c>
      <c r="L108" s="2">
        <f t="shared" si="130"/>
        <v>1.4043199839168352</v>
      </c>
      <c r="M108" s="2">
        <f t="shared" si="130"/>
        <v>6.340608558598106</v>
      </c>
      <c r="N108" s="2">
        <f t="shared" si="130"/>
        <v>-1.452547948428446</v>
      </c>
      <c r="O108" s="2">
        <f t="shared" si="130"/>
        <v>7.8539314593215579</v>
      </c>
      <c r="P108" s="2">
        <f t="shared" si="130"/>
        <v>1.6958174284809928</v>
      </c>
      <c r="Q108" s="2">
        <f t="shared" si="130"/>
        <v>12.571513362900433</v>
      </c>
      <c r="R108" s="2">
        <f t="shared" si="130"/>
        <v>2.494575466233357</v>
      </c>
      <c r="S108" s="2" t="str">
        <f t="shared" si="130"/>
        <v/>
      </c>
      <c r="T108" s="2">
        <f t="shared" si="130"/>
        <v>3.1411619364906045</v>
      </c>
      <c r="U108" s="2">
        <f t="shared" si="130"/>
        <v>4.8307792381717718</v>
      </c>
      <c r="V108" s="2">
        <f t="shared" si="130"/>
        <v>7.8859377957226684</v>
      </c>
      <c r="W108" s="2">
        <f t="shared" si="130"/>
        <v>0.40230675377948444</v>
      </c>
      <c r="X108" s="2">
        <f t="shared" si="130"/>
        <v>0.85434156171433528</v>
      </c>
      <c r="Y108" s="2">
        <f t="shared" si="130"/>
        <v>4.0727404739644584</v>
      </c>
      <c r="Z108" s="2">
        <f t="shared" si="130"/>
        <v>3.2384005012742705</v>
      </c>
      <c r="AA108" s="2" t="str">
        <f t="shared" si="130"/>
        <v/>
      </c>
      <c r="AB108" s="2" t="str">
        <f t="shared" si="130"/>
        <v/>
      </c>
      <c r="AC108" s="2" t="str">
        <f t="shared" si="130"/>
        <v/>
      </c>
      <c r="AD108" s="2">
        <f t="shared" si="130"/>
        <v>-0.45308569481596805</v>
      </c>
      <c r="AE108" s="2">
        <f t="shared" si="130"/>
        <v>0.71551125664325355</v>
      </c>
      <c r="AF108" s="2" t="str">
        <f t="shared" si="130"/>
        <v/>
      </c>
      <c r="AG108" s="2" t="str">
        <f t="shared" si="130"/>
        <v/>
      </c>
      <c r="AH108" s="2">
        <f t="shared" si="130"/>
        <v>3.8751581329810278</v>
      </c>
      <c r="AI108" s="2" t="str">
        <f t="shared" si="130"/>
        <v/>
      </c>
      <c r="AJ108" s="2" t="str">
        <f t="shared" si="130"/>
        <v/>
      </c>
      <c r="AK108" s="2">
        <f t="shared" si="130"/>
        <v>10.40025849186155</v>
      </c>
      <c r="AL108" s="2">
        <f t="shared" si="130"/>
        <v>6.7043356782916703</v>
      </c>
      <c r="AM108" s="2">
        <f t="shared" si="130"/>
        <v>0.88215575341982344</v>
      </c>
      <c r="AN108" s="2">
        <f t="shared" si="130"/>
        <v>13.965407539399564</v>
      </c>
      <c r="AO108" s="2">
        <f t="shared" si="130"/>
        <v>13.098872150865873</v>
      </c>
    </row>
    <row r="109" spans="1:46">
      <c r="A109" s="218">
        <f>getCCTfromXY(C110,C111,0)</f>
        <v>6925</v>
      </c>
      <c r="B109" s="14" t="str">
        <f t="shared" ref="B109:B114" si="131">B100</f>
        <v>Ev</v>
      </c>
      <c r="C109" s="40">
        <f>data0!B11</f>
        <v>150.30000000000001</v>
      </c>
      <c r="D109" s="2">
        <f>data0!AH103</f>
        <v>150.38674771916928</v>
      </c>
      <c r="E109" s="2">
        <f>data0!AI103</f>
        <v>7.8906702936794817</v>
      </c>
      <c r="F109" s="3">
        <f>data0!AJ103</f>
        <v>5.2469186370161028E-2</v>
      </c>
      <c r="G109" s="2">
        <f>data0!AK103</f>
        <v>-1.9087134033967852</v>
      </c>
      <c r="H109" s="2">
        <f>data0!AL103</f>
        <v>1.8024159276762524</v>
      </c>
      <c r="I109" s="2">
        <f>data0!AM103</f>
        <v>-0.10629747572053283</v>
      </c>
      <c r="J109" s="2" t="str">
        <f>data0!B103</f>
        <v/>
      </c>
      <c r="K109" s="2">
        <f>data0!C103</f>
        <v>164.60901753653903</v>
      </c>
      <c r="L109" s="2">
        <f>data0!D103</f>
        <v>144.70106562410876</v>
      </c>
      <c r="M109" s="2">
        <f>data0!E103</f>
        <v>157.00805644036322</v>
      </c>
      <c r="N109" s="2">
        <f>data0!F103</f>
        <v>148.13946615095585</v>
      </c>
      <c r="O109" s="2">
        <f>data0!G103</f>
        <v>149.36089280069734</v>
      </c>
      <c r="P109" s="2">
        <f>data0!H103</f>
        <v>149.22788285734225</v>
      </c>
      <c r="Q109" s="2">
        <f>data0!I103</f>
        <v>160.46258111257382</v>
      </c>
      <c r="R109" s="2">
        <f>data0!J103</f>
        <v>142.68008692954029</v>
      </c>
      <c r="S109" s="2" t="str">
        <f>data0!K103</f>
        <v/>
      </c>
      <c r="T109" s="2">
        <f>data0!L103</f>
        <v>143.36155833552078</v>
      </c>
      <c r="U109" s="2">
        <f>data0!M103</f>
        <v>150.43695938122437</v>
      </c>
      <c r="V109" s="2">
        <f>data0!N103</f>
        <v>148.19278288597025</v>
      </c>
      <c r="W109" s="2">
        <f>data0!O103</f>
        <v>159.65714012665154</v>
      </c>
      <c r="X109" s="2">
        <f>data0!P103</f>
        <v>152.77951636555434</v>
      </c>
      <c r="Y109" s="2">
        <f>data0!Q103</f>
        <v>149.36029540022784</v>
      </c>
      <c r="Z109" s="2">
        <f>data0!R103</f>
        <v>148.88300514904094</v>
      </c>
      <c r="AA109" s="2" t="str">
        <f>data0!S103</f>
        <v/>
      </c>
      <c r="AB109" s="2" t="str">
        <f>data0!T103</f>
        <v/>
      </c>
      <c r="AC109" s="2" t="str">
        <f>data0!U103</f>
        <v/>
      </c>
      <c r="AD109" s="2">
        <f>data0!V103</f>
        <v>163.63442552754745</v>
      </c>
      <c r="AE109" s="2">
        <f>data0!W103</f>
        <v>149.89779891467285</v>
      </c>
      <c r="AF109" s="2" t="str">
        <f>data0!X103</f>
        <v/>
      </c>
      <c r="AG109" s="2"/>
      <c r="AH109" s="2">
        <f>data0!Z103</f>
        <v>151.82435075986342</v>
      </c>
      <c r="AI109" s="2" t="str">
        <f>data0!AA103</f>
        <v/>
      </c>
      <c r="AJ109" s="2" t="str">
        <f>data0!AB103</f>
        <v/>
      </c>
      <c r="AK109" s="2">
        <f>data0!AC103</f>
        <v>135.32571956783841</v>
      </c>
      <c r="AL109" s="2">
        <f>data0!AD103</f>
        <v>148.43527254552711</v>
      </c>
      <c r="AM109" s="2">
        <f>data0!AE103</f>
        <v>137.25511939963349</v>
      </c>
      <c r="AN109" s="2">
        <f>data0!AF103</f>
        <v>142.11602638001423</v>
      </c>
      <c r="AO109" s="2">
        <f>data0!AG103</f>
        <v>161.54617734948596</v>
      </c>
    </row>
    <row r="110" spans="1:46">
      <c r="A110" s="218"/>
      <c r="B110" s="40" t="str">
        <f t="shared" si="131"/>
        <v>x</v>
      </c>
      <c r="C110" s="40">
        <f>data0!B12</f>
        <v>0.30049999999999999</v>
      </c>
      <c r="D110" s="41">
        <f>data0!AH104</f>
        <v>0.30129106022372509</v>
      </c>
      <c r="E110" s="41">
        <f>data0!AI104</f>
        <v>2.7432112985655301E-3</v>
      </c>
      <c r="F110" s="3">
        <f>data0!AJ104</f>
        <v>9.1048546097867809E-3</v>
      </c>
      <c r="G110" s="2">
        <f>data0!AK104</f>
        <v>-1.9534137860252603</v>
      </c>
      <c r="H110" s="2">
        <f>data0!AL104</f>
        <v>1.7419220407173788</v>
      </c>
      <c r="I110" s="2">
        <f>data0!AM104</f>
        <v>-0.21149174530788151</v>
      </c>
      <c r="J110" s="41" t="str">
        <f>data0!B104</f>
        <v/>
      </c>
      <c r="K110" s="41">
        <f>data0!C104</f>
        <v>0.29629853617090229</v>
      </c>
      <c r="L110" s="41">
        <f>data0!D104</f>
        <v>0.29835215100552054</v>
      </c>
      <c r="M110" s="41">
        <f>data0!E104</f>
        <v>0.3025972666206132</v>
      </c>
      <c r="N110" s="41">
        <f>data0!F104</f>
        <v>0.29794085612129478</v>
      </c>
      <c r="O110" s="41">
        <f>data0!G104</f>
        <v>0.30112070766893889</v>
      </c>
      <c r="P110" s="41">
        <f>data0!H104</f>
        <v>0.29918134219160647</v>
      </c>
      <c r="Q110" s="41">
        <f>data0!I104</f>
        <v>0.29945662418089436</v>
      </c>
      <c r="R110" s="41">
        <f>data0!J104</f>
        <v>0.29939927340022171</v>
      </c>
      <c r="S110" s="41" t="str">
        <f>data0!K104</f>
        <v/>
      </c>
      <c r="T110" s="41">
        <f>data0!L104</f>
        <v>0.30230630261264702</v>
      </c>
      <c r="U110" s="41">
        <f>data0!M104</f>
        <v>0.30425378202774789</v>
      </c>
      <c r="V110" s="41">
        <f>data0!N104</f>
        <v>0.30338294620296991</v>
      </c>
      <c r="W110" s="41">
        <f>data0!O104</f>
        <v>0.30565174692878078</v>
      </c>
      <c r="X110" s="41">
        <f>data0!P104</f>
        <v>0.29880121045547514</v>
      </c>
      <c r="Y110" s="41">
        <f>data0!Q104</f>
        <v>0.30326967477560018</v>
      </c>
      <c r="Z110" s="41">
        <f>data0!R104</f>
        <v>0.30313179908011073</v>
      </c>
      <c r="AA110" s="41" t="str">
        <f>data0!S104</f>
        <v/>
      </c>
      <c r="AB110" s="41" t="str">
        <f>data0!T104</f>
        <v/>
      </c>
      <c r="AC110" s="41" t="str">
        <f>data0!U104</f>
        <v/>
      </c>
      <c r="AD110" s="41">
        <f>data0!V104</f>
        <v>0.30206550887100259</v>
      </c>
      <c r="AE110" s="41">
        <f>data0!W104</f>
        <v>0.30109537290853855</v>
      </c>
      <c r="AF110" s="41" t="str">
        <f>data0!X104</f>
        <v/>
      </c>
      <c r="AG110" s="41"/>
      <c r="AH110" s="41">
        <f>data0!Z104</f>
        <v>0.30148477676903124</v>
      </c>
      <c r="AI110" s="41" t="str">
        <f>data0!AA104</f>
        <v/>
      </c>
      <c r="AJ110" s="41" t="str">
        <f>data0!AB104</f>
        <v/>
      </c>
      <c r="AK110" s="41">
        <f>data0!AC104</f>
        <v>0.30452183645899455</v>
      </c>
      <c r="AL110" s="41">
        <f>data0!AD104</f>
        <v>0.30003509812154056</v>
      </c>
      <c r="AM110" s="41">
        <f>data0!AE104</f>
        <v>0.29593243345512693</v>
      </c>
      <c r="AN110" s="41">
        <f>data0!AF104</f>
        <v>0.30606952044704133</v>
      </c>
      <c r="AO110" s="41">
        <f>data0!AG104</f>
        <v>0.30334561867107707</v>
      </c>
    </row>
    <row r="111" spans="1:46">
      <c r="A111" s="218"/>
      <c r="B111" s="40" t="str">
        <f t="shared" si="131"/>
        <v>y</v>
      </c>
      <c r="C111" s="40">
        <f>data0!B13</f>
        <v>0.3695</v>
      </c>
      <c r="D111" s="41">
        <f>AVERAGE(J111:AO111)</f>
        <v>0.36834044650677394</v>
      </c>
      <c r="E111" s="41">
        <f>STDEV(J111:AO111)</f>
        <v>1.0126845238715324E-2</v>
      </c>
      <c r="F111" s="3">
        <f>E111/D111</f>
        <v>2.7493166538606253E-2</v>
      </c>
      <c r="G111" s="2">
        <f>(MIN(J111:AO111)-$D111)/$E111</f>
        <v>-1.5565392605319008</v>
      </c>
      <c r="H111" s="2">
        <f>(MAX(J111:AO111)-$D111)/$E111</f>
        <v>3.0342821057220259</v>
      </c>
      <c r="I111" s="2">
        <f>G111+H111</f>
        <v>1.4777428451901251</v>
      </c>
      <c r="J111" s="41" t="str">
        <f>data0!B105</f>
        <v/>
      </c>
      <c r="K111" s="41">
        <f>data0!C105</f>
        <v>0.3796483364251404</v>
      </c>
      <c r="L111" s="41">
        <f>data0!D105</f>
        <v>0.35966766596949135</v>
      </c>
      <c r="M111" s="41">
        <f>data0!E105</f>
        <v>0.37326297581634166</v>
      </c>
      <c r="N111" s="41">
        <f>data0!F105</f>
        <v>0.36135276041393605</v>
      </c>
      <c r="O111" s="41">
        <f>data0!G105</f>
        <v>0.37756125379090882</v>
      </c>
      <c r="P111" s="41">
        <f>data0!H105</f>
        <v>0.36780885708921612</v>
      </c>
      <c r="Q111" s="41">
        <f>data0!I105</f>
        <v>0.38410815099883305</v>
      </c>
      <c r="R111" s="41">
        <f>data0!J105</f>
        <v>0.36155706339139554</v>
      </c>
      <c r="S111" s="41" t="str">
        <f>data0!K105</f>
        <v/>
      </c>
      <c r="T111" s="41">
        <f>data0!L105</f>
        <v>0.36636945295471635</v>
      </c>
      <c r="U111" s="41">
        <f>data0!M105</f>
        <v>0.36446245627842822</v>
      </c>
      <c r="V111" s="41">
        <f>data0!N105</f>
        <v>0.36893498922116474</v>
      </c>
      <c r="W111" s="41">
        <f>data0!O105</f>
        <v>0.36655249321192152</v>
      </c>
      <c r="X111" s="41">
        <f>data0!P105</f>
        <v>0.36052292649904144</v>
      </c>
      <c r="Y111" s="41">
        <f>data0!Q105</f>
        <v>0.361440543609304</v>
      </c>
      <c r="Z111" s="41">
        <f>data0!R105</f>
        <v>0.36306973224611777</v>
      </c>
      <c r="AA111" s="41" t="str">
        <f>data0!S105</f>
        <v/>
      </c>
      <c r="AB111" s="41" t="str">
        <f>data0!T105</f>
        <v/>
      </c>
      <c r="AC111" s="41" t="str">
        <f>data0!U105</f>
        <v/>
      </c>
      <c r="AD111" s="41">
        <f>data0!V105</f>
        <v>0.36663380023263548</v>
      </c>
      <c r="AE111" s="41">
        <f>data0!W105</f>
        <v>0.35745909600702552</v>
      </c>
      <c r="AF111" s="41" t="str">
        <f>data0!X105</f>
        <v/>
      </c>
      <c r="AG111" s="41"/>
      <c r="AH111" s="41">
        <f>data0!Z105</f>
        <v>0.36894362101206618</v>
      </c>
      <c r="AI111" s="41" t="str">
        <f>data0!AA105</f>
        <v/>
      </c>
      <c r="AJ111" s="41" t="str">
        <f>data0!AB105</f>
        <v/>
      </c>
      <c r="AK111" s="41">
        <f>data0!AC105</f>
        <v>0.3733575523873322</v>
      </c>
      <c r="AL111" s="41">
        <f>data0!AD105</f>
        <v>0.36161914725265487</v>
      </c>
      <c r="AM111" s="41">
        <f>data0!AE105</f>
        <v>0.35257761430738299</v>
      </c>
      <c r="AN111" s="41">
        <f>data0!AF105</f>
        <v>0.37585162873872219</v>
      </c>
      <c r="AO111" s="41">
        <f>data0!AG105</f>
        <v>0.39906815180202415</v>
      </c>
    </row>
    <row r="112" spans="1:46">
      <c r="A112" s="218"/>
      <c r="B112" s="40" t="str">
        <f t="shared" si="131"/>
        <v>u</v>
      </c>
      <c r="C112" s="41">
        <f>getUVfromXY(C110,C111,0)</f>
        <v>0.17591102004975853</v>
      </c>
      <c r="D112" s="41">
        <f t="shared" ref="D112:D117" si="132">AVERAGE(J112:AO112)</f>
        <v>0.17682013447539974</v>
      </c>
      <c r="E112" s="41">
        <f t="shared" ref="E112:E117" si="133">STDEV(J112:AO112)</f>
        <v>3.1106446511739369E-3</v>
      </c>
      <c r="F112" s="3">
        <f t="shared" ref="F112:F113" si="134">E112/D112</f>
        <v>1.7592140512746348E-2</v>
      </c>
      <c r="G112" s="2">
        <f t="shared" ref="G112:G117" si="135">(MIN(J112:AO112)-$D112)/$E112</f>
        <v>-2.5317579013092324</v>
      </c>
      <c r="H112" s="2">
        <f t="shared" ref="H112:H117" si="136">(MAX(J112:AO112)-$D112)/$E112</f>
        <v>1.0960080052218502</v>
      </c>
      <c r="I112" s="2">
        <f t="shared" ref="I112:I117" si="137">G112+H112</f>
        <v>-1.4357498960873822</v>
      </c>
      <c r="J112" s="52" t="str">
        <f>IF(J109&lt;&gt;"",getUVfromXY(J110,J111,0),"")</f>
        <v/>
      </c>
      <c r="K112" s="52">
        <f t="shared" ref="K112" si="138">IF(K109&lt;&gt;"",getUVfromXY(K110,K111,0),"")</f>
        <v>0.17020867478016638</v>
      </c>
      <c r="L112" s="52">
        <f t="shared" ref="L112" si="139">IF(L109&lt;&gt;"",getUVfromXY(L110,L111,0),"")</f>
        <v>0.17760886376213358</v>
      </c>
      <c r="M112" s="52">
        <f t="shared" ref="M112" si="140">IF(M109&lt;&gt;"",getUVfromXY(M110,M111,0),"")</f>
        <v>0.17608319793989319</v>
      </c>
      <c r="N112" s="52">
        <f t="shared" ref="N112" si="141">IF(N109&lt;&gt;"",getUVfromXY(N110,N111,0),"")</f>
        <v>0.17681028057904094</v>
      </c>
      <c r="O112" s="52">
        <f t="shared" ref="O112" si="142">IF(O109&lt;&gt;"",getUVfromXY(O110,O111,0),"")</f>
        <v>0.17384483481861157</v>
      </c>
      <c r="P112" s="52">
        <f t="shared" ref="P112" si="143">IF(P109&lt;&gt;"",getUVfromXY(P110,P111,0),"")</f>
        <v>0.17559281510703684</v>
      </c>
      <c r="Q112" s="52">
        <f t="shared" ref="Q112" si="144">IF(Q109&lt;&gt;"",getUVfromXY(Q110,Q111,0),"")</f>
        <v>0.17086459178557939</v>
      </c>
      <c r="R112" s="52">
        <f t="shared" ref="R112" si="145">IF(R109&lt;&gt;"",getUVfromXY(R110,R111,0),"")</f>
        <v>0.17768802849099738</v>
      </c>
      <c r="S112" s="52" t="str">
        <f t="shared" ref="S112" si="146">IF(S109&lt;&gt;"",getUVfromXY(S110,S111,0),"")</f>
        <v/>
      </c>
      <c r="T112" s="52">
        <f t="shared" ref="T112" si="147">IF(T109&lt;&gt;"",getUVfromXY(T110,T111,0),"")</f>
        <v>0.17804138841062547</v>
      </c>
      <c r="U112" s="52">
        <f t="shared" ref="U112" si="148">IF(U109&lt;&gt;"",getUVfromXY(U110,U111,0),"")</f>
        <v>0.17989764794815696</v>
      </c>
      <c r="V112" s="52">
        <f t="shared" ref="V112" si="149">IF(V109&lt;&gt;"",getUVfromXY(V110,V111,0),"")</f>
        <v>0.17792536811803225</v>
      </c>
      <c r="W112" s="52">
        <f t="shared" ref="W112" si="150">IF(W109&lt;&gt;"",getUVfromXY(W110,W111,0),"")</f>
        <v>0.18013086614907797</v>
      </c>
      <c r="X112" s="52">
        <f t="shared" ref="X112" si="151">IF(X109&lt;&gt;"",getUVfromXY(X110,X111,0),"")</f>
        <v>0.1776286194364918</v>
      </c>
      <c r="Y112" s="52">
        <f t="shared" ref="Y112" si="152">IF(Y109&lt;&gt;"",getUVfromXY(Y110,Y111,0),"")</f>
        <v>0.1802294259144869</v>
      </c>
      <c r="Z112" s="52">
        <f t="shared" ref="Z112" si="153">IF(Z109&lt;&gt;"",getUVfromXY(Z110,Z111,0),"")</f>
        <v>0.17961840608341109</v>
      </c>
      <c r="AA112" s="52" t="str">
        <f t="shared" ref="AA112" si="154">IF(AA109&lt;&gt;"",getUVfromXY(AA110,AA111,0),"")</f>
        <v/>
      </c>
      <c r="AB112" s="52" t="str">
        <f t="shared" ref="AB112" si="155">IF(AB109&lt;&gt;"",getUVfromXY(AB110,AB111,0),"")</f>
        <v/>
      </c>
      <c r="AC112" s="52" t="str">
        <f t="shared" ref="AC112" si="156">IF(AC109&lt;&gt;"",getUVfromXY(AC110,AC111,0),"")</f>
        <v/>
      </c>
      <c r="AD112" s="52">
        <f t="shared" ref="AD112" si="157">IF(AD109&lt;&gt;"",getUVfromXY(AD110,AD111,0),"")</f>
        <v>0.1778039223547751</v>
      </c>
      <c r="AE112" s="52">
        <f t="shared" ref="AE112" si="158">IF(AE109&lt;&gt;"",getUVfromXY(AE110,AE111,0),"")</f>
        <v>0.18009931910905133</v>
      </c>
      <c r="AF112" s="52" t="str">
        <f t="shared" ref="AF112" si="159">IF(AF109&lt;&gt;"",getUVfromXY(AF110,AF111,0),"")</f>
        <v/>
      </c>
      <c r="AG112" s="52" t="str">
        <f t="shared" ref="AG112" si="160">IF(AG109&lt;&gt;"",getUVfromXY(AG110,AG111,0),"")</f>
        <v/>
      </c>
      <c r="AH112" s="52">
        <f t="shared" ref="AH112" si="161">IF(AH109&lt;&gt;"",getUVfromXY(AH110,AH111,0),"")</f>
        <v>0.1767111033503598</v>
      </c>
      <c r="AI112" s="52" t="str">
        <f t="shared" ref="AI112" si="162">IF(AI109&lt;&gt;"",getUVfromXY(AI110,AI111,0),"")</f>
        <v/>
      </c>
      <c r="AJ112" s="52" t="str">
        <f t="shared" ref="AJ112" si="163">IF(AJ109&lt;&gt;"",getUVfromXY(AJ110,AJ111,0),"")</f>
        <v/>
      </c>
      <c r="AK112" s="52">
        <f t="shared" ref="AK112" si="164">IF(AK109&lt;&gt;"",getUVfromXY(AK110,AK111,0),"")</f>
        <v>0.17727311413544869</v>
      </c>
      <c r="AL112" s="52">
        <f t="shared" ref="AL112" si="165">IF(AL109&lt;&gt;"",getUVfromXY(AL110,AL111,0),"")</f>
        <v>0.17807929371925429</v>
      </c>
      <c r="AM112" s="52">
        <f t="shared" ref="AM112" si="166">IF(AM109&lt;&gt;"",getUVfromXY(AM110,AM111,0),"")</f>
        <v>0.17829761653517714</v>
      </c>
      <c r="AN112" s="52">
        <f t="shared" ref="AN112" si="167">IF(AN109&lt;&gt;"",getUVfromXY(AN110,AN111,0),"")</f>
        <v>0.17748097910476143</v>
      </c>
      <c r="AO112" s="52">
        <f t="shared" ref="AO112" si="168">IF(AO109&lt;&gt;"",getUVfromXY(AO110,AO111,0),"")</f>
        <v>0.16894473530162482</v>
      </c>
    </row>
    <row r="113" spans="1:41">
      <c r="A113" s="218"/>
      <c r="B113" s="40" t="str">
        <f t="shared" si="131"/>
        <v>v</v>
      </c>
      <c r="C113" s="41">
        <f>getUVfromXY(C110,C111,1)</f>
        <v>0.32445485145616859</v>
      </c>
      <c r="D113" s="41">
        <f t="shared" si="132"/>
        <v>0.32411916448729394</v>
      </c>
      <c r="E113" s="41">
        <f t="shared" si="133"/>
        <v>3.155348433986579E-3</v>
      </c>
      <c r="F113" s="3">
        <f t="shared" si="134"/>
        <v>9.7351492281483841E-3</v>
      </c>
      <c r="G113" s="2">
        <f t="shared" si="135"/>
        <v>-1.7367775443229352</v>
      </c>
      <c r="H113" s="2">
        <f t="shared" si="136"/>
        <v>2.9363566578951303</v>
      </c>
      <c r="I113" s="2">
        <f t="shared" si="137"/>
        <v>1.1995791135721952</v>
      </c>
      <c r="J113" s="52" t="str">
        <f>IF(J109&lt;&gt;"",getUVfromXY(J110,J111,1),"")</f>
        <v/>
      </c>
      <c r="K113" s="52">
        <f t="shared" ref="K113:AO113" si="169">IF(K109&lt;&gt;"",getUVfromXY(K110,K111,1),"")</f>
        <v>0.3271334431507924</v>
      </c>
      <c r="L113" s="52">
        <f t="shared" si="169"/>
        <v>0.32116493179047645</v>
      </c>
      <c r="M113" s="52">
        <f t="shared" si="169"/>
        <v>0.32580600870086568</v>
      </c>
      <c r="N113" s="52">
        <f t="shared" si="169"/>
        <v>0.32166224425488843</v>
      </c>
      <c r="O113" s="52">
        <f t="shared" si="169"/>
        <v>0.32696393237434762</v>
      </c>
      <c r="P113" s="52">
        <f t="shared" si="169"/>
        <v>0.32380658582095823</v>
      </c>
      <c r="Q113" s="52">
        <f t="shared" si="169"/>
        <v>0.32874785756425717</v>
      </c>
      <c r="R113" s="52">
        <f t="shared" si="169"/>
        <v>0.3218663211072646</v>
      </c>
      <c r="S113" s="52" t="str">
        <f t="shared" si="169"/>
        <v/>
      </c>
      <c r="T113" s="52">
        <f t="shared" si="169"/>
        <v>0.32365646454390284</v>
      </c>
      <c r="U113" s="52">
        <f t="shared" si="169"/>
        <v>0.32324629563972501</v>
      </c>
      <c r="V113" s="52">
        <f t="shared" si="169"/>
        <v>0.32455463263687268</v>
      </c>
      <c r="W113" s="52">
        <f t="shared" si="169"/>
        <v>0.32403258980923971</v>
      </c>
      <c r="X113" s="52">
        <f t="shared" si="169"/>
        <v>0.32148057371459909</v>
      </c>
      <c r="Y113" s="52">
        <f t="shared" si="169"/>
        <v>0.32219948330702336</v>
      </c>
      <c r="Z113" s="52">
        <f t="shared" si="169"/>
        <v>0.32270124810929501</v>
      </c>
      <c r="AA113" s="52" t="str">
        <f t="shared" si="169"/>
        <v/>
      </c>
      <c r="AB113" s="52" t="str">
        <f t="shared" si="169"/>
        <v/>
      </c>
      <c r="AC113" s="52" t="str">
        <f t="shared" si="169"/>
        <v/>
      </c>
      <c r="AD113" s="52">
        <f t="shared" si="169"/>
        <v>0.32371584557692079</v>
      </c>
      <c r="AE113" s="52">
        <f t="shared" si="169"/>
        <v>0.32071967352894837</v>
      </c>
      <c r="AF113" s="52" t="str">
        <f t="shared" si="169"/>
        <v/>
      </c>
      <c r="AG113" s="52" t="str">
        <f t="shared" si="169"/>
        <v/>
      </c>
      <c r="AH113" s="52">
        <f t="shared" si="169"/>
        <v>0.3243767481818815</v>
      </c>
      <c r="AI113" s="52" t="str">
        <f t="shared" si="169"/>
        <v/>
      </c>
      <c r="AJ113" s="52" t="str">
        <f t="shared" si="169"/>
        <v/>
      </c>
      <c r="AK113" s="52">
        <f t="shared" si="169"/>
        <v>0.32601729042148819</v>
      </c>
      <c r="AL113" s="52">
        <f t="shared" si="169"/>
        <v>0.32194674593716399</v>
      </c>
      <c r="AM113" s="52">
        <f t="shared" si="169"/>
        <v>0.31863902618263151</v>
      </c>
      <c r="AN113" s="52">
        <f t="shared" si="169"/>
        <v>0.32691844798480912</v>
      </c>
      <c r="AO113" s="52">
        <f t="shared" si="169"/>
        <v>0.33338439286940941</v>
      </c>
    </row>
    <row r="114" spans="1:41">
      <c r="A114" s="218"/>
      <c r="B114" s="40" t="str">
        <f t="shared" si="131"/>
        <v>Δxy</v>
      </c>
      <c r="C114" s="40">
        <v>0</v>
      </c>
      <c r="D114" s="41">
        <f t="shared" si="132"/>
        <v>8.5115596459226731E-3</v>
      </c>
      <c r="E114" s="41">
        <f t="shared" si="133"/>
        <v>6.0613927533968472E-3</v>
      </c>
      <c r="F114" s="72">
        <f>ABS(D114)+1.5*E114</f>
        <v>1.7603648776017944E-2</v>
      </c>
      <c r="G114" s="2">
        <f t="shared" si="135"/>
        <v>-1.217621023719849</v>
      </c>
      <c r="H114" s="2">
        <f t="shared" si="136"/>
        <v>3.4964252626029615</v>
      </c>
      <c r="I114" s="2">
        <f t="shared" si="137"/>
        <v>2.2788042388831125</v>
      </c>
      <c r="J114" s="52" t="str">
        <f>IF(J109&lt;&gt;"",((J110-$C110)^2+(J111-$C111)^2)^0.5,"")</f>
        <v/>
      </c>
      <c r="K114" s="52">
        <f t="shared" ref="K114:AO114" si="170">IF(K109&lt;&gt;"",((K110-$C110)^2+(K111-$C111)^2)^0.5,"")</f>
        <v>1.0983671085072047E-2</v>
      </c>
      <c r="L114" s="52">
        <f t="shared" si="170"/>
        <v>1.0064196331083016E-2</v>
      </c>
      <c r="M114" s="52">
        <f t="shared" si="170"/>
        <v>4.307959409315572E-3</v>
      </c>
      <c r="N114" s="52">
        <f t="shared" si="170"/>
        <v>8.5397148819291255E-3</v>
      </c>
      <c r="O114" s="52">
        <f t="shared" si="170"/>
        <v>8.0851153789987147E-3</v>
      </c>
      <c r="P114" s="52">
        <f t="shared" si="170"/>
        <v>2.1444865959785683E-3</v>
      </c>
      <c r="Q114" s="52">
        <f t="shared" si="170"/>
        <v>1.4645364751504198E-2</v>
      </c>
      <c r="R114" s="52">
        <f t="shared" si="170"/>
        <v>8.0188428726199832E-3</v>
      </c>
      <c r="S114" s="52" t="str">
        <f t="shared" si="170"/>
        <v/>
      </c>
      <c r="T114" s="52">
        <f t="shared" si="170"/>
        <v>3.614284705331009E-3</v>
      </c>
      <c r="U114" s="52">
        <f t="shared" si="170"/>
        <v>6.2823344593065386E-3</v>
      </c>
      <c r="V114" s="52">
        <f t="shared" si="170"/>
        <v>2.9377910050612304E-3</v>
      </c>
      <c r="W114" s="52">
        <f t="shared" si="170"/>
        <v>5.9353426762042139E-3</v>
      </c>
      <c r="X114" s="52">
        <f t="shared" si="170"/>
        <v>9.1363961471796536E-3</v>
      </c>
      <c r="Y114" s="52">
        <f t="shared" si="170"/>
        <v>8.5220851718418381E-3</v>
      </c>
      <c r="Z114" s="52">
        <f t="shared" si="170"/>
        <v>6.9480004162844784E-3</v>
      </c>
      <c r="AA114" s="52" t="str">
        <f t="shared" si="170"/>
        <v/>
      </c>
      <c r="AB114" s="52" t="str">
        <f t="shared" si="170"/>
        <v/>
      </c>
      <c r="AC114" s="52" t="str">
        <f t="shared" si="170"/>
        <v/>
      </c>
      <c r="AD114" s="52">
        <f t="shared" si="170"/>
        <v>3.2658718792427004E-3</v>
      </c>
      <c r="AE114" s="52">
        <f t="shared" si="170"/>
        <v>1.2055614371248372E-2</v>
      </c>
      <c r="AF114" s="52" t="str">
        <f t="shared" si="170"/>
        <v/>
      </c>
      <c r="AG114" s="52" t="str">
        <f t="shared" si="170"/>
        <v/>
      </c>
      <c r="AH114" s="52">
        <f t="shared" si="170"/>
        <v>1.1310803963635297E-3</v>
      </c>
      <c r="AI114" s="52" t="str">
        <f t="shared" si="170"/>
        <v/>
      </c>
      <c r="AJ114" s="52" t="str">
        <f t="shared" si="170"/>
        <v/>
      </c>
      <c r="AK114" s="52">
        <f t="shared" si="170"/>
        <v>5.5727801790408319E-3</v>
      </c>
      <c r="AL114" s="52">
        <f t="shared" si="170"/>
        <v>7.89455342511103E-3</v>
      </c>
      <c r="AM114" s="52">
        <f t="shared" si="170"/>
        <v>1.7527971978284658E-2</v>
      </c>
      <c r="AN114" s="52">
        <f t="shared" si="170"/>
        <v>8.4476473437622417E-3</v>
      </c>
      <c r="AO114" s="52">
        <f t="shared" si="170"/>
        <v>2.9704766395457931E-2</v>
      </c>
    </row>
    <row r="115" spans="1:41" s="40" customFormat="1">
      <c r="A115" s="217">
        <f>10^6/A109</f>
        <v>144.4043321299639</v>
      </c>
      <c r="B115" s="40" t="s">
        <v>3</v>
      </c>
      <c r="C115" s="197"/>
      <c r="D115" s="30">
        <f t="shared" si="132"/>
        <v>6905.95652173913</v>
      </c>
      <c r="E115" s="30">
        <f t="shared" si="133"/>
        <v>169.67227187109185</v>
      </c>
      <c r="F115" s="73">
        <f>ABS(D115-A109)+1.5*E115</f>
        <v>273.55188606750772</v>
      </c>
      <c r="G115" s="2">
        <f t="shared" si="135"/>
        <v>-1.7089210779202857</v>
      </c>
      <c r="H115" s="2">
        <f t="shared" si="136"/>
        <v>2.4107856501835485</v>
      </c>
      <c r="I115" s="2">
        <f t="shared" si="137"/>
        <v>0.70186457226326282</v>
      </c>
      <c r="J115" s="30" t="str">
        <f>IF(J109&lt;&gt;"",getCCTfromXY(J110,J111,0),"")</f>
        <v/>
      </c>
      <c r="K115" s="30">
        <f t="shared" ref="K115:AO115" si="171">IF(K109&lt;&gt;"",getCCTfromXY(K110,K111,0),"")</f>
        <v>7031</v>
      </c>
      <c r="L115" s="30">
        <f t="shared" si="171"/>
        <v>7115</v>
      </c>
      <c r="M115" s="30">
        <f t="shared" si="171"/>
        <v>6803</v>
      </c>
      <c r="N115" s="30">
        <f t="shared" si="171"/>
        <v>7119</v>
      </c>
      <c r="O115" s="30">
        <f t="shared" si="171"/>
        <v>6837</v>
      </c>
      <c r="P115" s="30">
        <f t="shared" si="171"/>
        <v>7000</v>
      </c>
      <c r="Q115" s="30">
        <f t="shared" si="171"/>
        <v>6862</v>
      </c>
      <c r="R115" s="30">
        <f t="shared" si="171"/>
        <v>7046</v>
      </c>
      <c r="S115" s="30" t="str">
        <f t="shared" si="171"/>
        <v/>
      </c>
      <c r="T115" s="30">
        <f t="shared" si="171"/>
        <v>6867</v>
      </c>
      <c r="U115" s="30">
        <f t="shared" si="171"/>
        <v>6791</v>
      </c>
      <c r="V115" s="30">
        <f t="shared" si="171"/>
        <v>6798</v>
      </c>
      <c r="W115" s="30">
        <f t="shared" si="171"/>
        <v>6712</v>
      </c>
      <c r="X115" s="30">
        <f t="shared" si="171"/>
        <v>7084</v>
      </c>
      <c r="Y115" s="30">
        <f t="shared" si="171"/>
        <v>6860</v>
      </c>
      <c r="Z115" s="30">
        <f t="shared" si="171"/>
        <v>6854</v>
      </c>
      <c r="AA115" s="30" t="str">
        <f t="shared" si="171"/>
        <v/>
      </c>
      <c r="AB115" s="30" t="str">
        <f t="shared" si="171"/>
        <v/>
      </c>
      <c r="AC115" s="30" t="str">
        <f t="shared" si="171"/>
        <v/>
      </c>
      <c r="AD115" s="30">
        <f t="shared" si="171"/>
        <v>6876</v>
      </c>
      <c r="AE115" s="30">
        <f t="shared" si="171"/>
        <v>7000</v>
      </c>
      <c r="AF115" s="30" t="str">
        <f t="shared" si="171"/>
        <v/>
      </c>
      <c r="AG115" s="30" t="str">
        <f t="shared" si="171"/>
        <v/>
      </c>
      <c r="AH115" s="30">
        <f t="shared" si="171"/>
        <v>6885</v>
      </c>
      <c r="AI115" s="30" t="str">
        <f t="shared" si="171"/>
        <v/>
      </c>
      <c r="AJ115" s="30" t="str">
        <f t="shared" si="171"/>
        <v/>
      </c>
      <c r="AK115" s="30">
        <f t="shared" si="171"/>
        <v>6717</v>
      </c>
      <c r="AL115" s="30">
        <f t="shared" si="171"/>
        <v>7014</v>
      </c>
      <c r="AM115" s="30">
        <f t="shared" si="171"/>
        <v>7315</v>
      </c>
      <c r="AN115" s="30">
        <f t="shared" si="171"/>
        <v>6635</v>
      </c>
      <c r="AO115" s="30">
        <f t="shared" si="171"/>
        <v>6616</v>
      </c>
    </row>
    <row r="116" spans="1:41" s="40" customFormat="1">
      <c r="A116" s="217"/>
      <c r="B116" s="40" t="s">
        <v>73</v>
      </c>
      <c r="C116" s="197"/>
      <c r="D116" s="3">
        <f t="shared" si="132"/>
        <v>2.7499607596923746E-3</v>
      </c>
      <c r="E116" s="3">
        <f t="shared" si="133"/>
        <v>2.4501411100518455E-2</v>
      </c>
      <c r="F116" s="74">
        <f t="shared" ref="F116:F117" si="172">ABS(D116)+1.5*E116</f>
        <v>3.9502077410470057E-2</v>
      </c>
      <c r="G116" s="2">
        <f t="shared" si="135"/>
        <v>-2.4107856501835654</v>
      </c>
      <c r="H116" s="2">
        <f t="shared" si="136"/>
        <v>1.7089210779203032</v>
      </c>
      <c r="I116" s="2">
        <f t="shared" si="137"/>
        <v>-0.70186457226326215</v>
      </c>
      <c r="J116" s="3" t="str">
        <f>IF(J109&lt;&gt;"",1-J115/$A109,"")</f>
        <v/>
      </c>
      <c r="K116" s="3">
        <f t="shared" ref="K116" si="173">IF(K109&lt;&gt;"",1-K115/$A109,"")</f>
        <v>-1.5306859205776124E-2</v>
      </c>
      <c r="L116" s="3">
        <f t="shared" ref="L116" si="174">IF(L109&lt;&gt;"",1-L115/$A109,"")</f>
        <v>-2.7436823104693087E-2</v>
      </c>
      <c r="M116" s="3">
        <f t="shared" ref="M116" si="175">IF(M109&lt;&gt;"",1-M115/$A109,"")</f>
        <v>1.7617328519855646E-2</v>
      </c>
      <c r="N116" s="3">
        <f t="shared" ref="N116" si="176">IF(N109&lt;&gt;"",1-N115/$A109,"")</f>
        <v>-2.8014440433212995E-2</v>
      </c>
      <c r="O116" s="3">
        <f t="shared" ref="O116" si="177">IF(O109&lt;&gt;"",1-O115/$A109,"")</f>
        <v>1.270758122743687E-2</v>
      </c>
      <c r="P116" s="3">
        <f t="shared" ref="P116" si="178">IF(P109&lt;&gt;"",1-P115/$A109,"")</f>
        <v>-1.0830324909747224E-2</v>
      </c>
      <c r="Q116" s="3">
        <f t="shared" ref="Q116" si="179">IF(Q109&lt;&gt;"",1-Q115/$A109,"")</f>
        <v>9.0974729241877217E-3</v>
      </c>
      <c r="R116" s="3">
        <f t="shared" ref="R116" si="180">IF(R109&lt;&gt;"",1-R115/$A109,"")</f>
        <v>-1.7472924187725614E-2</v>
      </c>
      <c r="S116" s="3" t="str">
        <f t="shared" ref="S116" si="181">IF(S109&lt;&gt;"",1-S115/$A109,"")</f>
        <v/>
      </c>
      <c r="T116" s="3">
        <f t="shared" ref="T116" si="182">IF(T109&lt;&gt;"",1-T115/$A109,"")</f>
        <v>8.3754512635378919E-3</v>
      </c>
      <c r="U116" s="3">
        <f t="shared" ref="U116" si="183">IF(U109&lt;&gt;"",1-U115/$A109,"")</f>
        <v>1.9350180505415149E-2</v>
      </c>
      <c r="V116" s="3">
        <f t="shared" ref="V116" si="184">IF(V109&lt;&gt;"",1-V115/$A109,"")</f>
        <v>1.8339350180505365E-2</v>
      </c>
      <c r="W116" s="3">
        <f t="shared" ref="W116" si="185">IF(W109&lt;&gt;"",1-W115/$A109,"")</f>
        <v>3.0758122743682281E-2</v>
      </c>
      <c r="X116" s="3">
        <f t="shared" ref="X116" si="186">IF(X109&lt;&gt;"",1-X115/$A109,"")</f>
        <v>-2.2960288808664187E-2</v>
      </c>
      <c r="Y116" s="3">
        <f t="shared" ref="Y116" si="187">IF(Y109&lt;&gt;"",1-Y115/$A109,"")</f>
        <v>9.3862815884476758E-3</v>
      </c>
      <c r="Z116" s="3">
        <f t="shared" ref="Z116" si="188">IF(Z109&lt;&gt;"",1-Z115/$A109,"")</f>
        <v>1.0252707581227427E-2</v>
      </c>
      <c r="AA116" s="3" t="str">
        <f t="shared" ref="AA116" si="189">IF(AA109&lt;&gt;"",1-AA115/$A109,"")</f>
        <v/>
      </c>
      <c r="AB116" s="3" t="str">
        <f t="shared" ref="AB116" si="190">IF(AB109&lt;&gt;"",1-AB115/$A109,"")</f>
        <v/>
      </c>
      <c r="AC116" s="3" t="str">
        <f t="shared" ref="AC116" si="191">IF(AC109&lt;&gt;"",1-AC115/$A109,"")</f>
        <v/>
      </c>
      <c r="AD116" s="3">
        <f t="shared" ref="AD116" si="192">IF(AD109&lt;&gt;"",1-AD115/$A109,"")</f>
        <v>7.075812274368265E-3</v>
      </c>
      <c r="AE116" s="3">
        <f t="shared" ref="AE116" si="193">IF(AE109&lt;&gt;"",1-AE115/$A109,"")</f>
        <v>-1.0830324909747224E-2</v>
      </c>
      <c r="AF116" s="3" t="str">
        <f t="shared" ref="AF116" si="194">IF(AF109&lt;&gt;"",1-AF115/$A109,"")</f>
        <v/>
      </c>
      <c r="AG116" s="3" t="str">
        <f t="shared" ref="AG116" si="195">IF(AG109&lt;&gt;"",1-AG115/$A109,"")</f>
        <v/>
      </c>
      <c r="AH116" s="3">
        <f t="shared" ref="AH116" si="196">IF(AH109&lt;&gt;"",1-AH115/$A109,"")</f>
        <v>5.776173285198527E-3</v>
      </c>
      <c r="AI116" s="3" t="str">
        <f t="shared" ref="AI116" si="197">IF(AI109&lt;&gt;"",1-AI115/$A109,"")</f>
        <v/>
      </c>
      <c r="AJ116" s="3" t="str">
        <f t="shared" ref="AJ116" si="198">IF(AJ109&lt;&gt;"",1-AJ115/$A109,"")</f>
        <v/>
      </c>
      <c r="AK116" s="3">
        <f t="shared" ref="AK116" si="199">IF(AK109&lt;&gt;"",1-AK115/$A109,"")</f>
        <v>3.0036101083032452E-2</v>
      </c>
      <c r="AL116" s="3">
        <f t="shared" ref="AL116" si="200">IF(AL109&lt;&gt;"",1-AL115/$A109,"")</f>
        <v>-1.2851985559566792E-2</v>
      </c>
      <c r="AM116" s="3">
        <f t="shared" ref="AM116" si="201">IF(AM109&lt;&gt;"",1-AM115/$A109,"")</f>
        <v>-5.6317689530685833E-2</v>
      </c>
      <c r="AN116" s="3">
        <f t="shared" ref="AN116" si="202">IF(AN109&lt;&gt;"",1-AN115/$A109,"")</f>
        <v>4.1877256317689571E-2</v>
      </c>
      <c r="AO116" s="3">
        <f t="shared" ref="AO116" si="203">IF(AO109&lt;&gt;"",1-AO115/$A109,"")</f>
        <v>4.4620938628158857E-2</v>
      </c>
    </row>
    <row r="117" spans="1:41" s="40" customFormat="1">
      <c r="A117" s="217"/>
      <c r="B117" s="40" t="s">
        <v>14</v>
      </c>
      <c r="C117" s="197"/>
      <c r="D117" s="2">
        <f t="shared" si="132"/>
        <v>0.48122423152795429</v>
      </c>
      <c r="E117" s="2">
        <f t="shared" si="133"/>
        <v>3.5344804543367014</v>
      </c>
      <c r="F117" s="75">
        <f t="shared" si="172"/>
        <v>5.7829449130330062</v>
      </c>
      <c r="G117" s="2">
        <f t="shared" si="135"/>
        <v>-2.3143872498037061</v>
      </c>
      <c r="H117" s="2">
        <f t="shared" si="136"/>
        <v>1.7720211131705301</v>
      </c>
      <c r="I117" s="2">
        <f t="shared" si="137"/>
        <v>-0.54236613663317601</v>
      </c>
      <c r="J117" s="2" t="str">
        <f>IF(J109&lt;&gt;"",10^6/J115-$A115,"")</f>
        <v/>
      </c>
      <c r="K117" s="2">
        <f t="shared" ref="K117:AO117" si="204">IF(K109&lt;&gt;"",10^6/K115-$A115,"")</f>
        <v>-2.1770529378148638</v>
      </c>
      <c r="L117" s="2">
        <f t="shared" si="204"/>
        <v>-3.8561943927889217</v>
      </c>
      <c r="M117" s="2">
        <f t="shared" si="204"/>
        <v>2.5896411171329703</v>
      </c>
      <c r="N117" s="2">
        <f t="shared" si="204"/>
        <v>-3.9351651121243094</v>
      </c>
      <c r="O117" s="2">
        <f t="shared" si="204"/>
        <v>1.8586487095855944</v>
      </c>
      <c r="P117" s="2">
        <f t="shared" si="204"/>
        <v>-1.5471892728210435</v>
      </c>
      <c r="Q117" s="2">
        <f t="shared" si="204"/>
        <v>1.3257757103158951</v>
      </c>
      <c r="R117" s="2">
        <f t="shared" si="204"/>
        <v>-2.4798359619252892</v>
      </c>
      <c r="S117" s="2" t="str">
        <f t="shared" si="204"/>
        <v/>
      </c>
      <c r="T117" s="2">
        <f t="shared" si="204"/>
        <v>1.2196667050440908</v>
      </c>
      <c r="U117" s="2">
        <f t="shared" si="204"/>
        <v>2.8493860264195519</v>
      </c>
      <c r="V117" s="2">
        <f t="shared" si="204"/>
        <v>2.6977567196977645</v>
      </c>
      <c r="W117" s="2">
        <f t="shared" si="204"/>
        <v>4.5825570237905708</v>
      </c>
      <c r="X117" s="2">
        <f t="shared" si="204"/>
        <v>-3.2411474885184077</v>
      </c>
      <c r="Y117" s="2">
        <f t="shared" si="204"/>
        <v>1.3682626222226872</v>
      </c>
      <c r="Z117" s="2">
        <f t="shared" si="204"/>
        <v>1.4958721303220557</v>
      </c>
      <c r="AA117" s="2" t="str">
        <f t="shared" si="204"/>
        <v/>
      </c>
      <c r="AB117" s="2" t="str">
        <f t="shared" si="204"/>
        <v/>
      </c>
      <c r="AC117" s="2" t="str">
        <f t="shared" si="204"/>
        <v/>
      </c>
      <c r="AD117" s="2">
        <f t="shared" si="204"/>
        <v>1.0290593767260248</v>
      </c>
      <c r="AE117" s="2">
        <f t="shared" si="204"/>
        <v>-1.5471892728210435</v>
      </c>
      <c r="AF117" s="2" t="str">
        <f t="shared" si="204"/>
        <v/>
      </c>
      <c r="AG117" s="2" t="str">
        <f t="shared" si="204"/>
        <v/>
      </c>
      <c r="AH117" s="2">
        <f t="shared" si="204"/>
        <v>0.83895036822056568</v>
      </c>
      <c r="AI117" s="2" t="str">
        <f t="shared" si="204"/>
        <v/>
      </c>
      <c r="AJ117" s="2" t="str">
        <f t="shared" si="204"/>
        <v/>
      </c>
      <c r="AK117" s="2">
        <f t="shared" si="204"/>
        <v>4.4716541734453585</v>
      </c>
      <c r="AL117" s="2">
        <f t="shared" si="204"/>
        <v>-1.8323332705398911</v>
      </c>
      <c r="AM117" s="2">
        <f t="shared" si="204"/>
        <v>-7.698932266669317</v>
      </c>
      <c r="AN117" s="2">
        <f t="shared" si="204"/>
        <v>6.3115683975417483</v>
      </c>
      <c r="AO117" s="2">
        <f t="shared" si="204"/>
        <v>6.7443982207011572</v>
      </c>
    </row>
    <row r="118" spans="1:41">
      <c r="A118" s="218">
        <f>getCCTfromXY(C119,C120,0)</f>
        <v>4331</v>
      </c>
      <c r="B118" s="40" t="str">
        <f t="shared" ref="B118:B123" si="205">B109</f>
        <v>Ev</v>
      </c>
      <c r="C118" s="40">
        <f>data0!B17</f>
        <v>150</v>
      </c>
      <c r="D118" s="2">
        <f>data0!AH109</f>
        <v>148.75221750035337</v>
      </c>
      <c r="E118" s="2">
        <f>data0!AI109</f>
        <v>8.1552357364125321</v>
      </c>
      <c r="F118" s="3">
        <f>data0!AJ109</f>
        <v>5.4824296897578409E-2</v>
      </c>
      <c r="G118" s="2">
        <f>data0!AK109</f>
        <v>-1.424289324788566</v>
      </c>
      <c r="H118" s="2">
        <f>data0!AL109</f>
        <v>1.9280400824189856</v>
      </c>
      <c r="I118" s="2">
        <f>data0!AM109</f>
        <v>0.50375075763041965</v>
      </c>
      <c r="J118" s="2" t="str">
        <f>data0!B109</f>
        <v/>
      </c>
      <c r="K118" s="2">
        <f>data0!C109</f>
        <v>164.47583888173244</v>
      </c>
      <c r="L118" s="2">
        <f>data0!D109</f>
        <v>145.01758489884941</v>
      </c>
      <c r="M118" s="2">
        <f>data0!E109</f>
        <v>157.82520420999276</v>
      </c>
      <c r="N118" s="2">
        <f>data0!F109</f>
        <v>151.11657206312839</v>
      </c>
      <c r="O118" s="2">
        <f>data0!G109</f>
        <v>146.3312597193526</v>
      </c>
      <c r="P118" s="2">
        <f>data0!H109</f>
        <v>150.68742949591589</v>
      </c>
      <c r="Q118" s="2">
        <f>data0!I109</f>
        <v>158.70779071742865</v>
      </c>
      <c r="R118" s="2">
        <f>data0!J109</f>
        <v>142.23276384231531</v>
      </c>
      <c r="S118" s="2" t="str">
        <f>data0!K109</f>
        <v/>
      </c>
      <c r="T118" s="2">
        <f>data0!L109</f>
        <v>140.22762990654962</v>
      </c>
      <c r="U118" s="2">
        <f>data0!M109</f>
        <v>147.29629835147148</v>
      </c>
      <c r="V118" s="2">
        <f>data0!N109</f>
        <v>143.28474147402142</v>
      </c>
      <c r="W118" s="2">
        <f>data0!O109</f>
        <v>158.84701282053339</v>
      </c>
      <c r="X118" s="2">
        <f>data0!P109</f>
        <v>151.23472403003422</v>
      </c>
      <c r="Y118" s="2">
        <f>data0!Q109</f>
        <v>146.6362418538898</v>
      </c>
      <c r="Z118" s="2">
        <f>data0!R109</f>
        <v>145.58714317334253</v>
      </c>
      <c r="AA118" s="2" t="str">
        <f>data0!S109</f>
        <v/>
      </c>
      <c r="AB118" s="2" t="str">
        <f>data0!T109</f>
        <v/>
      </c>
      <c r="AC118" s="2" t="str">
        <f>data0!U109</f>
        <v/>
      </c>
      <c r="AD118" s="2">
        <f>data0!V109</f>
        <v>160.73601974291856</v>
      </c>
      <c r="AE118" s="2">
        <f>data0!W109</f>
        <v>147.5638466316498</v>
      </c>
      <c r="AF118" s="2" t="str">
        <f>data0!X109</f>
        <v/>
      </c>
      <c r="AG118" s="2"/>
      <c r="AH118" s="2">
        <f>data0!Z109</f>
        <v>149.82983422880608</v>
      </c>
      <c r="AI118" s="2" t="str">
        <f>data0!AA109</f>
        <v/>
      </c>
      <c r="AJ118" s="2" t="str">
        <f>data0!AB109</f>
        <v/>
      </c>
      <c r="AK118" s="2">
        <f>data0!AC109</f>
        <v>137.13680229984678</v>
      </c>
      <c r="AL118" s="2">
        <f>data0!AD109</f>
        <v>139.11038880962269</v>
      </c>
      <c r="AM118" s="2">
        <f>data0!AE109</f>
        <v>138.69508916288936</v>
      </c>
      <c r="AN118" s="2">
        <f>data0!AF109</f>
        <v>137.96601623574384</v>
      </c>
      <c r="AO118" s="2">
        <f>data0!AG109</f>
        <v>160.75476995809186</v>
      </c>
    </row>
    <row r="119" spans="1:41">
      <c r="A119" s="218"/>
      <c r="B119" s="40" t="str">
        <f t="shared" si="205"/>
        <v>x</v>
      </c>
      <c r="C119" s="40">
        <f>data0!B18</f>
        <v>0.36870000000000003</v>
      </c>
      <c r="D119" s="41">
        <f>data0!AH110</f>
        <v>0.36346770547101903</v>
      </c>
      <c r="E119" s="41">
        <f>data0!AI110</f>
        <v>5.7074501738908915E-3</v>
      </c>
      <c r="F119" s="3">
        <f>data0!AJ110</f>
        <v>1.5702771079743074E-2</v>
      </c>
      <c r="G119" s="2">
        <f>data0!AK110</f>
        <v>-1.1313470577750593</v>
      </c>
      <c r="H119" s="2">
        <f>data0!AL110</f>
        <v>2.0643704897596042</v>
      </c>
      <c r="I119" s="2">
        <f>data0!AM110</f>
        <v>0.93302343198454496</v>
      </c>
      <c r="J119" s="41" t="str">
        <f>data0!B110</f>
        <v/>
      </c>
      <c r="K119" s="41">
        <f>data0!C110</f>
        <v>0.35926876666287222</v>
      </c>
      <c r="L119" s="41">
        <f>data0!D110</f>
        <v>0.35982598247982622</v>
      </c>
      <c r="M119" s="41">
        <f>data0!E110</f>
        <v>0.35940557550843605</v>
      </c>
      <c r="N119" s="41">
        <f>data0!F110</f>
        <v>0.35701059850938982</v>
      </c>
      <c r="O119" s="41">
        <f>data0!G110</f>
        <v>0.36104530629526166</v>
      </c>
      <c r="P119" s="41">
        <f>data0!H110</f>
        <v>0.36032992147311893</v>
      </c>
      <c r="Q119" s="41">
        <f>data0!I110</f>
        <v>0.36138117890857457</v>
      </c>
      <c r="R119" s="41">
        <f>data0!J110</f>
        <v>0.35864966828575712</v>
      </c>
      <c r="S119" s="41" t="str">
        <f>data0!K110</f>
        <v/>
      </c>
      <c r="T119" s="41">
        <f>data0!L110</f>
        <v>0.36532377410380118</v>
      </c>
      <c r="U119" s="41">
        <f>data0!M110</f>
        <v>0.35785769457379751</v>
      </c>
      <c r="V119" s="41">
        <f>data0!N110</f>
        <v>0.37524999718177271</v>
      </c>
      <c r="W119" s="41">
        <f>data0!O110</f>
        <v>0.37094921507534473</v>
      </c>
      <c r="X119" s="41">
        <f>data0!P110</f>
        <v>0.36209797730168153</v>
      </c>
      <c r="Y119" s="41">
        <f>data0!Q110</f>
        <v>0.3710851303888516</v>
      </c>
      <c r="Z119" s="41">
        <f>data0!R110</f>
        <v>0.36178577592183386</v>
      </c>
      <c r="AA119" s="41" t="str">
        <f>data0!S110</f>
        <v/>
      </c>
      <c r="AB119" s="41" t="str">
        <f>data0!T110</f>
        <v/>
      </c>
      <c r="AC119" s="41" t="str">
        <f>data0!U110</f>
        <v/>
      </c>
      <c r="AD119" s="41">
        <f>data0!V110</f>
        <v>0.35834309437294715</v>
      </c>
      <c r="AE119" s="41">
        <f>data0!W110</f>
        <v>0.3599285959757349</v>
      </c>
      <c r="AF119" s="41" t="str">
        <f>data0!X110</f>
        <v/>
      </c>
      <c r="AG119" s="41"/>
      <c r="AH119" s="41">
        <f>data0!Z110</f>
        <v>0.35872504203013195</v>
      </c>
      <c r="AI119" s="41" t="str">
        <f>data0!AA110</f>
        <v/>
      </c>
      <c r="AJ119" s="41" t="str">
        <f>data0!AB110</f>
        <v/>
      </c>
      <c r="AK119" s="41">
        <f>data0!AC110</f>
        <v>0.36921986057064099</v>
      </c>
      <c r="AL119" s="41">
        <f>data0!AD110</f>
        <v>0.36551927046768634</v>
      </c>
      <c r="AM119" s="41">
        <f>data0!AE110</f>
        <v>0.35946509909739144</v>
      </c>
      <c r="AN119" s="41">
        <f>data0!AF110</f>
        <v>0.3747996997152761</v>
      </c>
      <c r="AO119" s="41">
        <f>data0!AG110</f>
        <v>0.37249000093330797</v>
      </c>
    </row>
    <row r="120" spans="1:41">
      <c r="A120" s="218"/>
      <c r="B120" s="40" t="str">
        <f t="shared" si="205"/>
        <v>y</v>
      </c>
      <c r="C120" s="40">
        <f>data0!B19</f>
        <v>0.37069999999999997</v>
      </c>
      <c r="D120" s="41">
        <f>AVERAGE(J120:AO120)</f>
        <v>0.36833078875836828</v>
      </c>
      <c r="E120" s="41">
        <f>STDEV(J120:AO120)</f>
        <v>1.186365590876067E-2</v>
      </c>
      <c r="F120" s="3">
        <f>E120/D120</f>
        <v>3.220924307944141E-2</v>
      </c>
      <c r="G120" s="2">
        <f>(MIN(J120:AO120)-$D120)/$E120</f>
        <v>-1.9265324795869632</v>
      </c>
      <c r="H120" s="2">
        <f>(MAX(J120:AO120)-$D120)/$E120</f>
        <v>2.6164511318581241</v>
      </c>
      <c r="I120" s="2">
        <f>G120+H120</f>
        <v>0.68991865227116089</v>
      </c>
      <c r="J120" s="41" t="str">
        <f>data0!B111</f>
        <v/>
      </c>
      <c r="K120" s="41">
        <f>data0!C111</f>
        <v>0.38746288912410703</v>
      </c>
      <c r="L120" s="41">
        <f>data0!D111</f>
        <v>0.36568770861314254</v>
      </c>
      <c r="M120" s="41">
        <f>data0!E111</f>
        <v>0.37853790450498009</v>
      </c>
      <c r="N120" s="41">
        <f>data0!F111</f>
        <v>0.3703650436203918</v>
      </c>
      <c r="O120" s="41">
        <f>data0!G111</f>
        <v>0.37419150336739759</v>
      </c>
      <c r="P120" s="41">
        <f>data0!H111</f>
        <v>0.37717718167363046</v>
      </c>
      <c r="Q120" s="41">
        <f>data0!I111</f>
        <v>0.38107083207974263</v>
      </c>
      <c r="R120" s="41">
        <f>data0!J111</f>
        <v>0.36269813413061919</v>
      </c>
      <c r="S120" s="41" t="str">
        <f>data0!K111</f>
        <v/>
      </c>
      <c r="T120" s="41">
        <f>data0!L111</f>
        <v>0.35987024634476339</v>
      </c>
      <c r="U120" s="41">
        <f>data0!M111</f>
        <v>0.36190928312332105</v>
      </c>
      <c r="V120" s="41">
        <f>data0!N111</f>
        <v>0.3598780931944795</v>
      </c>
      <c r="W120" s="41">
        <f>data0!O111</f>
        <v>0.36677193437846017</v>
      </c>
      <c r="X120" s="41">
        <f>data0!P111</f>
        <v>0.36444641493260638</v>
      </c>
      <c r="Y120" s="41">
        <f>data0!Q111</f>
        <v>0.3563126938267267</v>
      </c>
      <c r="Z120" s="41">
        <f>data0!R111</f>
        <v>0.36651170612852951</v>
      </c>
      <c r="AA120" s="41" t="str">
        <f>data0!S111</f>
        <v/>
      </c>
      <c r="AB120" s="41" t="str">
        <f>data0!T111</f>
        <v/>
      </c>
      <c r="AC120" s="41" t="str">
        <f>data0!U111</f>
        <v/>
      </c>
      <c r="AD120" s="41">
        <f>data0!V111</f>
        <v>0.36348216474256062</v>
      </c>
      <c r="AE120" s="41">
        <f>data0!W111</f>
        <v>0.3572237168988428</v>
      </c>
      <c r="AF120" s="41" t="str">
        <f>data0!X111</f>
        <v/>
      </c>
      <c r="AG120" s="41"/>
      <c r="AH120" s="41">
        <f>data0!Z111</f>
        <v>0.37340004612331584</v>
      </c>
      <c r="AI120" s="41" t="str">
        <f>data0!AA111</f>
        <v/>
      </c>
      <c r="AJ120" s="41" t="str">
        <f>data0!AB111</f>
        <v/>
      </c>
      <c r="AK120" s="41">
        <f>data0!AC111</f>
        <v>0.37712482301779782</v>
      </c>
      <c r="AL120" s="41">
        <f>data0!AD111</f>
        <v>0.34547507032349706</v>
      </c>
      <c r="AM120" s="41">
        <f>data0!AE111</f>
        <v>0.3534210478701742</v>
      </c>
      <c r="AN120" s="41">
        <f>data0!AF111</f>
        <v>0.36921823873456133</v>
      </c>
      <c r="AO120" s="41">
        <f>data0!AG111</f>
        <v>0.39937146468882045</v>
      </c>
    </row>
    <row r="121" spans="1:41">
      <c r="A121" s="218"/>
      <c r="B121" s="40" t="str">
        <f t="shared" si="205"/>
        <v>u</v>
      </c>
      <c r="C121" s="41">
        <f>getUVfromXY(C119,C120,0)</f>
        <v>0.2197586052749218</v>
      </c>
      <c r="D121" s="41">
        <f t="shared" ref="D121:D126" si="206">AVERAGE(J121:AO121)</f>
        <v>0.21731871658494384</v>
      </c>
      <c r="E121" s="41">
        <f t="shared" ref="E121:E126" si="207">STDEV(J121:AO121)</f>
        <v>5.9366280104814085E-3</v>
      </c>
      <c r="F121" s="3">
        <f t="shared" ref="F121:F122" si="208">E121/D121</f>
        <v>2.7317610299621597E-2</v>
      </c>
      <c r="G121" s="2">
        <f t="shared" ref="G121:G126" si="209">(MIN(J121:AO121)-$D121)/$E121</f>
        <v>-1.6809220534873131</v>
      </c>
      <c r="H121" s="2">
        <f t="shared" ref="H121:H126" si="210">(MAX(J121:AO121)-$D121)/$E121</f>
        <v>1.8886592986872364</v>
      </c>
      <c r="I121" s="2">
        <f t="shared" ref="I121:I126" si="211">G121+H121</f>
        <v>0.20773724519992331</v>
      </c>
      <c r="J121" s="52" t="str">
        <f>IF(J118&lt;&gt;"",getUVfromXY(J119,J120,0),"")</f>
        <v/>
      </c>
      <c r="K121" s="52">
        <f t="shared" ref="K121" si="212">IF(K118&lt;&gt;"",getUVfromXY(K119,K120,0),"")</f>
        <v>0.20733970763877513</v>
      </c>
      <c r="L121" s="52">
        <f t="shared" ref="L121" si="213">IF(L118&lt;&gt;"",getUVfromXY(L119,L120,0),"")</f>
        <v>0.21583298049294414</v>
      </c>
      <c r="M121" s="52">
        <f t="shared" ref="M121" si="214">IF(M118&lt;&gt;"",getUVfromXY(M119,M120,0),"")</f>
        <v>0.21068249817801313</v>
      </c>
      <c r="N121" s="52">
        <f t="shared" ref="N121" si="215">IF(N118&lt;&gt;"",getUVfromXY(N119,N120,0),"")</f>
        <v>0.21217922027290992</v>
      </c>
      <c r="O121" s="52">
        <f t="shared" ref="O121" si="216">IF(O118&lt;&gt;"",getUVfromXY(O119,O120,0),"")</f>
        <v>0.21337721111283714</v>
      </c>
      <c r="P121" s="52">
        <f t="shared" ref="P121" si="217">IF(P118&lt;&gt;"",getUVfromXY(P119,P120,0),"")</f>
        <v>0.21178852623621336</v>
      </c>
      <c r="Q121" s="52">
        <f t="shared" ref="Q121" si="218">IF(Q118&lt;&gt;"",getUVfromXY(Q119,Q120,0),"")</f>
        <v>0.2110228064685172</v>
      </c>
      <c r="R121" s="52">
        <f t="shared" ref="R121" si="219">IF(R118&lt;&gt;"",getUVfromXY(R119,R120,0),"")</f>
        <v>0.2162142802416811</v>
      </c>
      <c r="S121" s="52" t="str">
        <f t="shared" ref="S121" si="220">IF(S118&lt;&gt;"",getUVfromXY(S119,S120,0),"")</f>
        <v/>
      </c>
      <c r="T121" s="52">
        <f t="shared" ref="T121" si="221">IF(T118&lt;&gt;"",getUVfromXY(T119,T120,0),"")</f>
        <v>0.22181853046867267</v>
      </c>
      <c r="U121" s="52">
        <f t="shared" ref="U121" si="222">IF(U118&lt;&gt;"",getUVfromXY(U119,U120,0),"")</f>
        <v>0.21599342715916009</v>
      </c>
      <c r="V121" s="52">
        <f t="shared" ref="V121" si="223">IF(V118&lt;&gt;"",getUVfromXY(V119,V120,0),"")</f>
        <v>0.22853098427978666</v>
      </c>
      <c r="W121" s="52">
        <f t="shared" ref="W121" si="224">IF(W118&lt;&gt;"",getUVfromXY(W119,W120,0),"")</f>
        <v>0.22281357288384929</v>
      </c>
      <c r="X121" s="52">
        <f t="shared" ref="X121" si="225">IF(X118&lt;&gt;"",getUVfromXY(X119,X120,0),"")</f>
        <v>0.21783077652213892</v>
      </c>
      <c r="Y121" s="52">
        <f t="shared" ref="Y121" si="226">IF(Y118&lt;&gt;"",getUVfromXY(Y119,Y120,0),"")</f>
        <v>0.22718632853399612</v>
      </c>
      <c r="Z121" s="52">
        <f t="shared" ref="Z121" si="227">IF(Z118&lt;&gt;"",getUVfromXY(Z119,Z120,0),"")</f>
        <v>0.21681446707108623</v>
      </c>
      <c r="AA121" s="52" t="str">
        <f t="shared" ref="AA121" si="228">IF(AA118&lt;&gt;"",getUVfromXY(AA119,AA120,0),"")</f>
        <v/>
      </c>
      <c r="AB121" s="52" t="str">
        <f t="shared" ref="AB121" si="229">IF(AB118&lt;&gt;"",getUVfromXY(AB119,AB120,0),"")</f>
        <v/>
      </c>
      <c r="AC121" s="52" t="str">
        <f t="shared" ref="AC121" si="230">IF(AC118&lt;&gt;"",getUVfromXY(AC119,AC120,0),"")</f>
        <v/>
      </c>
      <c r="AD121" s="52">
        <f t="shared" ref="AD121" si="231">IF(AD118&lt;&gt;"",getUVfromXY(AD119,AD120,0),"")</f>
        <v>0.21570366483354808</v>
      </c>
      <c r="AE121" s="52">
        <f t="shared" ref="AE121" si="232">IF(AE118&lt;&gt;"",getUVfromXY(AE119,AE120,0),"")</f>
        <v>0.21924047851897968</v>
      </c>
      <c r="AF121" s="52" t="str">
        <f t="shared" ref="AF121" si="233">IF(AF118&lt;&gt;"",getUVfromXY(AF119,AF120,0),"")</f>
        <v/>
      </c>
      <c r="AG121" s="52" t="str">
        <f t="shared" ref="AG121" si="234">IF(AG118&lt;&gt;"",getUVfromXY(AG119,AG120,0),"")</f>
        <v/>
      </c>
      <c r="AH121" s="52">
        <f t="shared" ref="AH121" si="235">IF(AH118&lt;&gt;"",getUVfromXY(AH119,AH120,0),"")</f>
        <v>0.2121581861842626</v>
      </c>
      <c r="AI121" s="52" t="str">
        <f t="shared" ref="AI121" si="236">IF(AI118&lt;&gt;"",getUVfromXY(AI119,AI120,0),"")</f>
        <v/>
      </c>
      <c r="AJ121" s="52" t="str">
        <f t="shared" ref="AJ121" si="237">IF(AJ118&lt;&gt;"",getUVfromXY(AJ119,AJ120,0),"")</f>
        <v/>
      </c>
      <c r="AK121" s="52">
        <f t="shared" ref="AK121" si="238">IF(AK118&lt;&gt;"",getUVfromXY(AK119,AK120,0),"")</f>
        <v>0.21760229668561504</v>
      </c>
      <c r="AL121" s="52">
        <f t="shared" ref="AL121" si="239">IF(AL118&lt;&gt;"",getUVfromXY(AL119,AL120,0),"")</f>
        <v>0.22792736590344537</v>
      </c>
      <c r="AM121" s="52">
        <f t="shared" ref="AM121" si="240">IF(AM118&lt;&gt;"",getUVfromXY(AM119,AM120,0),"")</f>
        <v>0.2204589723164441</v>
      </c>
      <c r="AN121" s="52">
        <f t="shared" ref="AN121" si="241">IF(AN118&lt;&gt;"",getUVfromXY(AN119,AN120,0),"")</f>
        <v>0.22439671170377212</v>
      </c>
      <c r="AO121" s="52">
        <f t="shared" ref="AO121" si="242">IF(AO118&lt;&gt;"",getUVfromXY(AO119,AO120,0),"")</f>
        <v>0.21141748774706037</v>
      </c>
    </row>
    <row r="122" spans="1:41">
      <c r="A122" s="218"/>
      <c r="B122" s="40" t="str">
        <f t="shared" si="205"/>
        <v>v</v>
      </c>
      <c r="C122" s="41">
        <f>getUVfromXY(C119,C120,1)</f>
        <v>0.33142601698703622</v>
      </c>
      <c r="D122" s="41">
        <f t="shared" si="206"/>
        <v>0.33011984754588047</v>
      </c>
      <c r="E122" s="41">
        <f t="shared" si="207"/>
        <v>3.6326853881598824E-3</v>
      </c>
      <c r="F122" s="3">
        <f t="shared" si="208"/>
        <v>1.1004141117734545E-2</v>
      </c>
      <c r="G122" s="2">
        <f t="shared" si="209"/>
        <v>-1.920695872394707</v>
      </c>
      <c r="H122" s="2">
        <f t="shared" si="210"/>
        <v>2.7231683793622032</v>
      </c>
      <c r="I122" s="2">
        <f t="shared" si="211"/>
        <v>0.80247250696749628</v>
      </c>
      <c r="J122" s="52" t="str">
        <f>IF(J118&lt;&gt;"",getUVfromXY(J119,J120,1),"")</f>
        <v/>
      </c>
      <c r="K122" s="52">
        <f t="shared" ref="K122:AO122" si="243">IF(K118&lt;&gt;"",getUVfromXY(K119,K120,1),"")</f>
        <v>0.33541647482225878</v>
      </c>
      <c r="L122" s="52">
        <f t="shared" si="243"/>
        <v>0.32902349436662043</v>
      </c>
      <c r="M122" s="52">
        <f t="shared" si="243"/>
        <v>0.33284672029652795</v>
      </c>
      <c r="N122" s="52">
        <f t="shared" si="243"/>
        <v>0.33017408936803655</v>
      </c>
      <c r="O122" s="52">
        <f t="shared" si="243"/>
        <v>0.3317198895200108</v>
      </c>
      <c r="P122" s="52">
        <f t="shared" si="243"/>
        <v>0.33253607878306318</v>
      </c>
      <c r="Q122" s="52">
        <f t="shared" si="243"/>
        <v>0.3337804006214074</v>
      </c>
      <c r="R122" s="52">
        <f t="shared" si="243"/>
        <v>0.32798238622754144</v>
      </c>
      <c r="S122" s="52" t="str">
        <f t="shared" si="243"/>
        <v/>
      </c>
      <c r="T122" s="52">
        <f t="shared" si="243"/>
        <v>0.32776085843066433</v>
      </c>
      <c r="U122" s="52">
        <f t="shared" si="243"/>
        <v>0.32765828806176744</v>
      </c>
      <c r="V122" s="52">
        <f t="shared" si="243"/>
        <v>0.32875401256283626</v>
      </c>
      <c r="W122" s="52">
        <f t="shared" si="243"/>
        <v>0.33045668441077564</v>
      </c>
      <c r="X122" s="52">
        <f t="shared" si="243"/>
        <v>0.3288653232354467</v>
      </c>
      <c r="Y122" s="52">
        <f t="shared" si="243"/>
        <v>0.32721348590171312</v>
      </c>
      <c r="Z122" s="52">
        <f t="shared" si="243"/>
        <v>0.32947000211835564</v>
      </c>
      <c r="AA122" s="52" t="str">
        <f t="shared" si="243"/>
        <v/>
      </c>
      <c r="AB122" s="52" t="str">
        <f t="shared" si="243"/>
        <v/>
      </c>
      <c r="AC122" s="52" t="str">
        <f t="shared" si="243"/>
        <v/>
      </c>
      <c r="AD122" s="52">
        <f t="shared" si="243"/>
        <v>0.32819567169474478</v>
      </c>
      <c r="AE122" s="52">
        <f t="shared" si="243"/>
        <v>0.32638931515951597</v>
      </c>
      <c r="AF122" s="52" t="str">
        <f t="shared" si="243"/>
        <v/>
      </c>
      <c r="AG122" s="52" t="str">
        <f t="shared" si="243"/>
        <v/>
      </c>
      <c r="AH122" s="52">
        <f t="shared" si="243"/>
        <v>0.33125597836011306</v>
      </c>
      <c r="AI122" s="52" t="str">
        <f t="shared" si="243"/>
        <v/>
      </c>
      <c r="AJ122" s="52" t="str">
        <f t="shared" si="243"/>
        <v/>
      </c>
      <c r="AK122" s="52">
        <f t="shared" si="243"/>
        <v>0.33339171205063667</v>
      </c>
      <c r="AL122" s="52">
        <f t="shared" si="243"/>
        <v>0.32314256371513322</v>
      </c>
      <c r="AM122" s="52">
        <f t="shared" si="243"/>
        <v>0.32512825808723195</v>
      </c>
      <c r="AN122" s="52">
        <f t="shared" si="243"/>
        <v>0.33158254423376077</v>
      </c>
      <c r="AO122" s="52">
        <f t="shared" si="243"/>
        <v>0.34001226152708858</v>
      </c>
    </row>
    <row r="123" spans="1:41">
      <c r="A123" s="218"/>
      <c r="B123" s="40" t="str">
        <f t="shared" si="205"/>
        <v>Δxy</v>
      </c>
      <c r="C123" s="40">
        <v>0</v>
      </c>
      <c r="D123" s="41">
        <f t="shared" si="206"/>
        <v>1.2945736894357074E-2</v>
      </c>
      <c r="E123" s="41">
        <f t="shared" si="207"/>
        <v>5.8379525616185281E-3</v>
      </c>
      <c r="F123" s="72">
        <f>ABS(D123)+1.5*E123</f>
        <v>2.1702665736784865E-2</v>
      </c>
      <c r="G123" s="2">
        <f t="shared" si="209"/>
        <v>-1.442165865758859</v>
      </c>
      <c r="H123" s="2">
        <f t="shared" si="210"/>
        <v>2.736428166453444</v>
      </c>
      <c r="I123" s="2">
        <f t="shared" si="211"/>
        <v>1.294262300694585</v>
      </c>
      <c r="J123" s="52" t="str">
        <f>IF(J118&lt;&gt;"",((J119-$C119)^2+(J120-$C120)^2)^0.5,"")</f>
        <v/>
      </c>
      <c r="K123" s="52">
        <f t="shared" ref="K123:AO123" si="244">IF(K118&lt;&gt;"",((K119-$C119)^2+(K120-$C120)^2)^0.5,"")</f>
        <v>1.9233892326995537E-2</v>
      </c>
      <c r="L123" s="52">
        <f t="shared" si="244"/>
        <v>1.0191724677164159E-2</v>
      </c>
      <c r="M123" s="52">
        <f t="shared" si="244"/>
        <v>1.2158086759789634E-2</v>
      </c>
      <c r="N123" s="52">
        <f t="shared" si="244"/>
        <v>1.1694199544428869E-2</v>
      </c>
      <c r="O123" s="52">
        <f t="shared" si="244"/>
        <v>8.4133781252187963E-3</v>
      </c>
      <c r="P123" s="52">
        <f t="shared" si="244"/>
        <v>1.0583576757380779E-2</v>
      </c>
      <c r="Q123" s="52">
        <f t="shared" si="244"/>
        <v>1.2693277756139798E-2</v>
      </c>
      <c r="R123" s="52">
        <f t="shared" si="244"/>
        <v>1.2846751533281787E-2</v>
      </c>
      <c r="S123" s="52" t="str">
        <f t="shared" si="244"/>
        <v/>
      </c>
      <c r="T123" s="52">
        <f t="shared" si="244"/>
        <v>1.1343829403480726E-2</v>
      </c>
      <c r="U123" s="52">
        <f t="shared" si="244"/>
        <v>1.395823377655598E-2</v>
      </c>
      <c r="V123" s="52">
        <f t="shared" si="244"/>
        <v>1.2649748218387609E-2</v>
      </c>
      <c r="W123" s="52">
        <f t="shared" si="244"/>
        <v>4.5264409840713405E-3</v>
      </c>
      <c r="X123" s="52">
        <f t="shared" si="244"/>
        <v>9.0936257842645397E-3</v>
      </c>
      <c r="Y123" s="52">
        <f t="shared" si="244"/>
        <v>1.4583669836338537E-2</v>
      </c>
      <c r="Z123" s="52">
        <f t="shared" si="244"/>
        <v>8.0838295477384838E-3</v>
      </c>
      <c r="AA123" s="52" t="str">
        <f t="shared" si="244"/>
        <v/>
      </c>
      <c r="AB123" s="52" t="str">
        <f t="shared" si="244"/>
        <v/>
      </c>
      <c r="AC123" s="52" t="str">
        <f t="shared" si="244"/>
        <v/>
      </c>
      <c r="AD123" s="52">
        <f t="shared" si="244"/>
        <v>1.2623891633375749E-2</v>
      </c>
      <c r="AE123" s="52">
        <f t="shared" si="244"/>
        <v>1.6079419603313699E-2</v>
      </c>
      <c r="AF123" s="52" t="str">
        <f t="shared" si="244"/>
        <v/>
      </c>
      <c r="AG123" s="52" t="str">
        <f t="shared" si="244"/>
        <v/>
      </c>
      <c r="AH123" s="52">
        <f t="shared" si="244"/>
        <v>1.0333926435226244E-2</v>
      </c>
      <c r="AI123" s="52" t="str">
        <f t="shared" si="244"/>
        <v/>
      </c>
      <c r="AJ123" s="52" t="str">
        <f t="shared" si="244"/>
        <v/>
      </c>
      <c r="AK123" s="52">
        <f t="shared" si="244"/>
        <v>6.445820802887102E-3</v>
      </c>
      <c r="AL123" s="52">
        <f t="shared" si="244"/>
        <v>2.5424675367489945E-2</v>
      </c>
      <c r="AM123" s="52">
        <f t="shared" si="244"/>
        <v>1.9591977475125158E-2</v>
      </c>
      <c r="AN123" s="52">
        <f t="shared" si="244"/>
        <v>6.2770975031692273E-3</v>
      </c>
      <c r="AO123" s="52">
        <f t="shared" si="244"/>
        <v>2.8920874718389049E-2</v>
      </c>
    </row>
    <row r="124" spans="1:41" s="40" customFormat="1">
      <c r="A124" s="217">
        <f>10^6/A118</f>
        <v>230.89355806972986</v>
      </c>
      <c r="B124" s="40" t="s">
        <v>3</v>
      </c>
      <c r="C124" s="197"/>
      <c r="D124" s="30">
        <f t="shared" si="206"/>
        <v>4481.347826086957</v>
      </c>
      <c r="E124" s="30">
        <f t="shared" si="207"/>
        <v>197.96087967430151</v>
      </c>
      <c r="F124" s="73">
        <f>ABS(D124-A118)+1.5*E124</f>
        <v>447.28914559840922</v>
      </c>
      <c r="G124" s="2">
        <f t="shared" si="209"/>
        <v>-2.1789548864232127</v>
      </c>
      <c r="H124" s="2">
        <f t="shared" si="210"/>
        <v>1.160088671513696</v>
      </c>
      <c r="I124" s="2">
        <f t="shared" si="211"/>
        <v>-1.0188662149095167</v>
      </c>
      <c r="J124" s="30" t="str">
        <f>IF(J118&lt;&gt;"",getCCTfromXY(J119,J120,0),"")</f>
        <v/>
      </c>
      <c r="K124" s="30">
        <f t="shared" ref="K124:AO124" si="245">IF(K118&lt;&gt;"",getCCTfromXY(K119,K120,0),"")</f>
        <v>4711</v>
      </c>
      <c r="L124" s="30">
        <f t="shared" si="245"/>
        <v>4586</v>
      </c>
      <c r="M124" s="30">
        <f t="shared" si="245"/>
        <v>4666</v>
      </c>
      <c r="N124" s="30">
        <f t="shared" si="245"/>
        <v>4704</v>
      </c>
      <c r="O124" s="30">
        <f t="shared" si="245"/>
        <v>4592</v>
      </c>
      <c r="P124" s="30">
        <f t="shared" si="245"/>
        <v>4630</v>
      </c>
      <c r="Q124" s="30">
        <f t="shared" si="245"/>
        <v>4617</v>
      </c>
      <c r="R124" s="30">
        <f t="shared" si="245"/>
        <v>4610</v>
      </c>
      <c r="S124" s="30" t="str">
        <f t="shared" si="245"/>
        <v/>
      </c>
      <c r="T124" s="30">
        <f t="shared" si="245"/>
        <v>4368</v>
      </c>
      <c r="U124" s="30">
        <f t="shared" si="245"/>
        <v>4633</v>
      </c>
      <c r="V124" s="30">
        <f t="shared" si="245"/>
        <v>4050</v>
      </c>
      <c r="W124" s="30">
        <f t="shared" si="245"/>
        <v>4235</v>
      </c>
      <c r="X124" s="30">
        <f t="shared" si="245"/>
        <v>4504</v>
      </c>
      <c r="Y124" s="30">
        <f t="shared" si="245"/>
        <v>4153</v>
      </c>
      <c r="Z124" s="30">
        <f t="shared" si="245"/>
        <v>4526</v>
      </c>
      <c r="AA124" s="30" t="str">
        <f t="shared" si="245"/>
        <v/>
      </c>
      <c r="AB124" s="30" t="str">
        <f t="shared" si="245"/>
        <v/>
      </c>
      <c r="AC124" s="30" t="str">
        <f t="shared" si="245"/>
        <v/>
      </c>
      <c r="AD124" s="30">
        <f t="shared" si="245"/>
        <v>4624</v>
      </c>
      <c r="AE124" s="30">
        <f t="shared" si="245"/>
        <v>4534</v>
      </c>
      <c r="AF124" s="30" t="str">
        <f t="shared" si="245"/>
        <v/>
      </c>
      <c r="AG124" s="30" t="str">
        <f t="shared" si="245"/>
        <v/>
      </c>
      <c r="AH124" s="30">
        <f t="shared" si="245"/>
        <v>4663</v>
      </c>
      <c r="AI124" s="30" t="str">
        <f t="shared" si="245"/>
        <v/>
      </c>
      <c r="AJ124" s="30" t="str">
        <f t="shared" si="245"/>
        <v/>
      </c>
      <c r="AK124" s="30">
        <f t="shared" si="245"/>
        <v>4356</v>
      </c>
      <c r="AL124" s="30">
        <f t="shared" si="245"/>
        <v>4255</v>
      </c>
      <c r="AM124" s="30">
        <f t="shared" si="245"/>
        <v>4527</v>
      </c>
      <c r="AN124" s="30">
        <f t="shared" si="245"/>
        <v>4136</v>
      </c>
      <c r="AO124" s="30">
        <f t="shared" si="245"/>
        <v>4391</v>
      </c>
    </row>
    <row r="125" spans="1:41" s="40" customFormat="1">
      <c r="A125" s="217"/>
      <c r="B125" s="40" t="s">
        <v>73</v>
      </c>
      <c r="C125" s="197"/>
      <c r="D125" s="3">
        <f t="shared" si="206"/>
        <v>-3.4714344513266326E-2</v>
      </c>
      <c r="E125" s="3">
        <f t="shared" si="207"/>
        <v>4.5707891866612935E-2</v>
      </c>
      <c r="F125" s="74">
        <f t="shared" ref="F125:F126" si="246">ABS(D125)+1.5*E125</f>
        <v>0.10327618231318572</v>
      </c>
      <c r="G125" s="2">
        <f t="shared" si="209"/>
        <v>-1.1600886715137053</v>
      </c>
      <c r="H125" s="2">
        <f t="shared" si="210"/>
        <v>2.1789548864232207</v>
      </c>
      <c r="I125" s="2">
        <f t="shared" si="211"/>
        <v>1.0188662149095153</v>
      </c>
      <c r="J125" s="3" t="str">
        <f>IF(J118&lt;&gt;"",1-J124/$A118,"")</f>
        <v/>
      </c>
      <c r="K125" s="3">
        <f t="shared" ref="K125" si="247">IF(K118&lt;&gt;"",1-K124/$A118,"")</f>
        <v>-8.7739552066497417E-2</v>
      </c>
      <c r="L125" s="3">
        <f t="shared" ref="L125" si="248">IF(L118&lt;&gt;"",1-L124/$A118,"")</f>
        <v>-5.8877857307781056E-2</v>
      </c>
      <c r="M125" s="3">
        <f t="shared" ref="M125" si="249">IF(M118&lt;&gt;"",1-M124/$A118,"")</f>
        <v>-7.7349341953359518E-2</v>
      </c>
      <c r="N125" s="3">
        <f t="shared" ref="N125" si="250">IF(N118&lt;&gt;"",1-N124/$A118,"")</f>
        <v>-8.6123297160009216E-2</v>
      </c>
      <c r="O125" s="3">
        <f t="shared" ref="O125" si="251">IF(O118&lt;&gt;"",1-O124/$A118,"")</f>
        <v>-6.0263218656199546E-2</v>
      </c>
      <c r="P125" s="3">
        <f t="shared" ref="P125" si="252">IF(P118&lt;&gt;"",1-P124/$A118,"")</f>
        <v>-6.9037173862849244E-2</v>
      </c>
      <c r="Q125" s="3">
        <f t="shared" ref="Q125" si="253">IF(Q118&lt;&gt;"",1-Q124/$A118,"")</f>
        <v>-6.6035557607942774E-2</v>
      </c>
      <c r="R125" s="3">
        <f t="shared" ref="R125" si="254">IF(R118&lt;&gt;"",1-R124/$A118,"")</f>
        <v>-6.4419302701454573E-2</v>
      </c>
      <c r="S125" s="3" t="str">
        <f t="shared" ref="S125" si="255">IF(S118&lt;&gt;"",1-S124/$A118,"")</f>
        <v/>
      </c>
      <c r="T125" s="3">
        <f t="shared" ref="T125" si="256">IF(T118&lt;&gt;"",1-T124/$A118,"")</f>
        <v>-8.543061648579986E-3</v>
      </c>
      <c r="U125" s="3">
        <f t="shared" ref="U125" si="257">IF(U118&lt;&gt;"",1-U124/$A118,"")</f>
        <v>-6.9729854537058378E-2</v>
      </c>
      <c r="V125" s="3">
        <f t="shared" ref="V125" si="258">IF(V118&lt;&gt;"",1-V124/$A118,"")</f>
        <v>6.4881089817594106E-2</v>
      </c>
      <c r="W125" s="3">
        <f t="shared" ref="W125" si="259">IF(W118&lt;&gt;"",1-W124/$A118,"")</f>
        <v>2.2165781574694066E-2</v>
      </c>
      <c r="X125" s="3">
        <f t="shared" ref="X125" si="260">IF(X118&lt;&gt;"",1-X124/$A118,"")</f>
        <v>-3.9944585546063172E-2</v>
      </c>
      <c r="Y125" s="3">
        <f t="shared" ref="Y125" si="261">IF(Y118&lt;&gt;"",1-Y124/$A118,"")</f>
        <v>4.109905333641195E-2</v>
      </c>
      <c r="Z125" s="3">
        <f t="shared" ref="Z125" si="262">IF(Z118&lt;&gt;"",1-Z124/$A118,"")</f>
        <v>-4.5024243823597265E-2</v>
      </c>
      <c r="AA125" s="3" t="str">
        <f t="shared" ref="AA125" si="263">IF(AA118&lt;&gt;"",1-AA124/$A118,"")</f>
        <v/>
      </c>
      <c r="AB125" s="3" t="str">
        <f t="shared" ref="AB125" si="264">IF(AB118&lt;&gt;"",1-AB124/$A118,"")</f>
        <v/>
      </c>
      <c r="AC125" s="3" t="str">
        <f t="shared" ref="AC125" si="265">IF(AC118&lt;&gt;"",1-AC124/$A118,"")</f>
        <v/>
      </c>
      <c r="AD125" s="3">
        <f t="shared" ref="AD125" si="266">IF(AD118&lt;&gt;"",1-AD124/$A118,"")</f>
        <v>-6.7651812514430754E-2</v>
      </c>
      <c r="AE125" s="3">
        <f t="shared" ref="AE125" si="267">IF(AE118&lt;&gt;"",1-AE124/$A118,"")</f>
        <v>-4.6871392288155178E-2</v>
      </c>
      <c r="AF125" s="3" t="str">
        <f t="shared" ref="AF125" si="268">IF(AF118&lt;&gt;"",1-AF124/$A118,"")</f>
        <v/>
      </c>
      <c r="AG125" s="3" t="str">
        <f t="shared" ref="AG125" si="269">IF(AG118&lt;&gt;"",1-AG124/$A118,"")</f>
        <v/>
      </c>
      <c r="AH125" s="3">
        <f t="shared" ref="AH125" si="270">IF(AH118&lt;&gt;"",1-AH124/$A118,"")</f>
        <v>-7.6656661279150384E-2</v>
      </c>
      <c r="AI125" s="3" t="str">
        <f t="shared" ref="AI125" si="271">IF(AI118&lt;&gt;"",1-AI124/$A118,"")</f>
        <v/>
      </c>
      <c r="AJ125" s="3" t="str">
        <f t="shared" ref="AJ125" si="272">IF(AJ118&lt;&gt;"",1-AJ124/$A118,"")</f>
        <v/>
      </c>
      <c r="AK125" s="3">
        <f t="shared" ref="AK125" si="273">IF(AK118&lt;&gt;"",1-AK124/$A118,"")</f>
        <v>-5.7723389517432278E-3</v>
      </c>
      <c r="AL125" s="3">
        <f t="shared" ref="AL125" si="274">IF(AL118&lt;&gt;"",1-AL124/$A118,"")</f>
        <v>1.7547910413299506E-2</v>
      </c>
      <c r="AM125" s="3">
        <f t="shared" ref="AM125" si="275">IF(AM118&lt;&gt;"",1-AM124/$A118,"")</f>
        <v>-4.5255137381666977E-2</v>
      </c>
      <c r="AN125" s="3">
        <f t="shared" ref="AN125" si="276">IF(AN118&lt;&gt;"",1-AN124/$A118,"")</f>
        <v>4.5024243823597376E-2</v>
      </c>
      <c r="AO125" s="3">
        <f t="shared" ref="AO125" si="277">IF(AO118&lt;&gt;"",1-AO124/$A118,"")</f>
        <v>-1.3853613484183791E-2</v>
      </c>
    </row>
    <row r="126" spans="1:41" s="40" customFormat="1">
      <c r="A126" s="217"/>
      <c r="B126" s="40" t="s">
        <v>14</v>
      </c>
      <c r="C126" s="197"/>
      <c r="D126" s="2">
        <f t="shared" si="206"/>
        <v>-7.3133520050735816</v>
      </c>
      <c r="E126" s="2">
        <f t="shared" si="207"/>
        <v>10.256277099473643</v>
      </c>
      <c r="F126" s="75">
        <f t="shared" si="246"/>
        <v>22.697767654284046</v>
      </c>
      <c r="G126" s="2">
        <f t="shared" si="209"/>
        <v>-1.1028415733610788</v>
      </c>
      <c r="H126" s="2">
        <f t="shared" si="210"/>
        <v>2.2750335190782596</v>
      </c>
      <c r="I126" s="2">
        <f t="shared" si="211"/>
        <v>1.1721919457171808</v>
      </c>
      <c r="J126" s="2" t="str">
        <f>IF(J118&lt;&gt;"",10^6/J124-$A124,"")</f>
        <v/>
      </c>
      <c r="K126" s="2">
        <f t="shared" ref="K126:AO126" si="278">IF(K118&lt;&gt;"",10^6/K124-$A124,"")</f>
        <v>-18.624400778284297</v>
      </c>
      <c r="L126" s="2">
        <f t="shared" si="278"/>
        <v>-12.838608222368322</v>
      </c>
      <c r="M126" s="2">
        <f t="shared" si="278"/>
        <v>-16.577227165314952</v>
      </c>
      <c r="N126" s="2">
        <f t="shared" si="278"/>
        <v>-18.308524056124412</v>
      </c>
      <c r="O126" s="2">
        <f t="shared" si="278"/>
        <v>-13.123523226524298</v>
      </c>
      <c r="P126" s="2">
        <f t="shared" si="278"/>
        <v>-14.910836687440451</v>
      </c>
      <c r="Q126" s="2">
        <f t="shared" si="278"/>
        <v>-14.302698204016195</v>
      </c>
      <c r="R126" s="2">
        <f t="shared" si="278"/>
        <v>-13.973818373417487</v>
      </c>
      <c r="S126" s="2" t="str">
        <f t="shared" si="278"/>
        <v/>
      </c>
      <c r="T126" s="2">
        <f t="shared" si="278"/>
        <v>-1.9558291320009289</v>
      </c>
      <c r="U126" s="2">
        <f t="shared" si="278"/>
        <v>-15.050691676464169</v>
      </c>
      <c r="V126" s="2">
        <f t="shared" si="278"/>
        <v>16.020022177183705</v>
      </c>
      <c r="W126" s="2">
        <f t="shared" si="278"/>
        <v>5.233950785051718</v>
      </c>
      <c r="X126" s="2">
        <f t="shared" si="278"/>
        <v>-8.8686912846499411</v>
      </c>
      <c r="Y126" s="2">
        <f t="shared" si="278"/>
        <v>9.8962324431523996</v>
      </c>
      <c r="Z126" s="2">
        <f t="shared" si="278"/>
        <v>-9.9479106989830655</v>
      </c>
      <c r="AA126" s="2" t="str">
        <f t="shared" si="278"/>
        <v/>
      </c>
      <c r="AB126" s="2" t="str">
        <f t="shared" si="278"/>
        <v/>
      </c>
      <c r="AC126" s="2" t="str">
        <f t="shared" si="278"/>
        <v/>
      </c>
      <c r="AD126" s="2">
        <f t="shared" si="278"/>
        <v>-14.630582291183146</v>
      </c>
      <c r="AE126" s="2">
        <f t="shared" si="278"/>
        <v>-10.337757452173634</v>
      </c>
      <c r="AF126" s="2" t="str">
        <f t="shared" si="278"/>
        <v/>
      </c>
      <c r="AG126" s="2" t="str">
        <f t="shared" si="278"/>
        <v/>
      </c>
      <c r="AH126" s="2">
        <f t="shared" si="278"/>
        <v>-16.439344044424274</v>
      </c>
      <c r="AI126" s="2" t="str">
        <f t="shared" si="278"/>
        <v/>
      </c>
      <c r="AJ126" s="2" t="str">
        <f t="shared" si="278"/>
        <v/>
      </c>
      <c r="AK126" s="2">
        <f t="shared" si="278"/>
        <v>-1.3251466831366656</v>
      </c>
      <c r="AL126" s="2">
        <f t="shared" si="278"/>
        <v>4.1240682522442853</v>
      </c>
      <c r="AM126" s="2">
        <f t="shared" si="278"/>
        <v>-9.9967168945586593</v>
      </c>
      <c r="AN126" s="2">
        <f t="shared" si="278"/>
        <v>10.885939028916169</v>
      </c>
      <c r="AO126" s="2">
        <f t="shared" si="278"/>
        <v>-3.1550019321757645</v>
      </c>
    </row>
    <row r="127" spans="1:41">
      <c r="A127" s="218">
        <f>getCCTfromXY(C128,C129,0)</f>
        <v>15742</v>
      </c>
      <c r="B127" s="40" t="str">
        <f t="shared" ref="B127:B132" si="279">B118</f>
        <v>Ev</v>
      </c>
      <c r="C127" s="40">
        <f>data0!B23</f>
        <v>150.4</v>
      </c>
      <c r="D127" s="2">
        <f>data0!AH115</f>
        <v>150.59626387596754</v>
      </c>
      <c r="E127" s="2">
        <f>data0!AI115</f>
        <v>8.1349654653505858</v>
      </c>
      <c r="F127" s="3">
        <f>data0!AJ115</f>
        <v>5.401837506440809E-2</v>
      </c>
      <c r="G127" s="2">
        <f>data0!AK115</f>
        <v>-1.9443901143338485</v>
      </c>
      <c r="H127" s="2">
        <f>data0!AL115</f>
        <v>1.784419130027104</v>
      </c>
      <c r="I127" s="2">
        <f>data0!AM115</f>
        <v>-0.1599709843067445</v>
      </c>
      <c r="J127" s="2" t="str">
        <f>data0!B115</f>
        <v/>
      </c>
      <c r="K127" s="2">
        <f>data0!C115</f>
        <v>165.11245187444896</v>
      </c>
      <c r="L127" s="2">
        <f>data0!D115</f>
        <v>143.77996066431598</v>
      </c>
      <c r="M127" s="2">
        <f>data0!E115</f>
        <v>156.18233020569528</v>
      </c>
      <c r="N127" s="2">
        <f>data0!F115</f>
        <v>145.799670216908</v>
      </c>
      <c r="O127" s="2">
        <f>data0!G115</f>
        <v>150.9507222194851</v>
      </c>
      <c r="P127" s="2">
        <f>data0!H115</f>
        <v>147.87356149138498</v>
      </c>
      <c r="Q127" s="2">
        <f>data0!I115</f>
        <v>160.97091100927</v>
      </c>
      <c r="R127" s="2">
        <f>data0!J115</f>
        <v>141.05272623505115</v>
      </c>
      <c r="S127" s="2" t="str">
        <f>data0!K115</f>
        <v/>
      </c>
      <c r="T127" s="2">
        <f>data0!L115</f>
        <v>143.21408694097522</v>
      </c>
      <c r="U127" s="2">
        <f>data0!M115</f>
        <v>149.9268818857083</v>
      </c>
      <c r="V127" s="2">
        <f>data0!N115</f>
        <v>151.8903396437114</v>
      </c>
      <c r="W127" s="2">
        <f>data0!O115</f>
        <v>160.400196117435</v>
      </c>
      <c r="X127" s="2">
        <f>data0!P115</f>
        <v>152.11707497820595</v>
      </c>
      <c r="Y127" s="2">
        <f>data0!Q115</f>
        <v>150.6577180508265</v>
      </c>
      <c r="Z127" s="2">
        <f>data0!R115</f>
        <v>149.22240354513983</v>
      </c>
      <c r="AA127" s="2" t="str">
        <f>data0!S115</f>
        <v/>
      </c>
      <c r="AB127" s="2" t="str">
        <f>data0!T115</f>
        <v/>
      </c>
      <c r="AC127" s="2" t="str">
        <f>data0!U115</f>
        <v/>
      </c>
      <c r="AD127" s="2">
        <f>data0!V115</f>
        <v>164.12701937996786</v>
      </c>
      <c r="AE127" s="2">
        <f>data0!W115</f>
        <v>150.48349241630456</v>
      </c>
      <c r="AF127" s="2" t="str">
        <f>data0!X115</f>
        <v/>
      </c>
      <c r="AG127" s="2"/>
      <c r="AH127" s="2">
        <f>data0!Z115</f>
        <v>151.29772519381726</v>
      </c>
      <c r="AI127" s="2" t="str">
        <f>data0!AA115</f>
        <v/>
      </c>
      <c r="AJ127" s="2" t="str">
        <f>data0!AB115</f>
        <v/>
      </c>
      <c r="AK127" s="2">
        <f>data0!AC115</f>
        <v>134.7787174446926</v>
      </c>
      <c r="AL127" s="2">
        <f>data0!AD115</f>
        <v>150.7354413172641</v>
      </c>
      <c r="AM127" s="2">
        <f>data0!AE115</f>
        <v>137.59379726912982</v>
      </c>
      <c r="AN127" s="2">
        <f>data0!AF115</f>
        <v>143.58159274087691</v>
      </c>
      <c r="AO127" s="2">
        <f>data0!AG115</f>
        <v>161.96524830663822</v>
      </c>
    </row>
    <row r="128" spans="1:41">
      <c r="A128" s="218"/>
      <c r="B128" s="40" t="str">
        <f t="shared" si="279"/>
        <v>x</v>
      </c>
      <c r="C128" s="40">
        <f>data0!B24</f>
        <v>0.23319999999999999</v>
      </c>
      <c r="D128" s="41">
        <f>data0!AH116</f>
        <v>0.23670492359770873</v>
      </c>
      <c r="E128" s="41">
        <f>data0!AI116</f>
        <v>2.2767268606109677E-3</v>
      </c>
      <c r="F128" s="3">
        <f>data0!AJ116</f>
        <v>9.6184178428006563E-3</v>
      </c>
      <c r="G128" s="2">
        <f>data0!AK116</f>
        <v>-1.7380335589491134</v>
      </c>
      <c r="H128" s="2">
        <f>data0!AL116</f>
        <v>2.4066803203934404</v>
      </c>
      <c r="I128" s="2">
        <f>data0!AM116</f>
        <v>0.668646761444327</v>
      </c>
      <c r="J128" s="41" t="str">
        <f>data0!B116</f>
        <v/>
      </c>
      <c r="K128" s="41">
        <f>data0!C116</f>
        <v>0.23434839977999319</v>
      </c>
      <c r="L128" s="41">
        <f>data0!D116</f>
        <v>0.2347241832718093</v>
      </c>
      <c r="M128" s="41">
        <f>data0!E116</f>
        <v>0.23963931357589424</v>
      </c>
      <c r="N128" s="41">
        <f>data0!F116</f>
        <v>0.23454750274920089</v>
      </c>
      <c r="O128" s="41">
        <f>data0!G116</f>
        <v>0.23921593093423243</v>
      </c>
      <c r="P128" s="41">
        <f>data0!H116</f>
        <v>0.23596133821296197</v>
      </c>
      <c r="Q128" s="41">
        <f>data0!I116</f>
        <v>0.23586452739996935</v>
      </c>
      <c r="R128" s="41">
        <f>data0!J116</f>
        <v>0.23513720944359429</v>
      </c>
      <c r="S128" s="41" t="str">
        <f>data0!K116</f>
        <v/>
      </c>
      <c r="T128" s="41">
        <f>data0!L116</f>
        <v>0.23742839726645998</v>
      </c>
      <c r="U128" s="41">
        <f>data0!M116</f>
        <v>0.23946045356518431</v>
      </c>
      <c r="V128" s="41">
        <f>data0!N116</f>
        <v>0.23503992775255661</v>
      </c>
      <c r="W128" s="41">
        <f>data0!O116</f>
        <v>0.23925890002271707</v>
      </c>
      <c r="X128" s="41">
        <f>data0!P116</f>
        <v>0.23472524745897966</v>
      </c>
      <c r="Y128" s="41">
        <f>data0!Q116</f>
        <v>0.23457240383480663</v>
      </c>
      <c r="Z128" s="41">
        <f>data0!R116</f>
        <v>0.23675314052121813</v>
      </c>
      <c r="AA128" s="41" t="str">
        <f>data0!S116</f>
        <v/>
      </c>
      <c r="AB128" s="41" t="str">
        <f>data0!T116</f>
        <v/>
      </c>
      <c r="AC128" s="41" t="str">
        <f>data0!U116</f>
        <v/>
      </c>
      <c r="AD128" s="41">
        <f>data0!V116</f>
        <v>0.23752881140235679</v>
      </c>
      <c r="AE128" s="41">
        <f>data0!W116</f>
        <v>0.23765041353733696</v>
      </c>
      <c r="AF128" s="41" t="str">
        <f>data0!X116</f>
        <v/>
      </c>
      <c r="AG128" s="41"/>
      <c r="AH128" s="41">
        <f>data0!Z116</f>
        <v>0.23666527837348453</v>
      </c>
      <c r="AI128" s="41" t="str">
        <f>data0!AA116</f>
        <v/>
      </c>
      <c r="AJ128" s="41" t="str">
        <f>data0!AB116</f>
        <v/>
      </c>
      <c r="AK128" s="41">
        <f>data0!AC116</f>
        <v>0.23874268276099156</v>
      </c>
      <c r="AL128" s="41">
        <f>data0!AD116</f>
        <v>0.2339839259912106</v>
      </c>
      <c r="AM128" s="41">
        <f>data0!AE116</f>
        <v>0.23274789590940601</v>
      </c>
      <c r="AN128" s="41">
        <f>data0!AF116</f>
        <v>0.24218427732805228</v>
      </c>
      <c r="AO128" s="41">
        <f>data0!AG116</f>
        <v>0.23803308165488435</v>
      </c>
    </row>
    <row r="129" spans="1:41">
      <c r="A129" s="218"/>
      <c r="B129" s="40" t="str">
        <f t="shared" si="279"/>
        <v>y</v>
      </c>
      <c r="C129" s="40">
        <f>data0!B25</f>
        <v>0.2999</v>
      </c>
      <c r="D129" s="41">
        <f>AVERAGE(J129:AO129)</f>
        <v>0.30198518719901157</v>
      </c>
      <c r="E129" s="41">
        <f>STDEV(J129:AO129)</f>
        <v>1.0155814061023845E-2</v>
      </c>
      <c r="F129" s="3">
        <f>E129/D129</f>
        <v>3.363017290755739E-2</v>
      </c>
      <c r="G129" s="2">
        <f>(MIN(J129:AO129)-$D129)/$E129</f>
        <v>-1.439267030481443</v>
      </c>
      <c r="H129" s="2">
        <f>(MAX(J129:AO129)-$D129)/$E129</f>
        <v>2.2272441965717342</v>
      </c>
      <c r="I129" s="2">
        <f>G129+H129</f>
        <v>0.78797716609029123</v>
      </c>
      <c r="J129" s="41" t="str">
        <f>data0!B117</f>
        <v/>
      </c>
      <c r="K129" s="41">
        <f>data0!C117</f>
        <v>0.31639730342770533</v>
      </c>
      <c r="L129" s="41">
        <f>data0!D117</f>
        <v>0.29410052302924572</v>
      </c>
      <c r="M129" s="41">
        <f>data0!E117</f>
        <v>0.31127167100236486</v>
      </c>
      <c r="N129" s="41">
        <f>data0!F117</f>
        <v>0.28912255041947743</v>
      </c>
      <c r="O129" s="41">
        <f>data0!G117</f>
        <v>0.31680958918618946</v>
      </c>
      <c r="P129" s="41">
        <f>data0!H117</f>
        <v>0.29965196577507769</v>
      </c>
      <c r="Q129" s="41">
        <f>data0!I117</f>
        <v>0.31225062255633779</v>
      </c>
      <c r="R129" s="41">
        <f>data0!J117</f>
        <v>0.29212559373862029</v>
      </c>
      <c r="S129" s="41" t="str">
        <f>data0!K117</f>
        <v/>
      </c>
      <c r="T129" s="41">
        <f>data0!L117</f>
        <v>0.29875088383460691</v>
      </c>
      <c r="U129" s="41">
        <f>data0!M117</f>
        <v>0.30465295444017654</v>
      </c>
      <c r="V129" s="41">
        <f>data0!N117</f>
        <v>0.29850869266669999</v>
      </c>
      <c r="W129" s="41">
        <f>data0!O117</f>
        <v>0.2985376119371343</v>
      </c>
      <c r="X129" s="41">
        <f>data0!P117</f>
        <v>0.29579297819400457</v>
      </c>
      <c r="Y129" s="41">
        <f>data0!Q117</f>
        <v>0.2873682588532801</v>
      </c>
      <c r="Z129" s="41">
        <f>data0!R117</f>
        <v>0.29853239909842921</v>
      </c>
      <c r="AA129" s="41" t="str">
        <f>data0!S117</f>
        <v/>
      </c>
      <c r="AB129" s="41" t="str">
        <f>data0!T117</f>
        <v/>
      </c>
      <c r="AC129" s="41" t="str">
        <f>data0!U117</f>
        <v/>
      </c>
      <c r="AD129" s="41">
        <f>data0!V117</f>
        <v>0.30598408496076601</v>
      </c>
      <c r="AE129" s="41">
        <f>data0!W117</f>
        <v>0.295823874449964</v>
      </c>
      <c r="AF129" s="41" t="str">
        <f>data0!X117</f>
        <v/>
      </c>
      <c r="AG129" s="41"/>
      <c r="AH129" s="41">
        <f>data0!Z117</f>
        <v>0.30628976054102869</v>
      </c>
      <c r="AI129" s="41" t="str">
        <f>data0!AA117</f>
        <v/>
      </c>
      <c r="AJ129" s="41" t="str">
        <f>data0!AB117</f>
        <v/>
      </c>
      <c r="AK129" s="41">
        <f>data0!AC117</f>
        <v>0.30481983585339106</v>
      </c>
      <c r="AL129" s="41">
        <f>data0!AD117</f>
        <v>0.29188670907987346</v>
      </c>
      <c r="AM129" s="41">
        <f>data0!AE117</f>
        <v>0.28856193099678723</v>
      </c>
      <c r="AN129" s="41">
        <f>data0!AF117</f>
        <v>0.31381484640821633</v>
      </c>
      <c r="AO129" s="41">
        <f>data0!AG117</f>
        <v>0.32460466512788855</v>
      </c>
    </row>
    <row r="130" spans="1:41">
      <c r="A130" s="218"/>
      <c r="B130" s="40" t="str">
        <f t="shared" si="279"/>
        <v>u</v>
      </c>
      <c r="C130" s="41">
        <f>getUVfromXY(C128,C129,0)</f>
        <v>0.15211010371143435</v>
      </c>
      <c r="D130" s="41">
        <f t="shared" ref="D130:D135" si="280">AVERAGE(J130:AO130)</f>
        <v>0.15398304423867662</v>
      </c>
      <c r="E130" s="41">
        <f t="shared" ref="E130:E135" si="281">STDEV(J130:AO130)</f>
        <v>2.4300444847945033E-3</v>
      </c>
      <c r="F130" s="3">
        <f t="shared" ref="F130:F131" si="282">E130/D130</f>
        <v>1.5781247193865634E-2</v>
      </c>
      <c r="G130" s="2">
        <f t="shared" ref="G130:G135" si="283">(MIN(J130:AO130)-$D130)/$E130</f>
        <v>-2.4075453432745886</v>
      </c>
      <c r="H130" s="2">
        <f t="shared" ref="H130:H135" si="284">(MAX(J130:AO130)-$D130)/$E130</f>
        <v>1.2101083588328767</v>
      </c>
      <c r="I130" s="2">
        <f t="shared" ref="I130:I135" si="285">G130+H130</f>
        <v>-1.1974369844417119</v>
      </c>
      <c r="J130" s="52" t="str">
        <f>IF(J127&lt;&gt;"",getUVfromXY(J128,J129,0),"")</f>
        <v/>
      </c>
      <c r="K130" s="52">
        <f t="shared" ref="K130" si="286">IF(K127&lt;&gt;"",getUVfromXY(K128,K129,0),"")</f>
        <v>0.14813260195535952</v>
      </c>
      <c r="L130" s="52">
        <f t="shared" ref="L130" si="287">IF(L127&lt;&gt;"",getUVfromXY(L128,L129,0),"")</f>
        <v>0.15493964396955412</v>
      </c>
      <c r="M130" s="52">
        <f t="shared" ref="M130" si="288">IF(M127&lt;&gt;"",getUVfromXY(M128,M129,0),"")</f>
        <v>0.15322252244738502</v>
      </c>
      <c r="N130" s="52">
        <f t="shared" ref="N130" si="289">IF(N127&lt;&gt;"",getUVfromXY(N128,N129,0),"")</f>
        <v>0.15635521400851266</v>
      </c>
      <c r="O130" s="52">
        <f t="shared" ref="O130" si="290">IF(O127&lt;&gt;"",getUVfromXY(O128,O129,0),"")</f>
        <v>0.15132387593694729</v>
      </c>
      <c r="P130" s="52">
        <f t="shared" ref="P130" si="291">IF(P127&lt;&gt;"",getUVfromXY(P128,P129,0),"")</f>
        <v>0.15412485706087914</v>
      </c>
      <c r="Q130" s="52">
        <f t="shared" ref="Q130" si="292">IF(Q127&lt;&gt;"",getUVfromXY(Q128,Q129,0),"")</f>
        <v>0.15034521929943051</v>
      </c>
      <c r="R130" s="52">
        <f t="shared" ref="R130" si="293">IF(R127&lt;&gt;"",getUVfromXY(R128,R129,0),"")</f>
        <v>0.15584301113079196</v>
      </c>
      <c r="S130" s="52" t="str">
        <f t="shared" ref="S130" si="294">IF(S127&lt;&gt;"",getUVfromXY(S128,S129,0),"")</f>
        <v/>
      </c>
      <c r="T130" s="52">
        <f t="shared" ref="T130" si="295">IF(T127&lt;&gt;"",getUVfromXY(T128,T129,0),"")</f>
        <v>0.1554320264869786</v>
      </c>
      <c r="U130" s="52">
        <f t="shared" ref="U130" si="296">IF(U127&lt;&gt;"",getUVfromXY(U128,U129,0),"")</f>
        <v>0.15506800476258453</v>
      </c>
      <c r="V130" s="52">
        <f t="shared" ref="V130" si="297">IF(V127&lt;&gt;"",getUVfromXY(V128,V129,0),"")</f>
        <v>0.15382132674732885</v>
      </c>
      <c r="W130" s="52">
        <f t="shared" ref="W130" si="298">IF(W127&lt;&gt;"",getUVfromXY(W128,W129,0),"")</f>
        <v>0.15678997703980777</v>
      </c>
      <c r="X130" s="52">
        <f t="shared" ref="X130" si="299">IF(X127&lt;&gt;"",getUVfromXY(X128,X129,0),"")</f>
        <v>0.15442284782281743</v>
      </c>
      <c r="Y130" s="52">
        <f t="shared" ref="Y130" si="300">IF(Y127&lt;&gt;"",getUVfromXY(Y128,Y129,0),"")</f>
        <v>0.15692366138206218</v>
      </c>
      <c r="Z130" s="52">
        <f t="shared" ref="Z130" si="301">IF(Z127&lt;&gt;"",getUVfromXY(Z128,Z129,0),"")</f>
        <v>0.15502222555814274</v>
      </c>
      <c r="AA130" s="52" t="str">
        <f t="shared" ref="AA130" si="302">IF(AA127&lt;&gt;"",getUVfromXY(AA128,AA129,0),"")</f>
        <v/>
      </c>
      <c r="AB130" s="52" t="str">
        <f t="shared" ref="AB130" si="303">IF(AB127&lt;&gt;"",getUVfromXY(AB128,AB129,0),"")</f>
        <v/>
      </c>
      <c r="AC130" s="52" t="str">
        <f t="shared" ref="AC130" si="304">IF(AC127&lt;&gt;"",getUVfromXY(AC128,AC129,0),"")</f>
        <v/>
      </c>
      <c r="AD130" s="52">
        <f t="shared" ref="AD130" si="305">IF(AD127&lt;&gt;"",getUVfromXY(AD128,AD129,0),"")</f>
        <v>0.15332473174761305</v>
      </c>
      <c r="AE130" s="52">
        <f t="shared" ref="AE130" si="306">IF(AE127&lt;&gt;"",getUVfromXY(AE128,AE129,0),"")</f>
        <v>0.15648831152700807</v>
      </c>
      <c r="AF130" s="52" t="str">
        <f t="shared" ref="AF130" si="307">IF(AF127&lt;&gt;"",getUVfromXY(AF128,AF129,0),"")</f>
        <v/>
      </c>
      <c r="AG130" s="52" t="str">
        <f t="shared" ref="AG130" si="308">IF(AG127&lt;&gt;"",getUVfromXY(AG128,AG129,0),"")</f>
        <v/>
      </c>
      <c r="AH130" s="52">
        <f t="shared" ref="AH130" si="309">IF(AH127&lt;&gt;"",getUVfromXY(AH128,AH129,0),"")</f>
        <v>0.15263443113579991</v>
      </c>
      <c r="AI130" s="52" t="str">
        <f t="shared" ref="AI130" si="310">IF(AI127&lt;&gt;"",getUVfromXY(AI128,AI129,0),"")</f>
        <v/>
      </c>
      <c r="AJ130" s="52" t="str">
        <f t="shared" ref="AJ130" si="311">IF(AJ127&lt;&gt;"",getUVfromXY(AJ128,AJ129,0),"")</f>
        <v/>
      </c>
      <c r="AK130" s="52">
        <f t="shared" ref="AK130" si="312">IF(AK127&lt;&gt;"",getUVfromXY(AK128,AK129,0),"")</f>
        <v>0.15451719066058028</v>
      </c>
      <c r="AL130" s="52">
        <f t="shared" ref="AL130" si="313">IF(AL127&lt;&gt;"",getUVfromXY(AL128,AL129,0),"")</f>
        <v>0.15509303605439212</v>
      </c>
      <c r="AM130" s="52">
        <f t="shared" ref="AM130" si="314">IF(AM127&lt;&gt;"",getUVfromXY(AM128,AM129,0),"")</f>
        <v>0.15523648177665833</v>
      </c>
      <c r="AN130" s="52">
        <f t="shared" ref="AN130" si="315">IF(AN127&lt;&gt;"",getUVfromXY(AN128,AN129,0),"")</f>
        <v>0.15422288477515711</v>
      </c>
      <c r="AO130" s="52">
        <f t="shared" ref="AO130" si="316">IF(AO127&lt;&gt;"",getUVfromXY(AO128,AO129,0),"")</f>
        <v>0.14832593420377024</v>
      </c>
    </row>
    <row r="131" spans="1:41">
      <c r="A131" s="218"/>
      <c r="B131" s="40" t="str">
        <f t="shared" si="279"/>
        <v>v</v>
      </c>
      <c r="C131" s="41">
        <f>getUVfromXY(C128,C129,1)</f>
        <v>0.2934250864261953</v>
      </c>
      <c r="D131" s="41">
        <f t="shared" si="280"/>
        <v>0.29452285881403395</v>
      </c>
      <c r="E131" s="41">
        <f t="shared" si="281"/>
        <v>4.1733953328665363E-3</v>
      </c>
      <c r="F131" s="3">
        <f t="shared" si="282"/>
        <v>1.417002180975596E-2</v>
      </c>
      <c r="G131" s="2">
        <f t="shared" si="283"/>
        <v>-1.4756588410409825</v>
      </c>
      <c r="H131" s="2">
        <f t="shared" si="284"/>
        <v>2.1287885094399415</v>
      </c>
      <c r="I131" s="2">
        <f t="shared" si="285"/>
        <v>0.65312966839895892</v>
      </c>
      <c r="J131" s="52" t="str">
        <f>IF(J127&lt;&gt;"",getUVfromXY(J128,J129,1),"")</f>
        <v/>
      </c>
      <c r="K131" s="52">
        <f t="shared" ref="K131:AO131" si="317">IF(K127&lt;&gt;"",getUVfromXY(K128,K129,1),"")</f>
        <v>0.29999408478406003</v>
      </c>
      <c r="L131" s="52">
        <f t="shared" si="317"/>
        <v>0.29120026978628588</v>
      </c>
      <c r="M131" s="52">
        <f t="shared" si="317"/>
        <v>0.29853509772066361</v>
      </c>
      <c r="N131" s="52">
        <f t="shared" si="317"/>
        <v>0.28910445250314054</v>
      </c>
      <c r="O131" s="52">
        <f t="shared" si="317"/>
        <v>0.30061243067561338</v>
      </c>
      <c r="P131" s="52">
        <f t="shared" si="317"/>
        <v>0.2935893020199758</v>
      </c>
      <c r="Q131" s="52">
        <f t="shared" si="317"/>
        <v>0.29855308580383677</v>
      </c>
      <c r="R131" s="52">
        <f t="shared" si="317"/>
        <v>0.29042021208164792</v>
      </c>
      <c r="S131" s="52" t="str">
        <f t="shared" si="317"/>
        <v/>
      </c>
      <c r="T131" s="52">
        <f t="shared" si="317"/>
        <v>0.29336500492657286</v>
      </c>
      <c r="U131" s="52">
        <f t="shared" si="317"/>
        <v>0.29592731338332362</v>
      </c>
      <c r="V131" s="52">
        <f t="shared" si="317"/>
        <v>0.2930374655318726</v>
      </c>
      <c r="W131" s="52">
        <f t="shared" si="317"/>
        <v>0.29345432071721078</v>
      </c>
      <c r="X131" s="52">
        <f t="shared" si="317"/>
        <v>0.29189783301875027</v>
      </c>
      <c r="Y131" s="52">
        <f t="shared" si="317"/>
        <v>0.28836435109393027</v>
      </c>
      <c r="Z131" s="52">
        <f t="shared" si="317"/>
        <v>0.29321146579660207</v>
      </c>
      <c r="AA131" s="52" t="str">
        <f t="shared" si="317"/>
        <v/>
      </c>
      <c r="AB131" s="52" t="str">
        <f t="shared" si="317"/>
        <v/>
      </c>
      <c r="AC131" s="52" t="str">
        <f t="shared" si="317"/>
        <v/>
      </c>
      <c r="AD131" s="52">
        <f t="shared" si="317"/>
        <v>0.29626886609248698</v>
      </c>
      <c r="AE131" s="52">
        <f t="shared" si="317"/>
        <v>0.29219165622099447</v>
      </c>
      <c r="AF131" s="52" t="str">
        <f t="shared" si="317"/>
        <v/>
      </c>
      <c r="AG131" s="52" t="str">
        <f t="shared" si="317"/>
        <v/>
      </c>
      <c r="AH131" s="52">
        <f t="shared" si="317"/>
        <v>0.29630685804989276</v>
      </c>
      <c r="AI131" s="52" t="str">
        <f t="shared" si="317"/>
        <v/>
      </c>
      <c r="AJ131" s="52" t="str">
        <f t="shared" si="317"/>
        <v/>
      </c>
      <c r="AK131" s="52">
        <f t="shared" si="317"/>
        <v>0.29592470111955776</v>
      </c>
      <c r="AL131" s="52">
        <f t="shared" si="317"/>
        <v>0.29020965245807007</v>
      </c>
      <c r="AM131" s="52">
        <f t="shared" si="317"/>
        <v>0.28869437530848452</v>
      </c>
      <c r="AN131" s="52">
        <f t="shared" si="317"/>
        <v>0.29975581878581808</v>
      </c>
      <c r="AO131" s="52">
        <f t="shared" si="317"/>
        <v>0.30340713484399051</v>
      </c>
    </row>
    <row r="132" spans="1:41">
      <c r="A132" s="218"/>
      <c r="B132" s="40" t="str">
        <f t="shared" si="279"/>
        <v>Δxy</v>
      </c>
      <c r="C132" s="40">
        <v>0</v>
      </c>
      <c r="D132" s="41">
        <f t="shared" si="280"/>
        <v>9.508752711815241E-3</v>
      </c>
      <c r="E132" s="41">
        <f t="shared" si="281"/>
        <v>5.6055295453345377E-3</v>
      </c>
      <c r="F132" s="72">
        <f>ABS(D132)+1.5*E132</f>
        <v>1.7917047029817047E-2</v>
      </c>
      <c r="G132" s="2">
        <f t="shared" si="283"/>
        <v>-1.2848042534530151</v>
      </c>
      <c r="H132" s="2">
        <f t="shared" si="284"/>
        <v>2.7944250110242876</v>
      </c>
      <c r="I132" s="2">
        <f t="shared" si="285"/>
        <v>1.5096207575712726</v>
      </c>
      <c r="J132" s="52" t="str">
        <f>IF(J127&lt;&gt;"",((J128-$C128)^2+(J129-$C129)^2)^0.5,"")</f>
        <v/>
      </c>
      <c r="K132" s="52">
        <f t="shared" ref="K132:AO132" si="318">IF(K127&lt;&gt;"",((K128-$C128)^2+(K129-$C129)^2)^0.5,"")</f>
        <v>1.6537225959648329E-2</v>
      </c>
      <c r="L132" s="52">
        <f t="shared" si="318"/>
        <v>5.9964212477420708E-3</v>
      </c>
      <c r="M132" s="52">
        <f t="shared" si="318"/>
        <v>1.3068269231796603E-2</v>
      </c>
      <c r="N132" s="52">
        <f t="shared" si="318"/>
        <v>1.086136193669146E-2</v>
      </c>
      <c r="O132" s="52">
        <f t="shared" si="318"/>
        <v>1.7947858687073236E-2</v>
      </c>
      <c r="P132" s="52">
        <f t="shared" si="318"/>
        <v>2.7724555367213541E-3</v>
      </c>
      <c r="Q132" s="52">
        <f t="shared" si="318"/>
        <v>1.2634776760762623E-2</v>
      </c>
      <c r="R132" s="52">
        <f t="shared" si="318"/>
        <v>8.012126630635023E-3</v>
      </c>
      <c r="S132" s="52" t="str">
        <f t="shared" si="318"/>
        <v/>
      </c>
      <c r="T132" s="52">
        <f t="shared" si="318"/>
        <v>4.3817589395782628E-3</v>
      </c>
      <c r="U132" s="52">
        <f t="shared" si="318"/>
        <v>7.8602706538784574E-3</v>
      </c>
      <c r="V132" s="52">
        <f t="shared" si="318"/>
        <v>2.3067445091128815E-3</v>
      </c>
      <c r="W132" s="52">
        <f t="shared" si="318"/>
        <v>6.2101828249351929E-3</v>
      </c>
      <c r="X132" s="52">
        <f t="shared" si="318"/>
        <v>4.381096657920921E-3</v>
      </c>
      <c r="Y132" s="52">
        <f t="shared" si="318"/>
        <v>1.2606666032468083E-2</v>
      </c>
      <c r="Z132" s="52">
        <f t="shared" si="318"/>
        <v>3.8072483225420829E-3</v>
      </c>
      <c r="AA132" s="52" t="str">
        <f t="shared" si="318"/>
        <v/>
      </c>
      <c r="AB132" s="52" t="str">
        <f t="shared" si="318"/>
        <v/>
      </c>
      <c r="AC132" s="52" t="str">
        <f t="shared" si="318"/>
        <v/>
      </c>
      <c r="AD132" s="52">
        <f t="shared" si="318"/>
        <v>7.4669068540456187E-3</v>
      </c>
      <c r="AE132" s="52">
        <f t="shared" si="318"/>
        <v>6.0349797143791992E-3</v>
      </c>
      <c r="AF132" s="52" t="str">
        <f t="shared" si="318"/>
        <v/>
      </c>
      <c r="AG132" s="52" t="str">
        <f t="shared" si="318"/>
        <v/>
      </c>
      <c r="AH132" s="52">
        <f t="shared" si="318"/>
        <v>7.2689197256144518E-3</v>
      </c>
      <c r="AI132" s="52" t="str">
        <f t="shared" si="318"/>
        <v/>
      </c>
      <c r="AJ132" s="52" t="str">
        <f t="shared" si="318"/>
        <v/>
      </c>
      <c r="AK132" s="52">
        <f t="shared" si="318"/>
        <v>7.4112156231825616E-3</v>
      </c>
      <c r="AL132" s="52">
        <f t="shared" si="318"/>
        <v>8.0515446549266519E-3</v>
      </c>
      <c r="AM132" s="52">
        <f t="shared" si="318"/>
        <v>1.1347079220237515E-2</v>
      </c>
      <c r="AN132" s="52">
        <f t="shared" si="318"/>
        <v>1.6563217974524314E-2</v>
      </c>
      <c r="AO132" s="52">
        <f t="shared" si="318"/>
        <v>2.5172984673333676E-2</v>
      </c>
    </row>
    <row r="133" spans="1:41" s="40" customFormat="1">
      <c r="A133" s="217">
        <f>10^6/A127</f>
        <v>63.524329818320417</v>
      </c>
      <c r="B133" s="40" t="s">
        <v>3</v>
      </c>
      <c r="C133" s="197"/>
      <c r="D133" s="30">
        <f t="shared" si="280"/>
        <v>15140.826086956522</v>
      </c>
      <c r="E133" s="30">
        <f t="shared" si="281"/>
        <v>1547.8493188401769</v>
      </c>
      <c r="F133" s="73">
        <f>ABS(D133-A127)+1.5*E133</f>
        <v>2922.9478913037433</v>
      </c>
      <c r="G133" s="2">
        <f t="shared" si="283"/>
        <v>-1.6647783835233847</v>
      </c>
      <c r="H133" s="2">
        <f t="shared" si="284"/>
        <v>1.736715506040188</v>
      </c>
      <c r="I133" s="2">
        <f t="shared" si="285"/>
        <v>7.1937122516803287E-2</v>
      </c>
      <c r="J133" s="30" t="str">
        <f>IF(J127&lt;&gt;"",getCCTfromXY(J128,J129,0),"")</f>
        <v/>
      </c>
      <c r="K133" s="30">
        <f t="shared" ref="K133:AO133" si="319">IF(K127&lt;&gt;"",getCCTfromXY(K128,K129,0),"")</f>
        <v>13648</v>
      </c>
      <c r="L133" s="30">
        <f t="shared" si="319"/>
        <v>16411</v>
      </c>
      <c r="M133" s="30">
        <f t="shared" si="319"/>
        <v>13502</v>
      </c>
      <c r="N133" s="30">
        <f t="shared" si="319"/>
        <v>17364</v>
      </c>
      <c r="O133" s="30">
        <f t="shared" si="319"/>
        <v>13052</v>
      </c>
      <c r="P133" s="30">
        <f t="shared" si="319"/>
        <v>15353</v>
      </c>
      <c r="Q133" s="30">
        <f t="shared" si="319"/>
        <v>13869</v>
      </c>
      <c r="R133" s="30">
        <f t="shared" si="319"/>
        <v>16684</v>
      </c>
      <c r="S133" s="30" t="str">
        <f t="shared" si="319"/>
        <v/>
      </c>
      <c r="T133" s="30">
        <f t="shared" si="319"/>
        <v>15255</v>
      </c>
      <c r="U133" s="30">
        <f t="shared" si="319"/>
        <v>14217</v>
      </c>
      <c r="V133" s="30">
        <f t="shared" si="319"/>
        <v>15660</v>
      </c>
      <c r="W133" s="30">
        <f t="shared" si="319"/>
        <v>15006</v>
      </c>
      <c r="X133" s="30">
        <f t="shared" si="319"/>
        <v>16130</v>
      </c>
      <c r="Y133" s="30">
        <f t="shared" si="319"/>
        <v>17723</v>
      </c>
      <c r="Z133" s="30">
        <f t="shared" si="319"/>
        <v>15390</v>
      </c>
      <c r="AA133" s="30" t="str">
        <f t="shared" si="319"/>
        <v/>
      </c>
      <c r="AB133" s="30" t="str">
        <f t="shared" si="319"/>
        <v/>
      </c>
      <c r="AC133" s="30" t="str">
        <f t="shared" si="319"/>
        <v/>
      </c>
      <c r="AD133" s="30">
        <f t="shared" si="319"/>
        <v>14326</v>
      </c>
      <c r="AE133" s="30">
        <f t="shared" si="319"/>
        <v>15647</v>
      </c>
      <c r="AF133" s="30" t="str">
        <f t="shared" si="319"/>
        <v/>
      </c>
      <c r="AG133" s="30" t="str">
        <f t="shared" si="319"/>
        <v/>
      </c>
      <c r="AH133" s="30">
        <f t="shared" si="319"/>
        <v>14408</v>
      </c>
      <c r="AI133" s="30" t="str">
        <f t="shared" si="319"/>
        <v/>
      </c>
      <c r="AJ133" s="30" t="str">
        <f t="shared" si="319"/>
        <v/>
      </c>
      <c r="AK133" s="30">
        <f t="shared" si="319"/>
        <v>14296</v>
      </c>
      <c r="AL133" s="30">
        <f t="shared" si="319"/>
        <v>16935</v>
      </c>
      <c r="AM133" s="30">
        <f t="shared" si="319"/>
        <v>17829</v>
      </c>
      <c r="AN133" s="30">
        <f t="shared" si="319"/>
        <v>12970</v>
      </c>
      <c r="AO133" s="30">
        <f t="shared" si="319"/>
        <v>12564</v>
      </c>
    </row>
    <row r="134" spans="1:41" s="40" customFormat="1">
      <c r="A134" s="217"/>
      <c r="B134" s="40" t="s">
        <v>73</v>
      </c>
      <c r="C134" s="197"/>
      <c r="D134" s="3">
        <f t="shared" si="280"/>
        <v>3.8189169930344186E-2</v>
      </c>
      <c r="E134" s="3">
        <f t="shared" si="281"/>
        <v>9.8326090639065833E-2</v>
      </c>
      <c r="F134" s="74">
        <f t="shared" ref="F134:F135" si="320">ABS(D134)+1.5*E134</f>
        <v>0.18567830588894293</v>
      </c>
      <c r="G134" s="2">
        <f t="shared" si="283"/>
        <v>-1.7367155060401915</v>
      </c>
      <c r="H134" s="2">
        <f t="shared" si="284"/>
        <v>1.6647783835233871</v>
      </c>
      <c r="I134" s="2">
        <f t="shared" si="285"/>
        <v>-7.1937122516804397E-2</v>
      </c>
      <c r="J134" s="3" t="str">
        <f>IF(J127&lt;&gt;"",1-J133/$A127,"")</f>
        <v/>
      </c>
      <c r="K134" s="3">
        <f t="shared" ref="K134" si="321">IF(K127&lt;&gt;"",1-K133/$A127,"")</f>
        <v>0.13301994663956296</v>
      </c>
      <c r="L134" s="3">
        <f t="shared" ref="L134" si="322">IF(L127&lt;&gt;"",1-L133/$A127,"")</f>
        <v>-4.2497776648456442E-2</v>
      </c>
      <c r="M134" s="3">
        <f t="shared" ref="M134" si="323">IF(M127&lt;&gt;"",1-M133/$A127,"")</f>
        <v>0.14229449879303768</v>
      </c>
      <c r="N134" s="3">
        <f t="shared" ref="N134" si="324">IF(N127&lt;&gt;"",1-N133/$A127,"")</f>
        <v>-0.10303646296531577</v>
      </c>
      <c r="O134" s="3">
        <f t="shared" ref="O134" si="325">IF(O127&lt;&gt;"",1-O133/$A127,"")</f>
        <v>0.17088044721128193</v>
      </c>
      <c r="P134" s="3">
        <f t="shared" ref="P134" si="326">IF(P127&lt;&gt;"",1-P133/$A127,"")</f>
        <v>2.4710964299326621E-2</v>
      </c>
      <c r="Q134" s="3">
        <f t="shared" ref="Q134" si="327">IF(Q127&lt;&gt;"",1-Q133/$A127,"")</f>
        <v>0.11898106974971412</v>
      </c>
      <c r="R134" s="3">
        <f t="shared" ref="R134" si="328">IF(R127&lt;&gt;"",1-R133/$A127,"")</f>
        <v>-5.9839918688857852E-2</v>
      </c>
      <c r="S134" s="3" t="str">
        <f t="shared" ref="S134" si="329">IF(S127&lt;&gt;"",1-S133/$A127,"")</f>
        <v/>
      </c>
      <c r="T134" s="3">
        <f t="shared" ref="T134" si="330">IF(T127&lt;&gt;"",1-T133/$A127,"")</f>
        <v>3.0936348621522058E-2</v>
      </c>
      <c r="U134" s="3">
        <f t="shared" ref="U134" si="331">IF(U127&lt;&gt;"",1-U133/$A127,"")</f>
        <v>9.6874602972938595E-2</v>
      </c>
      <c r="V134" s="3">
        <f t="shared" ref="V134" si="332">IF(V127&lt;&gt;"",1-V133/$A127,"")</f>
        <v>5.2089950451023048E-3</v>
      </c>
      <c r="W134" s="3">
        <f t="shared" ref="W134" si="333">IF(W127&lt;&gt;"",1-W133/$A127,"")</f>
        <v>4.675390674628388E-2</v>
      </c>
      <c r="X134" s="3">
        <f t="shared" ref="X134" si="334">IF(X127&lt;&gt;"",1-X133/$A127,"")</f>
        <v>-2.4647439969508245E-2</v>
      </c>
      <c r="Y134" s="3">
        <f t="shared" ref="Y134" si="335">IF(Y127&lt;&gt;"",1-Y133/$A127,"")</f>
        <v>-0.12584169737009265</v>
      </c>
      <c r="Z134" s="3">
        <f t="shared" ref="Z134" si="336">IF(Z127&lt;&gt;"",1-Z133/$A127,"")</f>
        <v>2.2360564096048807E-2</v>
      </c>
      <c r="AA134" s="3" t="str">
        <f t="shared" ref="AA134" si="337">IF(AA127&lt;&gt;"",1-AA133/$A127,"")</f>
        <v/>
      </c>
      <c r="AB134" s="3" t="str">
        <f t="shared" ref="AB134" si="338">IF(AB127&lt;&gt;"",1-AB133/$A127,"")</f>
        <v/>
      </c>
      <c r="AC134" s="3" t="str">
        <f t="shared" ref="AC134" si="339">IF(AC127&lt;&gt;"",1-AC133/$A127,"")</f>
        <v/>
      </c>
      <c r="AD134" s="3">
        <f t="shared" ref="AD134" si="340">IF(AD127&lt;&gt;"",1-AD133/$A127,"")</f>
        <v>8.9950451022741684E-2</v>
      </c>
      <c r="AE134" s="3">
        <f t="shared" ref="AE134" si="341">IF(AE127&lt;&gt;"",1-AE133/$A127,"")</f>
        <v>6.0348113327404196E-3</v>
      </c>
      <c r="AF134" s="3" t="str">
        <f t="shared" ref="AF134" si="342">IF(AF127&lt;&gt;"",1-AF133/$A127,"")</f>
        <v/>
      </c>
      <c r="AG134" s="3" t="str">
        <f t="shared" ref="AG134" si="343">IF(AG127&lt;&gt;"",1-AG133/$A127,"")</f>
        <v/>
      </c>
      <c r="AH134" s="3">
        <f t="shared" ref="AH134" si="344">IF(AH127&lt;&gt;"",1-AH133/$A127,"")</f>
        <v>8.474145597763949E-2</v>
      </c>
      <c r="AI134" s="3" t="str">
        <f t="shared" ref="AI134" si="345">IF(AI127&lt;&gt;"",1-AI133/$A127,"")</f>
        <v/>
      </c>
      <c r="AJ134" s="3" t="str">
        <f t="shared" ref="AJ134" si="346">IF(AJ127&lt;&gt;"",1-AJ133/$A127,"")</f>
        <v/>
      </c>
      <c r="AK134" s="3">
        <f t="shared" ref="AK134" si="347">IF(AK127&lt;&gt;"",1-AK133/$A127,"")</f>
        <v>9.1856180917291308E-2</v>
      </c>
      <c r="AL134" s="3">
        <f t="shared" ref="AL134" si="348">IF(AL127&lt;&gt;"",1-AL133/$A127,"")</f>
        <v>-7.5784525473256314E-2</v>
      </c>
      <c r="AM134" s="3">
        <f t="shared" ref="AM134" si="349">IF(AM127&lt;&gt;"",1-AM133/$A127,"")</f>
        <v>-0.13257527633083477</v>
      </c>
      <c r="AN134" s="3">
        <f t="shared" ref="AN134" si="350">IF(AN127&lt;&gt;"",1-AN133/$A127,"")</f>
        <v>0.17608944225638423</v>
      </c>
      <c r="AO134" s="3">
        <f t="shared" ref="AO134" si="351">IF(AO127&lt;&gt;"",1-AO133/$A127,"")</f>
        <v>0.20188032016262225</v>
      </c>
    </row>
    <row r="135" spans="1:41" s="40" customFormat="1">
      <c r="A135" s="217"/>
      <c r="B135" s="40" t="s">
        <v>14</v>
      </c>
      <c r="C135" s="197"/>
      <c r="D135" s="2">
        <f t="shared" si="280"/>
        <v>3.1859004535655662</v>
      </c>
      <c r="E135" s="2">
        <f t="shared" si="281"/>
        <v>6.8207318144111593</v>
      </c>
      <c r="F135" s="75">
        <f t="shared" si="320"/>
        <v>13.416998175182304</v>
      </c>
      <c r="G135" s="2">
        <f t="shared" si="283"/>
        <v>-1.5572867032293403</v>
      </c>
      <c r="H135" s="2">
        <f t="shared" si="284"/>
        <v>1.8886912061507961</v>
      </c>
      <c r="I135" s="2">
        <f t="shared" si="285"/>
        <v>0.33140450292145585</v>
      </c>
      <c r="J135" s="2" t="str">
        <f>IF(J127&lt;&gt;"",10^6/J133-$A133,"")</f>
        <v/>
      </c>
      <c r="K135" s="2">
        <f t="shared" ref="K135:AO135" si="352">IF(K127&lt;&gt;"",10^6/K133-$A133,"")</f>
        <v>9.7464790914099453</v>
      </c>
      <c r="L135" s="2">
        <f t="shared" si="352"/>
        <v>-2.5895909236765817</v>
      </c>
      <c r="M135" s="2">
        <f t="shared" si="352"/>
        <v>10.538771944381402</v>
      </c>
      <c r="N135" s="2">
        <f t="shared" si="352"/>
        <v>-5.9339128637016643</v>
      </c>
      <c r="O135" s="2">
        <f t="shared" si="352"/>
        <v>13.09228066283189</v>
      </c>
      <c r="P135" s="2">
        <f t="shared" si="352"/>
        <v>1.6095202435567373</v>
      </c>
      <c r="Q135" s="2">
        <f t="shared" si="352"/>
        <v>8.5789220383383125</v>
      </c>
      <c r="R135" s="2">
        <f t="shared" si="352"/>
        <v>-3.5866649897421397</v>
      </c>
      <c r="S135" s="2" t="str">
        <f t="shared" si="352"/>
        <v/>
      </c>
      <c r="T135" s="2">
        <f t="shared" si="352"/>
        <v>2.0279481233380565</v>
      </c>
      <c r="U135" s="2">
        <f t="shared" si="352"/>
        <v>6.8139975362550942</v>
      </c>
      <c r="V135" s="2">
        <f t="shared" si="352"/>
        <v>0.33263059036413267</v>
      </c>
      <c r="W135" s="2">
        <f t="shared" si="352"/>
        <v>3.1156808440812895</v>
      </c>
      <c r="X135" s="2">
        <f t="shared" si="352"/>
        <v>-1.5280495951338082</v>
      </c>
      <c r="Y135" s="2">
        <f t="shared" si="352"/>
        <v>-7.1004738120009421</v>
      </c>
      <c r="Z135" s="2">
        <f t="shared" si="352"/>
        <v>1.4529281413936772</v>
      </c>
      <c r="AA135" s="2" t="str">
        <f t="shared" si="352"/>
        <v/>
      </c>
      <c r="AB135" s="2" t="str">
        <f t="shared" si="352"/>
        <v/>
      </c>
      <c r="AC135" s="2" t="str">
        <f t="shared" si="352"/>
        <v/>
      </c>
      <c r="AD135" s="2">
        <f t="shared" si="352"/>
        <v>6.2788252842902139</v>
      </c>
      <c r="AE135" s="2">
        <f t="shared" si="352"/>
        <v>0.38568488098296427</v>
      </c>
      <c r="AF135" s="2" t="str">
        <f t="shared" si="352"/>
        <v/>
      </c>
      <c r="AG135" s="2" t="str">
        <f t="shared" si="352"/>
        <v/>
      </c>
      <c r="AH135" s="2">
        <f t="shared" si="352"/>
        <v>5.8815558007800846</v>
      </c>
      <c r="AI135" s="2" t="str">
        <f t="shared" si="352"/>
        <v/>
      </c>
      <c r="AJ135" s="2" t="str">
        <f t="shared" si="352"/>
        <v/>
      </c>
      <c r="AK135" s="2">
        <f t="shared" si="352"/>
        <v>6.4253064435710243</v>
      </c>
      <c r="AL135" s="2">
        <f t="shared" si="352"/>
        <v>-4.4750236476679248</v>
      </c>
      <c r="AM135" s="2">
        <f t="shared" si="352"/>
        <v>-7.4359345073102645</v>
      </c>
      <c r="AN135" s="2">
        <f t="shared" si="352"/>
        <v>13.576672494709648</v>
      </c>
      <c r="AO135" s="2">
        <f t="shared" si="352"/>
        <v>16.068156650956887</v>
      </c>
    </row>
    <row r="136" spans="1:41">
      <c r="A136" s="218">
        <f>getCCTfromXY(C137,C138,0)</f>
        <v>8035</v>
      </c>
      <c r="B136" s="40" t="str">
        <f t="shared" ref="B136:B141" si="353">B127</f>
        <v>Ev</v>
      </c>
      <c r="C136" s="40">
        <f>data0!B29</f>
        <v>150.19999999999999</v>
      </c>
      <c r="D136" s="2">
        <f>data0!AH121</f>
        <v>149.31832488735853</v>
      </c>
      <c r="E136" s="2">
        <f>data0!AI121</f>
        <v>8.1849143240618734</v>
      </c>
      <c r="F136" s="3">
        <f>data0!AJ121</f>
        <v>5.481520322596934E-2</v>
      </c>
      <c r="G136" s="2">
        <f>data0!AK121</f>
        <v>-1.4414959689686424</v>
      </c>
      <c r="H136" s="2">
        <f>data0!AL121</f>
        <v>2.0481293625998398</v>
      </c>
      <c r="I136" s="2">
        <f>data0!AM121</f>
        <v>0.60663339363119739</v>
      </c>
      <c r="J136" s="2" t="str">
        <f>data0!B121</f>
        <v/>
      </c>
      <c r="K136" s="2">
        <f>data0!C121</f>
        <v>166.08208824483367</v>
      </c>
      <c r="L136" s="2">
        <f>data0!D121</f>
        <v>146.15729998993447</v>
      </c>
      <c r="M136" s="2">
        <f>data0!E121</f>
        <v>158.72872392996672</v>
      </c>
      <c r="N136" s="2">
        <f>data0!F121</f>
        <v>149.15893162123768</v>
      </c>
      <c r="O136" s="2">
        <f>data0!G121</f>
        <v>147.89364862282517</v>
      </c>
      <c r="P136" s="2">
        <f>data0!H121</f>
        <v>150.02991861653837</v>
      </c>
      <c r="Q136" s="2">
        <f>data0!I121</f>
        <v>159.49548115004072</v>
      </c>
      <c r="R136" s="2">
        <f>data0!J121</f>
        <v>141.84192706519056</v>
      </c>
      <c r="S136" s="2" t="str">
        <f>data0!K121</f>
        <v/>
      </c>
      <c r="T136" s="2">
        <f>data0!L121</f>
        <v>140.31384972690083</v>
      </c>
      <c r="U136" s="2">
        <f>data0!M121</f>
        <v>147.0880009238445</v>
      </c>
      <c r="V136" s="2">
        <f>data0!N121</f>
        <v>144.5460094652569</v>
      </c>
      <c r="W136" s="2">
        <f>data0!O121</f>
        <v>158.9575171208167</v>
      </c>
      <c r="X136" s="2">
        <f>data0!P121</f>
        <v>151.34443500869151</v>
      </c>
      <c r="Y136" s="2">
        <f>data0!Q121</f>
        <v>147.58087113048518</v>
      </c>
      <c r="Z136" s="2">
        <f>data0!R121</f>
        <v>147.7069842080171</v>
      </c>
      <c r="AA136" s="2" t="str">
        <f>data0!S121</f>
        <v/>
      </c>
      <c r="AB136" s="2" t="str">
        <f>data0!T121</f>
        <v/>
      </c>
      <c r="AC136" s="2" t="str">
        <f>data0!U121</f>
        <v/>
      </c>
      <c r="AD136" s="2">
        <f>data0!V121</f>
        <v>162.08135741574196</v>
      </c>
      <c r="AE136" s="2">
        <f>data0!W121</f>
        <v>148.17967275373019</v>
      </c>
      <c r="AF136" s="2" t="str">
        <f>data0!X121</f>
        <v/>
      </c>
      <c r="AG136" s="2"/>
      <c r="AH136" s="2">
        <f>data0!Z121</f>
        <v>149.71274935277611</v>
      </c>
      <c r="AI136" s="2" t="str">
        <f>data0!AA121</f>
        <v/>
      </c>
      <c r="AJ136" s="2" t="str">
        <f>data0!AB121</f>
        <v/>
      </c>
      <c r="AK136" s="2">
        <f>data0!AC121</f>
        <v>137.51980388286964</v>
      </c>
      <c r="AL136" s="2">
        <f>data0!AD121</f>
        <v>140.28578635511525</v>
      </c>
      <c r="AM136" s="2">
        <f>data0!AE121</f>
        <v>140.08034783270998</v>
      </c>
      <c r="AN136" s="2">
        <f>data0!AF121</f>
        <v>138.59014813358729</v>
      </c>
      <c r="AO136" s="2">
        <f>data0!AG121</f>
        <v>160.94591985813588</v>
      </c>
    </row>
    <row r="137" spans="1:41">
      <c r="A137" s="218"/>
      <c r="B137" s="40" t="str">
        <f t="shared" si="353"/>
        <v>x</v>
      </c>
      <c r="C137" s="40">
        <f>data0!B30</f>
        <v>0.2989</v>
      </c>
      <c r="D137" s="41">
        <f>data0!AH122</f>
        <v>0.2974627192471081</v>
      </c>
      <c r="E137" s="41">
        <f>data0!AI122</f>
        <v>3.3277281073745587E-3</v>
      </c>
      <c r="F137" s="3">
        <f>data0!AJ122</f>
        <v>1.118704258401588E-2</v>
      </c>
      <c r="G137" s="2">
        <f>data0!AK122</f>
        <v>-1.4230406392250661</v>
      </c>
      <c r="H137" s="2">
        <f>data0!AL122</f>
        <v>2.8570502310977206</v>
      </c>
      <c r="I137" s="2">
        <f>data0!AM122</f>
        <v>1.4340095918726545</v>
      </c>
      <c r="J137" s="41" t="str">
        <f>data0!B122</f>
        <v/>
      </c>
      <c r="K137" s="41">
        <f>data0!C122</f>
        <v>0.29501313607021507</v>
      </c>
      <c r="L137" s="41">
        <f>data0!D122</f>
        <v>0.29505772852904799</v>
      </c>
      <c r="M137" s="41">
        <f>data0!E122</f>
        <v>0.29851569015688217</v>
      </c>
      <c r="N137" s="41">
        <f>data0!F122</f>
        <v>0.29284214722460339</v>
      </c>
      <c r="O137" s="41">
        <f>data0!G122</f>
        <v>0.29822178934299742</v>
      </c>
      <c r="P137" s="41">
        <f>data0!H122</f>
        <v>0.2947151532796618</v>
      </c>
      <c r="Q137" s="41">
        <f>data0!I122</f>
        <v>0.29689625325858493</v>
      </c>
      <c r="R137" s="41">
        <f>data0!J122</f>
        <v>0.29406674126777271</v>
      </c>
      <c r="S137" s="41" t="str">
        <f>data0!K122</f>
        <v/>
      </c>
      <c r="T137" s="41">
        <f>data0!L122</f>
        <v>0.29853963362968505</v>
      </c>
      <c r="U137" s="41">
        <f>data0!M122</f>
        <v>0.3039001708498188</v>
      </c>
      <c r="V137" s="41">
        <f>data0!N122</f>
        <v>0.30085619885527798</v>
      </c>
      <c r="W137" s="41">
        <f>data0!O122</f>
        <v>0.29808083568761856</v>
      </c>
      <c r="X137" s="41">
        <f>data0!P122</f>
        <v>0.29576626012232171</v>
      </c>
      <c r="Y137" s="41">
        <f>data0!Q122</f>
        <v>0.29625695644074601</v>
      </c>
      <c r="Z137" s="41">
        <f>data0!R122</f>
        <v>0.29869568881402447</v>
      </c>
      <c r="AA137" s="41" t="str">
        <f>data0!S122</f>
        <v/>
      </c>
      <c r="AB137" s="41" t="str">
        <f>data0!T122</f>
        <v/>
      </c>
      <c r="AC137" s="41" t="str">
        <f>data0!U122</f>
        <v/>
      </c>
      <c r="AD137" s="41">
        <f>data0!V122</f>
        <v>0.29609865646286004</v>
      </c>
      <c r="AE137" s="41">
        <f>data0!W122</f>
        <v>0.29898966036906544</v>
      </c>
      <c r="AF137" s="41" t="str">
        <f>data0!X122</f>
        <v/>
      </c>
      <c r="AG137" s="41"/>
      <c r="AH137" s="41">
        <f>data0!Z122</f>
        <v>0.29999578459199527</v>
      </c>
      <c r="AI137" s="41" t="str">
        <f>data0!AA122</f>
        <v/>
      </c>
      <c r="AJ137" s="41" t="str">
        <f>data0!AB122</f>
        <v/>
      </c>
      <c r="AK137" s="41">
        <f>data0!AC122</f>
        <v>0.29557927975902781</v>
      </c>
      <c r="AL137" s="41">
        <f>data0!AD122</f>
        <v>0.29442057039554898</v>
      </c>
      <c r="AM137" s="41">
        <f>data0!AE122</f>
        <v>0.29272722691402259</v>
      </c>
      <c r="AN137" s="41">
        <f>data0!AF122</f>
        <v>0.30697020560531296</v>
      </c>
      <c r="AO137" s="41">
        <f>data0!AG122</f>
        <v>0.29943677505639416</v>
      </c>
    </row>
    <row r="138" spans="1:41">
      <c r="A138" s="218"/>
      <c r="B138" s="40" t="str">
        <f t="shared" si="353"/>
        <v>y</v>
      </c>
      <c r="C138" s="40">
        <f>data0!B31</f>
        <v>0.29970000000000002</v>
      </c>
      <c r="D138" s="41">
        <f>AVERAGE(J138:AO138)</f>
        <v>0.29863660628485678</v>
      </c>
      <c r="E138" s="41">
        <f>STDEV(J138:AO138)</f>
        <v>1.0706497722389567E-2</v>
      </c>
      <c r="F138" s="3">
        <f>E138/D138</f>
        <v>3.5851257002890977E-2</v>
      </c>
      <c r="G138" s="2">
        <f>(MIN(J138:AO138)-$D138)/$E138</f>
        <v>-1.8943586797191982</v>
      </c>
      <c r="H138" s="2">
        <f>(MAX(J138:AO138)-$D138)/$E138</f>
        <v>2.0698525476580611</v>
      </c>
      <c r="I138" s="2">
        <f>G138+H138</f>
        <v>0.1754938679388629</v>
      </c>
      <c r="J138" s="41" t="str">
        <f>data0!B123</f>
        <v/>
      </c>
      <c r="K138" s="41">
        <f>data0!C123</f>
        <v>0.31324547350392179</v>
      </c>
      <c r="L138" s="41">
        <f>data0!D123</f>
        <v>0.29442657705237119</v>
      </c>
      <c r="M138" s="41">
        <f>data0!E123</f>
        <v>0.31326791092385714</v>
      </c>
      <c r="N138" s="41">
        <f>data0!F123</f>
        <v>0.29581221832889432</v>
      </c>
      <c r="O138" s="41">
        <f>data0!G123</f>
        <v>0.31003249590749798</v>
      </c>
      <c r="P138" s="41">
        <f>data0!H123</f>
        <v>0.30060574279644675</v>
      </c>
      <c r="Q138" s="41">
        <f>data0!I123</f>
        <v>0.31116347766702623</v>
      </c>
      <c r="R138" s="41">
        <f>data0!J123</f>
        <v>0.29145436180536316</v>
      </c>
      <c r="S138" s="41" t="str">
        <f>data0!K123</f>
        <v/>
      </c>
      <c r="T138" s="41">
        <f>data0!L123</f>
        <v>0.28821004127676758</v>
      </c>
      <c r="U138" s="41">
        <f>data0!M123</f>
        <v>0.29654446875577961</v>
      </c>
      <c r="V138" s="41">
        <f>data0!N123</f>
        <v>0.29050502463755368</v>
      </c>
      <c r="W138" s="41">
        <f>data0!O123</f>
        <v>0.29575441137713698</v>
      </c>
      <c r="X138" s="41">
        <f>data0!P123</f>
        <v>0.29478199054701848</v>
      </c>
      <c r="Y138" s="41">
        <f>data0!Q123</f>
        <v>0.28334692822521285</v>
      </c>
      <c r="Z138" s="41">
        <f>data0!R123</f>
        <v>0.29210579670139813</v>
      </c>
      <c r="AA138" s="41" t="str">
        <f>data0!S123</f>
        <v/>
      </c>
      <c r="AB138" s="41" t="str">
        <f>data0!T123</f>
        <v/>
      </c>
      <c r="AC138" s="41" t="str">
        <f>data0!U123</f>
        <v/>
      </c>
      <c r="AD138" s="41">
        <f>data0!V123</f>
        <v>0.29548199927537555</v>
      </c>
      <c r="AE138" s="41">
        <f>data0!W123</f>
        <v>0.28945202892459732</v>
      </c>
      <c r="AF138" s="41" t="str">
        <f>data0!X123</f>
        <v/>
      </c>
      <c r="AG138" s="41"/>
      <c r="AH138" s="41">
        <f>data0!Z123</f>
        <v>0.30082404033066651</v>
      </c>
      <c r="AI138" s="41" t="str">
        <f>data0!AA123</f>
        <v/>
      </c>
      <c r="AJ138" s="41" t="str">
        <f>data0!AB123</f>
        <v/>
      </c>
      <c r="AK138" s="41">
        <f>data0!AC123</f>
        <v>0.31239715617102826</v>
      </c>
      <c r="AL138" s="41">
        <f>data0!AD123</f>
        <v>0.27835465939505427</v>
      </c>
      <c r="AM138" s="41">
        <f>data0!AE123</f>
        <v>0.29490316748307938</v>
      </c>
      <c r="AN138" s="41">
        <f>data0!AF123</f>
        <v>0.30517449559361676</v>
      </c>
      <c r="AO138" s="41">
        <f>data0!AG123</f>
        <v>0.32079747787204005</v>
      </c>
    </row>
    <row r="139" spans="1:41">
      <c r="A139" s="218"/>
      <c r="B139" s="40" t="str">
        <f t="shared" si="353"/>
        <v>u</v>
      </c>
      <c r="C139" s="41">
        <f>getUVfromXY(C137,C138,0)</f>
        <v>0.19931317307371718</v>
      </c>
      <c r="D139" s="41">
        <f t="shared" ref="D139:D144" si="354">AVERAGE(J139:AO139)</f>
        <v>0.19876194231439087</v>
      </c>
      <c r="E139" s="41">
        <f t="shared" ref="E139:E144" si="355">STDEV(J139:AO139)</f>
        <v>4.514971725146125E-3</v>
      </c>
      <c r="F139" s="3">
        <f t="shared" ref="F139:F140" si="356">E139/D139</f>
        <v>2.2715473961331025E-2</v>
      </c>
      <c r="G139" s="2">
        <f t="shared" ref="G139:G144" si="357">(MIN(J139:AO139)-$D139)/$E139</f>
        <v>-1.6549273873843071</v>
      </c>
      <c r="H139" s="2">
        <f t="shared" ref="H139:H144" si="358">(MAX(J139:AO139)-$D139)/$E139</f>
        <v>1.3293518277846279</v>
      </c>
      <c r="I139" s="2">
        <f t="shared" ref="I139:I144" si="359">G139+H139</f>
        <v>-0.32557555959967921</v>
      </c>
      <c r="J139" s="52" t="str">
        <f>IF(J136&lt;&gt;"",getUVfromXY(J137,J138,0),"")</f>
        <v/>
      </c>
      <c r="K139" s="52">
        <f t="shared" ref="K139" si="360">IF(K136&lt;&gt;"",getUVfromXY(K137,K138,0),"")</f>
        <v>0.19128999195318078</v>
      </c>
      <c r="L139" s="52">
        <f t="shared" ref="L139" si="361">IF(L136&lt;&gt;"",getUVfromXY(L137,L138,0),"")</f>
        <v>0.19859165833512438</v>
      </c>
      <c r="M139" s="52">
        <f t="shared" ref="M139" si="362">IF(M136&lt;&gt;"",getUVfromXY(M137,M138,0),"")</f>
        <v>0.1937726701564797</v>
      </c>
      <c r="N139" s="52">
        <f t="shared" ref="N139" si="363">IF(N136&lt;&gt;"",getUVfromXY(N137,N138,0),"")</f>
        <v>0.19640448489121001</v>
      </c>
      <c r="O139" s="52">
        <f t="shared" ref="O139" si="364">IF(O136&lt;&gt;"",getUVfromXY(O137,O138,0),"")</f>
        <v>0.19479059496444853</v>
      </c>
      <c r="P139" s="52">
        <f t="shared" ref="P139" si="365">IF(P136&lt;&gt;"",getUVfromXY(P137,P138,0),"")</f>
        <v>0.19589435511742889</v>
      </c>
      <c r="Q139" s="52">
        <f t="shared" ref="Q139" si="366">IF(Q136&lt;&gt;"",getUVfromXY(Q137,Q138,0),"")</f>
        <v>0.19341242389620295</v>
      </c>
      <c r="R139" s="52">
        <f t="shared" ref="R139" si="367">IF(R136&lt;&gt;"",getUVfromXY(R137,R138,0),"")</f>
        <v>0.19905288462374549</v>
      </c>
      <c r="S139" s="52" t="str">
        <f t="shared" ref="S139" si="368">IF(S136&lt;&gt;"",getUVfromXY(S137,S138,0),"")</f>
        <v/>
      </c>
      <c r="T139" s="52">
        <f t="shared" ref="T139" si="369">IF(T136&lt;&gt;"",getUVfromXY(T137,T138,0),"")</f>
        <v>0.20373121354551288</v>
      </c>
      <c r="U139" s="52">
        <f t="shared" ref="U139" si="370">IF(U136&lt;&gt;"",getUVfromXY(U137,U138,0),"")</f>
        <v>0.20427746052683407</v>
      </c>
      <c r="V139" s="52">
        <f t="shared" ref="V139" si="371">IF(V136&lt;&gt;"",getUVfromXY(V137,V138,0),"")</f>
        <v>0.20451285618961965</v>
      </c>
      <c r="W139" s="52">
        <f t="shared" ref="W139" si="372">IF(W136&lt;&gt;"",getUVfromXY(W137,W138,0),"")</f>
        <v>0.20029314994053546</v>
      </c>
      <c r="X139" s="52">
        <f t="shared" ref="X139" si="373">IF(X136&lt;&gt;"",getUVfromXY(X137,X138,0),"")</f>
        <v>0.19897319451858281</v>
      </c>
      <c r="Y139" s="52">
        <f t="shared" ref="Y139" si="374">IF(Y136&lt;&gt;"",getUVfromXY(Y137,Y138,0),"")</f>
        <v>0.20404603991823381</v>
      </c>
      <c r="Z139" s="52">
        <f t="shared" ref="Z139" si="375">IF(Z136&lt;&gt;"",getUVfromXY(Z137,Z138,0),"")</f>
        <v>0.20223550965164247</v>
      </c>
      <c r="AA139" s="52" t="str">
        <f t="shared" ref="AA139" si="376">IF(AA136&lt;&gt;"",getUVfromXY(AA137,AA138,0),"")</f>
        <v/>
      </c>
      <c r="AB139" s="52" t="str">
        <f t="shared" ref="AB139" si="377">IF(AB136&lt;&gt;"",getUVfromXY(AB137,AB138,0),"")</f>
        <v/>
      </c>
      <c r="AC139" s="52" t="str">
        <f t="shared" ref="AC139" si="378">IF(AC136&lt;&gt;"",getUVfromXY(AC137,AC138,0),"")</f>
        <v/>
      </c>
      <c r="AD139" s="52">
        <f t="shared" ref="AD139" si="379">IF(AD136&lt;&gt;"",getUVfromXY(AD137,AD138,0),"")</f>
        <v>0.1989379998703506</v>
      </c>
      <c r="AE139" s="52">
        <f t="shared" ref="AE139" si="380">IF(AE136&lt;&gt;"",getUVfromXY(AE137,AE138,0),"")</f>
        <v>0.20355200944119703</v>
      </c>
      <c r="AF139" s="52" t="str">
        <f t="shared" ref="AF139" si="381">IF(AF136&lt;&gt;"",getUVfromXY(AF137,AF138,0),"")</f>
        <v/>
      </c>
      <c r="AG139" s="52" t="str">
        <f t="shared" ref="AG139" si="382">IF(AG136&lt;&gt;"",getUVfromXY(AG137,AG138,0),"")</f>
        <v/>
      </c>
      <c r="AH139" s="52">
        <f t="shared" ref="AH139" si="383">IF(AH136&lt;&gt;"",getUVfromXY(AH137,AH138,0),"")</f>
        <v>0.199667840460972</v>
      </c>
      <c r="AI139" s="52" t="str">
        <f t="shared" ref="AI139" si="384">IF(AI136&lt;&gt;"",getUVfromXY(AI137,AI138,0),"")</f>
        <v/>
      </c>
      <c r="AJ139" s="52" t="str">
        <f t="shared" ref="AJ139" si="385">IF(AJ136&lt;&gt;"",getUVfromXY(AJ137,AJ138,0),"")</f>
        <v/>
      </c>
      <c r="AK139" s="52">
        <f t="shared" ref="AK139" si="386">IF(AK136&lt;&gt;"",getUVfromXY(AK137,AK138,0),"")</f>
        <v>0.19200917802039688</v>
      </c>
      <c r="AL139" s="52">
        <f t="shared" ref="AL139" si="387">IF(AL136&lt;&gt;"",getUVfromXY(AL137,AL138,0),"")</f>
        <v>0.20476392822960979</v>
      </c>
      <c r="AM139" s="52">
        <f t="shared" ref="AM139" si="388">IF(AM136&lt;&gt;"",getUVfromXY(AM137,AM138,0),"")</f>
        <v>0.19667956829056113</v>
      </c>
      <c r="AN139" s="52">
        <f t="shared" ref="AN139" si="389">IF(AN136&lt;&gt;"",getUVfromXY(AN137,AN138,0),"")</f>
        <v>0.20301746890688721</v>
      </c>
      <c r="AO139" s="52">
        <f t="shared" ref="AO139" si="390">IF(AO136&lt;&gt;"",getUVfromXY(AO137,AO138,0),"")</f>
        <v>0.19161819178223333</v>
      </c>
    </row>
    <row r="140" spans="1:41">
      <c r="A140" s="218"/>
      <c r="B140" s="40" t="str">
        <f t="shared" si="353"/>
        <v>v</v>
      </c>
      <c r="C140" s="41">
        <f>getUVfromXY(C137,C138,1)</f>
        <v>0.29976994632080822</v>
      </c>
      <c r="D140" s="41">
        <f t="shared" si="354"/>
        <v>0.2991114618409596</v>
      </c>
      <c r="E140" s="41">
        <f t="shared" si="355"/>
        <v>4.3594683601788477E-3</v>
      </c>
      <c r="F140" s="3">
        <f t="shared" si="356"/>
        <v>1.4574728542154023E-2</v>
      </c>
      <c r="G140" s="2">
        <f t="shared" si="357"/>
        <v>-2.0015914368374248</v>
      </c>
      <c r="H140" s="2">
        <f t="shared" si="358"/>
        <v>2.0231404101404666</v>
      </c>
      <c r="I140" s="2">
        <f t="shared" si="359"/>
        <v>2.1548973303041841E-2</v>
      </c>
      <c r="J140" s="52" t="str">
        <f>IF(J136&lt;&gt;"",getUVfromXY(J137,J138,1),"")</f>
        <v/>
      </c>
      <c r="K140" s="52">
        <f t="shared" ref="K140:AO140" si="391">IF(K136&lt;&gt;"",getUVfromXY(K137,K138,1),"")</f>
        <v>0.30466808141557117</v>
      </c>
      <c r="L140" s="52">
        <f t="shared" si="391"/>
        <v>0.29725028295102757</v>
      </c>
      <c r="M140" s="52">
        <f t="shared" si="391"/>
        <v>0.30502295980902844</v>
      </c>
      <c r="N140" s="52">
        <f t="shared" si="391"/>
        <v>0.29759469521058451</v>
      </c>
      <c r="O140" s="52">
        <f t="shared" si="391"/>
        <v>0.30375755475068145</v>
      </c>
      <c r="P140" s="52">
        <f t="shared" si="391"/>
        <v>0.29971466078888626</v>
      </c>
      <c r="Q140" s="52">
        <f t="shared" si="391"/>
        <v>0.30406016470238834</v>
      </c>
      <c r="R140" s="52">
        <f t="shared" si="391"/>
        <v>0.29592685934195584</v>
      </c>
      <c r="S140" s="52" t="str">
        <f t="shared" si="391"/>
        <v/>
      </c>
      <c r="T140" s="52">
        <f t="shared" si="391"/>
        <v>0.29502304644491112</v>
      </c>
      <c r="U140" s="52">
        <f t="shared" si="391"/>
        <v>0.298999590102135</v>
      </c>
      <c r="V140" s="52">
        <f t="shared" si="391"/>
        <v>0.29621466610352831</v>
      </c>
      <c r="W140" s="52">
        <f t="shared" si="391"/>
        <v>0.29809489023448282</v>
      </c>
      <c r="X140" s="52">
        <f t="shared" si="391"/>
        <v>0.29746655849840276</v>
      </c>
      <c r="Y140" s="52">
        <f t="shared" si="391"/>
        <v>0.29273144834447651</v>
      </c>
      <c r="Z140" s="52">
        <f t="shared" si="391"/>
        <v>0.29666061587293646</v>
      </c>
      <c r="AA140" s="52" t="str">
        <f t="shared" si="391"/>
        <v/>
      </c>
      <c r="AB140" s="52" t="str">
        <f t="shared" si="391"/>
        <v/>
      </c>
      <c r="AC140" s="52" t="str">
        <f t="shared" si="391"/>
        <v/>
      </c>
      <c r="AD140" s="52">
        <f t="shared" si="391"/>
        <v>0.29778553524562562</v>
      </c>
      <c r="AE140" s="52">
        <f t="shared" si="391"/>
        <v>0.29558819217212567</v>
      </c>
      <c r="AF140" s="52" t="str">
        <f t="shared" si="391"/>
        <v/>
      </c>
      <c r="AG140" s="52" t="str">
        <f t="shared" si="391"/>
        <v/>
      </c>
      <c r="AH140" s="52">
        <f t="shared" si="391"/>
        <v>0.30032865248386176</v>
      </c>
      <c r="AI140" s="52" t="str">
        <f t="shared" si="391"/>
        <v/>
      </c>
      <c r="AJ140" s="52" t="str">
        <f t="shared" si="391"/>
        <v/>
      </c>
      <c r="AK140" s="52">
        <f t="shared" si="391"/>
        <v>0.30440118073166444</v>
      </c>
      <c r="AL140" s="52">
        <f t="shared" si="391"/>
        <v>0.29038558730206193</v>
      </c>
      <c r="AM140" s="52">
        <f t="shared" si="391"/>
        <v>0.29721233114981199</v>
      </c>
      <c r="AN140" s="52">
        <f t="shared" si="391"/>
        <v>0.3027447902387555</v>
      </c>
      <c r="AO140" s="52">
        <f t="shared" si="391"/>
        <v>0.30793127844716622</v>
      </c>
    </row>
    <row r="141" spans="1:41">
      <c r="A141" s="218"/>
      <c r="B141" s="40" t="str">
        <f t="shared" si="353"/>
        <v>Δxy</v>
      </c>
      <c r="C141" s="40">
        <v>0</v>
      </c>
      <c r="D141" s="41">
        <f t="shared" si="354"/>
        <v>9.9366116077680179E-3</v>
      </c>
      <c r="E141" s="41">
        <f t="shared" si="355"/>
        <v>5.130676460526418E-3</v>
      </c>
      <c r="F141" s="72">
        <f>ABS(D141)+1.5*E141</f>
        <v>1.7632626298557646E-2</v>
      </c>
      <c r="G141" s="2">
        <f t="shared" si="357"/>
        <v>-1.6307462108931854</v>
      </c>
      <c r="H141" s="2">
        <f t="shared" si="358"/>
        <v>2.3142524959753112</v>
      </c>
      <c r="I141" s="2">
        <f t="shared" si="359"/>
        <v>0.68350628508212585</v>
      </c>
      <c r="J141" s="52" t="str">
        <f>IF(J136&lt;&gt;"",((J137-$C137)^2+(J138-$C138)^2)^0.5,"")</f>
        <v/>
      </c>
      <c r="K141" s="52">
        <f t="shared" ref="K141:AO141" si="392">IF(K136&lt;&gt;"",((K137-$C137)^2+(K138-$C138)^2)^0.5,"")</f>
        <v>1.4092109978782803E-2</v>
      </c>
      <c r="L141" s="52">
        <f t="shared" si="392"/>
        <v>6.5247252540677992E-3</v>
      </c>
      <c r="M141" s="52">
        <f t="shared" si="392"/>
        <v>1.3573352603289969E-2</v>
      </c>
      <c r="N141" s="52">
        <f t="shared" si="392"/>
        <v>7.1980849238228563E-3</v>
      </c>
      <c r="O141" s="52">
        <f t="shared" si="392"/>
        <v>1.0354730386337154E-2</v>
      </c>
      <c r="P141" s="52">
        <f t="shared" si="392"/>
        <v>4.281741711738403E-3</v>
      </c>
      <c r="Q141" s="52">
        <f t="shared" si="392"/>
        <v>1.1637281522165742E-2</v>
      </c>
      <c r="R141" s="52">
        <f t="shared" si="392"/>
        <v>9.5577685266753313E-3</v>
      </c>
      <c r="S141" s="52" t="str">
        <f t="shared" si="392"/>
        <v/>
      </c>
      <c r="T141" s="52">
        <f t="shared" si="392"/>
        <v>1.14956085259737E-2</v>
      </c>
      <c r="U141" s="52">
        <f t="shared" si="392"/>
        <v>5.9126209045252381E-3</v>
      </c>
      <c r="V141" s="52">
        <f t="shared" si="392"/>
        <v>9.4007598563832159E-3</v>
      </c>
      <c r="W141" s="52">
        <f t="shared" si="392"/>
        <v>4.0297270070745001E-3</v>
      </c>
      <c r="X141" s="52">
        <f t="shared" si="392"/>
        <v>5.831564335627871E-3</v>
      </c>
      <c r="Y141" s="52">
        <f t="shared" si="392"/>
        <v>1.6565284052121019E-2</v>
      </c>
      <c r="Z141" s="52">
        <f t="shared" si="392"/>
        <v>7.5969511516930594E-3</v>
      </c>
      <c r="AA141" s="52" t="str">
        <f t="shared" si="392"/>
        <v/>
      </c>
      <c r="AB141" s="52" t="str">
        <f t="shared" si="392"/>
        <v/>
      </c>
      <c r="AC141" s="52" t="str">
        <f t="shared" si="392"/>
        <v/>
      </c>
      <c r="AD141" s="52">
        <f t="shared" si="392"/>
        <v>5.0635023181596706E-3</v>
      </c>
      <c r="AE141" s="52">
        <f t="shared" si="392"/>
        <v>1.0248363290988053E-2</v>
      </c>
      <c r="AF141" s="52" t="str">
        <f t="shared" si="392"/>
        <v/>
      </c>
      <c r="AG141" s="52" t="str">
        <f t="shared" si="392"/>
        <v/>
      </c>
      <c r="AH141" s="52">
        <f t="shared" si="392"/>
        <v>1.5697804104457017E-3</v>
      </c>
      <c r="AI141" s="52" t="str">
        <f t="shared" si="392"/>
        <v/>
      </c>
      <c r="AJ141" s="52" t="str">
        <f t="shared" si="392"/>
        <v/>
      </c>
      <c r="AK141" s="52">
        <f t="shared" si="392"/>
        <v>1.3124212652585402E-2</v>
      </c>
      <c r="AL141" s="52">
        <f t="shared" si="392"/>
        <v>2.1810292412583056E-2</v>
      </c>
      <c r="AM141" s="52">
        <f t="shared" si="392"/>
        <v>7.8174631285573941E-3</v>
      </c>
      <c r="AN141" s="52">
        <f t="shared" si="392"/>
        <v>9.7518367765541385E-3</v>
      </c>
      <c r="AO141" s="52">
        <f t="shared" si="392"/>
        <v>2.1104305248512339E-2</v>
      </c>
    </row>
    <row r="142" spans="1:41" s="40" customFormat="1">
      <c r="A142" s="217">
        <f>10^6/A136</f>
        <v>124.45550715619166</v>
      </c>
      <c r="B142" s="40" t="s">
        <v>3</v>
      </c>
      <c r="C142" s="197"/>
      <c r="D142" s="30">
        <f t="shared" si="354"/>
        <v>8234.0869565217399</v>
      </c>
      <c r="E142" s="30">
        <f t="shared" si="355"/>
        <v>467.86506534212492</v>
      </c>
      <c r="F142" s="73">
        <f>ABS(D142-A136)+1.5*E142</f>
        <v>900.88455453492725</v>
      </c>
      <c r="G142" s="2">
        <f t="shared" si="357"/>
        <v>-2.0477847727766161</v>
      </c>
      <c r="H142" s="2">
        <f t="shared" si="358"/>
        <v>2.2461883165176761</v>
      </c>
      <c r="I142" s="2">
        <f t="shared" si="359"/>
        <v>0.19840354374106006</v>
      </c>
      <c r="J142" s="30" t="str">
        <f>IF(J136&lt;&gt;"",getCCTfromXY(J137,J138,0),"")</f>
        <v/>
      </c>
      <c r="K142" s="30">
        <f t="shared" ref="K142:AO142" si="393">IF(K136&lt;&gt;"",getCCTfromXY(K137,K138,0),"")</f>
        <v>8019</v>
      </c>
      <c r="L142" s="30">
        <f t="shared" si="393"/>
        <v>8538</v>
      </c>
      <c r="M142" s="30">
        <f t="shared" si="393"/>
        <v>7756</v>
      </c>
      <c r="N142" s="30">
        <f t="shared" si="393"/>
        <v>8701</v>
      </c>
      <c r="O142" s="30">
        <f t="shared" si="393"/>
        <v>7846</v>
      </c>
      <c r="P142" s="30">
        <f t="shared" si="393"/>
        <v>8373</v>
      </c>
      <c r="Q142" s="30">
        <f t="shared" si="393"/>
        <v>7922</v>
      </c>
      <c r="R142" s="30">
        <f t="shared" si="393"/>
        <v>8741</v>
      </c>
      <c r="S142" s="30" t="str">
        <f t="shared" si="393"/>
        <v/>
      </c>
      <c r="T142" s="30">
        <f t="shared" si="393"/>
        <v>8411</v>
      </c>
      <c r="U142" s="30">
        <f t="shared" si="393"/>
        <v>7686</v>
      </c>
      <c r="V142" s="30">
        <f t="shared" si="393"/>
        <v>8113</v>
      </c>
      <c r="W142" s="30">
        <f t="shared" si="393"/>
        <v>8216</v>
      </c>
      <c r="X142" s="30">
        <f t="shared" si="393"/>
        <v>8460</v>
      </c>
      <c r="Y142" s="30">
        <f t="shared" si="393"/>
        <v>8836</v>
      </c>
      <c r="Z142" s="30">
        <f t="shared" si="393"/>
        <v>8269</v>
      </c>
      <c r="AA142" s="30" t="str">
        <f t="shared" si="393"/>
        <v/>
      </c>
      <c r="AB142" s="30" t="str">
        <f t="shared" si="393"/>
        <v/>
      </c>
      <c r="AC142" s="30" t="str">
        <f t="shared" si="393"/>
        <v/>
      </c>
      <c r="AD142" s="30">
        <f t="shared" si="393"/>
        <v>8406</v>
      </c>
      <c r="AE142" s="30">
        <f t="shared" si="393"/>
        <v>8325</v>
      </c>
      <c r="AF142" s="30" t="str">
        <f t="shared" si="393"/>
        <v/>
      </c>
      <c r="AG142" s="30" t="str">
        <f t="shared" si="393"/>
        <v/>
      </c>
      <c r="AH142" s="30">
        <f t="shared" si="393"/>
        <v>7914</v>
      </c>
      <c r="AI142" s="30" t="str">
        <f t="shared" si="393"/>
        <v/>
      </c>
      <c r="AJ142" s="30" t="str">
        <f t="shared" si="393"/>
        <v/>
      </c>
      <c r="AK142" s="30">
        <f t="shared" si="393"/>
        <v>7995</v>
      </c>
      <c r="AL142" s="30">
        <f t="shared" si="393"/>
        <v>9285</v>
      </c>
      <c r="AM142" s="30">
        <f t="shared" si="393"/>
        <v>8744</v>
      </c>
      <c r="AN142" s="30">
        <f t="shared" si="393"/>
        <v>7276</v>
      </c>
      <c r="AO142" s="30">
        <f t="shared" si="393"/>
        <v>7552</v>
      </c>
    </row>
    <row r="143" spans="1:41" s="40" customFormat="1">
      <c r="A143" s="217"/>
      <c r="B143" s="40" t="s">
        <v>73</v>
      </c>
      <c r="C143" s="197"/>
      <c r="D143" s="3">
        <f t="shared" si="354"/>
        <v>-2.4777468142095718E-2</v>
      </c>
      <c r="E143" s="3">
        <f t="shared" si="355"/>
        <v>5.8228383987818676E-2</v>
      </c>
      <c r="F143" s="74">
        <f t="shared" ref="F143:F144" si="394">ABS(D143)+1.5*E143</f>
        <v>0.11212004412382373</v>
      </c>
      <c r="G143" s="2">
        <f t="shared" si="357"/>
        <v>-2.2461883165176881</v>
      </c>
      <c r="H143" s="2">
        <f t="shared" si="358"/>
        <v>2.0477847727766219</v>
      </c>
      <c r="I143" s="2">
        <f t="shared" si="359"/>
        <v>-0.19840354374106628</v>
      </c>
      <c r="J143" s="3" t="str">
        <f>IF(J136&lt;&gt;"",1-J142/$A136,"")</f>
        <v/>
      </c>
      <c r="K143" s="3">
        <f t="shared" ref="K143" si="395">IF(K136&lt;&gt;"",1-K142/$A136,"")</f>
        <v>1.9912881144991124E-3</v>
      </c>
      <c r="L143" s="3">
        <f t="shared" ref="L143" si="396">IF(L136&lt;&gt;"",1-L142/$A136,"")</f>
        <v>-6.2601120099564422E-2</v>
      </c>
      <c r="M143" s="3">
        <f t="shared" ref="M143" si="397">IF(M136&lt;&gt;"",1-M142/$A136,"")</f>
        <v>3.4723086496577515E-2</v>
      </c>
      <c r="N143" s="3">
        <f t="shared" ref="N143" si="398">IF(N136&lt;&gt;"",1-N142/$A136,"")</f>
        <v>-8.2887367766023567E-2</v>
      </c>
      <c r="O143" s="3">
        <f t="shared" ref="O143" si="399">IF(O136&lt;&gt;"",1-O142/$A136,"")</f>
        <v>2.3522090852520217E-2</v>
      </c>
      <c r="P143" s="3">
        <f t="shared" ref="P143" si="400">IF(P136&lt;&gt;"",1-P142/$A136,"")</f>
        <v>-4.2065961418792819E-2</v>
      </c>
      <c r="Q143" s="3">
        <f t="shared" ref="Q143" si="401">IF(Q136&lt;&gt;"",1-Q142/$A136,"")</f>
        <v>1.4063472308649683E-2</v>
      </c>
      <c r="R143" s="3">
        <f t="shared" ref="R143" si="402">IF(R136&lt;&gt;"",1-R142/$A136,"")</f>
        <v>-8.7865588052271404E-2</v>
      </c>
      <c r="S143" s="3" t="str">
        <f t="shared" ref="S143" si="403">IF(S136&lt;&gt;"",1-S142/$A136,"")</f>
        <v/>
      </c>
      <c r="T143" s="3">
        <f t="shared" ref="T143" si="404">IF(T136&lt;&gt;"",1-T142/$A136,"")</f>
        <v>-4.6795270690727975E-2</v>
      </c>
      <c r="U143" s="3">
        <f t="shared" ref="U143" si="405">IF(U136&lt;&gt;"",1-U142/$A136,"")</f>
        <v>4.3434971997510896E-2</v>
      </c>
      <c r="V143" s="3">
        <f t="shared" ref="V143" si="406">IF(V136&lt;&gt;"",1-V142/$A136,"")</f>
        <v>-9.7075295581829923E-3</v>
      </c>
      <c r="W143" s="3">
        <f t="shared" ref="W143" si="407">IF(W136&lt;&gt;"",1-W142/$A136,"")</f>
        <v>-2.2526446795270605E-2</v>
      </c>
      <c r="X143" s="3">
        <f t="shared" ref="X143" si="408">IF(X136&lt;&gt;"",1-X142/$A136,"")</f>
        <v>-5.289359054138143E-2</v>
      </c>
      <c r="Y143" s="3">
        <f t="shared" ref="Y143" si="409">IF(Y136&lt;&gt;"",1-Y142/$A136,"")</f>
        <v>-9.9688861232109627E-2</v>
      </c>
      <c r="Z143" s="3">
        <f t="shared" ref="Z143" si="410">IF(Z136&lt;&gt;"",1-Z142/$A136,"")</f>
        <v>-2.9122588674548755E-2</v>
      </c>
      <c r="AA143" s="3" t="str">
        <f t="shared" ref="AA143" si="411">IF(AA136&lt;&gt;"",1-AA142/$A136,"")</f>
        <v/>
      </c>
      <c r="AB143" s="3" t="str">
        <f t="shared" ref="AB143" si="412">IF(AB136&lt;&gt;"",1-AB142/$A136,"")</f>
        <v/>
      </c>
      <c r="AC143" s="3" t="str">
        <f t="shared" ref="AC143" si="413">IF(AC136&lt;&gt;"",1-AC142/$A136,"")</f>
        <v/>
      </c>
      <c r="AD143" s="3">
        <f t="shared" ref="AD143" si="414">IF(AD136&lt;&gt;"",1-AD142/$A136,"")</f>
        <v>-4.6172993154947051E-2</v>
      </c>
      <c r="AE143" s="3">
        <f t="shared" ref="AE143" si="415">IF(AE136&lt;&gt;"",1-AE142/$A136,"")</f>
        <v>-3.6092097075295593E-2</v>
      </c>
      <c r="AF143" s="3" t="str">
        <f t="shared" ref="AF143" si="416">IF(AF136&lt;&gt;"",1-AF142/$A136,"")</f>
        <v/>
      </c>
      <c r="AG143" s="3" t="str">
        <f t="shared" ref="AG143" si="417">IF(AG136&lt;&gt;"",1-AG142/$A136,"")</f>
        <v/>
      </c>
      <c r="AH143" s="3">
        <f t="shared" ref="AH143" si="418">IF(AH136&lt;&gt;"",1-AH142/$A136,"")</f>
        <v>1.5059116365899183E-2</v>
      </c>
      <c r="AI143" s="3" t="str">
        <f t="shared" ref="AI143" si="419">IF(AI136&lt;&gt;"",1-AI142/$A136,"")</f>
        <v/>
      </c>
      <c r="AJ143" s="3" t="str">
        <f t="shared" ref="AJ143" si="420">IF(AJ136&lt;&gt;"",1-AJ142/$A136,"")</f>
        <v/>
      </c>
      <c r="AK143" s="3">
        <f t="shared" ref="AK143" si="421">IF(AK136&lt;&gt;"",1-AK142/$A136,"")</f>
        <v>4.9782202862476144E-3</v>
      </c>
      <c r="AL143" s="3">
        <f t="shared" ref="AL143" si="422">IF(AL136&lt;&gt;"",1-AL142/$A136,"")</f>
        <v>-0.15556938394523967</v>
      </c>
      <c r="AM143" s="3">
        <f t="shared" ref="AM143" si="423">IF(AM136&lt;&gt;"",1-AM142/$A136,"")</f>
        <v>-8.823895457373987E-2</v>
      </c>
      <c r="AN143" s="3">
        <f t="shared" ref="AN143" si="424">IF(AN136&lt;&gt;"",1-AN142/$A136,"")</f>
        <v>9.4461729931549443E-2</v>
      </c>
      <c r="AO143" s="3">
        <f t="shared" ref="AO143" si="425">IF(AO136&lt;&gt;"",1-AO142/$A136,"")</f>
        <v>6.0112009956440615E-2</v>
      </c>
    </row>
    <row r="144" spans="1:41" s="40" customFormat="1">
      <c r="A144" s="217"/>
      <c r="B144" s="40" t="s">
        <v>14</v>
      </c>
      <c r="C144" s="197"/>
      <c r="D144" s="2">
        <f t="shared" si="354"/>
        <v>-2.6325857317503223</v>
      </c>
      <c r="E144" s="2">
        <f t="shared" si="355"/>
        <v>6.9468730517485699</v>
      </c>
      <c r="F144" s="75">
        <f t="shared" si="394"/>
        <v>13.052895309373177</v>
      </c>
      <c r="G144" s="2">
        <f t="shared" si="357"/>
        <v>-2.0329044400240934</v>
      </c>
      <c r="H144" s="2">
        <f t="shared" si="358"/>
        <v>2.2478072206680335</v>
      </c>
      <c r="I144" s="2">
        <f t="shared" si="359"/>
        <v>0.21490278064394008</v>
      </c>
      <c r="J144" s="2" t="str">
        <f>IF(J136&lt;&gt;"",10^6/J142-$A142,"")</f>
        <v/>
      </c>
      <c r="K144" s="2">
        <f t="shared" ref="K144:AO144" si="426">IF(K136&lt;&gt;"",10^6/K142-$A142,"")</f>
        <v>0.24832125134045668</v>
      </c>
      <c r="L144" s="2">
        <f t="shared" si="426"/>
        <v>-7.3320590418791767</v>
      </c>
      <c r="M144" s="2">
        <f t="shared" si="426"/>
        <v>4.4769322455618124</v>
      </c>
      <c r="N144" s="2">
        <f t="shared" si="426"/>
        <v>-9.5261886870501797</v>
      </c>
      <c r="O144" s="2">
        <f t="shared" si="426"/>
        <v>2.9979723237981517</v>
      </c>
      <c r="P144" s="2">
        <f t="shared" si="426"/>
        <v>-5.0240011249006074</v>
      </c>
      <c r="Q144" s="2">
        <f t="shared" si="426"/>
        <v>1.7752426544622182</v>
      </c>
      <c r="R144" s="2">
        <f t="shared" si="426"/>
        <v>-10.052120815955988</v>
      </c>
      <c r="S144" s="2" t="str">
        <f t="shared" si="426"/>
        <v/>
      </c>
      <c r="T144" s="2">
        <f t="shared" si="426"/>
        <v>-5.5635799180511327</v>
      </c>
      <c r="U144" s="2">
        <f t="shared" si="426"/>
        <v>5.6511803275450063</v>
      </c>
      <c r="V144" s="2">
        <f t="shared" si="426"/>
        <v>-1.1965400663358707</v>
      </c>
      <c r="W144" s="2">
        <f t="shared" si="426"/>
        <v>-2.7417778475256398</v>
      </c>
      <c r="X144" s="2">
        <f t="shared" si="426"/>
        <v>-6.2521974635202611</v>
      </c>
      <c r="Y144" s="2">
        <f t="shared" si="426"/>
        <v>-11.282125535548829</v>
      </c>
      <c r="Z144" s="2">
        <f t="shared" si="426"/>
        <v>-3.5218997066814381</v>
      </c>
      <c r="AA144" s="2" t="str">
        <f t="shared" si="426"/>
        <v/>
      </c>
      <c r="AB144" s="2" t="str">
        <f t="shared" si="426"/>
        <v/>
      </c>
      <c r="AC144" s="2" t="str">
        <f t="shared" si="426"/>
        <v/>
      </c>
      <c r="AD144" s="2">
        <f t="shared" si="426"/>
        <v>-5.4928614269506397</v>
      </c>
      <c r="AE144" s="2">
        <f t="shared" si="426"/>
        <v>-4.3353870360715376</v>
      </c>
      <c r="AF144" s="2" t="str">
        <f t="shared" si="426"/>
        <v/>
      </c>
      <c r="AG144" s="2" t="str">
        <f t="shared" si="426"/>
        <v/>
      </c>
      <c r="AH144" s="2">
        <f t="shared" si="426"/>
        <v>1.9028451308945193</v>
      </c>
      <c r="AI144" s="2" t="str">
        <f t="shared" si="426"/>
        <v/>
      </c>
      <c r="AJ144" s="2" t="str">
        <f t="shared" si="426"/>
        <v/>
      </c>
      <c r="AK144" s="2">
        <f t="shared" si="426"/>
        <v>0.62266670246999922</v>
      </c>
      <c r="AL144" s="2">
        <f t="shared" si="426"/>
        <v>-16.754914802933712</v>
      </c>
      <c r="AM144" s="2">
        <f t="shared" si="426"/>
        <v>-10.091371749055341</v>
      </c>
      <c r="AN144" s="2">
        <f t="shared" si="426"/>
        <v>12.982645675034291</v>
      </c>
      <c r="AO144" s="2">
        <f t="shared" si="426"/>
        <v>7.9597470810964808</v>
      </c>
    </row>
    <row r="145" spans="1:41">
      <c r="A145" s="218">
        <f>getCCTfromXY(C146,C147,0)</f>
        <v>3723</v>
      </c>
      <c r="B145" s="40" t="str">
        <f t="shared" ref="B145:B150" si="427">B136</f>
        <v>Ev</v>
      </c>
      <c r="C145" s="40">
        <f>data0!B35</f>
        <v>149.69999999999999</v>
      </c>
      <c r="D145" s="2">
        <f>data0!AH127</f>
        <v>149.7230582322799</v>
      </c>
      <c r="E145" s="2">
        <f>data0!AI127</f>
        <v>6.5441352354320008</v>
      </c>
      <c r="F145" s="3">
        <f>data0!AJ127</f>
        <v>4.3708265865632062E-2</v>
      </c>
      <c r="G145" s="2">
        <f>data0!AK127</f>
        <v>-1.4021403916451627</v>
      </c>
      <c r="H145" s="2">
        <f>data0!AL127</f>
        <v>2.3831844958923849</v>
      </c>
      <c r="I145" s="2">
        <f>data0!AM127</f>
        <v>0.98104410424722222</v>
      </c>
      <c r="J145" s="2" t="str">
        <f>data0!B127</f>
        <v/>
      </c>
      <c r="K145" s="2">
        <f>data0!C127</f>
        <v>165.3189398643845</v>
      </c>
      <c r="L145" s="2">
        <f>data0!D127</f>
        <v>144.96605524257657</v>
      </c>
      <c r="M145" s="2">
        <f>data0!E127</f>
        <v>159.31370216025351</v>
      </c>
      <c r="N145" s="2">
        <f>data0!F127</f>
        <v>152.94674864053133</v>
      </c>
      <c r="O145" s="2">
        <f>data0!G127</f>
        <v>145.97729435504033</v>
      </c>
      <c r="P145" s="2">
        <f>data0!H127</f>
        <v>151.20896249682912</v>
      </c>
      <c r="Q145" s="2">
        <f>data0!I127</f>
        <v>158.57134417734656</v>
      </c>
      <c r="R145" s="2">
        <f>data0!J127</f>
        <v>144.76911756774774</v>
      </c>
      <c r="S145" s="2" t="str">
        <f>data0!K127</f>
        <v/>
      </c>
      <c r="T145" s="2">
        <f>data0!L127</f>
        <v>144.76086022669779</v>
      </c>
      <c r="U145" s="2">
        <f>data0!M127</f>
        <v>145.81012085487387</v>
      </c>
      <c r="V145" s="2">
        <f>data0!N127</f>
        <v>144.05096868765494</v>
      </c>
      <c r="W145" s="2">
        <f>data0!O127</f>
        <v>156.33400155802866</v>
      </c>
      <c r="X145" s="2">
        <f>data0!P127</f>
        <v>150.92401613090931</v>
      </c>
      <c r="Y145" s="2">
        <f>data0!Q127</f>
        <v>146.53557021737331</v>
      </c>
      <c r="Z145" s="2">
        <f>data0!R127</f>
        <v>145.20064286823012</v>
      </c>
      <c r="AA145" s="2" t="str">
        <f>data0!S127</f>
        <v/>
      </c>
      <c r="AB145" s="2" t="str">
        <f>data0!T127</f>
        <v/>
      </c>
      <c r="AC145" s="2" t="str">
        <f>data0!U127</f>
        <v/>
      </c>
      <c r="AD145" s="2">
        <f>data0!V127</f>
        <v>155.80318698656743</v>
      </c>
      <c r="AE145" s="2">
        <f>data0!W127</f>
        <v>148.71081166501131</v>
      </c>
      <c r="AF145" s="2" t="str">
        <f>data0!X127</f>
        <v/>
      </c>
      <c r="AG145" s="2"/>
      <c r="AH145" s="2">
        <f>data0!Z127</f>
        <v>150.7068066092138</v>
      </c>
      <c r="AI145" s="2" t="str">
        <f>data0!AA127</f>
        <v/>
      </c>
      <c r="AJ145" s="2" t="str">
        <f>data0!AB127</f>
        <v/>
      </c>
      <c r="AK145" s="2">
        <f>data0!AC127</f>
        <v>140.54726189029236</v>
      </c>
      <c r="AL145" s="2">
        <f>data0!AD127</f>
        <v>144.33816983231634</v>
      </c>
      <c r="AM145" s="2">
        <f>data0!AE127</f>
        <v>143.47480654426712</v>
      </c>
      <c r="AN145" s="2">
        <f>data0!AF127</f>
        <v>144.32733236223609</v>
      </c>
      <c r="AO145" s="2">
        <f>data0!AG127</f>
        <v>159.03361840405418</v>
      </c>
    </row>
    <row r="146" spans="1:41">
      <c r="A146" s="218"/>
      <c r="B146" s="40" t="str">
        <f t="shared" si="427"/>
        <v>x</v>
      </c>
      <c r="C146" s="40">
        <f>data0!B36</f>
        <v>0.36630000000000001</v>
      </c>
      <c r="D146" s="41">
        <f>data0!AH128</f>
        <v>0.36168532743202775</v>
      </c>
      <c r="E146" s="41">
        <f>data0!AI128</f>
        <v>7.1135827998855877E-3</v>
      </c>
      <c r="F146" s="3">
        <f>data0!AJ128</f>
        <v>1.9667877738895719E-2</v>
      </c>
      <c r="G146" s="2">
        <f>data0!AK128</f>
        <v>-1.4932904050048139</v>
      </c>
      <c r="H146" s="2">
        <f>data0!AL128</f>
        <v>2.4180772200183016</v>
      </c>
      <c r="I146" s="2">
        <f>data0!AM128</f>
        <v>0.9247868150134877</v>
      </c>
      <c r="J146" s="41" t="str">
        <f>data0!B128</f>
        <v/>
      </c>
      <c r="K146" s="41">
        <f>data0!C128</f>
        <v>0.35269699752679623</v>
      </c>
      <c r="L146" s="41">
        <f>data0!D128</f>
        <v>0.35208086954391127</v>
      </c>
      <c r="M146" s="41">
        <f>data0!E128</f>
        <v>0.35301583179391688</v>
      </c>
      <c r="N146" s="41">
        <f>data0!F128</f>
        <v>0.35719984298180602</v>
      </c>
      <c r="O146" s="41">
        <f>data0!G128</f>
        <v>0.36565553943823126</v>
      </c>
      <c r="P146" s="41">
        <f>data0!H128</f>
        <v>0.35395291543743557</v>
      </c>
      <c r="Q146" s="41">
        <f>data0!I128</f>
        <v>0.35428477178198725</v>
      </c>
      <c r="R146" s="41">
        <f>data0!J128</f>
        <v>0.35849096114748269</v>
      </c>
      <c r="S146" s="41" t="str">
        <f>data0!K128</f>
        <v/>
      </c>
      <c r="T146" s="41">
        <f>data0!L128</f>
        <v>0.36571160195877295</v>
      </c>
      <c r="U146" s="41">
        <f>data0!M128</f>
        <v>0.3622512114486896</v>
      </c>
      <c r="V146" s="41">
        <f>data0!N128</f>
        <v>0.36604953829931508</v>
      </c>
      <c r="W146" s="41">
        <f>data0!O128</f>
        <v>0.36700179102460767</v>
      </c>
      <c r="X146" s="41">
        <f>data0!P128</f>
        <v>0.35106268249175132</v>
      </c>
      <c r="Y146" s="41">
        <f>data0!Q128</f>
        <v>0.36814964072649653</v>
      </c>
      <c r="Z146" s="41">
        <f>data0!R128</f>
        <v>0.36068799437391291</v>
      </c>
      <c r="AA146" s="41" t="str">
        <f>data0!S128</f>
        <v/>
      </c>
      <c r="AB146" s="41" t="str">
        <f>data0!T128</f>
        <v/>
      </c>
      <c r="AC146" s="41" t="str">
        <f>data0!U128</f>
        <v/>
      </c>
      <c r="AD146" s="41">
        <f>data0!V128</f>
        <v>0.3621087331430492</v>
      </c>
      <c r="AE146" s="41">
        <f>data0!W128</f>
        <v>0.36431451364659817</v>
      </c>
      <c r="AF146" s="41" t="str">
        <f>data0!X128</f>
        <v/>
      </c>
      <c r="AG146" s="41"/>
      <c r="AH146" s="41">
        <f>data0!Z128</f>
        <v>0.35812126927329535</v>
      </c>
      <c r="AI146" s="41" t="str">
        <f>data0!AA128</f>
        <v/>
      </c>
      <c r="AJ146" s="41" t="str">
        <f>data0!AB128</f>
        <v/>
      </c>
      <c r="AK146" s="41">
        <f>data0!AC128</f>
        <v>0.36972691083052561</v>
      </c>
      <c r="AL146" s="41">
        <f>data0!AD128</f>
        <v>0.3622840716719728</v>
      </c>
      <c r="AM146" s="41">
        <f>data0!AE128</f>
        <v>0.36092198533373249</v>
      </c>
      <c r="AN146" s="41">
        <f>data0!AF128</f>
        <v>0.3788865199531451</v>
      </c>
      <c r="AO146" s="41">
        <f>data0!AG128</f>
        <v>0.37410633710920538</v>
      </c>
    </row>
    <row r="147" spans="1:41">
      <c r="A147" s="218"/>
      <c r="B147" s="40" t="str">
        <f t="shared" si="427"/>
        <v>y</v>
      </c>
      <c r="C147" s="40">
        <f>data0!B37</f>
        <v>0.29870000000000002</v>
      </c>
      <c r="D147" s="41">
        <f>AVERAGE(J147:AO147)</f>
        <v>0.29802961683116447</v>
      </c>
      <c r="E147" s="41">
        <f>STDEV(J147:AO147)</f>
        <v>1.1605683246251254E-2</v>
      </c>
      <c r="F147" s="3">
        <f>E147/D147</f>
        <v>3.894137559095659E-2</v>
      </c>
      <c r="G147" s="2">
        <f>(MIN(J147:AO147)-$D147)/$E147</f>
        <v>-1.217460239715157</v>
      </c>
      <c r="H147" s="2">
        <f>(MAX(J147:AO147)-$D147)/$E147</f>
        <v>2.1373999916930053</v>
      </c>
      <c r="I147" s="2">
        <f>G147+H147</f>
        <v>0.91993975197784827</v>
      </c>
      <c r="J147" s="41" t="str">
        <f>data0!B129</f>
        <v/>
      </c>
      <c r="K147" s="41">
        <f>data0!C129</f>
        <v>0.31305242333432448</v>
      </c>
      <c r="L147" s="41">
        <f>data0!D129</f>
        <v>0.29388167582272456</v>
      </c>
      <c r="M147" s="41">
        <f>data0!E129</f>
        <v>0.31432958953042728</v>
      </c>
      <c r="N147" s="41">
        <f>data0!F129</f>
        <v>0.30223271546732827</v>
      </c>
      <c r="O147" s="41">
        <f>data0!G129</f>
        <v>0.30776071132447042</v>
      </c>
      <c r="P147" s="41">
        <f>data0!H129</f>
        <v>0.30628100843502071</v>
      </c>
      <c r="Q147" s="41">
        <f>data0!I129</f>
        <v>0.30831067829330189</v>
      </c>
      <c r="R147" s="41">
        <f>data0!J129</f>
        <v>0.29498750259377987</v>
      </c>
      <c r="S147" s="41" t="str">
        <f>data0!K129</f>
        <v/>
      </c>
      <c r="T147" s="41">
        <f>data0!L129</f>
        <v>0.29501344078620806</v>
      </c>
      <c r="U147" s="41">
        <f>data0!M129</f>
        <v>0.28901646299370004</v>
      </c>
      <c r="V147" s="41">
        <f>data0!N129</f>
        <v>0.28467250116562215</v>
      </c>
      <c r="W147" s="41">
        <f>data0!O129</f>
        <v>0.28664333096017319</v>
      </c>
      <c r="X147" s="41">
        <f>data0!P129</f>
        <v>0.29522553057265954</v>
      </c>
      <c r="Y147" s="41">
        <f>data0!Q129</f>
        <v>0.28390015892412523</v>
      </c>
      <c r="Z147" s="41">
        <f>data0!R129</f>
        <v>0.28785272298847114</v>
      </c>
      <c r="AA147" s="41" t="str">
        <f>data0!S129</f>
        <v/>
      </c>
      <c r="AB147" s="41" t="str">
        <f>data0!T129</f>
        <v/>
      </c>
      <c r="AC147" s="41" t="str">
        <f>data0!U129</f>
        <v/>
      </c>
      <c r="AD147" s="41">
        <f>data0!V129</f>
        <v>0.28501673625115359</v>
      </c>
      <c r="AE147" s="41">
        <f>data0!W129</f>
        <v>0.28669101993264728</v>
      </c>
      <c r="AF147" s="41" t="str">
        <f>data0!X129</f>
        <v/>
      </c>
      <c r="AG147" s="41"/>
      <c r="AH147" s="41">
        <f>data0!Z129</f>
        <v>0.29860576510724229</v>
      </c>
      <c r="AI147" s="41" t="str">
        <f>data0!AA129</f>
        <v/>
      </c>
      <c r="AJ147" s="41" t="str">
        <f>data0!AB129</f>
        <v/>
      </c>
      <c r="AK147" s="41">
        <f>data0!AC129</f>
        <v>0.31182201778534463</v>
      </c>
      <c r="AL147" s="41">
        <f>data0!AD129</f>
        <v>0.28461118812699676</v>
      </c>
      <c r="AM147" s="41">
        <f>data0!AE129</f>
        <v>0.29234831963248376</v>
      </c>
      <c r="AN147" s="41">
        <f>data0!AF129</f>
        <v>0.30959008298328416</v>
      </c>
      <c r="AO147" s="41">
        <f>data0!AG129</f>
        <v>0.32283560410529355</v>
      </c>
    </row>
    <row r="148" spans="1:41">
      <c r="A148" s="218"/>
      <c r="B148" s="40" t="str">
        <f t="shared" si="427"/>
        <v>u</v>
      </c>
      <c r="C148" s="41">
        <f>getUVfromXY(C146,C147,0)</f>
        <v>0.25038449707782223</v>
      </c>
      <c r="D148" s="41">
        <f t="shared" ref="D148:D153" si="428">AVERAGE(J148:AO148)</f>
        <v>0.24732383948336792</v>
      </c>
      <c r="E148" s="41">
        <f t="shared" ref="E148:E153" si="429">STDEV(J148:AO148)</f>
        <v>7.9896935789758091E-3</v>
      </c>
      <c r="F148" s="3">
        <f t="shared" ref="F148:F149" si="430">E148/D148</f>
        <v>3.2304583317424612E-2</v>
      </c>
      <c r="G148" s="2">
        <f t="shared" ref="G148:G153" si="431">(MIN(J148:AO148)-$D148)/$E148</f>
        <v>-1.8195476850930996</v>
      </c>
      <c r="H148" s="2">
        <f t="shared" ref="H148:H153" si="432">(MAX(J148:AO148)-$D148)/$E148</f>
        <v>1.5483321079457641</v>
      </c>
      <c r="I148" s="2">
        <f t="shared" ref="I148:I153" si="433">G148+H148</f>
        <v>-0.27121557714733546</v>
      </c>
      <c r="J148" s="52" t="str">
        <f>IF(J145&lt;&gt;"",getUVfromXY(J146,J147,0),"")</f>
        <v/>
      </c>
      <c r="K148" s="52">
        <f t="shared" ref="K148" si="434">IF(K145&lt;&gt;"",getUVfromXY(K146,K147,0),"")</f>
        <v>0.23314050277339482</v>
      </c>
      <c r="L148" s="52">
        <f t="shared" ref="L148" si="435">IF(L145&lt;&gt;"",getUVfromXY(L146,L147,0),"")</f>
        <v>0.2418794714653596</v>
      </c>
      <c r="M148" s="52">
        <f t="shared" ref="M148" si="436">IF(M145&lt;&gt;"",getUVfromXY(M146,M147,0),"")</f>
        <v>0.23278621102713928</v>
      </c>
      <c r="N148" s="52">
        <f t="shared" ref="N148" si="437">IF(N145&lt;&gt;"",getUVfromXY(N146,N147,0),"")</f>
        <v>0.24166177657326809</v>
      </c>
      <c r="O148" s="52">
        <f t="shared" ref="O148" si="438">IF(O145&lt;&gt;"",getUVfromXY(O146,O147,0),"")</f>
        <v>0.24533159029070717</v>
      </c>
      <c r="P148" s="52">
        <f t="shared" ref="P148" si="439">IF(P145&lt;&gt;"",getUVfromXY(P146,P147,0),"")</f>
        <v>0.23725507570699678</v>
      </c>
      <c r="Q148" s="52">
        <f t="shared" ref="Q148" si="440">IF(Q145&lt;&gt;"",getUVfromXY(Q146,Q147,0),"")</f>
        <v>0.23653840312032359</v>
      </c>
      <c r="R148" s="52">
        <f t="shared" ref="R148" si="441">IF(R145&lt;&gt;"",getUVfromXY(R146,R147,0),"")</f>
        <v>0.24626418077636367</v>
      </c>
      <c r="S148" s="52" t="str">
        <f t="shared" ref="S148" si="442">IF(S145&lt;&gt;"",getUVfromXY(S146,S147,0),"")</f>
        <v/>
      </c>
      <c r="T148" s="52">
        <f t="shared" ref="T148" si="443">IF(T145&lt;&gt;"",getUVfromXY(T146,T147,0),"")</f>
        <v>0.25183549099630392</v>
      </c>
      <c r="U148" s="52">
        <f t="shared" ref="U148" si="444">IF(U145&lt;&gt;"",getUVfromXY(U146,U147,0),"")</f>
        <v>0.25227746463470618</v>
      </c>
      <c r="V148" s="52">
        <f t="shared" ref="V148" si="445">IF(V145&lt;&gt;"",getUVfromXY(V146,V147,0),"")</f>
        <v>0.25760127370916847</v>
      </c>
      <c r="W148" s="52">
        <f t="shared" ref="W148" si="446">IF(W145&lt;&gt;"",getUVfromXY(W146,W147,0),"")</f>
        <v>0.25728708962943325</v>
      </c>
      <c r="X148" s="52">
        <f t="shared" ref="X148" si="447">IF(X145&lt;&gt;"",getUVfromXY(X146,X147,0),"")</f>
        <v>0.24042997255118531</v>
      </c>
      <c r="Y148" s="52">
        <f t="shared" ref="Y148" si="448">IF(Y145&lt;&gt;"",getUVfromXY(Y146,Y147,0),"")</f>
        <v>0.25969453858434427</v>
      </c>
      <c r="Z148" s="52">
        <f t="shared" ref="Z148" si="449">IF(Z145&lt;&gt;"",getUVfromXY(Z146,Z147,0),"")</f>
        <v>0.25166370907869257</v>
      </c>
      <c r="AA148" s="52" t="str">
        <f t="shared" ref="AA148" si="450">IF(AA145&lt;&gt;"",getUVfromXY(AA146,AA147,0),"")</f>
        <v/>
      </c>
      <c r="AB148" s="52" t="str">
        <f t="shared" ref="AB148" si="451">IF(AB145&lt;&gt;"",getUVfromXY(AB146,AB147,0),"")</f>
        <v/>
      </c>
      <c r="AC148" s="52" t="str">
        <f t="shared" ref="AC148" si="452">IF(AC145&lt;&gt;"",getUVfromXY(AC146,AC147,0),"")</f>
        <v/>
      </c>
      <c r="AD148" s="52">
        <f t="shared" ref="AD148" si="453">IF(AD145&lt;&gt;"",getUVfromXY(AD146,AD147,0),"")</f>
        <v>0.25429058317207121</v>
      </c>
      <c r="AE148" s="52">
        <f t="shared" ref="AE148" si="454">IF(AE145&lt;&gt;"",getUVfromXY(AE146,AE147,0),"")</f>
        <v>0.25513725171165974</v>
      </c>
      <c r="AF148" s="52" t="str">
        <f t="shared" ref="AF148" si="455">IF(AF145&lt;&gt;"",getUVfromXY(AF146,AF147,0),"")</f>
        <v/>
      </c>
      <c r="AG148" s="52" t="str">
        <f t="shared" ref="AG148" si="456">IF(AG145&lt;&gt;"",getUVfromXY(AG146,AG147,0),"")</f>
        <v/>
      </c>
      <c r="AH148" s="52">
        <f t="shared" ref="AH148" si="457">IF(AH145&lt;&gt;"",getUVfromXY(AH146,AH147,0),"")</f>
        <v>0.24415861122186919</v>
      </c>
      <c r="AI148" s="52" t="str">
        <f t="shared" ref="AI148" si="458">IF(AI145&lt;&gt;"",getUVfromXY(AI146,AI147,0),"")</f>
        <v/>
      </c>
      <c r="AJ148" s="52" t="str">
        <f t="shared" ref="AJ148" si="459">IF(AJ145&lt;&gt;"",getUVfromXY(AJ146,AJ147,0),"")</f>
        <v/>
      </c>
      <c r="AK148" s="52">
        <f t="shared" ref="AK148" si="460">IF(AK145&lt;&gt;"",getUVfromXY(AK146,AK147,0),"")</f>
        <v>0.24638562623967866</v>
      </c>
      <c r="AL148" s="52">
        <f t="shared" ref="AL148" si="461">IF(AL145&lt;&gt;"",getUVfromXY(AL146,AL147,0),"")</f>
        <v>0.25464695923401126</v>
      </c>
      <c r="AM148" s="52">
        <f t="shared" ref="AM148" si="462">IF(AM145&lt;&gt;"",getUVfromXY(AM146,AM147,0),"")</f>
        <v>0.24949950625693693</v>
      </c>
      <c r="AN148" s="52">
        <f t="shared" ref="AN148" si="463">IF(AN145&lt;&gt;"",getUVfromXY(AN146,AN147,0),"")</f>
        <v>0.25440116425630871</v>
      </c>
      <c r="AO148" s="52">
        <f t="shared" ref="AO148" si="464">IF(AO145&lt;&gt;"",getUVfromXY(AO146,AO147,0),"")</f>
        <v>0.24428185510753914</v>
      </c>
    </row>
    <row r="149" spans="1:41">
      <c r="A149" s="218"/>
      <c r="B149" s="40" t="str">
        <f t="shared" si="427"/>
        <v>v</v>
      </c>
      <c r="C149" s="41">
        <f>getUVfromXY(C146,C147,1)</f>
        <v>0.30626473905464985</v>
      </c>
      <c r="D149" s="41">
        <f t="shared" si="428"/>
        <v>0.30541275419729358</v>
      </c>
      <c r="E149" s="41">
        <f t="shared" si="429"/>
        <v>4.6559173175296578E-3</v>
      </c>
      <c r="F149" s="3">
        <f t="shared" si="430"/>
        <v>1.5244672180658119E-2</v>
      </c>
      <c r="G149" s="2">
        <f t="shared" si="431"/>
        <v>-1.1460494280352289</v>
      </c>
      <c r="H149" s="2">
        <f t="shared" si="432"/>
        <v>2.317978340293918</v>
      </c>
      <c r="I149" s="2">
        <f t="shared" si="433"/>
        <v>1.1719289122586891</v>
      </c>
      <c r="J149" s="52" t="str">
        <f>IF(J145&lt;&gt;"",getUVfromXY(J146,J147,1),"")</f>
        <v/>
      </c>
      <c r="K149" s="52">
        <f t="shared" ref="K149:AO149" si="465">IF(K145&lt;&gt;"",getUVfromXY(K146,K147,1),"")</f>
        <v>0.31040184584382086</v>
      </c>
      <c r="L149" s="52">
        <f t="shared" si="465"/>
        <v>0.30284495937014788</v>
      </c>
      <c r="M149" s="52">
        <f t="shared" si="465"/>
        <v>0.31091350969446097</v>
      </c>
      <c r="N149" s="52">
        <f t="shared" si="465"/>
        <v>0.30671105990149239</v>
      </c>
      <c r="O149" s="52">
        <f t="shared" si="465"/>
        <v>0.30973176908886707</v>
      </c>
      <c r="P149" s="52">
        <f t="shared" si="465"/>
        <v>0.30795080648252493</v>
      </c>
      <c r="Q149" s="52">
        <f t="shared" si="465"/>
        <v>0.30876566529361588</v>
      </c>
      <c r="R149" s="52">
        <f t="shared" si="465"/>
        <v>0.30396103474825126</v>
      </c>
      <c r="S149" s="52" t="str">
        <f t="shared" si="465"/>
        <v/>
      </c>
      <c r="T149" s="52">
        <f t="shared" si="465"/>
        <v>0.30472722623363374</v>
      </c>
      <c r="U149" s="52">
        <f t="shared" si="465"/>
        <v>0.30191344383703422</v>
      </c>
      <c r="V149" s="52">
        <f t="shared" si="465"/>
        <v>0.30050030617826989</v>
      </c>
      <c r="W149" s="52">
        <f t="shared" si="465"/>
        <v>0.30142752782704169</v>
      </c>
      <c r="X149" s="52">
        <f t="shared" si="465"/>
        <v>0.30328372859878711</v>
      </c>
      <c r="Y149" s="52">
        <f t="shared" si="465"/>
        <v>0.30039681947128027</v>
      </c>
      <c r="Z149" s="52">
        <f t="shared" si="465"/>
        <v>0.30126626779507604</v>
      </c>
      <c r="AA149" s="52" t="str">
        <f t="shared" si="465"/>
        <v/>
      </c>
      <c r="AB149" s="52" t="str">
        <f t="shared" si="465"/>
        <v/>
      </c>
      <c r="AC149" s="52" t="str">
        <f t="shared" si="465"/>
        <v/>
      </c>
      <c r="AD149" s="52">
        <f t="shared" si="465"/>
        <v>0.30022918024932538</v>
      </c>
      <c r="AE149" s="52">
        <f t="shared" si="465"/>
        <v>0.30116378641031655</v>
      </c>
      <c r="AF149" s="52" t="str">
        <f t="shared" si="465"/>
        <v/>
      </c>
      <c r="AG149" s="52" t="str">
        <f t="shared" si="465"/>
        <v/>
      </c>
      <c r="AH149" s="52">
        <f t="shared" si="465"/>
        <v>0.30537352218442176</v>
      </c>
      <c r="AI149" s="52" t="str">
        <f t="shared" si="465"/>
        <v/>
      </c>
      <c r="AJ149" s="52" t="str">
        <f t="shared" si="465"/>
        <v/>
      </c>
      <c r="AK149" s="52">
        <f t="shared" si="465"/>
        <v>0.31169679921910837</v>
      </c>
      <c r="AL149" s="52">
        <f t="shared" si="465"/>
        <v>0.3000768428185594</v>
      </c>
      <c r="AM149" s="52">
        <f t="shared" si="465"/>
        <v>0.3031434674278875</v>
      </c>
      <c r="AN149" s="52">
        <f t="shared" si="465"/>
        <v>0.31180870817030348</v>
      </c>
      <c r="AO149" s="52">
        <f t="shared" si="465"/>
        <v>0.31620506969352669</v>
      </c>
    </row>
    <row r="150" spans="1:41">
      <c r="A150" s="218"/>
      <c r="B150" s="40" t="str">
        <f t="shared" si="427"/>
        <v>Δxy</v>
      </c>
      <c r="C150" s="40">
        <v>0</v>
      </c>
      <c r="D150" s="41">
        <f t="shared" si="428"/>
        <v>1.3433326518461774E-2</v>
      </c>
      <c r="E150" s="41">
        <f t="shared" si="429"/>
        <v>4.6552511587066581E-3</v>
      </c>
      <c r="F150" s="72">
        <f>ABS(D150)+1.5*E150</f>
        <v>2.0416203256521763E-2</v>
      </c>
      <c r="G150" s="2">
        <f t="shared" si="431"/>
        <v>-2.0836913523266225</v>
      </c>
      <c r="H150" s="2">
        <f t="shared" si="432"/>
        <v>2.5634085700799378</v>
      </c>
      <c r="I150" s="2">
        <f t="shared" si="433"/>
        <v>0.47971721775331533</v>
      </c>
      <c r="J150" s="52" t="str">
        <f>IF(J145&lt;&gt;"",((J146-$C146)^2+(J147-$C147)^2)^0.5,"")</f>
        <v/>
      </c>
      <c r="K150" s="52">
        <f t="shared" ref="K150:AO150" si="466">IF(K145&lt;&gt;"",((K146-$C146)^2+(K147-$C147)^2)^0.5,"")</f>
        <v>1.977457286147161E-2</v>
      </c>
      <c r="L150" s="52">
        <f t="shared" si="466"/>
        <v>1.5013324708557653E-2</v>
      </c>
      <c r="M150" s="52">
        <f t="shared" si="466"/>
        <v>2.0512269348298626E-2</v>
      </c>
      <c r="N150" s="52">
        <f t="shared" si="466"/>
        <v>9.7618100948997037E-3</v>
      </c>
      <c r="O150" s="52">
        <f t="shared" si="466"/>
        <v>9.0836016601930167E-3</v>
      </c>
      <c r="P150" s="52">
        <f t="shared" si="466"/>
        <v>1.4488691662361101E-2</v>
      </c>
      <c r="Q150" s="52">
        <f t="shared" si="466"/>
        <v>1.5386060132089497E-2</v>
      </c>
      <c r="R150" s="52">
        <f t="shared" si="466"/>
        <v>8.6466019216404569E-3</v>
      </c>
      <c r="S150" s="52" t="str">
        <f t="shared" si="466"/>
        <v/>
      </c>
      <c r="T150" s="52">
        <f t="shared" si="466"/>
        <v>3.733219936156221E-3</v>
      </c>
      <c r="U150" s="52">
        <f t="shared" si="466"/>
        <v>1.0495883844898602E-2</v>
      </c>
      <c r="V150" s="52">
        <f t="shared" si="466"/>
        <v>1.4029734659357694E-2</v>
      </c>
      <c r="W150" s="52">
        <f t="shared" si="466"/>
        <v>1.2077076590720895E-2</v>
      </c>
      <c r="X150" s="52">
        <f t="shared" si="466"/>
        <v>1.5628428668574005E-2</v>
      </c>
      <c r="Y150" s="52">
        <f t="shared" si="466"/>
        <v>1.4914974578867545E-2</v>
      </c>
      <c r="Z150" s="52">
        <f t="shared" si="466"/>
        <v>1.2213026885750974E-2</v>
      </c>
      <c r="AA150" s="52" t="str">
        <f t="shared" si="466"/>
        <v/>
      </c>
      <c r="AB150" s="52" t="str">
        <f t="shared" si="466"/>
        <v/>
      </c>
      <c r="AC150" s="52" t="str">
        <f t="shared" si="466"/>
        <v/>
      </c>
      <c r="AD150" s="52">
        <f t="shared" si="466"/>
        <v>1.4310780016710104E-2</v>
      </c>
      <c r="AE150" s="52">
        <f t="shared" si="466"/>
        <v>1.2172007160596821E-2</v>
      </c>
      <c r="AF150" s="52" t="str">
        <f t="shared" si="466"/>
        <v/>
      </c>
      <c r="AG150" s="52" t="str">
        <f t="shared" si="466"/>
        <v/>
      </c>
      <c r="AH150" s="52">
        <f t="shared" si="466"/>
        <v>8.1792735933551002E-3</v>
      </c>
      <c r="AI150" s="52" t="str">
        <f t="shared" si="466"/>
        <v/>
      </c>
      <c r="AJ150" s="52" t="str">
        <f t="shared" si="466"/>
        <v/>
      </c>
      <c r="AK150" s="52">
        <f t="shared" si="466"/>
        <v>1.356211888309765E-2</v>
      </c>
      <c r="AL150" s="52">
        <f t="shared" si="466"/>
        <v>1.4649993185279271E-2</v>
      </c>
      <c r="AM150" s="52">
        <f t="shared" si="466"/>
        <v>8.3226729625571726E-3</v>
      </c>
      <c r="AN150" s="52">
        <f t="shared" si="466"/>
        <v>1.6643749334622114E-2</v>
      </c>
      <c r="AO150" s="52">
        <f t="shared" si="466"/>
        <v>2.5366637234564983E-2</v>
      </c>
    </row>
    <row r="151" spans="1:41" s="48" customFormat="1">
      <c r="A151" s="217">
        <f>10^6/A145</f>
        <v>268.60059092130001</v>
      </c>
      <c r="B151" s="48" t="s">
        <v>3</v>
      </c>
      <c r="C151" s="197"/>
      <c r="D151" s="30">
        <f t="shared" si="428"/>
        <v>3925.217391304348</v>
      </c>
      <c r="E151" s="30">
        <f t="shared" si="429"/>
        <v>364.12971671217156</v>
      </c>
      <c r="F151" s="73">
        <f>ABS(D151-A145)+1.5*E151</f>
        <v>748.41196637260532</v>
      </c>
      <c r="G151" s="2">
        <f t="shared" si="431"/>
        <v>-1.4753461929859313</v>
      </c>
      <c r="H151" s="2">
        <f t="shared" si="432"/>
        <v>1.6114658644009485</v>
      </c>
      <c r="I151" s="2">
        <f t="shared" si="433"/>
        <v>0.13611967141501724</v>
      </c>
      <c r="J151" s="30" t="str">
        <f>IF(J145&lt;&gt;"",getCCTfromXY(J146,J147,0),"")</f>
        <v/>
      </c>
      <c r="K151" s="30">
        <f t="shared" ref="K151:AO151" si="467">IF(K145&lt;&gt;"",getCCTfromXY(K146,K147,0),"")</f>
        <v>4512</v>
      </c>
      <c r="L151" s="30">
        <f t="shared" si="467"/>
        <v>4357</v>
      </c>
      <c r="M151" s="30">
        <f t="shared" si="467"/>
        <v>4508</v>
      </c>
      <c r="N151" s="30">
        <f t="shared" si="467"/>
        <v>4188</v>
      </c>
      <c r="O151" s="30">
        <f t="shared" si="467"/>
        <v>3872</v>
      </c>
      <c r="P151" s="30">
        <f t="shared" si="467"/>
        <v>4390</v>
      </c>
      <c r="Q151" s="30">
        <f t="shared" si="467"/>
        <v>4394</v>
      </c>
      <c r="R151" s="30">
        <f t="shared" si="467"/>
        <v>4035</v>
      </c>
      <c r="S151" s="30" t="str">
        <f t="shared" si="467"/>
        <v/>
      </c>
      <c r="T151" s="30">
        <f t="shared" si="467"/>
        <v>3695</v>
      </c>
      <c r="U151" s="30">
        <f t="shared" si="467"/>
        <v>3765</v>
      </c>
      <c r="V151" s="30">
        <f t="shared" si="467"/>
        <v>3516</v>
      </c>
      <c r="W151" s="30">
        <f t="shared" si="467"/>
        <v>3506</v>
      </c>
      <c r="X151" s="30">
        <f t="shared" si="467"/>
        <v>4427</v>
      </c>
      <c r="Y151" s="30">
        <f t="shared" si="467"/>
        <v>3410</v>
      </c>
      <c r="Z151" s="30">
        <f t="shared" si="467"/>
        <v>3824</v>
      </c>
      <c r="AA151" s="30" t="str">
        <f t="shared" si="467"/>
        <v/>
      </c>
      <c r="AB151" s="30" t="str">
        <f t="shared" si="467"/>
        <v/>
      </c>
      <c r="AC151" s="30" t="str">
        <f t="shared" si="467"/>
        <v/>
      </c>
      <c r="AD151" s="30">
        <f t="shared" si="467"/>
        <v>3708</v>
      </c>
      <c r="AE151" s="30">
        <f t="shared" si="467"/>
        <v>3630</v>
      </c>
      <c r="AF151" s="30" t="str">
        <f t="shared" si="467"/>
        <v/>
      </c>
      <c r="AG151" s="30" t="str">
        <f t="shared" si="467"/>
        <v/>
      </c>
      <c r="AH151" s="30">
        <f t="shared" si="467"/>
        <v>4100</v>
      </c>
      <c r="AI151" s="30" t="str">
        <f t="shared" si="467"/>
        <v/>
      </c>
      <c r="AJ151" s="30" t="str">
        <f t="shared" si="467"/>
        <v/>
      </c>
      <c r="AK151" s="30">
        <f t="shared" si="467"/>
        <v>3757</v>
      </c>
      <c r="AL151" s="30">
        <f t="shared" si="467"/>
        <v>3693</v>
      </c>
      <c r="AM151" s="30">
        <f t="shared" si="467"/>
        <v>3879</v>
      </c>
      <c r="AN151" s="30">
        <f t="shared" si="467"/>
        <v>3388</v>
      </c>
      <c r="AO151" s="30">
        <f t="shared" si="467"/>
        <v>3726</v>
      </c>
    </row>
    <row r="152" spans="1:41" s="48" customFormat="1">
      <c r="A152" s="217"/>
      <c r="B152" s="48" t="s">
        <v>73</v>
      </c>
      <c r="C152" s="197"/>
      <c r="D152" s="3">
        <f t="shared" si="428"/>
        <v>-5.43157107989116E-2</v>
      </c>
      <c r="E152" s="3">
        <f t="shared" si="429"/>
        <v>9.7805457080894512E-2</v>
      </c>
      <c r="F152" s="74">
        <f t="shared" ref="F152:F153" si="468">ABS(D152)+1.5*E152</f>
        <v>0.20102389642025337</v>
      </c>
      <c r="G152" s="2">
        <f t="shared" si="431"/>
        <v>-1.6114658644009541</v>
      </c>
      <c r="H152" s="2">
        <f t="shared" si="432"/>
        <v>1.4753461929859357</v>
      </c>
      <c r="I152" s="2">
        <f t="shared" si="433"/>
        <v>-0.13611967141501835</v>
      </c>
      <c r="J152" s="3" t="str">
        <f>IF(J145&lt;&gt;"",1-J151/$A145,"")</f>
        <v/>
      </c>
      <c r="K152" s="3">
        <f t="shared" ref="K152" si="469">IF(K145&lt;&gt;"",1-K151/$A145,"")</f>
        <v>-0.21192586623690568</v>
      </c>
      <c r="L152" s="3">
        <f t="shared" ref="L152" si="470">IF(L145&lt;&gt;"",1-L151/$A145,"")</f>
        <v>-0.17029277464410431</v>
      </c>
      <c r="M152" s="3">
        <f t="shared" ref="M152" si="471">IF(M145&lt;&gt;"",1-M151/$A145,"")</f>
        <v>-0.21085146387322062</v>
      </c>
      <c r="N152" s="3">
        <f t="shared" ref="N152" si="472">IF(N145&lt;&gt;"",1-N151/$A145,"")</f>
        <v>-0.12489927477840457</v>
      </c>
      <c r="O152" s="3">
        <f t="shared" ref="O152" si="473">IF(O145&lt;&gt;"",1-O151/$A145,"")</f>
        <v>-4.002148804727379E-2</v>
      </c>
      <c r="P152" s="3">
        <f t="shared" ref="P152" si="474">IF(P145&lt;&gt;"",1-P151/$A145,"")</f>
        <v>-0.17915659414450702</v>
      </c>
      <c r="Q152" s="3">
        <f t="shared" ref="Q152" si="475">IF(Q145&lt;&gt;"",1-Q151/$A145,"")</f>
        <v>-0.1802309965081923</v>
      </c>
      <c r="R152" s="3">
        <f t="shared" ref="R152" si="476">IF(R145&lt;&gt;"",1-R151/$A145,"")</f>
        <v>-8.3803384367445499E-2</v>
      </c>
      <c r="S152" s="3" t="str">
        <f t="shared" ref="S152" si="477">IF(S145&lt;&gt;"",1-S151/$A145,"")</f>
        <v/>
      </c>
      <c r="T152" s="3">
        <f t="shared" ref="T152" si="478">IF(T145&lt;&gt;"",1-T151/$A145,"")</f>
        <v>7.5208165457963938E-3</v>
      </c>
      <c r="U152" s="3">
        <f t="shared" ref="U152" si="479">IF(U145&lt;&gt;"",1-U151/$A145,"")</f>
        <v>-1.1281224818694646E-2</v>
      </c>
      <c r="V152" s="3">
        <f t="shared" ref="V152" si="480">IF(V145&lt;&gt;"",1-V151/$A145,"")</f>
        <v>5.5600322320709106E-2</v>
      </c>
      <c r="W152" s="3">
        <f t="shared" ref="W152" si="481">IF(W145&lt;&gt;"",1-W151/$A145,"")</f>
        <v>5.828632822992208E-2</v>
      </c>
      <c r="X152" s="3">
        <f t="shared" ref="X152" si="482">IF(X145&lt;&gt;"",1-X151/$A145,"")</f>
        <v>-0.18909481600859523</v>
      </c>
      <c r="Y152" s="3">
        <f t="shared" ref="Y152" si="483">IF(Y145&lt;&gt;"",1-Y151/$A145,"")</f>
        <v>8.4071984958366874E-2</v>
      </c>
      <c r="Z152" s="3">
        <f t="shared" ref="Z152" si="484">IF(Z145&lt;&gt;"",1-Z151/$A145,"")</f>
        <v>-2.7128659683051337E-2</v>
      </c>
      <c r="AA152" s="3" t="str">
        <f t="shared" ref="AA152" si="485">IF(AA145&lt;&gt;"",1-AA151/$A145,"")</f>
        <v/>
      </c>
      <c r="AB152" s="3" t="str">
        <f t="shared" ref="AB152" si="486">IF(AB145&lt;&gt;"",1-AB151/$A145,"")</f>
        <v/>
      </c>
      <c r="AC152" s="3" t="str">
        <f t="shared" ref="AC152" si="487">IF(AC145&lt;&gt;"",1-AC151/$A145,"")</f>
        <v/>
      </c>
      <c r="AD152" s="3">
        <f t="shared" ref="AD152" si="488">IF(AD145&lt;&gt;"",1-AD151/$A145,"")</f>
        <v>4.0290088638195165E-3</v>
      </c>
      <c r="AE152" s="3">
        <f t="shared" ref="AE152" si="489">IF(AE145&lt;&gt;"",1-AE151/$A145,"")</f>
        <v>2.4979854955680891E-2</v>
      </c>
      <c r="AF152" s="3" t="str">
        <f t="shared" ref="AF152" si="490">IF(AF145&lt;&gt;"",1-AF151/$A145,"")</f>
        <v/>
      </c>
      <c r="AG152" s="3" t="str">
        <f t="shared" ref="AG152" si="491">IF(AG145&lt;&gt;"",1-AG151/$A145,"")</f>
        <v/>
      </c>
      <c r="AH152" s="3">
        <f t="shared" ref="AH152" si="492">IF(AH145&lt;&gt;"",1-AH151/$A145,"")</f>
        <v>-0.10126242277733022</v>
      </c>
      <c r="AI152" s="3" t="str">
        <f t="shared" ref="AI152" si="493">IF(AI145&lt;&gt;"",1-AI151/$A145,"")</f>
        <v/>
      </c>
      <c r="AJ152" s="3" t="str">
        <f t="shared" ref="AJ152" si="494">IF(AJ145&lt;&gt;"",1-AJ151/$A145,"")</f>
        <v/>
      </c>
      <c r="AK152" s="3">
        <f t="shared" ref="AK152" si="495">IF(AK145&lt;&gt;"",1-AK151/$A145,"")</f>
        <v>-9.1324200913243114E-3</v>
      </c>
      <c r="AL152" s="3">
        <f t="shared" ref="AL152" si="496">IF(AL145&lt;&gt;"",1-AL151/$A145,"")</f>
        <v>8.058017727639033E-3</v>
      </c>
      <c r="AM152" s="3">
        <f t="shared" ref="AM152" si="497">IF(AM145&lt;&gt;"",1-AM151/$A145,"")</f>
        <v>-4.190169218372275E-2</v>
      </c>
      <c r="AN152" s="3">
        <f t="shared" ref="AN152" si="498">IF(AN145&lt;&gt;"",1-AN151/$A145,"")</f>
        <v>8.9981197958635462E-2</v>
      </c>
      <c r="AO152" s="3">
        <f t="shared" ref="AO152" si="499">IF(AO145&lt;&gt;"",1-AO151/$A145,"")</f>
        <v>-8.058017727639033E-4</v>
      </c>
    </row>
    <row r="153" spans="1:41" s="48" customFormat="1">
      <c r="A153" s="217"/>
      <c r="B153" s="48" t="s">
        <v>14</v>
      </c>
      <c r="C153" s="197"/>
      <c r="D153" s="2">
        <f t="shared" si="428"/>
        <v>-11.769479340451108</v>
      </c>
      <c r="E153" s="2">
        <f t="shared" si="429"/>
        <v>23.37881598073529</v>
      </c>
      <c r="F153" s="75">
        <f t="shared" si="468"/>
        <v>46.837703311554044</v>
      </c>
      <c r="G153" s="2">
        <f t="shared" si="431"/>
        <v>-1.5056325322931499</v>
      </c>
      <c r="H153" s="2">
        <f t="shared" si="432"/>
        <v>1.6394446373679274</v>
      </c>
      <c r="I153" s="2">
        <f t="shared" si="433"/>
        <v>0.13381210507477759</v>
      </c>
      <c r="J153" s="2" t="str">
        <f>IF(J145&lt;&gt;"",10^6/J151-$A151,"")</f>
        <v/>
      </c>
      <c r="K153" s="2">
        <f t="shared" ref="K153:AO153" si="500">IF(K145&lt;&gt;"",10^6/K151-$A151,"")</f>
        <v>-46.96938524754114</v>
      </c>
      <c r="L153" s="2">
        <f t="shared" si="500"/>
        <v>-39.084869094354872</v>
      </c>
      <c r="M153" s="2">
        <f t="shared" si="500"/>
        <v>-46.77272934188565</v>
      </c>
      <c r="N153" s="2">
        <f t="shared" si="500"/>
        <v>-29.823131513468098</v>
      </c>
      <c r="O153" s="2">
        <f t="shared" si="500"/>
        <v>-10.336128111382664</v>
      </c>
      <c r="P153" s="2">
        <f t="shared" si="500"/>
        <v>-40.810158119477677</v>
      </c>
      <c r="Q153" s="2">
        <f t="shared" si="500"/>
        <v>-41.017523101545805</v>
      </c>
      <c r="R153" s="2">
        <f t="shared" si="500"/>
        <v>-20.769116324026157</v>
      </c>
      <c r="S153" s="2" t="str">
        <f t="shared" si="500"/>
        <v/>
      </c>
      <c r="T153" s="2">
        <f t="shared" si="500"/>
        <v>2.035403665980084</v>
      </c>
      <c r="U153" s="2">
        <f t="shared" si="500"/>
        <v>-2.9963412533053315</v>
      </c>
      <c r="V153" s="2">
        <f t="shared" si="500"/>
        <v>15.813516018404187</v>
      </c>
      <c r="W153" s="2">
        <f t="shared" si="500"/>
        <v>16.624737087827214</v>
      </c>
      <c r="X153" s="2">
        <f t="shared" si="500"/>
        <v>-42.713985996972013</v>
      </c>
      <c r="Y153" s="2">
        <f t="shared" si="500"/>
        <v>24.654541043509369</v>
      </c>
      <c r="Z153" s="2">
        <f t="shared" si="500"/>
        <v>-7.0943147706723835</v>
      </c>
      <c r="AA153" s="2" t="str">
        <f t="shared" si="500"/>
        <v/>
      </c>
      <c r="AB153" s="2" t="str">
        <f t="shared" si="500"/>
        <v/>
      </c>
      <c r="AC153" s="2" t="str">
        <f t="shared" si="500"/>
        <v/>
      </c>
      <c r="AD153" s="2">
        <f t="shared" si="500"/>
        <v>1.0865719697463874</v>
      </c>
      <c r="AE153" s="2">
        <f t="shared" si="500"/>
        <v>6.8815027426118149</v>
      </c>
      <c r="AF153" s="2" t="str">
        <f t="shared" si="500"/>
        <v/>
      </c>
      <c r="AG153" s="2" t="str">
        <f t="shared" si="500"/>
        <v/>
      </c>
      <c r="AH153" s="2">
        <f t="shared" si="500"/>
        <v>-24.698151896909764</v>
      </c>
      <c r="AI153" s="2" t="str">
        <f t="shared" si="500"/>
        <v/>
      </c>
      <c r="AJ153" s="2" t="str">
        <f t="shared" si="500"/>
        <v/>
      </c>
      <c r="AK153" s="2">
        <f t="shared" si="500"/>
        <v>-2.4307745784732901</v>
      </c>
      <c r="AL153" s="2">
        <f t="shared" si="500"/>
        <v>2.1819706817327642</v>
      </c>
      <c r="AM153" s="2">
        <f t="shared" si="500"/>
        <v>-10.802189271390262</v>
      </c>
      <c r="AN153" s="2">
        <f t="shared" si="500"/>
        <v>26.558795147176966</v>
      </c>
      <c r="AO153" s="2">
        <f t="shared" si="500"/>
        <v>-0.21626456595913623</v>
      </c>
    </row>
    <row r="154" spans="1:41">
      <c r="A154" s="218">
        <f>getCCTfromXY(C155,C156,0)</f>
        <v>-20000</v>
      </c>
      <c r="B154" s="40" t="str">
        <f t="shared" ref="B154:B159" si="501">B145</f>
        <v>Ev</v>
      </c>
      <c r="C154" s="40">
        <f>data0!B41</f>
        <v>150</v>
      </c>
      <c r="D154" s="2">
        <f>data0!AH133</f>
        <v>149.61784654515384</v>
      </c>
      <c r="E154" s="2">
        <f>data0!AI133</f>
        <v>7.8250062765842809</v>
      </c>
      <c r="F154" s="3">
        <f>data0!AJ133</f>
        <v>5.2299952560958277E-2</v>
      </c>
      <c r="G154" s="2">
        <f>data0!AK133</f>
        <v>-1.2806934663599618</v>
      </c>
      <c r="H154" s="2">
        <f>data0!AL133</f>
        <v>2.0327755895077253</v>
      </c>
      <c r="I154" s="2">
        <f>data0!AM133</f>
        <v>0.75208212314776346</v>
      </c>
      <c r="J154" s="2" t="str">
        <f>data0!B133</f>
        <v/>
      </c>
      <c r="K154" s="2">
        <f>data0!C133</f>
        <v>165.5243282919391</v>
      </c>
      <c r="L154" s="2">
        <f>data0!D133</f>
        <v>144.3746649444584</v>
      </c>
      <c r="M154" s="2">
        <f>data0!E133</f>
        <v>157.88316835410325</v>
      </c>
      <c r="N154" s="2">
        <f>data0!F133</f>
        <v>147.26577737763671</v>
      </c>
      <c r="O154" s="2">
        <f>data0!G133</f>
        <v>148.24608599547093</v>
      </c>
      <c r="P154" s="2">
        <f>data0!H133</f>
        <v>147.98709441897552</v>
      </c>
      <c r="Q154" s="2">
        <f>data0!I133</f>
        <v>159.50713549959536</v>
      </c>
      <c r="R154" s="2">
        <f>data0!J133</f>
        <v>142.19374267153731</v>
      </c>
      <c r="S154" s="2" t="str">
        <f>data0!K133</f>
        <v/>
      </c>
      <c r="T154" s="2">
        <f>data0!L133</f>
        <v>140.72654294162126</v>
      </c>
      <c r="U154" s="2">
        <f>data0!M133</f>
        <v>147.10485788020935</v>
      </c>
      <c r="V154" s="2">
        <f>data0!N133</f>
        <v>146.10762550309306</v>
      </c>
      <c r="W154" s="2">
        <f>data0!O133</f>
        <v>159.84923772332451</v>
      </c>
      <c r="X154" s="2">
        <f>data0!P133</f>
        <v>150.80815788510313</v>
      </c>
      <c r="Y154" s="2">
        <f>data0!Q133</f>
        <v>149.0044133013638</v>
      </c>
      <c r="Z154" s="2">
        <f>data0!R133</f>
        <v>147.31757373790876</v>
      </c>
      <c r="AA154" s="2" t="str">
        <f>data0!S133</f>
        <v/>
      </c>
      <c r="AB154" s="2" t="str">
        <f>data0!T133</f>
        <v/>
      </c>
      <c r="AC154" s="2" t="str">
        <f>data0!U133</f>
        <v/>
      </c>
      <c r="AD154" s="2">
        <f>data0!V133</f>
        <v>162.90633826192294</v>
      </c>
      <c r="AE154" s="2">
        <f>data0!W133</f>
        <v>149.38641717088521</v>
      </c>
      <c r="AF154" s="2" t="str">
        <f>data0!X133</f>
        <v/>
      </c>
      <c r="AG154" s="2"/>
      <c r="AH154" s="2">
        <f>data0!Z133</f>
        <v>148.59610659927159</v>
      </c>
      <c r="AI154" s="2" t="str">
        <f>data0!AA133</f>
        <v/>
      </c>
      <c r="AJ154" s="2" t="str">
        <f>data0!AB133</f>
        <v/>
      </c>
      <c r="AK154" s="2">
        <f>data0!AC133</f>
        <v>139.90684222199997</v>
      </c>
      <c r="AL154" s="2">
        <f>data0!AD133</f>
        <v>142.19408538206662</v>
      </c>
      <c r="AM154" s="2">
        <f>data0!AE133</f>
        <v>142.79061261399224</v>
      </c>
      <c r="AN154" s="2">
        <f>data0!AF133</f>
        <v>139.59641213250666</v>
      </c>
      <c r="AO154" s="2">
        <f>data0!AG133</f>
        <v>161.93324962955288</v>
      </c>
    </row>
    <row r="155" spans="1:41">
      <c r="A155" s="218"/>
      <c r="B155" s="40" t="str">
        <f t="shared" si="501"/>
        <v>x</v>
      </c>
      <c r="C155" s="40">
        <f>data0!B42</f>
        <v>0.23400000000000001</v>
      </c>
      <c r="D155" s="41">
        <f>data0!AH134</f>
        <v>0.23340735277622296</v>
      </c>
      <c r="E155" s="41">
        <f>data0!AI134</f>
        <v>3.1615702859247256E-3</v>
      </c>
      <c r="F155" s="3">
        <f>data0!AJ134</f>
        <v>1.3545290019016026E-2</v>
      </c>
      <c r="G155" s="2">
        <f>data0!AK134</f>
        <v>-1.4733419753856345</v>
      </c>
      <c r="H155" s="2">
        <f>data0!AL134</f>
        <v>2.5843690677053273</v>
      </c>
      <c r="I155" s="2">
        <f>data0!AM134</f>
        <v>1.1110270923196928</v>
      </c>
      <c r="J155" s="41" t="str">
        <f>data0!B134</f>
        <v/>
      </c>
      <c r="K155" s="41">
        <f>data0!C134</f>
        <v>0.23208163441336996</v>
      </c>
      <c r="L155" s="41">
        <f>data0!D134</f>
        <v>0.23312180585509071</v>
      </c>
      <c r="M155" s="41">
        <f>data0!E134</f>
        <v>0.24157801722854311</v>
      </c>
      <c r="N155" s="41">
        <f>data0!F134</f>
        <v>0.22946510856801025</v>
      </c>
      <c r="O155" s="41">
        <f>data0!G134</f>
        <v>0.23589227988932049</v>
      </c>
      <c r="P155" s="41">
        <f>data0!H134</f>
        <v>0.23272360361577135</v>
      </c>
      <c r="Q155" s="41">
        <f>data0!I134</f>
        <v>0.23489954371197291</v>
      </c>
      <c r="R155" s="41">
        <f>data0!J134</f>
        <v>0.23137966273886454</v>
      </c>
      <c r="S155" s="41" t="str">
        <f>data0!K134</f>
        <v/>
      </c>
      <c r="T155" s="41">
        <f>data0!L134</f>
        <v>0.2328513320490348</v>
      </c>
      <c r="U155" s="41">
        <f>data0!M134</f>
        <v>0.23886126911653638</v>
      </c>
      <c r="V155" s="41">
        <f>data0!N134</f>
        <v>0.23257700739796475</v>
      </c>
      <c r="W155" s="41">
        <f>data0!O134</f>
        <v>0.23033515164081592</v>
      </c>
      <c r="X155" s="41">
        <f>data0!P134</f>
        <v>0.23328301354316347</v>
      </c>
      <c r="Y155" s="41">
        <f>data0!Q134</f>
        <v>0.2305565323037663</v>
      </c>
      <c r="Z155" s="41">
        <f>data0!R134</f>
        <v>0.23496436498019369</v>
      </c>
      <c r="AA155" s="41" t="str">
        <f>data0!S134</f>
        <v/>
      </c>
      <c r="AB155" s="41" t="str">
        <f>data0!T134</f>
        <v/>
      </c>
      <c r="AC155" s="41" t="str">
        <f>data0!U134</f>
        <v/>
      </c>
      <c r="AD155" s="41">
        <f>data0!V134</f>
        <v>0.2317286242916744</v>
      </c>
      <c r="AE155" s="41">
        <f>data0!W134</f>
        <v>0.23192603403091783</v>
      </c>
      <c r="AF155" s="41" t="str">
        <f>data0!X134</f>
        <v/>
      </c>
      <c r="AG155" s="41"/>
      <c r="AH155" s="41">
        <f>data0!Z134</f>
        <v>0.23476479248323612</v>
      </c>
      <c r="AI155" s="41" t="str">
        <f>data0!AA134</f>
        <v/>
      </c>
      <c r="AJ155" s="41" t="str">
        <f>data0!AB134</f>
        <v/>
      </c>
      <c r="AK155" s="41">
        <f>data0!AC134</f>
        <v>0.23601573296334222</v>
      </c>
      <c r="AL155" s="41">
        <f>data0!AD134</f>
        <v>0.22953603866778319</v>
      </c>
      <c r="AM155" s="41">
        <f>data0!AE134</f>
        <v>0.2287492785658381</v>
      </c>
      <c r="AN155" s="41">
        <f>data0!AF134</f>
        <v>0.23890030138246335</v>
      </c>
      <c r="AO155" s="41">
        <f>data0!AG134</f>
        <v>0.23217798441545293</v>
      </c>
    </row>
    <row r="156" spans="1:41">
      <c r="A156" s="218"/>
      <c r="B156" s="40" t="str">
        <f t="shared" si="501"/>
        <v>y</v>
      </c>
      <c r="C156" s="40">
        <f>data0!B43</f>
        <v>0.23549999999999999</v>
      </c>
      <c r="D156" s="41">
        <f>AVERAGE(J156:AO156)</f>
        <v>0.23352910709750307</v>
      </c>
      <c r="E156" s="41">
        <f>STDEV(J156:AO156)</f>
        <v>1.1275502138251851E-2</v>
      </c>
      <c r="F156" s="3">
        <f>E156/D156</f>
        <v>4.8283069628421535E-2</v>
      </c>
      <c r="G156" s="2">
        <f>(MIN(J156:AO156)-$D156)/$E156</f>
        <v>-1.6574316861051119</v>
      </c>
      <c r="H156" s="2">
        <f>(MAX(J156:AO156)-$D156)/$E156</f>
        <v>2.0237621418164267</v>
      </c>
      <c r="I156" s="2">
        <f>G156+H156</f>
        <v>0.36633045571131473</v>
      </c>
      <c r="J156" s="41" t="str">
        <f>data0!B135</f>
        <v/>
      </c>
      <c r="K156" s="41">
        <f>data0!C135</f>
        <v>0.24944129047415606</v>
      </c>
      <c r="L156" s="41">
        <f>data0!D135</f>
        <v>0.23262910396315264</v>
      </c>
      <c r="M156" s="41">
        <f>data0!E135</f>
        <v>0.25634804145486734</v>
      </c>
      <c r="N156" s="41">
        <f>data0!F135</f>
        <v>0.22243988359969036</v>
      </c>
      <c r="O156" s="41">
        <f>data0!G135</f>
        <v>0.2459579235818205</v>
      </c>
      <c r="P156" s="41">
        <f>data0!H135</f>
        <v>0.23422733341711166</v>
      </c>
      <c r="Q156" s="41">
        <f>data0!I135</f>
        <v>0.24966929116347583</v>
      </c>
      <c r="R156" s="41">
        <f>data0!J135</f>
        <v>0.22661830062196447</v>
      </c>
      <c r="S156" s="41" t="str">
        <f>data0!K135</f>
        <v/>
      </c>
      <c r="T156" s="41">
        <f>data0!L135</f>
        <v>0.22501587521434452</v>
      </c>
      <c r="U156" s="41">
        <f>data0!M135</f>
        <v>0.23536318654568195</v>
      </c>
      <c r="V156" s="41">
        <f>data0!N135</f>
        <v>0.22684705058668156</v>
      </c>
      <c r="W156" s="41">
        <f>data0!O135</f>
        <v>0.22162236093120743</v>
      </c>
      <c r="X156" s="41">
        <f>data0!P135</f>
        <v>0.2313988203279605</v>
      </c>
      <c r="Y156" s="41">
        <f>data0!Q135</f>
        <v>0.21860435876242185</v>
      </c>
      <c r="Z156" s="41">
        <f>data0!R135</f>
        <v>0.23224358033104436</v>
      </c>
      <c r="AA156" s="41" t="str">
        <f>data0!S135</f>
        <v/>
      </c>
      <c r="AB156" s="41" t="str">
        <f>data0!T135</f>
        <v/>
      </c>
      <c r="AC156" s="41" t="str">
        <f>data0!U135</f>
        <v/>
      </c>
      <c r="AD156" s="41">
        <f>data0!V135</f>
        <v>0.22823554701875148</v>
      </c>
      <c r="AE156" s="41">
        <f>data0!W135</f>
        <v>0.22054643922498099</v>
      </c>
      <c r="AF156" s="41" t="str">
        <f>data0!X135</f>
        <v/>
      </c>
      <c r="AG156" s="41"/>
      <c r="AH156" s="41">
        <f>data0!Z135</f>
        <v>0.23732457271870122</v>
      </c>
      <c r="AI156" s="41" t="str">
        <f>data0!AA135</f>
        <v/>
      </c>
      <c r="AJ156" s="41" t="str">
        <f>data0!AB135</f>
        <v/>
      </c>
      <c r="AK156" s="41">
        <f>data0!AC135</f>
        <v>0.24551908824735297</v>
      </c>
      <c r="AL156" s="41">
        <f>data0!AD135</f>
        <v>0.21484073257681852</v>
      </c>
      <c r="AM156" s="41">
        <f>data0!AE135</f>
        <v>0.22944909324006596</v>
      </c>
      <c r="AN156" s="41">
        <f>data0!AF135</f>
        <v>0.2396156379342827</v>
      </c>
      <c r="AO156" s="41">
        <f>data0!AG135</f>
        <v>0.24721195130603371</v>
      </c>
    </row>
    <row r="157" spans="1:41">
      <c r="A157" s="218"/>
      <c r="B157" s="40" t="str">
        <f t="shared" si="501"/>
        <v>u</v>
      </c>
      <c r="C157" s="41">
        <f>getUVfromXY(C155,C156,0)</f>
        <v>0.17469204927211648</v>
      </c>
      <c r="D157" s="41">
        <f t="shared" ref="D157:D162" si="502">AVERAGE(J157:AO157)</f>
        <v>0.17504625623805195</v>
      </c>
      <c r="E157" s="41">
        <f t="shared" ref="E157:E162" si="503">STDEV(J157:AO157)</f>
        <v>3.2271416628510616E-3</v>
      </c>
      <c r="F157" s="3">
        <f t="shared" ref="F157:F158" si="504">E157/D157</f>
        <v>1.8435936490194631E-2</v>
      </c>
      <c r="G157" s="2">
        <f t="shared" ref="G157:G162" si="505">(MIN(J157:AO157)-$D157)/$E157</f>
        <v>-2.2152501387714234</v>
      </c>
      <c r="H157" s="2">
        <f t="shared" ref="H157:H162" si="506">(MAX(J157:AO157)-$D157)/$E157</f>
        <v>1.3365448664142612</v>
      </c>
      <c r="I157" s="2">
        <f t="shared" ref="I157:I162" si="507">G157+H157</f>
        <v>-0.87870527235716223</v>
      </c>
      <c r="J157" s="52" t="str">
        <f>IF(J154&lt;&gt;"",getUVfromXY(J155,J156,0),"")</f>
        <v/>
      </c>
      <c r="K157" s="52">
        <f t="shared" ref="K157" si="508">IF(K154&lt;&gt;"",getUVfromXY(K155,K156,0),"")</f>
        <v>0.16789733022158609</v>
      </c>
      <c r="L157" s="52">
        <f t="shared" ref="L157" si="509">IF(L154&lt;&gt;"",getUVfromXY(L155,L156,0),"")</f>
        <v>0.1751049211416642</v>
      </c>
      <c r="M157" s="52">
        <f t="shared" ref="M157" si="510">IF(M154&lt;&gt;"",getUVfromXY(M155,M156,0),"")</f>
        <v>0.17277105909167922</v>
      </c>
      <c r="N157" s="52">
        <f t="shared" ref="N157" si="511">IF(N154&lt;&gt;"",getUVfromXY(N155,N156,0),"")</f>
        <v>0.17616104841044403</v>
      </c>
      <c r="O157" s="52">
        <f t="shared" ref="O157" si="512">IF(O154&lt;&gt;"",getUVfromXY(O155,O156,0),"")</f>
        <v>0.17219324188054219</v>
      </c>
      <c r="P157" s="52">
        <f t="shared" ref="P157" si="513">IF(P154&lt;&gt;"",getUVfromXY(P155,P156,0),"")</f>
        <v>0.17415257502419604</v>
      </c>
      <c r="Q157" s="52">
        <f t="shared" ref="Q157" si="514">IF(Q154&lt;&gt;"",getUVfromXY(Q155,Q156,0),"")</f>
        <v>0.17002509227377186</v>
      </c>
      <c r="R157" s="52">
        <f t="shared" ref="R157" si="515">IF(R154&lt;&gt;"",getUVfromXY(R155,R156,0),"")</f>
        <v>0.17606590521497778</v>
      </c>
      <c r="S157" s="52" t="str">
        <f t="shared" ref="S157" si="516">IF(S154&lt;&gt;"",getUVfromXY(S155,S156,0),"")</f>
        <v/>
      </c>
      <c r="T157" s="52">
        <f t="shared" ref="T157" si="517">IF(T154&lt;&gt;"",getUVfromXY(T155,T156,0),"")</f>
        <v>0.17793628659335245</v>
      </c>
      <c r="U157" s="52">
        <f t="shared" ref="U157" si="518">IF(U154&lt;&gt;"",getUVfromXY(U155,U156,0),"")</f>
        <v>0.17870023880808547</v>
      </c>
      <c r="V157" s="52">
        <f t="shared" ref="V157" si="519">IF(V154&lt;&gt;"",getUVfromXY(V155,V156,0),"")</f>
        <v>0.17696521878125129</v>
      </c>
      <c r="W157" s="52">
        <f t="shared" ref="W157" si="520">IF(W154&lt;&gt;"",getUVfromXY(W155,W156,0),"")</f>
        <v>0.17722185043928229</v>
      </c>
      <c r="X157" s="52">
        <f t="shared" ref="X157" si="521">IF(X154&lt;&gt;"",getUVfromXY(X155,X156,0),"")</f>
        <v>0.17572380925020251</v>
      </c>
      <c r="Y157" s="52">
        <f t="shared" ref="Y157" si="522">IF(Y154&lt;&gt;"",getUVfromXY(Y155,Y156,0),"")</f>
        <v>0.17865192824948284</v>
      </c>
      <c r="Z157" s="52">
        <f t="shared" ref="Z157" si="523">IF(Z154&lt;&gt;"",getUVfromXY(Z155,Z156,0),"")</f>
        <v>0.17676480706121975</v>
      </c>
      <c r="AA157" s="52" t="str">
        <f t="shared" ref="AA157" si="524">IF(AA154&lt;&gt;"",getUVfromXY(AA155,AA156,0),"")</f>
        <v/>
      </c>
      <c r="AB157" s="52" t="str">
        <f t="shared" ref="AB157" si="525">IF(AB154&lt;&gt;"",getUVfromXY(AB155,AB156,0),"")</f>
        <v/>
      </c>
      <c r="AC157" s="52" t="str">
        <f t="shared" ref="AC157" si="526">IF(AC154&lt;&gt;"",getUVfromXY(AC155,AC156,0),"")</f>
        <v/>
      </c>
      <c r="AD157" s="52">
        <f t="shared" ref="AD157" si="527">IF(AD154&lt;&gt;"",getUVfromXY(AD155,AD156,0),"")</f>
        <v>0.17570608647594799</v>
      </c>
      <c r="AE157" s="52">
        <f t="shared" ref="AE157" si="528">IF(AE154&lt;&gt;"",getUVfromXY(AE155,AE156,0),"")</f>
        <v>0.17899998164114772</v>
      </c>
      <c r="AF157" s="52" t="str">
        <f t="shared" ref="AF157" si="529">IF(AF154&lt;&gt;"",getUVfromXY(AF155,AF156,0),"")</f>
        <v/>
      </c>
      <c r="AG157" s="52" t="str">
        <f t="shared" ref="AG157" si="530">IF(AG154&lt;&gt;"",getUVfromXY(AG155,AG156,0),"")</f>
        <v/>
      </c>
      <c r="AH157" s="52">
        <f t="shared" ref="AH157" si="531">IF(AH154&lt;&gt;"",getUVfromXY(AH155,AH156,0),"")</f>
        <v>0.17459936610997023</v>
      </c>
      <c r="AI157" s="52" t="str">
        <f t="shared" ref="AI157" si="532">IF(AI154&lt;&gt;"",getUVfromXY(AI155,AI156,0),"")</f>
        <v/>
      </c>
      <c r="AJ157" s="52" t="str">
        <f t="shared" ref="AJ157" si="533">IF(AJ154&lt;&gt;"",getUVfromXY(AJ155,AJ156,0),"")</f>
        <v/>
      </c>
      <c r="AK157" s="52">
        <f t="shared" ref="AK157" si="534">IF(AK154&lt;&gt;"",getUVfromXY(AK155,AK156,0),"")</f>
        <v>0.17245686071935021</v>
      </c>
      <c r="AL157" s="52">
        <f t="shared" ref="AL157" si="535">IF(AL154&lt;&gt;"",getUVfromXY(AL155,AL156,0),"")</f>
        <v>0.17935947586072712</v>
      </c>
      <c r="AM157" s="52">
        <f t="shared" ref="AM157" si="536">IF(AM154&lt;&gt;"",getUVfromXY(AM155,AM156,0),"")</f>
        <v>0.17277492871022415</v>
      </c>
      <c r="AN157" s="52">
        <f t="shared" ref="AN157" si="537">IF(AN154&lt;&gt;"",getUVfromXY(AN155,AN156,0),"")</f>
        <v>0.17704229616764133</v>
      </c>
      <c r="AO157" s="52">
        <f t="shared" ref="AO157" si="538">IF(AO154&lt;&gt;"",getUVfromXY(AO155,AO156,0),"")</f>
        <v>0.16878958534844787</v>
      </c>
    </row>
    <row r="158" spans="1:41">
      <c r="A158" s="218"/>
      <c r="B158" s="40" t="str">
        <f t="shared" si="501"/>
        <v>v</v>
      </c>
      <c r="C158" s="41">
        <f>getUVfromXY(C155,C156,1)</f>
        <v>0.26371780515117582</v>
      </c>
      <c r="D158" s="41">
        <f t="shared" si="502"/>
        <v>0.26246666151155834</v>
      </c>
      <c r="E158" s="41">
        <f t="shared" si="503"/>
        <v>6.2030045452619101E-3</v>
      </c>
      <c r="F158" s="3">
        <f t="shared" si="504"/>
        <v>2.3633495048622569E-2</v>
      </c>
      <c r="G158" s="2">
        <f t="shared" si="505"/>
        <v>-1.717202909662698</v>
      </c>
      <c r="H158" s="2">
        <f t="shared" si="506"/>
        <v>2.0207467301208908</v>
      </c>
      <c r="I158" s="2">
        <f t="shared" si="507"/>
        <v>0.30354382045819284</v>
      </c>
      <c r="J158" s="52" t="str">
        <f>IF(J154&lt;&gt;"",getUVfromXY(J155,J156,1),"")</f>
        <v/>
      </c>
      <c r="K158" s="52">
        <f t="shared" ref="K158:AO158" si="539">IF(K154&lt;&gt;"",getUVfromXY(K155,K156,1),"")</f>
        <v>0.27068402131538033</v>
      </c>
      <c r="L158" s="52">
        <f t="shared" si="539"/>
        <v>0.26210225651334751</v>
      </c>
      <c r="M158" s="52">
        <f t="shared" si="539"/>
        <v>0.27500136266332137</v>
      </c>
      <c r="N158" s="52">
        <f t="shared" si="539"/>
        <v>0.25615164336588864</v>
      </c>
      <c r="O158" s="52">
        <f t="shared" si="539"/>
        <v>0.26931122278121072</v>
      </c>
      <c r="P158" s="52">
        <f t="shared" si="539"/>
        <v>0.26291677738233005</v>
      </c>
      <c r="Q158" s="52">
        <f t="shared" si="539"/>
        <v>0.27107360617129306</v>
      </c>
      <c r="R158" s="52">
        <f t="shared" si="539"/>
        <v>0.25866419566647741</v>
      </c>
      <c r="S158" s="52" t="str">
        <f t="shared" si="539"/>
        <v/>
      </c>
      <c r="T158" s="52">
        <f t="shared" si="539"/>
        <v>0.25792308492202765</v>
      </c>
      <c r="U158" s="52">
        <f t="shared" si="539"/>
        <v>0.2641248064069267</v>
      </c>
      <c r="V158" s="52">
        <f t="shared" si="539"/>
        <v>0.25890803901519915</v>
      </c>
      <c r="W158" s="52">
        <f t="shared" si="539"/>
        <v>0.25577723128555618</v>
      </c>
      <c r="X158" s="52">
        <f t="shared" si="539"/>
        <v>0.26145677012511342</v>
      </c>
      <c r="Y158" s="52">
        <f t="shared" si="539"/>
        <v>0.25408577557798229</v>
      </c>
      <c r="Z158" s="52">
        <f t="shared" si="539"/>
        <v>0.2620769217826997</v>
      </c>
      <c r="AA158" s="52" t="str">
        <f t="shared" si="539"/>
        <v/>
      </c>
      <c r="AB158" s="52" t="str">
        <f t="shared" si="539"/>
        <v/>
      </c>
      <c r="AC158" s="52" t="str">
        <f t="shared" si="539"/>
        <v/>
      </c>
      <c r="AD158" s="52">
        <f t="shared" si="539"/>
        <v>0.2595862394035896</v>
      </c>
      <c r="AE158" s="52">
        <f t="shared" si="539"/>
        <v>0.25532585466685481</v>
      </c>
      <c r="AF158" s="52" t="str">
        <f t="shared" si="539"/>
        <v/>
      </c>
      <c r="AG158" s="52" t="str">
        <f t="shared" si="539"/>
        <v/>
      </c>
      <c r="AH158" s="52">
        <f t="shared" si="539"/>
        <v>0.26475469034798083</v>
      </c>
      <c r="AI158" s="52" t="str">
        <f t="shared" si="539"/>
        <v/>
      </c>
      <c r="AJ158" s="52" t="str">
        <f t="shared" si="539"/>
        <v/>
      </c>
      <c r="AK158" s="52">
        <f t="shared" si="539"/>
        <v>0.26910145358228327</v>
      </c>
      <c r="AL158" s="52">
        <f t="shared" si="539"/>
        <v>0.25181484405778365</v>
      </c>
      <c r="AM158" s="52">
        <f t="shared" si="539"/>
        <v>0.25995525084749938</v>
      </c>
      <c r="AN158" s="52">
        <f t="shared" si="539"/>
        <v>0.26635861795949339</v>
      </c>
      <c r="AO158" s="52">
        <f t="shared" si="539"/>
        <v>0.26957854892560346</v>
      </c>
    </row>
    <row r="159" spans="1:41">
      <c r="A159" s="218"/>
      <c r="B159" s="40" t="str">
        <f t="shared" si="501"/>
        <v>Δxy</v>
      </c>
      <c r="C159" s="40">
        <v>0</v>
      </c>
      <c r="D159" s="41">
        <f t="shared" si="502"/>
        <v>1.0200510748955132E-2</v>
      </c>
      <c r="E159" s="41">
        <f t="shared" si="503"/>
        <v>5.76498155162936E-3</v>
      </c>
      <c r="F159" s="72">
        <f>ABS(D159)+1.5*E159</f>
        <v>1.884798307639917E-2</v>
      </c>
      <c r="G159" s="2">
        <f t="shared" si="505"/>
        <v>-1.4567347760823242</v>
      </c>
      <c r="H159" s="2">
        <f t="shared" si="506"/>
        <v>2.0784240860738548</v>
      </c>
      <c r="I159" s="2">
        <f t="shared" si="507"/>
        <v>0.6216893099915306</v>
      </c>
      <c r="J159" s="52" t="str">
        <f>IF(J154&lt;&gt;"",((J155-$C155)^2+(J156-$C156)^2)^0.5,"")</f>
        <v/>
      </c>
      <c r="K159" s="52">
        <f t="shared" ref="K159:AO159" si="540">IF(K154&lt;&gt;"",((K155-$C155)^2+(K156-$C156)^2)^0.5,"")</f>
        <v>1.4072658121647142E-2</v>
      </c>
      <c r="L159" s="52">
        <f t="shared" si="540"/>
        <v>3.0022106872334533E-3</v>
      </c>
      <c r="M159" s="52">
        <f t="shared" si="540"/>
        <v>2.2182587261633017E-2</v>
      </c>
      <c r="N159" s="52">
        <f t="shared" si="540"/>
        <v>1.3825045413653104E-2</v>
      </c>
      <c r="O159" s="52">
        <f t="shared" si="540"/>
        <v>1.0627741473272879E-2</v>
      </c>
      <c r="P159" s="52">
        <f t="shared" si="540"/>
        <v>1.8024616392236068E-3</v>
      </c>
      <c r="Q159" s="52">
        <f t="shared" si="540"/>
        <v>1.4197816415389539E-2</v>
      </c>
      <c r="R159" s="52">
        <f t="shared" si="540"/>
        <v>9.2601701498347955E-3</v>
      </c>
      <c r="S159" s="52" t="str">
        <f t="shared" si="540"/>
        <v/>
      </c>
      <c r="T159" s="52">
        <f t="shared" si="540"/>
        <v>1.0546862594286983E-2</v>
      </c>
      <c r="U159" s="52">
        <f t="shared" si="540"/>
        <v>4.8631939447931431E-3</v>
      </c>
      <c r="V159" s="52">
        <f t="shared" si="540"/>
        <v>8.769175645115956E-3</v>
      </c>
      <c r="W159" s="52">
        <f t="shared" si="540"/>
        <v>1.4353396100557241E-2</v>
      </c>
      <c r="X159" s="52">
        <f t="shared" si="540"/>
        <v>4.1633813519346219E-3</v>
      </c>
      <c r="Y159" s="52">
        <f t="shared" si="540"/>
        <v>1.724297429691166E-2</v>
      </c>
      <c r="Z159" s="52">
        <f t="shared" si="540"/>
        <v>3.3962139030669128E-3</v>
      </c>
      <c r="AA159" s="52" t="str">
        <f t="shared" si="540"/>
        <v/>
      </c>
      <c r="AB159" s="52" t="str">
        <f t="shared" si="540"/>
        <v/>
      </c>
      <c r="AC159" s="52" t="str">
        <f t="shared" si="540"/>
        <v/>
      </c>
      <c r="AD159" s="52">
        <f t="shared" si="540"/>
        <v>7.6112695869442141E-3</v>
      </c>
      <c r="AE159" s="52">
        <f t="shared" si="540"/>
        <v>1.5096698801165034E-2</v>
      </c>
      <c r="AF159" s="52" t="str">
        <f t="shared" si="540"/>
        <v/>
      </c>
      <c r="AG159" s="52" t="str">
        <f t="shared" si="540"/>
        <v/>
      </c>
      <c r="AH159" s="52">
        <f t="shared" si="540"/>
        <v>1.9783763919545895E-3</v>
      </c>
      <c r="AI159" s="52" t="str">
        <f t="shared" si="540"/>
        <v/>
      </c>
      <c r="AJ159" s="52" t="str">
        <f t="shared" si="540"/>
        <v/>
      </c>
      <c r="AK159" s="52">
        <f t="shared" si="540"/>
        <v>1.0219848760512601E-2</v>
      </c>
      <c r="AL159" s="52">
        <f t="shared" si="540"/>
        <v>2.1136042232122225E-2</v>
      </c>
      <c r="AM159" s="52">
        <f t="shared" si="540"/>
        <v>8.0114635489767199E-3</v>
      </c>
      <c r="AN159" s="52">
        <f t="shared" si="540"/>
        <v>6.3993303747406994E-3</v>
      </c>
      <c r="AO159" s="52">
        <f t="shared" si="540"/>
        <v>1.1852828530997887E-2</v>
      </c>
    </row>
    <row r="160" spans="1:41" s="48" customFormat="1">
      <c r="A160" s="217">
        <f>10^6/A154</f>
        <v>-50</v>
      </c>
      <c r="B160" s="48" t="s">
        <v>3</v>
      </c>
      <c r="C160" s="197"/>
      <c r="D160" s="30">
        <f t="shared" si="502"/>
        <v>-20000</v>
      </c>
      <c r="E160" s="30">
        <f t="shared" si="503"/>
        <v>0</v>
      </c>
      <c r="F160" s="73">
        <f>ABS(D160-A154)+1.5*E160</f>
        <v>0</v>
      </c>
      <c r="G160" s="2" t="e">
        <f t="shared" si="505"/>
        <v>#DIV/0!</v>
      </c>
      <c r="H160" s="2" t="e">
        <f t="shared" si="506"/>
        <v>#DIV/0!</v>
      </c>
      <c r="I160" s="2" t="e">
        <f t="shared" si="507"/>
        <v>#DIV/0!</v>
      </c>
      <c r="J160" s="30" t="str">
        <f>IF(J154&lt;&gt;"",getCCTfromXY(J155,J156,0),"")</f>
        <v/>
      </c>
      <c r="K160" s="30">
        <f t="shared" ref="K160:AO160" si="541">IF(K154&lt;&gt;"",getCCTfromXY(K155,K156,0),"")</f>
        <v>-20000</v>
      </c>
      <c r="L160" s="30">
        <f t="shared" si="541"/>
        <v>-20000</v>
      </c>
      <c r="M160" s="30">
        <f t="shared" si="541"/>
        <v>-20000</v>
      </c>
      <c r="N160" s="30">
        <f t="shared" si="541"/>
        <v>-20000</v>
      </c>
      <c r="O160" s="30">
        <f t="shared" si="541"/>
        <v>-20000</v>
      </c>
      <c r="P160" s="30">
        <f t="shared" si="541"/>
        <v>-20000</v>
      </c>
      <c r="Q160" s="30">
        <f t="shared" si="541"/>
        <v>-20000</v>
      </c>
      <c r="R160" s="30">
        <f t="shared" si="541"/>
        <v>-20000</v>
      </c>
      <c r="S160" s="30" t="str">
        <f t="shared" si="541"/>
        <v/>
      </c>
      <c r="T160" s="30">
        <f t="shared" si="541"/>
        <v>-20000</v>
      </c>
      <c r="U160" s="30">
        <f t="shared" si="541"/>
        <v>-20000</v>
      </c>
      <c r="V160" s="30">
        <f t="shared" si="541"/>
        <v>-20000</v>
      </c>
      <c r="W160" s="30">
        <f t="shared" si="541"/>
        <v>-20000</v>
      </c>
      <c r="X160" s="30">
        <f t="shared" si="541"/>
        <v>-20000</v>
      </c>
      <c r="Y160" s="30">
        <f t="shared" si="541"/>
        <v>-20000</v>
      </c>
      <c r="Z160" s="30">
        <f t="shared" si="541"/>
        <v>-20000</v>
      </c>
      <c r="AA160" s="30" t="str">
        <f t="shared" si="541"/>
        <v/>
      </c>
      <c r="AB160" s="30" t="str">
        <f t="shared" si="541"/>
        <v/>
      </c>
      <c r="AC160" s="30" t="str">
        <f t="shared" si="541"/>
        <v/>
      </c>
      <c r="AD160" s="30">
        <f t="shared" si="541"/>
        <v>-20000</v>
      </c>
      <c r="AE160" s="30">
        <f t="shared" si="541"/>
        <v>-20000</v>
      </c>
      <c r="AF160" s="30" t="str">
        <f t="shared" si="541"/>
        <v/>
      </c>
      <c r="AG160" s="30" t="str">
        <f t="shared" si="541"/>
        <v/>
      </c>
      <c r="AH160" s="30">
        <f t="shared" si="541"/>
        <v>-20000</v>
      </c>
      <c r="AI160" s="30" t="str">
        <f t="shared" si="541"/>
        <v/>
      </c>
      <c r="AJ160" s="30" t="str">
        <f t="shared" si="541"/>
        <v/>
      </c>
      <c r="AK160" s="30">
        <f t="shared" si="541"/>
        <v>-20000</v>
      </c>
      <c r="AL160" s="30">
        <f t="shared" si="541"/>
        <v>-20000</v>
      </c>
      <c r="AM160" s="30">
        <f t="shared" si="541"/>
        <v>-20000</v>
      </c>
      <c r="AN160" s="30">
        <f t="shared" si="541"/>
        <v>-20000</v>
      </c>
      <c r="AO160" s="30">
        <f t="shared" si="541"/>
        <v>-20000</v>
      </c>
    </row>
    <row r="161" spans="1:41" s="48" customFormat="1">
      <c r="A161" s="217"/>
      <c r="B161" s="48" t="s">
        <v>73</v>
      </c>
      <c r="C161" s="197"/>
      <c r="D161" s="3">
        <f t="shared" si="502"/>
        <v>0</v>
      </c>
      <c r="E161" s="3">
        <f t="shared" si="503"/>
        <v>0</v>
      </c>
      <c r="F161" s="74">
        <f t="shared" ref="F161:F162" si="542">ABS(D161)+1.5*E161</f>
        <v>0</v>
      </c>
      <c r="G161" s="2" t="e">
        <f t="shared" si="505"/>
        <v>#DIV/0!</v>
      </c>
      <c r="H161" s="2" t="e">
        <f t="shared" si="506"/>
        <v>#DIV/0!</v>
      </c>
      <c r="I161" s="2" t="e">
        <f t="shared" si="507"/>
        <v>#DIV/0!</v>
      </c>
      <c r="J161" s="3" t="str">
        <f>IF(J154&lt;&gt;"",1-J160/$A154,"")</f>
        <v/>
      </c>
      <c r="K161" s="3">
        <f t="shared" ref="K161" si="543">IF(K154&lt;&gt;"",1-K160/$A154,"")</f>
        <v>0</v>
      </c>
      <c r="L161" s="3">
        <f t="shared" ref="L161" si="544">IF(L154&lt;&gt;"",1-L160/$A154,"")</f>
        <v>0</v>
      </c>
      <c r="M161" s="3">
        <f t="shared" ref="M161" si="545">IF(M154&lt;&gt;"",1-M160/$A154,"")</f>
        <v>0</v>
      </c>
      <c r="N161" s="3">
        <f t="shared" ref="N161" si="546">IF(N154&lt;&gt;"",1-N160/$A154,"")</f>
        <v>0</v>
      </c>
      <c r="O161" s="3">
        <f t="shared" ref="O161" si="547">IF(O154&lt;&gt;"",1-O160/$A154,"")</f>
        <v>0</v>
      </c>
      <c r="P161" s="3">
        <f t="shared" ref="P161" si="548">IF(P154&lt;&gt;"",1-P160/$A154,"")</f>
        <v>0</v>
      </c>
      <c r="Q161" s="3">
        <f t="shared" ref="Q161" si="549">IF(Q154&lt;&gt;"",1-Q160/$A154,"")</f>
        <v>0</v>
      </c>
      <c r="R161" s="3">
        <f t="shared" ref="R161" si="550">IF(R154&lt;&gt;"",1-R160/$A154,"")</f>
        <v>0</v>
      </c>
      <c r="S161" s="3" t="str">
        <f t="shared" ref="S161" si="551">IF(S154&lt;&gt;"",1-S160/$A154,"")</f>
        <v/>
      </c>
      <c r="T161" s="3">
        <f t="shared" ref="T161" si="552">IF(T154&lt;&gt;"",1-T160/$A154,"")</f>
        <v>0</v>
      </c>
      <c r="U161" s="3">
        <f t="shared" ref="U161" si="553">IF(U154&lt;&gt;"",1-U160/$A154,"")</f>
        <v>0</v>
      </c>
      <c r="V161" s="3">
        <f t="shared" ref="V161" si="554">IF(V154&lt;&gt;"",1-V160/$A154,"")</f>
        <v>0</v>
      </c>
      <c r="W161" s="3">
        <f t="shared" ref="W161" si="555">IF(W154&lt;&gt;"",1-W160/$A154,"")</f>
        <v>0</v>
      </c>
      <c r="X161" s="3">
        <f t="shared" ref="X161" si="556">IF(X154&lt;&gt;"",1-X160/$A154,"")</f>
        <v>0</v>
      </c>
      <c r="Y161" s="3">
        <f t="shared" ref="Y161" si="557">IF(Y154&lt;&gt;"",1-Y160/$A154,"")</f>
        <v>0</v>
      </c>
      <c r="Z161" s="3">
        <f t="shared" ref="Z161" si="558">IF(Z154&lt;&gt;"",1-Z160/$A154,"")</f>
        <v>0</v>
      </c>
      <c r="AA161" s="3" t="str">
        <f t="shared" ref="AA161" si="559">IF(AA154&lt;&gt;"",1-AA160/$A154,"")</f>
        <v/>
      </c>
      <c r="AB161" s="3" t="str">
        <f t="shared" ref="AB161" si="560">IF(AB154&lt;&gt;"",1-AB160/$A154,"")</f>
        <v/>
      </c>
      <c r="AC161" s="3" t="str">
        <f t="shared" ref="AC161" si="561">IF(AC154&lt;&gt;"",1-AC160/$A154,"")</f>
        <v/>
      </c>
      <c r="AD161" s="3">
        <f t="shared" ref="AD161" si="562">IF(AD154&lt;&gt;"",1-AD160/$A154,"")</f>
        <v>0</v>
      </c>
      <c r="AE161" s="3">
        <f t="shared" ref="AE161" si="563">IF(AE154&lt;&gt;"",1-AE160/$A154,"")</f>
        <v>0</v>
      </c>
      <c r="AF161" s="3" t="str">
        <f t="shared" ref="AF161" si="564">IF(AF154&lt;&gt;"",1-AF160/$A154,"")</f>
        <v/>
      </c>
      <c r="AG161" s="3" t="str">
        <f t="shared" ref="AG161" si="565">IF(AG154&lt;&gt;"",1-AG160/$A154,"")</f>
        <v/>
      </c>
      <c r="AH161" s="3">
        <f t="shared" ref="AH161" si="566">IF(AH154&lt;&gt;"",1-AH160/$A154,"")</f>
        <v>0</v>
      </c>
      <c r="AI161" s="3" t="str">
        <f t="shared" ref="AI161" si="567">IF(AI154&lt;&gt;"",1-AI160/$A154,"")</f>
        <v/>
      </c>
      <c r="AJ161" s="3" t="str">
        <f t="shared" ref="AJ161" si="568">IF(AJ154&lt;&gt;"",1-AJ160/$A154,"")</f>
        <v/>
      </c>
      <c r="AK161" s="3">
        <f t="shared" ref="AK161" si="569">IF(AK154&lt;&gt;"",1-AK160/$A154,"")</f>
        <v>0</v>
      </c>
      <c r="AL161" s="3">
        <f t="shared" ref="AL161" si="570">IF(AL154&lt;&gt;"",1-AL160/$A154,"")</f>
        <v>0</v>
      </c>
      <c r="AM161" s="3">
        <f t="shared" ref="AM161" si="571">IF(AM154&lt;&gt;"",1-AM160/$A154,"")</f>
        <v>0</v>
      </c>
      <c r="AN161" s="3">
        <f t="shared" ref="AN161" si="572">IF(AN154&lt;&gt;"",1-AN160/$A154,"")</f>
        <v>0</v>
      </c>
      <c r="AO161" s="3">
        <f t="shared" ref="AO161" si="573">IF(AO154&lt;&gt;"",1-AO160/$A154,"")</f>
        <v>0</v>
      </c>
    </row>
    <row r="162" spans="1:41" s="48" customFormat="1">
      <c r="A162" s="217"/>
      <c r="B162" s="48" t="s">
        <v>14</v>
      </c>
      <c r="C162" s="197"/>
      <c r="D162" s="2">
        <f t="shared" si="502"/>
        <v>0</v>
      </c>
      <c r="E162" s="2">
        <f t="shared" si="503"/>
        <v>0</v>
      </c>
      <c r="F162" s="75">
        <f t="shared" si="542"/>
        <v>0</v>
      </c>
      <c r="G162" s="2" t="e">
        <f t="shared" si="505"/>
        <v>#DIV/0!</v>
      </c>
      <c r="H162" s="2" t="e">
        <f t="shared" si="506"/>
        <v>#DIV/0!</v>
      </c>
      <c r="I162" s="2" t="e">
        <f t="shared" si="507"/>
        <v>#DIV/0!</v>
      </c>
      <c r="J162" s="2" t="str">
        <f>IF(J154&lt;&gt;"",10^6/J160-$A160,"")</f>
        <v/>
      </c>
      <c r="K162" s="2">
        <f t="shared" ref="K162:AO162" si="574">IF(K154&lt;&gt;"",10^6/K160-$A160,"")</f>
        <v>0</v>
      </c>
      <c r="L162" s="2">
        <f t="shared" si="574"/>
        <v>0</v>
      </c>
      <c r="M162" s="2">
        <f t="shared" si="574"/>
        <v>0</v>
      </c>
      <c r="N162" s="2">
        <f t="shared" si="574"/>
        <v>0</v>
      </c>
      <c r="O162" s="2">
        <f t="shared" si="574"/>
        <v>0</v>
      </c>
      <c r="P162" s="2">
        <f t="shared" si="574"/>
        <v>0</v>
      </c>
      <c r="Q162" s="2">
        <f t="shared" si="574"/>
        <v>0</v>
      </c>
      <c r="R162" s="2">
        <f t="shared" si="574"/>
        <v>0</v>
      </c>
      <c r="S162" s="2" t="str">
        <f t="shared" si="574"/>
        <v/>
      </c>
      <c r="T162" s="2">
        <f t="shared" si="574"/>
        <v>0</v>
      </c>
      <c r="U162" s="2">
        <f t="shared" si="574"/>
        <v>0</v>
      </c>
      <c r="V162" s="2">
        <f t="shared" si="574"/>
        <v>0</v>
      </c>
      <c r="W162" s="2">
        <f t="shared" si="574"/>
        <v>0</v>
      </c>
      <c r="X162" s="2">
        <f t="shared" si="574"/>
        <v>0</v>
      </c>
      <c r="Y162" s="2">
        <f t="shared" si="574"/>
        <v>0</v>
      </c>
      <c r="Z162" s="2">
        <f t="shared" si="574"/>
        <v>0</v>
      </c>
      <c r="AA162" s="2" t="str">
        <f t="shared" si="574"/>
        <v/>
      </c>
      <c r="AB162" s="2" t="str">
        <f t="shared" si="574"/>
        <v/>
      </c>
      <c r="AC162" s="2" t="str">
        <f t="shared" si="574"/>
        <v/>
      </c>
      <c r="AD162" s="2">
        <f t="shared" si="574"/>
        <v>0</v>
      </c>
      <c r="AE162" s="2">
        <f t="shared" si="574"/>
        <v>0</v>
      </c>
      <c r="AF162" s="2" t="str">
        <f t="shared" si="574"/>
        <v/>
      </c>
      <c r="AG162" s="2" t="str">
        <f t="shared" si="574"/>
        <v/>
      </c>
      <c r="AH162" s="2">
        <f t="shared" si="574"/>
        <v>0</v>
      </c>
      <c r="AI162" s="2" t="str">
        <f t="shared" si="574"/>
        <v/>
      </c>
      <c r="AJ162" s="2" t="str">
        <f t="shared" si="574"/>
        <v/>
      </c>
      <c r="AK162" s="2">
        <f t="shared" si="574"/>
        <v>0</v>
      </c>
      <c r="AL162" s="2">
        <f t="shared" si="574"/>
        <v>0</v>
      </c>
      <c r="AM162" s="2">
        <f t="shared" si="574"/>
        <v>0</v>
      </c>
      <c r="AN162" s="2">
        <f t="shared" si="574"/>
        <v>0</v>
      </c>
      <c r="AO162" s="2">
        <f t="shared" si="574"/>
        <v>0</v>
      </c>
    </row>
    <row r="163" spans="1:41">
      <c r="A163" s="218">
        <f>getCCTfromXY(C164,C165,0)</f>
        <v>14248</v>
      </c>
      <c r="B163" s="40" t="str">
        <f t="shared" ref="B163:B168" si="575">B154</f>
        <v>Ev</v>
      </c>
      <c r="C163" s="40">
        <f>data0!B47</f>
        <v>149.4</v>
      </c>
      <c r="D163" s="2">
        <f>data0!AH139</f>
        <v>148.87669123300981</v>
      </c>
      <c r="E163" s="2">
        <f>data0!AI139</f>
        <v>5.9548823746289319</v>
      </c>
      <c r="F163" s="3">
        <f>data0!AJ139</f>
        <v>3.9998755515790109E-2</v>
      </c>
      <c r="G163" s="2">
        <f>data0!AK139</f>
        <v>-1.6210927394429371</v>
      </c>
      <c r="H163" s="2">
        <f>data0!AL139</f>
        <v>2.8098187297414561</v>
      </c>
      <c r="I163" s="2">
        <f>data0!AM139</f>
        <v>1.188725990298519</v>
      </c>
      <c r="J163" s="2" t="str">
        <f>data0!B139</f>
        <v/>
      </c>
      <c r="K163" s="2">
        <f>data0!C139</f>
        <v>165.60883126264946</v>
      </c>
      <c r="L163" s="2">
        <f>data0!D139</f>
        <v>143.0568955149192</v>
      </c>
      <c r="M163" s="2">
        <f>data0!E139</f>
        <v>157.40737725052469</v>
      </c>
      <c r="N163" s="2">
        <f>data0!F139</f>
        <v>151.76487782022991</v>
      </c>
      <c r="O163" s="2">
        <f>data0!G139</f>
        <v>146.79596594110063</v>
      </c>
      <c r="P163" s="2">
        <f>data0!H139</f>
        <v>149.67004445153623</v>
      </c>
      <c r="Q163" s="2">
        <f>data0!I139</f>
        <v>155.35814796866941</v>
      </c>
      <c r="R163" s="2">
        <f>data0!J139</f>
        <v>146.37341130277255</v>
      </c>
      <c r="S163" s="2" t="str">
        <f>data0!K139</f>
        <v/>
      </c>
      <c r="T163" s="2">
        <f>data0!L139</f>
        <v>146.90438555686015</v>
      </c>
      <c r="U163" s="2">
        <f>data0!M139</f>
        <v>144.46275634556366</v>
      </c>
      <c r="V163" s="2">
        <f>data0!N139</f>
        <v>144.45481132919744</v>
      </c>
      <c r="W163" s="2">
        <f>data0!O139</f>
        <v>153.9102867690429</v>
      </c>
      <c r="X163" s="2">
        <f>data0!P139</f>
        <v>150.57076722287994</v>
      </c>
      <c r="Y163" s="2">
        <f>data0!Q139</f>
        <v>147.8925545911209</v>
      </c>
      <c r="Z163" s="2">
        <f>data0!R139</f>
        <v>144.20654717657698</v>
      </c>
      <c r="AA163" s="2" t="str">
        <f>data0!S139</f>
        <v/>
      </c>
      <c r="AB163" s="2" t="str">
        <f>data0!T139</f>
        <v/>
      </c>
      <c r="AC163" s="2" t="str">
        <f>data0!U139</f>
        <v/>
      </c>
      <c r="AD163" s="2">
        <f>data0!V139</f>
        <v>153.77612940487728</v>
      </c>
      <c r="AE163" s="2">
        <f>data0!W139</f>
        <v>149.57188789743111</v>
      </c>
      <c r="AF163" s="2" t="str">
        <f>data0!X139</f>
        <v/>
      </c>
      <c r="AG163" s="2"/>
      <c r="AH163" s="2">
        <f>data0!Z139</f>
        <v>146.70714770051998</v>
      </c>
      <c r="AI163" s="2" t="str">
        <f>data0!AA139</f>
        <v/>
      </c>
      <c r="AJ163" s="2" t="str">
        <f>data0!AB139</f>
        <v/>
      </c>
      <c r="AK163" s="2">
        <f>data0!AC139</f>
        <v>139.22327465126213</v>
      </c>
      <c r="AL163" s="2">
        <f>data0!AD139</f>
        <v>145.40183995279594</v>
      </c>
      <c r="AM163" s="2">
        <f>data0!AE139</f>
        <v>141.50226873438223</v>
      </c>
      <c r="AN163" s="2">
        <f>data0!AF139</f>
        <v>144.89350432417169</v>
      </c>
      <c r="AO163" s="2">
        <f>data0!AG139</f>
        <v>154.65018519014095</v>
      </c>
    </row>
    <row r="164" spans="1:41">
      <c r="A164" s="218"/>
      <c r="B164" s="40" t="str">
        <f t="shared" si="575"/>
        <v>x</v>
      </c>
      <c r="C164" s="40">
        <f>data0!B48</f>
        <v>0.29970000000000002</v>
      </c>
      <c r="D164" s="41">
        <f>data0!AH140</f>
        <v>0.29475037478373839</v>
      </c>
      <c r="E164" s="41">
        <f>data0!AI140</f>
        <v>4.2170472304673612E-3</v>
      </c>
      <c r="F164" s="3">
        <f>data0!AJ140</f>
        <v>1.4307181911342625E-2</v>
      </c>
      <c r="G164" s="2">
        <f>data0!AK140</f>
        <v>-1.7843374638824228</v>
      </c>
      <c r="H164" s="2">
        <f>data0!AL140</f>
        <v>2.8300995553810688</v>
      </c>
      <c r="I164" s="2">
        <f>data0!AM140</f>
        <v>1.0457620914986461</v>
      </c>
      <c r="J164" s="41" t="str">
        <f>data0!B140</f>
        <v/>
      </c>
      <c r="K164" s="41">
        <f>data0!C140</f>
        <v>0.29528808295955628</v>
      </c>
      <c r="L164" s="41">
        <f>data0!D140</f>
        <v>0.28985514787079042</v>
      </c>
      <c r="M164" s="41">
        <f>data0!E140</f>
        <v>0.29855425459286522</v>
      </c>
      <c r="N164" s="41">
        <f>data0!F140</f>
        <v>0.28722573942345386</v>
      </c>
      <c r="O164" s="41">
        <f>data0!G140</f>
        <v>0.29466373224741704</v>
      </c>
      <c r="P164" s="41">
        <f>data0!H140</f>
        <v>0.29003944003431092</v>
      </c>
      <c r="Q164" s="41">
        <f>data0!I140</f>
        <v>0.29440080074585473</v>
      </c>
      <c r="R164" s="41">
        <f>data0!J140</f>
        <v>0.28808480694620331</v>
      </c>
      <c r="S164" s="41" t="str">
        <f>data0!K140</f>
        <v/>
      </c>
      <c r="T164" s="41">
        <f>data0!L140</f>
        <v>0.29359430196808572</v>
      </c>
      <c r="U164" s="41">
        <f>data0!M140</f>
        <v>0.29768419544290015</v>
      </c>
      <c r="V164" s="41">
        <f>data0!N140</f>
        <v>0.29839993616903104</v>
      </c>
      <c r="W164" s="41">
        <f>data0!O140</f>
        <v>0.29559703992789393</v>
      </c>
      <c r="X164" s="41">
        <f>data0!P140</f>
        <v>0.29552383055068504</v>
      </c>
      <c r="Y164" s="41">
        <f>data0!Q140</f>
        <v>0.29576185967968366</v>
      </c>
      <c r="Z164" s="41">
        <f>data0!R140</f>
        <v>0.2961622825447725</v>
      </c>
      <c r="AA164" s="41" t="str">
        <f>data0!S140</f>
        <v/>
      </c>
      <c r="AB164" s="41" t="str">
        <f>data0!T140</f>
        <v/>
      </c>
      <c r="AC164" s="41" t="str">
        <f>data0!U140</f>
        <v/>
      </c>
      <c r="AD164" s="41">
        <f>data0!V140</f>
        <v>0.2919487576981884</v>
      </c>
      <c r="AE164" s="41">
        <f>data0!W140</f>
        <v>0.2953046656961642</v>
      </c>
      <c r="AF164" s="41" t="str">
        <f>data0!X140</f>
        <v/>
      </c>
      <c r="AG164" s="41"/>
      <c r="AH164" s="41">
        <f>data0!Z140</f>
        <v>0.29417386994428801</v>
      </c>
      <c r="AI164" s="41" t="str">
        <f>data0!AA140</f>
        <v/>
      </c>
      <c r="AJ164" s="41" t="str">
        <f>data0!AB140</f>
        <v/>
      </c>
      <c r="AK164" s="41">
        <f>data0!AC140</f>
        <v>0.30153306546513203</v>
      </c>
      <c r="AL164" s="41">
        <f>data0!AD140</f>
        <v>0.29035777477336006</v>
      </c>
      <c r="AM164" s="41">
        <f>data0!AE140</f>
        <v>0.29308698284088358</v>
      </c>
      <c r="AN164" s="41">
        <f>data0!AF140</f>
        <v>0.30668503827570504</v>
      </c>
      <c r="AO164" s="41">
        <f>data0!AG140</f>
        <v>0.29533301422875691</v>
      </c>
    </row>
    <row r="165" spans="1:41">
      <c r="A165" s="218"/>
      <c r="B165" s="40" t="str">
        <f t="shared" si="575"/>
        <v>y</v>
      </c>
      <c r="C165" s="40">
        <f>data0!B49</f>
        <v>0.2329</v>
      </c>
      <c r="D165" s="41">
        <f>AVERAGE(J165:AO165)</f>
        <v>0.23460915826514908</v>
      </c>
      <c r="E165" s="41">
        <f>STDEV(J165:AO165)</f>
        <v>1.2251851228626759E-2</v>
      </c>
      <c r="F165" s="3">
        <f>E165/D165</f>
        <v>5.2222391142889825E-2</v>
      </c>
      <c r="G165" s="2">
        <f>(MIN(J165:AO165)-$D165)/$E165</f>
        <v>-1.5572513326950519</v>
      </c>
      <c r="H165" s="2">
        <f>(MAX(J165:AO165)-$D165)/$E165</f>
        <v>1.807073756842035</v>
      </c>
      <c r="I165" s="2">
        <f>G165+H165</f>
        <v>0.24982242414698308</v>
      </c>
      <c r="J165" s="41" t="str">
        <f>data0!B141</f>
        <v/>
      </c>
      <c r="K165" s="41">
        <f>data0!C141</f>
        <v>0.25674915709313334</v>
      </c>
      <c r="L165" s="41">
        <f>data0!D141</f>
        <v>0.23542354283216968</v>
      </c>
      <c r="M165" s="41">
        <f>data0!E141</f>
        <v>0.25601731262608135</v>
      </c>
      <c r="N165" s="41">
        <f>data0!F141</f>
        <v>0.22956526356764506</v>
      </c>
      <c r="O165" s="41">
        <f>data0!G141</f>
        <v>0.24489986009872117</v>
      </c>
      <c r="P165" s="41">
        <f>data0!H141</f>
        <v>0.24141271226259797</v>
      </c>
      <c r="Q165" s="41">
        <f>data0!I141</f>
        <v>0.24415563093257875</v>
      </c>
      <c r="R165" s="41">
        <f>data0!J141</f>
        <v>0.2312523219897564</v>
      </c>
      <c r="S165" s="41" t="str">
        <f>data0!K141</f>
        <v/>
      </c>
      <c r="T165" s="41">
        <f>data0!L141</f>
        <v>0.22903148858315564</v>
      </c>
      <c r="U165" s="41">
        <f>data0!M141</f>
        <v>0.23733679786882547</v>
      </c>
      <c r="V165" s="41">
        <f>data0!N141</f>
        <v>0.2232132361905011</v>
      </c>
      <c r="W165" s="41">
        <f>data0!O141</f>
        <v>0.21552994661138855</v>
      </c>
      <c r="X165" s="41">
        <f>data0!P141</f>
        <v>0.23635653913610796</v>
      </c>
      <c r="Y165" s="41">
        <f>data0!Q141</f>
        <v>0.21592066484459088</v>
      </c>
      <c r="Z165" s="41">
        <f>data0!R141</f>
        <v>0.23171819154815967</v>
      </c>
      <c r="AA165" s="41" t="str">
        <f>data0!S141</f>
        <v/>
      </c>
      <c r="AB165" s="41" t="str">
        <f>data0!T141</f>
        <v/>
      </c>
      <c r="AC165" s="41" t="str">
        <f>data0!U141</f>
        <v/>
      </c>
      <c r="AD165" s="41">
        <f>data0!V141</f>
        <v>0.22401269529601986</v>
      </c>
      <c r="AE165" s="41">
        <f>data0!W141</f>
        <v>0.22160668780291815</v>
      </c>
      <c r="AF165" s="41" t="str">
        <f>data0!X141</f>
        <v/>
      </c>
      <c r="AG165" s="41"/>
      <c r="AH165" s="41">
        <f>data0!Z141</f>
        <v>0.23925930778351545</v>
      </c>
      <c r="AI165" s="41" t="str">
        <f>data0!AA141</f>
        <v/>
      </c>
      <c r="AJ165" s="41" t="str">
        <f>data0!AB141</f>
        <v/>
      </c>
      <c r="AK165" s="41">
        <f>data0!AC141</f>
        <v>0.24725214885611321</v>
      </c>
      <c r="AL165" s="41">
        <f>data0!AD141</f>
        <v>0.2166564668223297</v>
      </c>
      <c r="AM165" s="41">
        <f>data0!AE141</f>
        <v>0.22735777228685466</v>
      </c>
      <c r="AN165" s="41">
        <f>data0!AF141</f>
        <v>0.2526757311238671</v>
      </c>
      <c r="AO165" s="41">
        <f>data0!AG141</f>
        <v>0.23860716394139764</v>
      </c>
    </row>
    <row r="166" spans="1:41">
      <c r="A166" s="218"/>
      <c r="B166" s="40" t="str">
        <f t="shared" si="575"/>
        <v>u</v>
      </c>
      <c r="C166" s="41">
        <f>getUVfromXY(C164,C165,0)</f>
        <v>0.23074257997459294</v>
      </c>
      <c r="D166" s="41">
        <f t="shared" ref="D166:D171" si="576">AVERAGE(J166:AO166)</f>
        <v>0.22574522342803258</v>
      </c>
      <c r="E166" s="41">
        <f t="shared" ref="E166:E171" si="577">STDEV(J166:AO166)</f>
        <v>5.9736796582460115E-3</v>
      </c>
      <c r="F166" s="3">
        <f t="shared" ref="F166:F167" si="578">E166/D166</f>
        <v>2.6462042330434588E-2</v>
      </c>
      <c r="G166" s="2">
        <f t="shared" ref="G166:G171" si="579">(MIN(J166:AO166)-$D166)/$E166</f>
        <v>-1.777010437788447</v>
      </c>
      <c r="H166" s="2">
        <f t="shared" ref="H166:H171" si="580">(MAX(J166:AO166)-$D166)/$E166</f>
        <v>1.8349310825722345</v>
      </c>
      <c r="I166" s="2">
        <f t="shared" ref="I166:I171" si="581">G166+H166</f>
        <v>5.7920644783787445E-2</v>
      </c>
      <c r="J166" s="52" t="str">
        <f>IF(J163&lt;&gt;"",getUVfromXY(J164,J165,0),"")</f>
        <v/>
      </c>
      <c r="K166" s="52">
        <f t="shared" ref="K166" si="582">IF(K163&lt;&gt;"",getUVfromXY(K164,K165,0),"")</f>
        <v>0.21512993232332489</v>
      </c>
      <c r="L166" s="52">
        <f t="shared" ref="L166" si="583">IF(L163&lt;&gt;"",getUVfromXY(L164,L165,0),"")</f>
        <v>0.22103685748943891</v>
      </c>
      <c r="M166" s="52">
        <f t="shared" ref="M166" si="584">IF(M163&lt;&gt;"",getUVfromXY(M164,M165,0),"")</f>
        <v>0.21811787613622269</v>
      </c>
      <c r="N166" s="52">
        <f t="shared" ref="N166" si="585">IF(N163&lt;&gt;"",getUVfromXY(N164,N165,0),"")</f>
        <v>0.2217817367274228</v>
      </c>
      <c r="O166" s="52">
        <f t="shared" ref="O166" si="586">IF(O163&lt;&gt;"",getUVfromXY(O164,O165,0),"")</f>
        <v>0.22033112443554911</v>
      </c>
      <c r="P166" s="52">
        <f t="shared" ref="P166" si="587">IF(P163&lt;&gt;"",getUVfromXY(P164,P165,0),"")</f>
        <v>0.21820299536547746</v>
      </c>
      <c r="Q166" s="52">
        <f t="shared" ref="Q166" si="588">IF(Q163&lt;&gt;"",getUVfromXY(Q164,Q165,0),"")</f>
        <v>0.22048093202071642</v>
      </c>
      <c r="R166" s="52">
        <f t="shared" ref="R166" si="589">IF(R163&lt;&gt;"",getUVfromXY(R164,R165,0),"")</f>
        <v>0.22165236526466386</v>
      </c>
      <c r="S166" s="52" t="str">
        <f t="shared" ref="S166" si="590">IF(S163&lt;&gt;"",getUVfromXY(S164,S165,0),"")</f>
        <v/>
      </c>
      <c r="T166" s="52">
        <f t="shared" ref="T166" si="591">IF(T163&lt;&gt;"",getUVfromXY(T164,T165,0),"")</f>
        <v>0.22754003949970333</v>
      </c>
      <c r="U166" s="52">
        <f t="shared" ref="U166" si="592">IF(U163&lt;&gt;"",getUVfromXY(U164,U165,0),"")</f>
        <v>0.22669157972799833</v>
      </c>
      <c r="V166" s="52">
        <f t="shared" ref="V166" si="593">IF(V163&lt;&gt;"",getUVfromXY(V164,V165,0),"")</f>
        <v>0.23487925216716515</v>
      </c>
      <c r="W166" s="52">
        <f t="shared" ref="W166" si="594">IF(W163&lt;&gt;"",getUVfromXY(W164,W165,0),"")</f>
        <v>0.23670651391027767</v>
      </c>
      <c r="X166" s="52">
        <f t="shared" ref="X166" si="595">IF(X163&lt;&gt;"",getUVfromXY(X164,X165,0),"")</f>
        <v>0.22536573991747635</v>
      </c>
      <c r="Y166" s="52">
        <f t="shared" ref="Y166" si="596">IF(Y163&lt;&gt;"",getUVfromXY(Y164,Y165,0),"")</f>
        <v>0.236632002863496</v>
      </c>
      <c r="Z166" s="52">
        <f t="shared" ref="Z166" si="597">IF(Z163&lt;&gt;"",getUVfromXY(Z164,Z165,0),"")</f>
        <v>0.22833116069212722</v>
      </c>
      <c r="AA166" s="52" t="str">
        <f t="shared" ref="AA166" si="598">IF(AA163&lt;&gt;"",getUVfromXY(AA164,AA165,0),"")</f>
        <v/>
      </c>
      <c r="AB166" s="52" t="str">
        <f t="shared" ref="AB166" si="599">IF(AB163&lt;&gt;"",getUVfromXY(AB164,AB165,0),"")</f>
        <v/>
      </c>
      <c r="AC166" s="52" t="str">
        <f t="shared" ref="AC166" si="600">IF(AC163&lt;&gt;"",getUVfromXY(AC164,AC165,0),"")</f>
        <v/>
      </c>
      <c r="AD166" s="52">
        <f t="shared" ref="AD166" si="601">IF(AD163&lt;&gt;"",getUVfromXY(AD164,AD165,0),"")</f>
        <v>0.22878854408894617</v>
      </c>
      <c r="AE166" s="52">
        <f t="shared" ref="AE166" si="602">IF(AE163&lt;&gt;"",getUVfromXY(AE164,AE165,0),"")</f>
        <v>0.23304307596714399</v>
      </c>
      <c r="AF166" s="52" t="str">
        <f t="shared" ref="AF166" si="603">IF(AF163&lt;&gt;"",getUVfromXY(AF164,AF165,0),"")</f>
        <v/>
      </c>
      <c r="AG166" s="52" t="str">
        <f t="shared" ref="AG166" si="604">IF(AG163&lt;&gt;"",getUVfromXY(AG164,AG165,0),"")</f>
        <v/>
      </c>
      <c r="AH166" s="52">
        <f t="shared" ref="AH166" si="605">IF(AH163&lt;&gt;"",getUVfromXY(AH164,AH165,0),"")</f>
        <v>0.22274239207574706</v>
      </c>
      <c r="AI166" s="52" t="str">
        <f t="shared" ref="AI166" si="606">IF(AI163&lt;&gt;"",getUVfromXY(AI164,AI165,0),"")</f>
        <v/>
      </c>
      <c r="AJ166" s="52" t="str">
        <f t="shared" ref="AJ166" si="607">IF(AJ163&lt;&gt;"",getUVfromXY(AJ164,AJ165,0),"")</f>
        <v/>
      </c>
      <c r="AK166" s="52">
        <f t="shared" ref="AK166" si="608">IF(AK163&lt;&gt;"",getUVfromXY(AK164,AK165,0),"")</f>
        <v>0.22485856332999962</v>
      </c>
      <c r="AL166" s="52">
        <f t="shared" ref="AL166" si="609">IF(AL163&lt;&gt;"",getUVfromXY(AL164,AL165,0),"")</f>
        <v>0.23139940232778647</v>
      </c>
      <c r="AM166" s="52">
        <f t="shared" ref="AM166" si="610">IF(AM163&lt;&gt;"",getUVfromXY(AM164,AM165,0),"")</f>
        <v>0.22798925162280109</v>
      </c>
      <c r="AN166" s="52">
        <f t="shared" ref="AN166" si="611">IF(AN163&lt;&gt;"",getUVfromXY(AN164,AN165,0),"")</f>
        <v>0.22638850509560501</v>
      </c>
      <c r="AO166" s="52">
        <f t="shared" ref="AO166" si="612">IF(AO163&lt;&gt;"",getUVfromXY(AO164,AO165,0),"")</f>
        <v>0.22405029579565947</v>
      </c>
    </row>
    <row r="167" spans="1:41">
      <c r="A167" s="218"/>
      <c r="B167" s="40" t="str">
        <f t="shared" si="575"/>
        <v>v</v>
      </c>
      <c r="C167" s="41">
        <f>getUVfromXY(C164,C165,1)</f>
        <v>0.26896870308349696</v>
      </c>
      <c r="D167" s="41">
        <f t="shared" si="576"/>
        <v>0.26919170281394605</v>
      </c>
      <c r="E167" s="41">
        <f t="shared" si="577"/>
        <v>6.6586336604570013E-3</v>
      </c>
      <c r="F167" s="3">
        <f t="shared" si="578"/>
        <v>2.4735657120379999E-2</v>
      </c>
      <c r="G167" s="2">
        <f t="shared" si="579"/>
        <v>-1.5476806292075862</v>
      </c>
      <c r="H167" s="2">
        <f t="shared" si="580"/>
        <v>1.7101593788965608</v>
      </c>
      <c r="I167" s="2">
        <f t="shared" si="581"/>
        <v>0.16247874968897458</v>
      </c>
      <c r="J167" s="52" t="str">
        <f>IF(J163&lt;&gt;"",getUVfromXY(J164,J165,1),"")</f>
        <v/>
      </c>
      <c r="K167" s="52">
        <f t="shared" ref="K167:AO167" si="613">IF(K163&lt;&gt;"",getUVfromXY(K164,K165,1),"")</f>
        <v>0.28057902761901293</v>
      </c>
      <c r="L167" s="52">
        <f t="shared" si="613"/>
        <v>0.26929285439075545</v>
      </c>
      <c r="M167" s="52">
        <f t="shared" si="613"/>
        <v>0.28056183235567284</v>
      </c>
      <c r="N167" s="52">
        <f t="shared" si="613"/>
        <v>0.26588868540395588</v>
      </c>
      <c r="O167" s="52">
        <f t="shared" si="613"/>
        <v>0.27468121613463115</v>
      </c>
      <c r="P167" s="52">
        <f t="shared" si="613"/>
        <v>0.27243007155563803</v>
      </c>
      <c r="Q167" s="52">
        <f t="shared" si="613"/>
        <v>0.27427741838544739</v>
      </c>
      <c r="R167" s="52">
        <f t="shared" si="613"/>
        <v>0.266888202220676</v>
      </c>
      <c r="S167" s="52" t="str">
        <f t="shared" si="613"/>
        <v/>
      </c>
      <c r="T167" s="52">
        <f t="shared" si="613"/>
        <v>0.26625431901886143</v>
      </c>
      <c r="U167" s="52">
        <f t="shared" si="613"/>
        <v>0.27110401455687294</v>
      </c>
      <c r="V167" s="52">
        <f t="shared" si="613"/>
        <v>0.26354642696977326</v>
      </c>
      <c r="W167" s="52">
        <f t="shared" si="613"/>
        <v>0.25888626448066715</v>
      </c>
      <c r="X167" s="52">
        <f t="shared" si="613"/>
        <v>0.27036736543793144</v>
      </c>
      <c r="Y167" s="52">
        <f t="shared" si="613"/>
        <v>0.25912945352620242</v>
      </c>
      <c r="Z167" s="52">
        <f t="shared" si="613"/>
        <v>0.26797040042568637</v>
      </c>
      <c r="AA167" s="52" t="str">
        <f t="shared" si="613"/>
        <v/>
      </c>
      <c r="AB167" s="52" t="str">
        <f t="shared" si="613"/>
        <v/>
      </c>
      <c r="AC167" s="52" t="str">
        <f t="shared" si="613"/>
        <v/>
      </c>
      <c r="AD167" s="52">
        <f t="shared" si="613"/>
        <v>0.26332466090093826</v>
      </c>
      <c r="AE167" s="52">
        <f t="shared" si="613"/>
        <v>0.26232520264487696</v>
      </c>
      <c r="AF167" s="52" t="str">
        <f t="shared" si="613"/>
        <v/>
      </c>
      <c r="AG167" s="52" t="str">
        <f t="shared" si="613"/>
        <v/>
      </c>
      <c r="AH167" s="52">
        <f t="shared" si="613"/>
        <v>0.27174332590542738</v>
      </c>
      <c r="AI167" s="52" t="str">
        <f t="shared" si="613"/>
        <v/>
      </c>
      <c r="AJ167" s="52" t="str">
        <f t="shared" si="613"/>
        <v/>
      </c>
      <c r="AK167" s="52">
        <f t="shared" si="613"/>
        <v>0.2765704793582735</v>
      </c>
      <c r="AL167" s="52">
        <f t="shared" si="613"/>
        <v>0.25899518433217139</v>
      </c>
      <c r="AM167" s="52">
        <f t="shared" si="613"/>
        <v>0.26528879507989828</v>
      </c>
      <c r="AN167" s="52">
        <f t="shared" si="613"/>
        <v>0.27977993985957089</v>
      </c>
      <c r="AO167" s="52">
        <f t="shared" si="613"/>
        <v>0.27152402415781846</v>
      </c>
    </row>
    <row r="168" spans="1:41">
      <c r="A168" s="218"/>
      <c r="B168" s="40" t="str">
        <f t="shared" si="575"/>
        <v>Δxy</v>
      </c>
      <c r="C168" s="40">
        <v>0</v>
      </c>
      <c r="D168" s="41">
        <f t="shared" si="576"/>
        <v>1.2572692275947636E-2</v>
      </c>
      <c r="E168" s="41">
        <f t="shared" si="577"/>
        <v>5.6664233244941315E-3</v>
      </c>
      <c r="F168" s="72">
        <f>ABS(D168)+1.5*E168</f>
        <v>2.1072327262688834E-2</v>
      </c>
      <c r="G168" s="2">
        <f t="shared" si="579"/>
        <v>-1.5605606682641044</v>
      </c>
      <c r="H168" s="2">
        <f t="shared" si="580"/>
        <v>2.0614622645180267</v>
      </c>
      <c r="I168" s="2">
        <f t="shared" si="581"/>
        <v>0.50090159625392228</v>
      </c>
      <c r="J168" s="52" t="str">
        <f>IF(J163&lt;&gt;"",((J164-$C164)^2+(J165-$C165)^2)^0.5,"")</f>
        <v/>
      </c>
      <c r="K168" s="52">
        <f t="shared" ref="K168:AO168" si="614">IF(K163&lt;&gt;"",((K164-$C164)^2+(K165-$C165)^2)^0.5,"")</f>
        <v>2.4253810134177073E-2</v>
      </c>
      <c r="L168" s="52">
        <f t="shared" si="614"/>
        <v>1.0163138386925459E-2</v>
      </c>
      <c r="M168" s="52">
        <f t="shared" si="614"/>
        <v>2.314568805609267E-2</v>
      </c>
      <c r="N168" s="52">
        <f t="shared" si="614"/>
        <v>1.2912305913540346E-2</v>
      </c>
      <c r="O168" s="52">
        <f t="shared" si="614"/>
        <v>1.3013863195246356E-2</v>
      </c>
      <c r="P168" s="52">
        <f t="shared" si="614"/>
        <v>1.2876050982986239E-2</v>
      </c>
      <c r="Q168" s="52">
        <f t="shared" si="614"/>
        <v>1.2440688904781668E-2</v>
      </c>
      <c r="R168" s="52">
        <f t="shared" si="614"/>
        <v>1.1731476995775415E-2</v>
      </c>
      <c r="S168" s="52" t="str">
        <f t="shared" si="614"/>
        <v/>
      </c>
      <c r="T168" s="52">
        <f t="shared" si="614"/>
        <v>7.2280653731947699E-3</v>
      </c>
      <c r="U168" s="52">
        <f t="shared" si="614"/>
        <v>4.8732579801646983E-3</v>
      </c>
      <c r="V168" s="52">
        <f t="shared" si="614"/>
        <v>9.7736154551737592E-3</v>
      </c>
      <c r="W168" s="52">
        <f t="shared" si="614"/>
        <v>1.7848054125772613E-2</v>
      </c>
      <c r="X168" s="52">
        <f t="shared" si="614"/>
        <v>5.4210749919953883E-3</v>
      </c>
      <c r="Y168" s="52">
        <f t="shared" si="614"/>
        <v>1.7430053686154079E-2</v>
      </c>
      <c r="Z168" s="52">
        <f t="shared" si="614"/>
        <v>3.7298949060077663E-3</v>
      </c>
      <c r="AA168" s="52" t="str">
        <f t="shared" si="614"/>
        <v/>
      </c>
      <c r="AB168" s="52" t="str">
        <f t="shared" si="614"/>
        <v/>
      </c>
      <c r="AC168" s="52" t="str">
        <f t="shared" si="614"/>
        <v/>
      </c>
      <c r="AD168" s="52">
        <f t="shared" si="614"/>
        <v>1.1792622359881683E-2</v>
      </c>
      <c r="AE168" s="52">
        <f t="shared" si="614"/>
        <v>1.211849264649831E-2</v>
      </c>
      <c r="AF168" s="52" t="str">
        <f t="shared" si="614"/>
        <v/>
      </c>
      <c r="AG168" s="52" t="str">
        <f t="shared" si="614"/>
        <v/>
      </c>
      <c r="AH168" s="52">
        <f t="shared" si="614"/>
        <v>8.4248981523887788E-3</v>
      </c>
      <c r="AI168" s="52" t="str">
        <f t="shared" si="614"/>
        <v/>
      </c>
      <c r="AJ168" s="52" t="str">
        <f t="shared" si="614"/>
        <v/>
      </c>
      <c r="AK168" s="52">
        <f t="shared" si="614"/>
        <v>1.4468735459171668E-2</v>
      </c>
      <c r="AL168" s="52">
        <f t="shared" si="614"/>
        <v>1.8738450903939313E-2</v>
      </c>
      <c r="AM168" s="52">
        <f t="shared" si="614"/>
        <v>8.6283419016126503E-3</v>
      </c>
      <c r="AN168" s="52">
        <f t="shared" si="614"/>
        <v>2.0973085161619644E-2</v>
      </c>
      <c r="AO168" s="52">
        <f t="shared" si="614"/>
        <v>7.1862566736952335E-3</v>
      </c>
    </row>
    <row r="169" spans="1:41" s="48" customFormat="1">
      <c r="A169" s="217">
        <f>10^6/A163</f>
        <v>70.18528916339136</v>
      </c>
      <c r="B169" s="48" t="s">
        <v>3</v>
      </c>
      <c r="C169" s="197"/>
      <c r="D169" s="30">
        <f t="shared" si="576"/>
        <v>-1178.304347826087</v>
      </c>
      <c r="E169" s="30">
        <f t="shared" si="577"/>
        <v>16988.959549807052</v>
      </c>
      <c r="F169" s="73">
        <f>ABS(D169-A163)+1.5*E169</f>
        <v>40909.743672536664</v>
      </c>
      <c r="G169" s="2">
        <f t="shared" si="579"/>
        <v>-1.1078780661637206</v>
      </c>
      <c r="H169" s="2">
        <f t="shared" si="580"/>
        <v>1.1303990860372728</v>
      </c>
      <c r="I169" s="2">
        <f t="shared" si="581"/>
        <v>2.2521019873552151E-2</v>
      </c>
      <c r="J169" s="30" t="str">
        <f>IF(J163&lt;&gt;"",getCCTfromXY(J164,J165,0),"")</f>
        <v/>
      </c>
      <c r="K169" s="30">
        <f t="shared" ref="K169:AO169" si="615">IF(K163&lt;&gt;"",getCCTfromXY(K164,K165,0),"")</f>
        <v>10779</v>
      </c>
      <c r="L169" s="30">
        <f t="shared" si="615"/>
        <v>18026</v>
      </c>
      <c r="M169" s="30">
        <f t="shared" si="615"/>
        <v>10244</v>
      </c>
      <c r="N169" s="30">
        <f t="shared" si="615"/>
        <v>-20000</v>
      </c>
      <c r="O169" s="30">
        <f t="shared" si="615"/>
        <v>12698</v>
      </c>
      <c r="P169" s="30">
        <f t="shared" si="615"/>
        <v>15165</v>
      </c>
      <c r="Q169" s="30">
        <f t="shared" si="615"/>
        <v>12934</v>
      </c>
      <c r="R169" s="30">
        <f t="shared" si="615"/>
        <v>-20000</v>
      </c>
      <c r="S169" s="30" t="str">
        <f t="shared" si="615"/>
        <v/>
      </c>
      <c r="T169" s="30">
        <f t="shared" si="615"/>
        <v>-20000</v>
      </c>
      <c r="U169" s="30">
        <f t="shared" si="615"/>
        <v>13585</v>
      </c>
      <c r="V169" s="30">
        <f t="shared" si="615"/>
        <v>-20000</v>
      </c>
      <c r="W169" s="30">
        <f t="shared" si="615"/>
        <v>-20000</v>
      </c>
      <c r="X169" s="30">
        <f t="shared" si="615"/>
        <v>14775</v>
      </c>
      <c r="Y169" s="30">
        <f t="shared" si="615"/>
        <v>-20000</v>
      </c>
      <c r="Z169" s="30">
        <f t="shared" si="615"/>
        <v>16631</v>
      </c>
      <c r="AA169" s="30" t="str">
        <f t="shared" si="615"/>
        <v/>
      </c>
      <c r="AB169" s="30" t="str">
        <f t="shared" si="615"/>
        <v/>
      </c>
      <c r="AC169" s="30" t="str">
        <f t="shared" si="615"/>
        <v/>
      </c>
      <c r="AD169" s="30">
        <f t="shared" si="615"/>
        <v>-20000</v>
      </c>
      <c r="AE169" s="30">
        <f t="shared" si="615"/>
        <v>-20000</v>
      </c>
      <c r="AF169" s="30" t="str">
        <f t="shared" si="615"/>
        <v/>
      </c>
      <c r="AG169" s="30" t="str">
        <f t="shared" si="615"/>
        <v/>
      </c>
      <c r="AH169" s="30">
        <f t="shared" si="615"/>
        <v>14311</v>
      </c>
      <c r="AI169" s="30" t="str">
        <f t="shared" si="615"/>
        <v/>
      </c>
      <c r="AJ169" s="30" t="str">
        <f t="shared" si="615"/>
        <v/>
      </c>
      <c r="AK169" s="30">
        <f t="shared" si="615"/>
        <v>10591</v>
      </c>
      <c r="AL169" s="30">
        <f t="shared" si="615"/>
        <v>-20000</v>
      </c>
      <c r="AM169" s="30">
        <f t="shared" si="615"/>
        <v>-20000</v>
      </c>
      <c r="AN169" s="30">
        <f t="shared" si="615"/>
        <v>9080</v>
      </c>
      <c r="AO169" s="30">
        <f t="shared" si="615"/>
        <v>14080</v>
      </c>
    </row>
    <row r="170" spans="1:41" s="48" customFormat="1">
      <c r="A170" s="217"/>
      <c r="B170" s="48" t="s">
        <v>73</v>
      </c>
      <c r="C170" s="197"/>
      <c r="D170" s="3">
        <f t="shared" si="576"/>
        <v>1.0826996313746553</v>
      </c>
      <c r="E170" s="3">
        <f t="shared" si="577"/>
        <v>1.1923750385883665</v>
      </c>
      <c r="F170" s="74">
        <f t="shared" ref="F170:F171" si="616">ABS(D170)+1.5*E170</f>
        <v>2.8712621892572052</v>
      </c>
      <c r="G170" s="2">
        <f t="shared" si="579"/>
        <v>-1.1303990860372732</v>
      </c>
      <c r="H170" s="2">
        <f t="shared" si="580"/>
        <v>1.1078780661637211</v>
      </c>
      <c r="I170" s="2">
        <f t="shared" si="581"/>
        <v>-2.2521019873552151E-2</v>
      </c>
      <c r="J170" s="3" t="str">
        <f>IF(J163&lt;&gt;"",1-J169/$A163,"")</f>
        <v/>
      </c>
      <c r="K170" s="3">
        <f t="shared" ref="K170" si="617">IF(K163&lt;&gt;"",1-K169/$A163,"")</f>
        <v>0.2434727681078046</v>
      </c>
      <c r="L170" s="3">
        <f t="shared" ref="L170" si="618">IF(L163&lt;&gt;"",1-L169/$A163,"")</f>
        <v>-0.26516002245929249</v>
      </c>
      <c r="M170" s="3">
        <f t="shared" ref="M170" si="619">IF(M163&lt;&gt;"",1-M169/$A163,"")</f>
        <v>0.28102189781021902</v>
      </c>
      <c r="N170" s="3">
        <f t="shared" ref="N170" si="620">IF(N163&lt;&gt;"",1-N169/$A163,"")</f>
        <v>2.403705783267827</v>
      </c>
      <c r="O170" s="3">
        <f t="shared" ref="O170" si="621">IF(O163&lt;&gt;"",1-O169/$A163,"")</f>
        <v>0.10878719820325655</v>
      </c>
      <c r="P170" s="3">
        <f t="shared" ref="P170" si="622">IF(P163&lt;&gt;"",1-P169/$A163,"")</f>
        <v>-6.4359910162829825E-2</v>
      </c>
      <c r="Q170" s="3">
        <f t="shared" ref="Q170" si="623">IF(Q163&lt;&gt;"",1-Q169/$A163,"")</f>
        <v>9.2223469960696192E-2</v>
      </c>
      <c r="R170" s="3">
        <f t="shared" ref="R170" si="624">IF(R163&lt;&gt;"",1-R169/$A163,"")</f>
        <v>2.403705783267827</v>
      </c>
      <c r="S170" s="3" t="str">
        <f t="shared" ref="S170" si="625">IF(S163&lt;&gt;"",1-S169/$A163,"")</f>
        <v/>
      </c>
      <c r="T170" s="3">
        <f t="shared" ref="T170" si="626">IF(T163&lt;&gt;"",1-T169/$A163,"")</f>
        <v>2.403705783267827</v>
      </c>
      <c r="U170" s="3">
        <f t="shared" ref="U170" si="627">IF(U163&lt;&gt;"",1-U169/$A163,"")</f>
        <v>4.6532846715328424E-2</v>
      </c>
      <c r="V170" s="3">
        <f t="shared" ref="V170" si="628">IF(V163&lt;&gt;"",1-V169/$A163,"")</f>
        <v>2.403705783267827</v>
      </c>
      <c r="W170" s="3">
        <f t="shared" ref="W170" si="629">IF(W163&lt;&gt;"",1-W169/$A163,"")</f>
        <v>2.403705783267827</v>
      </c>
      <c r="X170" s="3">
        <f t="shared" ref="X170" si="630">IF(X163&lt;&gt;"",1-X169/$A163,"")</f>
        <v>-3.6987647389107314E-2</v>
      </c>
      <c r="Y170" s="3">
        <f t="shared" ref="Y170" si="631">IF(Y163&lt;&gt;"",1-Y169/$A163,"")</f>
        <v>2.403705783267827</v>
      </c>
      <c r="Z170" s="3">
        <f t="shared" ref="Z170" si="632">IF(Z163&lt;&gt;"",1-Z169/$A163,"")</f>
        <v>-0.16725154407636156</v>
      </c>
      <c r="AA170" s="3" t="str">
        <f t="shared" ref="AA170" si="633">IF(AA163&lt;&gt;"",1-AA169/$A163,"")</f>
        <v/>
      </c>
      <c r="AB170" s="3" t="str">
        <f t="shared" ref="AB170" si="634">IF(AB163&lt;&gt;"",1-AB169/$A163,"")</f>
        <v/>
      </c>
      <c r="AC170" s="3" t="str">
        <f t="shared" ref="AC170" si="635">IF(AC163&lt;&gt;"",1-AC169/$A163,"")</f>
        <v/>
      </c>
      <c r="AD170" s="3">
        <f t="shared" ref="AD170" si="636">IF(AD163&lt;&gt;"",1-AD169/$A163,"")</f>
        <v>2.403705783267827</v>
      </c>
      <c r="AE170" s="3">
        <f t="shared" ref="AE170" si="637">IF(AE163&lt;&gt;"",1-AE169/$A163,"")</f>
        <v>2.403705783267827</v>
      </c>
      <c r="AF170" s="3" t="str">
        <f t="shared" ref="AF170" si="638">IF(AF163&lt;&gt;"",1-AF169/$A163,"")</f>
        <v/>
      </c>
      <c r="AG170" s="3" t="str">
        <f t="shared" ref="AG170" si="639">IF(AG163&lt;&gt;"",1-AG169/$A163,"")</f>
        <v/>
      </c>
      <c r="AH170" s="3">
        <f t="shared" ref="AH170" si="640">IF(AH163&lt;&gt;"",1-AH169/$A163,"")</f>
        <v>-4.4216732172936979E-3</v>
      </c>
      <c r="AI170" s="3" t="str">
        <f t="shared" ref="AI170" si="641">IF(AI163&lt;&gt;"",1-AI169/$A163,"")</f>
        <v/>
      </c>
      <c r="AJ170" s="3" t="str">
        <f t="shared" ref="AJ170" si="642">IF(AJ163&lt;&gt;"",1-AJ169/$A163,"")</f>
        <v/>
      </c>
      <c r="AK170" s="3">
        <f t="shared" ref="AK170" si="643">IF(AK163&lt;&gt;"",1-AK169/$A163,"")</f>
        <v>0.25666760247052223</v>
      </c>
      <c r="AL170" s="3">
        <f t="shared" ref="AL170" si="644">IF(AL163&lt;&gt;"",1-AL169/$A163,"")</f>
        <v>2.403705783267827</v>
      </c>
      <c r="AM170" s="3">
        <f t="shared" ref="AM170" si="645">IF(AM163&lt;&gt;"",1-AM169/$A163,"")</f>
        <v>2.403705783267827</v>
      </c>
      <c r="AN170" s="3">
        <f t="shared" ref="AN170" si="646">IF(AN163&lt;&gt;"",1-AN169/$A163,"")</f>
        <v>0.36271757439640651</v>
      </c>
      <c r="AO170" s="3">
        <f t="shared" ref="AO170" si="647">IF(AO163&lt;&gt;"",1-AO169/$A163,"")</f>
        <v>1.179112857944975E-2</v>
      </c>
    </row>
    <row r="171" spans="1:41" s="48" customFormat="1">
      <c r="A171" s="217"/>
      <c r="B171" s="48" t="s">
        <v>14</v>
      </c>
      <c r="C171" s="197"/>
      <c r="D171" s="2">
        <f t="shared" si="576"/>
        <v>-47.804934104835439</v>
      </c>
      <c r="E171" s="2">
        <f t="shared" si="577"/>
        <v>65.991479503036047</v>
      </c>
      <c r="F171" s="75">
        <f t="shared" si="616"/>
        <v>146.79215335938952</v>
      </c>
      <c r="G171" s="2">
        <f t="shared" si="579"/>
        <v>-1.0968136432708095</v>
      </c>
      <c r="H171" s="2">
        <f t="shared" si="580"/>
        <v>1.3297444487165238</v>
      </c>
      <c r="I171" s="2">
        <f t="shared" si="581"/>
        <v>0.23293080544571421</v>
      </c>
      <c r="J171" s="2" t="str">
        <f>IF(J163&lt;&gt;"",10^6/J169-$A169,"")</f>
        <v/>
      </c>
      <c r="K171" s="2">
        <f t="shared" ref="K171:AO171" si="648">IF(K163&lt;&gt;"",10^6/K169-$A169,"")</f>
        <v>22.587695343520224</v>
      </c>
      <c r="L171" s="2">
        <f t="shared" si="648"/>
        <v>-14.709864776394802</v>
      </c>
      <c r="M171" s="2">
        <f t="shared" si="648"/>
        <v>27.432828759295091</v>
      </c>
      <c r="N171" s="2">
        <f t="shared" si="648"/>
        <v>-120.18528916339136</v>
      </c>
      <c r="O171" s="2">
        <f t="shared" si="648"/>
        <v>8.5672702947910295</v>
      </c>
      <c r="P171" s="2">
        <f t="shared" si="648"/>
        <v>-4.2439769312779418</v>
      </c>
      <c r="Q171" s="2">
        <f t="shared" si="648"/>
        <v>7.1303131251504652</v>
      </c>
      <c r="R171" s="2">
        <f t="shared" si="648"/>
        <v>-120.18528916339136</v>
      </c>
      <c r="S171" s="2" t="str">
        <f t="shared" si="648"/>
        <v/>
      </c>
      <c r="T171" s="2">
        <f t="shared" si="648"/>
        <v>-120.18528916339136</v>
      </c>
      <c r="U171" s="2">
        <f t="shared" si="648"/>
        <v>3.4253107629980377</v>
      </c>
      <c r="V171" s="2">
        <f t="shared" si="648"/>
        <v>-120.18528916339136</v>
      </c>
      <c r="W171" s="2">
        <f t="shared" si="648"/>
        <v>-120.18528916339136</v>
      </c>
      <c r="X171" s="2">
        <f t="shared" si="648"/>
        <v>-2.5033940703287527</v>
      </c>
      <c r="Y171" s="2">
        <f t="shared" si="648"/>
        <v>-120.18528916339136</v>
      </c>
      <c r="Z171" s="2">
        <f t="shared" si="648"/>
        <v>-10.056613798109659</v>
      </c>
      <c r="AA171" s="2" t="str">
        <f t="shared" si="648"/>
        <v/>
      </c>
      <c r="AB171" s="2" t="str">
        <f t="shared" si="648"/>
        <v/>
      </c>
      <c r="AC171" s="2" t="str">
        <f t="shared" si="648"/>
        <v/>
      </c>
      <c r="AD171" s="2">
        <f t="shared" si="648"/>
        <v>-120.18528916339136</v>
      </c>
      <c r="AE171" s="2">
        <f t="shared" si="648"/>
        <v>-120.18528916339136</v>
      </c>
      <c r="AF171" s="2" t="str">
        <f t="shared" si="648"/>
        <v/>
      </c>
      <c r="AG171" s="2" t="str">
        <f t="shared" si="648"/>
        <v/>
      </c>
      <c r="AH171" s="2">
        <f t="shared" si="648"/>
        <v>-0.30897024787182659</v>
      </c>
      <c r="AI171" s="2" t="str">
        <f t="shared" si="648"/>
        <v/>
      </c>
      <c r="AJ171" s="2" t="str">
        <f t="shared" si="648"/>
        <v/>
      </c>
      <c r="AK171" s="2">
        <f t="shared" si="648"/>
        <v>24.234501224673977</v>
      </c>
      <c r="AL171" s="2">
        <f t="shared" si="648"/>
        <v>-120.18528916339136</v>
      </c>
      <c r="AM171" s="2">
        <f t="shared" si="648"/>
        <v>-120.18528916339136</v>
      </c>
      <c r="AN171" s="2">
        <f t="shared" si="648"/>
        <v>39.946869426917004</v>
      </c>
      <c r="AO171" s="2">
        <f t="shared" si="648"/>
        <v>0.83743810933590623</v>
      </c>
    </row>
    <row r="172" spans="1:41">
      <c r="A172" s="218">
        <f>getCCTfromXY(C173,C174,0)</f>
        <v>2450</v>
      </c>
      <c r="B172" s="40" t="str">
        <f>B163</f>
        <v>Ev</v>
      </c>
      <c r="C172" s="40">
        <f>data0!B53</f>
        <v>147.80000000000001</v>
      </c>
      <c r="D172" s="2">
        <f>data0!AH145</f>
        <v>148.95627600750115</v>
      </c>
      <c r="E172" s="2">
        <f>data0!AI145</f>
        <v>6.9804494852335992</v>
      </c>
      <c r="F172" s="3">
        <f>data0!AJ145</f>
        <v>4.6862406018273961E-2</v>
      </c>
      <c r="G172" s="2">
        <f>data0!AK145</f>
        <v>-1.4824996329922975</v>
      </c>
      <c r="H172" s="2">
        <f>data0!AL145</f>
        <v>2.3906166017825692</v>
      </c>
      <c r="I172" s="2">
        <f>data0!AM145</f>
        <v>0.90811696879027171</v>
      </c>
      <c r="J172" s="2" t="str">
        <f>data0!B145</f>
        <v/>
      </c>
      <c r="K172" s="2">
        <f>data0!C145</f>
        <v>165.64385443480518</v>
      </c>
      <c r="L172" s="2">
        <f>data0!D145</f>
        <v>145.32457847903646</v>
      </c>
      <c r="M172" s="2">
        <f>data0!E145</f>
        <v>160.41744399792091</v>
      </c>
      <c r="N172" s="2">
        <f>data0!F145</f>
        <v>156.96870096912605</v>
      </c>
      <c r="O172" s="2">
        <f>data0!G145</f>
        <v>142.6518984515298</v>
      </c>
      <c r="P172" s="2">
        <f>data0!H145</f>
        <v>152.47874492623586</v>
      </c>
      <c r="Q172" s="2">
        <f>data0!I145</f>
        <v>155.30152264024434</v>
      </c>
      <c r="R172" s="2">
        <f>data0!J145</f>
        <v>148.57352695089151</v>
      </c>
      <c r="S172" s="2" t="str">
        <f>data0!K145</f>
        <v/>
      </c>
      <c r="T172" s="2">
        <f>data0!L145</f>
        <v>146.69203799968719</v>
      </c>
      <c r="U172" s="2">
        <f>data0!M145</f>
        <v>145.21072859005801</v>
      </c>
      <c r="V172" s="2">
        <f>data0!N145</f>
        <v>139.39398227190532</v>
      </c>
      <c r="W172" s="2">
        <f>data0!O145</f>
        <v>157.52638263837264</v>
      </c>
      <c r="X172" s="2">
        <f>data0!P145</f>
        <v>150.9034721041092</v>
      </c>
      <c r="Y172" s="2">
        <f>data0!Q145</f>
        <v>149.4518825382728</v>
      </c>
      <c r="Z172" s="2">
        <f>data0!R145</f>
        <v>141.7005247753583</v>
      </c>
      <c r="AA172" s="2" t="str">
        <f>data0!S145</f>
        <v/>
      </c>
      <c r="AB172" s="2" t="str">
        <f>data0!T145</f>
        <v/>
      </c>
      <c r="AC172" s="2" t="str">
        <f>data0!U145</f>
        <v/>
      </c>
      <c r="AD172" s="2">
        <f>data0!V145</f>
        <v>151.44217325921383</v>
      </c>
      <c r="AE172" s="2">
        <f>data0!W145</f>
        <v>148.21369490703754</v>
      </c>
      <c r="AF172" s="2" t="str">
        <f>data0!X145</f>
        <v/>
      </c>
      <c r="AG172" s="2"/>
      <c r="AH172" s="2">
        <f>data0!Z145</f>
        <v>148.81155301466097</v>
      </c>
      <c r="AI172" s="2" t="str">
        <f>data0!AA145</f>
        <v/>
      </c>
      <c r="AJ172" s="2" t="str">
        <f>data0!AB145</f>
        <v/>
      </c>
      <c r="AK172" s="2">
        <f>data0!AC145</f>
        <v>138.60776220752106</v>
      </c>
      <c r="AL172" s="2">
        <f>data0!AD145</f>
        <v>142.93344588975708</v>
      </c>
      <c r="AM172" s="2">
        <f>data0!AE145</f>
        <v>139.84739889582531</v>
      </c>
      <c r="AN172" s="2">
        <f>data0!AF145</f>
        <v>145.91717798609494</v>
      </c>
      <c r="AO172" s="2">
        <f>data0!AG145</f>
        <v>151.98186024486276</v>
      </c>
    </row>
    <row r="173" spans="1:41">
      <c r="A173" s="218"/>
      <c r="B173" s="40" t="str">
        <f t="shared" ref="B173:B177" si="649">B164</f>
        <v>x</v>
      </c>
      <c r="C173" s="40">
        <f>data0!B54</f>
        <v>0.36599999999999999</v>
      </c>
      <c r="D173" s="41">
        <f>data0!AH146</f>
        <v>0.37274229901327616</v>
      </c>
      <c r="E173" s="41">
        <f>data0!AI146</f>
        <v>9.7280975185531412E-3</v>
      </c>
      <c r="F173" s="3">
        <f>data0!AJ146</f>
        <v>2.6098721675284431E-2</v>
      </c>
      <c r="G173" s="2">
        <f>data0!AK146</f>
        <v>-1.7434291853241051</v>
      </c>
      <c r="H173" s="2">
        <f>data0!AL146</f>
        <v>2.0058313720268588</v>
      </c>
      <c r="I173" s="2">
        <f>data0!AM146</f>
        <v>0.26240218670275373</v>
      </c>
      <c r="J173" s="41" t="str">
        <f>data0!B146</f>
        <v/>
      </c>
      <c r="K173" s="41">
        <f>data0!C146</f>
        <v>0.37242883604812976</v>
      </c>
      <c r="L173" s="41">
        <f>data0!D146</f>
        <v>0.37581427690038027</v>
      </c>
      <c r="M173" s="41">
        <f>data0!E146</f>
        <v>0.3845456487012342</v>
      </c>
      <c r="N173" s="41">
        <f>data0!F146</f>
        <v>0.3582966278205143</v>
      </c>
      <c r="O173" s="41">
        <f>data0!G146</f>
        <v>0.37760222739746385</v>
      </c>
      <c r="P173" s="41">
        <f>data0!H146</f>
        <v>0.36817636652401853</v>
      </c>
      <c r="Q173" s="41">
        <f>data0!I146</f>
        <v>0.37068973733146854</v>
      </c>
      <c r="R173" s="41">
        <f>data0!J146</f>
        <v>0.36273186924804057</v>
      </c>
      <c r="S173" s="41" t="str">
        <f>data0!K146</f>
        <v/>
      </c>
      <c r="T173" s="41">
        <f>data0!L146</f>
        <v>0.37275077711091303</v>
      </c>
      <c r="U173" s="41">
        <f>data0!M146</f>
        <v>0.39225522220612669</v>
      </c>
      <c r="V173" s="41">
        <f>data0!N146</f>
        <v>0.37701486772820036</v>
      </c>
      <c r="W173" s="41">
        <f>data0!O146</f>
        <v>0.35826933193796523</v>
      </c>
      <c r="X173" s="41">
        <f>data0!P146</f>
        <v>0.37631236607933977</v>
      </c>
      <c r="Y173" s="41">
        <f>data0!Q146</f>
        <v>0.36771524641993647</v>
      </c>
      <c r="Z173" s="41">
        <f>data0!R146</f>
        <v>0.38965959909582448</v>
      </c>
      <c r="AA173" s="41" t="str">
        <f>data0!S146</f>
        <v/>
      </c>
      <c r="AB173" s="41" t="str">
        <f>data0!T146</f>
        <v/>
      </c>
      <c r="AC173" s="41" t="str">
        <f>data0!U146</f>
        <v/>
      </c>
      <c r="AD173" s="41">
        <f>data0!V146</f>
        <v>0.36882788746554901</v>
      </c>
      <c r="AE173" s="41">
        <f>data0!W146</f>
        <v>0.36823083255219274</v>
      </c>
      <c r="AF173" s="41" t="str">
        <f>data0!X146</f>
        <v/>
      </c>
      <c r="AG173" s="41"/>
      <c r="AH173" s="41">
        <f>data0!Z146</f>
        <v>0.38993723102549305</v>
      </c>
      <c r="AI173" s="41" t="str">
        <f>data0!AA146</f>
        <v/>
      </c>
      <c r="AJ173" s="41" t="str">
        <f>data0!AB146</f>
        <v/>
      </c>
      <c r="AK173" s="41">
        <f>data0!AC146</f>
        <v>0.36808479769308772</v>
      </c>
      <c r="AL173" s="41">
        <f>data0!AD146</f>
        <v>0.36616205921365963</v>
      </c>
      <c r="AM173" s="41">
        <f>data0!AE146</f>
        <v>0.35578204988175161</v>
      </c>
      <c r="AN173" s="41">
        <f>data0!AF146</f>
        <v>0.37999655465573468</v>
      </c>
      <c r="AO173" s="41">
        <f>data0!AG146</f>
        <v>0.37178846426832718</v>
      </c>
    </row>
    <row r="174" spans="1:41">
      <c r="A174" s="218"/>
      <c r="B174" s="40" t="str">
        <f t="shared" si="649"/>
        <v>y</v>
      </c>
      <c r="C174" s="40">
        <f>data0!B55</f>
        <v>0.22939999999999999</v>
      </c>
      <c r="D174" s="41">
        <f>AVERAGE(J174:AO174)</f>
        <v>0.23091031583041746</v>
      </c>
      <c r="E174" s="41">
        <f>STDEV(J174:AO174)</f>
        <v>1.106971149492428E-2</v>
      </c>
      <c r="F174" s="3">
        <f>E174/D174</f>
        <v>4.7939441142395615E-2</v>
      </c>
      <c r="G174" s="2">
        <f>(MIN(J174:AO174)-$D174)/$E174</f>
        <v>-1.7728059320493774</v>
      </c>
      <c r="H174" s="2">
        <f>(MAX(J174:AO174)-$D174)/$E174</f>
        <v>1.6459555873976719</v>
      </c>
      <c r="I174" s="2">
        <f>G174+H174</f>
        <v>-0.12685034465170553</v>
      </c>
      <c r="J174" s="41" t="str">
        <f>data0!B147</f>
        <v/>
      </c>
      <c r="K174" s="41">
        <f>data0!C147</f>
        <v>0.24913056931636832</v>
      </c>
      <c r="L174" s="41">
        <f>data0!D147</f>
        <v>0.2355966933283668</v>
      </c>
      <c r="M174" s="41">
        <f>data0!E147</f>
        <v>0.24768540794737109</v>
      </c>
      <c r="N174" s="41">
        <f>data0!F147</f>
        <v>0.23533527167240287</v>
      </c>
      <c r="O174" s="41">
        <f>data0!G147</f>
        <v>0.23869436672086841</v>
      </c>
      <c r="P174" s="41">
        <f>data0!H147</f>
        <v>0.24360327926161693</v>
      </c>
      <c r="Q174" s="41">
        <f>data0!I147</f>
        <v>0.23801060713296876</v>
      </c>
      <c r="R174" s="41">
        <f>data0!J147</f>
        <v>0.23380833429056355</v>
      </c>
      <c r="S174" s="41" t="str">
        <f>data0!K147</f>
        <v/>
      </c>
      <c r="T174" s="41">
        <f>data0!L147</f>
        <v>0.230641350989713</v>
      </c>
      <c r="U174" s="41">
        <f>data0!M147</f>
        <v>0.23445138973914895</v>
      </c>
      <c r="V174" s="41">
        <f>data0!N147</f>
        <v>0.21450263773863981</v>
      </c>
      <c r="W174" s="41">
        <f>data0!O147</f>
        <v>0.21775540581665415</v>
      </c>
      <c r="X174" s="41">
        <f>data0!P147</f>
        <v>0.22712363910072453</v>
      </c>
      <c r="Y174" s="41">
        <f>data0!Q147</f>
        <v>0.21708001937273827</v>
      </c>
      <c r="Z174" s="41">
        <f>data0!R147</f>
        <v>0.22716421940132014</v>
      </c>
      <c r="AA174" s="41" t="str">
        <f>data0!S147</f>
        <v/>
      </c>
      <c r="AB174" s="41" t="str">
        <f>data0!T147</f>
        <v/>
      </c>
      <c r="AC174" s="41" t="str">
        <f>data0!U147</f>
        <v/>
      </c>
      <c r="AD174" s="41">
        <f>data0!V147</f>
        <v>0.22063871535110219</v>
      </c>
      <c r="AE174" s="41">
        <f>data0!W147</f>
        <v>0.21600995977104162</v>
      </c>
      <c r="AF174" s="41" t="str">
        <f>data0!X147</f>
        <v/>
      </c>
      <c r="AG174" s="41"/>
      <c r="AH174" s="41">
        <f>data0!Z147</f>
        <v>0.23784824328079276</v>
      </c>
      <c r="AI174" s="41" t="str">
        <f>data0!AA147</f>
        <v/>
      </c>
      <c r="AJ174" s="41" t="str">
        <f>data0!AB147</f>
        <v/>
      </c>
      <c r="AK174" s="41">
        <f>data0!AC147</f>
        <v>0.23763757354708998</v>
      </c>
      <c r="AL174" s="41">
        <f>data0!AD147</f>
        <v>0.21128586562614052</v>
      </c>
      <c r="AM174" s="41">
        <f>data0!AE147</f>
        <v>0.21926710540046762</v>
      </c>
      <c r="AN174" s="41">
        <f>data0!AF147</f>
        <v>0.24189399546138396</v>
      </c>
      <c r="AO174" s="41">
        <f>data0!AG147</f>
        <v>0.23577261383211831</v>
      </c>
    </row>
    <row r="175" spans="1:41">
      <c r="A175" s="218"/>
      <c r="B175" s="40" t="str">
        <f t="shared" si="649"/>
        <v>u</v>
      </c>
      <c r="C175" s="41">
        <f>getUVfromXY(C173,C174,0)</f>
        <v>0.29158699808795413</v>
      </c>
      <c r="D175" s="41">
        <f t="shared" ref="D175:D180" si="650">AVERAGE(J175:AO175)</f>
        <v>0.29682544025996194</v>
      </c>
      <c r="E175" s="41">
        <f t="shared" ref="E175:E180" si="651">STDEV(J175:AO175)</f>
        <v>9.6826277847907264E-3</v>
      </c>
      <c r="F175" s="3">
        <f t="shared" ref="F175:F176" si="652">E175/D175</f>
        <v>3.2620612897299534E-2</v>
      </c>
      <c r="G175" s="2">
        <f t="shared" ref="G175:G180" si="653">(MIN(J175:AO175)-$D175)/$E175</f>
        <v>-1.6748846939916155</v>
      </c>
      <c r="H175" s="2">
        <f t="shared" ref="H175:H180" si="654">(MAX(J175:AO175)-$D175)/$E175</f>
        <v>1.8862807692937595</v>
      </c>
      <c r="I175" s="2">
        <f t="shared" ref="I175:I180" si="655">G175+H175</f>
        <v>0.21139607530214399</v>
      </c>
      <c r="J175" s="52" t="str">
        <f>IF(J172&lt;&gt;"",getUVfromXY(J173,J174,0),"")</f>
        <v/>
      </c>
      <c r="K175" s="52">
        <f t="shared" ref="K175" si="656">IF(K172&lt;&gt;"",getUVfromXY(K173,K174,0),"")</f>
        <v>0.28404155479952026</v>
      </c>
      <c r="L175" s="52">
        <f t="shared" ref="L175" si="657">IF(L172&lt;&gt;"",getUVfromXY(L173,L174,0),"")</f>
        <v>0.29617726316485488</v>
      </c>
      <c r="M175" s="52">
        <f t="shared" ref="M175" si="658">IF(M172&lt;&gt;"",getUVfromXY(M173,M174,0),"")</f>
        <v>0.29562619637639997</v>
      </c>
      <c r="N175" s="52">
        <f t="shared" ref="N175" si="659">IF(N172&lt;&gt;"",getUVfromXY(N173,N174,0),"")</f>
        <v>0.28060815518559801</v>
      </c>
      <c r="O175" s="52">
        <f t="shared" ref="O175" si="660">IF(O172&lt;&gt;"",getUVfromXY(O173,O174,0),"")</f>
        <v>0.29562949403431832</v>
      </c>
      <c r="P175" s="52">
        <f t="shared" ref="P175" si="661">IF(P172&lt;&gt;"",getUVfromXY(P173,P174,0),"")</f>
        <v>0.28392860197857761</v>
      </c>
      <c r="Q175" s="52">
        <f t="shared" ref="Q175" si="662">IF(Q172&lt;&gt;"",getUVfromXY(Q173,Q174,0),"")</f>
        <v>0.28989874068795762</v>
      </c>
      <c r="R175" s="52">
        <f t="shared" ref="R175" si="663">IF(R172&lt;&gt;"",getUVfromXY(R173,R174,0),"")</f>
        <v>0.28560236158819768</v>
      </c>
      <c r="S175" s="52" t="str">
        <f t="shared" ref="S175" si="664">IF(S172&lt;&gt;"",getUVfromXY(S173,S174,0),"")</f>
        <v/>
      </c>
      <c r="T175" s="52">
        <f t="shared" ref="T175" si="665">IF(T172&lt;&gt;"",getUVfromXY(T173,T174,0),"")</f>
        <v>0.29688277935844137</v>
      </c>
      <c r="U175" s="52">
        <f t="shared" ref="U175" si="666">IF(U172&lt;&gt;"",getUVfromXY(U173,U174,0),"")</f>
        <v>0.31200042639445974</v>
      </c>
      <c r="V175" s="52">
        <f t="shared" ref="V175" si="667">IF(V172&lt;&gt;"",getUVfromXY(V173,V174,0),"")</f>
        <v>0.31287528444055068</v>
      </c>
      <c r="W175" s="52">
        <f t="shared" ref="W175" si="668">IF(W172&lt;&gt;"",getUVfromXY(W173,W174,0),"")</f>
        <v>0.29267224711635242</v>
      </c>
      <c r="X175" s="52">
        <f t="shared" ref="X175" si="669">IF(X172&lt;&gt;"",getUVfromXY(X173,X174,0),"")</f>
        <v>0.30269297467953088</v>
      </c>
      <c r="Y175" s="52">
        <f t="shared" ref="Y175" si="670">IF(Y172&lt;&gt;"",getUVfromXY(Y173,Y174,0),"")</f>
        <v>0.30205401020727801</v>
      </c>
      <c r="Z175" s="52">
        <f t="shared" ref="Z175" si="671">IF(Z172&lt;&gt;"",getUVfromXY(Z173,Z174,0),"")</f>
        <v>0.31508959484664212</v>
      </c>
      <c r="AA175" s="52" t="str">
        <f t="shared" ref="AA175" si="672">IF(AA172&lt;&gt;"",getUVfromXY(AA173,AA174,0),"")</f>
        <v/>
      </c>
      <c r="AB175" s="52" t="str">
        <f t="shared" ref="AB175" si="673">IF(AB172&lt;&gt;"",getUVfromXY(AB173,AB174,0),"")</f>
        <v/>
      </c>
      <c r="AC175" s="52" t="str">
        <f t="shared" ref="AC175" si="674">IF(AC172&lt;&gt;"",getUVfromXY(AC173,AC174,0),"")</f>
        <v/>
      </c>
      <c r="AD175" s="52">
        <f t="shared" ref="AD175" si="675">IF(AD172&lt;&gt;"",getUVfromXY(AD173,AD174,0),"")</f>
        <v>0.30047024499695246</v>
      </c>
      <c r="AE175" s="52">
        <f t="shared" ref="AE175" si="676">IF(AE172&lt;&gt;"",getUVfromXY(AE173,AE174,0),"")</f>
        <v>0.3033416634899756</v>
      </c>
      <c r="AF175" s="52" t="str">
        <f t="shared" ref="AF175" si="677">IF(AF172&lt;&gt;"",getUVfromXY(AF173,AF174,0),"")</f>
        <v/>
      </c>
      <c r="AG175" s="52" t="str">
        <f t="shared" ref="AG175" si="678">IF(AG172&lt;&gt;"",getUVfromXY(AG173,AG174,0),"")</f>
        <v/>
      </c>
      <c r="AH175" s="52">
        <f t="shared" ref="AH175" si="679">IF(AH172&lt;&gt;"",getUVfromXY(AH173,AH174,0),"")</f>
        <v>0.3073818170000403</v>
      </c>
      <c r="AI175" s="52" t="str">
        <f t="shared" ref="AI175" si="680">IF(AI172&lt;&gt;"",getUVfromXY(AI173,AI174,0),"")</f>
        <v/>
      </c>
      <c r="AJ175" s="52" t="str">
        <f t="shared" ref="AJ175" si="681">IF(AJ172&lt;&gt;"",getUVfromXY(AJ173,AJ174,0),"")</f>
        <v/>
      </c>
      <c r="AK175" s="52">
        <f t="shared" ref="AK175" si="682">IF(AK172&lt;&gt;"",getUVfromXY(AK173,AK174,0),"")</f>
        <v>0.28782026716870651</v>
      </c>
      <c r="AL175" s="52">
        <f t="shared" ref="AL175" si="683">IF(AL172&lt;&gt;"",getUVfromXY(AL173,AL174,0),"")</f>
        <v>0.30493771213878218</v>
      </c>
      <c r="AM175" s="52">
        <f t="shared" ref="AM175" si="684">IF(AM172&lt;&gt;"",getUVfromXY(AM173,AM174,0),"")</f>
        <v>0.28927479703996373</v>
      </c>
      <c r="AN175" s="52">
        <f t="shared" ref="AN175" si="685">IF(AN172&lt;&gt;"",getUVfromXY(AN173,AN174,0),"")</f>
        <v>0.29555990480322653</v>
      </c>
      <c r="AO175" s="52">
        <f t="shared" ref="AO175" si="686">IF(AO172&lt;&gt;"",getUVfromXY(AO173,AO174,0),"")</f>
        <v>0.29241903448279882</v>
      </c>
    </row>
    <row r="176" spans="1:41">
      <c r="A176" s="218"/>
      <c r="B176" s="40" t="str">
        <f t="shared" si="649"/>
        <v>v</v>
      </c>
      <c r="C176" s="41">
        <f>getUVfromXY(C173,C174,1)</f>
        <v>0.27413957934990441</v>
      </c>
      <c r="D176" s="41">
        <f t="shared" si="650"/>
        <v>0.27554109116033543</v>
      </c>
      <c r="E176" s="41">
        <f t="shared" si="651"/>
        <v>6.4455723012206709E-3</v>
      </c>
      <c r="F176" s="3">
        <f t="shared" si="652"/>
        <v>2.3392417711919553E-2</v>
      </c>
      <c r="G176" s="2">
        <f t="shared" si="653"/>
        <v>-1.8003929379831829</v>
      </c>
      <c r="H176" s="2">
        <f t="shared" si="654"/>
        <v>1.563499028348827</v>
      </c>
      <c r="I176" s="2">
        <f t="shared" si="655"/>
        <v>-0.23689390963435586</v>
      </c>
      <c r="J176" s="52" t="str">
        <f>IF(J172&lt;&gt;"",getUVfromXY(J173,J174,1),"")</f>
        <v/>
      </c>
      <c r="K176" s="52">
        <f t="shared" ref="K176:AO176" si="687">IF(K172&lt;&gt;"",getUVfromXY(K173,K174,1),"")</f>
        <v>0.28500787562902086</v>
      </c>
      <c r="L176" s="52">
        <f t="shared" si="687"/>
        <v>0.27850877998648499</v>
      </c>
      <c r="M176" s="52">
        <f t="shared" si="687"/>
        <v>0.28561873719044606</v>
      </c>
      <c r="N176" s="52">
        <f t="shared" si="687"/>
        <v>0.27646225769326177</v>
      </c>
      <c r="O176" s="52">
        <f t="shared" si="687"/>
        <v>0.28031519576388347</v>
      </c>
      <c r="P176" s="52">
        <f t="shared" si="687"/>
        <v>0.28179132940205626</v>
      </c>
      <c r="Q176" s="52">
        <f t="shared" si="687"/>
        <v>0.2792050938944341</v>
      </c>
      <c r="R176" s="52">
        <f t="shared" si="687"/>
        <v>0.27613873260220206</v>
      </c>
      <c r="S176" s="52" t="str">
        <f t="shared" si="687"/>
        <v/>
      </c>
      <c r="T176" s="52">
        <f t="shared" si="687"/>
        <v>0.27554648918855507</v>
      </c>
      <c r="U176" s="52">
        <f t="shared" si="687"/>
        <v>0.27972451133722198</v>
      </c>
      <c r="V176" s="52">
        <f t="shared" si="687"/>
        <v>0.26701562540542234</v>
      </c>
      <c r="W176" s="52">
        <f t="shared" si="687"/>
        <v>0.26682843713146165</v>
      </c>
      <c r="X176" s="52">
        <f t="shared" si="687"/>
        <v>0.27403589199993456</v>
      </c>
      <c r="Y176" s="52">
        <f t="shared" si="687"/>
        <v>0.26747554402134049</v>
      </c>
      <c r="Z176" s="52">
        <f t="shared" si="687"/>
        <v>0.2755369636250648</v>
      </c>
      <c r="AA176" s="52" t="str">
        <f t="shared" si="687"/>
        <v/>
      </c>
      <c r="AB176" s="52" t="str">
        <f t="shared" si="687"/>
        <v/>
      </c>
      <c r="AC176" s="52" t="str">
        <f t="shared" si="687"/>
        <v/>
      </c>
      <c r="AD176" s="52">
        <f t="shared" si="687"/>
        <v>0.26961912768954177</v>
      </c>
      <c r="AE176" s="52">
        <f t="shared" si="687"/>
        <v>0.26691743901454684</v>
      </c>
      <c r="AF176" s="52" t="str">
        <f t="shared" si="687"/>
        <v/>
      </c>
      <c r="AG176" s="52" t="str">
        <f t="shared" si="687"/>
        <v/>
      </c>
      <c r="AH176" s="52">
        <f t="shared" si="687"/>
        <v>0.28123843803390736</v>
      </c>
      <c r="AI176" s="52" t="str">
        <f t="shared" si="687"/>
        <v/>
      </c>
      <c r="AJ176" s="52" t="str">
        <f t="shared" si="687"/>
        <v/>
      </c>
      <c r="AK176" s="52">
        <f t="shared" si="687"/>
        <v>0.27872752557147107</v>
      </c>
      <c r="AL176" s="52">
        <f t="shared" si="687"/>
        <v>0.26393652830795772</v>
      </c>
      <c r="AM176" s="52">
        <f t="shared" si="687"/>
        <v>0.26741841290197943</v>
      </c>
      <c r="AN176" s="52">
        <f t="shared" si="687"/>
        <v>0.28221637299768532</v>
      </c>
      <c r="AO176" s="52">
        <f t="shared" si="687"/>
        <v>0.27815978729983643</v>
      </c>
    </row>
    <row r="177" spans="1:41">
      <c r="A177" s="218"/>
      <c r="B177" s="40" t="str">
        <f t="shared" si="649"/>
        <v>Δxy</v>
      </c>
      <c r="C177" s="40">
        <v>0</v>
      </c>
      <c r="D177" s="41">
        <f t="shared" si="650"/>
        <v>1.4872298598264069E-2</v>
      </c>
      <c r="E177" s="41">
        <f t="shared" si="651"/>
        <v>6.3361279622580801E-3</v>
      </c>
      <c r="F177" s="72">
        <f>ABS(D177)+1.5*E177</f>
        <v>2.437649054165119E-2</v>
      </c>
      <c r="G177" s="2">
        <f t="shared" si="653"/>
        <v>-1.4811361186932199</v>
      </c>
      <c r="H177" s="2">
        <f t="shared" si="654"/>
        <v>1.8725064942489706</v>
      </c>
      <c r="I177" s="2">
        <f t="shared" si="655"/>
        <v>0.39137037555575072</v>
      </c>
      <c r="J177" s="52" t="str">
        <f>IF(J172&lt;&gt;"",((J173-$C173)^2+(J174-$C174)^2)^0.5,"")</f>
        <v/>
      </c>
      <c r="K177" s="52">
        <f t="shared" ref="K177:AO177" si="688">IF(K172&lt;&gt;"",((K173-$C173)^2+(K174-$C174)^2)^0.5,"")</f>
        <v>2.0751513161255206E-2</v>
      </c>
      <c r="L177" s="52">
        <f t="shared" si="688"/>
        <v>1.1606853117152973E-2</v>
      </c>
      <c r="M177" s="52">
        <f t="shared" si="688"/>
        <v>2.6044140023263818E-2</v>
      </c>
      <c r="N177" s="52">
        <f t="shared" si="688"/>
        <v>9.7246795711170928E-3</v>
      </c>
      <c r="O177" s="52">
        <f t="shared" si="688"/>
        <v>1.4865965603500076E-2</v>
      </c>
      <c r="P177" s="52">
        <f t="shared" si="688"/>
        <v>1.4369054006104446E-2</v>
      </c>
      <c r="Q177" s="52">
        <f t="shared" si="688"/>
        <v>9.804906498100955E-3</v>
      </c>
      <c r="R177" s="52">
        <f t="shared" si="688"/>
        <v>5.4876306207015573E-3</v>
      </c>
      <c r="S177" s="52" t="str">
        <f t="shared" si="688"/>
        <v/>
      </c>
      <c r="T177" s="52">
        <f t="shared" si="688"/>
        <v>6.863959781415456E-3</v>
      </c>
      <c r="U177" s="52">
        <f t="shared" si="688"/>
        <v>2.673673935598482E-2</v>
      </c>
      <c r="V177" s="52">
        <f t="shared" si="688"/>
        <v>1.8527242466593579E-2</v>
      </c>
      <c r="W177" s="52">
        <f t="shared" si="688"/>
        <v>1.3977117098320963E-2</v>
      </c>
      <c r="X177" s="52">
        <f t="shared" si="688"/>
        <v>1.0560620867073479E-2</v>
      </c>
      <c r="Y177" s="52">
        <f t="shared" si="688"/>
        <v>1.2438809948592713E-2</v>
      </c>
      <c r="Z177" s="52">
        <f t="shared" si="688"/>
        <v>2.3765002509164024E-2</v>
      </c>
      <c r="AA177" s="52" t="str">
        <f t="shared" si="688"/>
        <v/>
      </c>
      <c r="AB177" s="52" t="str">
        <f t="shared" si="688"/>
        <v/>
      </c>
      <c r="AC177" s="52" t="str">
        <f t="shared" si="688"/>
        <v/>
      </c>
      <c r="AD177" s="52">
        <f t="shared" si="688"/>
        <v>9.2063595528754788E-3</v>
      </c>
      <c r="AE177" s="52">
        <f t="shared" si="688"/>
        <v>1.357460095947746E-2</v>
      </c>
      <c r="AF177" s="52" t="str">
        <f t="shared" si="688"/>
        <v/>
      </c>
      <c r="AG177" s="52" t="str">
        <f t="shared" si="688"/>
        <v/>
      </c>
      <c r="AH177" s="52">
        <f t="shared" si="688"/>
        <v>2.538432279378923E-2</v>
      </c>
      <c r="AI177" s="52" t="str">
        <f t="shared" si="688"/>
        <v/>
      </c>
      <c r="AJ177" s="52" t="str">
        <f t="shared" si="688"/>
        <v/>
      </c>
      <c r="AK177" s="52">
        <f t="shared" si="688"/>
        <v>8.4972936494404228E-3</v>
      </c>
      <c r="AL177" s="52">
        <f t="shared" si="688"/>
        <v>1.8114859295698914E-2</v>
      </c>
      <c r="AM177" s="52">
        <f t="shared" si="688"/>
        <v>1.439034598556423E-2</v>
      </c>
      <c r="AN177" s="52">
        <f t="shared" si="688"/>
        <v>1.876175537683112E-2</v>
      </c>
      <c r="AO177" s="52">
        <f t="shared" si="688"/>
        <v>8.6090955180556736E-3</v>
      </c>
    </row>
    <row r="178" spans="1:41">
      <c r="A178" s="217">
        <f>10^6/A172</f>
        <v>408.16326530612247</v>
      </c>
      <c r="B178" s="48" t="s">
        <v>3</v>
      </c>
      <c r="C178" s="197"/>
      <c r="D178" s="30">
        <f t="shared" si="650"/>
        <v>2332.086956521739</v>
      </c>
      <c r="E178" s="30">
        <f t="shared" si="651"/>
        <v>238.55986728005971</v>
      </c>
      <c r="F178" s="73">
        <f>ABS(D178-A172)+1.5*E178</f>
        <v>475.75284439835053</v>
      </c>
      <c r="G178" s="2">
        <f t="shared" si="653"/>
        <v>-1.6100233492787634</v>
      </c>
      <c r="H178" s="2">
        <f t="shared" si="654"/>
        <v>2.1751900241840674</v>
      </c>
      <c r="I178" s="2">
        <f t="shared" si="655"/>
        <v>0.56516667490530392</v>
      </c>
      <c r="J178" s="30" t="str">
        <f>IF(J172&lt;&gt;"",getCCTfromXY(J173,J174,0),"")</f>
        <v/>
      </c>
      <c r="K178" s="30">
        <f t="shared" ref="K178:AO178" si="689">IF(K172&lt;&gt;"",getCCTfromXY(K173,K174,0),"")</f>
        <v>2612</v>
      </c>
      <c r="L178" s="30">
        <f t="shared" si="689"/>
        <v>2303</v>
      </c>
      <c r="M178" s="30">
        <f t="shared" si="689"/>
        <v>2289</v>
      </c>
      <c r="N178" s="30">
        <f t="shared" si="689"/>
        <v>2851</v>
      </c>
      <c r="O178" s="30">
        <f t="shared" si="689"/>
        <v>2309</v>
      </c>
      <c r="P178" s="30">
        <f t="shared" si="689"/>
        <v>2646</v>
      </c>
      <c r="Q178" s="30">
        <f t="shared" si="689"/>
        <v>2469</v>
      </c>
      <c r="R178" s="30">
        <f t="shared" si="689"/>
        <v>2639</v>
      </c>
      <c r="S178" s="30" t="str">
        <f t="shared" si="689"/>
        <v/>
      </c>
      <c r="T178" s="30">
        <f t="shared" si="689"/>
        <v>2298</v>
      </c>
      <c r="U178" s="30">
        <f t="shared" si="689"/>
        <v>1991</v>
      </c>
      <c r="V178" s="30">
        <f t="shared" si="689"/>
        <v>1993</v>
      </c>
      <c r="W178" s="30">
        <f t="shared" si="689"/>
        <v>2464</v>
      </c>
      <c r="X178" s="30">
        <f t="shared" si="689"/>
        <v>2171</v>
      </c>
      <c r="Y178" s="30">
        <f t="shared" si="689"/>
        <v>2203</v>
      </c>
      <c r="Z178" s="30">
        <f t="shared" si="689"/>
        <v>1948</v>
      </c>
      <c r="AA178" s="30" t="str">
        <f t="shared" si="689"/>
        <v/>
      </c>
      <c r="AB178" s="30" t="str">
        <f t="shared" si="689"/>
        <v/>
      </c>
      <c r="AC178" s="30" t="str">
        <f t="shared" si="689"/>
        <v/>
      </c>
      <c r="AD178" s="30">
        <f t="shared" si="689"/>
        <v>2233</v>
      </c>
      <c r="AE178" s="30">
        <f t="shared" si="689"/>
        <v>2176</v>
      </c>
      <c r="AF178" s="30" t="str">
        <f t="shared" si="689"/>
        <v/>
      </c>
      <c r="AG178" s="30" t="str">
        <f t="shared" si="689"/>
        <v/>
      </c>
      <c r="AH178" s="30">
        <f t="shared" si="689"/>
        <v>2066</v>
      </c>
      <c r="AI178" s="30" t="str">
        <f t="shared" si="689"/>
        <v/>
      </c>
      <c r="AJ178" s="30" t="str">
        <f t="shared" si="689"/>
        <v/>
      </c>
      <c r="AK178" s="30">
        <f t="shared" si="689"/>
        <v>2538</v>
      </c>
      <c r="AL178" s="30">
        <f t="shared" si="689"/>
        <v>2149</v>
      </c>
      <c r="AM178" s="30">
        <f t="shared" si="689"/>
        <v>2583</v>
      </c>
      <c r="AN178" s="30">
        <f t="shared" si="689"/>
        <v>2304</v>
      </c>
      <c r="AO178" s="30">
        <f t="shared" si="689"/>
        <v>2403</v>
      </c>
    </row>
    <row r="179" spans="1:41">
      <c r="A179" s="217"/>
      <c r="B179" s="48" t="s">
        <v>73</v>
      </c>
      <c r="C179" s="197"/>
      <c r="D179" s="3">
        <f t="shared" si="650"/>
        <v>4.8127772848269752E-2</v>
      </c>
      <c r="E179" s="3">
        <f t="shared" si="651"/>
        <v>9.7371374400024482E-2</v>
      </c>
      <c r="F179" s="74">
        <f t="shared" ref="F179:F180" si="690">ABS(D179)+1.5*E179</f>
        <v>0.19418483444830648</v>
      </c>
      <c r="G179" s="2">
        <f t="shared" si="653"/>
        <v>-2.1751900241840643</v>
      </c>
      <c r="H179" s="2">
        <f t="shared" si="654"/>
        <v>1.6100233492787621</v>
      </c>
      <c r="I179" s="2">
        <f t="shared" si="655"/>
        <v>-0.56516667490530215</v>
      </c>
      <c r="J179" s="3" t="str">
        <f>IF(J172&lt;&gt;"",1-J178/$A172,"")</f>
        <v/>
      </c>
      <c r="K179" s="3">
        <f t="shared" ref="K179" si="691">IF(K172&lt;&gt;"",1-K178/$A172,"")</f>
        <v>-6.6122448979591741E-2</v>
      </c>
      <c r="L179" s="3">
        <f t="shared" ref="L179" si="692">IF(L172&lt;&gt;"",1-L178/$A172,"")</f>
        <v>6.0000000000000053E-2</v>
      </c>
      <c r="M179" s="3">
        <f t="shared" ref="M179" si="693">IF(M172&lt;&gt;"",1-M178/$A172,"")</f>
        <v>6.5714285714285725E-2</v>
      </c>
      <c r="N179" s="3">
        <f t="shared" ref="N179" si="694">IF(N172&lt;&gt;"",1-N178/$A172,"")</f>
        <v>-0.16367346938775507</v>
      </c>
      <c r="O179" s="3">
        <f t="shared" ref="O179" si="695">IF(O172&lt;&gt;"",1-O178/$A172,"")</f>
        <v>5.7551020408163289E-2</v>
      </c>
      <c r="P179" s="3">
        <f t="shared" ref="P179" si="696">IF(P172&lt;&gt;"",1-P178/$A172,"")</f>
        <v>-8.0000000000000071E-2</v>
      </c>
      <c r="Q179" s="3">
        <f t="shared" ref="Q179" si="697">IF(Q172&lt;&gt;"",1-Q178/$A172,"")</f>
        <v>-7.7551020408164195E-3</v>
      </c>
      <c r="R179" s="3">
        <f t="shared" ref="R179" si="698">IF(R172&lt;&gt;"",1-R178/$A172,"")</f>
        <v>-7.714285714285718E-2</v>
      </c>
      <c r="S179" s="3" t="str">
        <f t="shared" ref="S179" si="699">IF(S172&lt;&gt;"",1-S178/$A172,"")</f>
        <v/>
      </c>
      <c r="T179" s="3">
        <f t="shared" ref="T179" si="700">IF(T172&lt;&gt;"",1-T178/$A172,"")</f>
        <v>6.2040816326530579E-2</v>
      </c>
      <c r="U179" s="3">
        <f t="shared" ref="U179" si="701">IF(U172&lt;&gt;"",1-U178/$A172,"")</f>
        <v>0.18734693877551023</v>
      </c>
      <c r="V179" s="3">
        <f t="shared" ref="V179" si="702">IF(V172&lt;&gt;"",1-V178/$A172,"")</f>
        <v>0.18653061224489798</v>
      </c>
      <c r="W179" s="3">
        <f t="shared" ref="W179" si="703">IF(W172&lt;&gt;"",1-W178/$A172,"")</f>
        <v>-5.7142857142857828E-3</v>
      </c>
      <c r="X179" s="3">
        <f t="shared" ref="X179" si="704">IF(X172&lt;&gt;"",1-X178/$A172,"")</f>
        <v>0.1138775510204082</v>
      </c>
      <c r="Y179" s="3">
        <f t="shared" ref="Y179" si="705">IF(Y172&lt;&gt;"",1-Y178/$A172,"")</f>
        <v>0.10081632653061223</v>
      </c>
      <c r="Z179" s="3">
        <f t="shared" ref="Z179" si="706">IF(Z172&lt;&gt;"",1-Z178/$A172,"")</f>
        <v>0.20489795918367348</v>
      </c>
      <c r="AA179" s="3" t="str">
        <f t="shared" ref="AA179" si="707">IF(AA172&lt;&gt;"",1-AA178/$A172,"")</f>
        <v/>
      </c>
      <c r="AB179" s="3" t="str">
        <f t="shared" ref="AB179" si="708">IF(AB172&lt;&gt;"",1-AB178/$A172,"")</f>
        <v/>
      </c>
      <c r="AC179" s="3" t="str">
        <f t="shared" ref="AC179" si="709">IF(AC172&lt;&gt;"",1-AC178/$A172,"")</f>
        <v/>
      </c>
      <c r="AD179" s="3">
        <f t="shared" ref="AD179" si="710">IF(AD172&lt;&gt;"",1-AD178/$A172,"")</f>
        <v>8.8571428571428523E-2</v>
      </c>
      <c r="AE179" s="3">
        <f t="shared" ref="AE179" si="711">IF(AE172&lt;&gt;"",1-AE178/$A172,"")</f>
        <v>0.11183673469387756</v>
      </c>
      <c r="AF179" s="3" t="str">
        <f t="shared" ref="AF179" si="712">IF(AF172&lt;&gt;"",1-AF178/$A172,"")</f>
        <v/>
      </c>
      <c r="AG179" s="3" t="str">
        <f t="shared" ref="AG179" si="713">IF(AG172&lt;&gt;"",1-AG178/$A172,"")</f>
        <v/>
      </c>
      <c r="AH179" s="3">
        <f t="shared" ref="AH179" si="714">IF(AH172&lt;&gt;"",1-AH178/$A172,"")</f>
        <v>0.15673469387755101</v>
      </c>
      <c r="AI179" s="3" t="str">
        <f t="shared" ref="AI179" si="715">IF(AI172&lt;&gt;"",1-AI178/$A172,"")</f>
        <v/>
      </c>
      <c r="AJ179" s="3" t="str">
        <f t="shared" ref="AJ179" si="716">IF(AJ172&lt;&gt;"",1-AJ178/$A172,"")</f>
        <v/>
      </c>
      <c r="AK179" s="3">
        <f t="shared" ref="AK179" si="717">IF(AK172&lt;&gt;"",1-AK178/$A172,"")</f>
        <v>-3.5918367346938762E-2</v>
      </c>
      <c r="AL179" s="3">
        <f t="shared" ref="AL179" si="718">IF(AL172&lt;&gt;"",1-AL178/$A172,"")</f>
        <v>0.12285714285714289</v>
      </c>
      <c r="AM179" s="3">
        <f t="shared" ref="AM179" si="719">IF(AM172&lt;&gt;"",1-AM178/$A172,"")</f>
        <v>-5.428571428571427E-2</v>
      </c>
      <c r="AN179" s="3">
        <f t="shared" ref="AN179" si="720">IF(AN172&lt;&gt;"",1-AN178/$A172,"")</f>
        <v>5.9591836734693926E-2</v>
      </c>
      <c r="AO179" s="3">
        <f t="shared" ref="AO179" si="721">IF(AO172&lt;&gt;"",1-AO178/$A172,"")</f>
        <v>1.9183673469387763E-2</v>
      </c>
    </row>
    <row r="180" spans="1:41">
      <c r="A180" s="217"/>
      <c r="B180" s="48" t="s">
        <v>14</v>
      </c>
      <c r="C180" s="197"/>
      <c r="D180" s="2">
        <f t="shared" si="650"/>
        <v>24.908569474244437</v>
      </c>
      <c r="E180" s="2">
        <f t="shared" si="651"/>
        <v>43.92133803955668</v>
      </c>
      <c r="F180" s="75">
        <f t="shared" si="690"/>
        <v>90.790576533579468</v>
      </c>
      <c r="G180" s="2">
        <f t="shared" si="653"/>
        <v>-1.8742077790367748</v>
      </c>
      <c r="H180" s="2">
        <f t="shared" si="654"/>
        <v>1.8277036035333021</v>
      </c>
      <c r="I180" s="2">
        <f t="shared" si="655"/>
        <v>-4.6504175503472744E-2</v>
      </c>
      <c r="J180" s="2" t="str">
        <f>IF(J172&lt;&gt;"",10^6/J178-$A178,"")</f>
        <v/>
      </c>
      <c r="K180" s="2">
        <f t="shared" ref="K180:AO180" si="722">IF(K172&lt;&gt;"",10^6/K178-$A178,"")</f>
        <v>-25.314873269369002</v>
      </c>
      <c r="L180" s="2">
        <f t="shared" si="722"/>
        <v>26.052974381241825</v>
      </c>
      <c r="M180" s="2">
        <f t="shared" si="722"/>
        <v>28.708731198901546</v>
      </c>
      <c r="N180" s="2">
        <f t="shared" si="722"/>
        <v>-57.40914394519649</v>
      </c>
      <c r="O180" s="2">
        <f t="shared" si="722"/>
        <v>24.924651540997502</v>
      </c>
      <c r="P180" s="2">
        <f t="shared" si="722"/>
        <v>-30.234315948601704</v>
      </c>
      <c r="Q180" s="2">
        <f t="shared" si="722"/>
        <v>-3.1409890809300691</v>
      </c>
      <c r="R180" s="2">
        <f t="shared" si="722"/>
        <v>-29.231851891950441</v>
      </c>
      <c r="S180" s="2" t="str">
        <f t="shared" si="722"/>
        <v/>
      </c>
      <c r="T180" s="2">
        <f t="shared" si="722"/>
        <v>26.997744267419762</v>
      </c>
      <c r="U180" s="2">
        <f t="shared" si="722"/>
        <v>94.096905462335599</v>
      </c>
      <c r="V180" s="2">
        <f t="shared" si="722"/>
        <v>93.592881206672303</v>
      </c>
      <c r="W180" s="2">
        <f t="shared" si="722"/>
        <v>-2.3191094619666046</v>
      </c>
      <c r="X180" s="2">
        <f t="shared" si="722"/>
        <v>52.453961778170481</v>
      </c>
      <c r="Y180" s="2">
        <f t="shared" si="722"/>
        <v>45.763198606723677</v>
      </c>
      <c r="Z180" s="2">
        <f t="shared" si="722"/>
        <v>105.18375728114648</v>
      </c>
      <c r="AA180" s="2" t="str">
        <f t="shared" si="722"/>
        <v/>
      </c>
      <c r="AB180" s="2" t="str">
        <f t="shared" si="722"/>
        <v/>
      </c>
      <c r="AC180" s="2" t="str">
        <f t="shared" si="722"/>
        <v/>
      </c>
      <c r="AD180" s="2">
        <f t="shared" si="722"/>
        <v>39.664768728808099</v>
      </c>
      <c r="AE180" s="2">
        <f t="shared" si="722"/>
        <v>51.395558223289299</v>
      </c>
      <c r="AF180" s="2" t="str">
        <f t="shared" si="722"/>
        <v/>
      </c>
      <c r="AG180" s="2" t="str">
        <f t="shared" si="722"/>
        <v/>
      </c>
      <c r="AH180" s="2">
        <f t="shared" si="722"/>
        <v>75.86384021178651</v>
      </c>
      <c r="AI180" s="2" t="str">
        <f t="shared" si="722"/>
        <v/>
      </c>
      <c r="AJ180" s="2" t="str">
        <f t="shared" si="722"/>
        <v/>
      </c>
      <c r="AK180" s="2">
        <f t="shared" si="722"/>
        <v>-14.152232997217823</v>
      </c>
      <c r="AL180" s="2">
        <f t="shared" si="722"/>
        <v>57.169447583593694</v>
      </c>
      <c r="AM180" s="2">
        <f t="shared" si="722"/>
        <v>-21.016536695979198</v>
      </c>
      <c r="AN180" s="2">
        <f t="shared" si="722"/>
        <v>25.864512471655303</v>
      </c>
      <c r="AO180" s="2">
        <f t="shared" si="722"/>
        <v>7.9832182560914475</v>
      </c>
    </row>
    <row r="182" spans="1:41">
      <c r="F182" s="52"/>
      <c r="G182" s="52"/>
    </row>
    <row r="183" spans="1:41">
      <c r="A183" s="14">
        <f>B183-C184</f>
        <v>9</v>
      </c>
      <c r="B183" s="84">
        <f>ROW($J$112)</f>
        <v>112</v>
      </c>
      <c r="C183" s="48" t="s">
        <v>74</v>
      </c>
      <c r="D183" s="48" t="s">
        <v>75</v>
      </c>
      <c r="E183" s="14" t="str">
        <f>B103</f>
        <v>u</v>
      </c>
      <c r="F183" s="52" t="str">
        <f>B104</f>
        <v>v</v>
      </c>
      <c r="G183" s="52"/>
    </row>
    <row r="184" spans="1:41">
      <c r="A184" s="14">
        <v>0</v>
      </c>
      <c r="B184" s="14">
        <v>0</v>
      </c>
      <c r="C184" s="82">
        <f>ROW($J$103)</f>
        <v>103</v>
      </c>
      <c r="D184" s="83">
        <f>COLUMN($J$103)</f>
        <v>10</v>
      </c>
      <c r="E184" s="52">
        <f ca="1">IF(INDIRECT("R"&amp;C184&amp;"C"&amp;D184,0)&lt;&gt;"",INDIRECT("R"&amp;C184&amp;"C"&amp;D184,0),0)</f>
        <v>0</v>
      </c>
      <c r="F184" s="52">
        <f ca="1">IF(INDIRECT("R"&amp;(C184+1)&amp;"C"&amp;D184,0)&lt;&gt;"",INDIRECT("R"&amp;(C184+1)&amp;"C"&amp;D184,0),0)</f>
        <v>0</v>
      </c>
      <c r="G184" s="52"/>
    </row>
    <row r="185" spans="1:41">
      <c r="A185" s="14">
        <f>A184</f>
        <v>0</v>
      </c>
      <c r="B185" s="14">
        <f>B184+1</f>
        <v>1</v>
      </c>
      <c r="C185" s="14">
        <f>C184</f>
        <v>103</v>
      </c>
      <c r="D185" s="14">
        <f>D184+1</f>
        <v>11</v>
      </c>
      <c r="E185" s="52">
        <f t="shared" ref="E185:E220" ca="1" si="723">IF(INDIRECT("R"&amp;C185&amp;"C"&amp;D185,0)&lt;&gt;"",INDIRECT("R"&amp;C185&amp;"C"&amp;D185,0),0)</f>
        <v>0.13511144652337637</v>
      </c>
      <c r="F185" s="52">
        <f t="shared" ref="F185:F220" ca="1" si="724">IF(INDIRECT("R"&amp;(C185+1)&amp;"C"&amp;D185,0)&lt;&gt;"",INDIRECT("R"&amp;(C185+1)&amp;"C"&amp;D185,0),0)</f>
        <v>0.32157684192393388</v>
      </c>
      <c r="G185" s="52"/>
    </row>
    <row r="186" spans="1:41">
      <c r="A186" s="48">
        <f t="shared" ref="A186:A215" si="725">A185</f>
        <v>0</v>
      </c>
      <c r="B186" s="48">
        <f t="shared" ref="B186:B215" si="726">B185+1</f>
        <v>2</v>
      </c>
      <c r="C186" s="48">
        <f t="shared" ref="C186:C215" si="727">C185</f>
        <v>103</v>
      </c>
      <c r="D186" s="48">
        <f t="shared" ref="D186:D215" si="728">D185+1</f>
        <v>12</v>
      </c>
      <c r="E186" s="52">
        <f t="shared" ca="1" si="723"/>
        <v>0.14011787454353605</v>
      </c>
      <c r="F186" s="52">
        <f t="shared" ca="1" si="724"/>
        <v>0.31708744049761595</v>
      </c>
      <c r="G186" s="52"/>
    </row>
    <row r="187" spans="1:41">
      <c r="A187" s="48">
        <f t="shared" si="725"/>
        <v>0</v>
      </c>
      <c r="B187" s="48">
        <f t="shared" si="726"/>
        <v>3</v>
      </c>
      <c r="C187" s="48">
        <f t="shared" si="727"/>
        <v>103</v>
      </c>
      <c r="D187" s="48">
        <f t="shared" si="728"/>
        <v>13</v>
      </c>
      <c r="E187" s="52">
        <f t="shared" ca="1" si="723"/>
        <v>0.1398212732705349</v>
      </c>
      <c r="F187" s="52">
        <f t="shared" ca="1" si="724"/>
        <v>0.32032277989255881</v>
      </c>
      <c r="G187" s="52"/>
    </row>
    <row r="188" spans="1:41">
      <c r="A188" s="48">
        <f t="shared" si="725"/>
        <v>0</v>
      </c>
      <c r="B188" s="48">
        <f t="shared" si="726"/>
        <v>4</v>
      </c>
      <c r="C188" s="48">
        <f t="shared" si="727"/>
        <v>103</v>
      </c>
      <c r="D188" s="48">
        <f t="shared" si="728"/>
        <v>14</v>
      </c>
      <c r="E188" s="52">
        <f t="shared" ca="1" si="723"/>
        <v>0.14262956974254121</v>
      </c>
      <c r="F188" s="52">
        <f t="shared" ca="1" si="724"/>
        <v>0.31417490645512475</v>
      </c>
      <c r="G188" s="52"/>
    </row>
    <row r="189" spans="1:41">
      <c r="A189" s="48">
        <f t="shared" si="725"/>
        <v>0</v>
      </c>
      <c r="B189" s="48">
        <f t="shared" si="726"/>
        <v>5</v>
      </c>
      <c r="C189" s="48">
        <f t="shared" si="727"/>
        <v>103</v>
      </c>
      <c r="D189" s="48">
        <f t="shared" si="728"/>
        <v>15</v>
      </c>
      <c r="E189" s="52">
        <f t="shared" ca="1" si="723"/>
        <v>0.13765861673896215</v>
      </c>
      <c r="F189" s="52">
        <f t="shared" ca="1" si="724"/>
        <v>0.32236088911253319</v>
      </c>
      <c r="G189" s="52"/>
    </row>
    <row r="190" spans="1:41">
      <c r="A190" s="48">
        <f t="shared" si="725"/>
        <v>0</v>
      </c>
      <c r="B190" s="48">
        <f t="shared" si="726"/>
        <v>6</v>
      </c>
      <c r="C190" s="48">
        <f t="shared" si="727"/>
        <v>103</v>
      </c>
      <c r="D190" s="48">
        <f t="shared" si="728"/>
        <v>16</v>
      </c>
      <c r="E190" s="52">
        <f t="shared" ca="1" si="723"/>
        <v>0.14068160948418199</v>
      </c>
      <c r="F190" s="52">
        <f t="shared" ca="1" si="724"/>
        <v>0.31700152425100797</v>
      </c>
      <c r="G190" s="52"/>
    </row>
    <row r="191" spans="1:41">
      <c r="A191" s="48">
        <f t="shared" si="725"/>
        <v>0</v>
      </c>
      <c r="B191" s="48">
        <f t="shared" si="726"/>
        <v>7</v>
      </c>
      <c r="C191" s="48">
        <f t="shared" si="727"/>
        <v>103</v>
      </c>
      <c r="D191" s="48">
        <f t="shared" si="728"/>
        <v>17</v>
      </c>
      <c r="E191" s="52">
        <f t="shared" ca="1" si="723"/>
        <v>0.13606408729915054</v>
      </c>
      <c r="F191" s="52">
        <f t="shared" ca="1" si="724"/>
        <v>0.32625385237471355</v>
      </c>
      <c r="G191" s="52"/>
    </row>
    <row r="192" spans="1:41">
      <c r="A192" s="48">
        <f t="shared" si="725"/>
        <v>0</v>
      </c>
      <c r="B192" s="48">
        <f t="shared" si="726"/>
        <v>8</v>
      </c>
      <c r="C192" s="48">
        <f t="shared" si="727"/>
        <v>103</v>
      </c>
      <c r="D192" s="48">
        <f t="shared" si="728"/>
        <v>18</v>
      </c>
      <c r="E192" s="52">
        <f t="shared" ca="1" si="723"/>
        <v>0.14078434873066556</v>
      </c>
      <c r="F192" s="52">
        <f t="shared" ca="1" si="724"/>
        <v>0.317452008228646</v>
      </c>
      <c r="G192" s="52"/>
    </row>
    <row r="193" spans="1:20">
      <c r="A193" s="48">
        <f t="shared" si="725"/>
        <v>0</v>
      </c>
      <c r="B193" s="48">
        <f t="shared" si="726"/>
        <v>9</v>
      </c>
      <c r="C193" s="48">
        <f t="shared" si="727"/>
        <v>103</v>
      </c>
      <c r="D193" s="48">
        <f t="shared" si="728"/>
        <v>19</v>
      </c>
      <c r="E193" s="52">
        <f t="shared" ca="1" si="723"/>
        <v>0</v>
      </c>
      <c r="F193" s="52">
        <f t="shared" ca="1" si="724"/>
        <v>0</v>
      </c>
      <c r="G193" s="52"/>
    </row>
    <row r="194" spans="1:20">
      <c r="A194" s="48">
        <f t="shared" si="725"/>
        <v>0</v>
      </c>
      <c r="B194" s="48">
        <f t="shared" si="726"/>
        <v>10</v>
      </c>
      <c r="C194" s="48">
        <f t="shared" si="727"/>
        <v>103</v>
      </c>
      <c r="D194" s="48">
        <f t="shared" si="728"/>
        <v>20</v>
      </c>
      <c r="E194" s="52">
        <f t="shared" ca="1" si="723"/>
        <v>0.14024958072892127</v>
      </c>
      <c r="F194" s="52">
        <f t="shared" ca="1" si="724"/>
        <v>0.31810589902864916</v>
      </c>
      <c r="G194" s="52"/>
    </row>
    <row r="195" spans="1:20">
      <c r="A195" s="48">
        <f t="shared" si="725"/>
        <v>0</v>
      </c>
      <c r="B195" s="48">
        <f t="shared" si="726"/>
        <v>11</v>
      </c>
      <c r="C195" s="48">
        <f t="shared" si="727"/>
        <v>103</v>
      </c>
      <c r="D195" s="48">
        <f t="shared" si="728"/>
        <v>21</v>
      </c>
      <c r="E195" s="52">
        <f t="shared" ca="1" si="723"/>
        <v>0.14072628761268283</v>
      </c>
      <c r="F195" s="52">
        <f t="shared" ca="1" si="724"/>
        <v>0.31893406902456978</v>
      </c>
      <c r="G195" s="52"/>
    </row>
    <row r="196" spans="1:20">
      <c r="A196" s="48">
        <f t="shared" si="725"/>
        <v>0</v>
      </c>
      <c r="B196" s="48">
        <f t="shared" si="726"/>
        <v>12</v>
      </c>
      <c r="C196" s="48">
        <f t="shared" si="727"/>
        <v>103</v>
      </c>
      <c r="D196" s="48">
        <f t="shared" si="728"/>
        <v>22</v>
      </c>
      <c r="E196" s="52">
        <f t="shared" ca="1" si="723"/>
        <v>0.13832569267791525</v>
      </c>
      <c r="F196" s="52">
        <f t="shared" ca="1" si="724"/>
        <v>0.32204926579215026</v>
      </c>
      <c r="G196" s="52"/>
    </row>
    <row r="197" spans="1:20">
      <c r="A197" s="48">
        <f t="shared" si="725"/>
        <v>0</v>
      </c>
      <c r="B197" s="48">
        <f t="shared" si="726"/>
        <v>13</v>
      </c>
      <c r="C197" s="48">
        <f t="shared" si="727"/>
        <v>103</v>
      </c>
      <c r="D197" s="48">
        <f t="shared" si="728"/>
        <v>23</v>
      </c>
      <c r="E197" s="52">
        <f t="shared" ca="1" si="723"/>
        <v>0.14252691547809626</v>
      </c>
      <c r="F197" s="52">
        <f t="shared" ca="1" si="724"/>
        <v>0.31534587136609926</v>
      </c>
      <c r="G197" s="52"/>
    </row>
    <row r="198" spans="1:20">
      <c r="A198" s="48">
        <f t="shared" si="725"/>
        <v>0</v>
      </c>
      <c r="B198" s="48">
        <f t="shared" si="726"/>
        <v>14</v>
      </c>
      <c r="C198" s="48">
        <f t="shared" si="727"/>
        <v>103</v>
      </c>
      <c r="D198" s="48">
        <f t="shared" si="728"/>
        <v>24</v>
      </c>
      <c r="E198" s="52">
        <f t="shared" ca="1" si="723"/>
        <v>0.13994780682774988</v>
      </c>
      <c r="F198" s="52">
        <f t="shared" ca="1" si="724"/>
        <v>0.3168271291538598</v>
      </c>
      <c r="G198" s="52"/>
    </row>
    <row r="199" spans="1:20">
      <c r="A199" s="48">
        <f t="shared" si="725"/>
        <v>0</v>
      </c>
      <c r="B199" s="48">
        <f t="shared" si="726"/>
        <v>15</v>
      </c>
      <c r="C199" s="48">
        <f t="shared" si="727"/>
        <v>103</v>
      </c>
      <c r="D199" s="48">
        <f t="shared" si="728"/>
        <v>25</v>
      </c>
      <c r="E199" s="52">
        <f t="shared" ca="1" si="723"/>
        <v>0.14178744755126657</v>
      </c>
      <c r="F199" s="52">
        <f t="shared" ca="1" si="724"/>
        <v>0.31794888682599021</v>
      </c>
      <c r="G199" s="52"/>
    </row>
    <row r="200" spans="1:20">
      <c r="A200" s="48">
        <f t="shared" si="725"/>
        <v>0</v>
      </c>
      <c r="B200" s="48">
        <f t="shared" si="726"/>
        <v>16</v>
      </c>
      <c r="C200" s="48">
        <f t="shared" si="727"/>
        <v>103</v>
      </c>
      <c r="D200" s="48">
        <f t="shared" si="728"/>
        <v>26</v>
      </c>
      <c r="E200" s="52">
        <f t="shared" ca="1" si="723"/>
        <v>0.14032748958254798</v>
      </c>
      <c r="F200" s="52">
        <f t="shared" ca="1" si="724"/>
        <v>0.31813068323850291</v>
      </c>
      <c r="G200" s="52"/>
    </row>
    <row r="201" spans="1:20">
      <c r="A201" s="48">
        <f t="shared" si="725"/>
        <v>0</v>
      </c>
      <c r="B201" s="48">
        <f t="shared" si="726"/>
        <v>17</v>
      </c>
      <c r="C201" s="48">
        <f t="shared" si="727"/>
        <v>103</v>
      </c>
      <c r="D201" s="48">
        <f t="shared" si="728"/>
        <v>27</v>
      </c>
      <c r="E201" s="52">
        <f t="shared" ca="1" si="723"/>
        <v>0</v>
      </c>
      <c r="F201" s="52">
        <f t="shared" ca="1" si="724"/>
        <v>0</v>
      </c>
      <c r="G201" s="52"/>
    </row>
    <row r="202" spans="1:20">
      <c r="A202" s="48">
        <f t="shared" si="725"/>
        <v>0</v>
      </c>
      <c r="B202" s="48">
        <f t="shared" si="726"/>
        <v>18</v>
      </c>
      <c r="C202" s="48">
        <f t="shared" si="727"/>
        <v>103</v>
      </c>
      <c r="D202" s="48">
        <f t="shared" si="728"/>
        <v>28</v>
      </c>
      <c r="E202" s="52">
        <f t="shared" ca="1" si="723"/>
        <v>0</v>
      </c>
      <c r="F202" s="52">
        <f t="shared" ca="1" si="724"/>
        <v>0</v>
      </c>
      <c r="G202" s="52"/>
    </row>
    <row r="203" spans="1:20">
      <c r="A203" s="48">
        <f t="shared" si="725"/>
        <v>0</v>
      </c>
      <c r="B203" s="48">
        <f t="shared" si="726"/>
        <v>19</v>
      </c>
      <c r="C203" s="48">
        <f t="shared" si="727"/>
        <v>103</v>
      </c>
      <c r="D203" s="48">
        <f t="shared" si="728"/>
        <v>29</v>
      </c>
      <c r="E203" s="52">
        <f t="shared" ca="1" si="723"/>
        <v>0</v>
      </c>
      <c r="F203" s="52">
        <f t="shared" ca="1" si="724"/>
        <v>0</v>
      </c>
      <c r="G203" s="52"/>
    </row>
    <row r="204" spans="1:20">
      <c r="A204" s="48">
        <f t="shared" si="725"/>
        <v>0</v>
      </c>
      <c r="B204" s="48">
        <f t="shared" si="726"/>
        <v>20</v>
      </c>
      <c r="C204" s="48">
        <f t="shared" si="727"/>
        <v>103</v>
      </c>
      <c r="D204" s="48">
        <f t="shared" si="728"/>
        <v>30</v>
      </c>
      <c r="E204" s="52">
        <f t="shared" ca="1" si="723"/>
        <v>0.14014209722091253</v>
      </c>
      <c r="F204" s="52">
        <f t="shared" ca="1" si="724"/>
        <v>0.31593023665918635</v>
      </c>
      <c r="G204" s="52"/>
    </row>
    <row r="205" spans="1:20">
      <c r="A205" s="48">
        <f t="shared" si="725"/>
        <v>0</v>
      </c>
      <c r="B205" s="48">
        <f t="shared" si="726"/>
        <v>21</v>
      </c>
      <c r="C205" s="48">
        <f t="shared" si="727"/>
        <v>103</v>
      </c>
      <c r="D205" s="48">
        <f t="shared" si="728"/>
        <v>31</v>
      </c>
      <c r="E205" s="52">
        <f t="shared" ca="1" si="723"/>
        <v>0.14220761199551668</v>
      </c>
      <c r="F205" s="52">
        <f t="shared" ca="1" si="724"/>
        <v>0.31568684230183286</v>
      </c>
      <c r="G205" s="52"/>
    </row>
    <row r="206" spans="1:20">
      <c r="A206" s="48">
        <f t="shared" si="725"/>
        <v>0</v>
      </c>
      <c r="B206" s="48">
        <f t="shared" si="726"/>
        <v>22</v>
      </c>
      <c r="C206" s="48">
        <f t="shared" si="727"/>
        <v>103</v>
      </c>
      <c r="D206" s="48">
        <f t="shared" si="728"/>
        <v>32</v>
      </c>
      <c r="E206" s="52">
        <f t="shared" ca="1" si="723"/>
        <v>0</v>
      </c>
      <c r="F206" s="52">
        <f t="shared" ca="1" si="724"/>
        <v>0</v>
      </c>
      <c r="G206" s="52"/>
    </row>
    <row r="207" spans="1:20" ht="15.75" thickBot="1">
      <c r="A207" s="48">
        <f t="shared" si="725"/>
        <v>0</v>
      </c>
      <c r="B207" s="48">
        <f t="shared" si="726"/>
        <v>23</v>
      </c>
      <c r="C207" s="48">
        <f t="shared" si="727"/>
        <v>103</v>
      </c>
      <c r="D207" s="48">
        <f t="shared" si="728"/>
        <v>33</v>
      </c>
      <c r="E207" s="52">
        <f t="shared" ca="1" si="723"/>
        <v>0</v>
      </c>
      <c r="F207" s="52">
        <f t="shared" ca="1" si="724"/>
        <v>0</v>
      </c>
      <c r="G207" s="52"/>
    </row>
    <row r="208" spans="1:20">
      <c r="A208" s="48">
        <f t="shared" si="725"/>
        <v>0</v>
      </c>
      <c r="B208" s="48">
        <f t="shared" si="726"/>
        <v>24</v>
      </c>
      <c r="C208" s="48">
        <f t="shared" si="727"/>
        <v>103</v>
      </c>
      <c r="D208" s="48">
        <f t="shared" si="728"/>
        <v>34</v>
      </c>
      <c r="E208" s="52">
        <f t="shared" ca="1" si="723"/>
        <v>0.13881029413935189</v>
      </c>
      <c r="F208" s="52">
        <f t="shared" ca="1" si="724"/>
        <v>0.31925679624920239</v>
      </c>
      <c r="G208" s="52"/>
      <c r="K208" s="203" t="s">
        <v>81</v>
      </c>
      <c r="L208" s="201"/>
      <c r="M208" s="201"/>
      <c r="N208" s="201"/>
      <c r="O208" s="201"/>
      <c r="P208" s="221"/>
      <c r="Q208" s="228" t="s">
        <v>95</v>
      </c>
      <c r="R208" s="201"/>
      <c r="S208" s="201"/>
      <c r="T208" s="202"/>
    </row>
    <row r="209" spans="1:21" ht="15.75" thickBot="1">
      <c r="A209" s="48">
        <f t="shared" si="725"/>
        <v>0</v>
      </c>
      <c r="B209" s="48">
        <f t="shared" si="726"/>
        <v>25</v>
      </c>
      <c r="C209" s="48">
        <f t="shared" si="727"/>
        <v>103</v>
      </c>
      <c r="D209" s="48">
        <f t="shared" si="728"/>
        <v>35</v>
      </c>
      <c r="E209" s="52">
        <f t="shared" ca="1" si="723"/>
        <v>0</v>
      </c>
      <c r="F209" s="52">
        <f t="shared" ca="1" si="724"/>
        <v>0</v>
      </c>
      <c r="G209" s="52"/>
      <c r="H209" s="86">
        <f>ROW(A115)-I210</f>
        <v>9</v>
      </c>
      <c r="I209" s="52" t="s">
        <v>74</v>
      </c>
      <c r="J209" s="48" t="s">
        <v>75</v>
      </c>
      <c r="K209" s="168" t="str">
        <f>B108</f>
        <v>MK-1</v>
      </c>
      <c r="L209" s="128" t="s">
        <v>3</v>
      </c>
      <c r="M209" s="128" t="str">
        <f>B105</f>
        <v>Δxy</v>
      </c>
      <c r="N209" s="128" t="str">
        <f>B107</f>
        <v>%/Val</v>
      </c>
      <c r="O209" s="128" t="str">
        <f>B108</f>
        <v>MK-1</v>
      </c>
      <c r="P209" s="169" t="s">
        <v>80</v>
      </c>
      <c r="Q209" s="170" t="str">
        <f>M209</f>
        <v>Δxy</v>
      </c>
      <c r="R209" s="128" t="str">
        <f>N209</f>
        <v>%/Val</v>
      </c>
      <c r="S209" s="128" t="str">
        <f>O209</f>
        <v>MK-1</v>
      </c>
      <c r="T209" s="171" t="str">
        <f>P209</f>
        <v>ΔY</v>
      </c>
    </row>
    <row r="210" spans="1:21" ht="15.75" thickBot="1">
      <c r="A210" s="48">
        <f t="shared" si="725"/>
        <v>0</v>
      </c>
      <c r="B210" s="48">
        <f t="shared" si="726"/>
        <v>26</v>
      </c>
      <c r="C210" s="48">
        <f t="shared" si="727"/>
        <v>103</v>
      </c>
      <c r="D210" s="48">
        <f t="shared" si="728"/>
        <v>36</v>
      </c>
      <c r="E210" s="52">
        <f t="shared" ca="1" si="723"/>
        <v>0</v>
      </c>
      <c r="F210" s="52">
        <f t="shared" ca="1" si="724"/>
        <v>0</v>
      </c>
      <c r="G210" s="52"/>
      <c r="H210" s="86">
        <v>0</v>
      </c>
      <c r="I210" s="86">
        <f>ROW(A106)</f>
        <v>106</v>
      </c>
      <c r="J210" s="86">
        <f>COLUMN(A106)</f>
        <v>1</v>
      </c>
      <c r="K210" s="172">
        <f ca="1">INDIRECT("R"&amp;I210&amp;"C"&amp;J210,0)</f>
        <v>95.419847328244273</v>
      </c>
      <c r="L210" s="173">
        <f ca="1">10^6/K210</f>
        <v>10480</v>
      </c>
      <c r="M210" s="174">
        <f t="shared" ref="M210:M218" ca="1" si="729">INDIRECT("R"&amp;(I210-1)&amp;"C"&amp;(J210+5),0)</f>
        <v>2.2133769130467312E-2</v>
      </c>
      <c r="N210" s="175">
        <f t="shared" ref="N210:N218" ca="1" si="730">INDIRECT("R"&amp;(I210+1)&amp;"C"&amp;(J210+5),0)</f>
        <v>0.10751972857874145</v>
      </c>
      <c r="O210" s="176">
        <f t="shared" ref="O210:O218" ca="1" si="731">INDIRECT("R"&amp;(I210+2)&amp;"C"&amp;(J210+5),0)</f>
        <v>11.42738853889043</v>
      </c>
      <c r="P210" s="177">
        <f ca="1">INDIRECT("R"&amp;(I210-6)&amp;"C"&amp;(J210+5),0)</f>
        <v>4.5748698529736335E-2</v>
      </c>
      <c r="Q210" s="178">
        <v>2.2133769130467312E-2</v>
      </c>
      <c r="R210" s="175">
        <v>0.10751972857874145</v>
      </c>
      <c r="S210" s="176">
        <v>11.42738853889043</v>
      </c>
      <c r="T210" s="179">
        <v>4.5748698529736335E-2</v>
      </c>
    </row>
    <row r="211" spans="1:21" ht="15.75" thickTop="1">
      <c r="A211" s="48">
        <f t="shared" si="725"/>
        <v>0</v>
      </c>
      <c r="B211" s="48">
        <f t="shared" si="726"/>
        <v>27</v>
      </c>
      <c r="C211" s="48">
        <f t="shared" si="727"/>
        <v>103</v>
      </c>
      <c r="D211" s="48">
        <f t="shared" si="728"/>
        <v>37</v>
      </c>
      <c r="E211" s="52">
        <f t="shared" ca="1" si="723"/>
        <v>0.13787216209050582</v>
      </c>
      <c r="F211" s="52">
        <f t="shared" ca="1" si="724"/>
        <v>0.32390191618770697</v>
      </c>
      <c r="G211" s="52"/>
      <c r="H211" s="99">
        <f t="shared" ref="H211:H218" si="732">H210+1</f>
        <v>1</v>
      </c>
      <c r="I211" s="99">
        <f>I210+H$209</f>
        <v>115</v>
      </c>
      <c r="J211" s="100">
        <f>J210</f>
        <v>1</v>
      </c>
      <c r="K211" s="134">
        <f t="shared" ref="K211:K218" ca="1" si="733">INDIRECT("R"&amp;I211&amp;"C"&amp;J211,0)</f>
        <v>144.4043321299639</v>
      </c>
      <c r="L211" s="135">
        <f t="shared" ref="L211:L218" ca="1" si="734">10^6/K211</f>
        <v>6925</v>
      </c>
      <c r="M211" s="136">
        <f t="shared" ca="1" si="729"/>
        <v>1.7603648776017944E-2</v>
      </c>
      <c r="N211" s="137">
        <f t="shared" ca="1" si="730"/>
        <v>3.9502077410470057E-2</v>
      </c>
      <c r="O211" s="138">
        <f t="shared" ca="1" si="731"/>
        <v>5.7829449130330062</v>
      </c>
      <c r="P211" s="146">
        <f t="shared" ref="P211:P218" ca="1" si="735">INDIRECT("R"&amp;(I211-6)&amp;"C"&amp;(J211+5),0)</f>
        <v>5.2469186370161028E-2</v>
      </c>
      <c r="Q211" s="150">
        <v>1.7603648776017944E-2</v>
      </c>
      <c r="R211" s="137">
        <v>3.9502077410470057E-2</v>
      </c>
      <c r="S211" s="138">
        <v>5.7829449130330062</v>
      </c>
      <c r="T211" s="139">
        <v>5.2469186370161028E-2</v>
      </c>
      <c r="U211" s="213"/>
    </row>
    <row r="212" spans="1:21">
      <c r="A212" s="48">
        <f t="shared" si="725"/>
        <v>0</v>
      </c>
      <c r="B212" s="48">
        <f t="shared" si="726"/>
        <v>28</v>
      </c>
      <c r="C212" s="48">
        <f t="shared" si="727"/>
        <v>103</v>
      </c>
      <c r="D212" s="48">
        <f t="shared" si="728"/>
        <v>38</v>
      </c>
      <c r="E212" s="52">
        <f t="shared" ca="1" si="723"/>
        <v>0.13997545606040326</v>
      </c>
      <c r="F212" s="52">
        <f t="shared" ca="1" si="724"/>
        <v>0.32047580460723546</v>
      </c>
      <c r="G212" s="52"/>
      <c r="H212" s="99">
        <f t="shared" si="732"/>
        <v>2</v>
      </c>
      <c r="I212" s="99">
        <f t="shared" ref="I212:I218" si="736">I211+H$209</f>
        <v>124</v>
      </c>
      <c r="J212" s="100">
        <f t="shared" ref="J212:J218" si="737">J211</f>
        <v>1</v>
      </c>
      <c r="K212" s="120">
        <f t="shared" ca="1" si="733"/>
        <v>230.89355806972986</v>
      </c>
      <c r="L212" s="77">
        <f t="shared" ca="1" si="734"/>
        <v>4331</v>
      </c>
      <c r="M212" s="119">
        <f t="shared" ca="1" si="729"/>
        <v>2.1702665736784865E-2</v>
      </c>
      <c r="N212" s="64">
        <f t="shared" ca="1" si="730"/>
        <v>0.10327618231318572</v>
      </c>
      <c r="O212" s="105">
        <f t="shared" ca="1" si="731"/>
        <v>22.697767654284046</v>
      </c>
      <c r="P212" s="147">
        <f t="shared" ca="1" si="735"/>
        <v>5.4824296897578409E-2</v>
      </c>
      <c r="Q212" s="151">
        <v>2.1702665736784865E-2</v>
      </c>
      <c r="R212" s="64">
        <v>0.10327618231318572</v>
      </c>
      <c r="S212" s="105">
        <v>22.697767654284046</v>
      </c>
      <c r="T212" s="121">
        <v>5.4824296897578409E-2</v>
      </c>
      <c r="U212" s="213"/>
    </row>
    <row r="213" spans="1:21">
      <c r="A213" s="48">
        <f t="shared" si="725"/>
        <v>0</v>
      </c>
      <c r="B213" s="48">
        <f t="shared" si="726"/>
        <v>29</v>
      </c>
      <c r="C213" s="48">
        <f t="shared" si="727"/>
        <v>103</v>
      </c>
      <c r="D213" s="48">
        <f t="shared" si="728"/>
        <v>39</v>
      </c>
      <c r="E213" s="52">
        <f t="shared" ca="1" si="723"/>
        <v>0.13866660005185252</v>
      </c>
      <c r="F213" s="52">
        <f t="shared" ca="1" si="724"/>
        <v>0.31744756693945742</v>
      </c>
      <c r="G213" s="52"/>
      <c r="H213" s="99">
        <f t="shared" si="732"/>
        <v>3</v>
      </c>
      <c r="I213" s="99">
        <f t="shared" si="736"/>
        <v>133</v>
      </c>
      <c r="J213" s="100">
        <f t="shared" si="737"/>
        <v>1</v>
      </c>
      <c r="K213" s="120">
        <f t="shared" ca="1" si="733"/>
        <v>63.524329818320417</v>
      </c>
      <c r="L213" s="77">
        <f t="shared" ca="1" si="734"/>
        <v>15742</v>
      </c>
      <c r="M213" s="119">
        <f t="shared" ca="1" si="729"/>
        <v>1.7917047029817047E-2</v>
      </c>
      <c r="N213" s="64">
        <f t="shared" ca="1" si="730"/>
        <v>0.18567830588894293</v>
      </c>
      <c r="O213" s="105">
        <f t="shared" ca="1" si="731"/>
        <v>13.416998175182304</v>
      </c>
      <c r="P213" s="147">
        <f t="shared" ca="1" si="735"/>
        <v>5.401837506440809E-2</v>
      </c>
      <c r="Q213" s="151">
        <v>1.7917047029817047E-2</v>
      </c>
      <c r="R213" s="64">
        <v>0.18567830588894293</v>
      </c>
      <c r="S213" s="105">
        <v>13.416998175182304</v>
      </c>
      <c r="T213" s="121">
        <v>5.401837506440809E-2</v>
      </c>
      <c r="U213" s="213"/>
    </row>
    <row r="214" spans="1:21">
      <c r="A214" s="48">
        <f t="shared" si="725"/>
        <v>0</v>
      </c>
      <c r="B214" s="48">
        <f t="shared" si="726"/>
        <v>30</v>
      </c>
      <c r="C214" s="48">
        <f t="shared" si="727"/>
        <v>103</v>
      </c>
      <c r="D214" s="48">
        <f t="shared" si="728"/>
        <v>40</v>
      </c>
      <c r="E214" s="52">
        <f t="shared" ca="1" si="723"/>
        <v>0.13951455274537783</v>
      </c>
      <c r="F214" s="52">
        <f t="shared" ca="1" si="724"/>
        <v>0.32536467744459358</v>
      </c>
      <c r="H214" s="186">
        <f t="shared" si="732"/>
        <v>4</v>
      </c>
      <c r="I214" s="186">
        <f t="shared" si="736"/>
        <v>142</v>
      </c>
      <c r="J214" s="187">
        <f t="shared" si="737"/>
        <v>1</v>
      </c>
      <c r="K214" s="188">
        <f t="shared" ca="1" si="733"/>
        <v>124.45550715619166</v>
      </c>
      <c r="L214" s="189">
        <f t="shared" ca="1" si="734"/>
        <v>8035</v>
      </c>
      <c r="M214" s="190">
        <f t="shared" ca="1" si="729"/>
        <v>1.7632626298557646E-2</v>
      </c>
      <c r="N214" s="191">
        <f t="shared" ca="1" si="730"/>
        <v>0.11212004412382373</v>
      </c>
      <c r="O214" s="192">
        <f t="shared" ca="1" si="731"/>
        <v>13.052895309373177</v>
      </c>
      <c r="P214" s="193">
        <f t="shared" ca="1" si="735"/>
        <v>5.481520322596934E-2</v>
      </c>
      <c r="Q214" s="194">
        <v>1.7632626298557646E-2</v>
      </c>
      <c r="R214" s="191">
        <v>0.11212004412382373</v>
      </c>
      <c r="S214" s="192">
        <v>13.052895309373177</v>
      </c>
      <c r="T214" s="195">
        <v>5.481520322596934E-2</v>
      </c>
      <c r="U214" s="213"/>
    </row>
    <row r="215" spans="1:21" ht="15.75" thickBot="1">
      <c r="A215" s="48">
        <f t="shared" si="725"/>
        <v>0</v>
      </c>
      <c r="B215" s="48">
        <f t="shared" si="726"/>
        <v>31</v>
      </c>
      <c r="C215" s="48">
        <f t="shared" si="727"/>
        <v>103</v>
      </c>
      <c r="D215" s="48">
        <f t="shared" si="728"/>
        <v>41</v>
      </c>
      <c r="E215" s="52">
        <f t="shared" ca="1" si="723"/>
        <v>0.13462761208487925</v>
      </c>
      <c r="F215" s="52">
        <f t="shared" ca="1" si="724"/>
        <v>0.32735436479512475</v>
      </c>
      <c r="H215" s="99">
        <f t="shared" si="732"/>
        <v>5</v>
      </c>
      <c r="I215" s="99">
        <f t="shared" si="736"/>
        <v>151</v>
      </c>
      <c r="J215" s="100">
        <f t="shared" si="737"/>
        <v>1</v>
      </c>
      <c r="K215" s="140">
        <f t="shared" ca="1" si="733"/>
        <v>268.60059092130001</v>
      </c>
      <c r="L215" s="141">
        <f t="shared" ca="1" si="734"/>
        <v>3723</v>
      </c>
      <c r="M215" s="142">
        <f t="shared" ca="1" si="729"/>
        <v>2.0416203256521763E-2</v>
      </c>
      <c r="N215" s="143">
        <f t="shared" ca="1" si="730"/>
        <v>0.20102389642025337</v>
      </c>
      <c r="O215" s="144">
        <f t="shared" ca="1" si="731"/>
        <v>46.837703311554044</v>
      </c>
      <c r="P215" s="148">
        <f t="shared" ca="1" si="735"/>
        <v>4.3708265865632062E-2</v>
      </c>
      <c r="Q215" s="152">
        <v>2.0416203256521763E-2</v>
      </c>
      <c r="R215" s="143">
        <v>0.20102389642025337</v>
      </c>
      <c r="S215" s="144">
        <v>46.837703311554044</v>
      </c>
      <c r="T215" s="145">
        <v>4.3708265865632062E-2</v>
      </c>
      <c r="U215" s="213"/>
    </row>
    <row r="216" spans="1:21" ht="15.75" thickTop="1">
      <c r="A216" s="48">
        <f>A184+1</f>
        <v>1</v>
      </c>
      <c r="B216" s="48">
        <f>B184</f>
        <v>0</v>
      </c>
      <c r="C216" s="85">
        <f>C184+$A$183</f>
        <v>112</v>
      </c>
      <c r="D216" s="85">
        <f>D184</f>
        <v>10</v>
      </c>
      <c r="E216" s="52">
        <f t="shared" ca="1" si="723"/>
        <v>0</v>
      </c>
      <c r="F216" s="52">
        <f t="shared" ca="1" si="724"/>
        <v>0</v>
      </c>
      <c r="H216" s="86">
        <f t="shared" si="732"/>
        <v>6</v>
      </c>
      <c r="I216" s="86">
        <f t="shared" si="736"/>
        <v>160</v>
      </c>
      <c r="J216" s="48">
        <f t="shared" si="737"/>
        <v>1</v>
      </c>
      <c r="K216" s="129">
        <f t="shared" ca="1" si="733"/>
        <v>-50</v>
      </c>
      <c r="L216" s="130">
        <f t="shared" ca="1" si="734"/>
        <v>-20000</v>
      </c>
      <c r="M216" s="131">
        <f t="shared" ca="1" si="729"/>
        <v>1.884798307639917E-2</v>
      </c>
      <c r="N216" s="132">
        <f t="shared" ca="1" si="730"/>
        <v>0</v>
      </c>
      <c r="O216" s="109">
        <f t="shared" ca="1" si="731"/>
        <v>0</v>
      </c>
      <c r="P216" s="149">
        <f t="shared" ca="1" si="735"/>
        <v>5.2299952560958277E-2</v>
      </c>
      <c r="Q216" s="153">
        <v>1.884798307639917E-2</v>
      </c>
      <c r="R216" s="132">
        <v>0</v>
      </c>
      <c r="S216" s="109">
        <v>0</v>
      </c>
      <c r="T216" s="133">
        <v>5.2299952560958277E-2</v>
      </c>
    </row>
    <row r="217" spans="1:21">
      <c r="A217" s="48">
        <f t="shared" ref="A217:A220" si="738">A185+1</f>
        <v>1</v>
      </c>
      <c r="B217" s="48">
        <f t="shared" ref="B217:B220" si="739">B185</f>
        <v>1</v>
      </c>
      <c r="C217" s="85">
        <f t="shared" ref="C217:C220" si="740">C185+$A$183</f>
        <v>112</v>
      </c>
      <c r="D217" s="85">
        <f t="shared" ref="D217:D220" si="741">D185</f>
        <v>11</v>
      </c>
      <c r="E217" s="52">
        <f t="shared" ca="1" si="723"/>
        <v>0.17020867478016638</v>
      </c>
      <c r="F217" s="52">
        <f t="shared" ca="1" si="724"/>
        <v>0.3271334431507924</v>
      </c>
      <c r="H217" s="86">
        <f t="shared" si="732"/>
        <v>7</v>
      </c>
      <c r="I217" s="86">
        <f t="shared" si="736"/>
        <v>169</v>
      </c>
      <c r="J217" s="48">
        <f t="shared" si="737"/>
        <v>1</v>
      </c>
      <c r="K217" s="120">
        <f t="shared" ca="1" si="733"/>
        <v>70.18528916339136</v>
      </c>
      <c r="L217" s="77">
        <f t="shared" ca="1" si="734"/>
        <v>14247.999999999998</v>
      </c>
      <c r="M217" s="119">
        <f t="shared" ca="1" si="729"/>
        <v>2.1072327262688834E-2</v>
      </c>
      <c r="N217" s="64">
        <f t="shared" ca="1" si="730"/>
        <v>2.8712621892572052</v>
      </c>
      <c r="O217" s="105">
        <f t="shared" ca="1" si="731"/>
        <v>146.79215335938952</v>
      </c>
      <c r="P217" s="147">
        <f t="shared" ca="1" si="735"/>
        <v>3.9998755515790109E-2</v>
      </c>
      <c r="Q217" s="151">
        <v>2.1072327262688834E-2</v>
      </c>
      <c r="R217" s="64">
        <v>2.8712621892572052</v>
      </c>
      <c r="S217" s="105">
        <v>146.79215335938952</v>
      </c>
      <c r="T217" s="121">
        <v>3.9998755515790109E-2</v>
      </c>
    </row>
    <row r="218" spans="1:21" ht="15.75" thickBot="1">
      <c r="A218" s="48">
        <f t="shared" si="738"/>
        <v>1</v>
      </c>
      <c r="B218" s="48">
        <f t="shared" si="739"/>
        <v>2</v>
      </c>
      <c r="C218" s="85">
        <f t="shared" si="740"/>
        <v>112</v>
      </c>
      <c r="D218" s="85">
        <f t="shared" si="741"/>
        <v>12</v>
      </c>
      <c r="E218" s="52">
        <f t="shared" ca="1" si="723"/>
        <v>0.17760886376213358</v>
      </c>
      <c r="F218" s="52">
        <f t="shared" ca="1" si="724"/>
        <v>0.32116493179047645</v>
      </c>
      <c r="H218" s="86">
        <f t="shared" si="732"/>
        <v>8</v>
      </c>
      <c r="I218" s="86">
        <f t="shared" si="736"/>
        <v>178</v>
      </c>
      <c r="J218" s="48">
        <f t="shared" si="737"/>
        <v>1</v>
      </c>
      <c r="K218" s="162">
        <f t="shared" ca="1" si="733"/>
        <v>408.16326530612247</v>
      </c>
      <c r="L218" s="79">
        <f t="shared" ca="1" si="734"/>
        <v>2450</v>
      </c>
      <c r="M218" s="123">
        <f t="shared" ca="1" si="729"/>
        <v>2.437649054165119E-2</v>
      </c>
      <c r="N218" s="69">
        <f t="shared" ca="1" si="730"/>
        <v>0.19418483444830648</v>
      </c>
      <c r="O218" s="107">
        <f t="shared" ca="1" si="731"/>
        <v>90.790576533579468</v>
      </c>
      <c r="P218" s="154">
        <f t="shared" ca="1" si="735"/>
        <v>4.6862406018273961E-2</v>
      </c>
      <c r="Q218" s="155">
        <v>2.437649054165119E-2</v>
      </c>
      <c r="R218" s="69">
        <v>0.19418483444830648</v>
      </c>
      <c r="S218" s="107">
        <v>90.790576533579468</v>
      </c>
      <c r="T218" s="124">
        <v>4.6862406018273961E-2</v>
      </c>
    </row>
    <row r="219" spans="1:21" ht="15.75" thickBot="1">
      <c r="A219" s="48">
        <f t="shared" si="738"/>
        <v>1</v>
      </c>
      <c r="B219" s="48">
        <f t="shared" si="739"/>
        <v>3</v>
      </c>
      <c r="C219" s="85">
        <f t="shared" si="740"/>
        <v>112</v>
      </c>
      <c r="D219" s="85">
        <f t="shared" si="741"/>
        <v>13</v>
      </c>
      <c r="E219" s="52">
        <f t="shared" ca="1" si="723"/>
        <v>0.17608319793989319</v>
      </c>
      <c r="F219" s="52">
        <f t="shared" ca="1" si="724"/>
        <v>0.32580600870086568</v>
      </c>
      <c r="H219" s="86"/>
      <c r="K219" s="225"/>
      <c r="L219" s="226"/>
      <c r="M219" s="226"/>
      <c r="N219" s="226"/>
      <c r="O219" s="226"/>
      <c r="P219" s="226"/>
      <c r="Q219" s="226"/>
      <c r="R219" s="226"/>
      <c r="S219" s="226"/>
      <c r="T219" s="227"/>
    </row>
    <row r="220" spans="1:21">
      <c r="A220" s="48">
        <f t="shared" si="738"/>
        <v>1</v>
      </c>
      <c r="B220" s="48">
        <f t="shared" si="739"/>
        <v>4</v>
      </c>
      <c r="C220" s="85">
        <f t="shared" si="740"/>
        <v>112</v>
      </c>
      <c r="D220" s="85">
        <f t="shared" si="741"/>
        <v>14</v>
      </c>
      <c r="E220" s="52">
        <f t="shared" ca="1" si="723"/>
        <v>0.17681028057904094</v>
      </c>
      <c r="F220" s="52">
        <f t="shared" ca="1" si="724"/>
        <v>0.32166224425488843</v>
      </c>
      <c r="H220" s="86"/>
      <c r="K220" s="214" t="s">
        <v>4</v>
      </c>
      <c r="L220" s="215"/>
      <c r="M220" s="180">
        <f ca="1">MAX(M211:M215)</f>
        <v>2.1702665736784865E-2</v>
      </c>
      <c r="N220" s="181">
        <f ca="1">MAX(N211:N215)</f>
        <v>0.20102389642025337</v>
      </c>
      <c r="O220" s="161">
        <f t="shared" ref="O220:P220" ca="1" si="742">MAX(O211:O215)</f>
        <v>46.837703311554044</v>
      </c>
      <c r="P220" s="181">
        <f t="shared" ca="1" si="742"/>
        <v>5.4824296897578409E-2</v>
      </c>
      <c r="Q220" s="180">
        <f>MAX(Q211:Q215)</f>
        <v>2.1702665736784865E-2</v>
      </c>
      <c r="R220" s="181">
        <f t="shared" ref="R220:T220" si="743">MAX(R211:R215)</f>
        <v>0.20102389642025337</v>
      </c>
      <c r="S220" s="161">
        <f t="shared" si="743"/>
        <v>46.837703311554044</v>
      </c>
      <c r="T220" s="182">
        <f t="shared" si="743"/>
        <v>5.4824296897578409E-2</v>
      </c>
    </row>
    <row r="221" spans="1:21" s="80" customFormat="1" ht="15.75" thickBot="1">
      <c r="A221" s="48">
        <f t="shared" ref="A221:A252" si="744">A189+1</f>
        <v>1</v>
      </c>
      <c r="B221" s="48">
        <f t="shared" ref="B221:B252" si="745">B189</f>
        <v>5</v>
      </c>
      <c r="C221" s="85">
        <f t="shared" ref="C221:C252" si="746">C189+$A$183</f>
        <v>112</v>
      </c>
      <c r="D221" s="85">
        <f t="shared" ref="D221:D252" si="747">D189</f>
        <v>15</v>
      </c>
      <c r="E221" s="52">
        <f t="shared" ref="E221:E248" ca="1" si="748">IF(INDIRECT("R"&amp;C221&amp;"C"&amp;D221,0)&lt;&gt;"",INDIRECT("R"&amp;C221&amp;"C"&amp;D221,0),0)</f>
        <v>0.17384483481861157</v>
      </c>
      <c r="F221" s="52">
        <f t="shared" ref="F221:F248" ca="1" si="749">IF(INDIRECT("R"&amp;(C221+1)&amp;"C"&amp;D221,0)&lt;&gt;"",INDIRECT("R"&amp;(C221+1)&amp;"C"&amp;D221,0),0)</f>
        <v>0.32696393237434762</v>
      </c>
      <c r="H221" s="86"/>
      <c r="I221" s="81"/>
      <c r="K221" s="200"/>
      <c r="L221" s="216"/>
      <c r="M221" s="123">
        <f t="shared" ref="M221:T221" ca="1" si="750">MAX(M210:M218)</f>
        <v>2.437649054165119E-2</v>
      </c>
      <c r="N221" s="69">
        <f t="shared" ca="1" si="750"/>
        <v>2.8712621892572052</v>
      </c>
      <c r="O221" s="107">
        <f t="shared" ca="1" si="750"/>
        <v>146.79215335938952</v>
      </c>
      <c r="P221" s="69">
        <f t="shared" ca="1" si="750"/>
        <v>5.4824296897578409E-2</v>
      </c>
      <c r="Q221" s="123">
        <f t="shared" si="750"/>
        <v>2.437649054165119E-2</v>
      </c>
      <c r="R221" s="69">
        <f t="shared" si="750"/>
        <v>2.8712621892572052</v>
      </c>
      <c r="S221" s="107">
        <f t="shared" si="750"/>
        <v>146.79215335938952</v>
      </c>
      <c r="T221" s="124">
        <f t="shared" si="750"/>
        <v>5.4824296897578409E-2</v>
      </c>
    </row>
    <row r="222" spans="1:21">
      <c r="A222" s="48">
        <f t="shared" si="744"/>
        <v>1</v>
      </c>
      <c r="B222" s="48">
        <f t="shared" si="745"/>
        <v>6</v>
      </c>
      <c r="C222" s="85">
        <f t="shared" si="746"/>
        <v>112</v>
      </c>
      <c r="D222" s="85">
        <f t="shared" si="747"/>
        <v>16</v>
      </c>
      <c r="E222" s="52">
        <f t="shared" ca="1" si="748"/>
        <v>0.17559281510703684</v>
      </c>
      <c r="F222" s="52">
        <f t="shared" ca="1" si="749"/>
        <v>0.32380658582095823</v>
      </c>
      <c r="H222" s="86"/>
      <c r="M222" s="208" t="s">
        <v>83</v>
      </c>
      <c r="N222" s="209"/>
      <c r="O222" s="209"/>
      <c r="P222" s="209"/>
      <c r="Q222" s="209"/>
      <c r="R222" s="209"/>
      <c r="S222" s="209"/>
      <c r="T222" s="209"/>
    </row>
    <row r="223" spans="1:21">
      <c r="A223" s="48">
        <f t="shared" si="744"/>
        <v>1</v>
      </c>
      <c r="B223" s="48">
        <f t="shared" si="745"/>
        <v>7</v>
      </c>
      <c r="C223" s="85">
        <f t="shared" si="746"/>
        <v>112</v>
      </c>
      <c r="D223" s="85">
        <f t="shared" si="747"/>
        <v>17</v>
      </c>
      <c r="E223" s="52">
        <f t="shared" ca="1" si="748"/>
        <v>0.17086459178557939</v>
      </c>
      <c r="F223" s="52">
        <f t="shared" ca="1" si="749"/>
        <v>0.32874785756425717</v>
      </c>
      <c r="M223" s="210"/>
      <c r="N223" s="210"/>
      <c r="O223" s="210"/>
      <c r="P223" s="210"/>
      <c r="Q223" s="210"/>
      <c r="R223" s="210"/>
      <c r="S223" s="210"/>
      <c r="T223" s="210"/>
    </row>
    <row r="224" spans="1:21">
      <c r="A224" s="48">
        <f t="shared" si="744"/>
        <v>1</v>
      </c>
      <c r="B224" s="48">
        <f t="shared" si="745"/>
        <v>8</v>
      </c>
      <c r="C224" s="85">
        <f t="shared" si="746"/>
        <v>112</v>
      </c>
      <c r="D224" s="85">
        <f t="shared" si="747"/>
        <v>18</v>
      </c>
      <c r="E224" s="52">
        <f t="shared" ca="1" si="748"/>
        <v>0.17768802849099738</v>
      </c>
      <c r="F224" s="52">
        <f t="shared" ca="1" si="749"/>
        <v>0.3218663211072646</v>
      </c>
    </row>
    <row r="225" spans="1:6" s="14" customFormat="1">
      <c r="A225" s="48">
        <f t="shared" si="744"/>
        <v>1</v>
      </c>
      <c r="B225" s="48">
        <f t="shared" si="745"/>
        <v>9</v>
      </c>
      <c r="C225" s="85">
        <f t="shared" si="746"/>
        <v>112</v>
      </c>
      <c r="D225" s="85">
        <f t="shared" si="747"/>
        <v>19</v>
      </c>
      <c r="E225" s="52">
        <f t="shared" ca="1" si="748"/>
        <v>0</v>
      </c>
      <c r="F225" s="52">
        <f t="shared" ca="1" si="749"/>
        <v>0</v>
      </c>
    </row>
    <row r="226" spans="1:6" s="14" customFormat="1">
      <c r="A226" s="48">
        <f t="shared" si="744"/>
        <v>1</v>
      </c>
      <c r="B226" s="48">
        <f t="shared" si="745"/>
        <v>10</v>
      </c>
      <c r="C226" s="85">
        <f t="shared" si="746"/>
        <v>112</v>
      </c>
      <c r="D226" s="85">
        <f t="shared" si="747"/>
        <v>20</v>
      </c>
      <c r="E226" s="52">
        <f t="shared" ca="1" si="748"/>
        <v>0.17804138841062547</v>
      </c>
      <c r="F226" s="52">
        <f t="shared" ca="1" si="749"/>
        <v>0.32365646454390284</v>
      </c>
    </row>
    <row r="227" spans="1:6" s="14" customFormat="1">
      <c r="A227" s="48">
        <f t="shared" si="744"/>
        <v>1</v>
      </c>
      <c r="B227" s="48">
        <f t="shared" si="745"/>
        <v>11</v>
      </c>
      <c r="C227" s="85">
        <f t="shared" si="746"/>
        <v>112</v>
      </c>
      <c r="D227" s="85">
        <f t="shared" si="747"/>
        <v>21</v>
      </c>
      <c r="E227" s="52">
        <f t="shared" ca="1" si="748"/>
        <v>0.17989764794815696</v>
      </c>
      <c r="F227" s="52">
        <f t="shared" ca="1" si="749"/>
        <v>0.32324629563972501</v>
      </c>
    </row>
    <row r="228" spans="1:6" s="14" customFormat="1">
      <c r="A228" s="48">
        <f t="shared" si="744"/>
        <v>1</v>
      </c>
      <c r="B228" s="48">
        <f t="shared" si="745"/>
        <v>12</v>
      </c>
      <c r="C228" s="85">
        <f t="shared" si="746"/>
        <v>112</v>
      </c>
      <c r="D228" s="85">
        <f t="shared" si="747"/>
        <v>22</v>
      </c>
      <c r="E228" s="52">
        <f t="shared" ca="1" si="748"/>
        <v>0.17792536811803225</v>
      </c>
      <c r="F228" s="52">
        <f t="shared" ca="1" si="749"/>
        <v>0.32455463263687268</v>
      </c>
    </row>
    <row r="229" spans="1:6" s="14" customFormat="1">
      <c r="A229" s="48">
        <f t="shared" si="744"/>
        <v>1</v>
      </c>
      <c r="B229" s="48">
        <f t="shared" si="745"/>
        <v>13</v>
      </c>
      <c r="C229" s="85">
        <f t="shared" si="746"/>
        <v>112</v>
      </c>
      <c r="D229" s="85">
        <f t="shared" si="747"/>
        <v>23</v>
      </c>
      <c r="E229" s="52">
        <f t="shared" ca="1" si="748"/>
        <v>0.18013086614907797</v>
      </c>
      <c r="F229" s="52">
        <f t="shared" ca="1" si="749"/>
        <v>0.32403258980923971</v>
      </c>
    </row>
    <row r="230" spans="1:6" s="14" customFormat="1">
      <c r="A230" s="48">
        <f t="shared" si="744"/>
        <v>1</v>
      </c>
      <c r="B230" s="48">
        <f t="shared" si="745"/>
        <v>14</v>
      </c>
      <c r="C230" s="85">
        <f t="shared" si="746"/>
        <v>112</v>
      </c>
      <c r="D230" s="85">
        <f t="shared" si="747"/>
        <v>24</v>
      </c>
      <c r="E230" s="52">
        <f t="shared" ca="1" si="748"/>
        <v>0.1776286194364918</v>
      </c>
      <c r="F230" s="52">
        <f t="shared" ca="1" si="749"/>
        <v>0.32148057371459909</v>
      </c>
    </row>
    <row r="231" spans="1:6" s="14" customFormat="1">
      <c r="A231" s="48">
        <f t="shared" si="744"/>
        <v>1</v>
      </c>
      <c r="B231" s="48">
        <f t="shared" si="745"/>
        <v>15</v>
      </c>
      <c r="C231" s="85">
        <f t="shared" si="746"/>
        <v>112</v>
      </c>
      <c r="D231" s="85">
        <f t="shared" si="747"/>
        <v>25</v>
      </c>
      <c r="E231" s="52">
        <f t="shared" ca="1" si="748"/>
        <v>0.1802294259144869</v>
      </c>
      <c r="F231" s="52">
        <f t="shared" ca="1" si="749"/>
        <v>0.32219948330702336</v>
      </c>
    </row>
    <row r="232" spans="1:6" s="14" customFormat="1">
      <c r="A232" s="48">
        <f t="shared" si="744"/>
        <v>1</v>
      </c>
      <c r="B232" s="48">
        <f t="shared" si="745"/>
        <v>16</v>
      </c>
      <c r="C232" s="85">
        <f t="shared" si="746"/>
        <v>112</v>
      </c>
      <c r="D232" s="85">
        <f t="shared" si="747"/>
        <v>26</v>
      </c>
      <c r="E232" s="52">
        <f t="shared" ca="1" si="748"/>
        <v>0.17961840608341109</v>
      </c>
      <c r="F232" s="52">
        <f t="shared" ca="1" si="749"/>
        <v>0.32270124810929501</v>
      </c>
    </row>
    <row r="233" spans="1:6" s="14" customFormat="1">
      <c r="A233" s="48">
        <f t="shared" si="744"/>
        <v>1</v>
      </c>
      <c r="B233" s="48">
        <f t="shared" si="745"/>
        <v>17</v>
      </c>
      <c r="C233" s="85">
        <f t="shared" si="746"/>
        <v>112</v>
      </c>
      <c r="D233" s="85">
        <f t="shared" si="747"/>
        <v>27</v>
      </c>
      <c r="E233" s="52">
        <f t="shared" ca="1" si="748"/>
        <v>0</v>
      </c>
      <c r="F233" s="52">
        <f t="shared" ca="1" si="749"/>
        <v>0</v>
      </c>
    </row>
    <row r="234" spans="1:6" s="14" customFormat="1">
      <c r="A234" s="48">
        <f t="shared" si="744"/>
        <v>1</v>
      </c>
      <c r="B234" s="48">
        <f t="shared" si="745"/>
        <v>18</v>
      </c>
      <c r="C234" s="85">
        <f t="shared" si="746"/>
        <v>112</v>
      </c>
      <c r="D234" s="85">
        <f t="shared" si="747"/>
        <v>28</v>
      </c>
      <c r="E234" s="52">
        <f t="shared" ca="1" si="748"/>
        <v>0</v>
      </c>
      <c r="F234" s="52">
        <f t="shared" ca="1" si="749"/>
        <v>0</v>
      </c>
    </row>
    <row r="235" spans="1:6" s="14" customFormat="1">
      <c r="A235" s="48">
        <f t="shared" si="744"/>
        <v>1</v>
      </c>
      <c r="B235" s="48">
        <f t="shared" si="745"/>
        <v>19</v>
      </c>
      <c r="C235" s="85">
        <f t="shared" si="746"/>
        <v>112</v>
      </c>
      <c r="D235" s="85">
        <f t="shared" si="747"/>
        <v>29</v>
      </c>
      <c r="E235" s="52">
        <f t="shared" ca="1" si="748"/>
        <v>0</v>
      </c>
      <c r="F235" s="52">
        <f t="shared" ca="1" si="749"/>
        <v>0</v>
      </c>
    </row>
    <row r="236" spans="1:6" s="14" customFormat="1">
      <c r="A236" s="48">
        <f t="shared" si="744"/>
        <v>1</v>
      </c>
      <c r="B236" s="48">
        <f t="shared" si="745"/>
        <v>20</v>
      </c>
      <c r="C236" s="85">
        <f t="shared" si="746"/>
        <v>112</v>
      </c>
      <c r="D236" s="85">
        <f t="shared" si="747"/>
        <v>30</v>
      </c>
      <c r="E236" s="52">
        <f t="shared" ca="1" si="748"/>
        <v>0.1778039223547751</v>
      </c>
      <c r="F236" s="52">
        <f t="shared" ca="1" si="749"/>
        <v>0.32371584557692079</v>
      </c>
    </row>
    <row r="237" spans="1:6" s="14" customFormat="1">
      <c r="A237" s="48">
        <f t="shared" si="744"/>
        <v>1</v>
      </c>
      <c r="B237" s="48">
        <f t="shared" si="745"/>
        <v>21</v>
      </c>
      <c r="C237" s="85">
        <f t="shared" si="746"/>
        <v>112</v>
      </c>
      <c r="D237" s="85">
        <f t="shared" si="747"/>
        <v>31</v>
      </c>
      <c r="E237" s="52">
        <f t="shared" ca="1" si="748"/>
        <v>0.18009931910905133</v>
      </c>
      <c r="F237" s="52">
        <f t="shared" ca="1" si="749"/>
        <v>0.32071967352894837</v>
      </c>
    </row>
    <row r="238" spans="1:6" s="14" customFormat="1">
      <c r="A238" s="48">
        <f t="shared" si="744"/>
        <v>1</v>
      </c>
      <c r="B238" s="48">
        <f t="shared" si="745"/>
        <v>22</v>
      </c>
      <c r="C238" s="85">
        <f t="shared" si="746"/>
        <v>112</v>
      </c>
      <c r="D238" s="85">
        <f t="shared" si="747"/>
        <v>32</v>
      </c>
      <c r="E238" s="52">
        <f t="shared" ca="1" si="748"/>
        <v>0</v>
      </c>
      <c r="F238" s="52">
        <f t="shared" ca="1" si="749"/>
        <v>0</v>
      </c>
    </row>
    <row r="239" spans="1:6" s="14" customFormat="1">
      <c r="A239" s="48">
        <f t="shared" si="744"/>
        <v>1</v>
      </c>
      <c r="B239" s="48">
        <f t="shared" si="745"/>
        <v>23</v>
      </c>
      <c r="C239" s="85">
        <f t="shared" si="746"/>
        <v>112</v>
      </c>
      <c r="D239" s="85">
        <f t="shared" si="747"/>
        <v>33</v>
      </c>
      <c r="E239" s="52">
        <f t="shared" ca="1" si="748"/>
        <v>0</v>
      </c>
      <c r="F239" s="52">
        <f t="shared" ca="1" si="749"/>
        <v>0</v>
      </c>
    </row>
    <row r="240" spans="1:6" s="14" customFormat="1">
      <c r="A240" s="48">
        <f t="shared" si="744"/>
        <v>1</v>
      </c>
      <c r="B240" s="48">
        <f t="shared" si="745"/>
        <v>24</v>
      </c>
      <c r="C240" s="85">
        <f t="shared" si="746"/>
        <v>112</v>
      </c>
      <c r="D240" s="85">
        <f t="shared" si="747"/>
        <v>34</v>
      </c>
      <c r="E240" s="52">
        <f t="shared" ca="1" si="748"/>
        <v>0.1767111033503598</v>
      </c>
      <c r="F240" s="52">
        <f t="shared" ca="1" si="749"/>
        <v>0.3243767481818815</v>
      </c>
    </row>
    <row r="241" spans="1:6" s="14" customFormat="1">
      <c r="A241" s="48">
        <f t="shared" si="744"/>
        <v>1</v>
      </c>
      <c r="B241" s="48">
        <f t="shared" si="745"/>
        <v>25</v>
      </c>
      <c r="C241" s="85">
        <f t="shared" si="746"/>
        <v>112</v>
      </c>
      <c r="D241" s="85">
        <f t="shared" si="747"/>
        <v>35</v>
      </c>
      <c r="E241" s="52">
        <f t="shared" ca="1" si="748"/>
        <v>0</v>
      </c>
      <c r="F241" s="52">
        <f t="shared" ca="1" si="749"/>
        <v>0</v>
      </c>
    </row>
    <row r="242" spans="1:6" s="14" customFormat="1">
      <c r="A242" s="48">
        <f t="shared" si="744"/>
        <v>1</v>
      </c>
      <c r="B242" s="48">
        <f t="shared" si="745"/>
        <v>26</v>
      </c>
      <c r="C242" s="85">
        <f t="shared" si="746"/>
        <v>112</v>
      </c>
      <c r="D242" s="85">
        <f t="shared" si="747"/>
        <v>36</v>
      </c>
      <c r="E242" s="52">
        <f t="shared" ca="1" si="748"/>
        <v>0</v>
      </c>
      <c r="F242" s="52">
        <f t="shared" ca="1" si="749"/>
        <v>0</v>
      </c>
    </row>
    <row r="243" spans="1:6" s="14" customFormat="1">
      <c r="A243" s="48">
        <f t="shared" si="744"/>
        <v>1</v>
      </c>
      <c r="B243" s="48">
        <f t="shared" si="745"/>
        <v>27</v>
      </c>
      <c r="C243" s="85">
        <f t="shared" si="746"/>
        <v>112</v>
      </c>
      <c r="D243" s="85">
        <f t="shared" si="747"/>
        <v>37</v>
      </c>
      <c r="E243" s="52">
        <f t="shared" ca="1" si="748"/>
        <v>0.17727311413544869</v>
      </c>
      <c r="F243" s="52">
        <f t="shared" ca="1" si="749"/>
        <v>0.32601729042148819</v>
      </c>
    </row>
    <row r="244" spans="1:6" s="14" customFormat="1">
      <c r="A244" s="48">
        <f t="shared" si="744"/>
        <v>1</v>
      </c>
      <c r="B244" s="48">
        <f t="shared" si="745"/>
        <v>28</v>
      </c>
      <c r="C244" s="85">
        <f t="shared" si="746"/>
        <v>112</v>
      </c>
      <c r="D244" s="85">
        <f t="shared" si="747"/>
        <v>38</v>
      </c>
      <c r="E244" s="52">
        <f t="shared" ca="1" si="748"/>
        <v>0.17807929371925429</v>
      </c>
      <c r="F244" s="52">
        <f t="shared" ca="1" si="749"/>
        <v>0.32194674593716399</v>
      </c>
    </row>
    <row r="245" spans="1:6" s="14" customFormat="1">
      <c r="A245" s="48">
        <f t="shared" si="744"/>
        <v>1</v>
      </c>
      <c r="B245" s="48">
        <f t="shared" si="745"/>
        <v>29</v>
      </c>
      <c r="C245" s="85">
        <f t="shared" si="746"/>
        <v>112</v>
      </c>
      <c r="D245" s="85">
        <f t="shared" si="747"/>
        <v>39</v>
      </c>
      <c r="E245" s="52">
        <f t="shared" ca="1" si="748"/>
        <v>0.17829761653517714</v>
      </c>
      <c r="F245" s="52">
        <f t="shared" ca="1" si="749"/>
        <v>0.31863902618263151</v>
      </c>
    </row>
    <row r="246" spans="1:6" s="14" customFormat="1">
      <c r="A246" s="48">
        <f t="shared" si="744"/>
        <v>1</v>
      </c>
      <c r="B246" s="48">
        <f t="shared" si="745"/>
        <v>30</v>
      </c>
      <c r="C246" s="85">
        <f t="shared" si="746"/>
        <v>112</v>
      </c>
      <c r="D246" s="85">
        <f t="shared" si="747"/>
        <v>40</v>
      </c>
      <c r="E246" s="52">
        <f t="shared" ca="1" si="748"/>
        <v>0.17748097910476143</v>
      </c>
      <c r="F246" s="52">
        <f t="shared" ca="1" si="749"/>
        <v>0.32691844798480912</v>
      </c>
    </row>
    <row r="247" spans="1:6" s="14" customFormat="1">
      <c r="A247" s="48">
        <f t="shared" si="744"/>
        <v>1</v>
      </c>
      <c r="B247" s="48">
        <f t="shared" si="745"/>
        <v>31</v>
      </c>
      <c r="C247" s="85">
        <f t="shared" si="746"/>
        <v>112</v>
      </c>
      <c r="D247" s="85">
        <f t="shared" si="747"/>
        <v>41</v>
      </c>
      <c r="E247" s="52">
        <f t="shared" ca="1" si="748"/>
        <v>0.16894473530162482</v>
      </c>
      <c r="F247" s="52">
        <f t="shared" ca="1" si="749"/>
        <v>0.33338439286940941</v>
      </c>
    </row>
    <row r="248" spans="1:6" s="14" customFormat="1">
      <c r="A248" s="48">
        <f t="shared" si="744"/>
        <v>2</v>
      </c>
      <c r="B248" s="48">
        <f t="shared" si="745"/>
        <v>0</v>
      </c>
      <c r="C248" s="85">
        <f t="shared" si="746"/>
        <v>121</v>
      </c>
      <c r="D248" s="85">
        <f t="shared" si="747"/>
        <v>10</v>
      </c>
      <c r="E248" s="52">
        <f t="shared" ca="1" si="748"/>
        <v>0</v>
      </c>
      <c r="F248" s="52">
        <f t="shared" ca="1" si="749"/>
        <v>0</v>
      </c>
    </row>
    <row r="249" spans="1:6" s="14" customFormat="1">
      <c r="A249" s="48">
        <f t="shared" si="744"/>
        <v>2</v>
      </c>
      <c r="B249" s="48">
        <f t="shared" si="745"/>
        <v>1</v>
      </c>
      <c r="C249" s="85">
        <f t="shared" si="746"/>
        <v>121</v>
      </c>
      <c r="D249" s="85">
        <f t="shared" si="747"/>
        <v>11</v>
      </c>
      <c r="E249" s="52">
        <f t="shared" ref="E249:E312" ca="1" si="751">IF(INDIRECT("R"&amp;C249&amp;"C"&amp;D249,0)&lt;&gt;"",INDIRECT("R"&amp;C249&amp;"C"&amp;D249,0),0)</f>
        <v>0.20733970763877513</v>
      </c>
      <c r="F249" s="52">
        <f t="shared" ref="F249:F312" ca="1" si="752">IF(INDIRECT("R"&amp;(C249+1)&amp;"C"&amp;D249,0)&lt;&gt;"",INDIRECT("R"&amp;(C249+1)&amp;"C"&amp;D249,0),0)</f>
        <v>0.33541647482225878</v>
      </c>
    </row>
    <row r="250" spans="1:6" s="14" customFormat="1">
      <c r="A250" s="48">
        <f t="shared" si="744"/>
        <v>2</v>
      </c>
      <c r="B250" s="48">
        <f t="shared" si="745"/>
        <v>2</v>
      </c>
      <c r="C250" s="85">
        <f t="shared" si="746"/>
        <v>121</v>
      </c>
      <c r="D250" s="85">
        <f t="shared" si="747"/>
        <v>12</v>
      </c>
      <c r="E250" s="52">
        <f t="shared" ca="1" si="751"/>
        <v>0.21583298049294414</v>
      </c>
      <c r="F250" s="52">
        <f t="shared" ca="1" si="752"/>
        <v>0.32902349436662043</v>
      </c>
    </row>
    <row r="251" spans="1:6" s="14" customFormat="1">
      <c r="A251" s="48">
        <f t="shared" si="744"/>
        <v>2</v>
      </c>
      <c r="B251" s="48">
        <f t="shared" si="745"/>
        <v>3</v>
      </c>
      <c r="C251" s="85">
        <f t="shared" si="746"/>
        <v>121</v>
      </c>
      <c r="D251" s="85">
        <f t="shared" si="747"/>
        <v>13</v>
      </c>
      <c r="E251" s="52">
        <f t="shared" ca="1" si="751"/>
        <v>0.21068249817801313</v>
      </c>
      <c r="F251" s="52">
        <f t="shared" ca="1" si="752"/>
        <v>0.33284672029652795</v>
      </c>
    </row>
    <row r="252" spans="1:6" s="14" customFormat="1">
      <c r="A252" s="48">
        <f t="shared" si="744"/>
        <v>2</v>
      </c>
      <c r="B252" s="48">
        <f t="shared" si="745"/>
        <v>4</v>
      </c>
      <c r="C252" s="85">
        <f t="shared" si="746"/>
        <v>121</v>
      </c>
      <c r="D252" s="85">
        <f t="shared" si="747"/>
        <v>14</v>
      </c>
      <c r="E252" s="52">
        <f t="shared" ca="1" si="751"/>
        <v>0.21217922027290992</v>
      </c>
      <c r="F252" s="52">
        <f t="shared" ca="1" si="752"/>
        <v>0.33017408936803655</v>
      </c>
    </row>
    <row r="253" spans="1:6" s="14" customFormat="1">
      <c r="A253" s="48">
        <f t="shared" ref="A253:A284" si="753">A221+1</f>
        <v>2</v>
      </c>
      <c r="B253" s="48">
        <f t="shared" ref="B253:B284" si="754">B221</f>
        <v>5</v>
      </c>
      <c r="C253" s="85">
        <f t="shared" ref="C253:C284" si="755">C221+$A$183</f>
        <v>121</v>
      </c>
      <c r="D253" s="85">
        <f t="shared" ref="D253:D284" si="756">D221</f>
        <v>15</v>
      </c>
      <c r="E253" s="52">
        <f t="shared" ca="1" si="751"/>
        <v>0.21337721111283714</v>
      </c>
      <c r="F253" s="52">
        <f t="shared" ca="1" si="752"/>
        <v>0.3317198895200108</v>
      </c>
    </row>
    <row r="254" spans="1:6" s="14" customFormat="1">
      <c r="A254" s="48">
        <f t="shared" si="753"/>
        <v>2</v>
      </c>
      <c r="B254" s="48">
        <f t="shared" si="754"/>
        <v>6</v>
      </c>
      <c r="C254" s="85">
        <f t="shared" si="755"/>
        <v>121</v>
      </c>
      <c r="D254" s="85">
        <f t="shared" si="756"/>
        <v>16</v>
      </c>
      <c r="E254" s="52">
        <f t="shared" ca="1" si="751"/>
        <v>0.21178852623621336</v>
      </c>
      <c r="F254" s="52">
        <f t="shared" ca="1" si="752"/>
        <v>0.33253607878306318</v>
      </c>
    </row>
    <row r="255" spans="1:6" s="14" customFormat="1">
      <c r="A255" s="48">
        <f t="shared" si="753"/>
        <v>2</v>
      </c>
      <c r="B255" s="48">
        <f t="shared" si="754"/>
        <v>7</v>
      </c>
      <c r="C255" s="85">
        <f t="shared" si="755"/>
        <v>121</v>
      </c>
      <c r="D255" s="85">
        <f t="shared" si="756"/>
        <v>17</v>
      </c>
      <c r="E255" s="52">
        <f t="shared" ca="1" si="751"/>
        <v>0.2110228064685172</v>
      </c>
      <c r="F255" s="52">
        <f t="shared" ca="1" si="752"/>
        <v>0.3337804006214074</v>
      </c>
    </row>
    <row r="256" spans="1:6" s="14" customFormat="1">
      <c r="A256" s="48">
        <f t="shared" si="753"/>
        <v>2</v>
      </c>
      <c r="B256" s="48">
        <f t="shared" si="754"/>
        <v>8</v>
      </c>
      <c r="C256" s="85">
        <f t="shared" si="755"/>
        <v>121</v>
      </c>
      <c r="D256" s="85">
        <f t="shared" si="756"/>
        <v>18</v>
      </c>
      <c r="E256" s="52">
        <f t="shared" ca="1" si="751"/>
        <v>0.2162142802416811</v>
      </c>
      <c r="F256" s="52">
        <f t="shared" ca="1" si="752"/>
        <v>0.32798238622754144</v>
      </c>
    </row>
    <row r="257" spans="1:6" s="14" customFormat="1">
      <c r="A257" s="48">
        <f t="shared" si="753"/>
        <v>2</v>
      </c>
      <c r="B257" s="48">
        <f t="shared" si="754"/>
        <v>9</v>
      </c>
      <c r="C257" s="85">
        <f t="shared" si="755"/>
        <v>121</v>
      </c>
      <c r="D257" s="85">
        <f t="shared" si="756"/>
        <v>19</v>
      </c>
      <c r="E257" s="52">
        <f t="shared" ca="1" si="751"/>
        <v>0</v>
      </c>
      <c r="F257" s="52">
        <f t="shared" ca="1" si="752"/>
        <v>0</v>
      </c>
    </row>
    <row r="258" spans="1:6" s="14" customFormat="1">
      <c r="A258" s="48">
        <f t="shared" si="753"/>
        <v>2</v>
      </c>
      <c r="B258" s="48">
        <f t="shared" si="754"/>
        <v>10</v>
      </c>
      <c r="C258" s="85">
        <f t="shared" si="755"/>
        <v>121</v>
      </c>
      <c r="D258" s="85">
        <f t="shared" si="756"/>
        <v>20</v>
      </c>
      <c r="E258" s="52">
        <f t="shared" ca="1" si="751"/>
        <v>0.22181853046867267</v>
      </c>
      <c r="F258" s="52">
        <f t="shared" ca="1" si="752"/>
        <v>0.32776085843066433</v>
      </c>
    </row>
    <row r="259" spans="1:6" s="14" customFormat="1">
      <c r="A259" s="48">
        <f t="shared" si="753"/>
        <v>2</v>
      </c>
      <c r="B259" s="48">
        <f t="shared" si="754"/>
        <v>11</v>
      </c>
      <c r="C259" s="85">
        <f t="shared" si="755"/>
        <v>121</v>
      </c>
      <c r="D259" s="85">
        <f t="shared" si="756"/>
        <v>21</v>
      </c>
      <c r="E259" s="52">
        <f t="shared" ca="1" si="751"/>
        <v>0.21599342715916009</v>
      </c>
      <c r="F259" s="52">
        <f t="shared" ca="1" si="752"/>
        <v>0.32765828806176744</v>
      </c>
    </row>
    <row r="260" spans="1:6" s="14" customFormat="1">
      <c r="A260" s="48">
        <f t="shared" si="753"/>
        <v>2</v>
      </c>
      <c r="B260" s="48">
        <f t="shared" si="754"/>
        <v>12</v>
      </c>
      <c r="C260" s="85">
        <f t="shared" si="755"/>
        <v>121</v>
      </c>
      <c r="D260" s="85">
        <f t="shared" si="756"/>
        <v>22</v>
      </c>
      <c r="E260" s="52">
        <f t="shared" ca="1" si="751"/>
        <v>0.22853098427978666</v>
      </c>
      <c r="F260" s="52">
        <f t="shared" ca="1" si="752"/>
        <v>0.32875401256283626</v>
      </c>
    </row>
    <row r="261" spans="1:6" s="14" customFormat="1">
      <c r="A261" s="48">
        <f t="shared" si="753"/>
        <v>2</v>
      </c>
      <c r="B261" s="48">
        <f t="shared" si="754"/>
        <v>13</v>
      </c>
      <c r="C261" s="85">
        <f t="shared" si="755"/>
        <v>121</v>
      </c>
      <c r="D261" s="85">
        <f t="shared" si="756"/>
        <v>23</v>
      </c>
      <c r="E261" s="52">
        <f t="shared" ca="1" si="751"/>
        <v>0.22281357288384929</v>
      </c>
      <c r="F261" s="52">
        <f t="shared" ca="1" si="752"/>
        <v>0.33045668441077564</v>
      </c>
    </row>
    <row r="262" spans="1:6" s="14" customFormat="1">
      <c r="A262" s="48">
        <f t="shared" si="753"/>
        <v>2</v>
      </c>
      <c r="B262" s="48">
        <f t="shared" si="754"/>
        <v>14</v>
      </c>
      <c r="C262" s="85">
        <f t="shared" si="755"/>
        <v>121</v>
      </c>
      <c r="D262" s="85">
        <f t="shared" si="756"/>
        <v>24</v>
      </c>
      <c r="E262" s="52">
        <f t="shared" ca="1" si="751"/>
        <v>0.21783077652213892</v>
      </c>
      <c r="F262" s="52">
        <f t="shared" ca="1" si="752"/>
        <v>0.3288653232354467</v>
      </c>
    </row>
    <row r="263" spans="1:6" s="14" customFormat="1">
      <c r="A263" s="48">
        <f t="shared" si="753"/>
        <v>2</v>
      </c>
      <c r="B263" s="48">
        <f t="shared" si="754"/>
        <v>15</v>
      </c>
      <c r="C263" s="85">
        <f t="shared" si="755"/>
        <v>121</v>
      </c>
      <c r="D263" s="85">
        <f t="shared" si="756"/>
        <v>25</v>
      </c>
      <c r="E263" s="52">
        <f t="shared" ca="1" si="751"/>
        <v>0.22718632853399612</v>
      </c>
      <c r="F263" s="52">
        <f t="shared" ca="1" si="752"/>
        <v>0.32721348590171312</v>
      </c>
    </row>
    <row r="264" spans="1:6" s="14" customFormat="1">
      <c r="A264" s="48">
        <f t="shared" si="753"/>
        <v>2</v>
      </c>
      <c r="B264" s="48">
        <f t="shared" si="754"/>
        <v>16</v>
      </c>
      <c r="C264" s="85">
        <f t="shared" si="755"/>
        <v>121</v>
      </c>
      <c r="D264" s="85">
        <f t="shared" si="756"/>
        <v>26</v>
      </c>
      <c r="E264" s="52">
        <f t="shared" ca="1" si="751"/>
        <v>0.21681446707108623</v>
      </c>
      <c r="F264" s="52">
        <f t="shared" ca="1" si="752"/>
        <v>0.32947000211835564</v>
      </c>
    </row>
    <row r="265" spans="1:6" s="14" customFormat="1">
      <c r="A265" s="48">
        <f t="shared" si="753"/>
        <v>2</v>
      </c>
      <c r="B265" s="48">
        <f t="shared" si="754"/>
        <v>17</v>
      </c>
      <c r="C265" s="85">
        <f t="shared" si="755"/>
        <v>121</v>
      </c>
      <c r="D265" s="85">
        <f t="shared" si="756"/>
        <v>27</v>
      </c>
      <c r="E265" s="52">
        <f t="shared" ca="1" si="751"/>
        <v>0</v>
      </c>
      <c r="F265" s="52">
        <f t="shared" ca="1" si="752"/>
        <v>0</v>
      </c>
    </row>
    <row r="266" spans="1:6" s="14" customFormat="1">
      <c r="A266" s="48">
        <f t="shared" si="753"/>
        <v>2</v>
      </c>
      <c r="B266" s="48">
        <f t="shared" si="754"/>
        <v>18</v>
      </c>
      <c r="C266" s="85">
        <f t="shared" si="755"/>
        <v>121</v>
      </c>
      <c r="D266" s="85">
        <f t="shared" si="756"/>
        <v>28</v>
      </c>
      <c r="E266" s="52">
        <f t="shared" ca="1" si="751"/>
        <v>0</v>
      </c>
      <c r="F266" s="52">
        <f t="shared" ca="1" si="752"/>
        <v>0</v>
      </c>
    </row>
    <row r="267" spans="1:6" s="14" customFormat="1">
      <c r="A267" s="48">
        <f t="shared" si="753"/>
        <v>2</v>
      </c>
      <c r="B267" s="48">
        <f t="shared" si="754"/>
        <v>19</v>
      </c>
      <c r="C267" s="85">
        <f t="shared" si="755"/>
        <v>121</v>
      </c>
      <c r="D267" s="85">
        <f t="shared" si="756"/>
        <v>29</v>
      </c>
      <c r="E267" s="52">
        <f t="shared" ca="1" si="751"/>
        <v>0</v>
      </c>
      <c r="F267" s="52">
        <f t="shared" ca="1" si="752"/>
        <v>0</v>
      </c>
    </row>
    <row r="268" spans="1:6" s="14" customFormat="1">
      <c r="A268" s="48">
        <f t="shared" si="753"/>
        <v>2</v>
      </c>
      <c r="B268" s="48">
        <f t="shared" si="754"/>
        <v>20</v>
      </c>
      <c r="C268" s="85">
        <f t="shared" si="755"/>
        <v>121</v>
      </c>
      <c r="D268" s="85">
        <f t="shared" si="756"/>
        <v>30</v>
      </c>
      <c r="E268" s="52">
        <f t="shared" ca="1" si="751"/>
        <v>0.21570366483354808</v>
      </c>
      <c r="F268" s="52">
        <f t="shared" ca="1" si="752"/>
        <v>0.32819567169474478</v>
      </c>
    </row>
    <row r="269" spans="1:6" s="14" customFormat="1">
      <c r="A269" s="48">
        <f t="shared" si="753"/>
        <v>2</v>
      </c>
      <c r="B269" s="48">
        <f t="shared" si="754"/>
        <v>21</v>
      </c>
      <c r="C269" s="85">
        <f t="shared" si="755"/>
        <v>121</v>
      </c>
      <c r="D269" s="85">
        <f t="shared" si="756"/>
        <v>31</v>
      </c>
      <c r="E269" s="52">
        <f t="shared" ca="1" si="751"/>
        <v>0.21924047851897968</v>
      </c>
      <c r="F269" s="52">
        <f t="shared" ca="1" si="752"/>
        <v>0.32638931515951597</v>
      </c>
    </row>
    <row r="270" spans="1:6" s="14" customFormat="1">
      <c r="A270" s="48">
        <f t="shared" si="753"/>
        <v>2</v>
      </c>
      <c r="B270" s="48">
        <f t="shared" si="754"/>
        <v>22</v>
      </c>
      <c r="C270" s="85">
        <f t="shared" si="755"/>
        <v>121</v>
      </c>
      <c r="D270" s="85">
        <f t="shared" si="756"/>
        <v>32</v>
      </c>
      <c r="E270" s="52">
        <f t="shared" ca="1" si="751"/>
        <v>0</v>
      </c>
      <c r="F270" s="52">
        <f t="shared" ca="1" si="752"/>
        <v>0</v>
      </c>
    </row>
    <row r="271" spans="1:6" s="14" customFormat="1">
      <c r="A271" s="48">
        <f t="shared" si="753"/>
        <v>2</v>
      </c>
      <c r="B271" s="48">
        <f t="shared" si="754"/>
        <v>23</v>
      </c>
      <c r="C271" s="85">
        <f t="shared" si="755"/>
        <v>121</v>
      </c>
      <c r="D271" s="85">
        <f t="shared" si="756"/>
        <v>33</v>
      </c>
      <c r="E271" s="52">
        <f t="shared" ca="1" si="751"/>
        <v>0</v>
      </c>
      <c r="F271" s="52">
        <f t="shared" ca="1" si="752"/>
        <v>0</v>
      </c>
    </row>
    <row r="272" spans="1:6" s="14" customFormat="1">
      <c r="A272" s="48">
        <f t="shared" si="753"/>
        <v>2</v>
      </c>
      <c r="B272" s="48">
        <f t="shared" si="754"/>
        <v>24</v>
      </c>
      <c r="C272" s="85">
        <f t="shared" si="755"/>
        <v>121</v>
      </c>
      <c r="D272" s="85">
        <f t="shared" si="756"/>
        <v>34</v>
      </c>
      <c r="E272" s="52">
        <f t="shared" ca="1" si="751"/>
        <v>0.2121581861842626</v>
      </c>
      <c r="F272" s="52">
        <f t="shared" ca="1" si="752"/>
        <v>0.33125597836011306</v>
      </c>
    </row>
    <row r="273" spans="1:6" s="14" customFormat="1">
      <c r="A273" s="48">
        <f t="shared" si="753"/>
        <v>2</v>
      </c>
      <c r="B273" s="48">
        <f t="shared" si="754"/>
        <v>25</v>
      </c>
      <c r="C273" s="85">
        <f t="shared" si="755"/>
        <v>121</v>
      </c>
      <c r="D273" s="85">
        <f t="shared" si="756"/>
        <v>35</v>
      </c>
      <c r="E273" s="52">
        <f t="shared" ca="1" si="751"/>
        <v>0</v>
      </c>
      <c r="F273" s="52">
        <f t="shared" ca="1" si="752"/>
        <v>0</v>
      </c>
    </row>
    <row r="274" spans="1:6" s="14" customFormat="1">
      <c r="A274" s="48">
        <f t="shared" si="753"/>
        <v>2</v>
      </c>
      <c r="B274" s="48">
        <f t="shared" si="754"/>
        <v>26</v>
      </c>
      <c r="C274" s="85">
        <f t="shared" si="755"/>
        <v>121</v>
      </c>
      <c r="D274" s="85">
        <f t="shared" si="756"/>
        <v>36</v>
      </c>
      <c r="E274" s="52">
        <f t="shared" ca="1" si="751"/>
        <v>0</v>
      </c>
      <c r="F274" s="52">
        <f t="shared" ca="1" si="752"/>
        <v>0</v>
      </c>
    </row>
    <row r="275" spans="1:6" s="14" customFormat="1">
      <c r="A275" s="48">
        <f t="shared" si="753"/>
        <v>2</v>
      </c>
      <c r="B275" s="48">
        <f t="shared" si="754"/>
        <v>27</v>
      </c>
      <c r="C275" s="85">
        <f t="shared" si="755"/>
        <v>121</v>
      </c>
      <c r="D275" s="85">
        <f t="shared" si="756"/>
        <v>37</v>
      </c>
      <c r="E275" s="52">
        <f t="shared" ca="1" si="751"/>
        <v>0.21760229668561504</v>
      </c>
      <c r="F275" s="52">
        <f t="shared" ca="1" si="752"/>
        <v>0.33339171205063667</v>
      </c>
    </row>
    <row r="276" spans="1:6" s="14" customFormat="1">
      <c r="A276" s="48">
        <f t="shared" si="753"/>
        <v>2</v>
      </c>
      <c r="B276" s="48">
        <f t="shared" si="754"/>
        <v>28</v>
      </c>
      <c r="C276" s="85">
        <f t="shared" si="755"/>
        <v>121</v>
      </c>
      <c r="D276" s="85">
        <f t="shared" si="756"/>
        <v>38</v>
      </c>
      <c r="E276" s="52">
        <f t="shared" ca="1" si="751"/>
        <v>0.22792736590344537</v>
      </c>
      <c r="F276" s="52">
        <f t="shared" ca="1" si="752"/>
        <v>0.32314256371513322</v>
      </c>
    </row>
    <row r="277" spans="1:6" s="14" customFormat="1">
      <c r="A277" s="48">
        <f t="shared" si="753"/>
        <v>2</v>
      </c>
      <c r="B277" s="48">
        <f t="shared" si="754"/>
        <v>29</v>
      </c>
      <c r="C277" s="85">
        <f t="shared" si="755"/>
        <v>121</v>
      </c>
      <c r="D277" s="85">
        <f t="shared" si="756"/>
        <v>39</v>
      </c>
      <c r="E277" s="52">
        <f t="shared" ca="1" si="751"/>
        <v>0.2204589723164441</v>
      </c>
      <c r="F277" s="52">
        <f t="shared" ca="1" si="752"/>
        <v>0.32512825808723195</v>
      </c>
    </row>
    <row r="278" spans="1:6" s="14" customFormat="1">
      <c r="A278" s="48">
        <f t="shared" si="753"/>
        <v>2</v>
      </c>
      <c r="B278" s="48">
        <f t="shared" si="754"/>
        <v>30</v>
      </c>
      <c r="C278" s="85">
        <f t="shared" si="755"/>
        <v>121</v>
      </c>
      <c r="D278" s="85">
        <f t="shared" si="756"/>
        <v>40</v>
      </c>
      <c r="E278" s="52">
        <f t="shared" ca="1" si="751"/>
        <v>0.22439671170377212</v>
      </c>
      <c r="F278" s="52">
        <f t="shared" ca="1" si="752"/>
        <v>0.33158254423376077</v>
      </c>
    </row>
    <row r="279" spans="1:6" s="14" customFormat="1">
      <c r="A279" s="48">
        <f t="shared" si="753"/>
        <v>2</v>
      </c>
      <c r="B279" s="48">
        <f t="shared" si="754"/>
        <v>31</v>
      </c>
      <c r="C279" s="85">
        <f t="shared" si="755"/>
        <v>121</v>
      </c>
      <c r="D279" s="85">
        <f t="shared" si="756"/>
        <v>41</v>
      </c>
      <c r="E279" s="52">
        <f t="shared" ca="1" si="751"/>
        <v>0.21141748774706037</v>
      </c>
      <c r="F279" s="52">
        <f t="shared" ca="1" si="752"/>
        <v>0.34001226152708858</v>
      </c>
    </row>
    <row r="280" spans="1:6" s="14" customFormat="1">
      <c r="A280" s="48">
        <f t="shared" si="753"/>
        <v>3</v>
      </c>
      <c r="B280" s="48">
        <f t="shared" si="754"/>
        <v>0</v>
      </c>
      <c r="C280" s="85">
        <f t="shared" si="755"/>
        <v>130</v>
      </c>
      <c r="D280" s="85">
        <f t="shared" si="756"/>
        <v>10</v>
      </c>
      <c r="E280" s="52">
        <f t="shared" ca="1" si="751"/>
        <v>0</v>
      </c>
      <c r="F280" s="52">
        <f t="shared" ca="1" si="752"/>
        <v>0</v>
      </c>
    </row>
    <row r="281" spans="1:6" s="14" customFormat="1">
      <c r="A281" s="48">
        <f t="shared" ref="A281:A344" si="757">A249+1</f>
        <v>3</v>
      </c>
      <c r="B281" s="48">
        <f t="shared" ref="B281:B344" si="758">B249</f>
        <v>1</v>
      </c>
      <c r="C281" s="85">
        <f t="shared" ref="C281:C344" si="759">C249+$A$183</f>
        <v>130</v>
      </c>
      <c r="D281" s="85">
        <f t="shared" ref="D281:D344" si="760">D249</f>
        <v>11</v>
      </c>
      <c r="E281" s="52">
        <f t="shared" ca="1" si="751"/>
        <v>0.14813260195535952</v>
      </c>
      <c r="F281" s="52">
        <f t="shared" ca="1" si="752"/>
        <v>0.29999408478406003</v>
      </c>
    </row>
    <row r="282" spans="1:6" s="14" customFormat="1">
      <c r="A282" s="48">
        <f t="shared" si="757"/>
        <v>3</v>
      </c>
      <c r="B282" s="48">
        <f t="shared" si="758"/>
        <v>2</v>
      </c>
      <c r="C282" s="85">
        <f t="shared" si="759"/>
        <v>130</v>
      </c>
      <c r="D282" s="85">
        <f t="shared" si="760"/>
        <v>12</v>
      </c>
      <c r="E282" s="52">
        <f t="shared" ca="1" si="751"/>
        <v>0.15493964396955412</v>
      </c>
      <c r="F282" s="52">
        <f t="shared" ca="1" si="752"/>
        <v>0.29120026978628588</v>
      </c>
    </row>
    <row r="283" spans="1:6" s="14" customFormat="1">
      <c r="A283" s="48">
        <f t="shared" si="757"/>
        <v>3</v>
      </c>
      <c r="B283" s="48">
        <f t="shared" si="758"/>
        <v>3</v>
      </c>
      <c r="C283" s="85">
        <f t="shared" si="759"/>
        <v>130</v>
      </c>
      <c r="D283" s="85">
        <f t="shared" si="760"/>
        <v>13</v>
      </c>
      <c r="E283" s="52">
        <f t="shared" ca="1" si="751"/>
        <v>0.15322252244738502</v>
      </c>
      <c r="F283" s="52">
        <f t="shared" ca="1" si="752"/>
        <v>0.29853509772066361</v>
      </c>
    </row>
    <row r="284" spans="1:6" s="14" customFormat="1">
      <c r="A284" s="48">
        <f t="shared" si="757"/>
        <v>3</v>
      </c>
      <c r="B284" s="48">
        <f t="shared" si="758"/>
        <v>4</v>
      </c>
      <c r="C284" s="85">
        <f t="shared" si="759"/>
        <v>130</v>
      </c>
      <c r="D284" s="85">
        <f t="shared" si="760"/>
        <v>14</v>
      </c>
      <c r="E284" s="52">
        <f t="shared" ca="1" si="751"/>
        <v>0.15635521400851266</v>
      </c>
      <c r="F284" s="52">
        <f t="shared" ca="1" si="752"/>
        <v>0.28910445250314054</v>
      </c>
    </row>
    <row r="285" spans="1:6" s="14" customFormat="1">
      <c r="A285" s="48">
        <f t="shared" si="757"/>
        <v>3</v>
      </c>
      <c r="B285" s="48">
        <f t="shared" si="758"/>
        <v>5</v>
      </c>
      <c r="C285" s="85">
        <f t="shared" si="759"/>
        <v>130</v>
      </c>
      <c r="D285" s="85">
        <f t="shared" si="760"/>
        <v>15</v>
      </c>
      <c r="E285" s="52">
        <f t="shared" ca="1" si="751"/>
        <v>0.15132387593694729</v>
      </c>
      <c r="F285" s="52">
        <f t="shared" ca="1" si="752"/>
        <v>0.30061243067561338</v>
      </c>
    </row>
    <row r="286" spans="1:6" s="14" customFormat="1">
      <c r="A286" s="48">
        <f t="shared" si="757"/>
        <v>3</v>
      </c>
      <c r="B286" s="48">
        <f t="shared" si="758"/>
        <v>6</v>
      </c>
      <c r="C286" s="85">
        <f t="shared" si="759"/>
        <v>130</v>
      </c>
      <c r="D286" s="85">
        <f t="shared" si="760"/>
        <v>16</v>
      </c>
      <c r="E286" s="52">
        <f t="shared" ca="1" si="751"/>
        <v>0.15412485706087914</v>
      </c>
      <c r="F286" s="52">
        <f t="shared" ca="1" si="752"/>
        <v>0.2935893020199758</v>
      </c>
    </row>
    <row r="287" spans="1:6" s="14" customFormat="1">
      <c r="A287" s="48">
        <f t="shared" si="757"/>
        <v>3</v>
      </c>
      <c r="B287" s="48">
        <f t="shared" si="758"/>
        <v>7</v>
      </c>
      <c r="C287" s="85">
        <f t="shared" si="759"/>
        <v>130</v>
      </c>
      <c r="D287" s="85">
        <f t="shared" si="760"/>
        <v>17</v>
      </c>
      <c r="E287" s="52">
        <f t="shared" ca="1" si="751"/>
        <v>0.15034521929943051</v>
      </c>
      <c r="F287" s="52">
        <f t="shared" ca="1" si="752"/>
        <v>0.29855308580383677</v>
      </c>
    </row>
    <row r="288" spans="1:6" s="14" customFormat="1">
      <c r="A288" s="48">
        <f t="shared" si="757"/>
        <v>3</v>
      </c>
      <c r="B288" s="48">
        <f t="shared" si="758"/>
        <v>8</v>
      </c>
      <c r="C288" s="85">
        <f t="shared" si="759"/>
        <v>130</v>
      </c>
      <c r="D288" s="85">
        <f t="shared" si="760"/>
        <v>18</v>
      </c>
      <c r="E288" s="52">
        <f t="shared" ca="1" si="751"/>
        <v>0.15584301113079196</v>
      </c>
      <c r="F288" s="52">
        <f t="shared" ca="1" si="752"/>
        <v>0.29042021208164792</v>
      </c>
    </row>
    <row r="289" spans="1:6" s="14" customFormat="1">
      <c r="A289" s="48">
        <f t="shared" si="757"/>
        <v>3</v>
      </c>
      <c r="B289" s="48">
        <f t="shared" si="758"/>
        <v>9</v>
      </c>
      <c r="C289" s="85">
        <f t="shared" si="759"/>
        <v>130</v>
      </c>
      <c r="D289" s="85">
        <f t="shared" si="760"/>
        <v>19</v>
      </c>
      <c r="E289" s="52">
        <f t="shared" ca="1" si="751"/>
        <v>0</v>
      </c>
      <c r="F289" s="52">
        <f t="shared" ca="1" si="752"/>
        <v>0</v>
      </c>
    </row>
    <row r="290" spans="1:6" s="14" customFormat="1">
      <c r="A290" s="48">
        <f t="shared" si="757"/>
        <v>3</v>
      </c>
      <c r="B290" s="48">
        <f t="shared" si="758"/>
        <v>10</v>
      </c>
      <c r="C290" s="85">
        <f t="shared" si="759"/>
        <v>130</v>
      </c>
      <c r="D290" s="85">
        <f t="shared" si="760"/>
        <v>20</v>
      </c>
      <c r="E290" s="52">
        <f t="shared" ca="1" si="751"/>
        <v>0.1554320264869786</v>
      </c>
      <c r="F290" s="52">
        <f t="shared" ca="1" si="752"/>
        <v>0.29336500492657286</v>
      </c>
    </row>
    <row r="291" spans="1:6" s="14" customFormat="1">
      <c r="A291" s="48">
        <f t="shared" si="757"/>
        <v>3</v>
      </c>
      <c r="B291" s="48">
        <f t="shared" si="758"/>
        <v>11</v>
      </c>
      <c r="C291" s="85">
        <f t="shared" si="759"/>
        <v>130</v>
      </c>
      <c r="D291" s="85">
        <f t="shared" si="760"/>
        <v>21</v>
      </c>
      <c r="E291" s="52">
        <f t="shared" ca="1" si="751"/>
        <v>0.15506800476258453</v>
      </c>
      <c r="F291" s="52">
        <f t="shared" ca="1" si="752"/>
        <v>0.29592731338332362</v>
      </c>
    </row>
    <row r="292" spans="1:6" s="14" customFormat="1">
      <c r="A292" s="48">
        <f t="shared" si="757"/>
        <v>3</v>
      </c>
      <c r="B292" s="48">
        <f t="shared" si="758"/>
        <v>12</v>
      </c>
      <c r="C292" s="85">
        <f t="shared" si="759"/>
        <v>130</v>
      </c>
      <c r="D292" s="85">
        <f t="shared" si="760"/>
        <v>22</v>
      </c>
      <c r="E292" s="52">
        <f t="shared" ca="1" si="751"/>
        <v>0.15382132674732885</v>
      </c>
      <c r="F292" s="52">
        <f t="shared" ca="1" si="752"/>
        <v>0.2930374655318726</v>
      </c>
    </row>
    <row r="293" spans="1:6" s="14" customFormat="1">
      <c r="A293" s="48">
        <f t="shared" si="757"/>
        <v>3</v>
      </c>
      <c r="B293" s="48">
        <f t="shared" si="758"/>
        <v>13</v>
      </c>
      <c r="C293" s="85">
        <f t="shared" si="759"/>
        <v>130</v>
      </c>
      <c r="D293" s="85">
        <f t="shared" si="760"/>
        <v>23</v>
      </c>
      <c r="E293" s="52">
        <f t="shared" ca="1" si="751"/>
        <v>0.15678997703980777</v>
      </c>
      <c r="F293" s="52">
        <f t="shared" ca="1" si="752"/>
        <v>0.29345432071721078</v>
      </c>
    </row>
    <row r="294" spans="1:6" s="14" customFormat="1">
      <c r="A294" s="48">
        <f t="shared" si="757"/>
        <v>3</v>
      </c>
      <c r="B294" s="48">
        <f t="shared" si="758"/>
        <v>14</v>
      </c>
      <c r="C294" s="85">
        <f t="shared" si="759"/>
        <v>130</v>
      </c>
      <c r="D294" s="85">
        <f t="shared" si="760"/>
        <v>24</v>
      </c>
      <c r="E294" s="52">
        <f t="shared" ca="1" si="751"/>
        <v>0.15442284782281743</v>
      </c>
      <c r="F294" s="52">
        <f t="shared" ca="1" si="752"/>
        <v>0.29189783301875027</v>
      </c>
    </row>
    <row r="295" spans="1:6" s="14" customFormat="1">
      <c r="A295" s="48">
        <f t="shared" si="757"/>
        <v>3</v>
      </c>
      <c r="B295" s="48">
        <f t="shared" si="758"/>
        <v>15</v>
      </c>
      <c r="C295" s="85">
        <f t="shared" si="759"/>
        <v>130</v>
      </c>
      <c r="D295" s="85">
        <f t="shared" si="760"/>
        <v>25</v>
      </c>
      <c r="E295" s="52">
        <f t="shared" ca="1" si="751"/>
        <v>0.15692366138206218</v>
      </c>
      <c r="F295" s="52">
        <f t="shared" ca="1" si="752"/>
        <v>0.28836435109393027</v>
      </c>
    </row>
    <row r="296" spans="1:6" s="14" customFormat="1">
      <c r="A296" s="48">
        <f t="shared" si="757"/>
        <v>3</v>
      </c>
      <c r="B296" s="48">
        <f t="shared" si="758"/>
        <v>16</v>
      </c>
      <c r="C296" s="85">
        <f t="shared" si="759"/>
        <v>130</v>
      </c>
      <c r="D296" s="85">
        <f t="shared" si="760"/>
        <v>26</v>
      </c>
      <c r="E296" s="52">
        <f t="shared" ca="1" si="751"/>
        <v>0.15502222555814274</v>
      </c>
      <c r="F296" s="52">
        <f t="shared" ca="1" si="752"/>
        <v>0.29321146579660207</v>
      </c>
    </row>
    <row r="297" spans="1:6" s="14" customFormat="1">
      <c r="A297" s="48">
        <f t="shared" si="757"/>
        <v>3</v>
      </c>
      <c r="B297" s="48">
        <f t="shared" si="758"/>
        <v>17</v>
      </c>
      <c r="C297" s="85">
        <f t="shared" si="759"/>
        <v>130</v>
      </c>
      <c r="D297" s="85">
        <f t="shared" si="760"/>
        <v>27</v>
      </c>
      <c r="E297" s="52">
        <f t="shared" ca="1" si="751"/>
        <v>0</v>
      </c>
      <c r="F297" s="52">
        <f t="shared" ca="1" si="752"/>
        <v>0</v>
      </c>
    </row>
    <row r="298" spans="1:6" s="14" customFormat="1">
      <c r="A298" s="48">
        <f t="shared" si="757"/>
        <v>3</v>
      </c>
      <c r="B298" s="48">
        <f t="shared" si="758"/>
        <v>18</v>
      </c>
      <c r="C298" s="85">
        <f t="shared" si="759"/>
        <v>130</v>
      </c>
      <c r="D298" s="85">
        <f t="shared" si="760"/>
        <v>28</v>
      </c>
      <c r="E298" s="52">
        <f t="shared" ca="1" si="751"/>
        <v>0</v>
      </c>
      <c r="F298" s="52">
        <f t="shared" ca="1" si="752"/>
        <v>0</v>
      </c>
    </row>
    <row r="299" spans="1:6" s="14" customFormat="1">
      <c r="A299" s="48">
        <f t="shared" si="757"/>
        <v>3</v>
      </c>
      <c r="B299" s="48">
        <f t="shared" si="758"/>
        <v>19</v>
      </c>
      <c r="C299" s="85">
        <f t="shared" si="759"/>
        <v>130</v>
      </c>
      <c r="D299" s="85">
        <f t="shared" si="760"/>
        <v>29</v>
      </c>
      <c r="E299" s="52">
        <f t="shared" ca="1" si="751"/>
        <v>0</v>
      </c>
      <c r="F299" s="52">
        <f t="shared" ca="1" si="752"/>
        <v>0</v>
      </c>
    </row>
    <row r="300" spans="1:6" s="14" customFormat="1">
      <c r="A300" s="48">
        <f t="shared" si="757"/>
        <v>3</v>
      </c>
      <c r="B300" s="48">
        <f t="shared" si="758"/>
        <v>20</v>
      </c>
      <c r="C300" s="85">
        <f t="shared" si="759"/>
        <v>130</v>
      </c>
      <c r="D300" s="85">
        <f t="shared" si="760"/>
        <v>30</v>
      </c>
      <c r="E300" s="52">
        <f t="shared" ca="1" si="751"/>
        <v>0.15332473174761305</v>
      </c>
      <c r="F300" s="52">
        <f t="shared" ca="1" si="752"/>
        <v>0.29626886609248698</v>
      </c>
    </row>
    <row r="301" spans="1:6" s="14" customFormat="1">
      <c r="A301" s="48">
        <f t="shared" si="757"/>
        <v>3</v>
      </c>
      <c r="B301" s="48">
        <f t="shared" si="758"/>
        <v>21</v>
      </c>
      <c r="C301" s="85">
        <f t="shared" si="759"/>
        <v>130</v>
      </c>
      <c r="D301" s="85">
        <f t="shared" si="760"/>
        <v>31</v>
      </c>
      <c r="E301" s="52">
        <f t="shared" ca="1" si="751"/>
        <v>0.15648831152700807</v>
      </c>
      <c r="F301" s="52">
        <f t="shared" ca="1" si="752"/>
        <v>0.29219165622099447</v>
      </c>
    </row>
    <row r="302" spans="1:6" s="14" customFormat="1">
      <c r="A302" s="48">
        <f t="shared" si="757"/>
        <v>3</v>
      </c>
      <c r="B302" s="48">
        <f t="shared" si="758"/>
        <v>22</v>
      </c>
      <c r="C302" s="85">
        <f t="shared" si="759"/>
        <v>130</v>
      </c>
      <c r="D302" s="85">
        <f t="shared" si="760"/>
        <v>32</v>
      </c>
      <c r="E302" s="52">
        <f t="shared" ca="1" si="751"/>
        <v>0</v>
      </c>
      <c r="F302" s="52">
        <f t="shared" ca="1" si="752"/>
        <v>0</v>
      </c>
    </row>
    <row r="303" spans="1:6" s="14" customFormat="1">
      <c r="A303" s="48">
        <f t="shared" si="757"/>
        <v>3</v>
      </c>
      <c r="B303" s="48">
        <f t="shared" si="758"/>
        <v>23</v>
      </c>
      <c r="C303" s="85">
        <f t="shared" si="759"/>
        <v>130</v>
      </c>
      <c r="D303" s="85">
        <f t="shared" si="760"/>
        <v>33</v>
      </c>
      <c r="E303" s="52">
        <f t="shared" ca="1" si="751"/>
        <v>0</v>
      </c>
      <c r="F303" s="52">
        <f t="shared" ca="1" si="752"/>
        <v>0</v>
      </c>
    </row>
    <row r="304" spans="1:6" s="14" customFormat="1">
      <c r="A304" s="48">
        <f t="shared" si="757"/>
        <v>3</v>
      </c>
      <c r="B304" s="48">
        <f t="shared" si="758"/>
        <v>24</v>
      </c>
      <c r="C304" s="85">
        <f t="shared" si="759"/>
        <v>130</v>
      </c>
      <c r="D304" s="85">
        <f t="shared" si="760"/>
        <v>34</v>
      </c>
      <c r="E304" s="52">
        <f t="shared" ca="1" si="751"/>
        <v>0.15263443113579991</v>
      </c>
      <c r="F304" s="52">
        <f t="shared" ca="1" si="752"/>
        <v>0.29630685804989276</v>
      </c>
    </row>
    <row r="305" spans="1:6" s="14" customFormat="1">
      <c r="A305" s="48">
        <f t="shared" si="757"/>
        <v>3</v>
      </c>
      <c r="B305" s="48">
        <f t="shared" si="758"/>
        <v>25</v>
      </c>
      <c r="C305" s="85">
        <f t="shared" si="759"/>
        <v>130</v>
      </c>
      <c r="D305" s="85">
        <f t="shared" si="760"/>
        <v>35</v>
      </c>
      <c r="E305" s="52">
        <f t="shared" ca="1" si="751"/>
        <v>0</v>
      </c>
      <c r="F305" s="52">
        <f t="shared" ca="1" si="752"/>
        <v>0</v>
      </c>
    </row>
    <row r="306" spans="1:6" s="14" customFormat="1">
      <c r="A306" s="48">
        <f t="shared" si="757"/>
        <v>3</v>
      </c>
      <c r="B306" s="48">
        <f t="shared" si="758"/>
        <v>26</v>
      </c>
      <c r="C306" s="85">
        <f t="shared" si="759"/>
        <v>130</v>
      </c>
      <c r="D306" s="85">
        <f t="shared" si="760"/>
        <v>36</v>
      </c>
      <c r="E306" s="52">
        <f t="shared" ca="1" si="751"/>
        <v>0</v>
      </c>
      <c r="F306" s="52">
        <f t="shared" ca="1" si="752"/>
        <v>0</v>
      </c>
    </row>
    <row r="307" spans="1:6" s="14" customFormat="1">
      <c r="A307" s="48">
        <f t="shared" si="757"/>
        <v>3</v>
      </c>
      <c r="B307" s="48">
        <f t="shared" si="758"/>
        <v>27</v>
      </c>
      <c r="C307" s="85">
        <f t="shared" si="759"/>
        <v>130</v>
      </c>
      <c r="D307" s="85">
        <f t="shared" si="760"/>
        <v>37</v>
      </c>
      <c r="E307" s="52">
        <f t="shared" ca="1" si="751"/>
        <v>0.15451719066058028</v>
      </c>
      <c r="F307" s="52">
        <f t="shared" ca="1" si="752"/>
        <v>0.29592470111955776</v>
      </c>
    </row>
    <row r="308" spans="1:6" s="14" customFormat="1">
      <c r="A308" s="48">
        <f t="shared" si="757"/>
        <v>3</v>
      </c>
      <c r="B308" s="48">
        <f t="shared" si="758"/>
        <v>28</v>
      </c>
      <c r="C308" s="85">
        <f t="shared" si="759"/>
        <v>130</v>
      </c>
      <c r="D308" s="85">
        <f t="shared" si="760"/>
        <v>38</v>
      </c>
      <c r="E308" s="52">
        <f t="shared" ca="1" si="751"/>
        <v>0.15509303605439212</v>
      </c>
      <c r="F308" s="52">
        <f t="shared" ca="1" si="752"/>
        <v>0.29020965245807007</v>
      </c>
    </row>
    <row r="309" spans="1:6" s="14" customFormat="1">
      <c r="A309" s="48">
        <f t="shared" si="757"/>
        <v>3</v>
      </c>
      <c r="B309" s="48">
        <f t="shared" si="758"/>
        <v>29</v>
      </c>
      <c r="C309" s="85">
        <f t="shared" si="759"/>
        <v>130</v>
      </c>
      <c r="D309" s="85">
        <f t="shared" si="760"/>
        <v>39</v>
      </c>
      <c r="E309" s="52">
        <f t="shared" ca="1" si="751"/>
        <v>0.15523648177665833</v>
      </c>
      <c r="F309" s="52">
        <f t="shared" ca="1" si="752"/>
        <v>0.28869437530848452</v>
      </c>
    </row>
    <row r="310" spans="1:6" s="14" customFormat="1">
      <c r="A310" s="48">
        <f t="shared" si="757"/>
        <v>3</v>
      </c>
      <c r="B310" s="48">
        <f t="shared" si="758"/>
        <v>30</v>
      </c>
      <c r="C310" s="85">
        <f t="shared" si="759"/>
        <v>130</v>
      </c>
      <c r="D310" s="85">
        <f t="shared" si="760"/>
        <v>40</v>
      </c>
      <c r="E310" s="52">
        <f t="shared" ca="1" si="751"/>
        <v>0.15422288477515711</v>
      </c>
      <c r="F310" s="52">
        <f t="shared" ca="1" si="752"/>
        <v>0.29975581878581808</v>
      </c>
    </row>
    <row r="311" spans="1:6" s="14" customFormat="1">
      <c r="A311" s="48">
        <f t="shared" si="757"/>
        <v>3</v>
      </c>
      <c r="B311" s="48">
        <f t="shared" si="758"/>
        <v>31</v>
      </c>
      <c r="C311" s="85">
        <f t="shared" si="759"/>
        <v>130</v>
      </c>
      <c r="D311" s="85">
        <f t="shared" si="760"/>
        <v>41</v>
      </c>
      <c r="E311" s="52">
        <f t="shared" ca="1" si="751"/>
        <v>0.14832593420377024</v>
      </c>
      <c r="F311" s="52">
        <f t="shared" ca="1" si="752"/>
        <v>0.30340713484399051</v>
      </c>
    </row>
    <row r="312" spans="1:6" s="14" customFormat="1">
      <c r="A312" s="48">
        <f t="shared" si="757"/>
        <v>4</v>
      </c>
      <c r="B312" s="48">
        <f t="shared" si="758"/>
        <v>0</v>
      </c>
      <c r="C312" s="85">
        <f t="shared" si="759"/>
        <v>139</v>
      </c>
      <c r="D312" s="85">
        <f t="shared" si="760"/>
        <v>10</v>
      </c>
      <c r="E312" s="52">
        <f t="shared" ca="1" si="751"/>
        <v>0</v>
      </c>
      <c r="F312" s="52">
        <f t="shared" ca="1" si="752"/>
        <v>0</v>
      </c>
    </row>
    <row r="313" spans="1:6" s="14" customFormat="1">
      <c r="A313" s="48">
        <f t="shared" si="757"/>
        <v>4</v>
      </c>
      <c r="B313" s="48">
        <f t="shared" si="758"/>
        <v>1</v>
      </c>
      <c r="C313" s="85">
        <f t="shared" si="759"/>
        <v>139</v>
      </c>
      <c r="D313" s="85">
        <f t="shared" si="760"/>
        <v>11</v>
      </c>
      <c r="E313" s="52">
        <f t="shared" ref="E313:E376" ca="1" si="761">IF(INDIRECT("R"&amp;C313&amp;"C"&amp;D313,0)&lt;&gt;"",INDIRECT("R"&amp;C313&amp;"C"&amp;D313,0),0)</f>
        <v>0.19128999195318078</v>
      </c>
      <c r="F313" s="52">
        <f t="shared" ref="F313:F376" ca="1" si="762">IF(INDIRECT("R"&amp;(C313+1)&amp;"C"&amp;D313,0)&lt;&gt;"",INDIRECT("R"&amp;(C313+1)&amp;"C"&amp;D313,0),0)</f>
        <v>0.30466808141557117</v>
      </c>
    </row>
    <row r="314" spans="1:6" s="14" customFormat="1">
      <c r="A314" s="48">
        <f t="shared" si="757"/>
        <v>4</v>
      </c>
      <c r="B314" s="48">
        <f t="shared" si="758"/>
        <v>2</v>
      </c>
      <c r="C314" s="85">
        <f t="shared" si="759"/>
        <v>139</v>
      </c>
      <c r="D314" s="85">
        <f t="shared" si="760"/>
        <v>12</v>
      </c>
      <c r="E314" s="52">
        <f t="shared" ca="1" si="761"/>
        <v>0.19859165833512438</v>
      </c>
      <c r="F314" s="52">
        <f t="shared" ca="1" si="762"/>
        <v>0.29725028295102757</v>
      </c>
    </row>
    <row r="315" spans="1:6" s="14" customFormat="1">
      <c r="A315" s="48">
        <f t="shared" si="757"/>
        <v>4</v>
      </c>
      <c r="B315" s="48">
        <f t="shared" si="758"/>
        <v>3</v>
      </c>
      <c r="C315" s="85">
        <f t="shared" si="759"/>
        <v>139</v>
      </c>
      <c r="D315" s="85">
        <f t="shared" si="760"/>
        <v>13</v>
      </c>
      <c r="E315" s="52">
        <f t="shared" ca="1" si="761"/>
        <v>0.1937726701564797</v>
      </c>
      <c r="F315" s="52">
        <f t="shared" ca="1" si="762"/>
        <v>0.30502295980902844</v>
      </c>
    </row>
    <row r="316" spans="1:6" s="14" customFormat="1">
      <c r="A316" s="48">
        <f t="shared" si="757"/>
        <v>4</v>
      </c>
      <c r="B316" s="48">
        <f t="shared" si="758"/>
        <v>4</v>
      </c>
      <c r="C316" s="85">
        <f t="shared" si="759"/>
        <v>139</v>
      </c>
      <c r="D316" s="85">
        <f t="shared" si="760"/>
        <v>14</v>
      </c>
      <c r="E316" s="52">
        <f t="shared" ca="1" si="761"/>
        <v>0.19640448489121001</v>
      </c>
      <c r="F316" s="52">
        <f t="shared" ca="1" si="762"/>
        <v>0.29759469521058451</v>
      </c>
    </row>
    <row r="317" spans="1:6" s="14" customFormat="1">
      <c r="A317" s="48">
        <f t="shared" si="757"/>
        <v>4</v>
      </c>
      <c r="B317" s="48">
        <f t="shared" si="758"/>
        <v>5</v>
      </c>
      <c r="C317" s="85">
        <f t="shared" si="759"/>
        <v>139</v>
      </c>
      <c r="D317" s="85">
        <f t="shared" si="760"/>
        <v>15</v>
      </c>
      <c r="E317" s="52">
        <f t="shared" ca="1" si="761"/>
        <v>0.19479059496444853</v>
      </c>
      <c r="F317" s="52">
        <f t="shared" ca="1" si="762"/>
        <v>0.30375755475068145</v>
      </c>
    </row>
    <row r="318" spans="1:6" s="14" customFormat="1">
      <c r="A318" s="48">
        <f t="shared" si="757"/>
        <v>4</v>
      </c>
      <c r="B318" s="48">
        <f t="shared" si="758"/>
        <v>6</v>
      </c>
      <c r="C318" s="85">
        <f t="shared" si="759"/>
        <v>139</v>
      </c>
      <c r="D318" s="85">
        <f t="shared" si="760"/>
        <v>16</v>
      </c>
      <c r="E318" s="52">
        <f t="shared" ca="1" si="761"/>
        <v>0.19589435511742889</v>
      </c>
      <c r="F318" s="52">
        <f t="shared" ca="1" si="762"/>
        <v>0.29971466078888626</v>
      </c>
    </row>
    <row r="319" spans="1:6" s="14" customFormat="1">
      <c r="A319" s="48">
        <f t="shared" si="757"/>
        <v>4</v>
      </c>
      <c r="B319" s="48">
        <f t="shared" si="758"/>
        <v>7</v>
      </c>
      <c r="C319" s="85">
        <f t="shared" si="759"/>
        <v>139</v>
      </c>
      <c r="D319" s="85">
        <f t="shared" si="760"/>
        <v>17</v>
      </c>
      <c r="E319" s="52">
        <f t="shared" ca="1" si="761"/>
        <v>0.19341242389620295</v>
      </c>
      <c r="F319" s="52">
        <f t="shared" ca="1" si="762"/>
        <v>0.30406016470238834</v>
      </c>
    </row>
    <row r="320" spans="1:6" s="14" customFormat="1">
      <c r="A320" s="48">
        <f t="shared" si="757"/>
        <v>4</v>
      </c>
      <c r="B320" s="48">
        <f t="shared" si="758"/>
        <v>8</v>
      </c>
      <c r="C320" s="85">
        <f t="shared" si="759"/>
        <v>139</v>
      </c>
      <c r="D320" s="85">
        <f t="shared" si="760"/>
        <v>18</v>
      </c>
      <c r="E320" s="52">
        <f t="shared" ca="1" si="761"/>
        <v>0.19905288462374549</v>
      </c>
      <c r="F320" s="52">
        <f t="shared" ca="1" si="762"/>
        <v>0.29592685934195584</v>
      </c>
    </row>
    <row r="321" spans="1:6" s="14" customFormat="1">
      <c r="A321" s="48">
        <f t="shared" si="757"/>
        <v>4</v>
      </c>
      <c r="B321" s="48">
        <f t="shared" si="758"/>
        <v>9</v>
      </c>
      <c r="C321" s="85">
        <f t="shared" si="759"/>
        <v>139</v>
      </c>
      <c r="D321" s="85">
        <f t="shared" si="760"/>
        <v>19</v>
      </c>
      <c r="E321" s="52">
        <f t="shared" ca="1" si="761"/>
        <v>0</v>
      </c>
      <c r="F321" s="52">
        <f t="shared" ca="1" si="762"/>
        <v>0</v>
      </c>
    </row>
    <row r="322" spans="1:6" s="14" customFormat="1">
      <c r="A322" s="48">
        <f t="shared" si="757"/>
        <v>4</v>
      </c>
      <c r="B322" s="48">
        <f t="shared" si="758"/>
        <v>10</v>
      </c>
      <c r="C322" s="85">
        <f t="shared" si="759"/>
        <v>139</v>
      </c>
      <c r="D322" s="85">
        <f t="shared" si="760"/>
        <v>20</v>
      </c>
      <c r="E322" s="52">
        <f t="shared" ca="1" si="761"/>
        <v>0.20373121354551288</v>
      </c>
      <c r="F322" s="52">
        <f t="shared" ca="1" si="762"/>
        <v>0.29502304644491112</v>
      </c>
    </row>
    <row r="323" spans="1:6" s="14" customFormat="1">
      <c r="A323" s="48">
        <f t="shared" si="757"/>
        <v>4</v>
      </c>
      <c r="B323" s="48">
        <f t="shared" si="758"/>
        <v>11</v>
      </c>
      <c r="C323" s="85">
        <f t="shared" si="759"/>
        <v>139</v>
      </c>
      <c r="D323" s="85">
        <f t="shared" si="760"/>
        <v>21</v>
      </c>
      <c r="E323" s="52">
        <f t="shared" ca="1" si="761"/>
        <v>0.20427746052683407</v>
      </c>
      <c r="F323" s="52">
        <f t="shared" ca="1" si="762"/>
        <v>0.298999590102135</v>
      </c>
    </row>
    <row r="324" spans="1:6" s="14" customFormat="1">
      <c r="A324" s="48">
        <f t="shared" si="757"/>
        <v>4</v>
      </c>
      <c r="B324" s="48">
        <f t="shared" si="758"/>
        <v>12</v>
      </c>
      <c r="C324" s="85">
        <f t="shared" si="759"/>
        <v>139</v>
      </c>
      <c r="D324" s="85">
        <f t="shared" si="760"/>
        <v>22</v>
      </c>
      <c r="E324" s="52">
        <f t="shared" ca="1" si="761"/>
        <v>0.20451285618961965</v>
      </c>
      <c r="F324" s="52">
        <f t="shared" ca="1" si="762"/>
        <v>0.29621466610352831</v>
      </c>
    </row>
    <row r="325" spans="1:6" s="14" customFormat="1">
      <c r="A325" s="48">
        <f t="shared" si="757"/>
        <v>4</v>
      </c>
      <c r="B325" s="48">
        <f t="shared" si="758"/>
        <v>13</v>
      </c>
      <c r="C325" s="85">
        <f t="shared" si="759"/>
        <v>139</v>
      </c>
      <c r="D325" s="85">
        <f t="shared" si="760"/>
        <v>23</v>
      </c>
      <c r="E325" s="52">
        <f t="shared" ca="1" si="761"/>
        <v>0.20029314994053546</v>
      </c>
      <c r="F325" s="52">
        <f t="shared" ca="1" si="762"/>
        <v>0.29809489023448282</v>
      </c>
    </row>
    <row r="326" spans="1:6" s="14" customFormat="1">
      <c r="A326" s="48">
        <f t="shared" si="757"/>
        <v>4</v>
      </c>
      <c r="B326" s="48">
        <f t="shared" si="758"/>
        <v>14</v>
      </c>
      <c r="C326" s="85">
        <f t="shared" si="759"/>
        <v>139</v>
      </c>
      <c r="D326" s="85">
        <f t="shared" si="760"/>
        <v>24</v>
      </c>
      <c r="E326" s="52">
        <f t="shared" ca="1" si="761"/>
        <v>0.19897319451858281</v>
      </c>
      <c r="F326" s="52">
        <f t="shared" ca="1" si="762"/>
        <v>0.29746655849840276</v>
      </c>
    </row>
    <row r="327" spans="1:6" s="14" customFormat="1">
      <c r="A327" s="48">
        <f t="shared" si="757"/>
        <v>4</v>
      </c>
      <c r="B327" s="48">
        <f t="shared" si="758"/>
        <v>15</v>
      </c>
      <c r="C327" s="85">
        <f t="shared" si="759"/>
        <v>139</v>
      </c>
      <c r="D327" s="85">
        <f t="shared" si="760"/>
        <v>25</v>
      </c>
      <c r="E327" s="52">
        <f t="shared" ca="1" si="761"/>
        <v>0.20404603991823381</v>
      </c>
      <c r="F327" s="52">
        <f t="shared" ca="1" si="762"/>
        <v>0.29273144834447651</v>
      </c>
    </row>
    <row r="328" spans="1:6" s="14" customFormat="1">
      <c r="A328" s="48">
        <f t="shared" si="757"/>
        <v>4</v>
      </c>
      <c r="B328" s="48">
        <f t="shared" si="758"/>
        <v>16</v>
      </c>
      <c r="C328" s="85">
        <f t="shared" si="759"/>
        <v>139</v>
      </c>
      <c r="D328" s="85">
        <f t="shared" si="760"/>
        <v>26</v>
      </c>
      <c r="E328" s="52">
        <f t="shared" ca="1" si="761"/>
        <v>0.20223550965164247</v>
      </c>
      <c r="F328" s="52">
        <f t="shared" ca="1" si="762"/>
        <v>0.29666061587293646</v>
      </c>
    </row>
    <row r="329" spans="1:6" s="14" customFormat="1">
      <c r="A329" s="48">
        <f t="shared" si="757"/>
        <v>4</v>
      </c>
      <c r="B329" s="48">
        <f t="shared" si="758"/>
        <v>17</v>
      </c>
      <c r="C329" s="85">
        <f t="shared" si="759"/>
        <v>139</v>
      </c>
      <c r="D329" s="85">
        <f t="shared" si="760"/>
        <v>27</v>
      </c>
      <c r="E329" s="52">
        <f t="shared" ca="1" si="761"/>
        <v>0</v>
      </c>
      <c r="F329" s="52">
        <f t="shared" ca="1" si="762"/>
        <v>0</v>
      </c>
    </row>
    <row r="330" spans="1:6" s="14" customFormat="1">
      <c r="A330" s="48">
        <f t="shared" si="757"/>
        <v>4</v>
      </c>
      <c r="B330" s="48">
        <f t="shared" si="758"/>
        <v>18</v>
      </c>
      <c r="C330" s="85">
        <f t="shared" si="759"/>
        <v>139</v>
      </c>
      <c r="D330" s="85">
        <f t="shared" si="760"/>
        <v>28</v>
      </c>
      <c r="E330" s="52">
        <f t="shared" ca="1" si="761"/>
        <v>0</v>
      </c>
      <c r="F330" s="52">
        <f t="shared" ca="1" si="762"/>
        <v>0</v>
      </c>
    </row>
    <row r="331" spans="1:6" s="14" customFormat="1">
      <c r="A331" s="48">
        <f t="shared" si="757"/>
        <v>4</v>
      </c>
      <c r="B331" s="48">
        <f t="shared" si="758"/>
        <v>19</v>
      </c>
      <c r="C331" s="85">
        <f t="shared" si="759"/>
        <v>139</v>
      </c>
      <c r="D331" s="85">
        <f t="shared" si="760"/>
        <v>29</v>
      </c>
      <c r="E331" s="52">
        <f t="shared" ca="1" si="761"/>
        <v>0</v>
      </c>
      <c r="F331" s="52">
        <f t="shared" ca="1" si="762"/>
        <v>0</v>
      </c>
    </row>
    <row r="332" spans="1:6" s="14" customFormat="1">
      <c r="A332" s="48">
        <f t="shared" si="757"/>
        <v>4</v>
      </c>
      <c r="B332" s="48">
        <f t="shared" si="758"/>
        <v>20</v>
      </c>
      <c r="C332" s="85">
        <f t="shared" si="759"/>
        <v>139</v>
      </c>
      <c r="D332" s="85">
        <f t="shared" si="760"/>
        <v>30</v>
      </c>
      <c r="E332" s="52">
        <f t="shared" ca="1" si="761"/>
        <v>0.1989379998703506</v>
      </c>
      <c r="F332" s="52">
        <f t="shared" ca="1" si="762"/>
        <v>0.29778553524562562</v>
      </c>
    </row>
    <row r="333" spans="1:6" s="14" customFormat="1">
      <c r="A333" s="48">
        <f t="shared" si="757"/>
        <v>4</v>
      </c>
      <c r="B333" s="48">
        <f t="shared" si="758"/>
        <v>21</v>
      </c>
      <c r="C333" s="85">
        <f t="shared" si="759"/>
        <v>139</v>
      </c>
      <c r="D333" s="85">
        <f t="shared" si="760"/>
        <v>31</v>
      </c>
      <c r="E333" s="52">
        <f t="shared" ca="1" si="761"/>
        <v>0.20355200944119703</v>
      </c>
      <c r="F333" s="52">
        <f t="shared" ca="1" si="762"/>
        <v>0.29558819217212567</v>
      </c>
    </row>
    <row r="334" spans="1:6" s="14" customFormat="1">
      <c r="A334" s="48">
        <f t="shared" si="757"/>
        <v>4</v>
      </c>
      <c r="B334" s="48">
        <f t="shared" si="758"/>
        <v>22</v>
      </c>
      <c r="C334" s="85">
        <f t="shared" si="759"/>
        <v>139</v>
      </c>
      <c r="D334" s="85">
        <f t="shared" si="760"/>
        <v>32</v>
      </c>
      <c r="E334" s="52">
        <f t="shared" ca="1" si="761"/>
        <v>0</v>
      </c>
      <c r="F334" s="52">
        <f t="shared" ca="1" si="762"/>
        <v>0</v>
      </c>
    </row>
    <row r="335" spans="1:6" s="14" customFormat="1">
      <c r="A335" s="48">
        <f t="shared" si="757"/>
        <v>4</v>
      </c>
      <c r="B335" s="48">
        <f t="shared" si="758"/>
        <v>23</v>
      </c>
      <c r="C335" s="85">
        <f t="shared" si="759"/>
        <v>139</v>
      </c>
      <c r="D335" s="85">
        <f t="shared" si="760"/>
        <v>33</v>
      </c>
      <c r="E335" s="52">
        <f t="shared" ca="1" si="761"/>
        <v>0</v>
      </c>
      <c r="F335" s="52">
        <f t="shared" ca="1" si="762"/>
        <v>0</v>
      </c>
    </row>
    <row r="336" spans="1:6" s="14" customFormat="1">
      <c r="A336" s="48">
        <f t="shared" si="757"/>
        <v>4</v>
      </c>
      <c r="B336" s="48">
        <f t="shared" si="758"/>
        <v>24</v>
      </c>
      <c r="C336" s="85">
        <f t="shared" si="759"/>
        <v>139</v>
      </c>
      <c r="D336" s="85">
        <f t="shared" si="760"/>
        <v>34</v>
      </c>
      <c r="E336" s="52">
        <f t="shared" ca="1" si="761"/>
        <v>0.199667840460972</v>
      </c>
      <c r="F336" s="52">
        <f t="shared" ca="1" si="762"/>
        <v>0.30032865248386176</v>
      </c>
    </row>
    <row r="337" spans="1:6" s="14" customFormat="1">
      <c r="A337" s="48">
        <f t="shared" si="757"/>
        <v>4</v>
      </c>
      <c r="B337" s="48">
        <f t="shared" si="758"/>
        <v>25</v>
      </c>
      <c r="C337" s="85">
        <f t="shared" si="759"/>
        <v>139</v>
      </c>
      <c r="D337" s="85">
        <f t="shared" si="760"/>
        <v>35</v>
      </c>
      <c r="E337" s="52">
        <f t="shared" ca="1" si="761"/>
        <v>0</v>
      </c>
      <c r="F337" s="52">
        <f t="shared" ca="1" si="762"/>
        <v>0</v>
      </c>
    </row>
    <row r="338" spans="1:6" s="14" customFormat="1">
      <c r="A338" s="48">
        <f t="shared" si="757"/>
        <v>4</v>
      </c>
      <c r="B338" s="48">
        <f t="shared" si="758"/>
        <v>26</v>
      </c>
      <c r="C338" s="85">
        <f t="shared" si="759"/>
        <v>139</v>
      </c>
      <c r="D338" s="85">
        <f t="shared" si="760"/>
        <v>36</v>
      </c>
      <c r="E338" s="52">
        <f t="shared" ca="1" si="761"/>
        <v>0</v>
      </c>
      <c r="F338" s="52">
        <f t="shared" ca="1" si="762"/>
        <v>0</v>
      </c>
    </row>
    <row r="339" spans="1:6" s="14" customFormat="1">
      <c r="A339" s="48">
        <f t="shared" si="757"/>
        <v>4</v>
      </c>
      <c r="B339" s="48">
        <f t="shared" si="758"/>
        <v>27</v>
      </c>
      <c r="C339" s="85">
        <f t="shared" si="759"/>
        <v>139</v>
      </c>
      <c r="D339" s="85">
        <f t="shared" si="760"/>
        <v>37</v>
      </c>
      <c r="E339" s="52">
        <f t="shared" ca="1" si="761"/>
        <v>0.19200917802039688</v>
      </c>
      <c r="F339" s="52">
        <f t="shared" ca="1" si="762"/>
        <v>0.30440118073166444</v>
      </c>
    </row>
    <row r="340" spans="1:6" s="14" customFormat="1">
      <c r="A340" s="48">
        <f t="shared" si="757"/>
        <v>4</v>
      </c>
      <c r="B340" s="48">
        <f t="shared" si="758"/>
        <v>28</v>
      </c>
      <c r="C340" s="85">
        <f t="shared" si="759"/>
        <v>139</v>
      </c>
      <c r="D340" s="85">
        <f t="shared" si="760"/>
        <v>38</v>
      </c>
      <c r="E340" s="52">
        <f t="shared" ca="1" si="761"/>
        <v>0.20476392822960979</v>
      </c>
      <c r="F340" s="52">
        <f t="shared" ca="1" si="762"/>
        <v>0.29038558730206193</v>
      </c>
    </row>
    <row r="341" spans="1:6" s="14" customFormat="1">
      <c r="A341" s="48">
        <f t="shared" si="757"/>
        <v>4</v>
      </c>
      <c r="B341" s="48">
        <f t="shared" si="758"/>
        <v>29</v>
      </c>
      <c r="C341" s="85">
        <f t="shared" si="759"/>
        <v>139</v>
      </c>
      <c r="D341" s="85">
        <f t="shared" si="760"/>
        <v>39</v>
      </c>
      <c r="E341" s="52">
        <f t="shared" ca="1" si="761"/>
        <v>0.19667956829056113</v>
      </c>
      <c r="F341" s="52">
        <f t="shared" ca="1" si="762"/>
        <v>0.29721233114981199</v>
      </c>
    </row>
    <row r="342" spans="1:6" s="14" customFormat="1">
      <c r="A342" s="48">
        <f t="shared" si="757"/>
        <v>4</v>
      </c>
      <c r="B342" s="48">
        <f t="shared" si="758"/>
        <v>30</v>
      </c>
      <c r="C342" s="85">
        <f t="shared" si="759"/>
        <v>139</v>
      </c>
      <c r="D342" s="85">
        <f t="shared" si="760"/>
        <v>40</v>
      </c>
      <c r="E342" s="52">
        <f t="shared" ca="1" si="761"/>
        <v>0.20301746890688721</v>
      </c>
      <c r="F342" s="52">
        <f t="shared" ca="1" si="762"/>
        <v>0.3027447902387555</v>
      </c>
    </row>
    <row r="343" spans="1:6" s="14" customFormat="1">
      <c r="A343" s="48">
        <f t="shared" si="757"/>
        <v>4</v>
      </c>
      <c r="B343" s="48">
        <f t="shared" si="758"/>
        <v>31</v>
      </c>
      <c r="C343" s="85">
        <f t="shared" si="759"/>
        <v>139</v>
      </c>
      <c r="D343" s="85">
        <f t="shared" si="760"/>
        <v>41</v>
      </c>
      <c r="E343" s="52">
        <f t="shared" ca="1" si="761"/>
        <v>0.19161819178223333</v>
      </c>
      <c r="F343" s="52">
        <f t="shared" ca="1" si="762"/>
        <v>0.30793127844716622</v>
      </c>
    </row>
    <row r="344" spans="1:6" s="14" customFormat="1">
      <c r="A344" s="48">
        <f t="shared" si="757"/>
        <v>5</v>
      </c>
      <c r="B344" s="48">
        <f t="shared" si="758"/>
        <v>0</v>
      </c>
      <c r="C344" s="85">
        <f t="shared" si="759"/>
        <v>148</v>
      </c>
      <c r="D344" s="85">
        <f t="shared" si="760"/>
        <v>10</v>
      </c>
      <c r="E344" s="52">
        <f t="shared" ca="1" si="761"/>
        <v>0</v>
      </c>
      <c r="F344" s="52">
        <f t="shared" ca="1" si="762"/>
        <v>0</v>
      </c>
    </row>
    <row r="345" spans="1:6" s="14" customFormat="1">
      <c r="A345" s="48">
        <f t="shared" ref="A345:A408" si="763">A313+1</f>
        <v>5</v>
      </c>
      <c r="B345" s="48">
        <f t="shared" ref="B345:B408" si="764">B313</f>
        <v>1</v>
      </c>
      <c r="C345" s="85">
        <f t="shared" ref="C345:C408" si="765">C313+$A$183</f>
        <v>148</v>
      </c>
      <c r="D345" s="85">
        <f t="shared" ref="D345:D408" si="766">D313</f>
        <v>11</v>
      </c>
      <c r="E345" s="52">
        <f t="shared" ca="1" si="761"/>
        <v>0.23314050277339482</v>
      </c>
      <c r="F345" s="52">
        <f t="shared" ca="1" si="762"/>
        <v>0.31040184584382086</v>
      </c>
    </row>
    <row r="346" spans="1:6" s="14" customFormat="1">
      <c r="A346" s="48">
        <f t="shared" si="763"/>
        <v>5</v>
      </c>
      <c r="B346" s="48">
        <f t="shared" si="764"/>
        <v>2</v>
      </c>
      <c r="C346" s="85">
        <f t="shared" si="765"/>
        <v>148</v>
      </c>
      <c r="D346" s="85">
        <f t="shared" si="766"/>
        <v>12</v>
      </c>
      <c r="E346" s="52">
        <f t="shared" ca="1" si="761"/>
        <v>0.2418794714653596</v>
      </c>
      <c r="F346" s="52">
        <f t="shared" ca="1" si="762"/>
        <v>0.30284495937014788</v>
      </c>
    </row>
    <row r="347" spans="1:6" s="14" customFormat="1">
      <c r="A347" s="48">
        <f t="shared" si="763"/>
        <v>5</v>
      </c>
      <c r="B347" s="48">
        <f t="shared" si="764"/>
        <v>3</v>
      </c>
      <c r="C347" s="85">
        <f t="shared" si="765"/>
        <v>148</v>
      </c>
      <c r="D347" s="85">
        <f t="shared" si="766"/>
        <v>13</v>
      </c>
      <c r="E347" s="52">
        <f t="shared" ca="1" si="761"/>
        <v>0.23278621102713928</v>
      </c>
      <c r="F347" s="52">
        <f t="shared" ca="1" si="762"/>
        <v>0.31091350969446097</v>
      </c>
    </row>
    <row r="348" spans="1:6" s="14" customFormat="1">
      <c r="A348" s="48">
        <f t="shared" si="763"/>
        <v>5</v>
      </c>
      <c r="B348" s="48">
        <f t="shared" si="764"/>
        <v>4</v>
      </c>
      <c r="C348" s="85">
        <f t="shared" si="765"/>
        <v>148</v>
      </c>
      <c r="D348" s="85">
        <f t="shared" si="766"/>
        <v>14</v>
      </c>
      <c r="E348" s="52">
        <f t="shared" ca="1" si="761"/>
        <v>0.24166177657326809</v>
      </c>
      <c r="F348" s="52">
        <f t="shared" ca="1" si="762"/>
        <v>0.30671105990149239</v>
      </c>
    </row>
    <row r="349" spans="1:6" s="14" customFormat="1">
      <c r="A349" s="48">
        <f t="shared" si="763"/>
        <v>5</v>
      </c>
      <c r="B349" s="48">
        <f t="shared" si="764"/>
        <v>5</v>
      </c>
      <c r="C349" s="85">
        <f t="shared" si="765"/>
        <v>148</v>
      </c>
      <c r="D349" s="85">
        <f t="shared" si="766"/>
        <v>15</v>
      </c>
      <c r="E349" s="52">
        <f t="shared" ca="1" si="761"/>
        <v>0.24533159029070717</v>
      </c>
      <c r="F349" s="52">
        <f t="shared" ca="1" si="762"/>
        <v>0.30973176908886707</v>
      </c>
    </row>
    <row r="350" spans="1:6" s="14" customFormat="1">
      <c r="A350" s="48">
        <f t="shared" si="763"/>
        <v>5</v>
      </c>
      <c r="B350" s="48">
        <f t="shared" si="764"/>
        <v>6</v>
      </c>
      <c r="C350" s="85">
        <f t="shared" si="765"/>
        <v>148</v>
      </c>
      <c r="D350" s="85">
        <f t="shared" si="766"/>
        <v>16</v>
      </c>
      <c r="E350" s="52">
        <f t="shared" ca="1" si="761"/>
        <v>0.23725507570699678</v>
      </c>
      <c r="F350" s="52">
        <f t="shared" ca="1" si="762"/>
        <v>0.30795080648252493</v>
      </c>
    </row>
    <row r="351" spans="1:6" s="14" customFormat="1">
      <c r="A351" s="48">
        <f t="shared" si="763"/>
        <v>5</v>
      </c>
      <c r="B351" s="48">
        <f t="shared" si="764"/>
        <v>7</v>
      </c>
      <c r="C351" s="85">
        <f t="shared" si="765"/>
        <v>148</v>
      </c>
      <c r="D351" s="85">
        <f t="shared" si="766"/>
        <v>17</v>
      </c>
      <c r="E351" s="52">
        <f t="shared" ca="1" si="761"/>
        <v>0.23653840312032359</v>
      </c>
      <c r="F351" s="52">
        <f t="shared" ca="1" si="762"/>
        <v>0.30876566529361588</v>
      </c>
    </row>
    <row r="352" spans="1:6" s="14" customFormat="1">
      <c r="A352" s="48">
        <f t="shared" si="763"/>
        <v>5</v>
      </c>
      <c r="B352" s="48">
        <f t="shared" si="764"/>
        <v>8</v>
      </c>
      <c r="C352" s="85">
        <f t="shared" si="765"/>
        <v>148</v>
      </c>
      <c r="D352" s="85">
        <f t="shared" si="766"/>
        <v>18</v>
      </c>
      <c r="E352" s="52">
        <f t="shared" ca="1" si="761"/>
        <v>0.24626418077636367</v>
      </c>
      <c r="F352" s="52">
        <f t="shared" ca="1" si="762"/>
        <v>0.30396103474825126</v>
      </c>
    </row>
    <row r="353" spans="1:6" s="14" customFormat="1">
      <c r="A353" s="48">
        <f t="shared" si="763"/>
        <v>5</v>
      </c>
      <c r="B353" s="48">
        <f t="shared" si="764"/>
        <v>9</v>
      </c>
      <c r="C353" s="85">
        <f t="shared" si="765"/>
        <v>148</v>
      </c>
      <c r="D353" s="85">
        <f t="shared" si="766"/>
        <v>19</v>
      </c>
      <c r="E353" s="52">
        <f t="shared" ca="1" si="761"/>
        <v>0</v>
      </c>
      <c r="F353" s="52">
        <f t="shared" ca="1" si="762"/>
        <v>0</v>
      </c>
    </row>
    <row r="354" spans="1:6" s="14" customFormat="1">
      <c r="A354" s="48">
        <f t="shared" si="763"/>
        <v>5</v>
      </c>
      <c r="B354" s="48">
        <f t="shared" si="764"/>
        <v>10</v>
      </c>
      <c r="C354" s="85">
        <f t="shared" si="765"/>
        <v>148</v>
      </c>
      <c r="D354" s="85">
        <f t="shared" si="766"/>
        <v>20</v>
      </c>
      <c r="E354" s="52">
        <f t="shared" ca="1" si="761"/>
        <v>0.25183549099630392</v>
      </c>
      <c r="F354" s="52">
        <f t="shared" ca="1" si="762"/>
        <v>0.30472722623363374</v>
      </c>
    </row>
    <row r="355" spans="1:6" s="14" customFormat="1">
      <c r="A355" s="48">
        <f t="shared" si="763"/>
        <v>5</v>
      </c>
      <c r="B355" s="48">
        <f t="shared" si="764"/>
        <v>11</v>
      </c>
      <c r="C355" s="85">
        <f t="shared" si="765"/>
        <v>148</v>
      </c>
      <c r="D355" s="85">
        <f t="shared" si="766"/>
        <v>21</v>
      </c>
      <c r="E355" s="52">
        <f t="shared" ca="1" si="761"/>
        <v>0.25227746463470618</v>
      </c>
      <c r="F355" s="52">
        <f t="shared" ca="1" si="762"/>
        <v>0.30191344383703422</v>
      </c>
    </row>
    <row r="356" spans="1:6" s="14" customFormat="1">
      <c r="A356" s="48">
        <f t="shared" si="763"/>
        <v>5</v>
      </c>
      <c r="B356" s="48">
        <f t="shared" si="764"/>
        <v>12</v>
      </c>
      <c r="C356" s="85">
        <f t="shared" si="765"/>
        <v>148</v>
      </c>
      <c r="D356" s="85">
        <f t="shared" si="766"/>
        <v>22</v>
      </c>
      <c r="E356" s="52">
        <f t="shared" ca="1" si="761"/>
        <v>0.25760127370916847</v>
      </c>
      <c r="F356" s="52">
        <f t="shared" ca="1" si="762"/>
        <v>0.30050030617826989</v>
      </c>
    </row>
    <row r="357" spans="1:6" s="14" customFormat="1">
      <c r="A357" s="48">
        <f t="shared" si="763"/>
        <v>5</v>
      </c>
      <c r="B357" s="48">
        <f t="shared" si="764"/>
        <v>13</v>
      </c>
      <c r="C357" s="85">
        <f t="shared" si="765"/>
        <v>148</v>
      </c>
      <c r="D357" s="85">
        <f t="shared" si="766"/>
        <v>23</v>
      </c>
      <c r="E357" s="52">
        <f t="shared" ca="1" si="761"/>
        <v>0.25728708962943325</v>
      </c>
      <c r="F357" s="52">
        <f t="shared" ca="1" si="762"/>
        <v>0.30142752782704169</v>
      </c>
    </row>
    <row r="358" spans="1:6" s="14" customFormat="1">
      <c r="A358" s="48">
        <f t="shared" si="763"/>
        <v>5</v>
      </c>
      <c r="B358" s="48">
        <f t="shared" si="764"/>
        <v>14</v>
      </c>
      <c r="C358" s="85">
        <f t="shared" si="765"/>
        <v>148</v>
      </c>
      <c r="D358" s="85">
        <f t="shared" si="766"/>
        <v>24</v>
      </c>
      <c r="E358" s="52">
        <f t="shared" ca="1" si="761"/>
        <v>0.24042997255118531</v>
      </c>
      <c r="F358" s="52">
        <f t="shared" ca="1" si="762"/>
        <v>0.30328372859878711</v>
      </c>
    </row>
    <row r="359" spans="1:6" s="14" customFormat="1">
      <c r="A359" s="48">
        <f t="shared" si="763"/>
        <v>5</v>
      </c>
      <c r="B359" s="48">
        <f t="shared" si="764"/>
        <v>15</v>
      </c>
      <c r="C359" s="85">
        <f t="shared" si="765"/>
        <v>148</v>
      </c>
      <c r="D359" s="85">
        <f t="shared" si="766"/>
        <v>25</v>
      </c>
      <c r="E359" s="52">
        <f t="shared" ca="1" si="761"/>
        <v>0.25969453858434427</v>
      </c>
      <c r="F359" s="52">
        <f t="shared" ca="1" si="762"/>
        <v>0.30039681947128027</v>
      </c>
    </row>
    <row r="360" spans="1:6" s="14" customFormat="1">
      <c r="A360" s="48">
        <f t="shared" si="763"/>
        <v>5</v>
      </c>
      <c r="B360" s="48">
        <f t="shared" si="764"/>
        <v>16</v>
      </c>
      <c r="C360" s="85">
        <f t="shared" si="765"/>
        <v>148</v>
      </c>
      <c r="D360" s="85">
        <f t="shared" si="766"/>
        <v>26</v>
      </c>
      <c r="E360" s="52">
        <f t="shared" ca="1" si="761"/>
        <v>0.25166370907869257</v>
      </c>
      <c r="F360" s="52">
        <f t="shared" ca="1" si="762"/>
        <v>0.30126626779507604</v>
      </c>
    </row>
    <row r="361" spans="1:6" s="14" customFormat="1">
      <c r="A361" s="48">
        <f t="shared" si="763"/>
        <v>5</v>
      </c>
      <c r="B361" s="48">
        <f t="shared" si="764"/>
        <v>17</v>
      </c>
      <c r="C361" s="85">
        <f t="shared" si="765"/>
        <v>148</v>
      </c>
      <c r="D361" s="85">
        <f t="shared" si="766"/>
        <v>27</v>
      </c>
      <c r="E361" s="52">
        <f t="shared" ca="1" si="761"/>
        <v>0</v>
      </c>
      <c r="F361" s="52">
        <f t="shared" ca="1" si="762"/>
        <v>0</v>
      </c>
    </row>
    <row r="362" spans="1:6" s="14" customFormat="1">
      <c r="A362" s="48">
        <f t="shared" si="763"/>
        <v>5</v>
      </c>
      <c r="B362" s="48">
        <f t="shared" si="764"/>
        <v>18</v>
      </c>
      <c r="C362" s="85">
        <f t="shared" si="765"/>
        <v>148</v>
      </c>
      <c r="D362" s="85">
        <f t="shared" si="766"/>
        <v>28</v>
      </c>
      <c r="E362" s="52">
        <f t="shared" ca="1" si="761"/>
        <v>0</v>
      </c>
      <c r="F362" s="52">
        <f t="shared" ca="1" si="762"/>
        <v>0</v>
      </c>
    </row>
    <row r="363" spans="1:6" s="14" customFormat="1">
      <c r="A363" s="48">
        <f t="shared" si="763"/>
        <v>5</v>
      </c>
      <c r="B363" s="48">
        <f t="shared" si="764"/>
        <v>19</v>
      </c>
      <c r="C363" s="85">
        <f t="shared" si="765"/>
        <v>148</v>
      </c>
      <c r="D363" s="85">
        <f t="shared" si="766"/>
        <v>29</v>
      </c>
      <c r="E363" s="52">
        <f t="shared" ca="1" si="761"/>
        <v>0</v>
      </c>
      <c r="F363" s="52">
        <f t="shared" ca="1" si="762"/>
        <v>0</v>
      </c>
    </row>
    <row r="364" spans="1:6" s="14" customFormat="1">
      <c r="A364" s="48">
        <f t="shared" si="763"/>
        <v>5</v>
      </c>
      <c r="B364" s="48">
        <f t="shared" si="764"/>
        <v>20</v>
      </c>
      <c r="C364" s="85">
        <f t="shared" si="765"/>
        <v>148</v>
      </c>
      <c r="D364" s="85">
        <f t="shared" si="766"/>
        <v>30</v>
      </c>
      <c r="E364" s="52">
        <f t="shared" ca="1" si="761"/>
        <v>0.25429058317207121</v>
      </c>
      <c r="F364" s="52">
        <f t="shared" ca="1" si="762"/>
        <v>0.30022918024932538</v>
      </c>
    </row>
    <row r="365" spans="1:6" s="14" customFormat="1">
      <c r="A365" s="48">
        <f t="shared" si="763"/>
        <v>5</v>
      </c>
      <c r="B365" s="48">
        <f t="shared" si="764"/>
        <v>21</v>
      </c>
      <c r="C365" s="85">
        <f t="shared" si="765"/>
        <v>148</v>
      </c>
      <c r="D365" s="85">
        <f t="shared" si="766"/>
        <v>31</v>
      </c>
      <c r="E365" s="52">
        <f t="shared" ca="1" si="761"/>
        <v>0.25513725171165974</v>
      </c>
      <c r="F365" s="52">
        <f t="shared" ca="1" si="762"/>
        <v>0.30116378641031655</v>
      </c>
    </row>
    <row r="366" spans="1:6" s="14" customFormat="1">
      <c r="A366" s="48">
        <f t="shared" si="763"/>
        <v>5</v>
      </c>
      <c r="B366" s="48">
        <f t="shared" si="764"/>
        <v>22</v>
      </c>
      <c r="C366" s="85">
        <f t="shared" si="765"/>
        <v>148</v>
      </c>
      <c r="D366" s="85">
        <f t="shared" si="766"/>
        <v>32</v>
      </c>
      <c r="E366" s="52">
        <f t="shared" ca="1" si="761"/>
        <v>0</v>
      </c>
      <c r="F366" s="52">
        <f t="shared" ca="1" si="762"/>
        <v>0</v>
      </c>
    </row>
    <row r="367" spans="1:6" s="14" customFormat="1">
      <c r="A367" s="48">
        <f t="shared" si="763"/>
        <v>5</v>
      </c>
      <c r="B367" s="48">
        <f t="shared" si="764"/>
        <v>23</v>
      </c>
      <c r="C367" s="85">
        <f t="shared" si="765"/>
        <v>148</v>
      </c>
      <c r="D367" s="85">
        <f t="shared" si="766"/>
        <v>33</v>
      </c>
      <c r="E367" s="52">
        <f t="shared" ca="1" si="761"/>
        <v>0</v>
      </c>
      <c r="F367" s="52">
        <f t="shared" ca="1" si="762"/>
        <v>0</v>
      </c>
    </row>
    <row r="368" spans="1:6" s="14" customFormat="1">
      <c r="A368" s="48">
        <f t="shared" si="763"/>
        <v>5</v>
      </c>
      <c r="B368" s="48">
        <f t="shared" si="764"/>
        <v>24</v>
      </c>
      <c r="C368" s="85">
        <f t="shared" si="765"/>
        <v>148</v>
      </c>
      <c r="D368" s="85">
        <f t="shared" si="766"/>
        <v>34</v>
      </c>
      <c r="E368" s="52">
        <f t="shared" ca="1" si="761"/>
        <v>0.24415861122186919</v>
      </c>
      <c r="F368" s="52">
        <f t="shared" ca="1" si="762"/>
        <v>0.30537352218442176</v>
      </c>
    </row>
    <row r="369" spans="1:6" s="14" customFormat="1">
      <c r="A369" s="48">
        <f t="shared" si="763"/>
        <v>5</v>
      </c>
      <c r="B369" s="48">
        <f t="shared" si="764"/>
        <v>25</v>
      </c>
      <c r="C369" s="85">
        <f t="shared" si="765"/>
        <v>148</v>
      </c>
      <c r="D369" s="85">
        <f t="shared" si="766"/>
        <v>35</v>
      </c>
      <c r="E369" s="52">
        <f t="shared" ca="1" si="761"/>
        <v>0</v>
      </c>
      <c r="F369" s="52">
        <f t="shared" ca="1" si="762"/>
        <v>0</v>
      </c>
    </row>
    <row r="370" spans="1:6" s="14" customFormat="1">
      <c r="A370" s="48">
        <f t="shared" si="763"/>
        <v>5</v>
      </c>
      <c r="B370" s="48">
        <f t="shared" si="764"/>
        <v>26</v>
      </c>
      <c r="C370" s="85">
        <f t="shared" si="765"/>
        <v>148</v>
      </c>
      <c r="D370" s="85">
        <f t="shared" si="766"/>
        <v>36</v>
      </c>
      <c r="E370" s="52">
        <f t="shared" ca="1" si="761"/>
        <v>0</v>
      </c>
      <c r="F370" s="52">
        <f t="shared" ca="1" si="762"/>
        <v>0</v>
      </c>
    </row>
    <row r="371" spans="1:6" s="14" customFormat="1">
      <c r="A371" s="48">
        <f t="shared" si="763"/>
        <v>5</v>
      </c>
      <c r="B371" s="48">
        <f t="shared" si="764"/>
        <v>27</v>
      </c>
      <c r="C371" s="85">
        <f t="shared" si="765"/>
        <v>148</v>
      </c>
      <c r="D371" s="85">
        <f t="shared" si="766"/>
        <v>37</v>
      </c>
      <c r="E371" s="52">
        <f t="shared" ca="1" si="761"/>
        <v>0.24638562623967866</v>
      </c>
      <c r="F371" s="52">
        <f t="shared" ca="1" si="762"/>
        <v>0.31169679921910837</v>
      </c>
    </row>
    <row r="372" spans="1:6" s="14" customFormat="1">
      <c r="A372" s="48">
        <f t="shared" si="763"/>
        <v>5</v>
      </c>
      <c r="B372" s="48">
        <f t="shared" si="764"/>
        <v>28</v>
      </c>
      <c r="C372" s="85">
        <f t="shared" si="765"/>
        <v>148</v>
      </c>
      <c r="D372" s="85">
        <f t="shared" si="766"/>
        <v>38</v>
      </c>
      <c r="E372" s="52">
        <f t="shared" ca="1" si="761"/>
        <v>0.25464695923401126</v>
      </c>
      <c r="F372" s="52">
        <f t="shared" ca="1" si="762"/>
        <v>0.3000768428185594</v>
      </c>
    </row>
    <row r="373" spans="1:6" s="14" customFormat="1">
      <c r="A373" s="48">
        <f t="shared" si="763"/>
        <v>5</v>
      </c>
      <c r="B373" s="48">
        <f t="shared" si="764"/>
        <v>29</v>
      </c>
      <c r="C373" s="85">
        <f t="shared" si="765"/>
        <v>148</v>
      </c>
      <c r="D373" s="85">
        <f t="shared" si="766"/>
        <v>39</v>
      </c>
      <c r="E373" s="52">
        <f t="shared" ca="1" si="761"/>
        <v>0.24949950625693693</v>
      </c>
      <c r="F373" s="52">
        <f t="shared" ca="1" si="762"/>
        <v>0.3031434674278875</v>
      </c>
    </row>
    <row r="374" spans="1:6" s="14" customFormat="1">
      <c r="A374" s="48">
        <f t="shared" si="763"/>
        <v>5</v>
      </c>
      <c r="B374" s="48">
        <f t="shared" si="764"/>
        <v>30</v>
      </c>
      <c r="C374" s="85">
        <f t="shared" si="765"/>
        <v>148</v>
      </c>
      <c r="D374" s="85">
        <f t="shared" si="766"/>
        <v>40</v>
      </c>
      <c r="E374" s="52">
        <f t="shared" ca="1" si="761"/>
        <v>0.25440116425630871</v>
      </c>
      <c r="F374" s="52">
        <f t="shared" ca="1" si="762"/>
        <v>0.31180870817030348</v>
      </c>
    </row>
    <row r="375" spans="1:6" s="14" customFormat="1">
      <c r="A375" s="48">
        <f t="shared" si="763"/>
        <v>5</v>
      </c>
      <c r="B375" s="48">
        <f t="shared" si="764"/>
        <v>31</v>
      </c>
      <c r="C375" s="85">
        <f t="shared" si="765"/>
        <v>148</v>
      </c>
      <c r="D375" s="85">
        <f t="shared" si="766"/>
        <v>41</v>
      </c>
      <c r="E375" s="52">
        <f t="shared" ca="1" si="761"/>
        <v>0.24428185510753914</v>
      </c>
      <c r="F375" s="52">
        <f t="shared" ca="1" si="762"/>
        <v>0.31620506969352669</v>
      </c>
    </row>
    <row r="376" spans="1:6" s="14" customFormat="1">
      <c r="A376" s="48">
        <f t="shared" si="763"/>
        <v>6</v>
      </c>
      <c r="B376" s="48">
        <f t="shared" si="764"/>
        <v>0</v>
      </c>
      <c r="C376" s="85">
        <f t="shared" si="765"/>
        <v>157</v>
      </c>
      <c r="D376" s="85">
        <f t="shared" si="766"/>
        <v>10</v>
      </c>
      <c r="E376" s="52">
        <f t="shared" ca="1" si="761"/>
        <v>0</v>
      </c>
      <c r="F376" s="52">
        <f t="shared" ca="1" si="762"/>
        <v>0</v>
      </c>
    </row>
    <row r="377" spans="1:6" s="14" customFormat="1">
      <c r="A377" s="48">
        <f t="shared" si="763"/>
        <v>6</v>
      </c>
      <c r="B377" s="48">
        <f t="shared" si="764"/>
        <v>1</v>
      </c>
      <c r="C377" s="85">
        <f t="shared" si="765"/>
        <v>157</v>
      </c>
      <c r="D377" s="85">
        <f t="shared" si="766"/>
        <v>11</v>
      </c>
      <c r="E377" s="52">
        <f t="shared" ref="E377:E440" ca="1" si="767">IF(INDIRECT("R"&amp;C377&amp;"C"&amp;D377,0)&lt;&gt;"",INDIRECT("R"&amp;C377&amp;"C"&amp;D377,0),0)</f>
        <v>0.16789733022158609</v>
      </c>
      <c r="F377" s="52">
        <f t="shared" ref="F377:F440" ca="1" si="768">IF(INDIRECT("R"&amp;(C377+1)&amp;"C"&amp;D377,0)&lt;&gt;"",INDIRECT("R"&amp;(C377+1)&amp;"C"&amp;D377,0),0)</f>
        <v>0.27068402131538033</v>
      </c>
    </row>
    <row r="378" spans="1:6" s="14" customFormat="1">
      <c r="A378" s="48">
        <f t="shared" si="763"/>
        <v>6</v>
      </c>
      <c r="B378" s="48">
        <f t="shared" si="764"/>
        <v>2</v>
      </c>
      <c r="C378" s="85">
        <f t="shared" si="765"/>
        <v>157</v>
      </c>
      <c r="D378" s="85">
        <f t="shared" si="766"/>
        <v>12</v>
      </c>
      <c r="E378" s="52">
        <f t="shared" ca="1" si="767"/>
        <v>0.1751049211416642</v>
      </c>
      <c r="F378" s="52">
        <f t="shared" ca="1" si="768"/>
        <v>0.26210225651334751</v>
      </c>
    </row>
    <row r="379" spans="1:6" s="14" customFormat="1">
      <c r="A379" s="48">
        <f t="shared" si="763"/>
        <v>6</v>
      </c>
      <c r="B379" s="48">
        <f t="shared" si="764"/>
        <v>3</v>
      </c>
      <c r="C379" s="85">
        <f t="shared" si="765"/>
        <v>157</v>
      </c>
      <c r="D379" s="85">
        <f t="shared" si="766"/>
        <v>13</v>
      </c>
      <c r="E379" s="52">
        <f t="shared" ca="1" si="767"/>
        <v>0.17277105909167922</v>
      </c>
      <c r="F379" s="52">
        <f t="shared" ca="1" si="768"/>
        <v>0.27500136266332137</v>
      </c>
    </row>
    <row r="380" spans="1:6" s="14" customFormat="1">
      <c r="A380" s="48">
        <f t="shared" si="763"/>
        <v>6</v>
      </c>
      <c r="B380" s="48">
        <f t="shared" si="764"/>
        <v>4</v>
      </c>
      <c r="C380" s="85">
        <f t="shared" si="765"/>
        <v>157</v>
      </c>
      <c r="D380" s="85">
        <f t="shared" si="766"/>
        <v>14</v>
      </c>
      <c r="E380" s="52">
        <f t="shared" ca="1" si="767"/>
        <v>0.17616104841044403</v>
      </c>
      <c r="F380" s="52">
        <f t="shared" ca="1" si="768"/>
        <v>0.25615164336588864</v>
      </c>
    </row>
    <row r="381" spans="1:6" s="14" customFormat="1">
      <c r="A381" s="48">
        <f t="shared" si="763"/>
        <v>6</v>
      </c>
      <c r="B381" s="48">
        <f t="shared" si="764"/>
        <v>5</v>
      </c>
      <c r="C381" s="85">
        <f t="shared" si="765"/>
        <v>157</v>
      </c>
      <c r="D381" s="85">
        <f t="shared" si="766"/>
        <v>15</v>
      </c>
      <c r="E381" s="52">
        <f t="shared" ca="1" si="767"/>
        <v>0.17219324188054219</v>
      </c>
      <c r="F381" s="52">
        <f t="shared" ca="1" si="768"/>
        <v>0.26931122278121072</v>
      </c>
    </row>
    <row r="382" spans="1:6" s="14" customFormat="1">
      <c r="A382" s="48">
        <f t="shared" si="763"/>
        <v>6</v>
      </c>
      <c r="B382" s="48">
        <f t="shared" si="764"/>
        <v>6</v>
      </c>
      <c r="C382" s="85">
        <f t="shared" si="765"/>
        <v>157</v>
      </c>
      <c r="D382" s="85">
        <f t="shared" si="766"/>
        <v>16</v>
      </c>
      <c r="E382" s="52">
        <f t="shared" ca="1" si="767"/>
        <v>0.17415257502419604</v>
      </c>
      <c r="F382" s="52">
        <f t="shared" ca="1" si="768"/>
        <v>0.26291677738233005</v>
      </c>
    </row>
    <row r="383" spans="1:6" s="14" customFormat="1">
      <c r="A383" s="48">
        <f t="shared" si="763"/>
        <v>6</v>
      </c>
      <c r="B383" s="48">
        <f t="shared" si="764"/>
        <v>7</v>
      </c>
      <c r="C383" s="85">
        <f t="shared" si="765"/>
        <v>157</v>
      </c>
      <c r="D383" s="85">
        <f t="shared" si="766"/>
        <v>17</v>
      </c>
      <c r="E383" s="52">
        <f t="shared" ca="1" si="767"/>
        <v>0.17002509227377186</v>
      </c>
      <c r="F383" s="52">
        <f t="shared" ca="1" si="768"/>
        <v>0.27107360617129306</v>
      </c>
    </row>
    <row r="384" spans="1:6" s="14" customFormat="1">
      <c r="A384" s="48">
        <f t="shared" si="763"/>
        <v>6</v>
      </c>
      <c r="B384" s="48">
        <f t="shared" si="764"/>
        <v>8</v>
      </c>
      <c r="C384" s="85">
        <f t="shared" si="765"/>
        <v>157</v>
      </c>
      <c r="D384" s="85">
        <f t="shared" si="766"/>
        <v>18</v>
      </c>
      <c r="E384" s="52">
        <f t="shared" ca="1" si="767"/>
        <v>0.17606590521497778</v>
      </c>
      <c r="F384" s="52">
        <f t="shared" ca="1" si="768"/>
        <v>0.25866419566647741</v>
      </c>
    </row>
    <row r="385" spans="1:6" s="14" customFormat="1">
      <c r="A385" s="48">
        <f t="shared" si="763"/>
        <v>6</v>
      </c>
      <c r="B385" s="48">
        <f t="shared" si="764"/>
        <v>9</v>
      </c>
      <c r="C385" s="85">
        <f t="shared" si="765"/>
        <v>157</v>
      </c>
      <c r="D385" s="85">
        <f t="shared" si="766"/>
        <v>19</v>
      </c>
      <c r="E385" s="52">
        <f t="shared" ca="1" si="767"/>
        <v>0</v>
      </c>
      <c r="F385" s="52">
        <f t="shared" ca="1" si="768"/>
        <v>0</v>
      </c>
    </row>
    <row r="386" spans="1:6" s="14" customFormat="1">
      <c r="A386" s="48">
        <f t="shared" si="763"/>
        <v>6</v>
      </c>
      <c r="B386" s="48">
        <f t="shared" si="764"/>
        <v>10</v>
      </c>
      <c r="C386" s="85">
        <f t="shared" si="765"/>
        <v>157</v>
      </c>
      <c r="D386" s="85">
        <f t="shared" si="766"/>
        <v>20</v>
      </c>
      <c r="E386" s="52">
        <f t="shared" ca="1" si="767"/>
        <v>0.17793628659335245</v>
      </c>
      <c r="F386" s="52">
        <f t="shared" ca="1" si="768"/>
        <v>0.25792308492202765</v>
      </c>
    </row>
    <row r="387" spans="1:6" s="14" customFormat="1">
      <c r="A387" s="48">
        <f t="shared" si="763"/>
        <v>6</v>
      </c>
      <c r="B387" s="48">
        <f t="shared" si="764"/>
        <v>11</v>
      </c>
      <c r="C387" s="85">
        <f t="shared" si="765"/>
        <v>157</v>
      </c>
      <c r="D387" s="85">
        <f t="shared" si="766"/>
        <v>21</v>
      </c>
      <c r="E387" s="52">
        <f t="shared" ca="1" si="767"/>
        <v>0.17870023880808547</v>
      </c>
      <c r="F387" s="52">
        <f t="shared" ca="1" si="768"/>
        <v>0.2641248064069267</v>
      </c>
    </row>
    <row r="388" spans="1:6" s="14" customFormat="1">
      <c r="A388" s="48">
        <f t="shared" si="763"/>
        <v>6</v>
      </c>
      <c r="B388" s="48">
        <f t="shared" si="764"/>
        <v>12</v>
      </c>
      <c r="C388" s="85">
        <f t="shared" si="765"/>
        <v>157</v>
      </c>
      <c r="D388" s="85">
        <f t="shared" si="766"/>
        <v>22</v>
      </c>
      <c r="E388" s="52">
        <f t="shared" ca="1" si="767"/>
        <v>0.17696521878125129</v>
      </c>
      <c r="F388" s="52">
        <f t="shared" ca="1" si="768"/>
        <v>0.25890803901519915</v>
      </c>
    </row>
    <row r="389" spans="1:6" s="14" customFormat="1">
      <c r="A389" s="48">
        <f t="shared" si="763"/>
        <v>6</v>
      </c>
      <c r="B389" s="48">
        <f t="shared" si="764"/>
        <v>13</v>
      </c>
      <c r="C389" s="85">
        <f t="shared" si="765"/>
        <v>157</v>
      </c>
      <c r="D389" s="85">
        <f t="shared" si="766"/>
        <v>23</v>
      </c>
      <c r="E389" s="52">
        <f t="shared" ca="1" si="767"/>
        <v>0.17722185043928229</v>
      </c>
      <c r="F389" s="52">
        <f t="shared" ca="1" si="768"/>
        <v>0.25577723128555618</v>
      </c>
    </row>
    <row r="390" spans="1:6" s="14" customFormat="1">
      <c r="A390" s="48">
        <f t="shared" si="763"/>
        <v>6</v>
      </c>
      <c r="B390" s="48">
        <f t="shared" si="764"/>
        <v>14</v>
      </c>
      <c r="C390" s="85">
        <f t="shared" si="765"/>
        <v>157</v>
      </c>
      <c r="D390" s="85">
        <f t="shared" si="766"/>
        <v>24</v>
      </c>
      <c r="E390" s="52">
        <f t="shared" ca="1" si="767"/>
        <v>0.17572380925020251</v>
      </c>
      <c r="F390" s="52">
        <f t="shared" ca="1" si="768"/>
        <v>0.26145677012511342</v>
      </c>
    </row>
    <row r="391" spans="1:6" s="14" customFormat="1">
      <c r="A391" s="48">
        <f t="shared" si="763"/>
        <v>6</v>
      </c>
      <c r="B391" s="48">
        <f t="shared" si="764"/>
        <v>15</v>
      </c>
      <c r="C391" s="85">
        <f t="shared" si="765"/>
        <v>157</v>
      </c>
      <c r="D391" s="85">
        <f t="shared" si="766"/>
        <v>25</v>
      </c>
      <c r="E391" s="52">
        <f t="shared" ca="1" si="767"/>
        <v>0.17865192824948284</v>
      </c>
      <c r="F391" s="52">
        <f t="shared" ca="1" si="768"/>
        <v>0.25408577557798229</v>
      </c>
    </row>
    <row r="392" spans="1:6" s="14" customFormat="1">
      <c r="A392" s="48">
        <f t="shared" si="763"/>
        <v>6</v>
      </c>
      <c r="B392" s="48">
        <f t="shared" si="764"/>
        <v>16</v>
      </c>
      <c r="C392" s="85">
        <f t="shared" si="765"/>
        <v>157</v>
      </c>
      <c r="D392" s="85">
        <f t="shared" si="766"/>
        <v>26</v>
      </c>
      <c r="E392" s="52">
        <f t="shared" ca="1" si="767"/>
        <v>0.17676480706121975</v>
      </c>
      <c r="F392" s="52">
        <f t="shared" ca="1" si="768"/>
        <v>0.2620769217826997</v>
      </c>
    </row>
    <row r="393" spans="1:6" s="14" customFormat="1">
      <c r="A393" s="48">
        <f t="shared" si="763"/>
        <v>6</v>
      </c>
      <c r="B393" s="48">
        <f t="shared" si="764"/>
        <v>17</v>
      </c>
      <c r="C393" s="85">
        <f t="shared" si="765"/>
        <v>157</v>
      </c>
      <c r="D393" s="85">
        <f t="shared" si="766"/>
        <v>27</v>
      </c>
      <c r="E393" s="52">
        <f t="shared" ca="1" si="767"/>
        <v>0</v>
      </c>
      <c r="F393" s="52">
        <f t="shared" ca="1" si="768"/>
        <v>0</v>
      </c>
    </row>
    <row r="394" spans="1:6" s="14" customFormat="1">
      <c r="A394" s="48">
        <f t="shared" si="763"/>
        <v>6</v>
      </c>
      <c r="B394" s="48">
        <f t="shared" si="764"/>
        <v>18</v>
      </c>
      <c r="C394" s="85">
        <f t="shared" si="765"/>
        <v>157</v>
      </c>
      <c r="D394" s="85">
        <f t="shared" si="766"/>
        <v>28</v>
      </c>
      <c r="E394" s="52">
        <f t="shared" ca="1" si="767"/>
        <v>0</v>
      </c>
      <c r="F394" s="52">
        <f t="shared" ca="1" si="768"/>
        <v>0</v>
      </c>
    </row>
    <row r="395" spans="1:6" s="14" customFormat="1">
      <c r="A395" s="48">
        <f t="shared" si="763"/>
        <v>6</v>
      </c>
      <c r="B395" s="48">
        <f t="shared" si="764"/>
        <v>19</v>
      </c>
      <c r="C395" s="85">
        <f t="shared" si="765"/>
        <v>157</v>
      </c>
      <c r="D395" s="85">
        <f t="shared" si="766"/>
        <v>29</v>
      </c>
      <c r="E395" s="52">
        <f t="shared" ca="1" si="767"/>
        <v>0</v>
      </c>
      <c r="F395" s="52">
        <f t="shared" ca="1" si="768"/>
        <v>0</v>
      </c>
    </row>
    <row r="396" spans="1:6" s="14" customFormat="1">
      <c r="A396" s="48">
        <f t="shared" si="763"/>
        <v>6</v>
      </c>
      <c r="B396" s="48">
        <f t="shared" si="764"/>
        <v>20</v>
      </c>
      <c r="C396" s="85">
        <f t="shared" si="765"/>
        <v>157</v>
      </c>
      <c r="D396" s="85">
        <f t="shared" si="766"/>
        <v>30</v>
      </c>
      <c r="E396" s="52">
        <f t="shared" ca="1" si="767"/>
        <v>0.17570608647594799</v>
      </c>
      <c r="F396" s="52">
        <f t="shared" ca="1" si="768"/>
        <v>0.2595862394035896</v>
      </c>
    </row>
    <row r="397" spans="1:6" s="14" customFormat="1">
      <c r="A397" s="48">
        <f t="shared" si="763"/>
        <v>6</v>
      </c>
      <c r="B397" s="48">
        <f t="shared" si="764"/>
        <v>21</v>
      </c>
      <c r="C397" s="85">
        <f t="shared" si="765"/>
        <v>157</v>
      </c>
      <c r="D397" s="85">
        <f t="shared" si="766"/>
        <v>31</v>
      </c>
      <c r="E397" s="52">
        <f t="shared" ca="1" si="767"/>
        <v>0.17899998164114772</v>
      </c>
      <c r="F397" s="52">
        <f t="shared" ca="1" si="768"/>
        <v>0.25532585466685481</v>
      </c>
    </row>
    <row r="398" spans="1:6" s="14" customFormat="1">
      <c r="A398" s="48">
        <f t="shared" si="763"/>
        <v>6</v>
      </c>
      <c r="B398" s="48">
        <f t="shared" si="764"/>
        <v>22</v>
      </c>
      <c r="C398" s="85">
        <f t="shared" si="765"/>
        <v>157</v>
      </c>
      <c r="D398" s="85">
        <f t="shared" si="766"/>
        <v>32</v>
      </c>
      <c r="E398" s="52">
        <f t="shared" ca="1" si="767"/>
        <v>0</v>
      </c>
      <c r="F398" s="52">
        <f t="shared" ca="1" si="768"/>
        <v>0</v>
      </c>
    </row>
    <row r="399" spans="1:6" s="14" customFormat="1">
      <c r="A399" s="48">
        <f t="shared" si="763"/>
        <v>6</v>
      </c>
      <c r="B399" s="48">
        <f t="shared" si="764"/>
        <v>23</v>
      </c>
      <c r="C399" s="85">
        <f t="shared" si="765"/>
        <v>157</v>
      </c>
      <c r="D399" s="85">
        <f t="shared" si="766"/>
        <v>33</v>
      </c>
      <c r="E399" s="52">
        <f t="shared" ca="1" si="767"/>
        <v>0</v>
      </c>
      <c r="F399" s="52">
        <f t="shared" ca="1" si="768"/>
        <v>0</v>
      </c>
    </row>
    <row r="400" spans="1:6" s="14" customFormat="1">
      <c r="A400" s="48">
        <f t="shared" si="763"/>
        <v>6</v>
      </c>
      <c r="B400" s="48">
        <f t="shared" si="764"/>
        <v>24</v>
      </c>
      <c r="C400" s="85">
        <f t="shared" si="765"/>
        <v>157</v>
      </c>
      <c r="D400" s="85">
        <f t="shared" si="766"/>
        <v>34</v>
      </c>
      <c r="E400" s="52">
        <f t="shared" ca="1" si="767"/>
        <v>0.17459936610997023</v>
      </c>
      <c r="F400" s="52">
        <f t="shared" ca="1" si="768"/>
        <v>0.26475469034798083</v>
      </c>
    </row>
    <row r="401" spans="1:6" s="14" customFormat="1">
      <c r="A401" s="48">
        <f t="shared" si="763"/>
        <v>6</v>
      </c>
      <c r="B401" s="48">
        <f t="shared" si="764"/>
        <v>25</v>
      </c>
      <c r="C401" s="85">
        <f t="shared" si="765"/>
        <v>157</v>
      </c>
      <c r="D401" s="85">
        <f t="shared" si="766"/>
        <v>35</v>
      </c>
      <c r="E401" s="52">
        <f t="shared" ca="1" si="767"/>
        <v>0</v>
      </c>
      <c r="F401" s="52">
        <f t="shared" ca="1" si="768"/>
        <v>0</v>
      </c>
    </row>
    <row r="402" spans="1:6" s="14" customFormat="1">
      <c r="A402" s="48">
        <f t="shared" si="763"/>
        <v>6</v>
      </c>
      <c r="B402" s="48">
        <f t="shared" si="764"/>
        <v>26</v>
      </c>
      <c r="C402" s="85">
        <f t="shared" si="765"/>
        <v>157</v>
      </c>
      <c r="D402" s="85">
        <f t="shared" si="766"/>
        <v>36</v>
      </c>
      <c r="E402" s="52">
        <f t="shared" ca="1" si="767"/>
        <v>0</v>
      </c>
      <c r="F402" s="52">
        <f t="shared" ca="1" si="768"/>
        <v>0</v>
      </c>
    </row>
    <row r="403" spans="1:6" s="14" customFormat="1">
      <c r="A403" s="48">
        <f t="shared" si="763"/>
        <v>6</v>
      </c>
      <c r="B403" s="48">
        <f t="shared" si="764"/>
        <v>27</v>
      </c>
      <c r="C403" s="85">
        <f t="shared" si="765"/>
        <v>157</v>
      </c>
      <c r="D403" s="85">
        <f t="shared" si="766"/>
        <v>37</v>
      </c>
      <c r="E403" s="52">
        <f t="shared" ca="1" si="767"/>
        <v>0.17245686071935021</v>
      </c>
      <c r="F403" s="52">
        <f t="shared" ca="1" si="768"/>
        <v>0.26910145358228327</v>
      </c>
    </row>
    <row r="404" spans="1:6" s="14" customFormat="1">
      <c r="A404" s="48">
        <f t="shared" si="763"/>
        <v>6</v>
      </c>
      <c r="B404" s="48">
        <f t="shared" si="764"/>
        <v>28</v>
      </c>
      <c r="C404" s="85">
        <f t="shared" si="765"/>
        <v>157</v>
      </c>
      <c r="D404" s="85">
        <f t="shared" si="766"/>
        <v>38</v>
      </c>
      <c r="E404" s="52">
        <f t="shared" ca="1" si="767"/>
        <v>0.17935947586072712</v>
      </c>
      <c r="F404" s="52">
        <f t="shared" ca="1" si="768"/>
        <v>0.25181484405778365</v>
      </c>
    </row>
    <row r="405" spans="1:6" s="14" customFormat="1">
      <c r="A405" s="48">
        <f t="shared" si="763"/>
        <v>6</v>
      </c>
      <c r="B405" s="48">
        <f t="shared" si="764"/>
        <v>29</v>
      </c>
      <c r="C405" s="85">
        <f t="shared" si="765"/>
        <v>157</v>
      </c>
      <c r="D405" s="85">
        <f t="shared" si="766"/>
        <v>39</v>
      </c>
      <c r="E405" s="52">
        <f t="shared" ca="1" si="767"/>
        <v>0.17277492871022415</v>
      </c>
      <c r="F405" s="52">
        <f t="shared" ca="1" si="768"/>
        <v>0.25995525084749938</v>
      </c>
    </row>
    <row r="406" spans="1:6" s="14" customFormat="1">
      <c r="A406" s="48">
        <f t="shared" si="763"/>
        <v>6</v>
      </c>
      <c r="B406" s="48">
        <f t="shared" si="764"/>
        <v>30</v>
      </c>
      <c r="C406" s="85">
        <f t="shared" si="765"/>
        <v>157</v>
      </c>
      <c r="D406" s="85">
        <f t="shared" si="766"/>
        <v>40</v>
      </c>
      <c r="E406" s="52">
        <f t="shared" ca="1" si="767"/>
        <v>0.17704229616764133</v>
      </c>
      <c r="F406" s="52">
        <f t="shared" ca="1" si="768"/>
        <v>0.26635861795949339</v>
      </c>
    </row>
    <row r="407" spans="1:6" s="14" customFormat="1">
      <c r="A407" s="48">
        <f t="shared" si="763"/>
        <v>6</v>
      </c>
      <c r="B407" s="48">
        <f t="shared" si="764"/>
        <v>31</v>
      </c>
      <c r="C407" s="85">
        <f t="shared" si="765"/>
        <v>157</v>
      </c>
      <c r="D407" s="85">
        <f t="shared" si="766"/>
        <v>41</v>
      </c>
      <c r="E407" s="52">
        <f t="shared" ca="1" si="767"/>
        <v>0.16878958534844787</v>
      </c>
      <c r="F407" s="52">
        <f t="shared" ca="1" si="768"/>
        <v>0.26957854892560346</v>
      </c>
    </row>
    <row r="408" spans="1:6" s="14" customFormat="1">
      <c r="A408" s="48">
        <f t="shared" si="763"/>
        <v>7</v>
      </c>
      <c r="B408" s="48">
        <f t="shared" si="764"/>
        <v>0</v>
      </c>
      <c r="C408" s="85">
        <f t="shared" si="765"/>
        <v>166</v>
      </c>
      <c r="D408" s="85">
        <f t="shared" si="766"/>
        <v>10</v>
      </c>
      <c r="E408" s="52">
        <f t="shared" ca="1" si="767"/>
        <v>0</v>
      </c>
      <c r="F408" s="52">
        <f t="shared" ca="1" si="768"/>
        <v>0</v>
      </c>
    </row>
    <row r="409" spans="1:6" s="14" customFormat="1">
      <c r="A409" s="48">
        <f t="shared" ref="A409:A471" si="769">A377+1</f>
        <v>7</v>
      </c>
      <c r="B409" s="48">
        <f t="shared" ref="B409:B471" si="770">B377</f>
        <v>1</v>
      </c>
      <c r="C409" s="85">
        <f t="shared" ref="C409:C471" si="771">C377+$A$183</f>
        <v>166</v>
      </c>
      <c r="D409" s="85">
        <f t="shared" ref="D409:D471" si="772">D377</f>
        <v>11</v>
      </c>
      <c r="E409" s="52">
        <f t="shared" ca="1" si="767"/>
        <v>0.21512993232332489</v>
      </c>
      <c r="F409" s="52">
        <f t="shared" ca="1" si="768"/>
        <v>0.28057902761901293</v>
      </c>
    </row>
    <row r="410" spans="1:6" s="14" customFormat="1">
      <c r="A410" s="48">
        <f t="shared" si="769"/>
        <v>7</v>
      </c>
      <c r="B410" s="48">
        <f t="shared" si="770"/>
        <v>2</v>
      </c>
      <c r="C410" s="85">
        <f t="shared" si="771"/>
        <v>166</v>
      </c>
      <c r="D410" s="85">
        <f t="shared" si="772"/>
        <v>12</v>
      </c>
      <c r="E410" s="52">
        <f t="shared" ca="1" si="767"/>
        <v>0.22103685748943891</v>
      </c>
      <c r="F410" s="52">
        <f t="shared" ca="1" si="768"/>
        <v>0.26929285439075545</v>
      </c>
    </row>
    <row r="411" spans="1:6" s="14" customFormat="1">
      <c r="A411" s="48">
        <f t="shared" si="769"/>
        <v>7</v>
      </c>
      <c r="B411" s="48">
        <f t="shared" si="770"/>
        <v>3</v>
      </c>
      <c r="C411" s="85">
        <f t="shared" si="771"/>
        <v>166</v>
      </c>
      <c r="D411" s="85">
        <f t="shared" si="772"/>
        <v>13</v>
      </c>
      <c r="E411" s="52">
        <f t="shared" ca="1" si="767"/>
        <v>0.21811787613622269</v>
      </c>
      <c r="F411" s="52">
        <f t="shared" ca="1" si="768"/>
        <v>0.28056183235567284</v>
      </c>
    </row>
    <row r="412" spans="1:6" s="14" customFormat="1">
      <c r="A412" s="48">
        <f t="shared" si="769"/>
        <v>7</v>
      </c>
      <c r="B412" s="48">
        <f t="shared" si="770"/>
        <v>4</v>
      </c>
      <c r="C412" s="85">
        <f t="shared" si="771"/>
        <v>166</v>
      </c>
      <c r="D412" s="85">
        <f t="shared" si="772"/>
        <v>14</v>
      </c>
      <c r="E412" s="52">
        <f t="shared" ca="1" si="767"/>
        <v>0.2217817367274228</v>
      </c>
      <c r="F412" s="52">
        <f t="shared" ca="1" si="768"/>
        <v>0.26588868540395588</v>
      </c>
    </row>
    <row r="413" spans="1:6" s="14" customFormat="1">
      <c r="A413" s="48">
        <f t="shared" si="769"/>
        <v>7</v>
      </c>
      <c r="B413" s="48">
        <f t="shared" si="770"/>
        <v>5</v>
      </c>
      <c r="C413" s="85">
        <f t="shared" si="771"/>
        <v>166</v>
      </c>
      <c r="D413" s="85">
        <f t="shared" si="772"/>
        <v>15</v>
      </c>
      <c r="E413" s="52">
        <f t="shared" ca="1" si="767"/>
        <v>0.22033112443554911</v>
      </c>
      <c r="F413" s="52">
        <f t="shared" ca="1" si="768"/>
        <v>0.27468121613463115</v>
      </c>
    </row>
    <row r="414" spans="1:6" s="14" customFormat="1">
      <c r="A414" s="48">
        <f t="shared" si="769"/>
        <v>7</v>
      </c>
      <c r="B414" s="48">
        <f t="shared" si="770"/>
        <v>6</v>
      </c>
      <c r="C414" s="85">
        <f t="shared" si="771"/>
        <v>166</v>
      </c>
      <c r="D414" s="85">
        <f t="shared" si="772"/>
        <v>16</v>
      </c>
      <c r="E414" s="52">
        <f t="shared" ca="1" si="767"/>
        <v>0.21820299536547746</v>
      </c>
      <c r="F414" s="52">
        <f t="shared" ca="1" si="768"/>
        <v>0.27243007155563803</v>
      </c>
    </row>
    <row r="415" spans="1:6" s="14" customFormat="1">
      <c r="A415" s="48">
        <f t="shared" si="769"/>
        <v>7</v>
      </c>
      <c r="B415" s="48">
        <f t="shared" si="770"/>
        <v>7</v>
      </c>
      <c r="C415" s="85">
        <f t="shared" si="771"/>
        <v>166</v>
      </c>
      <c r="D415" s="85">
        <f t="shared" si="772"/>
        <v>17</v>
      </c>
      <c r="E415" s="52">
        <f t="shared" ca="1" si="767"/>
        <v>0.22048093202071642</v>
      </c>
      <c r="F415" s="52">
        <f t="shared" ca="1" si="768"/>
        <v>0.27427741838544739</v>
      </c>
    </row>
    <row r="416" spans="1:6" s="14" customFormat="1">
      <c r="A416" s="48">
        <f t="shared" si="769"/>
        <v>7</v>
      </c>
      <c r="B416" s="48">
        <f t="shared" si="770"/>
        <v>8</v>
      </c>
      <c r="C416" s="85">
        <f t="shared" si="771"/>
        <v>166</v>
      </c>
      <c r="D416" s="85">
        <f t="shared" si="772"/>
        <v>18</v>
      </c>
      <c r="E416" s="52">
        <f t="shared" ca="1" si="767"/>
        <v>0.22165236526466386</v>
      </c>
      <c r="F416" s="52">
        <f t="shared" ca="1" si="768"/>
        <v>0.266888202220676</v>
      </c>
    </row>
    <row r="417" spans="1:6" s="14" customFormat="1">
      <c r="A417" s="48">
        <f t="shared" si="769"/>
        <v>7</v>
      </c>
      <c r="B417" s="48">
        <f t="shared" si="770"/>
        <v>9</v>
      </c>
      <c r="C417" s="85">
        <f t="shared" si="771"/>
        <v>166</v>
      </c>
      <c r="D417" s="85">
        <f t="shared" si="772"/>
        <v>19</v>
      </c>
      <c r="E417" s="52">
        <f t="shared" ca="1" si="767"/>
        <v>0</v>
      </c>
      <c r="F417" s="52">
        <f t="shared" ca="1" si="768"/>
        <v>0</v>
      </c>
    </row>
    <row r="418" spans="1:6" s="14" customFormat="1">
      <c r="A418" s="48">
        <f t="shared" si="769"/>
        <v>7</v>
      </c>
      <c r="B418" s="48">
        <f t="shared" si="770"/>
        <v>10</v>
      </c>
      <c r="C418" s="85">
        <f t="shared" si="771"/>
        <v>166</v>
      </c>
      <c r="D418" s="85">
        <f t="shared" si="772"/>
        <v>20</v>
      </c>
      <c r="E418" s="52">
        <f t="shared" ca="1" si="767"/>
        <v>0.22754003949970333</v>
      </c>
      <c r="F418" s="52">
        <f t="shared" ca="1" si="768"/>
        <v>0.26625431901886143</v>
      </c>
    </row>
    <row r="419" spans="1:6" s="14" customFormat="1">
      <c r="A419" s="48">
        <f t="shared" si="769"/>
        <v>7</v>
      </c>
      <c r="B419" s="48">
        <f t="shared" si="770"/>
        <v>11</v>
      </c>
      <c r="C419" s="85">
        <f t="shared" si="771"/>
        <v>166</v>
      </c>
      <c r="D419" s="85">
        <f t="shared" si="772"/>
        <v>21</v>
      </c>
      <c r="E419" s="52">
        <f t="shared" ca="1" si="767"/>
        <v>0.22669157972799833</v>
      </c>
      <c r="F419" s="52">
        <f t="shared" ca="1" si="768"/>
        <v>0.27110401455687294</v>
      </c>
    </row>
    <row r="420" spans="1:6" s="14" customFormat="1">
      <c r="A420" s="48">
        <f t="shared" si="769"/>
        <v>7</v>
      </c>
      <c r="B420" s="48">
        <f t="shared" si="770"/>
        <v>12</v>
      </c>
      <c r="C420" s="85">
        <f t="shared" si="771"/>
        <v>166</v>
      </c>
      <c r="D420" s="85">
        <f t="shared" si="772"/>
        <v>22</v>
      </c>
      <c r="E420" s="52">
        <f t="shared" ca="1" si="767"/>
        <v>0.23487925216716515</v>
      </c>
      <c r="F420" s="52">
        <f t="shared" ca="1" si="768"/>
        <v>0.26354642696977326</v>
      </c>
    </row>
    <row r="421" spans="1:6" s="14" customFormat="1">
      <c r="A421" s="48">
        <f t="shared" si="769"/>
        <v>7</v>
      </c>
      <c r="B421" s="48">
        <f t="shared" si="770"/>
        <v>13</v>
      </c>
      <c r="C421" s="85">
        <f t="shared" si="771"/>
        <v>166</v>
      </c>
      <c r="D421" s="85">
        <f t="shared" si="772"/>
        <v>23</v>
      </c>
      <c r="E421" s="52">
        <f t="shared" ca="1" si="767"/>
        <v>0.23670651391027767</v>
      </c>
      <c r="F421" s="52">
        <f t="shared" ca="1" si="768"/>
        <v>0.25888626448066715</v>
      </c>
    </row>
    <row r="422" spans="1:6" s="14" customFormat="1">
      <c r="A422" s="48">
        <f t="shared" si="769"/>
        <v>7</v>
      </c>
      <c r="B422" s="48">
        <f t="shared" si="770"/>
        <v>14</v>
      </c>
      <c r="C422" s="85">
        <f t="shared" si="771"/>
        <v>166</v>
      </c>
      <c r="D422" s="85">
        <f t="shared" si="772"/>
        <v>24</v>
      </c>
      <c r="E422" s="52">
        <f t="shared" ca="1" si="767"/>
        <v>0.22536573991747635</v>
      </c>
      <c r="F422" s="52">
        <f t="shared" ca="1" si="768"/>
        <v>0.27036736543793144</v>
      </c>
    </row>
    <row r="423" spans="1:6" s="14" customFormat="1">
      <c r="A423" s="48">
        <f t="shared" si="769"/>
        <v>7</v>
      </c>
      <c r="B423" s="48">
        <f t="shared" si="770"/>
        <v>15</v>
      </c>
      <c r="C423" s="85">
        <f t="shared" si="771"/>
        <v>166</v>
      </c>
      <c r="D423" s="85">
        <f t="shared" si="772"/>
        <v>25</v>
      </c>
      <c r="E423" s="52">
        <f t="shared" ca="1" si="767"/>
        <v>0.236632002863496</v>
      </c>
      <c r="F423" s="52">
        <f t="shared" ca="1" si="768"/>
        <v>0.25912945352620242</v>
      </c>
    </row>
    <row r="424" spans="1:6" s="14" customFormat="1">
      <c r="A424" s="48">
        <f t="shared" si="769"/>
        <v>7</v>
      </c>
      <c r="B424" s="48">
        <f t="shared" si="770"/>
        <v>16</v>
      </c>
      <c r="C424" s="85">
        <f t="shared" si="771"/>
        <v>166</v>
      </c>
      <c r="D424" s="85">
        <f t="shared" si="772"/>
        <v>26</v>
      </c>
      <c r="E424" s="52">
        <f t="shared" ca="1" si="767"/>
        <v>0.22833116069212722</v>
      </c>
      <c r="F424" s="52">
        <f t="shared" ca="1" si="768"/>
        <v>0.26797040042568637</v>
      </c>
    </row>
    <row r="425" spans="1:6" s="14" customFormat="1">
      <c r="A425" s="48">
        <f t="shared" si="769"/>
        <v>7</v>
      </c>
      <c r="B425" s="48">
        <f t="shared" si="770"/>
        <v>17</v>
      </c>
      <c r="C425" s="85">
        <f t="shared" si="771"/>
        <v>166</v>
      </c>
      <c r="D425" s="85">
        <f t="shared" si="772"/>
        <v>27</v>
      </c>
      <c r="E425" s="52">
        <f t="shared" ca="1" si="767"/>
        <v>0</v>
      </c>
      <c r="F425" s="52">
        <f t="shared" ca="1" si="768"/>
        <v>0</v>
      </c>
    </row>
    <row r="426" spans="1:6" s="14" customFormat="1">
      <c r="A426" s="48">
        <f t="shared" si="769"/>
        <v>7</v>
      </c>
      <c r="B426" s="48">
        <f t="shared" si="770"/>
        <v>18</v>
      </c>
      <c r="C426" s="85">
        <f t="shared" si="771"/>
        <v>166</v>
      </c>
      <c r="D426" s="85">
        <f t="shared" si="772"/>
        <v>28</v>
      </c>
      <c r="E426" s="52">
        <f t="shared" ca="1" si="767"/>
        <v>0</v>
      </c>
      <c r="F426" s="52">
        <f t="shared" ca="1" si="768"/>
        <v>0</v>
      </c>
    </row>
    <row r="427" spans="1:6" s="14" customFormat="1">
      <c r="A427" s="48">
        <f t="shared" si="769"/>
        <v>7</v>
      </c>
      <c r="B427" s="48">
        <f t="shared" si="770"/>
        <v>19</v>
      </c>
      <c r="C427" s="85">
        <f t="shared" si="771"/>
        <v>166</v>
      </c>
      <c r="D427" s="85">
        <f t="shared" si="772"/>
        <v>29</v>
      </c>
      <c r="E427" s="52">
        <f t="shared" ca="1" si="767"/>
        <v>0</v>
      </c>
      <c r="F427" s="52">
        <f t="shared" ca="1" si="768"/>
        <v>0</v>
      </c>
    </row>
    <row r="428" spans="1:6" s="14" customFormat="1">
      <c r="A428" s="48">
        <f t="shared" si="769"/>
        <v>7</v>
      </c>
      <c r="B428" s="48">
        <f t="shared" si="770"/>
        <v>20</v>
      </c>
      <c r="C428" s="85">
        <f t="shared" si="771"/>
        <v>166</v>
      </c>
      <c r="D428" s="85">
        <f t="shared" si="772"/>
        <v>30</v>
      </c>
      <c r="E428" s="52">
        <f t="shared" ca="1" si="767"/>
        <v>0.22878854408894617</v>
      </c>
      <c r="F428" s="52">
        <f t="shared" ca="1" si="768"/>
        <v>0.26332466090093826</v>
      </c>
    </row>
    <row r="429" spans="1:6" s="14" customFormat="1">
      <c r="A429" s="48">
        <f t="shared" si="769"/>
        <v>7</v>
      </c>
      <c r="B429" s="48">
        <f t="shared" si="770"/>
        <v>21</v>
      </c>
      <c r="C429" s="85">
        <f t="shared" si="771"/>
        <v>166</v>
      </c>
      <c r="D429" s="85">
        <f t="shared" si="772"/>
        <v>31</v>
      </c>
      <c r="E429" s="52">
        <f t="shared" ca="1" si="767"/>
        <v>0.23304307596714399</v>
      </c>
      <c r="F429" s="52">
        <f t="shared" ca="1" si="768"/>
        <v>0.26232520264487696</v>
      </c>
    </row>
    <row r="430" spans="1:6" s="14" customFormat="1">
      <c r="A430" s="48">
        <f t="shared" si="769"/>
        <v>7</v>
      </c>
      <c r="B430" s="48">
        <f t="shared" si="770"/>
        <v>22</v>
      </c>
      <c r="C430" s="85">
        <f t="shared" si="771"/>
        <v>166</v>
      </c>
      <c r="D430" s="85">
        <f t="shared" si="772"/>
        <v>32</v>
      </c>
      <c r="E430" s="52">
        <f t="shared" ca="1" si="767"/>
        <v>0</v>
      </c>
      <c r="F430" s="52">
        <f t="shared" ca="1" si="768"/>
        <v>0</v>
      </c>
    </row>
    <row r="431" spans="1:6" s="14" customFormat="1">
      <c r="A431" s="48">
        <f t="shared" si="769"/>
        <v>7</v>
      </c>
      <c r="B431" s="48">
        <f t="shared" si="770"/>
        <v>23</v>
      </c>
      <c r="C431" s="85">
        <f t="shared" si="771"/>
        <v>166</v>
      </c>
      <c r="D431" s="85">
        <f t="shared" si="772"/>
        <v>33</v>
      </c>
      <c r="E431" s="52">
        <f t="shared" ca="1" si="767"/>
        <v>0</v>
      </c>
      <c r="F431" s="52">
        <f t="shared" ca="1" si="768"/>
        <v>0</v>
      </c>
    </row>
    <row r="432" spans="1:6" s="14" customFormat="1">
      <c r="A432" s="48">
        <f t="shared" si="769"/>
        <v>7</v>
      </c>
      <c r="B432" s="48">
        <f t="shared" si="770"/>
        <v>24</v>
      </c>
      <c r="C432" s="85">
        <f t="shared" si="771"/>
        <v>166</v>
      </c>
      <c r="D432" s="85">
        <f t="shared" si="772"/>
        <v>34</v>
      </c>
      <c r="E432" s="52">
        <f t="shared" ca="1" si="767"/>
        <v>0.22274239207574706</v>
      </c>
      <c r="F432" s="52">
        <f t="shared" ca="1" si="768"/>
        <v>0.27174332590542738</v>
      </c>
    </row>
    <row r="433" spans="1:6" s="14" customFormat="1">
      <c r="A433" s="48">
        <f t="shared" si="769"/>
        <v>7</v>
      </c>
      <c r="B433" s="48">
        <f t="shared" si="770"/>
        <v>25</v>
      </c>
      <c r="C433" s="85">
        <f t="shared" si="771"/>
        <v>166</v>
      </c>
      <c r="D433" s="85">
        <f t="shared" si="772"/>
        <v>35</v>
      </c>
      <c r="E433" s="52">
        <f t="shared" ca="1" si="767"/>
        <v>0</v>
      </c>
      <c r="F433" s="52">
        <f t="shared" ca="1" si="768"/>
        <v>0</v>
      </c>
    </row>
    <row r="434" spans="1:6" s="14" customFormat="1">
      <c r="A434" s="48">
        <f t="shared" si="769"/>
        <v>7</v>
      </c>
      <c r="B434" s="48">
        <f t="shared" si="770"/>
        <v>26</v>
      </c>
      <c r="C434" s="85">
        <f t="shared" si="771"/>
        <v>166</v>
      </c>
      <c r="D434" s="85">
        <f t="shared" si="772"/>
        <v>36</v>
      </c>
      <c r="E434" s="52">
        <f t="shared" ca="1" si="767"/>
        <v>0</v>
      </c>
      <c r="F434" s="52">
        <f t="shared" ca="1" si="768"/>
        <v>0</v>
      </c>
    </row>
    <row r="435" spans="1:6" s="14" customFormat="1">
      <c r="A435" s="48">
        <f t="shared" si="769"/>
        <v>7</v>
      </c>
      <c r="B435" s="48">
        <f t="shared" si="770"/>
        <v>27</v>
      </c>
      <c r="C435" s="85">
        <f t="shared" si="771"/>
        <v>166</v>
      </c>
      <c r="D435" s="85">
        <f t="shared" si="772"/>
        <v>37</v>
      </c>
      <c r="E435" s="52">
        <f t="shared" ca="1" si="767"/>
        <v>0.22485856332999962</v>
      </c>
      <c r="F435" s="52">
        <f t="shared" ca="1" si="768"/>
        <v>0.2765704793582735</v>
      </c>
    </row>
    <row r="436" spans="1:6" s="14" customFormat="1">
      <c r="A436" s="48">
        <f t="shared" si="769"/>
        <v>7</v>
      </c>
      <c r="B436" s="48">
        <f t="shared" si="770"/>
        <v>28</v>
      </c>
      <c r="C436" s="85">
        <f t="shared" si="771"/>
        <v>166</v>
      </c>
      <c r="D436" s="85">
        <f t="shared" si="772"/>
        <v>38</v>
      </c>
      <c r="E436" s="52">
        <f t="shared" ca="1" si="767"/>
        <v>0.23139940232778647</v>
      </c>
      <c r="F436" s="52">
        <f t="shared" ca="1" si="768"/>
        <v>0.25899518433217139</v>
      </c>
    </row>
    <row r="437" spans="1:6" s="14" customFormat="1">
      <c r="A437" s="48">
        <f t="shared" si="769"/>
        <v>7</v>
      </c>
      <c r="B437" s="48">
        <f t="shared" si="770"/>
        <v>29</v>
      </c>
      <c r="C437" s="85">
        <f t="shared" si="771"/>
        <v>166</v>
      </c>
      <c r="D437" s="85">
        <f t="shared" si="772"/>
        <v>39</v>
      </c>
      <c r="E437" s="52">
        <f t="shared" ca="1" si="767"/>
        <v>0.22798925162280109</v>
      </c>
      <c r="F437" s="52">
        <f t="shared" ca="1" si="768"/>
        <v>0.26528879507989828</v>
      </c>
    </row>
    <row r="438" spans="1:6" s="14" customFormat="1">
      <c r="A438" s="48">
        <f t="shared" si="769"/>
        <v>7</v>
      </c>
      <c r="B438" s="48">
        <f t="shared" si="770"/>
        <v>30</v>
      </c>
      <c r="C438" s="85">
        <f t="shared" si="771"/>
        <v>166</v>
      </c>
      <c r="D438" s="85">
        <f t="shared" si="772"/>
        <v>40</v>
      </c>
      <c r="E438" s="52">
        <f t="shared" ca="1" si="767"/>
        <v>0.22638850509560501</v>
      </c>
      <c r="F438" s="52">
        <f t="shared" ca="1" si="768"/>
        <v>0.27977993985957089</v>
      </c>
    </row>
    <row r="439" spans="1:6" s="14" customFormat="1">
      <c r="A439" s="48">
        <f t="shared" si="769"/>
        <v>7</v>
      </c>
      <c r="B439" s="48">
        <f t="shared" si="770"/>
        <v>31</v>
      </c>
      <c r="C439" s="85">
        <f t="shared" si="771"/>
        <v>166</v>
      </c>
      <c r="D439" s="85">
        <f t="shared" si="772"/>
        <v>41</v>
      </c>
      <c r="E439" s="52">
        <f t="shared" ca="1" si="767"/>
        <v>0.22405029579565947</v>
      </c>
      <c r="F439" s="52">
        <f t="shared" ca="1" si="768"/>
        <v>0.27152402415781846</v>
      </c>
    </row>
    <row r="440" spans="1:6" s="14" customFormat="1">
      <c r="A440" s="48">
        <f t="shared" si="769"/>
        <v>8</v>
      </c>
      <c r="B440" s="48">
        <f t="shared" si="770"/>
        <v>0</v>
      </c>
      <c r="C440" s="85">
        <f t="shared" si="771"/>
        <v>175</v>
      </c>
      <c r="D440" s="85">
        <f t="shared" si="772"/>
        <v>10</v>
      </c>
      <c r="E440" s="52">
        <f t="shared" ca="1" si="767"/>
        <v>0</v>
      </c>
      <c r="F440" s="52">
        <f t="shared" ca="1" si="768"/>
        <v>0</v>
      </c>
    </row>
    <row r="441" spans="1:6" s="14" customFormat="1">
      <c r="A441" s="48">
        <f t="shared" si="769"/>
        <v>8</v>
      </c>
      <c r="B441" s="48">
        <f t="shared" si="770"/>
        <v>1</v>
      </c>
      <c r="C441" s="85">
        <f t="shared" si="771"/>
        <v>175</v>
      </c>
      <c r="D441" s="85">
        <f t="shared" si="772"/>
        <v>11</v>
      </c>
      <c r="E441" s="52">
        <f t="shared" ref="E441:E471" ca="1" si="773">IF(INDIRECT("R"&amp;C441&amp;"C"&amp;D441,0)&lt;&gt;"",INDIRECT("R"&amp;C441&amp;"C"&amp;D441,0),0)</f>
        <v>0.28404155479952026</v>
      </c>
      <c r="F441" s="52">
        <f t="shared" ref="F441:F471" ca="1" si="774">IF(INDIRECT("R"&amp;(C441+1)&amp;"C"&amp;D441,0)&lt;&gt;"",INDIRECT("R"&amp;(C441+1)&amp;"C"&amp;D441,0),0)</f>
        <v>0.28500787562902086</v>
      </c>
    </row>
    <row r="442" spans="1:6" s="14" customFormat="1">
      <c r="A442" s="48">
        <f t="shared" si="769"/>
        <v>8</v>
      </c>
      <c r="B442" s="48">
        <f t="shared" si="770"/>
        <v>2</v>
      </c>
      <c r="C442" s="85">
        <f t="shared" si="771"/>
        <v>175</v>
      </c>
      <c r="D442" s="85">
        <f t="shared" si="772"/>
        <v>12</v>
      </c>
      <c r="E442" s="52">
        <f t="shared" ca="1" si="773"/>
        <v>0.29617726316485488</v>
      </c>
      <c r="F442" s="52">
        <f t="shared" ca="1" si="774"/>
        <v>0.27850877998648499</v>
      </c>
    </row>
    <row r="443" spans="1:6" s="14" customFormat="1">
      <c r="A443" s="48">
        <f t="shared" si="769"/>
        <v>8</v>
      </c>
      <c r="B443" s="48">
        <f t="shared" si="770"/>
        <v>3</v>
      </c>
      <c r="C443" s="85">
        <f t="shared" si="771"/>
        <v>175</v>
      </c>
      <c r="D443" s="85">
        <f t="shared" si="772"/>
        <v>13</v>
      </c>
      <c r="E443" s="52">
        <f t="shared" ca="1" si="773"/>
        <v>0.29562619637639997</v>
      </c>
      <c r="F443" s="52">
        <f t="shared" ca="1" si="774"/>
        <v>0.28561873719044606</v>
      </c>
    </row>
    <row r="444" spans="1:6" s="14" customFormat="1">
      <c r="A444" s="48">
        <f t="shared" si="769"/>
        <v>8</v>
      </c>
      <c r="B444" s="48">
        <f t="shared" si="770"/>
        <v>4</v>
      </c>
      <c r="C444" s="85">
        <f t="shared" si="771"/>
        <v>175</v>
      </c>
      <c r="D444" s="85">
        <f t="shared" si="772"/>
        <v>14</v>
      </c>
      <c r="E444" s="52">
        <f t="shared" ca="1" si="773"/>
        <v>0.28060815518559801</v>
      </c>
      <c r="F444" s="52">
        <f t="shared" ca="1" si="774"/>
        <v>0.27646225769326177</v>
      </c>
    </row>
    <row r="445" spans="1:6" s="14" customFormat="1">
      <c r="A445" s="48">
        <f t="shared" si="769"/>
        <v>8</v>
      </c>
      <c r="B445" s="48">
        <f t="shared" si="770"/>
        <v>5</v>
      </c>
      <c r="C445" s="85">
        <f t="shared" si="771"/>
        <v>175</v>
      </c>
      <c r="D445" s="85">
        <f t="shared" si="772"/>
        <v>15</v>
      </c>
      <c r="E445" s="52">
        <f t="shared" ca="1" si="773"/>
        <v>0.29562949403431832</v>
      </c>
      <c r="F445" s="52">
        <f t="shared" ca="1" si="774"/>
        <v>0.28031519576388347</v>
      </c>
    </row>
    <row r="446" spans="1:6" s="14" customFormat="1">
      <c r="A446" s="48">
        <f t="shared" si="769"/>
        <v>8</v>
      </c>
      <c r="B446" s="48">
        <f t="shared" si="770"/>
        <v>6</v>
      </c>
      <c r="C446" s="85">
        <f t="shared" si="771"/>
        <v>175</v>
      </c>
      <c r="D446" s="85">
        <f t="shared" si="772"/>
        <v>16</v>
      </c>
      <c r="E446" s="52">
        <f t="shared" ca="1" si="773"/>
        <v>0.28392860197857761</v>
      </c>
      <c r="F446" s="52">
        <f t="shared" ca="1" si="774"/>
        <v>0.28179132940205626</v>
      </c>
    </row>
    <row r="447" spans="1:6" s="14" customFormat="1">
      <c r="A447" s="48">
        <f t="shared" si="769"/>
        <v>8</v>
      </c>
      <c r="B447" s="48">
        <f t="shared" si="770"/>
        <v>7</v>
      </c>
      <c r="C447" s="85">
        <f t="shared" si="771"/>
        <v>175</v>
      </c>
      <c r="D447" s="85">
        <f t="shared" si="772"/>
        <v>17</v>
      </c>
      <c r="E447" s="52">
        <f t="shared" ca="1" si="773"/>
        <v>0.28989874068795762</v>
      </c>
      <c r="F447" s="52">
        <f t="shared" ca="1" si="774"/>
        <v>0.2792050938944341</v>
      </c>
    </row>
    <row r="448" spans="1:6" s="14" customFormat="1">
      <c r="A448" s="48">
        <f t="shared" si="769"/>
        <v>8</v>
      </c>
      <c r="B448" s="48">
        <f t="shared" si="770"/>
        <v>8</v>
      </c>
      <c r="C448" s="85">
        <f t="shared" si="771"/>
        <v>175</v>
      </c>
      <c r="D448" s="85">
        <f t="shared" si="772"/>
        <v>18</v>
      </c>
      <c r="E448" s="52">
        <f t="shared" ca="1" si="773"/>
        <v>0.28560236158819768</v>
      </c>
      <c r="F448" s="52">
        <f t="shared" ca="1" si="774"/>
        <v>0.27613873260220206</v>
      </c>
    </row>
    <row r="449" spans="1:6" s="14" customFormat="1">
      <c r="A449" s="48">
        <f t="shared" si="769"/>
        <v>8</v>
      </c>
      <c r="B449" s="48">
        <f t="shared" si="770"/>
        <v>9</v>
      </c>
      <c r="C449" s="85">
        <f t="shared" si="771"/>
        <v>175</v>
      </c>
      <c r="D449" s="85">
        <f t="shared" si="772"/>
        <v>19</v>
      </c>
      <c r="E449" s="52">
        <f t="shared" ca="1" si="773"/>
        <v>0</v>
      </c>
      <c r="F449" s="52">
        <f t="shared" ca="1" si="774"/>
        <v>0</v>
      </c>
    </row>
    <row r="450" spans="1:6" s="14" customFormat="1">
      <c r="A450" s="48">
        <f t="shared" si="769"/>
        <v>8</v>
      </c>
      <c r="B450" s="48">
        <f t="shared" si="770"/>
        <v>10</v>
      </c>
      <c r="C450" s="85">
        <f t="shared" si="771"/>
        <v>175</v>
      </c>
      <c r="D450" s="85">
        <f t="shared" si="772"/>
        <v>20</v>
      </c>
      <c r="E450" s="52">
        <f t="shared" ca="1" si="773"/>
        <v>0.29688277935844137</v>
      </c>
      <c r="F450" s="52">
        <f t="shared" ca="1" si="774"/>
        <v>0.27554648918855507</v>
      </c>
    </row>
    <row r="451" spans="1:6" s="14" customFormat="1">
      <c r="A451" s="48">
        <f t="shared" si="769"/>
        <v>8</v>
      </c>
      <c r="B451" s="48">
        <f t="shared" si="770"/>
        <v>11</v>
      </c>
      <c r="C451" s="85">
        <f t="shared" si="771"/>
        <v>175</v>
      </c>
      <c r="D451" s="85">
        <f t="shared" si="772"/>
        <v>21</v>
      </c>
      <c r="E451" s="52">
        <f t="shared" ca="1" si="773"/>
        <v>0.31200042639445974</v>
      </c>
      <c r="F451" s="52">
        <f t="shared" ca="1" si="774"/>
        <v>0.27972451133722198</v>
      </c>
    </row>
    <row r="452" spans="1:6" s="14" customFormat="1">
      <c r="A452" s="48">
        <f t="shared" si="769"/>
        <v>8</v>
      </c>
      <c r="B452" s="48">
        <f t="shared" si="770"/>
        <v>12</v>
      </c>
      <c r="C452" s="85">
        <f t="shared" si="771"/>
        <v>175</v>
      </c>
      <c r="D452" s="85">
        <f t="shared" si="772"/>
        <v>22</v>
      </c>
      <c r="E452" s="52">
        <f t="shared" ca="1" si="773"/>
        <v>0.31287528444055068</v>
      </c>
      <c r="F452" s="52">
        <f t="shared" ca="1" si="774"/>
        <v>0.26701562540542234</v>
      </c>
    </row>
    <row r="453" spans="1:6" s="14" customFormat="1">
      <c r="A453" s="48">
        <f t="shared" si="769"/>
        <v>8</v>
      </c>
      <c r="B453" s="48">
        <f t="shared" si="770"/>
        <v>13</v>
      </c>
      <c r="C453" s="85">
        <f t="shared" si="771"/>
        <v>175</v>
      </c>
      <c r="D453" s="85">
        <f t="shared" si="772"/>
        <v>23</v>
      </c>
      <c r="E453" s="52">
        <f t="shared" ca="1" si="773"/>
        <v>0.29267224711635242</v>
      </c>
      <c r="F453" s="52">
        <f t="shared" ca="1" si="774"/>
        <v>0.26682843713146165</v>
      </c>
    </row>
    <row r="454" spans="1:6" s="14" customFormat="1">
      <c r="A454" s="48">
        <f t="shared" si="769"/>
        <v>8</v>
      </c>
      <c r="B454" s="48">
        <f t="shared" si="770"/>
        <v>14</v>
      </c>
      <c r="C454" s="85">
        <f t="shared" si="771"/>
        <v>175</v>
      </c>
      <c r="D454" s="85">
        <f t="shared" si="772"/>
        <v>24</v>
      </c>
      <c r="E454" s="52">
        <f t="shared" ca="1" si="773"/>
        <v>0.30269297467953088</v>
      </c>
      <c r="F454" s="52">
        <f t="shared" ca="1" si="774"/>
        <v>0.27403589199993456</v>
      </c>
    </row>
    <row r="455" spans="1:6" s="14" customFormat="1">
      <c r="A455" s="48">
        <f t="shared" si="769"/>
        <v>8</v>
      </c>
      <c r="B455" s="48">
        <f t="shared" si="770"/>
        <v>15</v>
      </c>
      <c r="C455" s="85">
        <f t="shared" si="771"/>
        <v>175</v>
      </c>
      <c r="D455" s="85">
        <f t="shared" si="772"/>
        <v>25</v>
      </c>
      <c r="E455" s="52">
        <f t="shared" ca="1" si="773"/>
        <v>0.30205401020727801</v>
      </c>
      <c r="F455" s="52">
        <f t="shared" ca="1" si="774"/>
        <v>0.26747554402134049</v>
      </c>
    </row>
    <row r="456" spans="1:6" s="14" customFormat="1">
      <c r="A456" s="48">
        <f t="shared" si="769"/>
        <v>8</v>
      </c>
      <c r="B456" s="48">
        <f t="shared" si="770"/>
        <v>16</v>
      </c>
      <c r="C456" s="85">
        <f t="shared" si="771"/>
        <v>175</v>
      </c>
      <c r="D456" s="85">
        <f t="shared" si="772"/>
        <v>26</v>
      </c>
      <c r="E456" s="52">
        <f t="shared" ca="1" si="773"/>
        <v>0.31508959484664212</v>
      </c>
      <c r="F456" s="52">
        <f t="shared" ca="1" si="774"/>
        <v>0.2755369636250648</v>
      </c>
    </row>
    <row r="457" spans="1:6" s="14" customFormat="1">
      <c r="A457" s="48">
        <f t="shared" si="769"/>
        <v>8</v>
      </c>
      <c r="B457" s="48">
        <f t="shared" si="770"/>
        <v>17</v>
      </c>
      <c r="C457" s="85">
        <f t="shared" si="771"/>
        <v>175</v>
      </c>
      <c r="D457" s="85">
        <f t="shared" si="772"/>
        <v>27</v>
      </c>
      <c r="E457" s="52">
        <f t="shared" ca="1" si="773"/>
        <v>0</v>
      </c>
      <c r="F457" s="52">
        <f t="shared" ca="1" si="774"/>
        <v>0</v>
      </c>
    </row>
    <row r="458" spans="1:6" s="14" customFormat="1">
      <c r="A458" s="48">
        <f t="shared" si="769"/>
        <v>8</v>
      </c>
      <c r="B458" s="48">
        <f t="shared" si="770"/>
        <v>18</v>
      </c>
      <c r="C458" s="85">
        <f t="shared" si="771"/>
        <v>175</v>
      </c>
      <c r="D458" s="85">
        <f t="shared" si="772"/>
        <v>28</v>
      </c>
      <c r="E458" s="52">
        <f t="shared" ca="1" si="773"/>
        <v>0</v>
      </c>
      <c r="F458" s="52">
        <f t="shared" ca="1" si="774"/>
        <v>0</v>
      </c>
    </row>
    <row r="459" spans="1:6" s="14" customFormat="1">
      <c r="A459" s="48">
        <f t="shared" si="769"/>
        <v>8</v>
      </c>
      <c r="B459" s="48">
        <f t="shared" si="770"/>
        <v>19</v>
      </c>
      <c r="C459" s="85">
        <f t="shared" si="771"/>
        <v>175</v>
      </c>
      <c r="D459" s="85">
        <f t="shared" si="772"/>
        <v>29</v>
      </c>
      <c r="E459" s="52">
        <f t="shared" ca="1" si="773"/>
        <v>0</v>
      </c>
      <c r="F459" s="52">
        <f t="shared" ca="1" si="774"/>
        <v>0</v>
      </c>
    </row>
    <row r="460" spans="1:6" s="14" customFormat="1">
      <c r="A460" s="48">
        <f t="shared" si="769"/>
        <v>8</v>
      </c>
      <c r="B460" s="48">
        <f t="shared" si="770"/>
        <v>20</v>
      </c>
      <c r="C460" s="85">
        <f t="shared" si="771"/>
        <v>175</v>
      </c>
      <c r="D460" s="85">
        <f t="shared" si="772"/>
        <v>30</v>
      </c>
      <c r="E460" s="52">
        <f t="shared" ca="1" si="773"/>
        <v>0.30047024499695246</v>
      </c>
      <c r="F460" s="52">
        <f t="shared" ca="1" si="774"/>
        <v>0.26961912768954177</v>
      </c>
    </row>
    <row r="461" spans="1:6" s="14" customFormat="1">
      <c r="A461" s="48">
        <f t="shared" si="769"/>
        <v>8</v>
      </c>
      <c r="B461" s="48">
        <f t="shared" si="770"/>
        <v>21</v>
      </c>
      <c r="C461" s="85">
        <f t="shared" si="771"/>
        <v>175</v>
      </c>
      <c r="D461" s="85">
        <f t="shared" si="772"/>
        <v>31</v>
      </c>
      <c r="E461" s="52">
        <f t="shared" ca="1" si="773"/>
        <v>0.3033416634899756</v>
      </c>
      <c r="F461" s="52">
        <f t="shared" ca="1" si="774"/>
        <v>0.26691743901454684</v>
      </c>
    </row>
    <row r="462" spans="1:6" s="14" customFormat="1">
      <c r="A462" s="48">
        <f t="shared" si="769"/>
        <v>8</v>
      </c>
      <c r="B462" s="48">
        <f t="shared" si="770"/>
        <v>22</v>
      </c>
      <c r="C462" s="85">
        <f t="shared" si="771"/>
        <v>175</v>
      </c>
      <c r="D462" s="85">
        <f t="shared" si="772"/>
        <v>32</v>
      </c>
      <c r="E462" s="52">
        <f t="shared" ca="1" si="773"/>
        <v>0</v>
      </c>
      <c r="F462" s="52">
        <f t="shared" ca="1" si="774"/>
        <v>0</v>
      </c>
    </row>
    <row r="463" spans="1:6" s="14" customFormat="1">
      <c r="A463" s="48">
        <f t="shared" si="769"/>
        <v>8</v>
      </c>
      <c r="B463" s="48">
        <f t="shared" si="770"/>
        <v>23</v>
      </c>
      <c r="C463" s="85">
        <f t="shared" si="771"/>
        <v>175</v>
      </c>
      <c r="D463" s="85">
        <f t="shared" si="772"/>
        <v>33</v>
      </c>
      <c r="E463" s="52">
        <f t="shared" ca="1" si="773"/>
        <v>0</v>
      </c>
      <c r="F463" s="52">
        <f t="shared" ca="1" si="774"/>
        <v>0</v>
      </c>
    </row>
    <row r="464" spans="1:6" s="14" customFormat="1">
      <c r="A464" s="48">
        <f t="shared" si="769"/>
        <v>8</v>
      </c>
      <c r="B464" s="48">
        <f t="shared" si="770"/>
        <v>24</v>
      </c>
      <c r="C464" s="85">
        <f t="shared" si="771"/>
        <v>175</v>
      </c>
      <c r="D464" s="85">
        <f t="shared" si="772"/>
        <v>34</v>
      </c>
      <c r="E464" s="52">
        <f t="shared" ca="1" si="773"/>
        <v>0.3073818170000403</v>
      </c>
      <c r="F464" s="52">
        <f t="shared" ca="1" si="774"/>
        <v>0.28123843803390736</v>
      </c>
    </row>
    <row r="465" spans="1:6" s="14" customFormat="1">
      <c r="A465" s="48">
        <f t="shared" si="769"/>
        <v>8</v>
      </c>
      <c r="B465" s="48">
        <f t="shared" si="770"/>
        <v>25</v>
      </c>
      <c r="C465" s="85">
        <f t="shared" si="771"/>
        <v>175</v>
      </c>
      <c r="D465" s="85">
        <f t="shared" si="772"/>
        <v>35</v>
      </c>
      <c r="E465" s="52">
        <f t="shared" ca="1" si="773"/>
        <v>0</v>
      </c>
      <c r="F465" s="52">
        <f t="shared" ca="1" si="774"/>
        <v>0</v>
      </c>
    </row>
    <row r="466" spans="1:6" s="14" customFormat="1">
      <c r="A466" s="48">
        <f t="shared" si="769"/>
        <v>8</v>
      </c>
      <c r="B466" s="48">
        <f t="shared" si="770"/>
        <v>26</v>
      </c>
      <c r="C466" s="85">
        <f t="shared" si="771"/>
        <v>175</v>
      </c>
      <c r="D466" s="85">
        <f t="shared" si="772"/>
        <v>36</v>
      </c>
      <c r="E466" s="52">
        <f t="shared" ca="1" si="773"/>
        <v>0</v>
      </c>
      <c r="F466" s="52">
        <f t="shared" ca="1" si="774"/>
        <v>0</v>
      </c>
    </row>
    <row r="467" spans="1:6" s="14" customFormat="1">
      <c r="A467" s="48">
        <f t="shared" si="769"/>
        <v>8</v>
      </c>
      <c r="B467" s="48">
        <f t="shared" si="770"/>
        <v>27</v>
      </c>
      <c r="C467" s="85">
        <f t="shared" si="771"/>
        <v>175</v>
      </c>
      <c r="D467" s="85">
        <f t="shared" si="772"/>
        <v>37</v>
      </c>
      <c r="E467" s="52">
        <f t="shared" ca="1" si="773"/>
        <v>0.28782026716870651</v>
      </c>
      <c r="F467" s="52">
        <f t="shared" ca="1" si="774"/>
        <v>0.27872752557147107</v>
      </c>
    </row>
    <row r="468" spans="1:6" s="14" customFormat="1">
      <c r="A468" s="48">
        <f t="shared" si="769"/>
        <v>8</v>
      </c>
      <c r="B468" s="48">
        <f t="shared" si="770"/>
        <v>28</v>
      </c>
      <c r="C468" s="85">
        <f t="shared" si="771"/>
        <v>175</v>
      </c>
      <c r="D468" s="85">
        <f t="shared" si="772"/>
        <v>38</v>
      </c>
      <c r="E468" s="52">
        <f t="shared" ca="1" si="773"/>
        <v>0.30493771213878218</v>
      </c>
      <c r="F468" s="52">
        <f t="shared" ca="1" si="774"/>
        <v>0.26393652830795772</v>
      </c>
    </row>
    <row r="469" spans="1:6" s="14" customFormat="1">
      <c r="A469" s="48">
        <f t="shared" si="769"/>
        <v>8</v>
      </c>
      <c r="B469" s="48">
        <f t="shared" si="770"/>
        <v>29</v>
      </c>
      <c r="C469" s="85">
        <f t="shared" si="771"/>
        <v>175</v>
      </c>
      <c r="D469" s="85">
        <f t="shared" si="772"/>
        <v>39</v>
      </c>
      <c r="E469" s="52">
        <f t="shared" ca="1" si="773"/>
        <v>0.28927479703996373</v>
      </c>
      <c r="F469" s="52">
        <f t="shared" ca="1" si="774"/>
        <v>0.26741841290197943</v>
      </c>
    </row>
    <row r="470" spans="1:6" s="14" customFormat="1">
      <c r="A470" s="48">
        <f t="shared" si="769"/>
        <v>8</v>
      </c>
      <c r="B470" s="48">
        <f t="shared" si="770"/>
        <v>30</v>
      </c>
      <c r="C470" s="85">
        <f t="shared" si="771"/>
        <v>175</v>
      </c>
      <c r="D470" s="85">
        <f t="shared" si="772"/>
        <v>40</v>
      </c>
      <c r="E470" s="52">
        <f t="shared" ca="1" si="773"/>
        <v>0.29555990480322653</v>
      </c>
      <c r="F470" s="52">
        <f t="shared" ca="1" si="774"/>
        <v>0.28221637299768532</v>
      </c>
    </row>
    <row r="471" spans="1:6" s="14" customFormat="1">
      <c r="A471" s="48">
        <f t="shared" si="769"/>
        <v>8</v>
      </c>
      <c r="B471" s="48">
        <f t="shared" si="770"/>
        <v>31</v>
      </c>
      <c r="C471" s="85">
        <f t="shared" si="771"/>
        <v>175</v>
      </c>
      <c r="D471" s="85">
        <f t="shared" si="772"/>
        <v>41</v>
      </c>
      <c r="E471" s="52">
        <f t="shared" ca="1" si="773"/>
        <v>0.29241903448279882</v>
      </c>
      <c r="F471" s="52">
        <f t="shared" ca="1" si="774"/>
        <v>0.27815978729983643</v>
      </c>
    </row>
    <row r="473" spans="1:6" s="14" customFormat="1">
      <c r="A473" s="48"/>
      <c r="B473" s="48"/>
      <c r="C473" s="85"/>
      <c r="D473" s="85"/>
      <c r="E473" s="52"/>
      <c r="F473" s="52"/>
    </row>
    <row r="474" spans="1:6" s="14" customFormat="1">
      <c r="A474" s="48"/>
      <c r="B474" s="48"/>
      <c r="C474" s="85"/>
      <c r="D474" s="85"/>
      <c r="E474" s="52"/>
      <c r="F474" s="52"/>
    </row>
    <row r="475" spans="1:6" s="14" customFormat="1">
      <c r="A475" s="48"/>
      <c r="B475" s="48"/>
      <c r="C475" s="85"/>
      <c r="D475" s="85"/>
      <c r="E475" s="52"/>
      <c r="F475" s="52"/>
    </row>
    <row r="476" spans="1:6" s="14" customFormat="1">
      <c r="A476" s="48"/>
      <c r="B476" s="48"/>
      <c r="C476" s="85"/>
      <c r="D476" s="85"/>
      <c r="E476" s="52"/>
      <c r="F476" s="52"/>
    </row>
    <row r="477" spans="1:6" s="14" customFormat="1">
      <c r="A477" s="48"/>
      <c r="B477" s="48"/>
      <c r="C477" s="85"/>
      <c r="D477" s="85"/>
      <c r="E477" s="52"/>
      <c r="F477" s="52"/>
    </row>
    <row r="478" spans="1:6" s="14" customFormat="1">
      <c r="A478" s="48"/>
      <c r="B478" s="48"/>
      <c r="C478" s="85"/>
      <c r="D478" s="85"/>
      <c r="E478" s="52"/>
      <c r="F478" s="52"/>
    </row>
    <row r="479" spans="1:6" s="14" customFormat="1">
      <c r="A479" s="48"/>
      <c r="B479" s="48"/>
      <c r="C479" s="85"/>
      <c r="D479" s="85"/>
      <c r="E479" s="52"/>
      <c r="F479" s="52"/>
    </row>
    <row r="480" spans="1:6" s="14" customFormat="1">
      <c r="A480" s="48"/>
      <c r="B480" s="48"/>
      <c r="C480" s="85"/>
      <c r="D480" s="85"/>
      <c r="E480" s="52"/>
      <c r="F480" s="52"/>
    </row>
    <row r="481" spans="1:6" s="14" customFormat="1">
      <c r="A481" s="48"/>
      <c r="B481" s="48"/>
      <c r="C481" s="85"/>
      <c r="D481" s="85"/>
      <c r="E481" s="52"/>
      <c r="F481" s="52"/>
    </row>
    <row r="482" spans="1:6" s="14" customFormat="1">
      <c r="A482" s="48"/>
      <c r="B482" s="48"/>
      <c r="C482" s="85"/>
      <c r="D482" s="85"/>
      <c r="E482" s="52"/>
      <c r="F482" s="52"/>
    </row>
    <row r="483" spans="1:6" s="14" customFormat="1">
      <c r="A483" s="48"/>
      <c r="B483" s="48"/>
      <c r="C483" s="85"/>
      <c r="D483" s="85"/>
      <c r="E483" s="52"/>
      <c r="F483" s="52"/>
    </row>
    <row r="484" spans="1:6" s="14" customFormat="1">
      <c r="A484" s="48"/>
      <c r="B484" s="48"/>
      <c r="C484" s="85"/>
      <c r="D484" s="85"/>
      <c r="E484" s="52"/>
      <c r="F484" s="52"/>
    </row>
    <row r="485" spans="1:6" s="14" customFormat="1">
      <c r="A485" s="48"/>
      <c r="B485" s="48"/>
      <c r="C485" s="85"/>
      <c r="D485" s="85"/>
      <c r="E485" s="52"/>
      <c r="F485" s="52"/>
    </row>
    <row r="486" spans="1:6" s="14" customFormat="1">
      <c r="A486" s="48"/>
      <c r="B486" s="48"/>
      <c r="C486" s="85"/>
      <c r="D486" s="85"/>
      <c r="E486" s="52"/>
      <c r="F486" s="52"/>
    </row>
    <row r="487" spans="1:6" s="14" customFormat="1">
      <c r="A487" s="48"/>
      <c r="B487" s="48"/>
      <c r="C487" s="85"/>
      <c r="D487" s="85"/>
      <c r="E487" s="52"/>
      <c r="F487" s="52"/>
    </row>
    <row r="488" spans="1:6" s="14" customFormat="1">
      <c r="A488" s="48"/>
      <c r="B488" s="48"/>
      <c r="C488" s="85"/>
      <c r="D488" s="85"/>
      <c r="E488" s="52"/>
      <c r="F488" s="52"/>
    </row>
    <row r="489" spans="1:6" s="14" customFormat="1">
      <c r="A489" s="48"/>
      <c r="B489" s="48"/>
      <c r="C489" s="85"/>
      <c r="D489" s="85"/>
      <c r="E489" s="52"/>
      <c r="F489" s="52"/>
    </row>
    <row r="490" spans="1:6" s="14" customFormat="1">
      <c r="A490" s="48"/>
      <c r="B490" s="48"/>
      <c r="C490" s="85"/>
      <c r="D490" s="85"/>
      <c r="E490" s="52"/>
      <c r="F490" s="52"/>
    </row>
    <row r="491" spans="1:6" s="14" customFormat="1">
      <c r="A491" s="48"/>
      <c r="B491" s="48"/>
      <c r="C491" s="85"/>
      <c r="D491" s="85"/>
      <c r="E491" s="52"/>
      <c r="F491" s="52"/>
    </row>
    <row r="492" spans="1:6" s="14" customFormat="1">
      <c r="A492" s="48"/>
      <c r="B492" s="48"/>
      <c r="C492" s="85"/>
      <c r="D492" s="85"/>
      <c r="E492" s="52"/>
      <c r="F492" s="52"/>
    </row>
    <row r="493" spans="1:6" s="14" customFormat="1">
      <c r="A493" s="48"/>
      <c r="B493" s="48"/>
      <c r="C493" s="85"/>
      <c r="D493" s="85"/>
      <c r="E493" s="52"/>
      <c r="F493" s="52"/>
    </row>
    <row r="494" spans="1:6" s="14" customFormat="1">
      <c r="A494" s="48"/>
      <c r="B494" s="48"/>
      <c r="C494" s="85"/>
      <c r="D494" s="85"/>
      <c r="E494" s="52"/>
      <c r="F494" s="52"/>
    </row>
    <row r="495" spans="1:6" s="14" customFormat="1">
      <c r="A495" s="48"/>
      <c r="B495" s="48"/>
      <c r="C495" s="85"/>
      <c r="D495" s="85"/>
      <c r="E495" s="52"/>
      <c r="F495" s="52"/>
    </row>
    <row r="496" spans="1:6" s="14" customFormat="1">
      <c r="A496" s="48"/>
      <c r="B496" s="48"/>
      <c r="C496" s="85"/>
      <c r="D496" s="85"/>
      <c r="E496" s="52"/>
      <c r="F496" s="52"/>
    </row>
    <row r="497" spans="1:6" s="14" customFormat="1">
      <c r="A497" s="48"/>
      <c r="B497" s="48"/>
      <c r="C497" s="85"/>
      <c r="D497" s="85"/>
      <c r="E497" s="52"/>
      <c r="F497" s="52"/>
    </row>
    <row r="498" spans="1:6" s="14" customFormat="1">
      <c r="A498" s="48"/>
      <c r="B498" s="48"/>
      <c r="C498" s="85"/>
      <c r="D498" s="85"/>
      <c r="E498" s="52"/>
      <c r="F498" s="52"/>
    </row>
    <row r="499" spans="1:6" s="14" customFormat="1">
      <c r="A499" s="48"/>
      <c r="B499" s="48"/>
      <c r="C499" s="85"/>
      <c r="D499" s="85"/>
      <c r="E499" s="52"/>
      <c r="F499" s="52"/>
    </row>
    <row r="500" spans="1:6" s="14" customFormat="1">
      <c r="A500" s="48"/>
      <c r="B500" s="48"/>
      <c r="C500" s="85"/>
      <c r="D500" s="85"/>
      <c r="E500" s="52"/>
      <c r="F500" s="52"/>
    </row>
    <row r="501" spans="1:6" s="14" customFormat="1">
      <c r="A501" s="48"/>
      <c r="B501" s="48"/>
      <c r="C501" s="85"/>
      <c r="D501" s="85"/>
      <c r="E501" s="52"/>
      <c r="F501" s="52"/>
    </row>
    <row r="502" spans="1:6" s="14" customFormat="1">
      <c r="A502" s="48"/>
      <c r="B502" s="48"/>
      <c r="C502" s="85"/>
      <c r="D502" s="85"/>
      <c r="E502" s="52"/>
      <c r="F502" s="52"/>
    </row>
    <row r="503" spans="1:6" s="14" customFormat="1">
      <c r="A503" s="48"/>
      <c r="B503" s="48"/>
      <c r="C503" s="85"/>
      <c r="D503" s="85"/>
      <c r="E503" s="52"/>
      <c r="F503" s="52"/>
    </row>
    <row r="504" spans="1:6" s="14" customFormat="1">
      <c r="A504" s="48"/>
      <c r="B504" s="48"/>
      <c r="C504" s="85"/>
      <c r="D504" s="85"/>
      <c r="E504" s="52"/>
      <c r="F504" s="52"/>
    </row>
    <row r="505" spans="1:6" s="14" customFormat="1">
      <c r="A505" s="48"/>
      <c r="B505" s="48"/>
      <c r="C505" s="85"/>
      <c r="D505" s="85"/>
      <c r="E505" s="52"/>
      <c r="F505" s="52"/>
    </row>
    <row r="506" spans="1:6" s="14" customFormat="1">
      <c r="A506" s="48"/>
      <c r="B506" s="48"/>
      <c r="C506" s="85"/>
      <c r="D506" s="85"/>
      <c r="E506" s="52"/>
      <c r="F506" s="52"/>
    </row>
    <row r="507" spans="1:6" s="14" customFormat="1">
      <c r="A507" s="48"/>
      <c r="B507" s="48"/>
      <c r="C507" s="85"/>
      <c r="D507" s="85"/>
      <c r="E507" s="52"/>
      <c r="F507" s="52"/>
    </row>
    <row r="508" spans="1:6" s="14" customFormat="1">
      <c r="A508" s="48"/>
      <c r="B508" s="48"/>
      <c r="C508" s="85"/>
      <c r="D508" s="85"/>
      <c r="E508" s="52"/>
      <c r="F508" s="52"/>
    </row>
    <row r="509" spans="1:6" s="14" customFormat="1">
      <c r="A509" s="48"/>
      <c r="B509" s="48"/>
      <c r="C509" s="85"/>
      <c r="D509" s="85"/>
      <c r="E509" s="52"/>
      <c r="F509" s="52"/>
    </row>
    <row r="510" spans="1:6" s="14" customFormat="1">
      <c r="A510" s="48"/>
      <c r="B510" s="48"/>
      <c r="C510" s="85"/>
      <c r="D510" s="85"/>
      <c r="E510" s="52"/>
      <c r="F510" s="52"/>
    </row>
    <row r="511" spans="1:6" s="14" customFormat="1">
      <c r="A511" s="48"/>
      <c r="B511" s="48"/>
      <c r="C511" s="85"/>
      <c r="D511" s="85"/>
      <c r="E511" s="52"/>
      <c r="F511" s="52"/>
    </row>
    <row r="512" spans="1:6" s="14" customFormat="1">
      <c r="A512" s="48"/>
      <c r="B512" s="48"/>
      <c r="C512" s="85"/>
      <c r="D512" s="85"/>
      <c r="E512" s="52"/>
      <c r="F512" s="52"/>
    </row>
    <row r="513" spans="1:6" s="14" customFormat="1">
      <c r="A513" s="48"/>
      <c r="B513" s="48"/>
      <c r="C513" s="85"/>
      <c r="D513" s="85"/>
      <c r="E513" s="52"/>
      <c r="F513" s="52"/>
    </row>
    <row r="514" spans="1:6" s="14" customFormat="1">
      <c r="A514" s="48"/>
      <c r="B514" s="48"/>
      <c r="C514" s="85"/>
      <c r="D514" s="85"/>
      <c r="E514" s="52"/>
      <c r="F514" s="52"/>
    </row>
    <row r="515" spans="1:6" s="14" customFormat="1">
      <c r="A515" s="48"/>
      <c r="B515" s="48"/>
      <c r="C515" s="85"/>
      <c r="D515" s="85"/>
      <c r="E515" s="52"/>
      <c r="F515" s="52"/>
    </row>
    <row r="516" spans="1:6" s="14" customFormat="1">
      <c r="A516" s="48"/>
      <c r="B516" s="48"/>
      <c r="C516" s="85"/>
      <c r="D516" s="85"/>
      <c r="E516" s="52"/>
      <c r="F516" s="52"/>
    </row>
    <row r="517" spans="1:6" s="14" customFormat="1">
      <c r="A517" s="48"/>
      <c r="B517" s="48"/>
      <c r="C517" s="85"/>
      <c r="D517" s="85"/>
      <c r="E517" s="52"/>
      <c r="F517" s="52"/>
    </row>
    <row r="518" spans="1:6" s="14" customFormat="1">
      <c r="A518" s="48"/>
      <c r="B518" s="48"/>
      <c r="C518" s="85"/>
      <c r="D518" s="85"/>
      <c r="E518" s="52"/>
      <c r="F518" s="52"/>
    </row>
    <row r="519" spans="1:6" s="14" customFormat="1">
      <c r="A519" s="48"/>
      <c r="B519" s="48"/>
      <c r="C519" s="85"/>
      <c r="D519" s="85"/>
      <c r="E519" s="52"/>
      <c r="F519" s="52"/>
    </row>
    <row r="520" spans="1:6" s="14" customFormat="1">
      <c r="A520" s="48"/>
      <c r="B520" s="48"/>
      <c r="C520" s="85"/>
      <c r="D520" s="85"/>
      <c r="E520" s="52"/>
      <c r="F520" s="52"/>
    </row>
    <row r="521" spans="1:6" s="14" customFormat="1">
      <c r="A521" s="48"/>
      <c r="B521" s="48"/>
      <c r="C521" s="85"/>
      <c r="D521" s="85"/>
      <c r="E521" s="52"/>
      <c r="F521" s="52"/>
    </row>
    <row r="522" spans="1:6" s="14" customFormat="1">
      <c r="A522" s="48"/>
      <c r="B522" s="48"/>
      <c r="C522" s="85"/>
      <c r="D522" s="85"/>
      <c r="E522" s="52"/>
      <c r="F522" s="52"/>
    </row>
    <row r="523" spans="1:6" s="14" customFormat="1">
      <c r="A523" s="48"/>
      <c r="B523" s="48"/>
      <c r="C523" s="85"/>
      <c r="D523" s="85"/>
      <c r="E523" s="52"/>
      <c r="F523" s="52"/>
    </row>
    <row r="524" spans="1:6" s="14" customFormat="1">
      <c r="A524" s="48"/>
      <c r="B524" s="48"/>
      <c r="C524" s="85"/>
      <c r="D524" s="85"/>
      <c r="E524" s="52"/>
      <c r="F524" s="52"/>
    </row>
    <row r="525" spans="1:6" s="14" customFormat="1">
      <c r="A525" s="48"/>
      <c r="B525" s="48"/>
      <c r="C525" s="85"/>
      <c r="D525" s="85"/>
      <c r="E525" s="52"/>
      <c r="F525" s="52"/>
    </row>
    <row r="526" spans="1:6" s="14" customFormat="1">
      <c r="A526" s="48"/>
      <c r="B526" s="48"/>
      <c r="C526" s="85"/>
      <c r="D526" s="85"/>
      <c r="E526" s="52"/>
      <c r="F526" s="52"/>
    </row>
    <row r="527" spans="1:6" s="14" customFormat="1">
      <c r="A527" s="48"/>
      <c r="B527" s="48"/>
      <c r="C527" s="85"/>
      <c r="D527" s="85"/>
      <c r="E527" s="52"/>
      <c r="F527" s="52"/>
    </row>
    <row r="528" spans="1:6" s="14" customFormat="1">
      <c r="A528" s="48"/>
      <c r="B528" s="48"/>
      <c r="C528" s="85"/>
      <c r="D528" s="85"/>
      <c r="E528" s="52"/>
      <c r="F528" s="52"/>
    </row>
    <row r="529" spans="1:6" s="14" customFormat="1">
      <c r="A529" s="48"/>
      <c r="B529" s="48"/>
      <c r="C529" s="85"/>
      <c r="D529" s="85"/>
      <c r="E529" s="52"/>
      <c r="F529" s="52"/>
    </row>
    <row r="530" spans="1:6" s="14" customFormat="1">
      <c r="A530" s="48"/>
      <c r="B530" s="48"/>
      <c r="C530" s="85"/>
      <c r="D530" s="85"/>
      <c r="E530" s="52"/>
      <c r="F530" s="52"/>
    </row>
    <row r="531" spans="1:6" s="14" customFormat="1">
      <c r="A531" s="48"/>
      <c r="B531" s="48"/>
      <c r="C531" s="85"/>
      <c r="D531" s="85"/>
      <c r="E531" s="52"/>
      <c r="F531" s="52"/>
    </row>
    <row r="532" spans="1:6" s="14" customFormat="1">
      <c r="A532" s="48"/>
      <c r="B532" s="48"/>
      <c r="C532" s="85"/>
      <c r="D532" s="85"/>
      <c r="E532" s="52"/>
      <c r="F532" s="52"/>
    </row>
    <row r="533" spans="1:6" s="14" customFormat="1">
      <c r="A533" s="48"/>
      <c r="B533" s="48"/>
      <c r="C533" s="85"/>
      <c r="D533" s="85"/>
      <c r="E533" s="52"/>
      <c r="F533" s="52"/>
    </row>
    <row r="534" spans="1:6" s="14" customFormat="1">
      <c r="A534" s="48"/>
      <c r="B534" s="48"/>
      <c r="C534" s="85"/>
      <c r="D534" s="85"/>
      <c r="E534" s="52"/>
      <c r="F534" s="52"/>
    </row>
    <row r="535" spans="1:6" s="14" customFormat="1">
      <c r="A535" s="48"/>
      <c r="B535" s="48"/>
      <c r="C535" s="85"/>
      <c r="D535" s="85"/>
      <c r="E535" s="52"/>
      <c r="F535" s="52"/>
    </row>
    <row r="536" spans="1:6" s="14" customFormat="1">
      <c r="A536" s="48"/>
      <c r="B536" s="48"/>
      <c r="C536" s="85"/>
      <c r="D536" s="85"/>
      <c r="E536" s="52"/>
      <c r="F536" s="52"/>
    </row>
    <row r="537" spans="1:6" s="14" customFormat="1">
      <c r="A537" s="48"/>
      <c r="B537" s="48"/>
      <c r="C537" s="85"/>
      <c r="D537" s="85"/>
      <c r="E537" s="52"/>
      <c r="F537" s="52"/>
    </row>
    <row r="538" spans="1:6" s="14" customFormat="1">
      <c r="A538" s="48"/>
      <c r="B538" s="48"/>
      <c r="C538" s="85"/>
      <c r="D538" s="85"/>
      <c r="E538" s="52"/>
      <c r="F538" s="52"/>
    </row>
    <row r="539" spans="1:6" s="14" customFormat="1">
      <c r="A539" s="48"/>
      <c r="B539" s="48"/>
      <c r="C539" s="85"/>
      <c r="D539" s="85"/>
      <c r="E539" s="52"/>
      <c r="F539" s="52"/>
    </row>
    <row r="540" spans="1:6" s="14" customFormat="1">
      <c r="A540" s="48"/>
      <c r="B540" s="48"/>
      <c r="C540" s="85"/>
      <c r="D540" s="85"/>
      <c r="E540" s="52"/>
      <c r="F540" s="52"/>
    </row>
    <row r="541" spans="1:6" s="14" customFormat="1">
      <c r="A541" s="48"/>
      <c r="B541" s="48"/>
      <c r="C541" s="85"/>
      <c r="D541" s="85"/>
      <c r="E541" s="52"/>
      <c r="F541" s="52"/>
    </row>
    <row r="542" spans="1:6" s="14" customFormat="1">
      <c r="A542" s="48"/>
      <c r="B542" s="48"/>
      <c r="C542" s="85"/>
      <c r="D542" s="85"/>
      <c r="E542" s="52"/>
      <c r="F542" s="52"/>
    </row>
    <row r="543" spans="1:6" s="14" customFormat="1">
      <c r="A543" s="48"/>
      <c r="B543" s="48"/>
      <c r="C543" s="85"/>
      <c r="D543" s="85"/>
      <c r="E543" s="52"/>
      <c r="F543" s="52"/>
    </row>
    <row r="544" spans="1:6" s="14" customFormat="1">
      <c r="A544" s="48"/>
      <c r="B544" s="48"/>
      <c r="C544" s="85"/>
      <c r="D544" s="85"/>
      <c r="E544" s="52"/>
      <c r="F544" s="52"/>
    </row>
    <row r="545" spans="1:6" s="14" customFormat="1">
      <c r="A545" s="48"/>
      <c r="B545" s="48"/>
      <c r="C545" s="85"/>
      <c r="D545" s="85"/>
      <c r="E545" s="52"/>
      <c r="F545" s="52"/>
    </row>
    <row r="546" spans="1:6" s="14" customFormat="1">
      <c r="A546" s="48"/>
      <c r="B546" s="48"/>
      <c r="C546" s="85"/>
      <c r="D546" s="85"/>
      <c r="E546" s="52"/>
      <c r="F546" s="52"/>
    </row>
    <row r="547" spans="1:6" s="14" customFormat="1">
      <c r="A547" s="48"/>
      <c r="B547" s="48"/>
      <c r="C547" s="85"/>
      <c r="D547" s="85"/>
      <c r="E547" s="52"/>
      <c r="F547" s="52"/>
    </row>
    <row r="548" spans="1:6" s="14" customFormat="1">
      <c r="A548" s="48"/>
      <c r="B548" s="48"/>
      <c r="C548" s="85"/>
      <c r="D548" s="85"/>
      <c r="E548" s="52"/>
      <c r="F548" s="52"/>
    </row>
    <row r="549" spans="1:6" s="14" customFormat="1">
      <c r="A549" s="48"/>
      <c r="B549" s="48"/>
      <c r="C549" s="85"/>
      <c r="D549" s="85"/>
      <c r="E549" s="52"/>
      <c r="F549" s="52"/>
    </row>
    <row r="550" spans="1:6" s="14" customFormat="1">
      <c r="A550" s="48"/>
      <c r="B550" s="48"/>
      <c r="C550" s="85"/>
      <c r="D550" s="85"/>
      <c r="E550" s="52"/>
      <c r="F550" s="52"/>
    </row>
    <row r="551" spans="1:6" s="14" customFormat="1">
      <c r="A551" s="48"/>
      <c r="B551" s="48"/>
      <c r="C551" s="85"/>
      <c r="D551" s="85"/>
      <c r="E551" s="52"/>
      <c r="F551" s="52"/>
    </row>
    <row r="552" spans="1:6" s="14" customFormat="1">
      <c r="A552" s="48"/>
      <c r="B552" s="48"/>
      <c r="C552" s="85"/>
      <c r="D552" s="85"/>
      <c r="E552" s="52"/>
      <c r="F552" s="52"/>
    </row>
    <row r="553" spans="1:6" s="14" customFormat="1">
      <c r="A553" s="48"/>
      <c r="B553" s="48"/>
      <c r="C553" s="85"/>
      <c r="D553" s="85"/>
      <c r="E553" s="52"/>
      <c r="F553" s="52"/>
    </row>
    <row r="554" spans="1:6" s="14" customFormat="1">
      <c r="A554" s="48"/>
      <c r="B554" s="48"/>
      <c r="C554" s="85"/>
      <c r="D554" s="85"/>
      <c r="E554" s="52"/>
      <c r="F554" s="52"/>
    </row>
    <row r="555" spans="1:6" s="14" customFormat="1">
      <c r="A555" s="48"/>
      <c r="B555" s="48"/>
      <c r="C555" s="85"/>
      <c r="D555" s="85"/>
      <c r="E555" s="52"/>
      <c r="F555" s="52"/>
    </row>
    <row r="556" spans="1:6" s="14" customFormat="1">
      <c r="A556" s="48"/>
      <c r="B556" s="48"/>
      <c r="C556" s="85"/>
      <c r="D556" s="85"/>
      <c r="E556" s="52"/>
      <c r="F556" s="52"/>
    </row>
    <row r="557" spans="1:6" s="14" customFormat="1">
      <c r="A557" s="48"/>
      <c r="B557" s="48"/>
      <c r="C557" s="85"/>
      <c r="D557" s="85"/>
      <c r="E557" s="52"/>
      <c r="F557" s="52"/>
    </row>
    <row r="558" spans="1:6" s="14" customFormat="1">
      <c r="A558" s="48"/>
      <c r="B558" s="48"/>
      <c r="C558" s="85"/>
      <c r="D558" s="85"/>
      <c r="E558" s="52"/>
      <c r="F558" s="52"/>
    </row>
    <row r="559" spans="1:6" s="14" customFormat="1">
      <c r="A559" s="48"/>
      <c r="B559" s="48"/>
      <c r="C559" s="85"/>
      <c r="D559" s="85"/>
      <c r="E559" s="52"/>
      <c r="F559" s="52"/>
    </row>
    <row r="560" spans="1:6" s="14" customFormat="1">
      <c r="A560" s="48"/>
      <c r="B560" s="48"/>
      <c r="C560" s="85"/>
      <c r="D560" s="85"/>
      <c r="E560" s="52"/>
      <c r="F560" s="52"/>
    </row>
    <row r="561" spans="1:6" s="14" customFormat="1">
      <c r="A561" s="48"/>
      <c r="B561" s="48"/>
      <c r="C561" s="85"/>
      <c r="D561" s="85"/>
      <c r="E561" s="52"/>
      <c r="F561" s="52"/>
    </row>
    <row r="562" spans="1:6" s="14" customFormat="1">
      <c r="A562" s="48"/>
      <c r="B562" s="48"/>
      <c r="C562" s="85"/>
      <c r="D562" s="85"/>
      <c r="E562" s="52"/>
      <c r="F562" s="52"/>
    </row>
    <row r="563" spans="1:6" s="14" customFormat="1">
      <c r="A563" s="48"/>
      <c r="B563" s="48"/>
      <c r="C563" s="85"/>
      <c r="D563" s="85"/>
      <c r="E563" s="52"/>
      <c r="F563" s="52"/>
    </row>
    <row r="564" spans="1:6" s="14" customFormat="1">
      <c r="A564" s="48"/>
      <c r="B564" s="48"/>
      <c r="C564" s="85"/>
      <c r="D564" s="85"/>
      <c r="E564" s="52"/>
      <c r="F564" s="52"/>
    </row>
    <row r="565" spans="1:6" s="14" customFormat="1">
      <c r="A565" s="48"/>
      <c r="B565" s="48"/>
      <c r="C565" s="85"/>
      <c r="D565" s="85"/>
      <c r="E565" s="52"/>
      <c r="F565" s="52"/>
    </row>
    <row r="566" spans="1:6" s="14" customFormat="1">
      <c r="A566" s="48"/>
      <c r="B566" s="48"/>
      <c r="C566" s="85"/>
      <c r="D566" s="85"/>
      <c r="E566" s="52"/>
      <c r="F566" s="52"/>
    </row>
    <row r="567" spans="1:6" s="14" customFormat="1">
      <c r="A567" s="48"/>
      <c r="B567" s="48"/>
      <c r="C567" s="85"/>
      <c r="D567" s="85"/>
      <c r="E567" s="52"/>
      <c r="F567" s="52"/>
    </row>
    <row r="568" spans="1:6" s="14" customFormat="1">
      <c r="A568" s="48"/>
      <c r="B568" s="48"/>
      <c r="C568" s="85"/>
      <c r="D568" s="85"/>
      <c r="E568" s="52"/>
      <c r="F568" s="52"/>
    </row>
    <row r="569" spans="1:6" s="14" customFormat="1">
      <c r="A569" s="48"/>
      <c r="B569" s="48"/>
      <c r="C569" s="85"/>
      <c r="D569" s="85"/>
      <c r="E569" s="52"/>
      <c r="F569" s="52"/>
    </row>
    <row r="570" spans="1:6" s="14" customFormat="1">
      <c r="A570" s="48"/>
      <c r="B570" s="48"/>
      <c r="C570" s="85"/>
      <c r="D570" s="85"/>
      <c r="E570" s="52"/>
      <c r="F570" s="52"/>
    </row>
    <row r="571" spans="1:6" s="14" customFormat="1">
      <c r="A571" s="48"/>
      <c r="B571" s="48"/>
      <c r="C571" s="85"/>
      <c r="D571" s="85"/>
      <c r="E571" s="52"/>
      <c r="F571" s="52"/>
    </row>
    <row r="572" spans="1:6" s="14" customFormat="1">
      <c r="A572" s="48"/>
      <c r="B572" s="48"/>
      <c r="C572" s="85"/>
      <c r="D572" s="85"/>
      <c r="E572" s="52"/>
      <c r="F572" s="52"/>
    </row>
    <row r="573" spans="1:6" s="14" customFormat="1">
      <c r="A573" s="48"/>
      <c r="B573" s="48"/>
      <c r="C573" s="85"/>
      <c r="D573" s="85"/>
      <c r="E573" s="52"/>
      <c r="F573" s="52"/>
    </row>
    <row r="574" spans="1:6" s="14" customFormat="1">
      <c r="A574" s="48"/>
      <c r="B574" s="48"/>
      <c r="C574" s="85"/>
      <c r="D574" s="85"/>
      <c r="E574" s="52"/>
      <c r="F574" s="52"/>
    </row>
    <row r="575" spans="1:6" s="14" customFormat="1">
      <c r="A575" s="48"/>
      <c r="B575" s="48"/>
      <c r="C575" s="85"/>
      <c r="D575" s="85"/>
      <c r="E575" s="52"/>
      <c r="F575" s="52"/>
    </row>
    <row r="576" spans="1:6" s="14" customFormat="1">
      <c r="A576" s="48"/>
      <c r="B576" s="48"/>
      <c r="C576" s="85"/>
      <c r="D576" s="85"/>
      <c r="E576" s="52"/>
      <c r="F576" s="52"/>
    </row>
    <row r="577" spans="1:6" s="14" customFormat="1">
      <c r="A577" s="48"/>
      <c r="B577" s="48"/>
      <c r="C577" s="85"/>
      <c r="D577" s="85"/>
      <c r="E577" s="52"/>
      <c r="F577" s="52"/>
    </row>
    <row r="578" spans="1:6" s="14" customFormat="1">
      <c r="A578" s="48"/>
      <c r="B578" s="48"/>
      <c r="C578" s="85"/>
      <c r="D578" s="85"/>
      <c r="E578" s="52"/>
      <c r="F578" s="52"/>
    </row>
    <row r="579" spans="1:6" s="14" customFormat="1">
      <c r="A579" s="48"/>
      <c r="B579" s="48"/>
      <c r="C579" s="85"/>
      <c r="D579" s="85"/>
      <c r="E579" s="52"/>
      <c r="F579" s="52"/>
    </row>
    <row r="580" spans="1:6" s="14" customFormat="1">
      <c r="A580" s="48"/>
      <c r="B580" s="48"/>
      <c r="C580" s="85"/>
      <c r="D580" s="85"/>
      <c r="E580" s="52"/>
      <c r="F580" s="52"/>
    </row>
    <row r="581" spans="1:6" s="14" customFormat="1">
      <c r="A581" s="48"/>
      <c r="B581" s="48"/>
      <c r="C581" s="85"/>
      <c r="D581" s="85"/>
      <c r="E581" s="52"/>
      <c r="F581" s="52"/>
    </row>
    <row r="582" spans="1:6" s="14" customFormat="1">
      <c r="A582" s="48"/>
      <c r="B582" s="48"/>
      <c r="C582" s="85"/>
      <c r="D582" s="85"/>
      <c r="E582" s="52"/>
      <c r="F582" s="52"/>
    </row>
    <row r="583" spans="1:6" s="14" customFormat="1">
      <c r="A583" s="48"/>
      <c r="B583" s="48"/>
      <c r="C583" s="85"/>
      <c r="D583" s="85"/>
      <c r="E583" s="52"/>
      <c r="F583" s="52"/>
    </row>
    <row r="584" spans="1:6" s="14" customFormat="1">
      <c r="A584" s="48"/>
      <c r="B584" s="48"/>
      <c r="C584" s="85"/>
      <c r="D584" s="85"/>
      <c r="E584" s="52"/>
      <c r="F584" s="52"/>
    </row>
    <row r="585" spans="1:6" s="14" customFormat="1">
      <c r="A585" s="48"/>
      <c r="B585" s="48"/>
      <c r="C585" s="85"/>
      <c r="D585" s="85"/>
      <c r="E585" s="52"/>
      <c r="F585" s="52"/>
    </row>
    <row r="586" spans="1:6" s="14" customFormat="1">
      <c r="A586" s="48"/>
      <c r="B586" s="48"/>
      <c r="C586" s="85"/>
      <c r="D586" s="85"/>
      <c r="E586" s="52"/>
      <c r="F586" s="52"/>
    </row>
    <row r="587" spans="1:6" s="14" customFormat="1">
      <c r="A587" s="48"/>
      <c r="B587" s="48"/>
      <c r="C587" s="85"/>
      <c r="D587" s="85"/>
      <c r="E587" s="52"/>
      <c r="F587" s="52"/>
    </row>
    <row r="588" spans="1:6" s="14" customFormat="1">
      <c r="A588" s="48"/>
      <c r="B588" s="48"/>
      <c r="C588" s="85"/>
      <c r="D588" s="85"/>
      <c r="E588" s="52"/>
      <c r="F588" s="52"/>
    </row>
    <row r="589" spans="1:6" s="14" customFormat="1">
      <c r="A589" s="48"/>
      <c r="B589" s="48"/>
      <c r="C589" s="85"/>
      <c r="D589" s="85"/>
      <c r="E589" s="52"/>
      <c r="F589" s="52"/>
    </row>
    <row r="590" spans="1:6" s="14" customFormat="1">
      <c r="A590" s="48"/>
      <c r="B590" s="48"/>
      <c r="C590" s="85"/>
      <c r="D590" s="85"/>
      <c r="E590" s="52"/>
      <c r="F590" s="52"/>
    </row>
    <row r="591" spans="1:6" s="14" customFormat="1">
      <c r="A591" s="48"/>
      <c r="B591" s="48"/>
      <c r="C591" s="85"/>
      <c r="D591" s="85"/>
      <c r="E591" s="52"/>
      <c r="F591" s="52"/>
    </row>
    <row r="592" spans="1:6" s="14" customFormat="1">
      <c r="A592" s="48"/>
      <c r="B592" s="48"/>
      <c r="C592" s="85"/>
      <c r="D592" s="85"/>
      <c r="E592" s="52"/>
      <c r="F592" s="52"/>
    </row>
    <row r="593" spans="1:6" s="14" customFormat="1">
      <c r="A593" s="48"/>
      <c r="B593" s="48"/>
      <c r="C593" s="85"/>
      <c r="D593" s="85"/>
      <c r="E593" s="52"/>
      <c r="F593" s="52"/>
    </row>
    <row r="594" spans="1:6" s="14" customFormat="1">
      <c r="A594" s="48"/>
      <c r="B594" s="48"/>
      <c r="C594" s="85"/>
      <c r="D594" s="85"/>
      <c r="E594" s="52"/>
      <c r="F594" s="52"/>
    </row>
    <row r="595" spans="1:6" s="14" customFormat="1">
      <c r="A595" s="48"/>
      <c r="B595" s="48"/>
      <c r="C595" s="85"/>
      <c r="D595" s="85"/>
      <c r="E595" s="52"/>
      <c r="F595" s="52"/>
    </row>
    <row r="596" spans="1:6" s="14" customFormat="1">
      <c r="A596" s="48"/>
      <c r="B596" s="48"/>
      <c r="C596" s="85"/>
      <c r="D596" s="85"/>
      <c r="E596" s="52"/>
      <c r="F596" s="52"/>
    </row>
    <row r="597" spans="1:6" s="14" customFormat="1">
      <c r="A597" s="48"/>
      <c r="B597" s="48"/>
      <c r="C597" s="85"/>
      <c r="D597" s="85"/>
      <c r="E597" s="52"/>
      <c r="F597" s="52"/>
    </row>
    <row r="598" spans="1:6" s="14" customFormat="1">
      <c r="A598" s="48"/>
      <c r="B598" s="48"/>
      <c r="C598" s="85"/>
      <c r="D598" s="85"/>
      <c r="E598" s="52"/>
      <c r="F598" s="52"/>
    </row>
    <row r="599" spans="1:6" s="14" customFormat="1">
      <c r="A599" s="48"/>
      <c r="B599" s="48"/>
      <c r="C599" s="85"/>
      <c r="D599" s="85"/>
      <c r="E599" s="52"/>
      <c r="F599" s="52"/>
    </row>
    <row r="600" spans="1:6" s="14" customFormat="1">
      <c r="A600" s="48"/>
      <c r="B600" s="48"/>
      <c r="C600" s="85"/>
      <c r="D600" s="85"/>
      <c r="E600" s="52"/>
      <c r="F600" s="52"/>
    </row>
    <row r="601" spans="1:6" s="14" customFormat="1">
      <c r="A601" s="48"/>
      <c r="B601" s="48"/>
      <c r="C601" s="85"/>
      <c r="D601" s="85"/>
      <c r="E601" s="52"/>
      <c r="F601" s="52"/>
    </row>
    <row r="602" spans="1:6" s="14" customFormat="1">
      <c r="A602" s="48"/>
      <c r="B602" s="48"/>
      <c r="C602" s="85"/>
      <c r="D602" s="85"/>
      <c r="E602" s="52"/>
      <c r="F602" s="52"/>
    </row>
    <row r="603" spans="1:6" s="14" customFormat="1">
      <c r="A603" s="48"/>
      <c r="B603" s="48"/>
      <c r="C603" s="85"/>
      <c r="D603" s="85"/>
      <c r="E603" s="52"/>
      <c r="F603" s="52"/>
    </row>
    <row r="604" spans="1:6" s="14" customFormat="1">
      <c r="A604" s="48"/>
      <c r="B604" s="48"/>
      <c r="C604" s="85"/>
      <c r="D604" s="85"/>
      <c r="E604" s="52"/>
      <c r="F604" s="52"/>
    </row>
    <row r="605" spans="1:6" s="14" customFormat="1">
      <c r="A605" s="48"/>
      <c r="B605" s="48"/>
      <c r="C605" s="85"/>
      <c r="D605" s="85"/>
      <c r="E605" s="52"/>
      <c r="F605" s="52"/>
    </row>
    <row r="606" spans="1:6" s="14" customFormat="1">
      <c r="A606" s="48"/>
      <c r="B606" s="48"/>
      <c r="C606" s="85"/>
      <c r="D606" s="85"/>
      <c r="E606" s="52"/>
      <c r="F606" s="52"/>
    </row>
    <row r="607" spans="1:6" s="14" customFormat="1">
      <c r="A607" s="48"/>
      <c r="B607" s="48"/>
      <c r="C607" s="85"/>
      <c r="D607" s="85"/>
      <c r="E607" s="52"/>
      <c r="F607" s="52"/>
    </row>
    <row r="608" spans="1:6" s="14" customFormat="1">
      <c r="A608" s="48"/>
      <c r="B608" s="48"/>
      <c r="C608" s="85"/>
      <c r="D608" s="85"/>
      <c r="E608" s="52"/>
      <c r="F608" s="52"/>
    </row>
    <row r="609" spans="1:6" s="14" customFormat="1">
      <c r="A609" s="48"/>
      <c r="B609" s="48"/>
      <c r="C609" s="85"/>
      <c r="D609" s="85"/>
      <c r="E609" s="52"/>
      <c r="F609" s="52"/>
    </row>
    <row r="610" spans="1:6" s="14" customFormat="1">
      <c r="A610" s="48"/>
      <c r="B610" s="48"/>
      <c r="C610" s="85"/>
      <c r="D610" s="85"/>
      <c r="E610" s="52"/>
      <c r="F610" s="52"/>
    </row>
    <row r="611" spans="1:6" s="14" customFormat="1">
      <c r="A611" s="48"/>
      <c r="B611" s="48"/>
      <c r="C611" s="85"/>
      <c r="D611" s="85"/>
      <c r="E611" s="52"/>
      <c r="F611" s="52"/>
    </row>
    <row r="612" spans="1:6" s="14" customFormat="1">
      <c r="A612" s="48"/>
      <c r="B612" s="48"/>
      <c r="C612" s="85"/>
      <c r="D612" s="85"/>
      <c r="E612" s="52"/>
      <c r="F612" s="52"/>
    </row>
    <row r="613" spans="1:6" s="14" customFormat="1">
      <c r="A613" s="48"/>
      <c r="B613" s="48"/>
      <c r="C613" s="85"/>
      <c r="D613" s="85"/>
      <c r="E613" s="52"/>
      <c r="F613" s="52"/>
    </row>
    <row r="614" spans="1:6" s="14" customFormat="1">
      <c r="A614" s="48"/>
      <c r="B614" s="48"/>
      <c r="C614" s="85"/>
      <c r="D614" s="85"/>
      <c r="E614" s="52"/>
      <c r="F614" s="52"/>
    </row>
    <row r="615" spans="1:6" s="14" customFormat="1">
      <c r="A615" s="48"/>
      <c r="B615" s="48"/>
      <c r="C615" s="85"/>
      <c r="D615" s="85"/>
      <c r="E615" s="52"/>
      <c r="F615" s="52"/>
    </row>
    <row r="616" spans="1:6" s="14" customFormat="1">
      <c r="A616" s="48"/>
      <c r="B616" s="48"/>
      <c r="C616" s="85"/>
      <c r="D616" s="85"/>
      <c r="E616" s="52"/>
      <c r="F616" s="52"/>
    </row>
    <row r="617" spans="1:6" s="14" customFormat="1">
      <c r="A617" s="48"/>
      <c r="B617" s="48"/>
      <c r="C617" s="85"/>
      <c r="D617" s="85"/>
      <c r="E617" s="52"/>
      <c r="F617" s="52"/>
    </row>
    <row r="618" spans="1:6" s="14" customFormat="1">
      <c r="A618" s="48"/>
      <c r="B618" s="48"/>
      <c r="C618" s="85"/>
      <c r="D618" s="85"/>
      <c r="E618" s="52"/>
      <c r="F618" s="52"/>
    </row>
    <row r="619" spans="1:6" s="14" customFormat="1">
      <c r="A619" s="48"/>
      <c r="B619" s="48"/>
      <c r="C619" s="85"/>
      <c r="D619" s="85"/>
      <c r="E619" s="52"/>
      <c r="F619" s="52"/>
    </row>
    <row r="620" spans="1:6" s="14" customFormat="1">
      <c r="A620" s="48"/>
      <c r="B620" s="48"/>
      <c r="C620" s="85"/>
      <c r="D620" s="85"/>
      <c r="E620" s="52"/>
      <c r="F620" s="52"/>
    </row>
    <row r="621" spans="1:6" s="14" customFormat="1">
      <c r="A621" s="48"/>
      <c r="B621" s="48"/>
      <c r="C621" s="85"/>
      <c r="D621" s="85"/>
      <c r="E621" s="52"/>
      <c r="F621" s="52"/>
    </row>
    <row r="622" spans="1:6" s="14" customFormat="1">
      <c r="A622" s="48"/>
      <c r="B622" s="48"/>
      <c r="C622" s="85"/>
      <c r="D622" s="85"/>
      <c r="E622" s="52"/>
      <c r="F622" s="52"/>
    </row>
    <row r="623" spans="1:6" s="14" customFormat="1">
      <c r="A623" s="48"/>
      <c r="B623" s="48"/>
      <c r="C623" s="85"/>
      <c r="D623" s="85"/>
      <c r="E623" s="52"/>
      <c r="F623" s="52"/>
    </row>
    <row r="624" spans="1:6" s="14" customFormat="1">
      <c r="A624" s="48"/>
      <c r="B624" s="48"/>
      <c r="C624" s="85"/>
      <c r="D624" s="85"/>
      <c r="E624" s="52"/>
      <c r="F624" s="52"/>
    </row>
    <row r="625" spans="1:6" s="14" customFormat="1">
      <c r="A625" s="48"/>
      <c r="B625" s="48"/>
      <c r="C625" s="85"/>
      <c r="D625" s="85"/>
      <c r="E625" s="52"/>
      <c r="F625" s="52"/>
    </row>
    <row r="626" spans="1:6" s="14" customFormat="1">
      <c r="A626" s="48"/>
      <c r="B626" s="48"/>
      <c r="C626" s="85"/>
      <c r="D626" s="85"/>
      <c r="E626" s="52"/>
      <c r="F626" s="52"/>
    </row>
    <row r="627" spans="1:6" s="14" customFormat="1">
      <c r="A627" s="48"/>
      <c r="B627" s="48"/>
      <c r="C627" s="85"/>
      <c r="D627" s="85"/>
      <c r="E627" s="52"/>
      <c r="F627" s="52"/>
    </row>
    <row r="628" spans="1:6" s="14" customFormat="1">
      <c r="A628" s="48"/>
      <c r="B628" s="48"/>
      <c r="C628" s="85"/>
      <c r="D628" s="85"/>
      <c r="E628" s="52"/>
      <c r="F628" s="52"/>
    </row>
    <row r="629" spans="1:6" s="14" customFormat="1">
      <c r="A629" s="48"/>
      <c r="B629" s="48"/>
      <c r="C629" s="85"/>
      <c r="D629" s="85"/>
      <c r="E629" s="52"/>
      <c r="F629" s="52"/>
    </row>
    <row r="630" spans="1:6" s="14" customFormat="1">
      <c r="A630" s="48"/>
      <c r="B630" s="48"/>
      <c r="C630" s="85"/>
      <c r="D630" s="85"/>
      <c r="E630" s="52"/>
      <c r="F630" s="52"/>
    </row>
    <row r="631" spans="1:6" s="14" customFormat="1">
      <c r="A631" s="48"/>
      <c r="B631" s="48"/>
      <c r="C631" s="85"/>
      <c r="D631" s="85"/>
      <c r="E631" s="52"/>
      <c r="F631" s="52"/>
    </row>
    <row r="632" spans="1:6" s="14" customFormat="1">
      <c r="A632" s="48"/>
      <c r="B632" s="48"/>
      <c r="C632" s="85"/>
      <c r="D632" s="85"/>
      <c r="E632" s="52"/>
      <c r="F632" s="52"/>
    </row>
    <row r="633" spans="1:6" s="14" customFormat="1">
      <c r="A633" s="48"/>
      <c r="B633" s="48"/>
      <c r="C633" s="85"/>
      <c r="D633" s="85"/>
      <c r="E633" s="52"/>
      <c r="F633" s="52"/>
    </row>
    <row r="634" spans="1:6" s="14" customFormat="1">
      <c r="A634" s="48"/>
      <c r="B634" s="48"/>
      <c r="C634" s="85"/>
      <c r="D634" s="85"/>
      <c r="E634" s="52"/>
      <c r="F634" s="52"/>
    </row>
    <row r="635" spans="1:6" s="14" customFormat="1">
      <c r="A635" s="48"/>
      <c r="B635" s="48"/>
      <c r="C635" s="85"/>
      <c r="D635" s="85"/>
      <c r="E635" s="52"/>
      <c r="F635" s="52"/>
    </row>
    <row r="636" spans="1:6" s="14" customFormat="1">
      <c r="A636" s="48"/>
      <c r="B636" s="48"/>
      <c r="C636" s="85"/>
      <c r="D636" s="85"/>
      <c r="E636" s="52"/>
      <c r="F636" s="52"/>
    </row>
    <row r="637" spans="1:6" s="14" customFormat="1">
      <c r="A637" s="48"/>
      <c r="B637" s="48"/>
      <c r="C637" s="85"/>
      <c r="D637" s="85"/>
      <c r="E637" s="52"/>
      <c r="F637" s="52"/>
    </row>
    <row r="638" spans="1:6" s="14" customFormat="1">
      <c r="A638" s="48"/>
      <c r="B638" s="48"/>
      <c r="C638" s="85"/>
      <c r="D638" s="85"/>
      <c r="E638" s="52"/>
      <c r="F638" s="52"/>
    </row>
    <row r="639" spans="1:6" s="14" customFormat="1">
      <c r="A639" s="48"/>
      <c r="B639" s="48"/>
      <c r="C639" s="85"/>
      <c r="D639" s="85"/>
      <c r="E639" s="52"/>
      <c r="F639" s="52"/>
    </row>
    <row r="640" spans="1:6" s="14" customFormat="1">
      <c r="A640" s="48"/>
      <c r="B640" s="48"/>
      <c r="C640" s="85"/>
      <c r="D640" s="85"/>
      <c r="E640" s="52"/>
      <c r="F640" s="52"/>
    </row>
    <row r="641" spans="1:6" s="14" customFormat="1">
      <c r="A641" s="48"/>
      <c r="B641" s="48"/>
      <c r="C641" s="85"/>
      <c r="D641" s="85"/>
      <c r="E641" s="52"/>
      <c r="F641" s="52"/>
    </row>
    <row r="642" spans="1:6" s="14" customFormat="1">
      <c r="A642" s="48"/>
      <c r="B642" s="48"/>
      <c r="C642" s="85"/>
      <c r="D642" s="85"/>
      <c r="E642" s="52"/>
      <c r="F642" s="52"/>
    </row>
    <row r="643" spans="1:6" s="14" customFormat="1">
      <c r="A643" s="48"/>
      <c r="B643" s="48"/>
      <c r="C643" s="85"/>
      <c r="D643" s="85"/>
      <c r="E643" s="52"/>
      <c r="F643" s="52"/>
    </row>
    <row r="644" spans="1:6" s="14" customFormat="1">
      <c r="A644" s="48"/>
      <c r="B644" s="48"/>
      <c r="C644" s="85"/>
      <c r="D644" s="85"/>
      <c r="E644" s="52"/>
      <c r="F644" s="52"/>
    </row>
    <row r="645" spans="1:6" s="14" customFormat="1">
      <c r="A645" s="48"/>
      <c r="B645" s="48"/>
      <c r="C645" s="85"/>
      <c r="D645" s="85"/>
      <c r="E645" s="52"/>
      <c r="F645" s="52"/>
    </row>
    <row r="646" spans="1:6" s="14" customFormat="1">
      <c r="A646" s="48"/>
      <c r="B646" s="48"/>
      <c r="C646" s="85"/>
      <c r="D646" s="85"/>
      <c r="E646" s="52"/>
      <c r="F646" s="52"/>
    </row>
    <row r="647" spans="1:6" s="14" customFormat="1">
      <c r="A647" s="48"/>
      <c r="B647" s="48"/>
      <c r="C647" s="85"/>
      <c r="D647" s="85"/>
      <c r="E647" s="52"/>
      <c r="F647" s="52"/>
    </row>
    <row r="648" spans="1:6" s="14" customFormat="1">
      <c r="A648" s="48"/>
      <c r="B648" s="48"/>
      <c r="C648" s="85"/>
      <c r="D648" s="85"/>
      <c r="E648" s="52"/>
      <c r="F648" s="52"/>
    </row>
    <row r="649" spans="1:6" s="14" customFormat="1">
      <c r="A649" s="48"/>
      <c r="B649" s="48"/>
      <c r="C649" s="85"/>
      <c r="D649" s="85"/>
      <c r="E649" s="52"/>
      <c r="F649" s="52"/>
    </row>
    <row r="650" spans="1:6" s="14" customFormat="1">
      <c r="A650" s="48"/>
      <c r="B650" s="48"/>
      <c r="C650" s="85"/>
      <c r="D650" s="85"/>
      <c r="E650" s="52"/>
      <c r="F650" s="52"/>
    </row>
    <row r="651" spans="1:6" s="14" customFormat="1">
      <c r="A651" s="48"/>
      <c r="B651" s="48"/>
      <c r="C651" s="85"/>
      <c r="D651" s="85"/>
      <c r="E651" s="52"/>
      <c r="F651" s="52"/>
    </row>
    <row r="652" spans="1:6" s="14" customFormat="1">
      <c r="A652" s="48"/>
      <c r="B652" s="48"/>
      <c r="C652" s="85"/>
      <c r="D652" s="85"/>
      <c r="E652" s="52"/>
      <c r="F652" s="52"/>
    </row>
    <row r="653" spans="1:6" s="14" customFormat="1">
      <c r="A653" s="48"/>
      <c r="B653" s="48"/>
      <c r="C653" s="85"/>
      <c r="D653" s="85"/>
      <c r="E653" s="52"/>
      <c r="F653" s="52"/>
    </row>
    <row r="654" spans="1:6" s="14" customFormat="1">
      <c r="A654" s="48"/>
      <c r="B654" s="48"/>
      <c r="C654" s="85"/>
      <c r="D654" s="85"/>
      <c r="E654" s="52"/>
      <c r="F654" s="52"/>
    </row>
    <row r="655" spans="1:6" s="14" customFormat="1">
      <c r="A655" s="48"/>
      <c r="B655" s="48"/>
      <c r="C655" s="85"/>
      <c r="D655" s="85"/>
      <c r="E655" s="52"/>
      <c r="F655" s="52"/>
    </row>
    <row r="656" spans="1:6" s="14" customFormat="1">
      <c r="A656" s="48"/>
      <c r="B656" s="48"/>
      <c r="C656" s="85"/>
      <c r="D656" s="85"/>
      <c r="E656" s="52"/>
      <c r="F656" s="52"/>
    </row>
    <row r="657" spans="1:6" s="14" customFormat="1">
      <c r="A657" s="48"/>
      <c r="B657" s="48"/>
      <c r="C657" s="85"/>
      <c r="D657" s="85"/>
      <c r="E657" s="52"/>
      <c r="F657" s="52"/>
    </row>
    <row r="658" spans="1:6" s="14" customFormat="1">
      <c r="A658" s="48"/>
      <c r="B658" s="48"/>
      <c r="C658" s="85"/>
      <c r="D658" s="85"/>
      <c r="E658" s="52"/>
      <c r="F658" s="52"/>
    </row>
    <row r="659" spans="1:6" s="14" customFormat="1">
      <c r="A659" s="48"/>
      <c r="B659" s="48"/>
      <c r="C659" s="85"/>
      <c r="D659" s="85"/>
      <c r="E659" s="52"/>
      <c r="F659" s="52"/>
    </row>
    <row r="660" spans="1:6" s="14" customFormat="1">
      <c r="A660" s="48"/>
      <c r="B660" s="48"/>
      <c r="C660" s="85"/>
      <c r="D660" s="85"/>
      <c r="E660" s="52"/>
      <c r="F660" s="52"/>
    </row>
    <row r="661" spans="1:6" s="14" customFormat="1">
      <c r="A661" s="48"/>
      <c r="B661" s="48"/>
      <c r="C661" s="85"/>
      <c r="D661" s="85"/>
      <c r="E661" s="52"/>
      <c r="F661" s="52"/>
    </row>
    <row r="662" spans="1:6" s="14" customFormat="1">
      <c r="A662" s="48"/>
      <c r="B662" s="48"/>
      <c r="C662" s="85"/>
      <c r="D662" s="85"/>
      <c r="E662" s="52"/>
      <c r="F662" s="52"/>
    </row>
    <row r="663" spans="1:6" s="14" customFormat="1">
      <c r="A663" s="48"/>
      <c r="B663" s="48"/>
      <c r="C663" s="85"/>
      <c r="D663" s="85"/>
      <c r="E663" s="52"/>
      <c r="F663" s="52"/>
    </row>
    <row r="664" spans="1:6" s="14" customFormat="1">
      <c r="A664" s="48"/>
      <c r="B664" s="48"/>
      <c r="C664" s="85"/>
      <c r="D664" s="85"/>
      <c r="E664" s="52"/>
      <c r="F664" s="52"/>
    </row>
    <row r="665" spans="1:6" s="14" customFormat="1">
      <c r="A665" s="48"/>
      <c r="B665" s="48"/>
      <c r="C665" s="85"/>
      <c r="D665" s="85"/>
      <c r="E665" s="52"/>
      <c r="F665" s="52"/>
    </row>
    <row r="666" spans="1:6" s="14" customFormat="1">
      <c r="A666" s="48"/>
      <c r="B666" s="48"/>
      <c r="C666" s="85"/>
      <c r="D666" s="85"/>
      <c r="E666" s="52"/>
      <c r="F666" s="52"/>
    </row>
    <row r="667" spans="1:6" s="14" customFormat="1">
      <c r="A667" s="48"/>
      <c r="B667" s="48"/>
      <c r="C667" s="85"/>
      <c r="D667" s="85"/>
      <c r="E667" s="52"/>
      <c r="F667" s="52"/>
    </row>
    <row r="668" spans="1:6" s="14" customFormat="1">
      <c r="A668" s="48"/>
      <c r="B668" s="48"/>
      <c r="C668" s="85"/>
      <c r="D668" s="85"/>
      <c r="E668" s="52"/>
      <c r="F668" s="52"/>
    </row>
    <row r="669" spans="1:6" s="14" customFormat="1">
      <c r="A669" s="48"/>
      <c r="B669" s="48"/>
      <c r="C669" s="85"/>
      <c r="D669" s="85"/>
      <c r="E669" s="52"/>
      <c r="F669" s="52"/>
    </row>
    <row r="670" spans="1:6" s="14" customFormat="1">
      <c r="A670" s="48"/>
      <c r="B670" s="48"/>
      <c r="C670" s="85"/>
      <c r="D670" s="85"/>
      <c r="E670" s="52"/>
      <c r="F670" s="52"/>
    </row>
    <row r="671" spans="1:6" s="14" customFormat="1">
      <c r="A671" s="48"/>
      <c r="B671" s="48"/>
      <c r="C671" s="85"/>
      <c r="D671" s="85"/>
      <c r="E671" s="52"/>
      <c r="F671" s="52"/>
    </row>
    <row r="672" spans="1:6" s="14" customFormat="1">
      <c r="A672" s="48"/>
      <c r="B672" s="48"/>
      <c r="C672" s="85"/>
      <c r="D672" s="85"/>
      <c r="E672" s="52"/>
      <c r="F672" s="52"/>
    </row>
    <row r="673" spans="1:6" s="14" customFormat="1">
      <c r="A673" s="48"/>
      <c r="B673" s="48"/>
      <c r="C673" s="85"/>
      <c r="D673" s="85"/>
      <c r="E673" s="52"/>
      <c r="F673" s="52"/>
    </row>
    <row r="674" spans="1:6" s="14" customFormat="1">
      <c r="A674" s="48"/>
      <c r="B674" s="48"/>
      <c r="C674" s="85"/>
      <c r="D674" s="85"/>
      <c r="E674" s="52"/>
      <c r="F674" s="52"/>
    </row>
    <row r="675" spans="1:6" s="14" customFormat="1">
      <c r="A675" s="48"/>
      <c r="B675" s="48"/>
      <c r="C675" s="85"/>
      <c r="D675" s="85"/>
      <c r="E675" s="52"/>
      <c r="F675" s="52"/>
    </row>
    <row r="676" spans="1:6" s="14" customFormat="1">
      <c r="A676" s="48"/>
      <c r="B676" s="48"/>
      <c r="C676" s="85"/>
      <c r="D676" s="85"/>
      <c r="E676" s="52"/>
      <c r="F676" s="52"/>
    </row>
    <row r="677" spans="1:6" s="14" customFormat="1">
      <c r="A677" s="48"/>
      <c r="B677" s="48"/>
      <c r="C677" s="85"/>
      <c r="D677" s="85"/>
      <c r="E677" s="52"/>
      <c r="F677" s="52"/>
    </row>
    <row r="678" spans="1:6" s="14" customFormat="1">
      <c r="A678" s="48"/>
      <c r="B678" s="48"/>
      <c r="C678" s="85"/>
      <c r="D678" s="85"/>
      <c r="E678" s="52"/>
      <c r="F678" s="52"/>
    </row>
    <row r="679" spans="1:6" s="14" customFormat="1">
      <c r="A679" s="48"/>
      <c r="B679" s="48"/>
      <c r="C679" s="85"/>
      <c r="D679" s="85"/>
      <c r="E679" s="52"/>
      <c r="F679" s="52"/>
    </row>
    <row r="680" spans="1:6" s="14" customFormat="1">
      <c r="A680" s="48"/>
      <c r="B680" s="48"/>
      <c r="C680" s="85"/>
      <c r="D680" s="85"/>
      <c r="E680" s="52"/>
      <c r="F680" s="52"/>
    </row>
    <row r="681" spans="1:6" s="14" customFormat="1">
      <c r="A681" s="48"/>
      <c r="B681" s="48"/>
      <c r="C681" s="85"/>
      <c r="D681" s="85"/>
      <c r="E681" s="52"/>
      <c r="F681" s="52"/>
    </row>
    <row r="682" spans="1:6" s="14" customFormat="1">
      <c r="A682" s="48"/>
      <c r="B682" s="48"/>
      <c r="C682" s="85"/>
      <c r="D682" s="85"/>
      <c r="E682" s="52"/>
      <c r="F682" s="52"/>
    </row>
    <row r="683" spans="1:6" s="14" customFormat="1">
      <c r="A683" s="48"/>
      <c r="B683" s="48"/>
      <c r="C683" s="85"/>
      <c r="D683" s="85"/>
      <c r="E683" s="52"/>
      <c r="F683" s="52"/>
    </row>
    <row r="684" spans="1:6" s="14" customFormat="1">
      <c r="A684" s="48"/>
      <c r="B684" s="48"/>
      <c r="C684" s="85"/>
      <c r="D684" s="85"/>
      <c r="E684" s="52"/>
      <c r="F684" s="52"/>
    </row>
    <row r="685" spans="1:6" s="14" customFormat="1">
      <c r="A685" s="48"/>
      <c r="B685" s="48"/>
      <c r="C685" s="85"/>
      <c r="D685" s="85"/>
      <c r="E685" s="52"/>
      <c r="F685" s="52"/>
    </row>
    <row r="686" spans="1:6" s="14" customFormat="1">
      <c r="A686" s="48"/>
      <c r="B686" s="48"/>
      <c r="C686" s="85"/>
      <c r="D686" s="85"/>
      <c r="E686" s="52"/>
      <c r="F686" s="52"/>
    </row>
  </sheetData>
  <mergeCells count="71">
    <mergeCell ref="A172:A177"/>
    <mergeCell ref="A178:A180"/>
    <mergeCell ref="Q208:T208"/>
    <mergeCell ref="K208:P208"/>
    <mergeCell ref="F35:I35"/>
    <mergeCell ref="K35:N35"/>
    <mergeCell ref="K219:T219"/>
    <mergeCell ref="C169:C171"/>
    <mergeCell ref="C178:C180"/>
    <mergeCell ref="C115:C117"/>
    <mergeCell ref="A115:A117"/>
    <mergeCell ref="B1:J2"/>
    <mergeCell ref="B3:D3"/>
    <mergeCell ref="E3:G3"/>
    <mergeCell ref="H3:J3"/>
    <mergeCell ref="B5:B6"/>
    <mergeCell ref="C5:C6"/>
    <mergeCell ref="D5:D6"/>
    <mergeCell ref="B42:G42"/>
    <mergeCell ref="H42:J42"/>
    <mergeCell ref="B14:E14"/>
    <mergeCell ref="G14:J14"/>
    <mergeCell ref="B18:V19"/>
    <mergeCell ref="B20:D20"/>
    <mergeCell ref="E20:G20"/>
    <mergeCell ref="A36:A38"/>
    <mergeCell ref="A145:A150"/>
    <mergeCell ref="A151:A153"/>
    <mergeCell ref="A154:A159"/>
    <mergeCell ref="A100:A105"/>
    <mergeCell ref="A136:A141"/>
    <mergeCell ref="A99:B99"/>
    <mergeCell ref="B58:D58"/>
    <mergeCell ref="B53:D53"/>
    <mergeCell ref="B54:D54"/>
    <mergeCell ref="B39:U40"/>
    <mergeCell ref="H41:U41"/>
    <mergeCell ref="K42:M42"/>
    <mergeCell ref="N42:U42"/>
    <mergeCell ref="A160:A162"/>
    <mergeCell ref="A163:A168"/>
    <mergeCell ref="A169:A171"/>
    <mergeCell ref="C106:C108"/>
    <mergeCell ref="A106:A108"/>
    <mergeCell ref="A109:A114"/>
    <mergeCell ref="A142:A144"/>
    <mergeCell ref="A118:A123"/>
    <mergeCell ref="A124:A126"/>
    <mergeCell ref="C151:C153"/>
    <mergeCell ref="C160:C162"/>
    <mergeCell ref="C142:C144"/>
    <mergeCell ref="C124:C126"/>
    <mergeCell ref="A127:A132"/>
    <mergeCell ref="A133:A135"/>
    <mergeCell ref="C133:C135"/>
    <mergeCell ref="M222:T223"/>
    <mergeCell ref="K14:N14"/>
    <mergeCell ref="Y3:Z3"/>
    <mergeCell ref="AA3:AB3"/>
    <mergeCell ref="O17:P17"/>
    <mergeCell ref="U211:U215"/>
    <mergeCell ref="K220:L221"/>
    <mergeCell ref="K63:N63"/>
    <mergeCell ref="H20:L20"/>
    <mergeCell ref="M20:V20"/>
    <mergeCell ref="Z20:AB20"/>
    <mergeCell ref="K58:K61"/>
    <mergeCell ref="K53:M53"/>
    <mergeCell ref="K54:K55"/>
    <mergeCell ref="K56:K57"/>
    <mergeCell ref="X20:Y20"/>
  </mergeCells>
  <conditionalFormatting sqref="B22:B30">
    <cfRule type="expression" dxfId="10" priority="13">
      <formula>B22=$B$32</formula>
    </cfRule>
    <cfRule type="expression" dxfId="9" priority="14">
      <formula>B22=$B$34</formula>
    </cfRule>
  </conditionalFormatting>
  <conditionalFormatting sqref="C22:C30">
    <cfRule type="expression" dxfId="8" priority="11">
      <formula>C22=$C$32</formula>
    </cfRule>
    <cfRule type="expression" dxfId="7" priority="12">
      <formula>C22=$C$34</formula>
    </cfRule>
  </conditionalFormatting>
  <conditionalFormatting sqref="D22:D30">
    <cfRule type="expression" dxfId="6" priority="9">
      <formula>D22=$D$32</formula>
    </cfRule>
    <cfRule type="expression" dxfId="5" priority="10">
      <formula>D22=$D$34</formula>
    </cfRule>
  </conditionalFormatting>
  <conditionalFormatting sqref="J141:AO141">
    <cfRule type="top10" dxfId="4" priority="6" percent="1" bottom="1" rank="10"/>
  </conditionalFormatting>
  <conditionalFormatting sqref="J98:AO98">
    <cfRule type="top10" dxfId="3" priority="3" percent="1" rank="20"/>
    <cfRule type="cellIs" dxfId="2" priority="4" operator="equal">
      <formula>$I$98</formula>
    </cfRule>
  </conditionalFormatting>
  <conditionalFormatting sqref="J97:AO97">
    <cfRule type="cellIs" dxfId="1" priority="2" operator="equal">
      <formula>$I$97</formula>
    </cfRule>
    <cfRule type="top10" dxfId="0" priority="1" percent="1" rank="20"/>
  </conditionalFormatting>
  <dataValidations disablePrompts="1" count="1">
    <dataValidation type="list" allowBlank="1" showInputMessage="1" showErrorMessage="1" sqref="Q17">
      <formula1>$M$5:$M$6</formula1>
    </dataValidation>
  </dataValidations>
  <pageMargins left="0.7" right="0.7" top="0.75" bottom="0.75" header="0.3" footer="0.3"/>
  <pageSetup orientation="portrait" horizontalDpi="300" verticalDpi="300" r:id="rId1"/>
  <ignoredErrors>
    <ignoredError sqref="Q220:T220" formulaRange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M179"/>
  <sheetViews>
    <sheetView workbookViewId="0"/>
  </sheetViews>
  <sheetFormatPr defaultRowHeight="15"/>
  <cols>
    <col min="2" max="33" width="7.140625" customWidth="1"/>
  </cols>
  <sheetData>
    <row r="1" spans="1:39" s="39" customFormat="1">
      <c r="A1" s="48" t="s">
        <v>76</v>
      </c>
      <c r="B1" s="39">
        <v>0</v>
      </c>
      <c r="C1" s="39">
        <f>B1+1</f>
        <v>1</v>
      </c>
      <c r="D1" s="39">
        <f t="shared" ref="D1:AG1" si="0">C1+1</f>
        <v>2</v>
      </c>
      <c r="E1" s="39">
        <f t="shared" si="0"/>
        <v>3</v>
      </c>
      <c r="F1" s="39">
        <f t="shared" si="0"/>
        <v>4</v>
      </c>
      <c r="G1" s="39">
        <f t="shared" si="0"/>
        <v>5</v>
      </c>
      <c r="H1" s="39">
        <f t="shared" si="0"/>
        <v>6</v>
      </c>
      <c r="I1" s="39">
        <f t="shared" si="0"/>
        <v>7</v>
      </c>
      <c r="J1" s="39">
        <f t="shared" si="0"/>
        <v>8</v>
      </c>
      <c r="K1" s="39">
        <f t="shared" si="0"/>
        <v>9</v>
      </c>
      <c r="L1" s="39">
        <f t="shared" si="0"/>
        <v>10</v>
      </c>
      <c r="M1" s="39">
        <f t="shared" si="0"/>
        <v>11</v>
      </c>
      <c r="N1" s="39">
        <f t="shared" si="0"/>
        <v>12</v>
      </c>
      <c r="O1" s="39">
        <f t="shared" si="0"/>
        <v>13</v>
      </c>
      <c r="P1" s="39">
        <f t="shared" si="0"/>
        <v>14</v>
      </c>
      <c r="Q1" s="39">
        <f t="shared" si="0"/>
        <v>15</v>
      </c>
      <c r="R1" s="39">
        <f t="shared" si="0"/>
        <v>16</v>
      </c>
      <c r="S1" s="39">
        <f t="shared" si="0"/>
        <v>17</v>
      </c>
      <c r="T1" s="39">
        <f t="shared" si="0"/>
        <v>18</v>
      </c>
      <c r="U1" s="39">
        <f t="shared" si="0"/>
        <v>19</v>
      </c>
      <c r="V1" s="39">
        <f t="shared" si="0"/>
        <v>20</v>
      </c>
      <c r="W1" s="39">
        <f t="shared" si="0"/>
        <v>21</v>
      </c>
      <c r="X1" s="39">
        <f t="shared" si="0"/>
        <v>22</v>
      </c>
      <c r="Y1" s="39">
        <f t="shared" si="0"/>
        <v>23</v>
      </c>
      <c r="Z1" s="39">
        <f t="shared" si="0"/>
        <v>24</v>
      </c>
      <c r="AA1" s="39">
        <f t="shared" si="0"/>
        <v>25</v>
      </c>
      <c r="AB1" s="39">
        <f t="shared" si="0"/>
        <v>26</v>
      </c>
      <c r="AC1" s="39">
        <f t="shared" si="0"/>
        <v>27</v>
      </c>
      <c r="AD1" s="39">
        <f t="shared" si="0"/>
        <v>28</v>
      </c>
      <c r="AE1" s="39">
        <f t="shared" si="0"/>
        <v>29</v>
      </c>
      <c r="AF1" s="39">
        <f t="shared" si="0"/>
        <v>30</v>
      </c>
      <c r="AG1" s="39">
        <f t="shared" si="0"/>
        <v>31</v>
      </c>
      <c r="AH1" s="39" t="s">
        <v>33</v>
      </c>
      <c r="AI1" s="39" t="s">
        <v>53</v>
      </c>
      <c r="AJ1" s="39" t="s">
        <v>54</v>
      </c>
      <c r="AK1" s="40" t="s">
        <v>59</v>
      </c>
      <c r="AL1" s="40" t="s">
        <v>60</v>
      </c>
      <c r="AM1" s="40" t="s">
        <v>61</v>
      </c>
    </row>
    <row r="2" spans="1:39" s="43" customFormat="1">
      <c r="A2" s="2" t="s">
        <v>20</v>
      </c>
      <c r="B2" s="43">
        <v>51.361865997314453</v>
      </c>
      <c r="C2" s="43">
        <v>48.340579986572266</v>
      </c>
      <c r="D2" s="43">
        <v>48.823986053466797</v>
      </c>
      <c r="E2" s="43">
        <v>52.796977996826172</v>
      </c>
      <c r="F2" s="43">
        <v>51.658962249755859</v>
      </c>
      <c r="G2" s="43">
        <v>48.672924041748047</v>
      </c>
      <c r="H2" s="43">
        <v>50.153354644775391</v>
      </c>
      <c r="I2" s="43">
        <v>50.233921051025391</v>
      </c>
      <c r="J2" s="43">
        <v>48.813915252685547</v>
      </c>
      <c r="K2" s="43">
        <v>50.183567047119141</v>
      </c>
      <c r="L2" s="43">
        <v>49.463493347167969</v>
      </c>
      <c r="M2" s="43">
        <v>51.669033050537109</v>
      </c>
      <c r="N2" s="43">
        <v>50.576332092285156</v>
      </c>
      <c r="O2" s="43">
        <v>57.379264831542969</v>
      </c>
      <c r="P2" s="43">
        <v>51.195697784423828</v>
      </c>
      <c r="Q2" s="43">
        <v>53.461662292480469</v>
      </c>
      <c r="R2" s="43">
        <v>50.943923950195313</v>
      </c>
      <c r="S2" s="43">
        <v>33.153583526611328</v>
      </c>
      <c r="T2" s="43">
        <v>32.624855041503906</v>
      </c>
      <c r="U2" s="43">
        <v>47.232776641845703</v>
      </c>
      <c r="V2" s="43">
        <v>54.710460662841797</v>
      </c>
      <c r="W2" s="43">
        <v>53.512016296386719</v>
      </c>
      <c r="X2" s="43">
        <v>33.667201995849609</v>
      </c>
      <c r="Z2" s="43">
        <v>49.231861114501953</v>
      </c>
      <c r="AA2" s="43">
        <v>49.569236755371094</v>
      </c>
      <c r="AB2" s="43">
        <v>42.146945953369141</v>
      </c>
      <c r="AC2" s="43">
        <v>46.0494384765625</v>
      </c>
      <c r="AD2" s="43">
        <v>51.361865997314453</v>
      </c>
      <c r="AE2" s="43">
        <v>46.331424713134766</v>
      </c>
      <c r="AF2" s="43">
        <v>50.329593658447266</v>
      </c>
      <c r="AG2" s="43">
        <v>48.602424621582031</v>
      </c>
      <c r="AH2" s="43">
        <f>AVERAGE(B2:AG2)</f>
        <v>48.524295068556263</v>
      </c>
      <c r="AI2" s="43">
        <f>STDEV(B2:AG2)</f>
        <v>5.8154005440103305</v>
      </c>
      <c r="AJ2" s="47">
        <f>AI2/AH2</f>
        <v>0.11984513192400212</v>
      </c>
      <c r="AK2" s="2">
        <f>(MIN(B2:AG2)-AH2)/AI2</f>
        <v>-2.7340232038579444</v>
      </c>
      <c r="AL2" s="2">
        <f>(MAX(B2:AG2)-AH2)/AI2</f>
        <v>1.5226758150145014</v>
      </c>
      <c r="AM2" s="2">
        <f>AK2+AL2</f>
        <v>-1.211347388843443</v>
      </c>
    </row>
    <row r="3" spans="1:39" s="43" customFormat="1">
      <c r="A3" s="2" t="s">
        <v>21</v>
      </c>
      <c r="B3" s="43">
        <v>135.80178833007812</v>
      </c>
      <c r="C3" s="43">
        <v>152.06134033203125</v>
      </c>
      <c r="D3" s="43">
        <v>133.48545837402344</v>
      </c>
      <c r="E3" s="43">
        <v>143.02265930175781</v>
      </c>
      <c r="F3" s="43">
        <v>132.75532531738281</v>
      </c>
      <c r="G3" s="43">
        <v>139.593505859375</v>
      </c>
      <c r="H3" s="43">
        <v>134.76448059082031</v>
      </c>
      <c r="I3" s="43">
        <v>148.18905639648437</v>
      </c>
      <c r="J3" s="43">
        <v>130.413818359375</v>
      </c>
      <c r="K3" s="43">
        <v>153.58206176757812</v>
      </c>
      <c r="L3" s="43">
        <v>133.88327026367188</v>
      </c>
      <c r="M3" s="43">
        <v>137.15632629394531</v>
      </c>
      <c r="N3" s="43">
        <v>142.21697998046875</v>
      </c>
      <c r="O3" s="43">
        <v>147.00068664550781</v>
      </c>
      <c r="P3" s="43">
        <v>140.94804382324219</v>
      </c>
      <c r="Q3" s="43">
        <v>138.13824462890625</v>
      </c>
      <c r="R3" s="43">
        <v>137.53399658203125</v>
      </c>
      <c r="S3" s="43">
        <v>84.596015930175781</v>
      </c>
      <c r="T3" s="43">
        <v>97.340812683105469</v>
      </c>
      <c r="U3" s="43">
        <v>158.95491027832031</v>
      </c>
      <c r="V3" s="43">
        <v>150.48019409179687</v>
      </c>
      <c r="W3" s="43">
        <v>138.17349243164062</v>
      </c>
      <c r="X3" s="43">
        <v>88.120849609375</v>
      </c>
      <c r="Z3" s="43">
        <v>138.59144592285156</v>
      </c>
      <c r="AA3" s="43">
        <v>157.11695861816406</v>
      </c>
      <c r="AB3" s="43">
        <v>150.79743957519531</v>
      </c>
      <c r="AC3" s="43">
        <v>129.94049072265625</v>
      </c>
      <c r="AD3" s="43">
        <v>138.3497314453125</v>
      </c>
      <c r="AE3" s="43">
        <v>132.50859069824219</v>
      </c>
      <c r="AF3" s="43">
        <v>133.84298706054687</v>
      </c>
      <c r="AG3" s="43">
        <v>149.41770935058594</v>
      </c>
      <c r="AH3" s="43">
        <f t="shared" ref="AH3:AH5" si="1">AVERAGE(B3:AG3)</f>
        <v>136.41221520208543</v>
      </c>
      <c r="AI3" s="43">
        <f t="shared" ref="AI3:AI5" si="2">STDEV(B3:AG3)</f>
        <v>17.416956977752168</v>
      </c>
      <c r="AJ3" s="47">
        <f t="shared" ref="AJ3:AJ55" si="3">AI3/AH3</f>
        <v>0.12767886623606345</v>
      </c>
      <c r="AK3" s="2">
        <f t="shared" ref="AK3:AK4" si="4">(MIN(B3:AG3)-AH3)/AI3</f>
        <v>-2.9750431914195983</v>
      </c>
      <c r="AL3" s="2">
        <f t="shared" ref="AL3:AL4" si="5">(MAX(B3:AG3)-AH3)/AI3</f>
        <v>1.2942958465724037</v>
      </c>
      <c r="AM3" s="2">
        <f t="shared" ref="AM3:AM4" si="6">AK3+AL3</f>
        <v>-1.6807473448471946</v>
      </c>
    </row>
    <row r="4" spans="1:39" s="43" customFormat="1">
      <c r="A4" s="2" t="s">
        <v>22</v>
      </c>
      <c r="B4" s="43">
        <v>137.33256530761719</v>
      </c>
      <c r="C4" s="43">
        <v>132.443115234375</v>
      </c>
      <c r="D4" s="43">
        <v>123.25337982177734</v>
      </c>
      <c r="E4" s="43">
        <v>126.66239166259766</v>
      </c>
      <c r="F4" s="43">
        <v>127.22636413574219</v>
      </c>
      <c r="G4" s="43">
        <v>120.35797882080078</v>
      </c>
      <c r="H4" s="43">
        <v>124.57770538330078</v>
      </c>
      <c r="I4" s="43">
        <v>121.31472015380859</v>
      </c>
      <c r="J4" s="43">
        <v>119.864501953125</v>
      </c>
      <c r="K4" s="43">
        <v>120.84642028808594</v>
      </c>
      <c r="L4" s="43">
        <v>122.01968383789063</v>
      </c>
      <c r="M4" s="43">
        <v>123.68138885498047</v>
      </c>
      <c r="N4" s="43">
        <v>123.12748718261719</v>
      </c>
      <c r="O4" s="43">
        <v>138.80796813964844</v>
      </c>
      <c r="P4" s="43">
        <v>130.57496643066406</v>
      </c>
      <c r="Q4" s="43">
        <v>126.16891479492187</v>
      </c>
      <c r="R4" s="43">
        <v>125.30785369873047</v>
      </c>
      <c r="S4" s="43">
        <v>82.828567504882813</v>
      </c>
      <c r="T4" s="43">
        <v>78.14556884765625</v>
      </c>
      <c r="U4" s="43">
        <v>121.61684417724609</v>
      </c>
      <c r="V4" s="43">
        <v>141.00846862792969</v>
      </c>
      <c r="W4" s="43">
        <v>129.90524291992187</v>
      </c>
      <c r="X4" s="43">
        <v>83.593955993652344</v>
      </c>
      <c r="Z4" s="43">
        <v>124.43671417236328</v>
      </c>
      <c r="AA4" s="43">
        <v>121.55138397216797</v>
      </c>
      <c r="AB4" s="43">
        <v>119.08903503417969</v>
      </c>
      <c r="AC4" s="43">
        <v>109.7784423828125</v>
      </c>
      <c r="AD4" s="43">
        <v>122.28153228759766</v>
      </c>
      <c r="AE4" s="43">
        <v>121.77294921875</v>
      </c>
      <c r="AF4" s="43">
        <v>110.89631652832031</v>
      </c>
      <c r="AG4" s="43">
        <v>120.51407623291016</v>
      </c>
      <c r="AH4" s="43">
        <f t="shared" si="1"/>
        <v>120.35440334197014</v>
      </c>
      <c r="AI4" s="43">
        <f t="shared" si="2"/>
        <v>14.56158153685849</v>
      </c>
      <c r="AJ4" s="47">
        <f t="shared" si="3"/>
        <v>0.12098918803563673</v>
      </c>
      <c r="AK4" s="2">
        <f t="shared" si="4"/>
        <v>-2.8986435565034103</v>
      </c>
      <c r="AL4" s="2">
        <f t="shared" si="5"/>
        <v>1.4183943710839151</v>
      </c>
      <c r="AM4" s="2">
        <f t="shared" si="6"/>
        <v>-1.4802491854194952</v>
      </c>
    </row>
    <row r="5" spans="1:39" s="43" customFormat="1">
      <c r="A5" s="2" t="s">
        <v>10</v>
      </c>
      <c r="B5" s="43">
        <v>150.9</v>
      </c>
      <c r="C5" s="43">
        <v>150.9</v>
      </c>
      <c r="D5" s="43">
        <v>150.9</v>
      </c>
      <c r="E5" s="43">
        <v>150.9</v>
      </c>
      <c r="F5" s="43">
        <v>150.9</v>
      </c>
      <c r="G5" s="43">
        <v>150.9</v>
      </c>
      <c r="H5" s="43">
        <v>150.9</v>
      </c>
      <c r="I5" s="43">
        <v>150.9</v>
      </c>
      <c r="J5" s="43">
        <v>150.9</v>
      </c>
      <c r="K5" s="43">
        <v>150.9</v>
      </c>
      <c r="L5" s="43">
        <v>150.9</v>
      </c>
      <c r="M5" s="43">
        <v>150.9</v>
      </c>
      <c r="N5" s="43">
        <v>150.9</v>
      </c>
      <c r="O5" s="43">
        <v>150.9</v>
      </c>
      <c r="P5" s="43">
        <v>150.9</v>
      </c>
      <c r="Q5" s="43">
        <v>150.9</v>
      </c>
      <c r="R5" s="43">
        <v>150.9</v>
      </c>
      <c r="S5" s="43">
        <v>150.9</v>
      </c>
      <c r="T5" s="43">
        <v>150.9</v>
      </c>
      <c r="U5" s="43">
        <v>150.9</v>
      </c>
      <c r="V5" s="43">
        <v>150.9</v>
      </c>
      <c r="W5" s="43">
        <v>150.9</v>
      </c>
      <c r="X5" s="43">
        <v>150.9</v>
      </c>
      <c r="Z5" s="43">
        <v>150.9</v>
      </c>
      <c r="AA5" s="43">
        <v>150.9</v>
      </c>
      <c r="AB5" s="43">
        <v>150.9</v>
      </c>
      <c r="AC5" s="43">
        <v>150.9</v>
      </c>
      <c r="AD5" s="43">
        <v>150.9</v>
      </c>
      <c r="AE5" s="43">
        <v>150.9</v>
      </c>
      <c r="AF5" s="43">
        <v>150.9</v>
      </c>
      <c r="AG5" s="43">
        <v>150.9</v>
      </c>
      <c r="AH5" s="43">
        <f t="shared" si="1"/>
        <v>150.9</v>
      </c>
      <c r="AI5" s="43">
        <f t="shared" si="2"/>
        <v>0</v>
      </c>
      <c r="AJ5" s="47">
        <f t="shared" si="3"/>
        <v>0</v>
      </c>
    </row>
    <row r="6" spans="1:39" s="44" customFormat="1">
      <c r="A6" s="41" t="s">
        <v>1</v>
      </c>
      <c r="B6" s="44">
        <v>0.2366</v>
      </c>
      <c r="C6" s="44">
        <v>0.2366</v>
      </c>
      <c r="D6" s="44">
        <v>0.2366</v>
      </c>
      <c r="E6" s="44">
        <v>0.2366</v>
      </c>
      <c r="F6" s="44">
        <v>0.2366</v>
      </c>
      <c r="G6" s="44">
        <v>0.2366</v>
      </c>
      <c r="H6" s="44">
        <v>0.2366</v>
      </c>
      <c r="I6" s="44">
        <v>0.2366</v>
      </c>
      <c r="J6" s="44">
        <v>0.2366</v>
      </c>
      <c r="K6" s="44">
        <v>0.2366</v>
      </c>
      <c r="L6" s="44">
        <v>0.2366</v>
      </c>
      <c r="M6" s="44">
        <v>0.2366</v>
      </c>
      <c r="N6" s="44">
        <v>0.2366</v>
      </c>
      <c r="O6" s="44">
        <v>0.2366</v>
      </c>
      <c r="P6" s="44">
        <v>0.2366</v>
      </c>
      <c r="Q6" s="44">
        <v>0.2366</v>
      </c>
      <c r="R6" s="44">
        <v>0.2366</v>
      </c>
      <c r="S6" s="44">
        <v>0.2366</v>
      </c>
      <c r="T6" s="44">
        <v>0.2366</v>
      </c>
      <c r="U6" s="44">
        <v>0.2366</v>
      </c>
      <c r="V6" s="44">
        <v>0.2366</v>
      </c>
      <c r="W6" s="44">
        <v>0.2366</v>
      </c>
      <c r="X6" s="44">
        <v>0.2366</v>
      </c>
      <c r="Z6" s="44">
        <v>0.2366</v>
      </c>
      <c r="AA6" s="44">
        <v>0.2366</v>
      </c>
      <c r="AB6" s="44">
        <v>0.2366</v>
      </c>
      <c r="AC6" s="44">
        <v>0.2366</v>
      </c>
      <c r="AD6" s="44">
        <v>0.2366</v>
      </c>
      <c r="AE6" s="44">
        <v>0.2366</v>
      </c>
      <c r="AF6" s="44">
        <v>0.2366</v>
      </c>
      <c r="AG6" s="44">
        <v>0.2366</v>
      </c>
      <c r="AH6" s="44">
        <f>AVERAGE(B6:AG6)</f>
        <v>0.23660000000000009</v>
      </c>
      <c r="AI6" s="44">
        <f>STDEV(B6:AH6)</f>
        <v>8.3266726846886741E-17</v>
      </c>
      <c r="AJ6" s="47">
        <f t="shared" si="3"/>
        <v>3.5193037551515937E-16</v>
      </c>
    </row>
    <row r="7" spans="1:39" s="44" customFormat="1">
      <c r="A7" s="41" t="s">
        <v>2</v>
      </c>
      <c r="B7" s="44">
        <v>0.36780000000000002</v>
      </c>
      <c r="C7" s="44">
        <v>0.36780000000000002</v>
      </c>
      <c r="D7" s="44">
        <v>0.36780000000000002</v>
      </c>
      <c r="E7" s="44">
        <v>0.36780000000000002</v>
      </c>
      <c r="F7" s="44">
        <v>0.36780000000000002</v>
      </c>
      <c r="G7" s="44">
        <v>0.36780000000000002</v>
      </c>
      <c r="H7" s="44">
        <v>0.36780000000000002</v>
      </c>
      <c r="I7" s="44">
        <v>0.36780000000000002</v>
      </c>
      <c r="J7" s="44">
        <v>0.36780000000000002</v>
      </c>
      <c r="K7" s="44">
        <v>0.36780000000000002</v>
      </c>
      <c r="L7" s="44">
        <v>0.36780000000000002</v>
      </c>
      <c r="M7" s="44">
        <v>0.36780000000000002</v>
      </c>
      <c r="N7" s="44">
        <v>0.36780000000000002</v>
      </c>
      <c r="O7" s="44">
        <v>0.36780000000000002</v>
      </c>
      <c r="P7" s="44">
        <v>0.36780000000000002</v>
      </c>
      <c r="Q7" s="44">
        <v>0.36780000000000002</v>
      </c>
      <c r="R7" s="44">
        <v>0.36780000000000002</v>
      </c>
      <c r="S7" s="44">
        <v>0.36780000000000002</v>
      </c>
      <c r="T7" s="44">
        <v>0.36780000000000002</v>
      </c>
      <c r="U7" s="44">
        <v>0.36780000000000002</v>
      </c>
      <c r="V7" s="44">
        <v>0.36780000000000002</v>
      </c>
      <c r="W7" s="44">
        <v>0.36780000000000002</v>
      </c>
      <c r="X7" s="44">
        <v>0.36780000000000002</v>
      </c>
      <c r="Z7" s="44">
        <v>0.36780000000000002</v>
      </c>
      <c r="AA7" s="44">
        <v>0.36780000000000002</v>
      </c>
      <c r="AB7" s="44">
        <v>0.36780000000000002</v>
      </c>
      <c r="AC7" s="44">
        <v>0.36780000000000002</v>
      </c>
      <c r="AD7" s="44">
        <v>0.36780000000000002</v>
      </c>
      <c r="AE7" s="44">
        <v>0.36780000000000002</v>
      </c>
      <c r="AF7" s="44">
        <v>0.36780000000000002</v>
      </c>
      <c r="AG7" s="44">
        <v>0.36780000000000002</v>
      </c>
      <c r="AH7" s="44">
        <f>AVERAGE(B7:AG7)</f>
        <v>0.36780000000000024</v>
      </c>
      <c r="AI7" s="44">
        <f>STDEV(B7:AH7)</f>
        <v>2.2204460492503131E-16</v>
      </c>
      <c r="AJ7" s="47">
        <f t="shared" si="3"/>
        <v>6.0371018196038923E-16</v>
      </c>
    </row>
    <row r="8" spans="1:39" s="43" customFormat="1">
      <c r="A8" s="2" t="str">
        <f>A2</f>
        <v>R</v>
      </c>
      <c r="B8" s="43">
        <v>110.1007080078125</v>
      </c>
      <c r="C8" s="43">
        <v>108.24261474609375</v>
      </c>
      <c r="D8" s="43">
        <v>105.23139953613281</v>
      </c>
      <c r="E8" s="43">
        <v>112.36667633056641</v>
      </c>
      <c r="F8" s="43">
        <v>106.58090972900391</v>
      </c>
      <c r="G8" s="43">
        <v>103.67040252685547</v>
      </c>
      <c r="H8" s="43">
        <v>105.79034423828125</v>
      </c>
      <c r="I8" s="43">
        <v>106.84275817871094</v>
      </c>
      <c r="J8" s="43">
        <v>103.96246337890625</v>
      </c>
      <c r="K8" s="43">
        <v>108.81666564941406</v>
      </c>
      <c r="L8" s="43">
        <v>105.19111633300781</v>
      </c>
      <c r="M8" s="43">
        <v>113.18241882324219</v>
      </c>
      <c r="N8" s="43">
        <v>108.67063140869141</v>
      </c>
      <c r="O8" s="43">
        <v>120.59464263916016</v>
      </c>
      <c r="P8" s="43">
        <v>111.17829895019531</v>
      </c>
      <c r="Q8" s="43">
        <v>112.75944519042969</v>
      </c>
      <c r="R8" s="43">
        <v>111.52574920654297</v>
      </c>
      <c r="S8" s="43">
        <v>69.393913269042969</v>
      </c>
      <c r="T8" s="43">
        <v>68.391853332519531</v>
      </c>
      <c r="U8" s="43">
        <v>103.12153625488281</v>
      </c>
      <c r="V8" s="43">
        <v>119.67818450927734</v>
      </c>
      <c r="W8" s="43">
        <v>112.79469299316406</v>
      </c>
      <c r="X8" s="43">
        <v>71.428245544433594</v>
      </c>
      <c r="Z8" s="43">
        <v>109.43602752685547</v>
      </c>
      <c r="AA8" s="43">
        <v>105.57884979248047</v>
      </c>
      <c r="AB8" s="43">
        <v>91.76654052734375</v>
      </c>
      <c r="AC8" s="43">
        <v>98.504005432128906</v>
      </c>
      <c r="AD8" s="43">
        <v>108.76127624511719</v>
      </c>
      <c r="AE8" s="43">
        <v>100.49805450439453</v>
      </c>
      <c r="AF8" s="43">
        <v>103.8516845703125</v>
      </c>
      <c r="AG8" s="43">
        <v>105.24650573730469</v>
      </c>
      <c r="AH8" s="43">
        <f t="shared" ref="AH8:AH55" si="7">AVERAGE(B8:AG8)</f>
        <v>103.97285855200982</v>
      </c>
      <c r="AI8" s="43">
        <f t="shared" ref="AI8:AI53" si="8">STDEV(B8:AG8)</f>
        <v>12.694587601003922</v>
      </c>
      <c r="AJ8" s="47">
        <f t="shared" si="3"/>
        <v>0.12209520617011575</v>
      </c>
      <c r="AK8" s="2">
        <f>(MIN(B8:AG8)-AH8)/AI8</f>
        <v>-2.8028484530428108</v>
      </c>
      <c r="AL8" s="2">
        <f>(MAX(B8:AG8)-AH8)/AI8</f>
        <v>1.3093599106627012</v>
      </c>
      <c r="AM8" s="2">
        <f t="shared" ref="AM8:AM52" si="9">AK8+AL8</f>
        <v>-1.4934885423801096</v>
      </c>
    </row>
    <row r="9" spans="1:39" s="43" customFormat="1">
      <c r="A9" s="2" t="str">
        <f t="shared" ref="A9:A55" si="10">A3</f>
        <v>G</v>
      </c>
      <c r="B9" s="43">
        <v>127.78530883789062</v>
      </c>
      <c r="C9" s="43">
        <v>147.88693237304688</v>
      </c>
      <c r="D9" s="43">
        <v>128.93843078613281</v>
      </c>
      <c r="E9" s="43">
        <v>140.40924072265625</v>
      </c>
      <c r="F9" s="43">
        <v>132.11077880859375</v>
      </c>
      <c r="G9" s="43">
        <v>133.85305786132812</v>
      </c>
      <c r="H9" s="43">
        <v>133.34950256347656</v>
      </c>
      <c r="I9" s="43">
        <v>144.22109985351562</v>
      </c>
      <c r="J9" s="43">
        <v>127.18104553222656</v>
      </c>
      <c r="K9" s="43">
        <v>153.14396667480469</v>
      </c>
      <c r="L9" s="43">
        <v>127.88601684570312</v>
      </c>
      <c r="M9" s="43">
        <v>133.99908447265625</v>
      </c>
      <c r="N9" s="43">
        <v>132.27191162109375</v>
      </c>
      <c r="O9" s="43">
        <v>142.25222778320312</v>
      </c>
      <c r="P9" s="43">
        <v>136.1593017578125</v>
      </c>
      <c r="Q9" s="43">
        <v>132.93156433105469</v>
      </c>
      <c r="R9" s="43">
        <v>132.59922790527344</v>
      </c>
      <c r="S9" s="43">
        <v>81.84161376953125</v>
      </c>
      <c r="T9" s="43">
        <v>94.989242553710938</v>
      </c>
      <c r="U9" s="43">
        <v>152.53468322753906</v>
      </c>
      <c r="V9" s="43">
        <v>145.99862670898437</v>
      </c>
      <c r="W9" s="43">
        <v>133.30921936035156</v>
      </c>
      <c r="X9" s="43">
        <v>85.81964111328125</v>
      </c>
      <c r="Z9" s="43">
        <v>135.61044311523437</v>
      </c>
      <c r="AA9" s="43">
        <v>149.07530212402344</v>
      </c>
      <c r="AB9" s="43">
        <v>146.21011352539062</v>
      </c>
      <c r="AC9" s="43">
        <v>120.93705749511719</v>
      </c>
      <c r="AD9" s="43">
        <v>132.281982421875</v>
      </c>
      <c r="AE9" s="43">
        <v>122.07003784179687</v>
      </c>
      <c r="AF9" s="43">
        <v>127.05012512207031</v>
      </c>
      <c r="AG9" s="43">
        <v>145.7216796875</v>
      </c>
      <c r="AH9" s="43">
        <f t="shared" si="7"/>
        <v>131.62672473538308</v>
      </c>
      <c r="AI9" s="43">
        <f t="shared" si="8"/>
        <v>17.023014326839544</v>
      </c>
      <c r="AJ9" s="47">
        <f t="shared" si="3"/>
        <v>0.12932794887255539</v>
      </c>
      <c r="AK9" s="2">
        <f t="shared" ref="AK9:AK10" si="11">(MIN(B9:AG9)-AH9)/AI9</f>
        <v>-2.9245766942319684</v>
      </c>
      <c r="AL9" s="2">
        <f t="shared" ref="AL9:AL10" si="12">(MAX(B9:AG9)-AH9)/AI9</f>
        <v>1.2640089191193469</v>
      </c>
      <c r="AM9" s="2">
        <f t="shared" si="9"/>
        <v>-1.6605677751126215</v>
      </c>
    </row>
    <row r="10" spans="1:39" s="43" customFormat="1">
      <c r="A10" s="2" t="str">
        <f t="shared" si="10"/>
        <v>B</v>
      </c>
      <c r="B10" s="43">
        <v>122.0347900390625</v>
      </c>
      <c r="C10" s="43">
        <v>119.69329071044922</v>
      </c>
      <c r="D10" s="43">
        <v>113.21766662597656</v>
      </c>
      <c r="E10" s="43">
        <v>115.75555419921875</v>
      </c>
      <c r="F10" s="43">
        <v>115.22682189941406</v>
      </c>
      <c r="G10" s="43">
        <v>108.59510040283203</v>
      </c>
      <c r="H10" s="43">
        <v>112.98100280761719</v>
      </c>
      <c r="I10" s="43">
        <v>114.13412475585937</v>
      </c>
      <c r="J10" s="43">
        <v>110.62943267822266</v>
      </c>
      <c r="K10" s="43">
        <v>107.76425170898437</v>
      </c>
      <c r="L10" s="43">
        <v>108.58502960205078</v>
      </c>
      <c r="M10" s="43">
        <v>114.42115020751953</v>
      </c>
      <c r="N10" s="43">
        <v>110.94163513183594</v>
      </c>
      <c r="O10" s="43">
        <v>120.17669677734375</v>
      </c>
      <c r="P10" s="43">
        <v>119.05378723144531</v>
      </c>
      <c r="Q10" s="43">
        <v>115.13114929199219</v>
      </c>
      <c r="R10" s="43">
        <v>114.06362915039062</v>
      </c>
      <c r="S10" s="43">
        <v>74.2178955078125</v>
      </c>
      <c r="T10" s="43">
        <v>69.227737426757813</v>
      </c>
      <c r="U10" s="43">
        <v>109.44609832763672</v>
      </c>
      <c r="V10" s="43">
        <v>123.8626708984375</v>
      </c>
      <c r="W10" s="43">
        <v>117.7747802734375</v>
      </c>
      <c r="X10" s="43">
        <v>73.754638671875</v>
      </c>
      <c r="Z10" s="43">
        <v>114.01327514648437</v>
      </c>
      <c r="AA10" s="43">
        <v>109.60723114013672</v>
      </c>
      <c r="AB10" s="43">
        <v>106.34928131103516</v>
      </c>
      <c r="AC10" s="43">
        <v>99.415428161621094</v>
      </c>
      <c r="AD10" s="43">
        <v>114.94483947753906</v>
      </c>
      <c r="AE10" s="43">
        <v>110.85099792480469</v>
      </c>
      <c r="AF10" s="43">
        <v>103.14671325683594</v>
      </c>
      <c r="AG10" s="43">
        <v>107.970703125</v>
      </c>
      <c r="AH10" s="43">
        <f t="shared" si="7"/>
        <v>108.93507754418158</v>
      </c>
      <c r="AI10" s="43">
        <f t="shared" si="8"/>
        <v>13.273874020095368</v>
      </c>
      <c r="AJ10" s="47">
        <f t="shared" si="3"/>
        <v>0.12185123763015442</v>
      </c>
      <c r="AK10" s="2">
        <f t="shared" si="11"/>
        <v>-2.9913904604873207</v>
      </c>
      <c r="AL10" s="2">
        <f t="shared" si="12"/>
        <v>1.1245845283492204</v>
      </c>
      <c r="AM10" s="2">
        <f t="shared" si="9"/>
        <v>-1.8668059321381003</v>
      </c>
    </row>
    <row r="11" spans="1:39" s="43" customFormat="1">
      <c r="A11" s="2" t="str">
        <f t="shared" si="10"/>
        <v>Ev</v>
      </c>
      <c r="B11" s="43">
        <v>150.30000000000001</v>
      </c>
      <c r="C11" s="43">
        <v>150.30000000000001</v>
      </c>
      <c r="D11" s="43">
        <v>150.30000000000001</v>
      </c>
      <c r="E11" s="43">
        <v>150.30000000000001</v>
      </c>
      <c r="F11" s="43">
        <v>150.30000000000001</v>
      </c>
      <c r="G11" s="43">
        <v>150.30000000000001</v>
      </c>
      <c r="H11" s="43">
        <v>150.30000000000001</v>
      </c>
      <c r="I11" s="43">
        <v>150.30000000000001</v>
      </c>
      <c r="J11" s="43">
        <v>150.30000000000001</v>
      </c>
      <c r="K11" s="43">
        <v>150.30000000000001</v>
      </c>
      <c r="L11" s="43">
        <v>150.30000000000001</v>
      </c>
      <c r="M11" s="43">
        <v>150.30000000000001</v>
      </c>
      <c r="N11" s="43">
        <v>150.30000000000001</v>
      </c>
      <c r="O11" s="43">
        <v>150.30000000000001</v>
      </c>
      <c r="P11" s="43">
        <v>150.30000000000001</v>
      </c>
      <c r="Q11" s="43">
        <v>150.30000000000001</v>
      </c>
      <c r="R11" s="43">
        <v>150.30000000000001</v>
      </c>
      <c r="S11" s="43">
        <v>150.30000000000001</v>
      </c>
      <c r="T11" s="43">
        <v>150.30000000000001</v>
      </c>
      <c r="U11" s="43">
        <v>150.30000000000001</v>
      </c>
      <c r="V11" s="43">
        <v>150.30000000000001</v>
      </c>
      <c r="W11" s="43">
        <v>150.30000000000001</v>
      </c>
      <c r="X11" s="43">
        <v>150.30000000000001</v>
      </c>
      <c r="Z11" s="43">
        <v>150.30000000000001</v>
      </c>
      <c r="AA11" s="43">
        <v>150.30000000000001</v>
      </c>
      <c r="AB11" s="43">
        <v>150.30000000000001</v>
      </c>
      <c r="AC11" s="43">
        <v>150.30000000000001</v>
      </c>
      <c r="AD11" s="43">
        <v>150.30000000000001</v>
      </c>
      <c r="AE11" s="43">
        <v>150.30000000000001</v>
      </c>
      <c r="AF11" s="43">
        <v>150.30000000000001</v>
      </c>
      <c r="AG11" s="43">
        <v>150.30000000000001</v>
      </c>
      <c r="AH11" s="43">
        <f t="shared" si="7"/>
        <v>150.3000000000001</v>
      </c>
      <c r="AI11" s="43">
        <f t="shared" si="8"/>
        <v>8.6674564738455656E-14</v>
      </c>
      <c r="AJ11" s="47">
        <f t="shared" si="3"/>
        <v>5.7667707743483434E-16</v>
      </c>
    </row>
    <row r="12" spans="1:39" s="44" customFormat="1">
      <c r="A12" s="2" t="str">
        <f t="shared" si="10"/>
        <v>x</v>
      </c>
      <c r="B12" s="44">
        <v>0.30049999999999999</v>
      </c>
      <c r="C12" s="44">
        <v>0.30049999999999999</v>
      </c>
      <c r="D12" s="44">
        <v>0.30049999999999999</v>
      </c>
      <c r="E12" s="44">
        <v>0.30049999999999999</v>
      </c>
      <c r="F12" s="44">
        <v>0.30049999999999999</v>
      </c>
      <c r="G12" s="44">
        <v>0.30049999999999999</v>
      </c>
      <c r="H12" s="44">
        <v>0.30049999999999999</v>
      </c>
      <c r="I12" s="44">
        <v>0.30049999999999999</v>
      </c>
      <c r="J12" s="44">
        <v>0.30049999999999999</v>
      </c>
      <c r="K12" s="44">
        <v>0.30049999999999999</v>
      </c>
      <c r="L12" s="44">
        <v>0.30049999999999999</v>
      </c>
      <c r="M12" s="44">
        <v>0.30049999999999999</v>
      </c>
      <c r="N12" s="44">
        <v>0.30049999999999999</v>
      </c>
      <c r="O12" s="44">
        <v>0.30049999999999999</v>
      </c>
      <c r="P12" s="44">
        <v>0.30049999999999999</v>
      </c>
      <c r="Q12" s="44">
        <v>0.30049999999999999</v>
      </c>
      <c r="R12" s="44">
        <v>0.30049999999999999</v>
      </c>
      <c r="S12" s="44">
        <v>0.30049999999999999</v>
      </c>
      <c r="T12" s="44">
        <v>0.30049999999999999</v>
      </c>
      <c r="U12" s="44">
        <v>0.30049999999999999</v>
      </c>
      <c r="V12" s="44">
        <v>0.30049999999999999</v>
      </c>
      <c r="W12" s="44">
        <v>0.30049999999999999</v>
      </c>
      <c r="X12" s="44">
        <v>0.30049999999999999</v>
      </c>
      <c r="Z12" s="44">
        <v>0.30049999999999999</v>
      </c>
      <c r="AA12" s="44">
        <v>0.30049999999999999</v>
      </c>
      <c r="AB12" s="44">
        <v>0.30049999999999999</v>
      </c>
      <c r="AC12" s="44">
        <v>0.30049999999999999</v>
      </c>
      <c r="AD12" s="44">
        <v>0.30049999999999999</v>
      </c>
      <c r="AE12" s="44">
        <v>0.30049999999999999</v>
      </c>
      <c r="AF12" s="44">
        <v>0.30049999999999999</v>
      </c>
      <c r="AG12" s="44">
        <v>0.30049999999999999</v>
      </c>
      <c r="AH12" s="44">
        <f t="shared" si="7"/>
        <v>0.30049999999999977</v>
      </c>
      <c r="AI12" s="44">
        <f t="shared" ref="AI12:AI13" si="13">STDEV(B12:AH12)</f>
        <v>2.2204460492503131E-16</v>
      </c>
      <c r="AJ12" s="47">
        <f t="shared" si="3"/>
        <v>7.3891715449261719E-16</v>
      </c>
    </row>
    <row r="13" spans="1:39" s="44" customFormat="1">
      <c r="A13" s="2" t="str">
        <f t="shared" si="10"/>
        <v>y</v>
      </c>
      <c r="B13" s="44">
        <v>0.3695</v>
      </c>
      <c r="C13" s="44">
        <v>0.3695</v>
      </c>
      <c r="D13" s="44">
        <v>0.3695</v>
      </c>
      <c r="E13" s="44">
        <v>0.3695</v>
      </c>
      <c r="F13" s="44">
        <v>0.3695</v>
      </c>
      <c r="G13" s="44">
        <v>0.3695</v>
      </c>
      <c r="H13" s="44">
        <v>0.3695</v>
      </c>
      <c r="I13" s="44">
        <v>0.3695</v>
      </c>
      <c r="J13" s="44">
        <v>0.3695</v>
      </c>
      <c r="K13" s="44">
        <v>0.3695</v>
      </c>
      <c r="L13" s="44">
        <v>0.3695</v>
      </c>
      <c r="M13" s="44">
        <v>0.3695</v>
      </c>
      <c r="N13" s="44">
        <v>0.3695</v>
      </c>
      <c r="O13" s="44">
        <v>0.3695</v>
      </c>
      <c r="P13" s="44">
        <v>0.3695</v>
      </c>
      <c r="Q13" s="44">
        <v>0.3695</v>
      </c>
      <c r="R13" s="44">
        <v>0.3695</v>
      </c>
      <c r="S13" s="44">
        <v>0.3695</v>
      </c>
      <c r="T13" s="44">
        <v>0.3695</v>
      </c>
      <c r="U13" s="44">
        <v>0.3695</v>
      </c>
      <c r="V13" s="44">
        <v>0.3695</v>
      </c>
      <c r="W13" s="44">
        <v>0.3695</v>
      </c>
      <c r="X13" s="44">
        <v>0.3695</v>
      </c>
      <c r="Z13" s="44">
        <v>0.3695</v>
      </c>
      <c r="AA13" s="44">
        <v>0.3695</v>
      </c>
      <c r="AB13" s="44">
        <v>0.3695</v>
      </c>
      <c r="AC13" s="44">
        <v>0.3695</v>
      </c>
      <c r="AD13" s="44">
        <v>0.3695</v>
      </c>
      <c r="AE13" s="44">
        <v>0.3695</v>
      </c>
      <c r="AF13" s="44">
        <v>0.3695</v>
      </c>
      <c r="AG13" s="44">
        <v>0.3695</v>
      </c>
      <c r="AH13" s="44">
        <f t="shared" si="7"/>
        <v>0.36950000000000022</v>
      </c>
      <c r="AI13" s="44">
        <f t="shared" si="13"/>
        <v>2.2204460492503131E-16</v>
      </c>
      <c r="AJ13" s="47">
        <f t="shared" si="3"/>
        <v>6.009326249662549E-16</v>
      </c>
    </row>
    <row r="14" spans="1:39" s="43" customFormat="1">
      <c r="A14" s="2" t="str">
        <f t="shared" si="10"/>
        <v>R</v>
      </c>
      <c r="B14" s="43">
        <v>178.95582580566406</v>
      </c>
      <c r="C14" s="43">
        <v>169.630126953125</v>
      </c>
      <c r="D14" s="43">
        <v>162.00137329101562</v>
      </c>
      <c r="E14" s="43">
        <v>168.03890991210937</v>
      </c>
      <c r="F14" s="43">
        <v>163.23506164550781</v>
      </c>
      <c r="G14" s="43">
        <v>159.75555419921875</v>
      </c>
      <c r="H14" s="43">
        <v>162.10208129882812</v>
      </c>
      <c r="I14" s="43">
        <v>169.48408508300781</v>
      </c>
      <c r="J14" s="43">
        <v>159.48866271972656</v>
      </c>
      <c r="K14" s="43">
        <v>168.30075073242187</v>
      </c>
      <c r="L14" s="43">
        <v>165.16365051269531</v>
      </c>
      <c r="M14" s="43">
        <v>164.85649108886719</v>
      </c>
      <c r="N14" s="43">
        <v>178.34149169921875</v>
      </c>
      <c r="O14" s="43">
        <v>188.44265747070313</v>
      </c>
      <c r="P14" s="43">
        <v>171.98672485351562</v>
      </c>
      <c r="Q14" s="43">
        <v>180.69306945800781</v>
      </c>
      <c r="R14" s="43">
        <v>164.0457763671875</v>
      </c>
      <c r="S14" s="43">
        <v>111.52574920654297</v>
      </c>
      <c r="T14" s="43">
        <v>109.43602752685547</v>
      </c>
      <c r="U14" s="43">
        <v>170.02288818359375</v>
      </c>
      <c r="V14" s="43">
        <v>179.39894104003906</v>
      </c>
      <c r="W14" s="43">
        <v>170.06820678710937</v>
      </c>
      <c r="X14" s="43">
        <v>114.72830963134766</v>
      </c>
      <c r="Z14" s="43">
        <v>161.7747802734375</v>
      </c>
      <c r="AA14" s="43">
        <v>171.02494812011719</v>
      </c>
      <c r="AB14" s="43">
        <v>148.96955871582031</v>
      </c>
      <c r="AC14" s="43">
        <v>155.38978576660156</v>
      </c>
      <c r="AD14" s="43">
        <v>172.87800598144531</v>
      </c>
      <c r="AE14" s="43">
        <v>161.64385986328125</v>
      </c>
      <c r="AF14" s="43">
        <v>165.75784301757812</v>
      </c>
      <c r="AG14" s="43">
        <v>172.08743286132812</v>
      </c>
      <c r="AH14" s="43">
        <f t="shared" si="7"/>
        <v>162.5557622601909</v>
      </c>
      <c r="AI14" s="43">
        <f t="shared" ref="AI14" si="14">STDEV(B14:AG14)</f>
        <v>18.641999069872817</v>
      </c>
      <c r="AJ14" s="47">
        <f t="shared" si="3"/>
        <v>0.11468064134222419</v>
      </c>
      <c r="AK14" s="2">
        <f>(MIN(B14:AG14)-AH14)/AI14</f>
        <v>-2.8494655822176176</v>
      </c>
      <c r="AL14" s="2">
        <f>(MAX(B14:AG14)-AH14)/AI14</f>
        <v>1.3886330062288128</v>
      </c>
      <c r="AM14" s="2">
        <f t="shared" ref="AM14" si="15">AK14+AL14</f>
        <v>-1.4608325759888048</v>
      </c>
    </row>
    <row r="15" spans="1:39" s="43" customFormat="1">
      <c r="A15" s="2" t="str">
        <f t="shared" si="10"/>
        <v>G</v>
      </c>
      <c r="B15" s="43">
        <v>124.74890899658203</v>
      </c>
      <c r="C15" s="43">
        <v>144.85557556152344</v>
      </c>
      <c r="D15" s="43">
        <v>126.50629425048828</v>
      </c>
      <c r="E15" s="43">
        <v>138.48065185546875</v>
      </c>
      <c r="F15" s="43">
        <v>132.24673461914063</v>
      </c>
      <c r="G15" s="43">
        <v>128.07736206054687</v>
      </c>
      <c r="H15" s="43">
        <v>132.09567260742187</v>
      </c>
      <c r="I15" s="43">
        <v>139.30143737792969</v>
      </c>
      <c r="J15" s="43">
        <v>123.96337890625</v>
      </c>
      <c r="K15" s="43">
        <v>152.90730285644531</v>
      </c>
      <c r="L15" s="43">
        <v>121.73265838623047</v>
      </c>
      <c r="M15" s="43">
        <v>128.36941528320312</v>
      </c>
      <c r="N15" s="43">
        <v>123.89791870117187</v>
      </c>
      <c r="O15" s="43">
        <v>138.04257202148437</v>
      </c>
      <c r="P15" s="43">
        <v>131.7381591796875</v>
      </c>
      <c r="Q15" s="43">
        <v>126.78324890136719</v>
      </c>
      <c r="R15" s="43">
        <v>126.95445251464844</v>
      </c>
      <c r="S15" s="43">
        <v>78.548408508300781</v>
      </c>
      <c r="T15" s="43">
        <v>92.1190185546875</v>
      </c>
      <c r="U15" s="43">
        <v>144.3167724609375</v>
      </c>
      <c r="V15" s="43">
        <v>140.157470703125</v>
      </c>
      <c r="W15" s="43">
        <v>128.21331787109375</v>
      </c>
      <c r="X15" s="43">
        <v>83.382469177246094</v>
      </c>
      <c r="Z15" s="43">
        <v>131.20942687988281</v>
      </c>
      <c r="AA15" s="43">
        <v>143.80316162109375</v>
      </c>
      <c r="AB15" s="43">
        <v>141.85946655273437</v>
      </c>
      <c r="AC15" s="43">
        <v>119.81414794921875</v>
      </c>
      <c r="AD15" s="43">
        <v>119.8846435546875</v>
      </c>
      <c r="AE15" s="43">
        <v>120.30762481689453</v>
      </c>
      <c r="AF15" s="43">
        <v>119.85443115234375</v>
      </c>
      <c r="AG15" s="43">
        <v>141.57748413085937</v>
      </c>
      <c r="AH15" s="43">
        <f t="shared" si="7"/>
        <v>127.28224477460307</v>
      </c>
      <c r="AI15" s="43">
        <f t="shared" si="8"/>
        <v>16.729428495817757</v>
      </c>
      <c r="AJ15" s="47">
        <f t="shared" si="3"/>
        <v>0.13143568080090789</v>
      </c>
      <c r="AK15" s="2">
        <f t="shared" ref="AK15:AK16" si="16">(MIN(B15:AG15)-AH15)/AI15</f>
        <v>-2.9130604358950705</v>
      </c>
      <c r="AL15" s="2">
        <f t="shared" ref="AL15:AL16" si="17">(MAX(B15:AG15)-AH15)/AI15</f>
        <v>1.531735413929312</v>
      </c>
      <c r="AM15" s="2">
        <f t="shared" si="9"/>
        <v>-1.3813250219657585</v>
      </c>
    </row>
    <row r="16" spans="1:39" s="43" customFormat="1">
      <c r="A16" s="2" t="str">
        <f t="shared" si="10"/>
        <v>B</v>
      </c>
      <c r="B16" s="43">
        <v>105.52346038818359</v>
      </c>
      <c r="C16" s="43">
        <v>103.9322509765625</v>
      </c>
      <c r="D16" s="43">
        <v>99.712516784667969</v>
      </c>
      <c r="E16" s="43">
        <v>103.22727966308594</v>
      </c>
      <c r="F16" s="43">
        <v>102.51728057861328</v>
      </c>
      <c r="G16" s="43">
        <v>97.063858032226563</v>
      </c>
      <c r="H16" s="43">
        <v>98.916915893554687</v>
      </c>
      <c r="I16" s="43">
        <v>102.40650177001953</v>
      </c>
      <c r="J16" s="43">
        <v>99.183792114257813</v>
      </c>
      <c r="K16" s="43">
        <v>94.243988037109375</v>
      </c>
      <c r="L16" s="43">
        <v>97.713432312011719</v>
      </c>
      <c r="M16" s="43">
        <v>103.18699645996094</v>
      </c>
      <c r="N16" s="43">
        <v>98.03570556640625</v>
      </c>
      <c r="O16" s="43">
        <v>106.55069732666016</v>
      </c>
      <c r="P16" s="43">
        <v>104.0732421875</v>
      </c>
      <c r="Q16" s="43">
        <v>102.57770538330078</v>
      </c>
      <c r="R16" s="43">
        <v>99.420463562011719</v>
      </c>
      <c r="S16" s="43">
        <v>66.327308654785156</v>
      </c>
      <c r="T16" s="43">
        <v>61.211261749267578</v>
      </c>
      <c r="U16" s="43">
        <v>95.241012573242188</v>
      </c>
      <c r="V16" s="43">
        <v>111.79766845703125</v>
      </c>
      <c r="W16" s="43">
        <v>104.94941711425781</v>
      </c>
      <c r="X16" s="43">
        <v>64.600135803222656</v>
      </c>
      <c r="Z16" s="43">
        <v>100.12039184570312</v>
      </c>
      <c r="AA16" s="43">
        <v>97.371025085449219</v>
      </c>
      <c r="AB16" s="43">
        <v>94.319526672363281</v>
      </c>
      <c r="AC16" s="43">
        <v>88.563972473144531</v>
      </c>
      <c r="AD16" s="43">
        <v>102.76402282714844</v>
      </c>
      <c r="AE16" s="43">
        <v>100.25635528564453</v>
      </c>
      <c r="AF16" s="43">
        <v>90.986038208007813</v>
      </c>
      <c r="AG16" s="43">
        <v>94.611579895019531</v>
      </c>
      <c r="AH16" s="43">
        <f t="shared" si="7"/>
        <v>96.496961409045809</v>
      </c>
      <c r="AI16" s="43">
        <f t="shared" si="8"/>
        <v>11.808713661262754</v>
      </c>
      <c r="AJ16" s="47">
        <f t="shared" si="3"/>
        <v>0.12237394306341114</v>
      </c>
      <c r="AK16" s="2">
        <f t="shared" si="16"/>
        <v>-2.9881069752355218</v>
      </c>
      <c r="AL16" s="2">
        <f t="shared" si="17"/>
        <v>1.2957132746962783</v>
      </c>
      <c r="AM16" s="2">
        <f t="shared" si="9"/>
        <v>-1.6923937005392435</v>
      </c>
    </row>
    <row r="17" spans="1:39" s="43" customFormat="1">
      <c r="A17" s="2" t="str">
        <f t="shared" si="10"/>
        <v>Ev</v>
      </c>
      <c r="B17" s="43">
        <v>150</v>
      </c>
      <c r="C17" s="43">
        <v>150</v>
      </c>
      <c r="D17" s="43">
        <v>150</v>
      </c>
      <c r="E17" s="43">
        <v>150</v>
      </c>
      <c r="F17" s="43">
        <v>150</v>
      </c>
      <c r="G17" s="43">
        <v>150</v>
      </c>
      <c r="H17" s="43">
        <v>150</v>
      </c>
      <c r="I17" s="43">
        <v>150</v>
      </c>
      <c r="J17" s="43">
        <v>150</v>
      </c>
      <c r="K17" s="43">
        <v>150</v>
      </c>
      <c r="L17" s="43">
        <v>150</v>
      </c>
      <c r="M17" s="43">
        <v>150</v>
      </c>
      <c r="N17" s="43">
        <v>150</v>
      </c>
      <c r="O17" s="43">
        <v>150</v>
      </c>
      <c r="P17" s="43">
        <v>150</v>
      </c>
      <c r="Q17" s="43">
        <v>150</v>
      </c>
      <c r="R17" s="43">
        <v>150</v>
      </c>
      <c r="S17" s="43">
        <v>150</v>
      </c>
      <c r="T17" s="43">
        <v>150</v>
      </c>
      <c r="U17" s="43">
        <v>150</v>
      </c>
      <c r="V17" s="43">
        <v>150</v>
      </c>
      <c r="W17" s="43">
        <v>150</v>
      </c>
      <c r="X17" s="43">
        <v>150</v>
      </c>
      <c r="Z17" s="43">
        <v>150</v>
      </c>
      <c r="AA17" s="43">
        <v>150</v>
      </c>
      <c r="AB17" s="43">
        <v>150</v>
      </c>
      <c r="AC17" s="43">
        <v>150</v>
      </c>
      <c r="AD17" s="43">
        <v>150</v>
      </c>
      <c r="AE17" s="43">
        <v>150</v>
      </c>
      <c r="AF17" s="43">
        <v>150</v>
      </c>
      <c r="AG17" s="43">
        <v>150</v>
      </c>
      <c r="AH17" s="43">
        <f t="shared" si="7"/>
        <v>150</v>
      </c>
      <c r="AI17" s="43">
        <f t="shared" si="8"/>
        <v>0</v>
      </c>
      <c r="AJ17" s="47">
        <f t="shared" si="3"/>
        <v>0</v>
      </c>
    </row>
    <row r="18" spans="1:39" s="44" customFormat="1">
      <c r="A18" s="2" t="str">
        <f t="shared" si="10"/>
        <v>x</v>
      </c>
      <c r="B18" s="44">
        <v>0.36870000000000003</v>
      </c>
      <c r="C18" s="44">
        <v>0.36870000000000003</v>
      </c>
      <c r="D18" s="44">
        <v>0.36870000000000003</v>
      </c>
      <c r="E18" s="44">
        <v>0.36870000000000003</v>
      </c>
      <c r="F18" s="44">
        <v>0.36870000000000003</v>
      </c>
      <c r="G18" s="44">
        <v>0.36870000000000003</v>
      </c>
      <c r="H18" s="44">
        <v>0.36870000000000003</v>
      </c>
      <c r="I18" s="44">
        <v>0.36870000000000003</v>
      </c>
      <c r="J18" s="44">
        <v>0.36870000000000003</v>
      </c>
      <c r="K18" s="44">
        <v>0.36870000000000003</v>
      </c>
      <c r="L18" s="44">
        <v>0.36870000000000003</v>
      </c>
      <c r="M18" s="44">
        <v>0.36870000000000003</v>
      </c>
      <c r="N18" s="44">
        <v>0.36870000000000003</v>
      </c>
      <c r="O18" s="44">
        <v>0.36870000000000003</v>
      </c>
      <c r="P18" s="44">
        <v>0.36870000000000003</v>
      </c>
      <c r="Q18" s="44">
        <v>0.36870000000000003</v>
      </c>
      <c r="R18" s="44">
        <v>0.36870000000000003</v>
      </c>
      <c r="S18" s="44">
        <v>0.36870000000000003</v>
      </c>
      <c r="T18" s="44">
        <v>0.36870000000000003</v>
      </c>
      <c r="U18" s="44">
        <v>0.36870000000000003</v>
      </c>
      <c r="V18" s="44">
        <v>0.36870000000000003</v>
      </c>
      <c r="W18" s="44">
        <v>0.36870000000000003</v>
      </c>
      <c r="X18" s="44">
        <v>0.36870000000000003</v>
      </c>
      <c r="Z18" s="44">
        <v>0.36870000000000003</v>
      </c>
      <c r="AA18" s="44">
        <v>0.36870000000000003</v>
      </c>
      <c r="AB18" s="44">
        <v>0.36870000000000003</v>
      </c>
      <c r="AC18" s="44">
        <v>0.36870000000000003</v>
      </c>
      <c r="AD18" s="44">
        <v>0.36870000000000003</v>
      </c>
      <c r="AE18" s="44">
        <v>0.36870000000000003</v>
      </c>
      <c r="AF18" s="44">
        <v>0.36870000000000003</v>
      </c>
      <c r="AG18" s="44">
        <v>0.36870000000000003</v>
      </c>
      <c r="AH18" s="44">
        <f t="shared" si="7"/>
        <v>0.36870000000000031</v>
      </c>
      <c r="AI18" s="44">
        <f t="shared" ref="AI18:AI19" si="18">STDEV(B18:AH18)</f>
        <v>2.7755575615628914E-16</v>
      </c>
      <c r="AJ18" s="47">
        <f t="shared" si="3"/>
        <v>7.5279565000349586E-16</v>
      </c>
    </row>
    <row r="19" spans="1:39" s="44" customFormat="1">
      <c r="A19" s="2" t="str">
        <f t="shared" si="10"/>
        <v>y</v>
      </c>
      <c r="B19" s="44">
        <v>0.37069999999999997</v>
      </c>
      <c r="C19" s="44">
        <v>0.37069999999999997</v>
      </c>
      <c r="D19" s="44">
        <v>0.37069999999999997</v>
      </c>
      <c r="E19" s="44">
        <v>0.37069999999999997</v>
      </c>
      <c r="F19" s="44">
        <v>0.37069999999999997</v>
      </c>
      <c r="G19" s="44">
        <v>0.37069999999999997</v>
      </c>
      <c r="H19" s="44">
        <v>0.37069999999999997</v>
      </c>
      <c r="I19" s="44">
        <v>0.37069999999999997</v>
      </c>
      <c r="J19" s="44">
        <v>0.37069999999999997</v>
      </c>
      <c r="K19" s="44">
        <v>0.37069999999999997</v>
      </c>
      <c r="L19" s="44">
        <v>0.37069999999999997</v>
      </c>
      <c r="M19" s="44">
        <v>0.37069999999999997</v>
      </c>
      <c r="N19" s="44">
        <v>0.37069999999999997</v>
      </c>
      <c r="O19" s="44">
        <v>0.37069999999999997</v>
      </c>
      <c r="P19" s="44">
        <v>0.37069999999999997</v>
      </c>
      <c r="Q19" s="44">
        <v>0.37069999999999997</v>
      </c>
      <c r="R19" s="44">
        <v>0.37069999999999997</v>
      </c>
      <c r="S19" s="44">
        <v>0.37069999999999997</v>
      </c>
      <c r="T19" s="44">
        <v>0.37069999999999997</v>
      </c>
      <c r="U19" s="44">
        <v>0.37069999999999997</v>
      </c>
      <c r="V19" s="44">
        <v>0.37069999999999997</v>
      </c>
      <c r="W19" s="44">
        <v>0.37069999999999997</v>
      </c>
      <c r="X19" s="44">
        <v>0.37069999999999997</v>
      </c>
      <c r="Z19" s="44">
        <v>0.37069999999999997</v>
      </c>
      <c r="AA19" s="44">
        <v>0.37069999999999997</v>
      </c>
      <c r="AB19" s="44">
        <v>0.37069999999999997</v>
      </c>
      <c r="AC19" s="44">
        <v>0.37069999999999997</v>
      </c>
      <c r="AD19" s="44">
        <v>0.37069999999999997</v>
      </c>
      <c r="AE19" s="44">
        <v>0.37069999999999997</v>
      </c>
      <c r="AF19" s="44">
        <v>0.37069999999999997</v>
      </c>
      <c r="AG19" s="44">
        <v>0.37069999999999997</v>
      </c>
      <c r="AH19" s="44">
        <f t="shared" si="7"/>
        <v>0.37069999999999986</v>
      </c>
      <c r="AI19" s="44">
        <f t="shared" si="18"/>
        <v>1.1102230246251565E-16</v>
      </c>
      <c r="AJ19" s="47">
        <f t="shared" si="3"/>
        <v>2.9949366728490883E-16</v>
      </c>
    </row>
    <row r="20" spans="1:39" s="43" customFormat="1">
      <c r="A20" s="2" t="str">
        <f t="shared" si="10"/>
        <v>R</v>
      </c>
      <c r="B20" s="43">
        <v>66.528724670410156</v>
      </c>
      <c r="C20" s="43">
        <v>63.356372833251953</v>
      </c>
      <c r="D20" s="43">
        <v>63.582969665527344</v>
      </c>
      <c r="E20" s="43">
        <v>68.245819091796875</v>
      </c>
      <c r="F20" s="43">
        <v>66.24169921875</v>
      </c>
      <c r="G20" s="43">
        <v>63.401695251464844</v>
      </c>
      <c r="H20" s="43">
        <v>64.710914611816406</v>
      </c>
      <c r="I20" s="43">
        <v>65.224533081054688</v>
      </c>
      <c r="J20" s="43">
        <v>63.613182067871094</v>
      </c>
      <c r="K20" s="43">
        <v>65.561912536621094</v>
      </c>
      <c r="L20" s="43">
        <v>64.715950012207031</v>
      </c>
      <c r="M20" s="43">
        <v>67.853057861328125</v>
      </c>
      <c r="N20" s="43">
        <v>65.78851318359375</v>
      </c>
      <c r="O20" s="43">
        <v>74.958114624023438</v>
      </c>
      <c r="P20" s="43">
        <v>66.584114074707031</v>
      </c>
      <c r="Q20" s="43">
        <v>69.217666625976563</v>
      </c>
      <c r="R20" s="43">
        <v>66.699928283691406</v>
      </c>
      <c r="S20" s="43">
        <v>42.690776824951172</v>
      </c>
      <c r="T20" s="43">
        <v>41.90020751953125</v>
      </c>
      <c r="U20" s="43">
        <v>62.11260986328125</v>
      </c>
      <c r="V20" s="43">
        <v>71.196609497070313</v>
      </c>
      <c r="W20" s="43">
        <v>69.464408874511719</v>
      </c>
      <c r="X20" s="43">
        <v>43.511558532714844</v>
      </c>
      <c r="Z20" s="43">
        <v>64.479286193847656</v>
      </c>
      <c r="AA20" s="43">
        <v>64.444038391113281</v>
      </c>
      <c r="AB20" s="43">
        <v>55.052871704101562</v>
      </c>
      <c r="AC20" s="43">
        <v>60.168918609619141</v>
      </c>
      <c r="AD20" s="43">
        <v>66.634468078613281</v>
      </c>
      <c r="AE20" s="43">
        <v>60.647289276123047</v>
      </c>
      <c r="AF20" s="43">
        <v>64.650489807128906</v>
      </c>
      <c r="AG20" s="43">
        <v>63.613182067871094</v>
      </c>
      <c r="AH20" s="43">
        <f t="shared" si="7"/>
        <v>63.124254288211944</v>
      </c>
      <c r="AI20" s="43">
        <f t="shared" ref="AI20" si="19">STDEV(B20:AG20)</f>
        <v>7.6429123858498622</v>
      </c>
      <c r="AJ20" s="47">
        <f t="shared" si="3"/>
        <v>0.12107727009263265</v>
      </c>
      <c r="AK20" s="2">
        <f>(MIN(B20:AG20)-AH20)/AI20</f>
        <v>-2.7769580098778879</v>
      </c>
      <c r="AL20" s="2">
        <f>(MAX(B20:AG20)-AH20)/AI20</f>
        <v>1.5483443664382153</v>
      </c>
      <c r="AM20" s="2">
        <f t="shared" ref="AM20" si="20">AK20+AL20</f>
        <v>-1.2286136434396726</v>
      </c>
    </row>
    <row r="21" spans="1:39" s="43" customFormat="1">
      <c r="A21" s="2" t="str">
        <f t="shared" si="10"/>
        <v>G</v>
      </c>
      <c r="B21" s="43">
        <v>128.13275146484375</v>
      </c>
      <c r="C21" s="43">
        <v>148.3955078125</v>
      </c>
      <c r="D21" s="43">
        <v>127.901123046875</v>
      </c>
      <c r="E21" s="43">
        <v>139.7344970703125</v>
      </c>
      <c r="F21" s="43">
        <v>129.38658142089844</v>
      </c>
      <c r="G21" s="43">
        <v>135.40397644042969</v>
      </c>
      <c r="H21" s="43">
        <v>131.8187255859375</v>
      </c>
      <c r="I21" s="43">
        <v>144.32180786132812</v>
      </c>
      <c r="J21" s="43">
        <v>125.32799530029297</v>
      </c>
      <c r="K21" s="43">
        <v>152.02105712890625</v>
      </c>
      <c r="L21" s="43">
        <v>127.52346038818359</v>
      </c>
      <c r="M21" s="43">
        <v>133.747314453125</v>
      </c>
      <c r="N21" s="43">
        <v>135.38383483886719</v>
      </c>
      <c r="O21" s="43">
        <v>142.69032287597656</v>
      </c>
      <c r="P21" s="43">
        <v>135.42915344238281</v>
      </c>
      <c r="Q21" s="43">
        <v>133.57611083984375</v>
      </c>
      <c r="R21" s="43">
        <v>132.90135192871094</v>
      </c>
      <c r="S21" s="43">
        <v>81.997711181640625</v>
      </c>
      <c r="T21" s="43">
        <v>95.220870971679688</v>
      </c>
      <c r="U21" s="43">
        <v>155.28404235839844</v>
      </c>
      <c r="V21" s="43">
        <v>146.63310241699219</v>
      </c>
      <c r="W21" s="43">
        <v>133.79263305664062</v>
      </c>
      <c r="X21" s="43">
        <v>85.235519409179687</v>
      </c>
      <c r="Z21" s="43">
        <v>135.24284362792969</v>
      </c>
      <c r="AA21" s="43">
        <v>151.73907470703125</v>
      </c>
      <c r="AB21" s="43">
        <v>148.30487060546875</v>
      </c>
      <c r="AC21" s="43">
        <v>120.28244781494141</v>
      </c>
      <c r="AD21" s="43">
        <v>133.989013671875</v>
      </c>
      <c r="AE21" s="43">
        <v>122.17578125</v>
      </c>
      <c r="AF21" s="43">
        <v>128.46005249023437</v>
      </c>
      <c r="AG21" s="43">
        <v>145.82742309570312</v>
      </c>
      <c r="AH21" s="43">
        <f t="shared" si="7"/>
        <v>131.86712769539125</v>
      </c>
      <c r="AI21" s="43">
        <f t="shared" si="8"/>
        <v>17.364903190701376</v>
      </c>
      <c r="AJ21" s="47">
        <f t="shared" si="3"/>
        <v>0.13168485197322061</v>
      </c>
      <c r="AK21" s="2">
        <f t="shared" ref="AK21:AK22" si="21">(MIN(B21:AG21)-AH21)/AI21</f>
        <v>-2.8718511106042262</v>
      </c>
      <c r="AL21" s="2">
        <f t="shared" ref="AL21:AL22" si="22">(MAX(B21:AG21)-AH21)/AI21</f>
        <v>1.3485197358051826</v>
      </c>
      <c r="AM21" s="2">
        <f t="shared" si="9"/>
        <v>-1.5233313747990436</v>
      </c>
    </row>
    <row r="22" spans="1:39" s="43" customFormat="1">
      <c r="A22" s="2" t="str">
        <f t="shared" si="10"/>
        <v>B</v>
      </c>
      <c r="B22" s="43">
        <v>181.27717590332031</v>
      </c>
      <c r="C22" s="43">
        <v>169.22224426269531</v>
      </c>
      <c r="D22" s="43">
        <v>161.88052368164062</v>
      </c>
      <c r="E22" s="43">
        <v>162.30349731445312</v>
      </c>
      <c r="F22" s="43">
        <v>167.81231689453125</v>
      </c>
      <c r="G22" s="43">
        <v>153.38566589355469</v>
      </c>
      <c r="H22" s="43">
        <v>162.26321411132812</v>
      </c>
      <c r="I22" s="43">
        <v>167.48500061035156</v>
      </c>
      <c r="J22" s="43">
        <v>160.09292602539062</v>
      </c>
      <c r="K22" s="43">
        <v>156.85511779785156</v>
      </c>
      <c r="L22" s="43">
        <v>157.43922424316406</v>
      </c>
      <c r="M22" s="43">
        <v>160.25405883789062</v>
      </c>
      <c r="N22" s="43">
        <v>167.70657348632812</v>
      </c>
      <c r="O22" s="43">
        <v>176.04531860351562</v>
      </c>
      <c r="P22" s="43">
        <v>170.0128173828125</v>
      </c>
      <c r="Q22" s="43">
        <v>174.74617004394531</v>
      </c>
      <c r="R22" s="43">
        <v>164.35293579101562</v>
      </c>
      <c r="S22" s="43">
        <v>111.93865966796875</v>
      </c>
      <c r="T22" s="43">
        <v>102.60288238525391</v>
      </c>
      <c r="U22" s="43">
        <v>168.39138793945313</v>
      </c>
      <c r="V22" s="43">
        <v>174.91737365722656</v>
      </c>
      <c r="W22" s="43">
        <v>167.48500061035156</v>
      </c>
      <c r="X22" s="43">
        <v>112.97596740722656</v>
      </c>
      <c r="Z22" s="43">
        <v>161.23094177246094</v>
      </c>
      <c r="AA22" s="43">
        <v>162.90776062011719</v>
      </c>
      <c r="AB22" s="43">
        <v>154.91645812988281</v>
      </c>
      <c r="AC22" s="43">
        <v>144.10528564453125</v>
      </c>
      <c r="AD22" s="43">
        <v>171.53353881835937</v>
      </c>
      <c r="AE22" s="43">
        <v>159.15129089355469</v>
      </c>
      <c r="AF22" s="43">
        <v>147.10139465332031</v>
      </c>
      <c r="AG22" s="43">
        <v>159.66995239257812</v>
      </c>
      <c r="AH22" s="43">
        <f t="shared" si="7"/>
        <v>158.45363469277657</v>
      </c>
      <c r="AI22" s="43">
        <f t="shared" si="8"/>
        <v>18.313619569271175</v>
      </c>
      <c r="AJ22" s="47">
        <f t="shared" si="3"/>
        <v>0.11557715040604265</v>
      </c>
      <c r="AK22" s="2">
        <f t="shared" si="21"/>
        <v>-3.0496839849854624</v>
      </c>
      <c r="AL22" s="2">
        <f t="shared" si="22"/>
        <v>1.2462605289038471</v>
      </c>
      <c r="AM22" s="2">
        <f t="shared" si="9"/>
        <v>-1.8034234560816154</v>
      </c>
    </row>
    <row r="23" spans="1:39" s="43" customFormat="1">
      <c r="A23" s="2" t="str">
        <f t="shared" si="10"/>
        <v>Ev</v>
      </c>
      <c r="B23" s="43">
        <v>150.4</v>
      </c>
      <c r="C23" s="43">
        <v>150.4</v>
      </c>
      <c r="D23" s="43">
        <v>150.4</v>
      </c>
      <c r="E23" s="43">
        <v>150.4</v>
      </c>
      <c r="F23" s="43">
        <v>150.4</v>
      </c>
      <c r="G23" s="43">
        <v>150.4</v>
      </c>
      <c r="H23" s="43">
        <v>150.4</v>
      </c>
      <c r="I23" s="43">
        <v>150.4</v>
      </c>
      <c r="J23" s="43">
        <v>150.4</v>
      </c>
      <c r="K23" s="43">
        <v>150.4</v>
      </c>
      <c r="L23" s="43">
        <v>150.4</v>
      </c>
      <c r="M23" s="43">
        <v>150.4</v>
      </c>
      <c r="N23" s="43">
        <v>150.4</v>
      </c>
      <c r="O23" s="43">
        <v>150.4</v>
      </c>
      <c r="P23" s="43">
        <v>150.4</v>
      </c>
      <c r="Q23" s="43">
        <v>150.4</v>
      </c>
      <c r="R23" s="43">
        <v>150.4</v>
      </c>
      <c r="S23" s="43">
        <v>150.4</v>
      </c>
      <c r="T23" s="43">
        <v>150.4</v>
      </c>
      <c r="U23" s="43">
        <v>150.4</v>
      </c>
      <c r="V23" s="43">
        <v>150.4</v>
      </c>
      <c r="W23" s="43">
        <v>150.4</v>
      </c>
      <c r="X23" s="43">
        <v>150.4</v>
      </c>
      <c r="Z23" s="43">
        <v>150.4</v>
      </c>
      <c r="AA23" s="43">
        <v>150.4</v>
      </c>
      <c r="AB23" s="43">
        <v>150.4</v>
      </c>
      <c r="AC23" s="43">
        <v>150.4</v>
      </c>
      <c r="AD23" s="43">
        <v>150.4</v>
      </c>
      <c r="AE23" s="43">
        <v>150.4</v>
      </c>
      <c r="AF23" s="43">
        <v>150.4</v>
      </c>
      <c r="AG23" s="43">
        <v>150.4</v>
      </c>
      <c r="AH23" s="43">
        <f t="shared" si="7"/>
        <v>150.4</v>
      </c>
      <c r="AI23" s="43">
        <f t="shared" si="8"/>
        <v>0</v>
      </c>
      <c r="AJ23" s="47">
        <f t="shared" si="3"/>
        <v>0</v>
      </c>
    </row>
    <row r="24" spans="1:39" s="44" customFormat="1">
      <c r="A24" s="2" t="str">
        <f t="shared" si="10"/>
        <v>x</v>
      </c>
      <c r="B24" s="44">
        <v>0.23319999999999999</v>
      </c>
      <c r="C24" s="44">
        <v>0.23319999999999999</v>
      </c>
      <c r="D24" s="44">
        <v>0.23319999999999999</v>
      </c>
      <c r="E24" s="44">
        <v>0.23319999999999999</v>
      </c>
      <c r="F24" s="44">
        <v>0.23319999999999999</v>
      </c>
      <c r="G24" s="44">
        <v>0.23319999999999999</v>
      </c>
      <c r="H24" s="44">
        <v>0.23319999999999999</v>
      </c>
      <c r="I24" s="44">
        <v>0.23319999999999999</v>
      </c>
      <c r="J24" s="44">
        <v>0.23319999999999999</v>
      </c>
      <c r="K24" s="44">
        <v>0.23319999999999999</v>
      </c>
      <c r="L24" s="44">
        <v>0.23319999999999999</v>
      </c>
      <c r="M24" s="44">
        <v>0.23319999999999999</v>
      </c>
      <c r="N24" s="44">
        <v>0.23319999999999999</v>
      </c>
      <c r="O24" s="44">
        <v>0.23319999999999999</v>
      </c>
      <c r="P24" s="44">
        <v>0.23319999999999999</v>
      </c>
      <c r="Q24" s="44">
        <v>0.23319999999999999</v>
      </c>
      <c r="R24" s="44">
        <v>0.23319999999999999</v>
      </c>
      <c r="S24" s="44">
        <v>0.23319999999999999</v>
      </c>
      <c r="T24" s="44">
        <v>0.23319999999999999</v>
      </c>
      <c r="U24" s="44">
        <v>0.23319999999999999</v>
      </c>
      <c r="V24" s="44">
        <v>0.23319999999999999</v>
      </c>
      <c r="W24" s="44">
        <v>0.23319999999999999</v>
      </c>
      <c r="X24" s="44">
        <v>0.23319999999999999</v>
      </c>
      <c r="Z24" s="44">
        <v>0.23319999999999999</v>
      </c>
      <c r="AA24" s="44">
        <v>0.23319999999999999</v>
      </c>
      <c r="AB24" s="44">
        <v>0.23319999999999999</v>
      </c>
      <c r="AC24" s="44">
        <v>0.23319999999999999</v>
      </c>
      <c r="AD24" s="44">
        <v>0.23319999999999999</v>
      </c>
      <c r="AE24" s="44">
        <v>0.23319999999999999</v>
      </c>
      <c r="AF24" s="44">
        <v>0.23319999999999999</v>
      </c>
      <c r="AG24" s="44">
        <v>0.23319999999999999</v>
      </c>
      <c r="AH24" s="44">
        <f t="shared" si="7"/>
        <v>0.23320000000000005</v>
      </c>
      <c r="AI24" s="44">
        <f t="shared" ref="AI24:AI25" si="23">STDEV(B24:AH24)</f>
        <v>5.5511151231257827E-17</v>
      </c>
      <c r="AJ24" s="47">
        <f t="shared" si="3"/>
        <v>2.3804095725239199E-16</v>
      </c>
    </row>
    <row r="25" spans="1:39" s="44" customFormat="1">
      <c r="A25" s="2" t="str">
        <f t="shared" si="10"/>
        <v>y</v>
      </c>
      <c r="B25" s="44">
        <v>0.2999</v>
      </c>
      <c r="C25" s="44">
        <v>0.2999</v>
      </c>
      <c r="D25" s="44">
        <v>0.2999</v>
      </c>
      <c r="E25" s="44">
        <v>0.2999</v>
      </c>
      <c r="F25" s="44">
        <v>0.2999</v>
      </c>
      <c r="G25" s="44">
        <v>0.2999</v>
      </c>
      <c r="H25" s="44">
        <v>0.2999</v>
      </c>
      <c r="I25" s="44">
        <v>0.2999</v>
      </c>
      <c r="J25" s="44">
        <v>0.2999</v>
      </c>
      <c r="K25" s="44">
        <v>0.2999</v>
      </c>
      <c r="L25" s="44">
        <v>0.2999</v>
      </c>
      <c r="M25" s="44">
        <v>0.2999</v>
      </c>
      <c r="N25" s="44">
        <v>0.2999</v>
      </c>
      <c r="O25" s="44">
        <v>0.2999</v>
      </c>
      <c r="P25" s="44">
        <v>0.2999</v>
      </c>
      <c r="Q25" s="44">
        <v>0.2999</v>
      </c>
      <c r="R25" s="44">
        <v>0.2999</v>
      </c>
      <c r="S25" s="44">
        <v>0.2999</v>
      </c>
      <c r="T25" s="44">
        <v>0.2999</v>
      </c>
      <c r="U25" s="44">
        <v>0.2999</v>
      </c>
      <c r="V25" s="44">
        <v>0.2999</v>
      </c>
      <c r="W25" s="44">
        <v>0.2999</v>
      </c>
      <c r="X25" s="44">
        <v>0.2999</v>
      </c>
      <c r="Z25" s="44">
        <v>0.2999</v>
      </c>
      <c r="AA25" s="44">
        <v>0.2999</v>
      </c>
      <c r="AB25" s="44">
        <v>0.2999</v>
      </c>
      <c r="AC25" s="44">
        <v>0.2999</v>
      </c>
      <c r="AD25" s="44">
        <v>0.2999</v>
      </c>
      <c r="AE25" s="44">
        <v>0.2999</v>
      </c>
      <c r="AF25" s="44">
        <v>0.2999</v>
      </c>
      <c r="AG25" s="44">
        <v>0.2999</v>
      </c>
      <c r="AH25" s="44">
        <f t="shared" si="7"/>
        <v>0.29989999999999989</v>
      </c>
      <c r="AI25" s="44">
        <f t="shared" si="23"/>
        <v>1.1102230246251565E-16</v>
      </c>
      <c r="AJ25" s="47">
        <f t="shared" si="3"/>
        <v>3.7019774078864855E-16</v>
      </c>
    </row>
    <row r="26" spans="1:39" s="43" customFormat="1">
      <c r="A26" s="2" t="str">
        <f t="shared" si="10"/>
        <v>R</v>
      </c>
      <c r="B26" s="43">
        <v>146.78919982910156</v>
      </c>
      <c r="C26" s="43">
        <v>142.93202209472656</v>
      </c>
      <c r="D26" s="43">
        <v>137.12107849121094</v>
      </c>
      <c r="E26" s="43">
        <v>140.89265441894531</v>
      </c>
      <c r="F26" s="43">
        <v>136.33050537109375</v>
      </c>
      <c r="G26" s="43">
        <v>132.84092712402344</v>
      </c>
      <c r="H26" s="43">
        <v>136.37582397460937</v>
      </c>
      <c r="I26" s="43">
        <v>140.89265441894531</v>
      </c>
      <c r="J26" s="43">
        <v>133.76242065429688</v>
      </c>
      <c r="K26" s="43">
        <v>141.7637939453125</v>
      </c>
      <c r="L26" s="43">
        <v>139.63882446289062</v>
      </c>
      <c r="M26" s="43">
        <v>147.27763366699219</v>
      </c>
      <c r="N26" s="43">
        <v>145.11238098144531</v>
      </c>
      <c r="O26" s="43">
        <v>152.1519775390625</v>
      </c>
      <c r="P26" s="43">
        <v>142.63493347167969</v>
      </c>
      <c r="Q26" s="43">
        <v>147.38841247558594</v>
      </c>
      <c r="R26" s="43">
        <v>144.54338073730469</v>
      </c>
      <c r="S26" s="43">
        <v>91.091781616210938</v>
      </c>
      <c r="T26" s="43">
        <v>88.956741333007812</v>
      </c>
      <c r="U26" s="43">
        <v>137.38795471191406</v>
      </c>
      <c r="V26" s="43">
        <v>152.70085144042969</v>
      </c>
      <c r="W26" s="43">
        <v>147.17189025878906</v>
      </c>
      <c r="X26" s="43">
        <v>93.116043090820313</v>
      </c>
      <c r="Z26" s="43">
        <v>142.32272338867187</v>
      </c>
      <c r="AA26" s="43">
        <v>139.45753479003906</v>
      </c>
      <c r="AB26" s="43">
        <v>119.58754730224609</v>
      </c>
      <c r="AC26" s="43">
        <v>119.40627288818359</v>
      </c>
      <c r="AD26" s="43">
        <v>141.24513244628906</v>
      </c>
      <c r="AE26" s="43">
        <v>128.4449462890625</v>
      </c>
      <c r="AF26" s="43">
        <v>136.86427307128906</v>
      </c>
      <c r="AG26" s="43">
        <v>139.31654357910156</v>
      </c>
      <c r="AH26" s="43">
        <f t="shared" si="7"/>
        <v>135.01673741494454</v>
      </c>
      <c r="AI26" s="43">
        <f t="shared" ref="AI26" si="24">STDEV(B26:AG26)</f>
        <v>16.462715522521147</v>
      </c>
      <c r="AJ26" s="47">
        <f t="shared" si="3"/>
        <v>0.12193092380781337</v>
      </c>
      <c r="AK26" s="2">
        <f>(MIN(B26:AG26)-AH26)/AI26</f>
        <v>-2.797837089447742</v>
      </c>
      <c r="AL26" s="2">
        <f>(MAX(B26:AG26)-AH26)/AI26</f>
        <v>1.0741918003316715</v>
      </c>
      <c r="AM26" s="2">
        <f t="shared" ref="AM26" si="25">AK26+AL26</f>
        <v>-1.7236452891160705</v>
      </c>
    </row>
    <row r="27" spans="1:39" s="43" customFormat="1">
      <c r="A27" s="2" t="str">
        <f t="shared" si="10"/>
        <v>G</v>
      </c>
      <c r="B27" s="43">
        <v>124.07415771484375</v>
      </c>
      <c r="C27" s="43">
        <v>145.08720397949219</v>
      </c>
      <c r="D27" s="43">
        <v>126.33005523681641</v>
      </c>
      <c r="E27" s="43">
        <v>138.44540405273437</v>
      </c>
      <c r="F27" s="43">
        <v>129.17005920410156</v>
      </c>
      <c r="G27" s="43">
        <v>128.78736877441406</v>
      </c>
      <c r="H27" s="43">
        <v>130.172119140625</v>
      </c>
      <c r="I27" s="43">
        <v>139.05973815917969</v>
      </c>
      <c r="J27" s="43">
        <v>122.43762969970703</v>
      </c>
      <c r="K27" s="43">
        <v>151.81460571289062</v>
      </c>
      <c r="L27" s="43">
        <v>120.60471343994141</v>
      </c>
      <c r="M27" s="43">
        <v>126.75303649902344</v>
      </c>
      <c r="N27" s="43">
        <v>124.28061676025391</v>
      </c>
      <c r="O27" s="43">
        <v>137.30235290527344</v>
      </c>
      <c r="P27" s="43">
        <v>130.79652404785156</v>
      </c>
      <c r="Q27" s="43">
        <v>126.59693145751953</v>
      </c>
      <c r="R27" s="43">
        <v>127.26161956787109</v>
      </c>
      <c r="S27" s="43">
        <v>78.211029052734375</v>
      </c>
      <c r="T27" s="43">
        <v>91.862213134765625</v>
      </c>
      <c r="U27" s="43">
        <v>144.47286987304688</v>
      </c>
      <c r="V27" s="43">
        <v>140.11215209960937</v>
      </c>
      <c r="W27" s="43">
        <v>127.43785858154297</v>
      </c>
      <c r="X27" s="43">
        <v>82.516365051269531</v>
      </c>
      <c r="Z27" s="43">
        <v>129.5880126953125</v>
      </c>
      <c r="AA27" s="43">
        <v>144.32684326171875</v>
      </c>
      <c r="AB27" s="43">
        <v>142.3076171875</v>
      </c>
      <c r="AC27" s="43">
        <v>120.05081176757812</v>
      </c>
      <c r="AD27" s="43">
        <v>120.05081176757812</v>
      </c>
      <c r="AE27" s="43">
        <v>121.24925231933594</v>
      </c>
      <c r="AF27" s="43">
        <v>119.86953735351562</v>
      </c>
      <c r="AG27" s="43">
        <v>140.87251281738281</v>
      </c>
      <c r="AH27" s="43">
        <f t="shared" si="7"/>
        <v>126.83554913920742</v>
      </c>
      <c r="AI27" s="43">
        <f t="shared" si="8"/>
        <v>16.753969028004484</v>
      </c>
      <c r="AJ27" s="47">
        <f t="shared" si="3"/>
        <v>0.13209206048074337</v>
      </c>
      <c r="AK27" s="2">
        <f t="shared" ref="AK27:AK28" si="26">(MIN(B27:AG27)-AH27)/AI27</f>
        <v>-2.9022687104886313</v>
      </c>
      <c r="AL27" s="2">
        <f t="shared" ref="AL27:AL28" si="27">(MAX(B27:AG27)-AH27)/AI27</f>
        <v>1.490933672607988</v>
      </c>
      <c r="AM27" s="2">
        <f t="shared" si="9"/>
        <v>-1.4113350378806433</v>
      </c>
    </row>
    <row r="28" spans="1:39" s="43" customFormat="1">
      <c r="A28" s="2" t="str">
        <f t="shared" si="10"/>
        <v>B</v>
      </c>
      <c r="B28" s="43">
        <v>164.74571228027344</v>
      </c>
      <c r="C28" s="43">
        <v>157.76654052734375</v>
      </c>
      <c r="D28" s="43">
        <v>150.64637756347656</v>
      </c>
      <c r="E28" s="43">
        <v>149.95651245117187</v>
      </c>
      <c r="F28" s="43">
        <v>153.31013488769531</v>
      </c>
      <c r="G28" s="43">
        <v>141.72854614257812</v>
      </c>
      <c r="H28" s="43">
        <v>150.56581115722656</v>
      </c>
      <c r="I28" s="43">
        <v>152.41885375976562</v>
      </c>
      <c r="J28" s="43">
        <v>148.36529541015625</v>
      </c>
      <c r="K28" s="43">
        <v>145.16777038574219</v>
      </c>
      <c r="L28" s="43">
        <v>147.92218017578125</v>
      </c>
      <c r="M28" s="43">
        <v>148.18905639648437</v>
      </c>
      <c r="N28" s="43">
        <v>150.29388427734375</v>
      </c>
      <c r="O28" s="43">
        <v>162.1373291015625</v>
      </c>
      <c r="P28" s="43">
        <v>155.58114624023437</v>
      </c>
      <c r="Q28" s="43">
        <v>159.59442138671875</v>
      </c>
      <c r="R28" s="43">
        <v>152.98283386230469</v>
      </c>
      <c r="S28" s="43">
        <v>101.25841522216797</v>
      </c>
      <c r="T28" s="43">
        <v>92.345619201660156</v>
      </c>
      <c r="U28" s="43">
        <v>146.54246520996094</v>
      </c>
      <c r="V28" s="43">
        <v>166.01968383789062</v>
      </c>
      <c r="W28" s="43">
        <v>155.23872375488281</v>
      </c>
      <c r="X28" s="43">
        <v>101.56557464599609</v>
      </c>
      <c r="Z28" s="43">
        <v>148.90409851074219</v>
      </c>
      <c r="AA28" s="43">
        <v>145.87274169921875</v>
      </c>
      <c r="AB28" s="43">
        <v>144.29159545898437</v>
      </c>
      <c r="AC28" s="43">
        <v>130.99290466308594</v>
      </c>
      <c r="AD28" s="43">
        <v>155.64157104492187</v>
      </c>
      <c r="AE28" s="43">
        <v>144.58366394042969</v>
      </c>
      <c r="AF28" s="43">
        <v>133.8077392578125</v>
      </c>
      <c r="AG28" s="43">
        <v>147.08125305175781</v>
      </c>
      <c r="AH28" s="43">
        <f t="shared" si="7"/>
        <v>145.33930501630229</v>
      </c>
      <c r="AI28" s="43">
        <f t="shared" si="8"/>
        <v>17.406044009459571</v>
      </c>
      <c r="AJ28" s="47">
        <f t="shared" si="3"/>
        <v>0.11976143691830084</v>
      </c>
      <c r="AK28" s="2">
        <f t="shared" si="26"/>
        <v>-3.0445565796479621</v>
      </c>
      <c r="AL28" s="2">
        <f t="shared" si="27"/>
        <v>1.1881148186428392</v>
      </c>
      <c r="AM28" s="2">
        <f t="shared" si="9"/>
        <v>-1.8564417610051229</v>
      </c>
    </row>
    <row r="29" spans="1:39" s="43" customFormat="1">
      <c r="A29" s="2" t="str">
        <f t="shared" si="10"/>
        <v>Ev</v>
      </c>
      <c r="B29" s="43">
        <v>150.19999999999999</v>
      </c>
      <c r="C29" s="43">
        <v>150.19999999999999</v>
      </c>
      <c r="D29" s="43">
        <v>150.19999999999999</v>
      </c>
      <c r="E29" s="43">
        <v>150.19999999999999</v>
      </c>
      <c r="F29" s="43">
        <v>150.19999999999999</v>
      </c>
      <c r="G29" s="43">
        <v>150.19999999999999</v>
      </c>
      <c r="H29" s="43">
        <v>150.19999999999999</v>
      </c>
      <c r="I29" s="43">
        <v>150.19999999999999</v>
      </c>
      <c r="J29" s="43">
        <v>150.19999999999999</v>
      </c>
      <c r="K29" s="43">
        <v>150.19999999999999</v>
      </c>
      <c r="L29" s="43">
        <v>150.19999999999999</v>
      </c>
      <c r="M29" s="43">
        <v>150.19999999999999</v>
      </c>
      <c r="N29" s="43">
        <v>150.19999999999999</v>
      </c>
      <c r="O29" s="43">
        <v>150.19999999999999</v>
      </c>
      <c r="P29" s="43">
        <v>150.19999999999999</v>
      </c>
      <c r="Q29" s="43">
        <v>150.19999999999999</v>
      </c>
      <c r="R29" s="43">
        <v>150.19999999999999</v>
      </c>
      <c r="S29" s="43">
        <v>150.19999999999999</v>
      </c>
      <c r="T29" s="43">
        <v>150.19999999999999</v>
      </c>
      <c r="U29" s="43">
        <v>150.19999999999999</v>
      </c>
      <c r="V29" s="43">
        <v>150.19999999999999</v>
      </c>
      <c r="W29" s="43">
        <v>150.19999999999999</v>
      </c>
      <c r="X29" s="43">
        <v>150.19999999999999</v>
      </c>
      <c r="Z29" s="43">
        <v>150.19999999999999</v>
      </c>
      <c r="AA29" s="43">
        <v>150.19999999999999</v>
      </c>
      <c r="AB29" s="43">
        <v>150.19999999999999</v>
      </c>
      <c r="AC29" s="43">
        <v>150.19999999999999</v>
      </c>
      <c r="AD29" s="43">
        <v>150.19999999999999</v>
      </c>
      <c r="AE29" s="43">
        <v>150.19999999999999</v>
      </c>
      <c r="AF29" s="43">
        <v>150.19999999999999</v>
      </c>
      <c r="AG29" s="43">
        <v>150.19999999999999</v>
      </c>
      <c r="AH29" s="43">
        <f t="shared" si="7"/>
        <v>150.1999999999999</v>
      </c>
      <c r="AI29" s="43">
        <f t="shared" si="8"/>
        <v>8.6674564738455656E-14</v>
      </c>
      <c r="AJ29" s="47">
        <f t="shared" si="3"/>
        <v>5.7706101690050404E-16</v>
      </c>
    </row>
    <row r="30" spans="1:39" s="44" customFormat="1">
      <c r="A30" s="2" t="str">
        <f t="shared" si="10"/>
        <v>x</v>
      </c>
      <c r="B30" s="44">
        <v>0.2989</v>
      </c>
      <c r="C30" s="44">
        <v>0.2989</v>
      </c>
      <c r="D30" s="44">
        <v>0.2989</v>
      </c>
      <c r="E30" s="44">
        <v>0.2989</v>
      </c>
      <c r="F30" s="44">
        <v>0.2989</v>
      </c>
      <c r="G30" s="44">
        <v>0.2989</v>
      </c>
      <c r="H30" s="44">
        <v>0.2989</v>
      </c>
      <c r="I30" s="44">
        <v>0.2989</v>
      </c>
      <c r="J30" s="44">
        <v>0.2989</v>
      </c>
      <c r="K30" s="44">
        <v>0.2989</v>
      </c>
      <c r="L30" s="44">
        <v>0.2989</v>
      </c>
      <c r="M30" s="44">
        <v>0.2989</v>
      </c>
      <c r="N30" s="44">
        <v>0.2989</v>
      </c>
      <c r="O30" s="44">
        <v>0.2989</v>
      </c>
      <c r="P30" s="44">
        <v>0.2989</v>
      </c>
      <c r="Q30" s="44">
        <v>0.2989</v>
      </c>
      <c r="R30" s="44">
        <v>0.2989</v>
      </c>
      <c r="S30" s="44">
        <v>0.2989</v>
      </c>
      <c r="T30" s="44">
        <v>0.2989</v>
      </c>
      <c r="U30" s="44">
        <v>0.2989</v>
      </c>
      <c r="V30" s="44">
        <v>0.2989</v>
      </c>
      <c r="W30" s="44">
        <v>0.2989</v>
      </c>
      <c r="X30" s="44">
        <v>0.2989</v>
      </c>
      <c r="Z30" s="44">
        <v>0.2989</v>
      </c>
      <c r="AA30" s="44">
        <v>0.2989</v>
      </c>
      <c r="AB30" s="44">
        <v>0.2989</v>
      </c>
      <c r="AC30" s="44">
        <v>0.2989</v>
      </c>
      <c r="AD30" s="44">
        <v>0.2989</v>
      </c>
      <c r="AE30" s="44">
        <v>0.2989</v>
      </c>
      <c r="AF30" s="44">
        <v>0.2989</v>
      </c>
      <c r="AG30" s="44">
        <v>0.2989</v>
      </c>
      <c r="AH30" s="44">
        <f t="shared" si="7"/>
        <v>0.29889999999999989</v>
      </c>
      <c r="AI30" s="44">
        <f t="shared" ref="AI30:AI31" si="28">STDEV(B30:AH30)</f>
        <v>1.1102230246251565E-16</v>
      </c>
      <c r="AJ30" s="47">
        <f t="shared" si="3"/>
        <v>3.7143627454839642E-16</v>
      </c>
    </row>
    <row r="31" spans="1:39" s="44" customFormat="1">
      <c r="A31" s="2" t="str">
        <f t="shared" si="10"/>
        <v>y</v>
      </c>
      <c r="B31" s="44">
        <v>0.29970000000000002</v>
      </c>
      <c r="C31" s="44">
        <v>0.29970000000000002</v>
      </c>
      <c r="D31" s="44">
        <v>0.29970000000000002</v>
      </c>
      <c r="E31" s="44">
        <v>0.29970000000000002</v>
      </c>
      <c r="F31" s="44">
        <v>0.29970000000000002</v>
      </c>
      <c r="G31" s="44">
        <v>0.29970000000000002</v>
      </c>
      <c r="H31" s="44">
        <v>0.29970000000000002</v>
      </c>
      <c r="I31" s="44">
        <v>0.29970000000000002</v>
      </c>
      <c r="J31" s="44">
        <v>0.29970000000000002</v>
      </c>
      <c r="K31" s="44">
        <v>0.29970000000000002</v>
      </c>
      <c r="L31" s="44">
        <v>0.29970000000000002</v>
      </c>
      <c r="M31" s="44">
        <v>0.29970000000000002</v>
      </c>
      <c r="N31" s="44">
        <v>0.29970000000000002</v>
      </c>
      <c r="O31" s="44">
        <v>0.29970000000000002</v>
      </c>
      <c r="P31" s="44">
        <v>0.29970000000000002</v>
      </c>
      <c r="Q31" s="44">
        <v>0.29970000000000002</v>
      </c>
      <c r="R31" s="44">
        <v>0.29970000000000002</v>
      </c>
      <c r="S31" s="44">
        <v>0.29970000000000002</v>
      </c>
      <c r="T31" s="44">
        <v>0.29970000000000002</v>
      </c>
      <c r="U31" s="44">
        <v>0.29970000000000002</v>
      </c>
      <c r="V31" s="44">
        <v>0.29970000000000002</v>
      </c>
      <c r="W31" s="44">
        <v>0.29970000000000002</v>
      </c>
      <c r="X31" s="44">
        <v>0.29970000000000002</v>
      </c>
      <c r="Z31" s="44">
        <v>0.29970000000000002</v>
      </c>
      <c r="AA31" s="44">
        <v>0.29970000000000002</v>
      </c>
      <c r="AB31" s="44">
        <v>0.29970000000000002</v>
      </c>
      <c r="AC31" s="44">
        <v>0.29970000000000002</v>
      </c>
      <c r="AD31" s="44">
        <v>0.29970000000000002</v>
      </c>
      <c r="AE31" s="44">
        <v>0.29970000000000002</v>
      </c>
      <c r="AF31" s="44">
        <v>0.29970000000000002</v>
      </c>
      <c r="AG31" s="44">
        <v>0.29970000000000002</v>
      </c>
      <c r="AH31" s="44">
        <f t="shared" si="7"/>
        <v>0.2996999999999998</v>
      </c>
      <c r="AI31" s="44">
        <f t="shared" si="28"/>
        <v>2.2204460492503131E-16</v>
      </c>
      <c r="AJ31" s="47">
        <f t="shared" si="3"/>
        <v>7.4088957265609425E-16</v>
      </c>
    </row>
    <row r="32" spans="1:39" s="43" customFormat="1">
      <c r="A32" s="2" t="str">
        <f t="shared" si="10"/>
        <v>R</v>
      </c>
      <c r="B32" s="43">
        <v>228.19271850585937</v>
      </c>
      <c r="C32" s="43">
        <v>216.25360107421875</v>
      </c>
      <c r="D32" s="43">
        <v>204.54612731933594</v>
      </c>
      <c r="E32" s="43">
        <v>207.71847534179687</v>
      </c>
      <c r="F32" s="43">
        <v>214.65736389160156</v>
      </c>
      <c r="G32" s="43">
        <v>210.00961303710937</v>
      </c>
      <c r="H32" s="43">
        <v>204.83314514160156</v>
      </c>
      <c r="I32" s="43">
        <v>213.44380187988281</v>
      </c>
      <c r="J32" s="43">
        <v>210.94117736816406</v>
      </c>
      <c r="K32" s="43">
        <v>223.7564697265625</v>
      </c>
      <c r="L32" s="43">
        <v>219.49644470214844</v>
      </c>
      <c r="M32" s="43">
        <v>222.4925537109375</v>
      </c>
      <c r="N32" s="43">
        <v>228.58549499511719</v>
      </c>
      <c r="O32" s="43">
        <v>247.25703430175781</v>
      </c>
      <c r="P32" s="43">
        <v>210.48294067382812</v>
      </c>
      <c r="Q32" s="43">
        <v>235.92721557617187</v>
      </c>
      <c r="R32" s="43">
        <v>220.75028991699219</v>
      </c>
      <c r="S32" s="43">
        <v>145.61593627929687</v>
      </c>
      <c r="T32" s="43">
        <v>142.91188049316406</v>
      </c>
      <c r="U32" s="43">
        <v>219.78347778320312</v>
      </c>
      <c r="V32" s="43">
        <v>241.64752197265625</v>
      </c>
      <c r="W32" s="43">
        <v>231.77294921875</v>
      </c>
      <c r="X32" s="43">
        <v>145.98855590820313</v>
      </c>
      <c r="Z32" s="43">
        <v>215.84573364257812</v>
      </c>
      <c r="AA32" s="43">
        <v>217.769287109375</v>
      </c>
      <c r="AB32" s="43">
        <v>191.72076416015625</v>
      </c>
      <c r="AC32" s="43">
        <v>203.37788391113281</v>
      </c>
      <c r="AD32" s="43">
        <v>224.47149658203125</v>
      </c>
      <c r="AE32" s="43">
        <v>214.28472900390625</v>
      </c>
      <c r="AF32" s="43">
        <v>221.06752014160156</v>
      </c>
      <c r="AG32" s="43">
        <v>225.6246337890625</v>
      </c>
      <c r="AH32" s="43">
        <f t="shared" si="7"/>
        <v>211.65247861800654</v>
      </c>
      <c r="AI32" s="43">
        <f t="shared" ref="AI32" si="29">STDEV(B32:AG32)</f>
        <v>24.980247139118294</v>
      </c>
      <c r="AJ32" s="47">
        <f t="shared" si="3"/>
        <v>0.11802482683986426</v>
      </c>
      <c r="AK32" s="2">
        <f>(MIN(B32:AG32)-AH32)/AI32</f>
        <v>-2.7517981604432098</v>
      </c>
      <c r="AL32" s="2">
        <f>(MAX(B32:AG32)-AH32)/AI32</f>
        <v>1.4253083840790206</v>
      </c>
      <c r="AM32" s="2">
        <f t="shared" ref="AM32" si="30">AK32+AL32</f>
        <v>-1.3264897763641892</v>
      </c>
    </row>
    <row r="33" spans="1:39" s="43" customFormat="1">
      <c r="A33" s="2" t="str">
        <f t="shared" si="10"/>
        <v>G</v>
      </c>
      <c r="B33" s="43">
        <v>120.65506744384766</v>
      </c>
      <c r="C33" s="43">
        <v>140.63584899902344</v>
      </c>
      <c r="D33" s="43">
        <v>121.77798461914062</v>
      </c>
      <c r="E33" s="43">
        <v>135.615478515625</v>
      </c>
      <c r="F33" s="43">
        <v>128.91325378417969</v>
      </c>
      <c r="G33" s="43">
        <v>123.00160217285156</v>
      </c>
      <c r="H33" s="43">
        <v>127.99679565429687</v>
      </c>
      <c r="I33" s="43">
        <v>134.38681030273438</v>
      </c>
      <c r="J33" s="43">
        <v>121.31975555419922</v>
      </c>
      <c r="K33" s="43">
        <v>151.73403930664062</v>
      </c>
      <c r="L33" s="43">
        <v>120.87663269042969</v>
      </c>
      <c r="M33" s="43">
        <v>121.41542816162109</v>
      </c>
      <c r="N33" s="43">
        <v>119.30556488037109</v>
      </c>
      <c r="O33" s="43">
        <v>129.61822509765625</v>
      </c>
      <c r="P33" s="43">
        <v>126.96955871582031</v>
      </c>
      <c r="Q33" s="43">
        <v>121.15357971191406</v>
      </c>
      <c r="R33" s="43">
        <v>120.89677429199219</v>
      </c>
      <c r="S33" s="43">
        <v>74.338752746582031</v>
      </c>
      <c r="T33" s="43">
        <v>87.82879638671875</v>
      </c>
      <c r="U33" s="43">
        <v>142.41336059570312</v>
      </c>
      <c r="V33" s="43">
        <v>129.34126281738281</v>
      </c>
      <c r="W33" s="43">
        <v>123.47493743896484</v>
      </c>
      <c r="X33" s="43">
        <v>79.490043640136719</v>
      </c>
      <c r="Z33" s="43">
        <v>126.64728546142578</v>
      </c>
      <c r="AA33" s="43">
        <v>134.72923278808594</v>
      </c>
      <c r="AB33" s="43">
        <v>131.32524108886719</v>
      </c>
      <c r="AC33" s="43">
        <v>118.52002716064453</v>
      </c>
      <c r="AD33" s="43">
        <v>119.77386474609375</v>
      </c>
      <c r="AE33" s="43">
        <v>119.85443115234375</v>
      </c>
      <c r="AF33" s="43">
        <v>120.99748229980469</v>
      </c>
      <c r="AG33" s="43">
        <v>134.78965759277344</v>
      </c>
      <c r="AH33" s="43">
        <f t="shared" si="7"/>
        <v>122.89667018767327</v>
      </c>
      <c r="AI33" s="43">
        <f t="shared" si="8"/>
        <v>16.229484395259853</v>
      </c>
      <c r="AJ33" s="47">
        <f t="shared" si="3"/>
        <v>0.13205796683080268</v>
      </c>
      <c r="AK33" s="2">
        <f t="shared" ref="AK33:AK34" si="31">(MIN(B33:AG33)-AH33)/AI33</f>
        <v>-2.9919568766629179</v>
      </c>
      <c r="AL33" s="2">
        <f t="shared" ref="AL33:AL34" si="32">(MAX(B33:AG33)-AH33)/AI33</f>
        <v>1.7768506020677954</v>
      </c>
      <c r="AM33" s="2">
        <f t="shared" si="9"/>
        <v>-1.2151062745951224</v>
      </c>
    </row>
    <row r="34" spans="1:39" s="43" customFormat="1">
      <c r="A34" s="2" t="str">
        <f t="shared" si="10"/>
        <v>B</v>
      </c>
      <c r="B34" s="43">
        <v>147.63516235351562</v>
      </c>
      <c r="C34" s="43">
        <v>143.25932312011719</v>
      </c>
      <c r="D34" s="43">
        <v>136.93476867675781</v>
      </c>
      <c r="E34" s="43">
        <v>137.21675109863281</v>
      </c>
      <c r="F34" s="43">
        <v>137.967041015625</v>
      </c>
      <c r="G34" s="43">
        <v>126.65735626220703</v>
      </c>
      <c r="H34" s="43">
        <v>134.69902038574219</v>
      </c>
      <c r="I34" s="43">
        <v>139.92080688476562</v>
      </c>
      <c r="J34" s="43">
        <v>134.62852478027344</v>
      </c>
      <c r="K34" s="43">
        <v>126.28977203369141</v>
      </c>
      <c r="L34" s="43">
        <v>132.98695373535156</v>
      </c>
      <c r="M34" s="43">
        <v>138.48065185546875</v>
      </c>
      <c r="N34" s="43">
        <v>138.71229553222656</v>
      </c>
      <c r="O34" s="43">
        <v>148.92927551269531</v>
      </c>
      <c r="P34" s="43">
        <v>141.93499755859375</v>
      </c>
      <c r="Q34" s="43">
        <v>141.11924743652344</v>
      </c>
      <c r="R34" s="43">
        <v>139.00434875488281</v>
      </c>
      <c r="S34" s="43">
        <v>91.409019470214844</v>
      </c>
      <c r="T34" s="43">
        <v>83.261619567871094</v>
      </c>
      <c r="U34" s="43">
        <v>132.35247802734375</v>
      </c>
      <c r="V34" s="43">
        <v>150.77226257324219</v>
      </c>
      <c r="W34" s="43">
        <v>142.27236938476562</v>
      </c>
      <c r="X34" s="43">
        <v>89.515678405761719</v>
      </c>
      <c r="Z34" s="43">
        <v>137.96200561523437</v>
      </c>
      <c r="AA34" s="43">
        <v>130.99290466308594</v>
      </c>
      <c r="AB34" s="43">
        <v>117.64888763427734</v>
      </c>
      <c r="AC34" s="43">
        <v>118.94300842285156</v>
      </c>
      <c r="AD34" s="43">
        <v>139.90066528320312</v>
      </c>
      <c r="AE34" s="43">
        <v>134.4925537109375</v>
      </c>
      <c r="AF34" s="43">
        <v>121.40032196044922</v>
      </c>
      <c r="AG34" s="43">
        <v>127.30190277099609</v>
      </c>
      <c r="AH34" s="43">
        <f t="shared" si="7"/>
        <v>131.11619272539693</v>
      </c>
      <c r="AI34" s="43">
        <f t="shared" si="8"/>
        <v>16.41127878035477</v>
      </c>
      <c r="AJ34" s="47">
        <f t="shared" si="3"/>
        <v>0.12516591916854783</v>
      </c>
      <c r="AK34" s="2">
        <f t="shared" si="31"/>
        <v>-2.9159563857272639</v>
      </c>
      <c r="AL34" s="2">
        <f t="shared" si="32"/>
        <v>1.1977171377634928</v>
      </c>
      <c r="AM34" s="2">
        <f t="shared" si="9"/>
        <v>-1.7182392479637711</v>
      </c>
    </row>
    <row r="35" spans="1:39" s="43" customFormat="1">
      <c r="A35" s="2" t="str">
        <f t="shared" si="10"/>
        <v>Ev</v>
      </c>
      <c r="B35" s="43">
        <v>149.69999999999999</v>
      </c>
      <c r="C35" s="43">
        <v>149.69999999999999</v>
      </c>
      <c r="D35" s="43">
        <v>149.69999999999999</v>
      </c>
      <c r="E35" s="43">
        <v>149.69999999999999</v>
      </c>
      <c r="F35" s="43">
        <v>149.69999999999999</v>
      </c>
      <c r="G35" s="43">
        <v>149.69999999999999</v>
      </c>
      <c r="H35" s="43">
        <v>149.69999999999999</v>
      </c>
      <c r="I35" s="43">
        <v>149.69999999999999</v>
      </c>
      <c r="J35" s="43">
        <v>149.69999999999999</v>
      </c>
      <c r="K35" s="43">
        <v>149.69999999999999</v>
      </c>
      <c r="L35" s="43">
        <v>149.69999999999999</v>
      </c>
      <c r="M35" s="43">
        <v>149.69999999999999</v>
      </c>
      <c r="N35" s="43">
        <v>149.69999999999999</v>
      </c>
      <c r="O35" s="43">
        <v>149.69999999999999</v>
      </c>
      <c r="P35" s="43">
        <v>149.69999999999999</v>
      </c>
      <c r="Q35" s="43">
        <v>149.69999999999999</v>
      </c>
      <c r="R35" s="43">
        <v>149.69999999999999</v>
      </c>
      <c r="S35" s="43">
        <v>149.69999999999999</v>
      </c>
      <c r="T35" s="43">
        <v>149.69999999999999</v>
      </c>
      <c r="U35" s="43">
        <v>149.69999999999999</v>
      </c>
      <c r="V35" s="43">
        <v>149.69999999999999</v>
      </c>
      <c r="W35" s="43">
        <v>149.69999999999999</v>
      </c>
      <c r="X35" s="43">
        <v>149.69999999999999</v>
      </c>
      <c r="Z35" s="43">
        <v>149.69999999999999</v>
      </c>
      <c r="AA35" s="43">
        <v>149.69999999999999</v>
      </c>
      <c r="AB35" s="43">
        <v>149.69999999999999</v>
      </c>
      <c r="AC35" s="43">
        <v>149.69999999999999</v>
      </c>
      <c r="AD35" s="43">
        <v>149.69999999999999</v>
      </c>
      <c r="AE35" s="43">
        <v>149.69999999999999</v>
      </c>
      <c r="AF35" s="43">
        <v>149.69999999999999</v>
      </c>
      <c r="AG35" s="43">
        <v>149.69999999999999</v>
      </c>
      <c r="AH35" s="43">
        <f t="shared" si="7"/>
        <v>149.6999999999999</v>
      </c>
      <c r="AI35" s="43">
        <f t="shared" si="8"/>
        <v>8.6674564738455656E-14</v>
      </c>
      <c r="AJ35" s="47">
        <f t="shared" si="3"/>
        <v>5.7898840840651779E-16</v>
      </c>
    </row>
    <row r="36" spans="1:39" s="44" customFormat="1">
      <c r="A36" s="2" t="str">
        <f t="shared" si="10"/>
        <v>x</v>
      </c>
      <c r="B36" s="44">
        <v>0.36630000000000001</v>
      </c>
      <c r="C36" s="44">
        <v>0.36630000000000001</v>
      </c>
      <c r="D36" s="44">
        <v>0.36630000000000001</v>
      </c>
      <c r="E36" s="44">
        <v>0.36630000000000001</v>
      </c>
      <c r="F36" s="44">
        <v>0.36630000000000001</v>
      </c>
      <c r="G36" s="44">
        <v>0.36630000000000001</v>
      </c>
      <c r="H36" s="44">
        <v>0.36630000000000001</v>
      </c>
      <c r="I36" s="44">
        <v>0.36630000000000001</v>
      </c>
      <c r="J36" s="44">
        <v>0.36630000000000001</v>
      </c>
      <c r="K36" s="44">
        <v>0.36630000000000001</v>
      </c>
      <c r="L36" s="44">
        <v>0.36630000000000001</v>
      </c>
      <c r="M36" s="44">
        <v>0.36630000000000001</v>
      </c>
      <c r="N36" s="44">
        <v>0.36630000000000001</v>
      </c>
      <c r="O36" s="44">
        <v>0.36630000000000001</v>
      </c>
      <c r="P36" s="44">
        <v>0.36630000000000001</v>
      </c>
      <c r="Q36" s="44">
        <v>0.36630000000000001</v>
      </c>
      <c r="R36" s="44">
        <v>0.36630000000000001</v>
      </c>
      <c r="S36" s="44">
        <v>0.36630000000000001</v>
      </c>
      <c r="T36" s="44">
        <v>0.36630000000000001</v>
      </c>
      <c r="U36" s="44">
        <v>0.36630000000000001</v>
      </c>
      <c r="V36" s="44">
        <v>0.36630000000000001</v>
      </c>
      <c r="W36" s="44">
        <v>0.36630000000000001</v>
      </c>
      <c r="X36" s="44">
        <v>0.36630000000000001</v>
      </c>
      <c r="Z36" s="44">
        <v>0.36630000000000001</v>
      </c>
      <c r="AA36" s="44">
        <v>0.36630000000000001</v>
      </c>
      <c r="AB36" s="44">
        <v>0.36630000000000001</v>
      </c>
      <c r="AC36" s="44">
        <v>0.36630000000000001</v>
      </c>
      <c r="AD36" s="44">
        <v>0.36630000000000001</v>
      </c>
      <c r="AE36" s="44">
        <v>0.36630000000000001</v>
      </c>
      <c r="AF36" s="44">
        <v>0.36630000000000001</v>
      </c>
      <c r="AG36" s="44">
        <v>0.36630000000000001</v>
      </c>
      <c r="AH36" s="44">
        <f t="shared" si="7"/>
        <v>0.36630000000000018</v>
      </c>
      <c r="AI36" s="44">
        <f t="shared" ref="AI36:AI37" si="33">STDEV(B36:AH36)</f>
        <v>1.6653345369377348E-16</v>
      </c>
      <c r="AJ36" s="47">
        <f t="shared" si="3"/>
        <v>4.5463678322078459E-16</v>
      </c>
    </row>
    <row r="37" spans="1:39" s="44" customFormat="1">
      <c r="A37" s="2" t="str">
        <f t="shared" si="10"/>
        <v>y</v>
      </c>
      <c r="B37" s="44">
        <v>0.29870000000000002</v>
      </c>
      <c r="C37" s="44">
        <v>0.29870000000000002</v>
      </c>
      <c r="D37" s="44">
        <v>0.29870000000000002</v>
      </c>
      <c r="E37" s="44">
        <v>0.29870000000000002</v>
      </c>
      <c r="F37" s="44">
        <v>0.29870000000000002</v>
      </c>
      <c r="G37" s="44">
        <v>0.29870000000000002</v>
      </c>
      <c r="H37" s="44">
        <v>0.29870000000000002</v>
      </c>
      <c r="I37" s="44">
        <v>0.29870000000000002</v>
      </c>
      <c r="J37" s="44">
        <v>0.29870000000000002</v>
      </c>
      <c r="K37" s="44">
        <v>0.29870000000000002</v>
      </c>
      <c r="L37" s="44">
        <v>0.29870000000000002</v>
      </c>
      <c r="M37" s="44">
        <v>0.29870000000000002</v>
      </c>
      <c r="N37" s="44">
        <v>0.29870000000000002</v>
      </c>
      <c r="O37" s="44">
        <v>0.29870000000000002</v>
      </c>
      <c r="P37" s="44">
        <v>0.29870000000000002</v>
      </c>
      <c r="Q37" s="44">
        <v>0.29870000000000002</v>
      </c>
      <c r="R37" s="44">
        <v>0.29870000000000002</v>
      </c>
      <c r="S37" s="44">
        <v>0.29870000000000002</v>
      </c>
      <c r="T37" s="44">
        <v>0.29870000000000002</v>
      </c>
      <c r="U37" s="44">
        <v>0.29870000000000002</v>
      </c>
      <c r="V37" s="44">
        <v>0.29870000000000002</v>
      </c>
      <c r="W37" s="44">
        <v>0.29870000000000002</v>
      </c>
      <c r="X37" s="44">
        <v>0.29870000000000002</v>
      </c>
      <c r="Z37" s="44">
        <v>0.29870000000000002</v>
      </c>
      <c r="AA37" s="44">
        <v>0.29870000000000002</v>
      </c>
      <c r="AB37" s="44">
        <v>0.29870000000000002</v>
      </c>
      <c r="AC37" s="44">
        <v>0.29870000000000002</v>
      </c>
      <c r="AD37" s="44">
        <v>0.29870000000000002</v>
      </c>
      <c r="AE37" s="44">
        <v>0.29870000000000002</v>
      </c>
      <c r="AF37" s="44">
        <v>0.29870000000000002</v>
      </c>
      <c r="AG37" s="44">
        <v>0.29870000000000002</v>
      </c>
      <c r="AH37" s="44">
        <f t="shared" si="7"/>
        <v>0.29870000000000013</v>
      </c>
      <c r="AI37" s="44">
        <f t="shared" si="33"/>
        <v>1.1102230246251565E-16</v>
      </c>
      <c r="AJ37" s="47">
        <f t="shared" si="3"/>
        <v>3.7168497643962372E-16</v>
      </c>
    </row>
    <row r="38" spans="1:39" s="43" customFormat="1">
      <c r="A38" s="2" t="str">
        <f t="shared" si="10"/>
        <v>R</v>
      </c>
      <c r="B38" s="43">
        <v>96.520027160644531</v>
      </c>
      <c r="C38" s="43">
        <v>92.340583801269531</v>
      </c>
      <c r="D38" s="43">
        <v>91.550010681152344</v>
      </c>
      <c r="E38" s="43">
        <v>98.408332824707031</v>
      </c>
      <c r="F38" s="43">
        <v>94.133209228515625</v>
      </c>
      <c r="G38" s="43">
        <v>90.1702880859375</v>
      </c>
      <c r="H38" s="43">
        <v>92.2398681640625</v>
      </c>
      <c r="I38" s="43">
        <v>93.216751098632813</v>
      </c>
      <c r="J38" s="43">
        <v>91.217666625976563</v>
      </c>
      <c r="K38" s="43">
        <v>94.682075500488281</v>
      </c>
      <c r="L38" s="43">
        <v>93.498741149902344</v>
      </c>
      <c r="M38" s="43">
        <v>100.30167388916016</v>
      </c>
      <c r="N38" s="43">
        <v>95.452507019042969</v>
      </c>
      <c r="O38" s="43">
        <v>104.27970123291016</v>
      </c>
      <c r="P38" s="43">
        <v>96.671089172363281</v>
      </c>
      <c r="Q38" s="43">
        <v>99.626914978027344</v>
      </c>
      <c r="R38" s="43">
        <v>96.489814758300781</v>
      </c>
      <c r="S38" s="43">
        <v>61.236438751220703</v>
      </c>
      <c r="T38" s="43">
        <v>60.289768218994141</v>
      </c>
      <c r="U38" s="43">
        <v>89.515678405761719</v>
      </c>
      <c r="V38" s="43">
        <v>103.96749877929687</v>
      </c>
      <c r="W38" s="43">
        <v>100.79515075683594</v>
      </c>
      <c r="X38" s="43">
        <v>62.183109283447266</v>
      </c>
      <c r="Z38" s="43">
        <v>93.83612060546875</v>
      </c>
      <c r="AA38" s="43">
        <v>91.298240661621094</v>
      </c>
      <c r="AB38" s="43">
        <v>79.731742858886719</v>
      </c>
      <c r="AC38" s="43">
        <v>85.507438659667969</v>
      </c>
      <c r="AD38" s="43">
        <v>95.96612548828125</v>
      </c>
      <c r="AE38" s="43">
        <v>85.89013671875</v>
      </c>
      <c r="AF38" s="43">
        <v>92.688026428222656</v>
      </c>
      <c r="AG38" s="43">
        <v>91.811859130859375</v>
      </c>
      <c r="AH38" s="43">
        <f t="shared" si="7"/>
        <v>90.823115810271233</v>
      </c>
      <c r="AI38" s="43">
        <f t="shared" ref="AI38" si="34">STDEV(B38:AG38)</f>
        <v>11.087485497361692</v>
      </c>
      <c r="AJ38" s="47">
        <f t="shared" si="3"/>
        <v>0.12207779262410862</v>
      </c>
      <c r="AK38" s="2">
        <f>(MIN(B38:AG38)-AH38)/AI38</f>
        <v>-2.7538568234017182</v>
      </c>
      <c r="AL38" s="2">
        <f>(MAX(B38:AG38)-AH38)/AI38</f>
        <v>1.2136733279913616</v>
      </c>
      <c r="AM38" s="2">
        <f t="shared" ref="AM38" si="35">AK38+AL38</f>
        <v>-1.5401834954103566</v>
      </c>
    </row>
    <row r="39" spans="1:39" s="43" customFormat="1">
      <c r="A39" s="2" t="str">
        <f t="shared" si="10"/>
        <v>G</v>
      </c>
      <c r="B39" s="43">
        <v>124.003662109375</v>
      </c>
      <c r="C39" s="43">
        <v>143.65713500976562</v>
      </c>
      <c r="D39" s="43">
        <v>123.65621185302734</v>
      </c>
      <c r="E39" s="43">
        <v>136.93980407714844</v>
      </c>
      <c r="F39" s="43">
        <v>125.34310150146484</v>
      </c>
      <c r="G39" s="43">
        <v>128.062255859375</v>
      </c>
      <c r="H39" s="43">
        <v>126.94438171386719</v>
      </c>
      <c r="I39" s="43">
        <v>138.23391723632812</v>
      </c>
      <c r="J39" s="43">
        <v>121.31472015380859</v>
      </c>
      <c r="K39" s="43">
        <v>149.91119384765625</v>
      </c>
      <c r="L39" s="43">
        <v>119.783935546875</v>
      </c>
      <c r="M39" s="43">
        <v>125.82650756835937</v>
      </c>
      <c r="N39" s="43">
        <v>124.58274078369141</v>
      </c>
      <c r="O39" s="43">
        <v>135.8773193359375</v>
      </c>
      <c r="P39" s="43">
        <v>129.02403259277344</v>
      </c>
      <c r="Q39" s="43">
        <v>126.29480743408203</v>
      </c>
      <c r="R39" s="43">
        <v>125.99267578125</v>
      </c>
      <c r="S39" s="43">
        <v>77.546348571777344</v>
      </c>
      <c r="T39" s="43">
        <v>91.101852416992188</v>
      </c>
      <c r="U39" s="43">
        <v>144.50309753417969</v>
      </c>
      <c r="V39" s="43">
        <v>139.14533996582031</v>
      </c>
      <c r="W39" s="43">
        <v>126.72785186767578</v>
      </c>
      <c r="X39" s="43">
        <v>81.423667907714844</v>
      </c>
      <c r="Z39" s="43">
        <v>127.61913299560547</v>
      </c>
      <c r="AA39" s="43">
        <v>144.3369140625</v>
      </c>
      <c r="AB39" s="43">
        <v>142.51408386230469</v>
      </c>
      <c r="AC39" s="43">
        <v>120.81117248535156</v>
      </c>
      <c r="AD39" s="43">
        <v>120.18173217773437</v>
      </c>
      <c r="AE39" s="43">
        <v>122.31678009033203</v>
      </c>
      <c r="AF39" s="43">
        <v>119.8040771484375</v>
      </c>
      <c r="AG39" s="43">
        <v>140.31356811523437</v>
      </c>
      <c r="AH39" s="43">
        <f t="shared" si="7"/>
        <v>125.92883940665952</v>
      </c>
      <c r="AI39" s="43">
        <f t="shared" si="8"/>
        <v>16.668091849738513</v>
      </c>
      <c r="AJ39" s="47">
        <f t="shared" si="3"/>
        <v>0.13236119643660474</v>
      </c>
      <c r="AK39" s="2">
        <f t="shared" ref="AK39:AK40" si="36">(MIN(B39:AG39)-AH39)/AI39</f>
        <v>-2.9027012372529728</v>
      </c>
      <c r="AL39" s="2">
        <f t="shared" ref="AL39:AL40" si="37">(MAX(B39:AG39)-AH39)/AI39</f>
        <v>1.4388182316965672</v>
      </c>
      <c r="AM39" s="2">
        <f t="shared" si="9"/>
        <v>-1.4638830055564056</v>
      </c>
    </row>
    <row r="40" spans="1:39" s="43" customFormat="1">
      <c r="A40" s="2" t="str">
        <f t="shared" si="10"/>
        <v>B</v>
      </c>
      <c r="B40" s="43">
        <v>244.88533020019531</v>
      </c>
      <c r="C40" s="43">
        <v>229.864501953125</v>
      </c>
      <c r="D40" s="43">
        <v>217.97573852539062</v>
      </c>
      <c r="E40" s="43">
        <v>209.33485412597656</v>
      </c>
      <c r="F40" s="43">
        <v>235.75601196289062</v>
      </c>
      <c r="G40" s="43">
        <v>208.39825439453125</v>
      </c>
      <c r="H40" s="43">
        <v>221.70199584960937</v>
      </c>
      <c r="I40" s="43">
        <v>220.43807983398437</v>
      </c>
      <c r="J40" s="43">
        <v>222.06454467773437</v>
      </c>
      <c r="K40" s="43">
        <v>217.61822509765625</v>
      </c>
      <c r="L40" s="43">
        <v>221.23368835449219</v>
      </c>
      <c r="M40" s="43">
        <v>217.34126281738281</v>
      </c>
      <c r="N40" s="43">
        <v>227.54818725585937</v>
      </c>
      <c r="O40" s="43">
        <v>256.74386596679687</v>
      </c>
      <c r="P40" s="43">
        <v>229.10414123535156</v>
      </c>
      <c r="Q40" s="43">
        <v>243.20851135253906</v>
      </c>
      <c r="R40" s="43">
        <v>222.3314208984375</v>
      </c>
      <c r="S40" s="43">
        <v>153.63241577148437</v>
      </c>
      <c r="T40" s="43">
        <v>142.16159057617187</v>
      </c>
      <c r="U40" s="43">
        <v>229.27534484863281</v>
      </c>
      <c r="V40" s="43">
        <v>252.13137817382812</v>
      </c>
      <c r="W40" s="43">
        <v>240.84687805175781</v>
      </c>
      <c r="X40" s="43">
        <v>153.20439147949219</v>
      </c>
      <c r="Z40" s="43">
        <v>218.51454162597656</v>
      </c>
      <c r="AA40" s="43">
        <v>216.88807678222656</v>
      </c>
      <c r="AB40" s="43">
        <v>219.05836486816406</v>
      </c>
      <c r="AC40" s="43">
        <v>197.07347106933594</v>
      </c>
      <c r="AD40" s="43">
        <v>237.25154113769531</v>
      </c>
      <c r="AE40" s="43">
        <v>220.43807983398437</v>
      </c>
      <c r="AF40" s="43">
        <v>201.7967529296875</v>
      </c>
      <c r="AG40" s="43">
        <v>227.33668518066406</v>
      </c>
      <c r="AH40" s="43">
        <f t="shared" si="7"/>
        <v>217.90832667196952</v>
      </c>
      <c r="AI40" s="43">
        <f t="shared" si="8"/>
        <v>26.354560684953324</v>
      </c>
      <c r="AJ40" s="47">
        <f t="shared" si="3"/>
        <v>0.12094333928150633</v>
      </c>
      <c r="AK40" s="2">
        <f t="shared" si="36"/>
        <v>-2.8741414816693918</v>
      </c>
      <c r="AL40" s="2">
        <f t="shared" si="37"/>
        <v>1.4735794597023895</v>
      </c>
      <c r="AM40" s="2">
        <f t="shared" si="9"/>
        <v>-1.4005620219670023</v>
      </c>
    </row>
    <row r="41" spans="1:39" s="43" customFormat="1">
      <c r="A41" s="2" t="str">
        <f t="shared" si="10"/>
        <v>Ev</v>
      </c>
      <c r="B41" s="43">
        <v>150</v>
      </c>
      <c r="C41" s="43">
        <v>150</v>
      </c>
      <c r="D41" s="43">
        <v>150</v>
      </c>
      <c r="E41" s="43">
        <v>150</v>
      </c>
      <c r="F41" s="43">
        <v>150</v>
      </c>
      <c r="G41" s="43">
        <v>150</v>
      </c>
      <c r="H41" s="43">
        <v>150</v>
      </c>
      <c r="I41" s="43">
        <v>150</v>
      </c>
      <c r="J41" s="43">
        <v>150</v>
      </c>
      <c r="K41" s="43">
        <v>150</v>
      </c>
      <c r="L41" s="43">
        <v>150</v>
      </c>
      <c r="M41" s="43">
        <v>150</v>
      </c>
      <c r="N41" s="43">
        <v>150</v>
      </c>
      <c r="O41" s="43">
        <v>150</v>
      </c>
      <c r="P41" s="43">
        <v>150</v>
      </c>
      <c r="Q41" s="43">
        <v>150</v>
      </c>
      <c r="R41" s="43">
        <v>150</v>
      </c>
      <c r="S41" s="43">
        <v>150</v>
      </c>
      <c r="T41" s="43">
        <v>150</v>
      </c>
      <c r="U41" s="43">
        <v>150</v>
      </c>
      <c r="V41" s="43">
        <v>150</v>
      </c>
      <c r="W41" s="43">
        <v>150</v>
      </c>
      <c r="X41" s="43">
        <v>150</v>
      </c>
      <c r="Z41" s="43">
        <v>150</v>
      </c>
      <c r="AA41" s="43">
        <v>150</v>
      </c>
      <c r="AB41" s="43">
        <v>150</v>
      </c>
      <c r="AC41" s="43">
        <v>150</v>
      </c>
      <c r="AD41" s="43">
        <v>150</v>
      </c>
      <c r="AE41" s="43">
        <v>150</v>
      </c>
      <c r="AF41" s="43">
        <v>150</v>
      </c>
      <c r="AG41" s="43">
        <v>150</v>
      </c>
      <c r="AH41" s="43">
        <f t="shared" si="7"/>
        <v>150</v>
      </c>
      <c r="AI41" s="43">
        <f t="shared" si="8"/>
        <v>0</v>
      </c>
      <c r="AJ41" s="47">
        <f t="shared" si="3"/>
        <v>0</v>
      </c>
    </row>
    <row r="42" spans="1:39" s="44" customFormat="1">
      <c r="A42" s="2" t="str">
        <f t="shared" si="10"/>
        <v>x</v>
      </c>
      <c r="B42" s="44">
        <v>0.23400000000000001</v>
      </c>
      <c r="C42" s="44">
        <v>0.23400000000000001</v>
      </c>
      <c r="D42" s="44">
        <v>0.23400000000000001</v>
      </c>
      <c r="E42" s="44">
        <v>0.23400000000000001</v>
      </c>
      <c r="F42" s="44">
        <v>0.23400000000000001</v>
      </c>
      <c r="G42" s="44">
        <v>0.23400000000000001</v>
      </c>
      <c r="H42" s="44">
        <v>0.23400000000000001</v>
      </c>
      <c r="I42" s="44">
        <v>0.23400000000000001</v>
      </c>
      <c r="J42" s="44">
        <v>0.23400000000000001</v>
      </c>
      <c r="K42" s="44">
        <v>0.23400000000000001</v>
      </c>
      <c r="L42" s="44">
        <v>0.23400000000000001</v>
      </c>
      <c r="M42" s="44">
        <v>0.23400000000000001</v>
      </c>
      <c r="N42" s="44">
        <v>0.23400000000000001</v>
      </c>
      <c r="O42" s="44">
        <v>0.23400000000000001</v>
      </c>
      <c r="P42" s="44">
        <v>0.23400000000000001</v>
      </c>
      <c r="Q42" s="44">
        <v>0.23400000000000001</v>
      </c>
      <c r="R42" s="44">
        <v>0.23400000000000001</v>
      </c>
      <c r="S42" s="44">
        <v>0.23400000000000001</v>
      </c>
      <c r="T42" s="44">
        <v>0.23400000000000001</v>
      </c>
      <c r="U42" s="44">
        <v>0.23400000000000001</v>
      </c>
      <c r="V42" s="44">
        <v>0.23400000000000001</v>
      </c>
      <c r="W42" s="44">
        <v>0.23400000000000001</v>
      </c>
      <c r="X42" s="44">
        <v>0.23400000000000001</v>
      </c>
      <c r="Z42" s="44">
        <v>0.23400000000000001</v>
      </c>
      <c r="AA42" s="44">
        <v>0.23400000000000001</v>
      </c>
      <c r="AB42" s="44">
        <v>0.23400000000000001</v>
      </c>
      <c r="AC42" s="44">
        <v>0.23400000000000001</v>
      </c>
      <c r="AD42" s="44">
        <v>0.23400000000000001</v>
      </c>
      <c r="AE42" s="44">
        <v>0.23400000000000001</v>
      </c>
      <c r="AF42" s="44">
        <v>0.23400000000000001</v>
      </c>
      <c r="AG42" s="44">
        <v>0.23400000000000001</v>
      </c>
      <c r="AH42" s="44">
        <f t="shared" si="7"/>
        <v>0.23400000000000001</v>
      </c>
      <c r="AI42" s="44">
        <f t="shared" ref="AI42:AI43" si="38">STDEV(B42:AH42)</f>
        <v>0</v>
      </c>
      <c r="AJ42" s="47">
        <f t="shared" si="3"/>
        <v>0</v>
      </c>
    </row>
    <row r="43" spans="1:39" s="44" customFormat="1">
      <c r="A43" s="2" t="str">
        <f t="shared" si="10"/>
        <v>y</v>
      </c>
      <c r="B43" s="44">
        <v>0.23549999999999999</v>
      </c>
      <c r="C43" s="44">
        <v>0.23549999999999999</v>
      </c>
      <c r="D43" s="44">
        <v>0.23549999999999999</v>
      </c>
      <c r="E43" s="44">
        <v>0.23549999999999999</v>
      </c>
      <c r="F43" s="44">
        <v>0.23549999999999999</v>
      </c>
      <c r="G43" s="44">
        <v>0.23549999999999999</v>
      </c>
      <c r="H43" s="44">
        <v>0.23549999999999999</v>
      </c>
      <c r="I43" s="44">
        <v>0.23549999999999999</v>
      </c>
      <c r="J43" s="44">
        <v>0.23549999999999999</v>
      </c>
      <c r="K43" s="44">
        <v>0.23549999999999999</v>
      </c>
      <c r="L43" s="44">
        <v>0.23549999999999999</v>
      </c>
      <c r="M43" s="44">
        <v>0.23549999999999999</v>
      </c>
      <c r="N43" s="44">
        <v>0.23549999999999999</v>
      </c>
      <c r="O43" s="44">
        <v>0.23549999999999999</v>
      </c>
      <c r="P43" s="44">
        <v>0.23549999999999999</v>
      </c>
      <c r="Q43" s="44">
        <v>0.23549999999999999</v>
      </c>
      <c r="R43" s="44">
        <v>0.23549999999999999</v>
      </c>
      <c r="S43" s="44">
        <v>0.23549999999999999</v>
      </c>
      <c r="T43" s="44">
        <v>0.23549999999999999</v>
      </c>
      <c r="U43" s="44">
        <v>0.23549999999999999</v>
      </c>
      <c r="V43" s="44">
        <v>0.23549999999999999</v>
      </c>
      <c r="W43" s="44">
        <v>0.23549999999999999</v>
      </c>
      <c r="X43" s="44">
        <v>0.23549999999999999</v>
      </c>
      <c r="Z43" s="44">
        <v>0.23549999999999999</v>
      </c>
      <c r="AA43" s="44">
        <v>0.23549999999999999</v>
      </c>
      <c r="AB43" s="44">
        <v>0.23549999999999999</v>
      </c>
      <c r="AC43" s="44">
        <v>0.23549999999999999</v>
      </c>
      <c r="AD43" s="44">
        <v>0.23549999999999999</v>
      </c>
      <c r="AE43" s="44">
        <v>0.23549999999999999</v>
      </c>
      <c r="AF43" s="44">
        <v>0.23549999999999999</v>
      </c>
      <c r="AG43" s="44">
        <v>0.23549999999999999</v>
      </c>
      <c r="AH43" s="44">
        <f t="shared" si="7"/>
        <v>0.23550000000000001</v>
      </c>
      <c r="AI43" s="44">
        <f t="shared" si="38"/>
        <v>2.7755575615628914E-17</v>
      </c>
      <c r="AJ43" s="47">
        <f t="shared" si="3"/>
        <v>1.1785807055468753E-16</v>
      </c>
    </row>
    <row r="44" spans="1:39" s="43" customFormat="1">
      <c r="A44" s="2" t="str">
        <f t="shared" si="10"/>
        <v>R</v>
      </c>
      <c r="B44" s="43">
        <v>201.86724853515625</v>
      </c>
      <c r="C44" s="43">
        <v>186.96726989746094</v>
      </c>
      <c r="D44" s="43">
        <v>172.63127136230469</v>
      </c>
      <c r="E44" s="43">
        <v>183.24101257324219</v>
      </c>
      <c r="F44" s="43">
        <v>184.94300842285156</v>
      </c>
      <c r="G44" s="43">
        <v>175.30509948730469</v>
      </c>
      <c r="H44" s="43">
        <v>175.11878967285156</v>
      </c>
      <c r="I44" s="43">
        <v>185.85443115234375</v>
      </c>
      <c r="J44" s="43">
        <v>178.01922607421875</v>
      </c>
      <c r="K44" s="43">
        <v>195.43190002441406</v>
      </c>
      <c r="L44" s="43">
        <v>189.45982360839844</v>
      </c>
      <c r="M44" s="43">
        <v>184.07186889648438</v>
      </c>
      <c r="N44" s="43">
        <v>200.00411987304687</v>
      </c>
      <c r="O44" s="43">
        <v>217.74411010742187</v>
      </c>
      <c r="P44" s="43">
        <v>189.53033447265625</v>
      </c>
      <c r="Q44" s="43">
        <v>209.03273010253906</v>
      </c>
      <c r="R44" s="43">
        <v>187.11833190917969</v>
      </c>
      <c r="S44" s="43">
        <v>125.17189025878906</v>
      </c>
      <c r="T44" s="43">
        <v>122.72968292236328</v>
      </c>
      <c r="U44" s="43">
        <v>190.57267761230469</v>
      </c>
      <c r="V44" s="43">
        <v>201.22270202636719</v>
      </c>
      <c r="W44" s="43">
        <v>203.90158081054687</v>
      </c>
      <c r="X44" s="43">
        <v>130.95262145996094</v>
      </c>
      <c r="Z44" s="43">
        <v>179.80178833007812</v>
      </c>
      <c r="AA44" s="43">
        <v>190.06912231445312</v>
      </c>
      <c r="AB44" s="43">
        <v>165.67727661132812</v>
      </c>
      <c r="AC44" s="43">
        <v>173.59808349609375</v>
      </c>
      <c r="AD44" s="43">
        <v>195.849853515625</v>
      </c>
      <c r="AE44" s="43">
        <v>183.43235778808594</v>
      </c>
      <c r="AF44" s="43">
        <v>182.87342834472656</v>
      </c>
      <c r="AG44" s="43">
        <v>192.02288818359375</v>
      </c>
      <c r="AH44" s="43">
        <f t="shared" si="7"/>
        <v>182.39408160794167</v>
      </c>
      <c r="AI44" s="43">
        <f t="shared" ref="AI44" si="39">STDEV(B44:AG44)</f>
        <v>21.805363135663587</v>
      </c>
      <c r="AJ44" s="47">
        <f t="shared" si="3"/>
        <v>0.11955082612019442</v>
      </c>
      <c r="AK44" s="2">
        <f>(MIN(B44:AG44)-AH44)/AI44</f>
        <v>-2.73622586857977</v>
      </c>
      <c r="AL44" s="2">
        <f>(MAX(B44:AG44)-AH44)/AI44</f>
        <v>1.6211621095024897</v>
      </c>
      <c r="AM44" s="2">
        <f t="shared" ref="AM44" si="40">AK44+AL44</f>
        <v>-1.1150637590772803</v>
      </c>
    </row>
    <row r="45" spans="1:39" s="43" customFormat="1">
      <c r="A45" s="2" t="str">
        <f t="shared" si="10"/>
        <v>G</v>
      </c>
      <c r="B45" s="43">
        <v>117.91073608398437</v>
      </c>
      <c r="C45" s="43">
        <v>139.39207458496094</v>
      </c>
      <c r="D45" s="43">
        <v>118.53513336181641</v>
      </c>
      <c r="E45" s="43">
        <v>132.1611328125</v>
      </c>
      <c r="F45" s="43">
        <v>125.23231506347656</v>
      </c>
      <c r="G45" s="43">
        <v>122.35202789306641</v>
      </c>
      <c r="H45" s="43">
        <v>124.70359039306641</v>
      </c>
      <c r="I45" s="43">
        <v>129.42182922363281</v>
      </c>
      <c r="J45" s="43">
        <v>120.92195129394531</v>
      </c>
      <c r="K45" s="43">
        <v>149.17601013183594</v>
      </c>
      <c r="L45" s="43">
        <v>120.65003204345703</v>
      </c>
      <c r="M45" s="43">
        <v>119.33074188232422</v>
      </c>
      <c r="N45" s="43">
        <v>117.51293182373047</v>
      </c>
      <c r="O45" s="43">
        <v>124.33097076416016</v>
      </c>
      <c r="P45" s="43">
        <v>124.42664337158203</v>
      </c>
      <c r="Q45" s="43">
        <v>119.51201629638672</v>
      </c>
      <c r="R45" s="43">
        <v>118.56534576416016</v>
      </c>
      <c r="S45" s="43">
        <v>72.646827697753906</v>
      </c>
      <c r="T45" s="43">
        <v>86.831771850585937</v>
      </c>
      <c r="U45" s="43">
        <v>140.55024719238281</v>
      </c>
      <c r="V45" s="43">
        <v>125.75601196289062</v>
      </c>
      <c r="W45" s="43">
        <v>121.71251678466797</v>
      </c>
      <c r="X45" s="43">
        <v>77.385215759277344</v>
      </c>
      <c r="Z45" s="43">
        <v>121.67726898193359</v>
      </c>
      <c r="AA45" s="43">
        <v>129.41175842285156</v>
      </c>
      <c r="AB45" s="43">
        <v>126.113525390625</v>
      </c>
      <c r="AC45" s="43">
        <v>115.805908203125</v>
      </c>
      <c r="AD45" s="43">
        <v>118.05172729492187</v>
      </c>
      <c r="AE45" s="43">
        <v>116.047607421875</v>
      </c>
      <c r="AF45" s="43">
        <v>120.73563385009766</v>
      </c>
      <c r="AG45" s="43">
        <v>128.09246826171875</v>
      </c>
      <c r="AH45" s="43">
        <f t="shared" si="7"/>
        <v>120.15980554396107</v>
      </c>
      <c r="AI45" s="43">
        <f t="shared" si="8"/>
        <v>15.728870064077352</v>
      </c>
      <c r="AJ45" s="47">
        <f t="shared" si="3"/>
        <v>0.13089959652375491</v>
      </c>
      <c r="AK45" s="2">
        <f t="shared" ref="AK45:AK46" si="41">(MIN(B45:AG45)-AH45)/AI45</f>
        <v>-3.0207495931141608</v>
      </c>
      <c r="AL45" s="2">
        <f t="shared" ref="AL45:AL46" si="42">(MAX(B45:AG45)-AH45)/AI45</f>
        <v>1.8447736213514803</v>
      </c>
      <c r="AM45" s="2">
        <f t="shared" si="9"/>
        <v>-1.1759759717626805</v>
      </c>
    </row>
    <row r="46" spans="1:39" s="43" customFormat="1">
      <c r="A46" s="2" t="str">
        <f t="shared" si="10"/>
        <v>B</v>
      </c>
      <c r="B46" s="43">
        <v>227.9359130859375</v>
      </c>
      <c r="C46" s="43">
        <v>203.33256530761719</v>
      </c>
      <c r="D46" s="43">
        <v>197.14396667480469</v>
      </c>
      <c r="E46" s="43">
        <v>193.04005432128906</v>
      </c>
      <c r="F46" s="43">
        <v>216.49530029296875</v>
      </c>
      <c r="G46" s="43">
        <v>191.36323547363281</v>
      </c>
      <c r="H46" s="43">
        <v>199.91851806640625</v>
      </c>
      <c r="I46" s="43">
        <v>203.36781311035156</v>
      </c>
      <c r="J46" s="43">
        <v>206.69627380371094</v>
      </c>
      <c r="K46" s="43">
        <v>200.05950927734375</v>
      </c>
      <c r="L46" s="43">
        <v>208.29251098632812</v>
      </c>
      <c r="M46" s="43">
        <v>194.93339538574219</v>
      </c>
      <c r="N46" s="43">
        <v>209.92401123046875</v>
      </c>
      <c r="O46" s="43">
        <v>234.28060913085937</v>
      </c>
      <c r="P46" s="43">
        <v>204.84321594238281</v>
      </c>
      <c r="Q46" s="43">
        <v>224.57725524902344</v>
      </c>
      <c r="R46" s="43">
        <v>200.84001159667969</v>
      </c>
      <c r="S46" s="43">
        <v>143.45066833496094</v>
      </c>
      <c r="T46" s="43">
        <v>120.53925323486328</v>
      </c>
      <c r="U46" s="43">
        <v>213.76608276367187</v>
      </c>
      <c r="V46" s="43">
        <v>224.52186584472656</v>
      </c>
      <c r="W46" s="43">
        <v>220.23162841796875</v>
      </c>
      <c r="X46" s="43">
        <v>142.67018127441406</v>
      </c>
      <c r="Z46" s="43">
        <v>196.98283386230469</v>
      </c>
      <c r="AA46" s="43">
        <v>198.92149353027344</v>
      </c>
      <c r="AB46" s="43">
        <v>196.44403076171875</v>
      </c>
      <c r="AC46" s="43">
        <v>177.58114624023437</v>
      </c>
      <c r="AD46" s="43">
        <v>221.5458984375</v>
      </c>
      <c r="AE46" s="43">
        <v>202.58229064941406</v>
      </c>
      <c r="AF46" s="43">
        <v>178.51774597167969</v>
      </c>
      <c r="AG46" s="43">
        <v>208.0054931640625</v>
      </c>
      <c r="AH46" s="43">
        <f t="shared" si="7"/>
        <v>198.80015391688192</v>
      </c>
      <c r="AI46" s="43">
        <f t="shared" si="8"/>
        <v>24.982216525121562</v>
      </c>
      <c r="AJ46" s="47">
        <f t="shared" si="3"/>
        <v>0.12566497577042415</v>
      </c>
      <c r="AK46" s="2">
        <f t="shared" si="41"/>
        <v>-3.1326644136368453</v>
      </c>
      <c r="AL46" s="2">
        <f t="shared" si="42"/>
        <v>1.4202284724535588</v>
      </c>
      <c r="AM46" s="2">
        <f t="shared" si="9"/>
        <v>-1.7124359411832866</v>
      </c>
    </row>
    <row r="47" spans="1:39" s="43" customFormat="1">
      <c r="A47" s="2" t="str">
        <f t="shared" si="10"/>
        <v>Ev</v>
      </c>
      <c r="B47" s="43">
        <v>149.4</v>
      </c>
      <c r="C47" s="43">
        <v>149.4</v>
      </c>
      <c r="D47" s="43">
        <v>149.4</v>
      </c>
      <c r="E47" s="43">
        <v>149.4</v>
      </c>
      <c r="F47" s="43">
        <v>149.4</v>
      </c>
      <c r="G47" s="43">
        <v>149.4</v>
      </c>
      <c r="H47" s="43">
        <v>149.4</v>
      </c>
      <c r="I47" s="43">
        <v>149.4</v>
      </c>
      <c r="J47" s="43">
        <v>149.4</v>
      </c>
      <c r="K47" s="43">
        <v>149.4</v>
      </c>
      <c r="L47" s="43">
        <v>149.4</v>
      </c>
      <c r="M47" s="43">
        <v>149.4</v>
      </c>
      <c r="N47" s="43">
        <v>149.4</v>
      </c>
      <c r="O47" s="43">
        <v>149.4</v>
      </c>
      <c r="P47" s="43">
        <v>149.4</v>
      </c>
      <c r="Q47" s="43">
        <v>149.4</v>
      </c>
      <c r="R47" s="43">
        <v>149.4</v>
      </c>
      <c r="S47" s="43">
        <v>149.4</v>
      </c>
      <c r="T47" s="43">
        <v>149.4</v>
      </c>
      <c r="U47" s="43">
        <v>149.4</v>
      </c>
      <c r="V47" s="43">
        <v>149.4</v>
      </c>
      <c r="W47" s="43">
        <v>149.4</v>
      </c>
      <c r="X47" s="43">
        <v>149.4</v>
      </c>
      <c r="Z47" s="43">
        <v>149.4</v>
      </c>
      <c r="AA47" s="43">
        <v>149.4</v>
      </c>
      <c r="AB47" s="43">
        <v>149.4</v>
      </c>
      <c r="AC47" s="43">
        <v>149.4</v>
      </c>
      <c r="AD47" s="43">
        <v>149.4</v>
      </c>
      <c r="AE47" s="43">
        <v>149.4</v>
      </c>
      <c r="AF47" s="43">
        <v>149.4</v>
      </c>
      <c r="AG47" s="43">
        <v>149.4</v>
      </c>
      <c r="AH47" s="43">
        <f t="shared" si="7"/>
        <v>149.4</v>
      </c>
      <c r="AI47" s="43">
        <f t="shared" si="8"/>
        <v>0</v>
      </c>
      <c r="AJ47" s="47">
        <f t="shared" si="3"/>
        <v>0</v>
      </c>
    </row>
    <row r="48" spans="1:39" s="44" customFormat="1">
      <c r="A48" s="2" t="str">
        <f t="shared" si="10"/>
        <v>x</v>
      </c>
      <c r="B48" s="44">
        <v>0.29970000000000002</v>
      </c>
      <c r="C48" s="44">
        <v>0.29970000000000002</v>
      </c>
      <c r="D48" s="44">
        <v>0.29970000000000002</v>
      </c>
      <c r="E48" s="44">
        <v>0.29970000000000002</v>
      </c>
      <c r="F48" s="44">
        <v>0.29970000000000002</v>
      </c>
      <c r="G48" s="44">
        <v>0.29970000000000002</v>
      </c>
      <c r="H48" s="44">
        <v>0.29970000000000002</v>
      </c>
      <c r="I48" s="44">
        <v>0.29970000000000002</v>
      </c>
      <c r="J48" s="44">
        <v>0.29970000000000002</v>
      </c>
      <c r="K48" s="44">
        <v>0.29970000000000002</v>
      </c>
      <c r="L48" s="44">
        <v>0.29970000000000002</v>
      </c>
      <c r="M48" s="44">
        <v>0.29970000000000002</v>
      </c>
      <c r="N48" s="44">
        <v>0.29970000000000002</v>
      </c>
      <c r="O48" s="44">
        <v>0.29970000000000002</v>
      </c>
      <c r="P48" s="44">
        <v>0.29970000000000002</v>
      </c>
      <c r="Q48" s="44">
        <v>0.29970000000000002</v>
      </c>
      <c r="R48" s="44">
        <v>0.29970000000000002</v>
      </c>
      <c r="S48" s="44">
        <v>0.29970000000000002</v>
      </c>
      <c r="T48" s="44">
        <v>0.29970000000000002</v>
      </c>
      <c r="U48" s="44">
        <v>0.29970000000000002</v>
      </c>
      <c r="V48" s="44">
        <v>0.29970000000000002</v>
      </c>
      <c r="W48" s="44">
        <v>0.29970000000000002</v>
      </c>
      <c r="X48" s="44">
        <v>0.29970000000000002</v>
      </c>
      <c r="Z48" s="44">
        <v>0.29970000000000002</v>
      </c>
      <c r="AA48" s="44">
        <v>0.29970000000000002</v>
      </c>
      <c r="AB48" s="44">
        <v>0.29970000000000002</v>
      </c>
      <c r="AC48" s="44">
        <v>0.29970000000000002</v>
      </c>
      <c r="AD48" s="44">
        <v>0.29970000000000002</v>
      </c>
      <c r="AE48" s="44">
        <v>0.29970000000000002</v>
      </c>
      <c r="AF48" s="44">
        <v>0.29970000000000002</v>
      </c>
      <c r="AG48" s="44">
        <v>0.29970000000000002</v>
      </c>
      <c r="AH48" s="44">
        <f t="shared" si="7"/>
        <v>0.2996999999999998</v>
      </c>
      <c r="AI48" s="44">
        <f t="shared" ref="AI48:AI49" si="43">STDEV(B48:AH48)</f>
        <v>2.2204460492503131E-16</v>
      </c>
      <c r="AJ48" s="47">
        <f t="shared" si="3"/>
        <v>7.4088957265609425E-16</v>
      </c>
    </row>
    <row r="49" spans="1:39" s="44" customFormat="1">
      <c r="A49" s="2" t="str">
        <f t="shared" si="10"/>
        <v>y</v>
      </c>
      <c r="B49" s="44">
        <v>0.2329</v>
      </c>
      <c r="C49" s="44">
        <v>0.2329</v>
      </c>
      <c r="D49" s="44">
        <v>0.2329</v>
      </c>
      <c r="E49" s="44">
        <v>0.2329</v>
      </c>
      <c r="F49" s="44">
        <v>0.2329</v>
      </c>
      <c r="G49" s="44">
        <v>0.2329</v>
      </c>
      <c r="H49" s="44">
        <v>0.2329</v>
      </c>
      <c r="I49" s="44">
        <v>0.2329</v>
      </c>
      <c r="J49" s="44">
        <v>0.2329</v>
      </c>
      <c r="K49" s="44">
        <v>0.2329</v>
      </c>
      <c r="L49" s="44">
        <v>0.2329</v>
      </c>
      <c r="M49" s="44">
        <v>0.2329</v>
      </c>
      <c r="N49" s="44">
        <v>0.2329</v>
      </c>
      <c r="O49" s="44">
        <v>0.2329</v>
      </c>
      <c r="P49" s="44">
        <v>0.2329</v>
      </c>
      <c r="Q49" s="44">
        <v>0.2329</v>
      </c>
      <c r="R49" s="44">
        <v>0.2329</v>
      </c>
      <c r="S49" s="44">
        <v>0.2329</v>
      </c>
      <c r="T49" s="44">
        <v>0.2329</v>
      </c>
      <c r="U49" s="44">
        <v>0.2329</v>
      </c>
      <c r="V49" s="44">
        <v>0.2329</v>
      </c>
      <c r="W49" s="44">
        <v>0.2329</v>
      </c>
      <c r="X49" s="44">
        <v>0.2329</v>
      </c>
      <c r="Z49" s="44">
        <v>0.2329</v>
      </c>
      <c r="AA49" s="44">
        <v>0.2329</v>
      </c>
      <c r="AB49" s="44">
        <v>0.2329</v>
      </c>
      <c r="AC49" s="44">
        <v>0.2329</v>
      </c>
      <c r="AD49" s="44">
        <v>0.2329</v>
      </c>
      <c r="AE49" s="44">
        <v>0.2329</v>
      </c>
      <c r="AF49" s="44">
        <v>0.2329</v>
      </c>
      <c r="AG49" s="44">
        <v>0.2329</v>
      </c>
      <c r="AH49" s="44">
        <f t="shared" si="7"/>
        <v>0.23289999999999991</v>
      </c>
      <c r="AI49" s="44">
        <f t="shared" si="43"/>
        <v>8.3266726846886741E-17</v>
      </c>
      <c r="AJ49" s="47">
        <f t="shared" si="3"/>
        <v>3.5752136902914029E-16</v>
      </c>
    </row>
    <row r="50" spans="1:39" s="43" customFormat="1">
      <c r="A50" s="2" t="str">
        <f t="shared" si="10"/>
        <v>R</v>
      </c>
      <c r="B50" s="43">
        <v>329.14901733398437</v>
      </c>
      <c r="C50" s="43">
        <v>318.83633422851563</v>
      </c>
      <c r="D50" s="43">
        <v>303.75509643554687</v>
      </c>
      <c r="E50" s="43">
        <v>329.92950439453125</v>
      </c>
      <c r="F50" s="43">
        <v>300.18997192382813</v>
      </c>
      <c r="G50" s="43">
        <v>296.2471923828125</v>
      </c>
      <c r="H50" s="43">
        <v>294.9027099609375</v>
      </c>
      <c r="I50" s="43">
        <v>312.662841796875</v>
      </c>
      <c r="J50" s="43">
        <v>293.16046142578125</v>
      </c>
      <c r="K50" s="43">
        <v>323.45892333984375</v>
      </c>
      <c r="L50" s="43">
        <v>309.57107543945312</v>
      </c>
      <c r="M50" s="43">
        <v>329.93453979492187</v>
      </c>
      <c r="N50" s="43">
        <v>326.66146850585937</v>
      </c>
      <c r="O50" s="43">
        <v>329.94461059570312</v>
      </c>
      <c r="P50" s="43">
        <v>329.9395751953125</v>
      </c>
      <c r="Q50" s="43">
        <v>329.93453979492187</v>
      </c>
      <c r="R50" s="43">
        <v>329.9395751953125</v>
      </c>
      <c r="S50" s="43">
        <v>192.56169128417969</v>
      </c>
      <c r="T50" s="43">
        <v>195.27076721191406</v>
      </c>
      <c r="U50" s="43">
        <v>299.761962890625</v>
      </c>
      <c r="V50" s="43">
        <v>329.9395751953125</v>
      </c>
      <c r="W50" s="43">
        <v>329.93453979492187</v>
      </c>
      <c r="X50" s="43">
        <v>185.46669006347656</v>
      </c>
      <c r="Z50" s="43">
        <v>329.033203125</v>
      </c>
      <c r="AA50" s="43">
        <v>296.38314819335938</v>
      </c>
      <c r="AB50" s="43">
        <v>270.98419189453125</v>
      </c>
      <c r="AC50" s="43">
        <v>275.88372802734375</v>
      </c>
      <c r="AD50" s="43">
        <v>323.01077270507812</v>
      </c>
      <c r="AE50" s="43">
        <v>286.71502685546875</v>
      </c>
      <c r="AF50" s="43">
        <v>301.8516845703125</v>
      </c>
      <c r="AG50" s="43">
        <v>311.10186767578125</v>
      </c>
      <c r="AH50" s="43">
        <f t="shared" si="7"/>
        <v>300.51988023327243</v>
      </c>
      <c r="AI50" s="43">
        <f t="shared" ref="AI50" si="44">STDEV(B50:AG50)</f>
        <v>40.299432746273027</v>
      </c>
      <c r="AJ50" s="47">
        <f t="shared" si="3"/>
        <v>0.13409905765632349</v>
      </c>
      <c r="AK50" s="2">
        <f>(MIN(B50:AG50)-AH50)/AI50</f>
        <v>-2.8549580559650982</v>
      </c>
      <c r="AL50" s="2">
        <f>(MAX(B50:AG50)-AH50)/AI50</f>
        <v>0.7301524700779306</v>
      </c>
      <c r="AM50" s="2">
        <f t="shared" ref="AM50" si="45">AK50+AL50</f>
        <v>-2.1248055858871675</v>
      </c>
    </row>
    <row r="51" spans="1:39" s="43" customFormat="1">
      <c r="A51" s="2" t="str">
        <f t="shared" si="10"/>
        <v>G</v>
      </c>
      <c r="B51" s="43">
        <v>108.70587921142578</v>
      </c>
      <c r="C51" s="43">
        <v>132.1812744140625</v>
      </c>
      <c r="D51" s="43">
        <v>113.87228393554687</v>
      </c>
      <c r="E51" s="43">
        <v>126.83360290527344</v>
      </c>
      <c r="F51" s="43">
        <v>124.40146636962891</v>
      </c>
      <c r="G51" s="43">
        <v>112.07965087890625</v>
      </c>
      <c r="H51" s="43">
        <v>121.24421691894531</v>
      </c>
      <c r="I51" s="43">
        <v>122.47287750244141</v>
      </c>
      <c r="J51" s="43">
        <v>117.18058776855469</v>
      </c>
      <c r="K51" s="43">
        <v>147.19706726074219</v>
      </c>
      <c r="L51" s="43">
        <v>114.44632720947266</v>
      </c>
      <c r="M51" s="43">
        <v>112.35660552978516</v>
      </c>
      <c r="N51" s="43">
        <v>105.91622924804687</v>
      </c>
      <c r="O51" s="43">
        <v>121.97940063476562</v>
      </c>
      <c r="P51" s="43">
        <v>116.88349914550781</v>
      </c>
      <c r="Q51" s="43">
        <v>114.80888366699219</v>
      </c>
      <c r="R51" s="43">
        <v>108.73105621337891</v>
      </c>
      <c r="S51" s="43">
        <v>67.414970397949219</v>
      </c>
      <c r="T51" s="43">
        <v>81.78118896484375</v>
      </c>
      <c r="U51" s="43">
        <v>121.89883422851562</v>
      </c>
      <c r="V51" s="43">
        <v>116.85328674316406</v>
      </c>
      <c r="W51" s="43">
        <v>113.63057708740234</v>
      </c>
      <c r="X51" s="43">
        <v>72.843215942382813</v>
      </c>
      <c r="Z51" s="43">
        <v>115.84115600585937</v>
      </c>
      <c r="AA51" s="43">
        <v>120.13137817382812</v>
      </c>
      <c r="AB51" s="43">
        <v>119.54222869873047</v>
      </c>
      <c r="AC51" s="43">
        <v>109.44609832763672</v>
      </c>
      <c r="AD51" s="43">
        <v>108.95262145996094</v>
      </c>
      <c r="AE51" s="43">
        <v>108.72098541259766</v>
      </c>
      <c r="AF51" s="43">
        <v>114.91462707519531</v>
      </c>
      <c r="AG51" s="43">
        <v>119.43648529052734</v>
      </c>
      <c r="AH51" s="43">
        <f t="shared" si="7"/>
        <v>113.31285685877646</v>
      </c>
      <c r="AI51" s="43">
        <f t="shared" si="8"/>
        <v>15.464545044295397</v>
      </c>
      <c r="AJ51" s="47">
        <f t="shared" si="3"/>
        <v>0.13647652590357948</v>
      </c>
      <c r="AK51" s="2">
        <f t="shared" ref="AK51:AK52" si="46">(MIN(B51:AG51)-AH51)/AI51</f>
        <v>-2.9679428867361457</v>
      </c>
      <c r="AL51" s="2">
        <f t="shared" ref="AL51:AL52" si="47">(MAX(B51:AG51)-AH51)/AI51</f>
        <v>2.1910900259212625</v>
      </c>
      <c r="AM51" s="2">
        <f t="shared" si="9"/>
        <v>-0.77685286081488325</v>
      </c>
    </row>
    <row r="52" spans="1:39" s="43" customFormat="1">
      <c r="A52" s="2" t="str">
        <f t="shared" si="10"/>
        <v>B</v>
      </c>
      <c r="B52" s="43">
        <v>209.66720581054687</v>
      </c>
      <c r="C52" s="43">
        <v>187.76791381835937</v>
      </c>
      <c r="D52" s="43">
        <v>175.87411499023437</v>
      </c>
      <c r="E52" s="43">
        <v>179.615478515625</v>
      </c>
      <c r="F52" s="43">
        <v>195.56787109375</v>
      </c>
      <c r="G52" s="43">
        <v>169.32798767089844</v>
      </c>
      <c r="H52" s="43">
        <v>179.07164001464844</v>
      </c>
      <c r="I52" s="43">
        <v>187.07301330566406</v>
      </c>
      <c r="J52" s="43">
        <v>185.33576965332031</v>
      </c>
      <c r="K52" s="43">
        <v>171.26161193847656</v>
      </c>
      <c r="L52" s="43">
        <v>183.22590637207031</v>
      </c>
      <c r="M52" s="43">
        <v>172.16799926757813</v>
      </c>
      <c r="N52" s="43">
        <v>189.24833679199219</v>
      </c>
      <c r="O52" s="43">
        <v>216.1226806640625</v>
      </c>
      <c r="P52" s="43">
        <v>191.06111145019531</v>
      </c>
      <c r="Q52" s="43">
        <v>202.85923767089844</v>
      </c>
      <c r="R52" s="43">
        <v>175.56695556640625</v>
      </c>
      <c r="S52" s="43">
        <v>129.89013671875</v>
      </c>
      <c r="T52" s="43">
        <v>117.23094177246094</v>
      </c>
      <c r="U52" s="43">
        <v>190.67842102050781</v>
      </c>
      <c r="V52" s="43">
        <v>201.12702941894531</v>
      </c>
      <c r="W52" s="43">
        <v>202.24490356445312</v>
      </c>
      <c r="X52" s="43">
        <v>129.8095703125</v>
      </c>
      <c r="Z52" s="43">
        <v>173.9102783203125</v>
      </c>
      <c r="AA52" s="43">
        <v>183.30143737792969</v>
      </c>
      <c r="AB52" s="43">
        <v>181.14122009277344</v>
      </c>
      <c r="AC52" s="43">
        <v>167.98855590820312</v>
      </c>
      <c r="AD52" s="43">
        <v>201.04646301269531</v>
      </c>
      <c r="AE52" s="43">
        <v>190.96543884277344</v>
      </c>
      <c r="AF52" s="43">
        <v>169.64523315429687</v>
      </c>
      <c r="AG52" s="43">
        <v>184.94300842285156</v>
      </c>
      <c r="AH52" s="43">
        <f t="shared" si="7"/>
        <v>180.47540233981223</v>
      </c>
      <c r="AI52" s="43">
        <f t="shared" si="8"/>
        <v>21.987077708317788</v>
      </c>
      <c r="AJ52" s="47">
        <f t="shared" si="3"/>
        <v>0.12182866708294639</v>
      </c>
      <c r="AK52" s="2">
        <f t="shared" si="46"/>
        <v>-2.8764377606863918</v>
      </c>
      <c r="AL52" s="2">
        <f t="shared" si="47"/>
        <v>1.6212831371749223</v>
      </c>
      <c r="AM52" s="2">
        <f t="shared" si="9"/>
        <v>-1.2551546235114694</v>
      </c>
    </row>
    <row r="53" spans="1:39" s="43" customFormat="1">
      <c r="A53" s="2" t="str">
        <f t="shared" si="10"/>
        <v>Ev</v>
      </c>
      <c r="B53" s="43">
        <v>147.80000000000001</v>
      </c>
      <c r="C53" s="43">
        <v>147.80000000000001</v>
      </c>
      <c r="D53" s="43">
        <v>147.80000000000001</v>
      </c>
      <c r="E53" s="43">
        <v>147.80000000000001</v>
      </c>
      <c r="F53" s="43">
        <v>147.80000000000001</v>
      </c>
      <c r="G53" s="43">
        <v>147.80000000000001</v>
      </c>
      <c r="H53" s="43">
        <v>147.80000000000001</v>
      </c>
      <c r="I53" s="43">
        <v>147.80000000000001</v>
      </c>
      <c r="J53" s="43">
        <v>147.80000000000001</v>
      </c>
      <c r="K53" s="43">
        <v>147.80000000000001</v>
      </c>
      <c r="L53" s="43">
        <v>147.80000000000001</v>
      </c>
      <c r="M53" s="43">
        <v>147.80000000000001</v>
      </c>
      <c r="N53" s="43">
        <v>147.80000000000001</v>
      </c>
      <c r="O53" s="43">
        <v>147.80000000000001</v>
      </c>
      <c r="P53" s="43">
        <v>147.80000000000001</v>
      </c>
      <c r="Q53" s="43">
        <v>147.80000000000001</v>
      </c>
      <c r="R53" s="43">
        <v>147.80000000000001</v>
      </c>
      <c r="S53" s="43">
        <v>147.80000000000001</v>
      </c>
      <c r="T53" s="43">
        <v>147.80000000000001</v>
      </c>
      <c r="U53" s="43">
        <v>147.80000000000001</v>
      </c>
      <c r="V53" s="43">
        <v>147.80000000000001</v>
      </c>
      <c r="W53" s="43">
        <v>147.80000000000001</v>
      </c>
      <c r="X53" s="43">
        <v>147.80000000000001</v>
      </c>
      <c r="Z53" s="43">
        <v>147.80000000000001</v>
      </c>
      <c r="AA53" s="43">
        <v>147.80000000000001</v>
      </c>
      <c r="AB53" s="43">
        <v>147.80000000000001</v>
      </c>
      <c r="AC53" s="43">
        <v>147.80000000000001</v>
      </c>
      <c r="AD53" s="43">
        <v>147.80000000000001</v>
      </c>
      <c r="AE53" s="43">
        <v>147.80000000000001</v>
      </c>
      <c r="AF53" s="43">
        <v>147.80000000000001</v>
      </c>
      <c r="AG53" s="43">
        <v>147.80000000000001</v>
      </c>
      <c r="AH53" s="43">
        <f t="shared" si="7"/>
        <v>147.8000000000001</v>
      </c>
      <c r="AI53" s="43">
        <f t="shared" si="8"/>
        <v>8.6674564738455656E-14</v>
      </c>
      <c r="AJ53" s="47">
        <f t="shared" si="3"/>
        <v>5.8643142583528821E-16</v>
      </c>
    </row>
    <row r="54" spans="1:39" s="44" customFormat="1">
      <c r="A54" s="2" t="str">
        <f t="shared" si="10"/>
        <v>x</v>
      </c>
      <c r="B54" s="44">
        <v>0.36599999999999999</v>
      </c>
      <c r="C54" s="44">
        <v>0.36599999999999999</v>
      </c>
      <c r="D54" s="44">
        <v>0.36599999999999999</v>
      </c>
      <c r="E54" s="44">
        <v>0.36599999999999999</v>
      </c>
      <c r="F54" s="44">
        <v>0.36599999999999999</v>
      </c>
      <c r="G54" s="44">
        <v>0.36599999999999999</v>
      </c>
      <c r="H54" s="44">
        <v>0.36599999999999999</v>
      </c>
      <c r="I54" s="44">
        <v>0.36599999999999999</v>
      </c>
      <c r="J54" s="44">
        <v>0.36599999999999999</v>
      </c>
      <c r="K54" s="44">
        <v>0.36599999999999999</v>
      </c>
      <c r="L54" s="44">
        <v>0.36599999999999999</v>
      </c>
      <c r="M54" s="44">
        <v>0.36599999999999999</v>
      </c>
      <c r="N54" s="44">
        <v>0.36599999999999999</v>
      </c>
      <c r="O54" s="44">
        <v>0.36599999999999999</v>
      </c>
      <c r="P54" s="44">
        <v>0.36599999999999999</v>
      </c>
      <c r="Q54" s="44">
        <v>0.36599999999999999</v>
      </c>
      <c r="R54" s="44">
        <v>0.36599999999999999</v>
      </c>
      <c r="S54" s="44">
        <v>0.36599999999999999</v>
      </c>
      <c r="T54" s="44">
        <v>0.36599999999999999</v>
      </c>
      <c r="U54" s="44">
        <v>0.36599999999999999</v>
      </c>
      <c r="V54" s="44">
        <v>0.36599999999999999</v>
      </c>
      <c r="W54" s="44">
        <v>0.36599999999999999</v>
      </c>
      <c r="X54" s="44">
        <v>0.36599999999999999</v>
      </c>
      <c r="Z54" s="44">
        <v>0.36599999999999999</v>
      </c>
      <c r="AA54" s="44">
        <v>0.36599999999999999</v>
      </c>
      <c r="AB54" s="44">
        <v>0.36599999999999999</v>
      </c>
      <c r="AC54" s="44">
        <v>0.36599999999999999</v>
      </c>
      <c r="AD54" s="44">
        <v>0.36599999999999999</v>
      </c>
      <c r="AE54" s="44">
        <v>0.36599999999999999</v>
      </c>
      <c r="AF54" s="44">
        <v>0.36599999999999999</v>
      </c>
      <c r="AG54" s="44">
        <v>0.36599999999999999</v>
      </c>
      <c r="AH54" s="44">
        <f t="shared" si="7"/>
        <v>0.36599999999999983</v>
      </c>
      <c r="AI54" s="44">
        <f t="shared" ref="AI54:AI55" si="48">STDEV(B54:AH54)</f>
        <v>1.6653345369377348E-16</v>
      </c>
      <c r="AJ54" s="47">
        <f t="shared" si="3"/>
        <v>4.5500943632178573E-16</v>
      </c>
    </row>
    <row r="55" spans="1:39" s="44" customFormat="1">
      <c r="A55" s="2" t="str">
        <f t="shared" si="10"/>
        <v>y</v>
      </c>
      <c r="B55" s="44">
        <v>0.22939999999999999</v>
      </c>
      <c r="C55" s="44">
        <v>0.22939999999999999</v>
      </c>
      <c r="D55" s="44">
        <v>0.22939999999999999</v>
      </c>
      <c r="E55" s="44">
        <v>0.22939999999999999</v>
      </c>
      <c r="F55" s="44">
        <v>0.22939999999999999</v>
      </c>
      <c r="G55" s="44">
        <v>0.22939999999999999</v>
      </c>
      <c r="H55" s="44">
        <v>0.22939999999999999</v>
      </c>
      <c r="I55" s="44">
        <v>0.22939999999999999</v>
      </c>
      <c r="J55" s="44">
        <v>0.22939999999999999</v>
      </c>
      <c r="K55" s="44">
        <v>0.22939999999999999</v>
      </c>
      <c r="L55" s="44">
        <v>0.22939999999999999</v>
      </c>
      <c r="M55" s="44">
        <v>0.22939999999999999</v>
      </c>
      <c r="N55" s="44">
        <v>0.22939999999999999</v>
      </c>
      <c r="O55" s="44">
        <v>0.22939999999999999</v>
      </c>
      <c r="P55" s="44">
        <v>0.22939999999999999</v>
      </c>
      <c r="Q55" s="44">
        <v>0.22939999999999999</v>
      </c>
      <c r="R55" s="44">
        <v>0.22939999999999999</v>
      </c>
      <c r="S55" s="44">
        <v>0.22939999999999999</v>
      </c>
      <c r="T55" s="44">
        <v>0.22939999999999999</v>
      </c>
      <c r="U55" s="44">
        <v>0.22939999999999999</v>
      </c>
      <c r="V55" s="44">
        <v>0.22939999999999999</v>
      </c>
      <c r="W55" s="44">
        <v>0.22939999999999999</v>
      </c>
      <c r="X55" s="44">
        <v>0.22939999999999999</v>
      </c>
      <c r="Z55" s="44">
        <v>0.22939999999999999</v>
      </c>
      <c r="AA55" s="44">
        <v>0.22939999999999999</v>
      </c>
      <c r="AB55" s="44">
        <v>0.22939999999999999</v>
      </c>
      <c r="AC55" s="44">
        <v>0.22939999999999999</v>
      </c>
      <c r="AD55" s="44">
        <v>0.22939999999999999</v>
      </c>
      <c r="AE55" s="44">
        <v>0.22939999999999999</v>
      </c>
      <c r="AF55" s="44">
        <v>0.22939999999999999</v>
      </c>
      <c r="AG55" s="44">
        <v>0.22939999999999999</v>
      </c>
      <c r="AH55" s="44">
        <f t="shared" si="7"/>
        <v>0.22940000000000002</v>
      </c>
      <c r="AI55" s="44">
        <f t="shared" si="48"/>
        <v>2.7755575615628914E-17</v>
      </c>
      <c r="AJ55" s="47">
        <f t="shared" si="3"/>
        <v>1.2099204714746691E-16</v>
      </c>
    </row>
    <row r="56" spans="1:39" s="44" customFormat="1">
      <c r="A56" s="229"/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29"/>
      <c r="AL56" s="229"/>
      <c r="AM56" s="229"/>
    </row>
    <row r="57" spans="1:39" s="44" customFormat="1">
      <c r="A57" s="229"/>
      <c r="B57" s="229"/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29"/>
      <c r="AL57" s="229"/>
      <c r="AM57" s="229"/>
    </row>
    <row r="58" spans="1:39" s="44" customFormat="1">
      <c r="A58" s="229"/>
      <c r="B58" s="229"/>
      <c r="C58" s="229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29"/>
      <c r="AL58" s="229"/>
      <c r="AM58" s="229"/>
    </row>
    <row r="59" spans="1:39" s="44" customFormat="1">
      <c r="A59" s="2"/>
      <c r="B59" s="86">
        <f>B1</f>
        <v>0</v>
      </c>
      <c r="C59" s="86">
        <f t="shared" ref="C59:AM59" si="49">C1</f>
        <v>1</v>
      </c>
      <c r="D59" s="86">
        <f t="shared" si="49"/>
        <v>2</v>
      </c>
      <c r="E59" s="86">
        <f t="shared" si="49"/>
        <v>3</v>
      </c>
      <c r="F59" s="86">
        <f t="shared" si="49"/>
        <v>4</v>
      </c>
      <c r="G59" s="86">
        <f t="shared" si="49"/>
        <v>5</v>
      </c>
      <c r="H59" s="86">
        <f t="shared" si="49"/>
        <v>6</v>
      </c>
      <c r="I59" s="86">
        <f t="shared" si="49"/>
        <v>7</v>
      </c>
      <c r="J59" s="86">
        <f t="shared" si="49"/>
        <v>8</v>
      </c>
      <c r="K59" s="86">
        <f t="shared" si="49"/>
        <v>9</v>
      </c>
      <c r="L59" s="86">
        <f t="shared" si="49"/>
        <v>10</v>
      </c>
      <c r="M59" s="86">
        <f t="shared" si="49"/>
        <v>11</v>
      </c>
      <c r="N59" s="86">
        <f t="shared" si="49"/>
        <v>12</v>
      </c>
      <c r="O59" s="86">
        <f t="shared" si="49"/>
        <v>13</v>
      </c>
      <c r="P59" s="86">
        <f t="shared" si="49"/>
        <v>14</v>
      </c>
      <c r="Q59" s="86">
        <f t="shared" si="49"/>
        <v>15</v>
      </c>
      <c r="R59" s="86">
        <f t="shared" si="49"/>
        <v>16</v>
      </c>
      <c r="S59" s="86">
        <f t="shared" si="49"/>
        <v>17</v>
      </c>
      <c r="T59" s="86">
        <f t="shared" si="49"/>
        <v>18</v>
      </c>
      <c r="U59" s="86">
        <f t="shared" si="49"/>
        <v>19</v>
      </c>
      <c r="V59" s="86">
        <f t="shared" si="49"/>
        <v>20</v>
      </c>
      <c r="W59" s="86">
        <f t="shared" si="49"/>
        <v>21</v>
      </c>
      <c r="X59" s="86">
        <f t="shared" si="49"/>
        <v>22</v>
      </c>
      <c r="Y59" s="86">
        <f t="shared" si="49"/>
        <v>23</v>
      </c>
      <c r="Z59" s="86">
        <f t="shared" si="49"/>
        <v>24</v>
      </c>
      <c r="AA59" s="86">
        <f t="shared" si="49"/>
        <v>25</v>
      </c>
      <c r="AB59" s="86">
        <f t="shared" si="49"/>
        <v>26</v>
      </c>
      <c r="AC59" s="86">
        <f t="shared" si="49"/>
        <v>27</v>
      </c>
      <c r="AD59" s="86">
        <f t="shared" si="49"/>
        <v>28</v>
      </c>
      <c r="AE59" s="86">
        <f t="shared" si="49"/>
        <v>29</v>
      </c>
      <c r="AF59" s="86">
        <f t="shared" si="49"/>
        <v>30</v>
      </c>
      <c r="AG59" s="86">
        <f t="shared" si="49"/>
        <v>31</v>
      </c>
      <c r="AH59" s="86" t="str">
        <f t="shared" si="49"/>
        <v>Mean</v>
      </c>
      <c r="AI59" s="86" t="str">
        <f t="shared" si="49"/>
        <v>stdDev</v>
      </c>
      <c r="AJ59" s="86" t="str">
        <f t="shared" si="49"/>
        <v>%/val</v>
      </c>
      <c r="AK59" s="86" t="str">
        <f t="shared" si="49"/>
        <v>minσ</v>
      </c>
      <c r="AL59" s="86" t="str">
        <f t="shared" si="49"/>
        <v>maxσ</v>
      </c>
      <c r="AM59" s="86" t="str">
        <f t="shared" si="49"/>
        <v>balance</v>
      </c>
    </row>
    <row r="60" spans="1:39" s="44" customFormat="1">
      <c r="A60" s="229"/>
      <c r="B60" s="2" t="str">
        <f t="shared" ref="B60:AG60" si="50">IF(B$93,B2,"")</f>
        <v/>
      </c>
      <c r="C60" s="2">
        <f t="shared" si="50"/>
        <v>48.340579986572266</v>
      </c>
      <c r="D60" s="2">
        <f t="shared" si="50"/>
        <v>48.823986053466797</v>
      </c>
      <c r="E60" s="2">
        <f t="shared" si="50"/>
        <v>52.796977996826172</v>
      </c>
      <c r="F60" s="2">
        <f t="shared" si="50"/>
        <v>51.658962249755859</v>
      </c>
      <c r="G60" s="2">
        <f t="shared" si="50"/>
        <v>48.672924041748047</v>
      </c>
      <c r="H60" s="2">
        <f t="shared" si="50"/>
        <v>50.153354644775391</v>
      </c>
      <c r="I60" s="2">
        <f t="shared" si="50"/>
        <v>50.233921051025391</v>
      </c>
      <c r="J60" s="2">
        <f t="shared" si="50"/>
        <v>48.813915252685547</v>
      </c>
      <c r="K60" s="2" t="str">
        <f t="shared" si="50"/>
        <v/>
      </c>
      <c r="L60" s="2">
        <f t="shared" si="50"/>
        <v>49.463493347167969</v>
      </c>
      <c r="M60" s="2">
        <f t="shared" si="50"/>
        <v>51.669033050537109</v>
      </c>
      <c r="N60" s="2">
        <f t="shared" si="50"/>
        <v>50.576332092285156</v>
      </c>
      <c r="O60" s="2">
        <f t="shared" si="50"/>
        <v>57.379264831542969</v>
      </c>
      <c r="P60" s="2">
        <f t="shared" si="50"/>
        <v>51.195697784423828</v>
      </c>
      <c r="Q60" s="2">
        <f t="shared" si="50"/>
        <v>53.461662292480469</v>
      </c>
      <c r="R60" s="2">
        <f t="shared" si="50"/>
        <v>50.943923950195313</v>
      </c>
      <c r="S60" s="2" t="str">
        <f t="shared" si="50"/>
        <v/>
      </c>
      <c r="T60" s="2" t="str">
        <f t="shared" si="50"/>
        <v/>
      </c>
      <c r="U60" s="2" t="str">
        <f t="shared" si="50"/>
        <v/>
      </c>
      <c r="V60" s="2">
        <f t="shared" si="50"/>
        <v>54.710460662841797</v>
      </c>
      <c r="W60" s="2">
        <f t="shared" si="50"/>
        <v>53.512016296386719</v>
      </c>
      <c r="X60" s="2" t="str">
        <f t="shared" si="50"/>
        <v/>
      </c>
      <c r="Y60" s="2" t="str">
        <f t="shared" si="50"/>
        <v/>
      </c>
      <c r="Z60" s="2">
        <f t="shared" si="50"/>
        <v>49.231861114501953</v>
      </c>
      <c r="AA60" s="2" t="str">
        <f t="shared" si="50"/>
        <v/>
      </c>
      <c r="AB60" s="2" t="str">
        <f t="shared" si="50"/>
        <v/>
      </c>
      <c r="AC60" s="2">
        <f t="shared" si="50"/>
        <v>46.0494384765625</v>
      </c>
      <c r="AD60" s="2">
        <f t="shared" si="50"/>
        <v>51.361865997314453</v>
      </c>
      <c r="AE60" s="2">
        <f t="shared" si="50"/>
        <v>46.331424713134766</v>
      </c>
      <c r="AF60" s="2">
        <f t="shared" si="50"/>
        <v>50.329593658447266</v>
      </c>
      <c r="AG60" s="2">
        <f t="shared" si="50"/>
        <v>48.602424621582031</v>
      </c>
      <c r="AH60" s="2">
        <f t="shared" ref="AH60:AH62" si="51">AVERAGE(B60:AG60)</f>
        <v>50.622309311576508</v>
      </c>
      <c r="AI60" s="2">
        <f t="shared" ref="AI60:AI62" si="52">STDEV(B60:AG60)</f>
        <v>2.6051396752879583</v>
      </c>
      <c r="AJ60" s="3">
        <f t="shared" ref="AJ60:AJ62" si="53">AI60/AH60</f>
        <v>5.1462284331074658E-2</v>
      </c>
      <c r="AK60" s="2">
        <f t="shared" ref="AK60:AK62" si="54">(MIN(B60:AG60)-AH60)/AI60</f>
        <v>-1.7553265486652063</v>
      </c>
      <c r="AL60" s="2">
        <f t="shared" ref="AL60:AL62" si="55">(MAX(B60:AG60)-AH60)/AI60</f>
        <v>2.5937018210816594</v>
      </c>
      <c r="AM60" s="2">
        <f t="shared" ref="AM60:AM62" si="56">AK60+AL60</f>
        <v>0.83837527241645304</v>
      </c>
    </row>
    <row r="61" spans="1:39" s="44" customFormat="1">
      <c r="A61" s="229"/>
      <c r="B61" s="2" t="str">
        <f t="shared" ref="B61:AG61" si="57">IF(B$93,B3,"")</f>
        <v/>
      </c>
      <c r="C61" s="2">
        <f t="shared" si="57"/>
        <v>152.06134033203125</v>
      </c>
      <c r="D61" s="2">
        <f t="shared" si="57"/>
        <v>133.48545837402344</v>
      </c>
      <c r="E61" s="2">
        <f t="shared" si="57"/>
        <v>143.02265930175781</v>
      </c>
      <c r="F61" s="2">
        <f t="shared" si="57"/>
        <v>132.75532531738281</v>
      </c>
      <c r="G61" s="2">
        <f t="shared" si="57"/>
        <v>139.593505859375</v>
      </c>
      <c r="H61" s="2">
        <f t="shared" si="57"/>
        <v>134.76448059082031</v>
      </c>
      <c r="I61" s="2">
        <f t="shared" si="57"/>
        <v>148.18905639648437</v>
      </c>
      <c r="J61" s="2">
        <f t="shared" si="57"/>
        <v>130.413818359375</v>
      </c>
      <c r="K61" s="2" t="str">
        <f t="shared" si="57"/>
        <v/>
      </c>
      <c r="L61" s="2">
        <f t="shared" si="57"/>
        <v>133.88327026367188</v>
      </c>
      <c r="M61" s="2">
        <f t="shared" si="57"/>
        <v>137.15632629394531</v>
      </c>
      <c r="N61" s="2">
        <f t="shared" si="57"/>
        <v>142.21697998046875</v>
      </c>
      <c r="O61" s="2">
        <f t="shared" si="57"/>
        <v>147.00068664550781</v>
      </c>
      <c r="P61" s="2">
        <f t="shared" si="57"/>
        <v>140.94804382324219</v>
      </c>
      <c r="Q61" s="2">
        <f t="shared" si="57"/>
        <v>138.13824462890625</v>
      </c>
      <c r="R61" s="2">
        <f t="shared" si="57"/>
        <v>137.53399658203125</v>
      </c>
      <c r="S61" s="2" t="str">
        <f t="shared" si="57"/>
        <v/>
      </c>
      <c r="T61" s="2" t="str">
        <f t="shared" si="57"/>
        <v/>
      </c>
      <c r="U61" s="2" t="str">
        <f t="shared" si="57"/>
        <v/>
      </c>
      <c r="V61" s="2">
        <f t="shared" si="57"/>
        <v>150.48019409179687</v>
      </c>
      <c r="W61" s="2">
        <f t="shared" si="57"/>
        <v>138.17349243164062</v>
      </c>
      <c r="X61" s="2" t="str">
        <f t="shared" si="57"/>
        <v/>
      </c>
      <c r="Y61" s="2" t="str">
        <f t="shared" si="57"/>
        <v/>
      </c>
      <c r="Z61" s="2">
        <f t="shared" si="57"/>
        <v>138.59144592285156</v>
      </c>
      <c r="AA61" s="2" t="str">
        <f t="shared" si="57"/>
        <v/>
      </c>
      <c r="AB61" s="2" t="str">
        <f t="shared" si="57"/>
        <v/>
      </c>
      <c r="AC61" s="2">
        <f t="shared" si="57"/>
        <v>129.94049072265625</v>
      </c>
      <c r="AD61" s="2">
        <f t="shared" si="57"/>
        <v>138.3497314453125</v>
      </c>
      <c r="AE61" s="2">
        <f t="shared" si="57"/>
        <v>132.50859069824219</v>
      </c>
      <c r="AF61" s="2">
        <f t="shared" si="57"/>
        <v>133.84298706054687</v>
      </c>
      <c r="AG61" s="2">
        <f t="shared" si="57"/>
        <v>149.41770935058594</v>
      </c>
      <c r="AH61" s="2">
        <f t="shared" si="51"/>
        <v>139.23773193359375</v>
      </c>
      <c r="AI61" s="2">
        <f t="shared" si="52"/>
        <v>6.5170083571967092</v>
      </c>
      <c r="AJ61" s="3">
        <f t="shared" si="53"/>
        <v>4.6804901708000009E-2</v>
      </c>
      <c r="AK61" s="2">
        <f t="shared" si="54"/>
        <v>-1.426611828826426</v>
      </c>
      <c r="AL61" s="2">
        <f t="shared" si="55"/>
        <v>1.9677139717453997</v>
      </c>
      <c r="AM61" s="2">
        <f t="shared" si="56"/>
        <v>0.54110214291897374</v>
      </c>
    </row>
    <row r="62" spans="1:39" s="44" customFormat="1">
      <c r="A62" s="229"/>
      <c r="B62" s="2" t="str">
        <f t="shared" ref="B62:AG62" si="58">IF(B$93,B4,"")</f>
        <v/>
      </c>
      <c r="C62" s="2">
        <f t="shared" si="58"/>
        <v>132.443115234375</v>
      </c>
      <c r="D62" s="2">
        <f t="shared" si="58"/>
        <v>123.25337982177734</v>
      </c>
      <c r="E62" s="2">
        <f t="shared" si="58"/>
        <v>126.66239166259766</v>
      </c>
      <c r="F62" s="2">
        <f t="shared" si="58"/>
        <v>127.22636413574219</v>
      </c>
      <c r="G62" s="2">
        <f t="shared" si="58"/>
        <v>120.35797882080078</v>
      </c>
      <c r="H62" s="2">
        <f t="shared" si="58"/>
        <v>124.57770538330078</v>
      </c>
      <c r="I62" s="2">
        <f t="shared" si="58"/>
        <v>121.31472015380859</v>
      </c>
      <c r="J62" s="2">
        <f t="shared" si="58"/>
        <v>119.864501953125</v>
      </c>
      <c r="K62" s="2" t="str">
        <f t="shared" si="58"/>
        <v/>
      </c>
      <c r="L62" s="2">
        <f t="shared" si="58"/>
        <v>122.01968383789063</v>
      </c>
      <c r="M62" s="2">
        <f t="shared" si="58"/>
        <v>123.68138885498047</v>
      </c>
      <c r="N62" s="2">
        <f t="shared" si="58"/>
        <v>123.12748718261719</v>
      </c>
      <c r="O62" s="2">
        <f t="shared" si="58"/>
        <v>138.80796813964844</v>
      </c>
      <c r="P62" s="2">
        <f t="shared" si="58"/>
        <v>130.57496643066406</v>
      </c>
      <c r="Q62" s="2">
        <f t="shared" si="58"/>
        <v>126.16891479492187</v>
      </c>
      <c r="R62" s="2">
        <f t="shared" si="58"/>
        <v>125.30785369873047</v>
      </c>
      <c r="S62" s="2" t="str">
        <f t="shared" si="58"/>
        <v/>
      </c>
      <c r="T62" s="2" t="str">
        <f t="shared" si="58"/>
        <v/>
      </c>
      <c r="U62" s="2" t="str">
        <f t="shared" si="58"/>
        <v/>
      </c>
      <c r="V62" s="2">
        <f t="shared" si="58"/>
        <v>141.00846862792969</v>
      </c>
      <c r="W62" s="2">
        <f t="shared" si="58"/>
        <v>129.90524291992187</v>
      </c>
      <c r="X62" s="2" t="str">
        <f t="shared" si="58"/>
        <v/>
      </c>
      <c r="Y62" s="2" t="str">
        <f t="shared" si="58"/>
        <v/>
      </c>
      <c r="Z62" s="2">
        <f t="shared" si="58"/>
        <v>124.43671417236328</v>
      </c>
      <c r="AA62" s="2" t="str">
        <f t="shared" si="58"/>
        <v/>
      </c>
      <c r="AB62" s="2" t="str">
        <f t="shared" si="58"/>
        <v/>
      </c>
      <c r="AC62" s="2">
        <f t="shared" si="58"/>
        <v>109.7784423828125</v>
      </c>
      <c r="AD62" s="2">
        <f t="shared" si="58"/>
        <v>122.28153228759766</v>
      </c>
      <c r="AE62" s="2">
        <f t="shared" si="58"/>
        <v>121.77294921875</v>
      </c>
      <c r="AF62" s="2">
        <f t="shared" si="58"/>
        <v>110.89631652832031</v>
      </c>
      <c r="AG62" s="2">
        <f t="shared" si="58"/>
        <v>120.51407623291016</v>
      </c>
      <c r="AH62" s="2">
        <f t="shared" si="51"/>
        <v>124.60792010763417</v>
      </c>
      <c r="AI62" s="2">
        <f t="shared" si="52"/>
        <v>7.1057982046432109</v>
      </c>
      <c r="AJ62" s="3">
        <f t="shared" si="53"/>
        <v>5.702525327848619E-2</v>
      </c>
      <c r="AK62" s="2">
        <f t="shared" si="54"/>
        <v>-2.086954526112422</v>
      </c>
      <c r="AL62" s="2">
        <f t="shared" si="55"/>
        <v>2.3080515443822689</v>
      </c>
      <c r="AM62" s="2">
        <f t="shared" si="56"/>
        <v>0.22109701826984685</v>
      </c>
    </row>
    <row r="63" spans="1:39" s="44" customFormat="1">
      <c r="A63" s="229"/>
      <c r="B63" s="2" t="str">
        <f t="shared" ref="B63:AG63" si="59">IF(B$93,B8,"")</f>
        <v/>
      </c>
      <c r="C63" s="2">
        <f t="shared" si="59"/>
        <v>108.24261474609375</v>
      </c>
      <c r="D63" s="2">
        <f t="shared" si="59"/>
        <v>105.23139953613281</v>
      </c>
      <c r="E63" s="2">
        <f t="shared" si="59"/>
        <v>112.36667633056641</v>
      </c>
      <c r="F63" s="2">
        <f t="shared" si="59"/>
        <v>106.58090972900391</v>
      </c>
      <c r="G63" s="2">
        <f t="shared" si="59"/>
        <v>103.67040252685547</v>
      </c>
      <c r="H63" s="2">
        <f t="shared" si="59"/>
        <v>105.79034423828125</v>
      </c>
      <c r="I63" s="2">
        <f t="shared" si="59"/>
        <v>106.84275817871094</v>
      </c>
      <c r="J63" s="2">
        <f t="shared" si="59"/>
        <v>103.96246337890625</v>
      </c>
      <c r="K63" s="2" t="str">
        <f t="shared" si="59"/>
        <v/>
      </c>
      <c r="L63" s="2">
        <f t="shared" si="59"/>
        <v>105.19111633300781</v>
      </c>
      <c r="M63" s="2">
        <f t="shared" si="59"/>
        <v>113.18241882324219</v>
      </c>
      <c r="N63" s="2">
        <f t="shared" si="59"/>
        <v>108.67063140869141</v>
      </c>
      <c r="O63" s="2">
        <f t="shared" si="59"/>
        <v>120.59464263916016</v>
      </c>
      <c r="P63" s="2">
        <f t="shared" si="59"/>
        <v>111.17829895019531</v>
      </c>
      <c r="Q63" s="2">
        <f t="shared" si="59"/>
        <v>112.75944519042969</v>
      </c>
      <c r="R63" s="2">
        <f t="shared" si="59"/>
        <v>111.52574920654297</v>
      </c>
      <c r="S63" s="2" t="str">
        <f t="shared" si="59"/>
        <v/>
      </c>
      <c r="T63" s="2" t="str">
        <f t="shared" si="59"/>
        <v/>
      </c>
      <c r="U63" s="2" t="str">
        <f t="shared" si="59"/>
        <v/>
      </c>
      <c r="V63" s="2">
        <f t="shared" si="59"/>
        <v>119.67818450927734</v>
      </c>
      <c r="W63" s="2">
        <f t="shared" si="59"/>
        <v>112.79469299316406</v>
      </c>
      <c r="X63" s="2" t="str">
        <f t="shared" si="59"/>
        <v/>
      </c>
      <c r="Y63" s="2" t="str">
        <f t="shared" si="59"/>
        <v/>
      </c>
      <c r="Z63" s="2">
        <f t="shared" si="59"/>
        <v>109.43602752685547</v>
      </c>
      <c r="AA63" s="2" t="str">
        <f t="shared" si="59"/>
        <v/>
      </c>
      <c r="AB63" s="2" t="str">
        <f t="shared" si="59"/>
        <v/>
      </c>
      <c r="AC63" s="2">
        <f t="shared" si="59"/>
        <v>98.504005432128906</v>
      </c>
      <c r="AD63" s="2">
        <f t="shared" si="59"/>
        <v>108.76127624511719</v>
      </c>
      <c r="AE63" s="2">
        <f t="shared" si="59"/>
        <v>100.49805450439453</v>
      </c>
      <c r="AF63" s="2">
        <f t="shared" si="59"/>
        <v>103.8516845703125</v>
      </c>
      <c r="AG63" s="2">
        <f t="shared" si="59"/>
        <v>105.24650573730469</v>
      </c>
      <c r="AH63" s="2">
        <f t="shared" ref="AH63:AH65" si="60">AVERAGE(B63:AG63)</f>
        <v>108.45914359714673</v>
      </c>
      <c r="AI63" s="2">
        <f t="shared" ref="AI63:AI65" si="61">STDEV(B63:AG63)</f>
        <v>5.3829989598226833</v>
      </c>
      <c r="AJ63" s="3">
        <f t="shared" ref="AJ63:AJ65" si="62">AI63/AH63</f>
        <v>4.9631582744345912E-2</v>
      </c>
      <c r="AK63" s="2">
        <f t="shared" ref="AK63:AK65" si="63">(MIN(B63:AG63)-AH63)/AI63</f>
        <v>-1.8493665407183641</v>
      </c>
      <c r="AL63" s="2">
        <f t="shared" ref="AL63:AL65" si="64">(MAX(B63:AG63)-AH63)/AI63</f>
        <v>2.2544122955604595</v>
      </c>
      <c r="AM63" s="2">
        <f t="shared" ref="AM63:AM65" si="65">AK63+AL63</f>
        <v>0.40504575484209537</v>
      </c>
    </row>
    <row r="64" spans="1:39" s="44" customFormat="1">
      <c r="A64" s="229"/>
      <c r="B64" s="2" t="str">
        <f t="shared" ref="B64:AG64" si="66">IF(B$93,B9,"")</f>
        <v/>
      </c>
      <c r="C64" s="2">
        <f t="shared" si="66"/>
        <v>147.88693237304688</v>
      </c>
      <c r="D64" s="2">
        <f t="shared" si="66"/>
        <v>128.93843078613281</v>
      </c>
      <c r="E64" s="2">
        <f t="shared" si="66"/>
        <v>140.40924072265625</v>
      </c>
      <c r="F64" s="2">
        <f t="shared" si="66"/>
        <v>132.11077880859375</v>
      </c>
      <c r="G64" s="2">
        <f t="shared" si="66"/>
        <v>133.85305786132812</v>
      </c>
      <c r="H64" s="2">
        <f t="shared" si="66"/>
        <v>133.34950256347656</v>
      </c>
      <c r="I64" s="2">
        <f t="shared" si="66"/>
        <v>144.22109985351562</v>
      </c>
      <c r="J64" s="2">
        <f t="shared" si="66"/>
        <v>127.18104553222656</v>
      </c>
      <c r="K64" s="2" t="str">
        <f t="shared" si="66"/>
        <v/>
      </c>
      <c r="L64" s="2">
        <f t="shared" si="66"/>
        <v>127.88601684570312</v>
      </c>
      <c r="M64" s="2">
        <f t="shared" si="66"/>
        <v>133.99908447265625</v>
      </c>
      <c r="N64" s="2">
        <f t="shared" si="66"/>
        <v>132.27191162109375</v>
      </c>
      <c r="O64" s="2">
        <f t="shared" si="66"/>
        <v>142.25222778320312</v>
      </c>
      <c r="P64" s="2">
        <f t="shared" si="66"/>
        <v>136.1593017578125</v>
      </c>
      <c r="Q64" s="2">
        <f t="shared" si="66"/>
        <v>132.93156433105469</v>
      </c>
      <c r="R64" s="2">
        <f t="shared" si="66"/>
        <v>132.59922790527344</v>
      </c>
      <c r="S64" s="2" t="str">
        <f t="shared" si="66"/>
        <v/>
      </c>
      <c r="T64" s="2" t="str">
        <f t="shared" si="66"/>
        <v/>
      </c>
      <c r="U64" s="2" t="str">
        <f t="shared" si="66"/>
        <v/>
      </c>
      <c r="V64" s="2">
        <f t="shared" si="66"/>
        <v>145.99862670898437</v>
      </c>
      <c r="W64" s="2">
        <f t="shared" si="66"/>
        <v>133.30921936035156</v>
      </c>
      <c r="X64" s="2" t="str">
        <f t="shared" si="66"/>
        <v/>
      </c>
      <c r="Y64" s="2" t="str">
        <f t="shared" si="66"/>
        <v/>
      </c>
      <c r="Z64" s="2">
        <f t="shared" si="66"/>
        <v>135.61044311523437</v>
      </c>
      <c r="AA64" s="2" t="str">
        <f t="shared" si="66"/>
        <v/>
      </c>
      <c r="AB64" s="2" t="str">
        <f t="shared" si="66"/>
        <v/>
      </c>
      <c r="AC64" s="2">
        <f t="shared" si="66"/>
        <v>120.93705749511719</v>
      </c>
      <c r="AD64" s="2">
        <f t="shared" si="66"/>
        <v>132.281982421875</v>
      </c>
      <c r="AE64" s="2">
        <f t="shared" si="66"/>
        <v>122.07003784179687</v>
      </c>
      <c r="AF64" s="2">
        <f t="shared" si="66"/>
        <v>127.05012512207031</v>
      </c>
      <c r="AG64" s="2">
        <f t="shared" si="66"/>
        <v>145.7216796875</v>
      </c>
      <c r="AH64" s="2">
        <f t="shared" si="60"/>
        <v>134.30559108568275</v>
      </c>
      <c r="AI64" s="2">
        <f t="shared" si="61"/>
        <v>7.3151920340741787</v>
      </c>
      <c r="AJ64" s="3">
        <f t="shared" si="62"/>
        <v>5.4466772194221726E-2</v>
      </c>
      <c r="AK64" s="2">
        <f t="shared" si="63"/>
        <v>-1.8275027543084181</v>
      </c>
      <c r="AL64" s="2">
        <f t="shared" si="64"/>
        <v>1.856593951888373</v>
      </c>
      <c r="AM64" s="2">
        <f t="shared" si="65"/>
        <v>2.9091197579954819E-2</v>
      </c>
    </row>
    <row r="65" spans="1:39" s="44" customFormat="1">
      <c r="A65" s="229"/>
      <c r="B65" s="2" t="str">
        <f t="shared" ref="B65:AG65" si="67">IF(B$93,B10,"")</f>
        <v/>
      </c>
      <c r="C65" s="2">
        <f t="shared" si="67"/>
        <v>119.69329071044922</v>
      </c>
      <c r="D65" s="2">
        <f t="shared" si="67"/>
        <v>113.21766662597656</v>
      </c>
      <c r="E65" s="2">
        <f t="shared" si="67"/>
        <v>115.75555419921875</v>
      </c>
      <c r="F65" s="2">
        <f t="shared" si="67"/>
        <v>115.22682189941406</v>
      </c>
      <c r="G65" s="2">
        <f t="shared" si="67"/>
        <v>108.59510040283203</v>
      </c>
      <c r="H65" s="2">
        <f t="shared" si="67"/>
        <v>112.98100280761719</v>
      </c>
      <c r="I65" s="2">
        <f t="shared" si="67"/>
        <v>114.13412475585937</v>
      </c>
      <c r="J65" s="2">
        <f t="shared" si="67"/>
        <v>110.62943267822266</v>
      </c>
      <c r="K65" s="2" t="str">
        <f t="shared" si="67"/>
        <v/>
      </c>
      <c r="L65" s="2">
        <f t="shared" si="67"/>
        <v>108.58502960205078</v>
      </c>
      <c r="M65" s="2">
        <f t="shared" si="67"/>
        <v>114.42115020751953</v>
      </c>
      <c r="N65" s="2">
        <f t="shared" si="67"/>
        <v>110.94163513183594</v>
      </c>
      <c r="O65" s="2">
        <f t="shared" si="67"/>
        <v>120.17669677734375</v>
      </c>
      <c r="P65" s="2">
        <f t="shared" si="67"/>
        <v>119.05378723144531</v>
      </c>
      <c r="Q65" s="2">
        <f t="shared" si="67"/>
        <v>115.13114929199219</v>
      </c>
      <c r="R65" s="2">
        <f t="shared" si="67"/>
        <v>114.06362915039062</v>
      </c>
      <c r="S65" s="2" t="str">
        <f t="shared" si="67"/>
        <v/>
      </c>
      <c r="T65" s="2" t="str">
        <f t="shared" si="67"/>
        <v/>
      </c>
      <c r="U65" s="2" t="str">
        <f t="shared" si="67"/>
        <v/>
      </c>
      <c r="V65" s="2">
        <f t="shared" si="67"/>
        <v>123.8626708984375</v>
      </c>
      <c r="W65" s="2">
        <f t="shared" si="67"/>
        <v>117.7747802734375</v>
      </c>
      <c r="X65" s="2" t="str">
        <f t="shared" si="67"/>
        <v/>
      </c>
      <c r="Y65" s="2" t="str">
        <f t="shared" si="67"/>
        <v/>
      </c>
      <c r="Z65" s="2">
        <f t="shared" si="67"/>
        <v>114.01327514648437</v>
      </c>
      <c r="AA65" s="2" t="str">
        <f t="shared" si="67"/>
        <v/>
      </c>
      <c r="AB65" s="2" t="str">
        <f t="shared" si="67"/>
        <v/>
      </c>
      <c r="AC65" s="2">
        <f t="shared" si="67"/>
        <v>99.415428161621094</v>
      </c>
      <c r="AD65" s="2">
        <f t="shared" si="67"/>
        <v>114.94483947753906</v>
      </c>
      <c r="AE65" s="2">
        <f t="shared" si="67"/>
        <v>110.85099792480469</v>
      </c>
      <c r="AF65" s="2">
        <f t="shared" si="67"/>
        <v>103.14671325683594</v>
      </c>
      <c r="AG65" s="2">
        <f t="shared" si="67"/>
        <v>107.970703125</v>
      </c>
      <c r="AH65" s="2">
        <f t="shared" si="60"/>
        <v>113.24284694505775</v>
      </c>
      <c r="AI65" s="2">
        <f t="shared" si="61"/>
        <v>5.4733749217454202</v>
      </c>
      <c r="AJ65" s="3">
        <f t="shared" si="62"/>
        <v>4.8333074179960772E-2</v>
      </c>
      <c r="AK65" s="2">
        <f t="shared" si="63"/>
        <v>-2.5263057950773797</v>
      </c>
      <c r="AL65" s="2">
        <f t="shared" si="64"/>
        <v>1.940269779654189</v>
      </c>
      <c r="AM65" s="2">
        <f t="shared" si="65"/>
        <v>-0.58603601542319073</v>
      </c>
    </row>
    <row r="66" spans="1:39" s="44" customFormat="1">
      <c r="A66" s="229"/>
      <c r="B66" s="2" t="str">
        <f t="shared" ref="B66:AG66" si="68">IF(B$93,B14,"")</f>
        <v/>
      </c>
      <c r="C66" s="2">
        <f t="shared" si="68"/>
        <v>169.630126953125</v>
      </c>
      <c r="D66" s="2">
        <f t="shared" si="68"/>
        <v>162.00137329101562</v>
      </c>
      <c r="E66" s="2">
        <f t="shared" si="68"/>
        <v>168.03890991210937</v>
      </c>
      <c r="F66" s="2">
        <f t="shared" si="68"/>
        <v>163.23506164550781</v>
      </c>
      <c r="G66" s="2">
        <f t="shared" si="68"/>
        <v>159.75555419921875</v>
      </c>
      <c r="H66" s="2">
        <f t="shared" si="68"/>
        <v>162.10208129882812</v>
      </c>
      <c r="I66" s="2">
        <f t="shared" si="68"/>
        <v>169.48408508300781</v>
      </c>
      <c r="J66" s="2">
        <f t="shared" si="68"/>
        <v>159.48866271972656</v>
      </c>
      <c r="K66" s="2" t="str">
        <f t="shared" si="68"/>
        <v/>
      </c>
      <c r="L66" s="2">
        <f t="shared" si="68"/>
        <v>165.16365051269531</v>
      </c>
      <c r="M66" s="2">
        <f t="shared" si="68"/>
        <v>164.85649108886719</v>
      </c>
      <c r="N66" s="2">
        <f t="shared" si="68"/>
        <v>178.34149169921875</v>
      </c>
      <c r="O66" s="2">
        <f t="shared" si="68"/>
        <v>188.44265747070313</v>
      </c>
      <c r="P66" s="2">
        <f t="shared" si="68"/>
        <v>171.98672485351562</v>
      </c>
      <c r="Q66" s="2">
        <f t="shared" si="68"/>
        <v>180.69306945800781</v>
      </c>
      <c r="R66" s="2">
        <f t="shared" si="68"/>
        <v>164.0457763671875</v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>
        <f t="shared" si="68"/>
        <v>179.39894104003906</v>
      </c>
      <c r="W66" s="2">
        <f t="shared" si="68"/>
        <v>170.06820678710937</v>
      </c>
      <c r="X66" s="2" t="str">
        <f t="shared" si="68"/>
        <v/>
      </c>
      <c r="Y66" s="2" t="str">
        <f t="shared" si="68"/>
        <v/>
      </c>
      <c r="Z66" s="2">
        <f t="shared" si="68"/>
        <v>161.7747802734375</v>
      </c>
      <c r="AA66" s="2" t="str">
        <f t="shared" si="68"/>
        <v/>
      </c>
      <c r="AB66" s="2" t="str">
        <f t="shared" si="68"/>
        <v/>
      </c>
      <c r="AC66" s="2">
        <f t="shared" si="68"/>
        <v>155.38978576660156</v>
      </c>
      <c r="AD66" s="2">
        <f t="shared" si="68"/>
        <v>172.87800598144531</v>
      </c>
      <c r="AE66" s="2">
        <f t="shared" si="68"/>
        <v>161.64385986328125</v>
      </c>
      <c r="AF66" s="2">
        <f t="shared" si="68"/>
        <v>165.75784301757812</v>
      </c>
      <c r="AG66" s="2">
        <f t="shared" si="68"/>
        <v>172.08743286132812</v>
      </c>
      <c r="AH66" s="2">
        <f t="shared" ref="AH66:AH68" si="69">AVERAGE(B66:AG66)</f>
        <v>168.09845965841541</v>
      </c>
      <c r="AI66" s="2">
        <f t="shared" ref="AI66:AI68" si="70">STDEV(B66:AG66)</f>
        <v>7.9540122799393895</v>
      </c>
      <c r="AJ66" s="3">
        <f t="shared" ref="AJ66:AJ68" si="71">AI66/AH66</f>
        <v>4.7317579804730787E-2</v>
      </c>
      <c r="AK66" s="2">
        <f t="shared" ref="AK66:AK68" si="72">(MIN(B66:AG66)-AH66)/AI66</f>
        <v>-1.59776895540708</v>
      </c>
      <c r="AL66" s="2">
        <f t="shared" ref="AL66:AL68" si="73">(MAX(B66:AG66)-AH66)/AI66</f>
        <v>2.5577277349190544</v>
      </c>
      <c r="AM66" s="2">
        <f t="shared" ref="AM66:AM68" si="74">AK66+AL66</f>
        <v>0.95995877951197439</v>
      </c>
    </row>
    <row r="67" spans="1:39" s="44" customFormat="1">
      <c r="A67" s="229"/>
      <c r="B67" s="2" t="str">
        <f t="shared" ref="B67:AG67" si="75">IF(B$93,B15,"")</f>
        <v/>
      </c>
      <c r="C67" s="2">
        <f t="shared" si="75"/>
        <v>144.85557556152344</v>
      </c>
      <c r="D67" s="2">
        <f t="shared" si="75"/>
        <v>126.50629425048828</v>
      </c>
      <c r="E67" s="2">
        <f t="shared" si="75"/>
        <v>138.48065185546875</v>
      </c>
      <c r="F67" s="2">
        <f t="shared" si="75"/>
        <v>132.24673461914063</v>
      </c>
      <c r="G67" s="2">
        <f t="shared" si="75"/>
        <v>128.07736206054687</v>
      </c>
      <c r="H67" s="2">
        <f t="shared" si="75"/>
        <v>132.09567260742187</v>
      </c>
      <c r="I67" s="2">
        <f t="shared" si="75"/>
        <v>139.30143737792969</v>
      </c>
      <c r="J67" s="2">
        <f t="shared" si="75"/>
        <v>123.96337890625</v>
      </c>
      <c r="K67" s="2" t="str">
        <f t="shared" si="75"/>
        <v/>
      </c>
      <c r="L67" s="2">
        <f t="shared" si="75"/>
        <v>121.73265838623047</v>
      </c>
      <c r="M67" s="2">
        <f t="shared" si="75"/>
        <v>128.36941528320312</v>
      </c>
      <c r="N67" s="2">
        <f t="shared" si="75"/>
        <v>123.89791870117187</v>
      </c>
      <c r="O67" s="2">
        <f t="shared" si="75"/>
        <v>138.04257202148437</v>
      </c>
      <c r="P67" s="2">
        <f t="shared" si="75"/>
        <v>131.7381591796875</v>
      </c>
      <c r="Q67" s="2">
        <f t="shared" si="75"/>
        <v>126.78324890136719</v>
      </c>
      <c r="R67" s="2">
        <f t="shared" si="75"/>
        <v>126.95445251464844</v>
      </c>
      <c r="S67" s="2" t="str">
        <f t="shared" si="75"/>
        <v/>
      </c>
      <c r="T67" s="2" t="str">
        <f t="shared" si="75"/>
        <v/>
      </c>
      <c r="U67" s="2" t="str">
        <f t="shared" si="75"/>
        <v/>
      </c>
      <c r="V67" s="2">
        <f t="shared" si="75"/>
        <v>140.157470703125</v>
      </c>
      <c r="W67" s="2">
        <f t="shared" si="75"/>
        <v>128.21331787109375</v>
      </c>
      <c r="X67" s="2" t="str">
        <f t="shared" si="75"/>
        <v/>
      </c>
      <c r="Y67" s="2" t="str">
        <f t="shared" si="75"/>
        <v/>
      </c>
      <c r="Z67" s="2">
        <f t="shared" si="75"/>
        <v>131.20942687988281</v>
      </c>
      <c r="AA67" s="2" t="str">
        <f t="shared" si="75"/>
        <v/>
      </c>
      <c r="AB67" s="2" t="str">
        <f t="shared" si="75"/>
        <v/>
      </c>
      <c r="AC67" s="2">
        <f t="shared" si="75"/>
        <v>119.81414794921875</v>
      </c>
      <c r="AD67" s="2">
        <f t="shared" si="75"/>
        <v>119.8846435546875</v>
      </c>
      <c r="AE67" s="2">
        <f t="shared" si="75"/>
        <v>120.30762481689453</v>
      </c>
      <c r="AF67" s="2">
        <f t="shared" si="75"/>
        <v>119.85443115234375</v>
      </c>
      <c r="AG67" s="2">
        <f t="shared" si="75"/>
        <v>141.57748413085937</v>
      </c>
      <c r="AH67" s="2">
        <f t="shared" si="69"/>
        <v>129.74191649063775</v>
      </c>
      <c r="AI67" s="2">
        <f t="shared" si="70"/>
        <v>7.6269900340150443</v>
      </c>
      <c r="AJ67" s="3">
        <f t="shared" si="71"/>
        <v>5.8785859191199878E-2</v>
      </c>
      <c r="AK67" s="2">
        <f t="shared" si="72"/>
        <v>-1.3016627132253857</v>
      </c>
      <c r="AL67" s="2">
        <f t="shared" si="73"/>
        <v>1.9816020479221039</v>
      </c>
      <c r="AM67" s="2">
        <f t="shared" si="74"/>
        <v>0.67993933469671819</v>
      </c>
    </row>
    <row r="68" spans="1:39" s="44" customFormat="1">
      <c r="A68" s="229"/>
      <c r="B68" s="2" t="str">
        <f t="shared" ref="B68:AG68" si="76">IF(B$93,B16,"")</f>
        <v/>
      </c>
      <c r="C68" s="2">
        <f t="shared" si="76"/>
        <v>103.9322509765625</v>
      </c>
      <c r="D68" s="2">
        <f t="shared" si="76"/>
        <v>99.712516784667969</v>
      </c>
      <c r="E68" s="2">
        <f t="shared" si="76"/>
        <v>103.22727966308594</v>
      </c>
      <c r="F68" s="2">
        <f t="shared" si="76"/>
        <v>102.51728057861328</v>
      </c>
      <c r="G68" s="2">
        <f t="shared" si="76"/>
        <v>97.063858032226563</v>
      </c>
      <c r="H68" s="2">
        <f t="shared" si="76"/>
        <v>98.916915893554687</v>
      </c>
      <c r="I68" s="2">
        <f t="shared" si="76"/>
        <v>102.40650177001953</v>
      </c>
      <c r="J68" s="2">
        <f t="shared" si="76"/>
        <v>99.183792114257813</v>
      </c>
      <c r="K68" s="2" t="str">
        <f t="shared" si="76"/>
        <v/>
      </c>
      <c r="L68" s="2">
        <f t="shared" si="76"/>
        <v>97.713432312011719</v>
      </c>
      <c r="M68" s="2">
        <f t="shared" si="76"/>
        <v>103.18699645996094</v>
      </c>
      <c r="N68" s="2">
        <f t="shared" si="76"/>
        <v>98.03570556640625</v>
      </c>
      <c r="O68" s="2">
        <f t="shared" si="76"/>
        <v>106.55069732666016</v>
      </c>
      <c r="P68" s="2">
        <f t="shared" si="76"/>
        <v>104.0732421875</v>
      </c>
      <c r="Q68" s="2">
        <f t="shared" si="76"/>
        <v>102.57770538330078</v>
      </c>
      <c r="R68" s="2">
        <f t="shared" si="76"/>
        <v>99.420463562011719</v>
      </c>
      <c r="S68" s="2" t="str">
        <f t="shared" si="76"/>
        <v/>
      </c>
      <c r="T68" s="2" t="str">
        <f t="shared" si="76"/>
        <v/>
      </c>
      <c r="U68" s="2" t="str">
        <f t="shared" si="76"/>
        <v/>
      </c>
      <c r="V68" s="2">
        <f t="shared" si="76"/>
        <v>111.79766845703125</v>
      </c>
      <c r="W68" s="2">
        <f t="shared" si="76"/>
        <v>104.94941711425781</v>
      </c>
      <c r="X68" s="2" t="str">
        <f t="shared" si="76"/>
        <v/>
      </c>
      <c r="Y68" s="2" t="str">
        <f t="shared" si="76"/>
        <v/>
      </c>
      <c r="Z68" s="2">
        <f t="shared" si="76"/>
        <v>100.12039184570312</v>
      </c>
      <c r="AA68" s="2" t="str">
        <f t="shared" si="76"/>
        <v/>
      </c>
      <c r="AB68" s="2" t="str">
        <f t="shared" si="76"/>
        <v/>
      </c>
      <c r="AC68" s="2">
        <f t="shared" si="76"/>
        <v>88.563972473144531</v>
      </c>
      <c r="AD68" s="2">
        <f t="shared" si="76"/>
        <v>102.76402282714844</v>
      </c>
      <c r="AE68" s="2">
        <f t="shared" si="76"/>
        <v>100.25635528564453</v>
      </c>
      <c r="AF68" s="2">
        <f t="shared" si="76"/>
        <v>90.986038208007813</v>
      </c>
      <c r="AG68" s="2">
        <f t="shared" si="76"/>
        <v>94.611579895019531</v>
      </c>
      <c r="AH68" s="2">
        <f t="shared" si="69"/>
        <v>100.54643846594769</v>
      </c>
      <c r="AI68" s="2">
        <f t="shared" si="70"/>
        <v>4.953782975221368</v>
      </c>
      <c r="AJ68" s="3">
        <f t="shared" si="71"/>
        <v>4.9268607131212089E-2</v>
      </c>
      <c r="AK68" s="2">
        <f t="shared" si="72"/>
        <v>-2.4188516236458057</v>
      </c>
      <c r="AL68" s="2">
        <f t="shared" si="73"/>
        <v>2.2712399891884205</v>
      </c>
      <c r="AM68" s="2">
        <f t="shared" si="74"/>
        <v>-0.14761163445738523</v>
      </c>
    </row>
    <row r="69" spans="1:39" s="44" customFormat="1">
      <c r="A69" s="229"/>
      <c r="B69" s="2" t="str">
        <f t="shared" ref="B69:AG69" si="77">IF(B$93,B20,"")</f>
        <v/>
      </c>
      <c r="C69" s="2">
        <f t="shared" si="77"/>
        <v>63.356372833251953</v>
      </c>
      <c r="D69" s="2">
        <f t="shared" si="77"/>
        <v>63.582969665527344</v>
      </c>
      <c r="E69" s="2">
        <f t="shared" si="77"/>
        <v>68.245819091796875</v>
      </c>
      <c r="F69" s="2">
        <f t="shared" si="77"/>
        <v>66.24169921875</v>
      </c>
      <c r="G69" s="2">
        <f t="shared" si="77"/>
        <v>63.401695251464844</v>
      </c>
      <c r="H69" s="2">
        <f t="shared" si="77"/>
        <v>64.710914611816406</v>
      </c>
      <c r="I69" s="2">
        <f t="shared" si="77"/>
        <v>65.224533081054688</v>
      </c>
      <c r="J69" s="2">
        <f t="shared" si="77"/>
        <v>63.613182067871094</v>
      </c>
      <c r="K69" s="2" t="str">
        <f t="shared" si="77"/>
        <v/>
      </c>
      <c r="L69" s="2">
        <f t="shared" si="77"/>
        <v>64.715950012207031</v>
      </c>
      <c r="M69" s="2">
        <f t="shared" si="77"/>
        <v>67.853057861328125</v>
      </c>
      <c r="N69" s="2">
        <f t="shared" si="77"/>
        <v>65.78851318359375</v>
      </c>
      <c r="O69" s="2">
        <f t="shared" si="77"/>
        <v>74.958114624023438</v>
      </c>
      <c r="P69" s="2">
        <f t="shared" si="77"/>
        <v>66.584114074707031</v>
      </c>
      <c r="Q69" s="2">
        <f t="shared" si="77"/>
        <v>69.217666625976563</v>
      </c>
      <c r="R69" s="2">
        <f t="shared" si="77"/>
        <v>66.699928283691406</v>
      </c>
      <c r="S69" s="2" t="str">
        <f t="shared" si="77"/>
        <v/>
      </c>
      <c r="T69" s="2" t="str">
        <f t="shared" si="77"/>
        <v/>
      </c>
      <c r="U69" s="2" t="str">
        <f t="shared" si="77"/>
        <v/>
      </c>
      <c r="V69" s="2">
        <f t="shared" si="77"/>
        <v>71.196609497070313</v>
      </c>
      <c r="W69" s="2">
        <f t="shared" si="77"/>
        <v>69.464408874511719</v>
      </c>
      <c r="X69" s="2" t="str">
        <f t="shared" si="77"/>
        <v/>
      </c>
      <c r="Y69" s="2" t="str">
        <f t="shared" si="77"/>
        <v/>
      </c>
      <c r="Z69" s="2">
        <f t="shared" si="77"/>
        <v>64.479286193847656</v>
      </c>
      <c r="AA69" s="2" t="str">
        <f t="shared" si="77"/>
        <v/>
      </c>
      <c r="AB69" s="2" t="str">
        <f t="shared" si="77"/>
        <v/>
      </c>
      <c r="AC69" s="2">
        <f t="shared" si="77"/>
        <v>60.168918609619141</v>
      </c>
      <c r="AD69" s="2">
        <f t="shared" si="77"/>
        <v>66.634468078613281</v>
      </c>
      <c r="AE69" s="2">
        <f t="shared" si="77"/>
        <v>60.647289276123047</v>
      </c>
      <c r="AF69" s="2">
        <f t="shared" si="77"/>
        <v>64.650489807128906</v>
      </c>
      <c r="AG69" s="2">
        <f t="shared" si="77"/>
        <v>63.613182067871094</v>
      </c>
      <c r="AH69" s="2">
        <f t="shared" ref="AH69:AH71" si="78">AVERAGE(B69:AG69)</f>
        <v>65.871703603993296</v>
      </c>
      <c r="AI69" s="2">
        <f t="shared" ref="AI69:AI71" si="79">STDEV(B69:AG69)</f>
        <v>3.3078298235305321</v>
      </c>
      <c r="AJ69" s="3">
        <f t="shared" ref="AJ69:AJ71" si="80">AI69/AH69</f>
        <v>5.0216248291018901E-2</v>
      </c>
      <c r="AK69" s="2">
        <f t="shared" ref="AK69:AK71" si="81">(MIN(B69:AG69)-AH69)/AI69</f>
        <v>-1.724026113377086</v>
      </c>
      <c r="AL69" s="2">
        <f t="shared" ref="AL69:AL71" si="82">(MAX(B69:AG69)-AH69)/AI69</f>
        <v>2.7469402916054428</v>
      </c>
      <c r="AM69" s="2">
        <f t="shared" ref="AM69:AM71" si="83">AK69+AL69</f>
        <v>1.0229141782283568</v>
      </c>
    </row>
    <row r="70" spans="1:39" s="44" customFormat="1">
      <c r="A70" s="229"/>
      <c r="B70" s="2" t="str">
        <f t="shared" ref="B70:AG70" si="84">IF(B$93,B21,"")</f>
        <v/>
      </c>
      <c r="C70" s="2">
        <f t="shared" si="84"/>
        <v>148.3955078125</v>
      </c>
      <c r="D70" s="2">
        <f t="shared" si="84"/>
        <v>127.901123046875</v>
      </c>
      <c r="E70" s="2">
        <f t="shared" si="84"/>
        <v>139.7344970703125</v>
      </c>
      <c r="F70" s="2">
        <f t="shared" si="84"/>
        <v>129.38658142089844</v>
      </c>
      <c r="G70" s="2">
        <f t="shared" si="84"/>
        <v>135.40397644042969</v>
      </c>
      <c r="H70" s="2">
        <f t="shared" si="84"/>
        <v>131.8187255859375</v>
      </c>
      <c r="I70" s="2">
        <f t="shared" si="84"/>
        <v>144.32180786132812</v>
      </c>
      <c r="J70" s="2">
        <f t="shared" si="84"/>
        <v>125.32799530029297</v>
      </c>
      <c r="K70" s="2" t="str">
        <f t="shared" si="84"/>
        <v/>
      </c>
      <c r="L70" s="2">
        <f t="shared" si="84"/>
        <v>127.52346038818359</v>
      </c>
      <c r="M70" s="2">
        <f t="shared" si="84"/>
        <v>133.747314453125</v>
      </c>
      <c r="N70" s="2">
        <f t="shared" si="84"/>
        <v>135.38383483886719</v>
      </c>
      <c r="O70" s="2">
        <f t="shared" si="84"/>
        <v>142.69032287597656</v>
      </c>
      <c r="P70" s="2">
        <f t="shared" si="84"/>
        <v>135.42915344238281</v>
      </c>
      <c r="Q70" s="2">
        <f t="shared" si="84"/>
        <v>133.57611083984375</v>
      </c>
      <c r="R70" s="2">
        <f t="shared" si="84"/>
        <v>132.90135192871094</v>
      </c>
      <c r="S70" s="2" t="str">
        <f t="shared" si="84"/>
        <v/>
      </c>
      <c r="T70" s="2" t="str">
        <f t="shared" si="84"/>
        <v/>
      </c>
      <c r="U70" s="2" t="str">
        <f t="shared" si="84"/>
        <v/>
      </c>
      <c r="V70" s="2">
        <f t="shared" si="84"/>
        <v>146.63310241699219</v>
      </c>
      <c r="W70" s="2">
        <f t="shared" si="84"/>
        <v>133.79263305664062</v>
      </c>
      <c r="X70" s="2" t="str">
        <f t="shared" si="84"/>
        <v/>
      </c>
      <c r="Y70" s="2" t="str">
        <f t="shared" si="84"/>
        <v/>
      </c>
      <c r="Z70" s="2">
        <f t="shared" si="84"/>
        <v>135.24284362792969</v>
      </c>
      <c r="AA70" s="2" t="str">
        <f t="shared" si="84"/>
        <v/>
      </c>
      <c r="AB70" s="2" t="str">
        <f t="shared" si="84"/>
        <v/>
      </c>
      <c r="AC70" s="2">
        <f t="shared" si="84"/>
        <v>120.28244781494141</v>
      </c>
      <c r="AD70" s="2">
        <f t="shared" si="84"/>
        <v>133.989013671875</v>
      </c>
      <c r="AE70" s="2">
        <f t="shared" si="84"/>
        <v>122.17578125</v>
      </c>
      <c r="AF70" s="2">
        <f t="shared" si="84"/>
        <v>128.46005249023437</v>
      </c>
      <c r="AG70" s="2">
        <f t="shared" si="84"/>
        <v>145.82742309570312</v>
      </c>
      <c r="AH70" s="2">
        <f t="shared" si="78"/>
        <v>134.34543742304263</v>
      </c>
      <c r="AI70" s="2">
        <f t="shared" si="79"/>
        <v>7.5886988907606217</v>
      </c>
      <c r="AJ70" s="3">
        <f t="shared" si="80"/>
        <v>5.648646531154191E-2</v>
      </c>
      <c r="AK70" s="2">
        <f t="shared" si="81"/>
        <v>-1.8531489798894463</v>
      </c>
      <c r="AL70" s="2">
        <f t="shared" si="82"/>
        <v>1.8514465512083487</v>
      </c>
      <c r="AM70" s="2">
        <f t="shared" si="83"/>
        <v>-1.7024286810976008E-3</v>
      </c>
    </row>
    <row r="71" spans="1:39" s="44" customFormat="1">
      <c r="A71" s="229"/>
      <c r="B71" s="2" t="str">
        <f t="shared" ref="B71:AG71" si="85">IF(B$93,B22,"")</f>
        <v/>
      </c>
      <c r="C71" s="2">
        <f t="shared" si="85"/>
        <v>169.22224426269531</v>
      </c>
      <c r="D71" s="2">
        <f t="shared" si="85"/>
        <v>161.88052368164062</v>
      </c>
      <c r="E71" s="2">
        <f t="shared" si="85"/>
        <v>162.30349731445312</v>
      </c>
      <c r="F71" s="2">
        <f t="shared" si="85"/>
        <v>167.81231689453125</v>
      </c>
      <c r="G71" s="2">
        <f t="shared" si="85"/>
        <v>153.38566589355469</v>
      </c>
      <c r="H71" s="2">
        <f t="shared" si="85"/>
        <v>162.26321411132812</v>
      </c>
      <c r="I71" s="2">
        <f t="shared" si="85"/>
        <v>167.48500061035156</v>
      </c>
      <c r="J71" s="2">
        <f t="shared" si="85"/>
        <v>160.09292602539062</v>
      </c>
      <c r="K71" s="2" t="str">
        <f t="shared" si="85"/>
        <v/>
      </c>
      <c r="L71" s="2">
        <f t="shared" si="85"/>
        <v>157.43922424316406</v>
      </c>
      <c r="M71" s="2">
        <f t="shared" si="85"/>
        <v>160.25405883789062</v>
      </c>
      <c r="N71" s="2">
        <f t="shared" si="85"/>
        <v>167.70657348632812</v>
      </c>
      <c r="O71" s="2">
        <f t="shared" si="85"/>
        <v>176.04531860351562</v>
      </c>
      <c r="P71" s="2">
        <f t="shared" si="85"/>
        <v>170.0128173828125</v>
      </c>
      <c r="Q71" s="2">
        <f t="shared" si="85"/>
        <v>174.74617004394531</v>
      </c>
      <c r="R71" s="2">
        <f t="shared" si="85"/>
        <v>164.35293579101562</v>
      </c>
      <c r="S71" s="2" t="str">
        <f t="shared" si="85"/>
        <v/>
      </c>
      <c r="T71" s="2" t="str">
        <f t="shared" si="85"/>
        <v/>
      </c>
      <c r="U71" s="2" t="str">
        <f t="shared" si="85"/>
        <v/>
      </c>
      <c r="V71" s="2">
        <f t="shared" si="85"/>
        <v>174.91737365722656</v>
      </c>
      <c r="W71" s="2">
        <f t="shared" si="85"/>
        <v>167.48500061035156</v>
      </c>
      <c r="X71" s="2" t="str">
        <f t="shared" si="85"/>
        <v/>
      </c>
      <c r="Y71" s="2" t="str">
        <f t="shared" si="85"/>
        <v/>
      </c>
      <c r="Z71" s="2">
        <f t="shared" si="85"/>
        <v>161.23094177246094</v>
      </c>
      <c r="AA71" s="2" t="str">
        <f t="shared" si="85"/>
        <v/>
      </c>
      <c r="AB71" s="2" t="str">
        <f t="shared" si="85"/>
        <v/>
      </c>
      <c r="AC71" s="2">
        <f t="shared" si="85"/>
        <v>144.10528564453125</v>
      </c>
      <c r="AD71" s="2">
        <f t="shared" si="85"/>
        <v>171.53353881835937</v>
      </c>
      <c r="AE71" s="2">
        <f t="shared" si="85"/>
        <v>159.15129089355469</v>
      </c>
      <c r="AF71" s="2">
        <f t="shared" si="85"/>
        <v>147.10139465332031</v>
      </c>
      <c r="AG71" s="2">
        <f t="shared" si="85"/>
        <v>159.66995239257812</v>
      </c>
      <c r="AH71" s="2">
        <f t="shared" si="78"/>
        <v>163.48683763586956</v>
      </c>
      <c r="AI71" s="2">
        <f t="shared" si="79"/>
        <v>8.1832730650153866</v>
      </c>
      <c r="AJ71" s="3">
        <f t="shared" si="80"/>
        <v>5.0054629371703921E-2</v>
      </c>
      <c r="AK71" s="2">
        <f t="shared" si="81"/>
        <v>-2.3684352015817609</v>
      </c>
      <c r="AL71" s="2">
        <f t="shared" si="82"/>
        <v>1.5346525611292734</v>
      </c>
      <c r="AM71" s="2">
        <f t="shared" si="83"/>
        <v>-0.83378264045248751</v>
      </c>
    </row>
    <row r="72" spans="1:39" s="44" customFormat="1">
      <c r="A72" s="233"/>
      <c r="B72" s="2" t="str">
        <f t="shared" ref="B72:AG72" si="86">IF(B$93,B26,"")</f>
        <v/>
      </c>
      <c r="C72" s="2">
        <f t="shared" si="86"/>
        <v>142.93202209472656</v>
      </c>
      <c r="D72" s="2">
        <f t="shared" si="86"/>
        <v>137.12107849121094</v>
      </c>
      <c r="E72" s="2">
        <f t="shared" si="86"/>
        <v>140.89265441894531</v>
      </c>
      <c r="F72" s="2">
        <f t="shared" si="86"/>
        <v>136.33050537109375</v>
      </c>
      <c r="G72" s="2">
        <f t="shared" si="86"/>
        <v>132.84092712402344</v>
      </c>
      <c r="H72" s="2">
        <f t="shared" si="86"/>
        <v>136.37582397460937</v>
      </c>
      <c r="I72" s="2">
        <f t="shared" si="86"/>
        <v>140.89265441894531</v>
      </c>
      <c r="J72" s="2">
        <f t="shared" si="86"/>
        <v>133.76242065429688</v>
      </c>
      <c r="K72" s="2" t="str">
        <f t="shared" si="86"/>
        <v/>
      </c>
      <c r="L72" s="2">
        <f t="shared" si="86"/>
        <v>139.63882446289062</v>
      </c>
      <c r="M72" s="2">
        <f t="shared" si="86"/>
        <v>147.27763366699219</v>
      </c>
      <c r="N72" s="2">
        <f t="shared" si="86"/>
        <v>145.11238098144531</v>
      </c>
      <c r="O72" s="2">
        <f t="shared" si="86"/>
        <v>152.1519775390625</v>
      </c>
      <c r="P72" s="2">
        <f t="shared" si="86"/>
        <v>142.63493347167969</v>
      </c>
      <c r="Q72" s="2">
        <f t="shared" si="86"/>
        <v>147.38841247558594</v>
      </c>
      <c r="R72" s="2">
        <f t="shared" si="86"/>
        <v>144.54338073730469</v>
      </c>
      <c r="S72" s="2" t="str">
        <f t="shared" si="86"/>
        <v/>
      </c>
      <c r="T72" s="2" t="str">
        <f t="shared" si="86"/>
        <v/>
      </c>
      <c r="U72" s="2" t="str">
        <f t="shared" si="86"/>
        <v/>
      </c>
      <c r="V72" s="2">
        <f t="shared" si="86"/>
        <v>152.70085144042969</v>
      </c>
      <c r="W72" s="2">
        <f t="shared" si="86"/>
        <v>147.17189025878906</v>
      </c>
      <c r="X72" s="2" t="str">
        <f t="shared" si="86"/>
        <v/>
      </c>
      <c r="Y72" s="2" t="str">
        <f t="shared" si="86"/>
        <v/>
      </c>
      <c r="Z72" s="2">
        <f t="shared" si="86"/>
        <v>142.32272338867187</v>
      </c>
      <c r="AA72" s="2" t="str">
        <f t="shared" si="86"/>
        <v/>
      </c>
      <c r="AB72" s="2" t="str">
        <f t="shared" si="86"/>
        <v/>
      </c>
      <c r="AC72" s="2">
        <f t="shared" si="86"/>
        <v>119.40627288818359</v>
      </c>
      <c r="AD72" s="2">
        <f t="shared" si="86"/>
        <v>141.24513244628906</v>
      </c>
      <c r="AE72" s="2">
        <f t="shared" si="86"/>
        <v>128.4449462890625</v>
      </c>
      <c r="AF72" s="2">
        <f t="shared" si="86"/>
        <v>136.86427307128906</v>
      </c>
      <c r="AG72" s="2">
        <f t="shared" si="86"/>
        <v>139.31654357910156</v>
      </c>
      <c r="AH72" s="2">
        <f t="shared" ref="AH72:AH74" si="87">AVERAGE(B72:AG72)</f>
        <v>140.32035927150559</v>
      </c>
      <c r="AI72" s="2">
        <f t="shared" ref="AI72:AI74" si="88">STDEV(B72:AG72)</f>
        <v>7.4759210184941605</v>
      </c>
      <c r="AJ72" s="3">
        <f t="shared" ref="AJ72:AJ74" si="89">AI72/AH72</f>
        <v>5.3277521931290206E-2</v>
      </c>
      <c r="AK72" s="2">
        <f t="shared" ref="AK72:AK74" si="90">(MIN(B72:AG72)-AH72)/AI72</f>
        <v>-2.7975263959563108</v>
      </c>
      <c r="AL72" s="2">
        <f t="shared" ref="AL72:AL74" si="91">(MAX(B72:AG72)-AH72)/AI72</f>
        <v>1.6560490858981596</v>
      </c>
      <c r="AM72" s="2">
        <f t="shared" ref="AM72:AM74" si="92">AK72+AL72</f>
        <v>-1.1414773100581512</v>
      </c>
    </row>
    <row r="73" spans="1:39" s="44" customFormat="1">
      <c r="A73" s="233"/>
      <c r="B73" s="2" t="str">
        <f t="shared" ref="B73:AG73" si="93">IF(B$93,B27,"")</f>
        <v/>
      </c>
      <c r="C73" s="2">
        <f t="shared" si="93"/>
        <v>145.08720397949219</v>
      </c>
      <c r="D73" s="2">
        <f t="shared" si="93"/>
        <v>126.33005523681641</v>
      </c>
      <c r="E73" s="2">
        <f t="shared" si="93"/>
        <v>138.44540405273437</v>
      </c>
      <c r="F73" s="2">
        <f t="shared" si="93"/>
        <v>129.17005920410156</v>
      </c>
      <c r="G73" s="2">
        <f t="shared" si="93"/>
        <v>128.78736877441406</v>
      </c>
      <c r="H73" s="2">
        <f t="shared" si="93"/>
        <v>130.172119140625</v>
      </c>
      <c r="I73" s="2">
        <f t="shared" si="93"/>
        <v>139.05973815917969</v>
      </c>
      <c r="J73" s="2">
        <f t="shared" si="93"/>
        <v>122.43762969970703</v>
      </c>
      <c r="K73" s="2" t="str">
        <f t="shared" si="93"/>
        <v/>
      </c>
      <c r="L73" s="2">
        <f t="shared" si="93"/>
        <v>120.60471343994141</v>
      </c>
      <c r="M73" s="2">
        <f t="shared" si="93"/>
        <v>126.75303649902344</v>
      </c>
      <c r="N73" s="2">
        <f t="shared" si="93"/>
        <v>124.28061676025391</v>
      </c>
      <c r="O73" s="2">
        <f t="shared" si="93"/>
        <v>137.30235290527344</v>
      </c>
      <c r="P73" s="2">
        <f t="shared" si="93"/>
        <v>130.79652404785156</v>
      </c>
      <c r="Q73" s="2">
        <f t="shared" si="93"/>
        <v>126.59693145751953</v>
      </c>
      <c r="R73" s="2">
        <f t="shared" si="93"/>
        <v>127.26161956787109</v>
      </c>
      <c r="S73" s="2" t="str">
        <f t="shared" si="93"/>
        <v/>
      </c>
      <c r="T73" s="2" t="str">
        <f t="shared" si="93"/>
        <v/>
      </c>
      <c r="U73" s="2" t="str">
        <f t="shared" si="93"/>
        <v/>
      </c>
      <c r="V73" s="2">
        <f t="shared" si="93"/>
        <v>140.11215209960937</v>
      </c>
      <c r="W73" s="2">
        <f t="shared" si="93"/>
        <v>127.43785858154297</v>
      </c>
      <c r="X73" s="2" t="str">
        <f t="shared" si="93"/>
        <v/>
      </c>
      <c r="Y73" s="2" t="str">
        <f t="shared" si="93"/>
        <v/>
      </c>
      <c r="Z73" s="2">
        <f t="shared" si="93"/>
        <v>129.5880126953125</v>
      </c>
      <c r="AA73" s="2" t="str">
        <f t="shared" si="93"/>
        <v/>
      </c>
      <c r="AB73" s="2" t="str">
        <f t="shared" si="93"/>
        <v/>
      </c>
      <c r="AC73" s="2">
        <f t="shared" si="93"/>
        <v>120.05081176757812</v>
      </c>
      <c r="AD73" s="2">
        <f t="shared" si="93"/>
        <v>120.05081176757812</v>
      </c>
      <c r="AE73" s="2">
        <f t="shared" si="93"/>
        <v>121.24925231933594</v>
      </c>
      <c r="AF73" s="2">
        <f t="shared" si="93"/>
        <v>119.86953735351562</v>
      </c>
      <c r="AG73" s="2">
        <f t="shared" si="93"/>
        <v>140.87251281738281</v>
      </c>
      <c r="AH73" s="2">
        <f t="shared" si="87"/>
        <v>129.23114444898522</v>
      </c>
      <c r="AI73" s="2">
        <f t="shared" si="88"/>
        <v>7.5354254926658539</v>
      </c>
      <c r="AJ73" s="3">
        <f t="shared" si="89"/>
        <v>5.8309670821189E-2</v>
      </c>
      <c r="AK73" s="2">
        <f t="shared" si="90"/>
        <v>-1.242346182651682</v>
      </c>
      <c r="AL73" s="2">
        <f t="shared" si="91"/>
        <v>2.1042022837249861</v>
      </c>
      <c r="AM73" s="2">
        <f t="shared" si="92"/>
        <v>0.86185610107330413</v>
      </c>
    </row>
    <row r="74" spans="1:39" s="44" customFormat="1">
      <c r="A74" s="233"/>
      <c r="B74" s="2" t="str">
        <f t="shared" ref="B74:AG74" si="94">IF(B$93,B28,"")</f>
        <v/>
      </c>
      <c r="C74" s="2">
        <f t="shared" si="94"/>
        <v>157.76654052734375</v>
      </c>
      <c r="D74" s="2">
        <f t="shared" si="94"/>
        <v>150.64637756347656</v>
      </c>
      <c r="E74" s="2">
        <f t="shared" si="94"/>
        <v>149.95651245117187</v>
      </c>
      <c r="F74" s="2">
        <f t="shared" si="94"/>
        <v>153.31013488769531</v>
      </c>
      <c r="G74" s="2">
        <f t="shared" si="94"/>
        <v>141.72854614257812</v>
      </c>
      <c r="H74" s="2">
        <f t="shared" si="94"/>
        <v>150.56581115722656</v>
      </c>
      <c r="I74" s="2">
        <f t="shared" si="94"/>
        <v>152.41885375976562</v>
      </c>
      <c r="J74" s="2">
        <f t="shared" si="94"/>
        <v>148.36529541015625</v>
      </c>
      <c r="K74" s="2" t="str">
        <f t="shared" si="94"/>
        <v/>
      </c>
      <c r="L74" s="2">
        <f t="shared" si="94"/>
        <v>147.92218017578125</v>
      </c>
      <c r="M74" s="2">
        <f t="shared" si="94"/>
        <v>148.18905639648437</v>
      </c>
      <c r="N74" s="2">
        <f t="shared" si="94"/>
        <v>150.29388427734375</v>
      </c>
      <c r="O74" s="2">
        <f t="shared" si="94"/>
        <v>162.1373291015625</v>
      </c>
      <c r="P74" s="2">
        <f t="shared" si="94"/>
        <v>155.58114624023437</v>
      </c>
      <c r="Q74" s="2">
        <f t="shared" si="94"/>
        <v>159.59442138671875</v>
      </c>
      <c r="R74" s="2">
        <f t="shared" si="94"/>
        <v>152.98283386230469</v>
      </c>
      <c r="S74" s="2" t="str">
        <f t="shared" si="94"/>
        <v/>
      </c>
      <c r="T74" s="2" t="str">
        <f t="shared" si="94"/>
        <v/>
      </c>
      <c r="U74" s="2" t="str">
        <f t="shared" si="94"/>
        <v/>
      </c>
      <c r="V74" s="2">
        <f t="shared" si="94"/>
        <v>166.01968383789062</v>
      </c>
      <c r="W74" s="2">
        <f t="shared" si="94"/>
        <v>155.23872375488281</v>
      </c>
      <c r="X74" s="2" t="str">
        <f t="shared" si="94"/>
        <v/>
      </c>
      <c r="Y74" s="2" t="str">
        <f t="shared" si="94"/>
        <v/>
      </c>
      <c r="Z74" s="2">
        <f t="shared" si="94"/>
        <v>148.90409851074219</v>
      </c>
      <c r="AA74" s="2" t="str">
        <f t="shared" si="94"/>
        <v/>
      </c>
      <c r="AB74" s="2" t="str">
        <f t="shared" si="94"/>
        <v/>
      </c>
      <c r="AC74" s="2">
        <f t="shared" si="94"/>
        <v>130.99290466308594</v>
      </c>
      <c r="AD74" s="2">
        <f t="shared" si="94"/>
        <v>155.64157104492187</v>
      </c>
      <c r="AE74" s="2">
        <f t="shared" si="94"/>
        <v>144.58366394042969</v>
      </c>
      <c r="AF74" s="2">
        <f t="shared" si="94"/>
        <v>133.8077392578125</v>
      </c>
      <c r="AG74" s="2">
        <f t="shared" si="94"/>
        <v>147.08125305175781</v>
      </c>
      <c r="AH74" s="2">
        <f t="shared" si="87"/>
        <v>150.5968939739725</v>
      </c>
      <c r="AI74" s="2">
        <f t="shared" si="88"/>
        <v>7.995102252442531</v>
      </c>
      <c r="AJ74" s="3">
        <f t="shared" si="89"/>
        <v>5.3089423303938232E-2</v>
      </c>
      <c r="AK74" s="2">
        <f t="shared" si="90"/>
        <v>-2.4519998233790536</v>
      </c>
      <c r="AL74" s="2">
        <f t="shared" si="91"/>
        <v>1.9290297205650386</v>
      </c>
      <c r="AM74" s="2">
        <f t="shared" si="92"/>
        <v>-0.52297010281401501</v>
      </c>
    </row>
    <row r="75" spans="1:39" s="44" customFormat="1">
      <c r="A75" s="229"/>
      <c r="B75" s="2" t="str">
        <f t="shared" ref="B75:AG75" si="95">IF(B$93,B32,"")</f>
        <v/>
      </c>
      <c r="C75" s="2">
        <f t="shared" si="95"/>
        <v>216.25360107421875</v>
      </c>
      <c r="D75" s="2">
        <f t="shared" si="95"/>
        <v>204.54612731933594</v>
      </c>
      <c r="E75" s="2">
        <f t="shared" si="95"/>
        <v>207.71847534179687</v>
      </c>
      <c r="F75" s="2">
        <f t="shared" si="95"/>
        <v>214.65736389160156</v>
      </c>
      <c r="G75" s="2">
        <f t="shared" si="95"/>
        <v>210.00961303710937</v>
      </c>
      <c r="H75" s="2">
        <f t="shared" si="95"/>
        <v>204.83314514160156</v>
      </c>
      <c r="I75" s="2">
        <f t="shared" si="95"/>
        <v>213.44380187988281</v>
      </c>
      <c r="J75" s="2">
        <f t="shared" si="95"/>
        <v>210.94117736816406</v>
      </c>
      <c r="K75" s="2" t="str">
        <f t="shared" si="95"/>
        <v/>
      </c>
      <c r="L75" s="2">
        <f t="shared" si="95"/>
        <v>219.49644470214844</v>
      </c>
      <c r="M75" s="2">
        <f t="shared" si="95"/>
        <v>222.4925537109375</v>
      </c>
      <c r="N75" s="2">
        <f t="shared" si="95"/>
        <v>228.58549499511719</v>
      </c>
      <c r="O75" s="2">
        <f t="shared" si="95"/>
        <v>247.25703430175781</v>
      </c>
      <c r="P75" s="2">
        <f t="shared" si="95"/>
        <v>210.48294067382812</v>
      </c>
      <c r="Q75" s="2">
        <f t="shared" si="95"/>
        <v>235.92721557617187</v>
      </c>
      <c r="R75" s="2">
        <f t="shared" si="95"/>
        <v>220.75028991699219</v>
      </c>
      <c r="S75" s="2" t="str">
        <f t="shared" si="95"/>
        <v/>
      </c>
      <c r="T75" s="2" t="str">
        <f t="shared" si="95"/>
        <v/>
      </c>
      <c r="U75" s="2" t="str">
        <f t="shared" si="95"/>
        <v/>
      </c>
      <c r="V75" s="2">
        <f t="shared" si="95"/>
        <v>241.64752197265625</v>
      </c>
      <c r="W75" s="2">
        <f t="shared" si="95"/>
        <v>231.77294921875</v>
      </c>
      <c r="X75" s="2" t="str">
        <f t="shared" si="95"/>
        <v/>
      </c>
      <c r="Y75" s="2" t="str">
        <f t="shared" si="95"/>
        <v/>
      </c>
      <c r="Z75" s="2">
        <f t="shared" si="95"/>
        <v>215.84573364257812</v>
      </c>
      <c r="AA75" s="2" t="str">
        <f t="shared" si="95"/>
        <v/>
      </c>
      <c r="AB75" s="2" t="str">
        <f t="shared" si="95"/>
        <v/>
      </c>
      <c r="AC75" s="2">
        <f t="shared" si="95"/>
        <v>203.37788391113281</v>
      </c>
      <c r="AD75" s="2">
        <f t="shared" si="95"/>
        <v>224.47149658203125</v>
      </c>
      <c r="AE75" s="2">
        <f t="shared" si="95"/>
        <v>214.28472900390625</v>
      </c>
      <c r="AF75" s="2">
        <f t="shared" si="95"/>
        <v>221.06752014160156</v>
      </c>
      <c r="AG75" s="2">
        <f t="shared" si="95"/>
        <v>225.6246337890625</v>
      </c>
      <c r="AH75" s="2">
        <f t="shared" ref="AH75:AH77" si="96">AVERAGE(B75:AG75)</f>
        <v>219.36903248662534</v>
      </c>
      <c r="AI75" s="2">
        <f t="shared" ref="AI75:AI77" si="97">STDEV(B75:AG75)</f>
        <v>11.739810590940099</v>
      </c>
      <c r="AJ75" s="3">
        <f t="shared" ref="AJ75:AJ77" si="98">AI75/AH75</f>
        <v>5.3516261880107718E-2</v>
      </c>
      <c r="AK75" s="2">
        <f t="shared" ref="AK75:AK77" si="99">(MIN(B75:AG75)-AH75)/AI75</f>
        <v>-1.3621300319643397</v>
      </c>
      <c r="AL75" s="2">
        <f t="shared" ref="AL75:AL77" si="100">(MAX(B75:AG75)-AH75)/AI75</f>
        <v>2.3755069640266879</v>
      </c>
      <c r="AM75" s="2">
        <f t="shared" ref="AM75:AM77" si="101">AK75+AL75</f>
        <v>1.0133769320623482</v>
      </c>
    </row>
    <row r="76" spans="1:39" s="44" customFormat="1">
      <c r="A76" s="229"/>
      <c r="B76" s="2" t="str">
        <f t="shared" ref="B76:AG76" si="102">IF(B$93,B33,"")</f>
        <v/>
      </c>
      <c r="C76" s="2">
        <f t="shared" si="102"/>
        <v>140.63584899902344</v>
      </c>
      <c r="D76" s="2">
        <f t="shared" si="102"/>
        <v>121.77798461914062</v>
      </c>
      <c r="E76" s="2">
        <f t="shared" si="102"/>
        <v>135.615478515625</v>
      </c>
      <c r="F76" s="2">
        <f t="shared" si="102"/>
        <v>128.91325378417969</v>
      </c>
      <c r="G76" s="2">
        <f t="shared" si="102"/>
        <v>123.00160217285156</v>
      </c>
      <c r="H76" s="2">
        <f t="shared" si="102"/>
        <v>127.99679565429687</v>
      </c>
      <c r="I76" s="2">
        <f t="shared" si="102"/>
        <v>134.38681030273438</v>
      </c>
      <c r="J76" s="2">
        <f t="shared" si="102"/>
        <v>121.31975555419922</v>
      </c>
      <c r="K76" s="2" t="str">
        <f t="shared" si="102"/>
        <v/>
      </c>
      <c r="L76" s="2">
        <f t="shared" si="102"/>
        <v>120.87663269042969</v>
      </c>
      <c r="M76" s="2">
        <f t="shared" si="102"/>
        <v>121.41542816162109</v>
      </c>
      <c r="N76" s="2">
        <f t="shared" si="102"/>
        <v>119.30556488037109</v>
      </c>
      <c r="O76" s="2">
        <f t="shared" si="102"/>
        <v>129.61822509765625</v>
      </c>
      <c r="P76" s="2">
        <f t="shared" si="102"/>
        <v>126.96955871582031</v>
      </c>
      <c r="Q76" s="2">
        <f t="shared" si="102"/>
        <v>121.15357971191406</v>
      </c>
      <c r="R76" s="2">
        <f t="shared" si="102"/>
        <v>120.89677429199219</v>
      </c>
      <c r="S76" s="2" t="str">
        <f t="shared" si="102"/>
        <v/>
      </c>
      <c r="T76" s="2" t="str">
        <f t="shared" si="102"/>
        <v/>
      </c>
      <c r="U76" s="2" t="str">
        <f t="shared" si="102"/>
        <v/>
      </c>
      <c r="V76" s="2">
        <f t="shared" si="102"/>
        <v>129.34126281738281</v>
      </c>
      <c r="W76" s="2">
        <f t="shared" si="102"/>
        <v>123.47493743896484</v>
      </c>
      <c r="X76" s="2" t="str">
        <f t="shared" si="102"/>
        <v/>
      </c>
      <c r="Y76" s="2" t="str">
        <f t="shared" si="102"/>
        <v/>
      </c>
      <c r="Z76" s="2">
        <f t="shared" si="102"/>
        <v>126.64728546142578</v>
      </c>
      <c r="AA76" s="2" t="str">
        <f t="shared" si="102"/>
        <v/>
      </c>
      <c r="AB76" s="2" t="str">
        <f t="shared" si="102"/>
        <v/>
      </c>
      <c r="AC76" s="2">
        <f t="shared" si="102"/>
        <v>118.52002716064453</v>
      </c>
      <c r="AD76" s="2">
        <f t="shared" si="102"/>
        <v>119.77386474609375</v>
      </c>
      <c r="AE76" s="2">
        <f t="shared" si="102"/>
        <v>119.85443115234375</v>
      </c>
      <c r="AF76" s="2">
        <f t="shared" si="102"/>
        <v>120.99748229980469</v>
      </c>
      <c r="AG76" s="2">
        <f t="shared" si="102"/>
        <v>134.78965759277344</v>
      </c>
      <c r="AH76" s="2">
        <f t="shared" si="96"/>
        <v>125.53401051396909</v>
      </c>
      <c r="AI76" s="2">
        <f t="shared" si="97"/>
        <v>6.1849318457540869</v>
      </c>
      <c r="AJ76" s="3">
        <f t="shared" si="98"/>
        <v>4.9268973566855369E-2</v>
      </c>
      <c r="AK76" s="2">
        <f t="shared" si="99"/>
        <v>-1.1340437579986615</v>
      </c>
      <c r="AL76" s="2">
        <f t="shared" si="100"/>
        <v>2.4417146157271969</v>
      </c>
      <c r="AM76" s="2">
        <f t="shared" si="101"/>
        <v>1.3076708577285354</v>
      </c>
    </row>
    <row r="77" spans="1:39" s="44" customFormat="1">
      <c r="A77" s="229"/>
      <c r="B77" s="2" t="str">
        <f t="shared" ref="B77:AG77" si="103">IF(B$93,B34,"")</f>
        <v/>
      </c>
      <c r="C77" s="2">
        <f t="shared" si="103"/>
        <v>143.25932312011719</v>
      </c>
      <c r="D77" s="2">
        <f t="shared" si="103"/>
        <v>136.93476867675781</v>
      </c>
      <c r="E77" s="2">
        <f t="shared" si="103"/>
        <v>137.21675109863281</v>
      </c>
      <c r="F77" s="2">
        <f t="shared" si="103"/>
        <v>137.967041015625</v>
      </c>
      <c r="G77" s="2">
        <f t="shared" si="103"/>
        <v>126.65735626220703</v>
      </c>
      <c r="H77" s="2">
        <f t="shared" si="103"/>
        <v>134.69902038574219</v>
      </c>
      <c r="I77" s="2">
        <f t="shared" si="103"/>
        <v>139.92080688476562</v>
      </c>
      <c r="J77" s="2">
        <f t="shared" si="103"/>
        <v>134.62852478027344</v>
      </c>
      <c r="K77" s="2" t="str">
        <f t="shared" si="103"/>
        <v/>
      </c>
      <c r="L77" s="2">
        <f t="shared" si="103"/>
        <v>132.98695373535156</v>
      </c>
      <c r="M77" s="2">
        <f t="shared" si="103"/>
        <v>138.48065185546875</v>
      </c>
      <c r="N77" s="2">
        <f t="shared" si="103"/>
        <v>138.71229553222656</v>
      </c>
      <c r="O77" s="2">
        <f t="shared" si="103"/>
        <v>148.92927551269531</v>
      </c>
      <c r="P77" s="2">
        <f t="shared" si="103"/>
        <v>141.93499755859375</v>
      </c>
      <c r="Q77" s="2">
        <f t="shared" si="103"/>
        <v>141.11924743652344</v>
      </c>
      <c r="R77" s="2">
        <f t="shared" si="103"/>
        <v>139.00434875488281</v>
      </c>
      <c r="S77" s="2" t="str">
        <f t="shared" si="103"/>
        <v/>
      </c>
      <c r="T77" s="2" t="str">
        <f t="shared" si="103"/>
        <v/>
      </c>
      <c r="U77" s="2" t="str">
        <f t="shared" si="103"/>
        <v/>
      </c>
      <c r="V77" s="2">
        <f t="shared" si="103"/>
        <v>150.77226257324219</v>
      </c>
      <c r="W77" s="2">
        <f t="shared" si="103"/>
        <v>142.27236938476562</v>
      </c>
      <c r="X77" s="2" t="str">
        <f t="shared" si="103"/>
        <v/>
      </c>
      <c r="Y77" s="2" t="str">
        <f t="shared" si="103"/>
        <v/>
      </c>
      <c r="Z77" s="2">
        <f t="shared" si="103"/>
        <v>137.96200561523437</v>
      </c>
      <c r="AA77" s="2" t="str">
        <f t="shared" si="103"/>
        <v/>
      </c>
      <c r="AB77" s="2" t="str">
        <f t="shared" si="103"/>
        <v/>
      </c>
      <c r="AC77" s="2">
        <f t="shared" si="103"/>
        <v>118.94300842285156</v>
      </c>
      <c r="AD77" s="2">
        <f t="shared" si="103"/>
        <v>139.90066528320312</v>
      </c>
      <c r="AE77" s="2">
        <f t="shared" si="103"/>
        <v>134.4925537109375</v>
      </c>
      <c r="AF77" s="2">
        <f t="shared" si="103"/>
        <v>121.40032196044922</v>
      </c>
      <c r="AG77" s="2">
        <f t="shared" si="103"/>
        <v>127.30190277099609</v>
      </c>
      <c r="AH77" s="2">
        <f t="shared" si="96"/>
        <v>136.76071531876275</v>
      </c>
      <c r="AI77" s="2">
        <f t="shared" si="97"/>
        <v>7.5999472201833873</v>
      </c>
      <c r="AJ77" s="3">
        <f t="shared" si="98"/>
        <v>5.5571128028026044E-2</v>
      </c>
      <c r="AK77" s="2">
        <f t="shared" si="99"/>
        <v>-2.3444513994244875</v>
      </c>
      <c r="AL77" s="2">
        <f t="shared" si="100"/>
        <v>1.8436374422796766</v>
      </c>
      <c r="AM77" s="2">
        <f t="shared" si="101"/>
        <v>-0.50081395714481092</v>
      </c>
    </row>
    <row r="78" spans="1:39" s="44" customFormat="1">
      <c r="A78" s="229"/>
      <c r="B78" s="2" t="str">
        <f t="shared" ref="B78:AG78" si="104">IF(B$93,B38,"")</f>
        <v/>
      </c>
      <c r="C78" s="2">
        <f t="shared" si="104"/>
        <v>92.340583801269531</v>
      </c>
      <c r="D78" s="2">
        <f t="shared" si="104"/>
        <v>91.550010681152344</v>
      </c>
      <c r="E78" s="2">
        <f t="shared" si="104"/>
        <v>98.408332824707031</v>
      </c>
      <c r="F78" s="2">
        <f t="shared" si="104"/>
        <v>94.133209228515625</v>
      </c>
      <c r="G78" s="2">
        <f t="shared" si="104"/>
        <v>90.1702880859375</v>
      </c>
      <c r="H78" s="2">
        <f t="shared" si="104"/>
        <v>92.2398681640625</v>
      </c>
      <c r="I78" s="2">
        <f t="shared" si="104"/>
        <v>93.216751098632813</v>
      </c>
      <c r="J78" s="2">
        <f t="shared" si="104"/>
        <v>91.217666625976563</v>
      </c>
      <c r="K78" s="2" t="str">
        <f t="shared" si="104"/>
        <v/>
      </c>
      <c r="L78" s="2">
        <f t="shared" si="104"/>
        <v>93.498741149902344</v>
      </c>
      <c r="M78" s="2">
        <f t="shared" si="104"/>
        <v>100.30167388916016</v>
      </c>
      <c r="N78" s="2">
        <f t="shared" si="104"/>
        <v>95.452507019042969</v>
      </c>
      <c r="O78" s="2">
        <f t="shared" si="104"/>
        <v>104.27970123291016</v>
      </c>
      <c r="P78" s="2">
        <f t="shared" si="104"/>
        <v>96.671089172363281</v>
      </c>
      <c r="Q78" s="2">
        <f t="shared" si="104"/>
        <v>99.626914978027344</v>
      </c>
      <c r="R78" s="2">
        <f t="shared" si="104"/>
        <v>96.489814758300781</v>
      </c>
      <c r="S78" s="2" t="str">
        <f t="shared" si="104"/>
        <v/>
      </c>
      <c r="T78" s="2" t="str">
        <f t="shared" si="104"/>
        <v/>
      </c>
      <c r="U78" s="2" t="str">
        <f t="shared" si="104"/>
        <v/>
      </c>
      <c r="V78" s="2">
        <f t="shared" si="104"/>
        <v>103.96749877929687</v>
      </c>
      <c r="W78" s="2">
        <f t="shared" si="104"/>
        <v>100.79515075683594</v>
      </c>
      <c r="X78" s="2" t="str">
        <f t="shared" si="104"/>
        <v/>
      </c>
      <c r="Y78" s="2" t="str">
        <f t="shared" si="104"/>
        <v/>
      </c>
      <c r="Z78" s="2">
        <f t="shared" si="104"/>
        <v>93.83612060546875</v>
      </c>
      <c r="AA78" s="2" t="str">
        <f t="shared" si="104"/>
        <v/>
      </c>
      <c r="AB78" s="2" t="str">
        <f t="shared" si="104"/>
        <v/>
      </c>
      <c r="AC78" s="2">
        <f t="shared" si="104"/>
        <v>85.507438659667969</v>
      </c>
      <c r="AD78" s="2">
        <f t="shared" si="104"/>
        <v>95.96612548828125</v>
      </c>
      <c r="AE78" s="2">
        <f t="shared" si="104"/>
        <v>85.89013671875</v>
      </c>
      <c r="AF78" s="2">
        <f t="shared" si="104"/>
        <v>92.688026428222656</v>
      </c>
      <c r="AG78" s="2">
        <f t="shared" si="104"/>
        <v>91.811859130859375</v>
      </c>
      <c r="AH78" s="2">
        <f t="shared" ref="AH78:AH80" si="105">AVERAGE(B78:AG78)</f>
        <v>94.785196055536687</v>
      </c>
      <c r="AI78" s="2">
        <f t="shared" ref="AI78:AI80" si="106">STDEV(B78:AG78)</f>
        <v>4.8929791783398402</v>
      </c>
      <c r="AJ78" s="3">
        <f t="shared" ref="AJ78:AJ80" si="107">AI78/AH78</f>
        <v>5.1621765654975685E-2</v>
      </c>
      <c r="AK78" s="2">
        <f t="shared" ref="AK78:AK80" si="108">(MIN(B78:AG78)-AH78)/AI78</f>
        <v>-1.8961367007117755</v>
      </c>
      <c r="AL78" s="2">
        <f t="shared" ref="AL78:AL80" si="109">(MAX(B78:AG78)-AH78)/AI78</f>
        <v>1.94043441251571</v>
      </c>
      <c r="AM78" s="2">
        <f t="shared" ref="AM78:AM80" si="110">AK78+AL78</f>
        <v>4.4297711803934492E-2</v>
      </c>
    </row>
    <row r="79" spans="1:39" s="44" customFormat="1">
      <c r="A79" s="229"/>
      <c r="B79" s="2" t="str">
        <f t="shared" ref="B79:AG79" si="111">IF(B$93,B39,"")</f>
        <v/>
      </c>
      <c r="C79" s="2">
        <f t="shared" si="111"/>
        <v>143.65713500976562</v>
      </c>
      <c r="D79" s="2">
        <f t="shared" si="111"/>
        <v>123.65621185302734</v>
      </c>
      <c r="E79" s="2">
        <f t="shared" si="111"/>
        <v>136.93980407714844</v>
      </c>
      <c r="F79" s="2">
        <f t="shared" si="111"/>
        <v>125.34310150146484</v>
      </c>
      <c r="G79" s="2">
        <f t="shared" si="111"/>
        <v>128.062255859375</v>
      </c>
      <c r="H79" s="2">
        <f t="shared" si="111"/>
        <v>126.94438171386719</v>
      </c>
      <c r="I79" s="2">
        <f t="shared" si="111"/>
        <v>138.23391723632812</v>
      </c>
      <c r="J79" s="2">
        <f t="shared" si="111"/>
        <v>121.31472015380859</v>
      </c>
      <c r="K79" s="2" t="str">
        <f t="shared" si="111"/>
        <v/>
      </c>
      <c r="L79" s="2">
        <f t="shared" si="111"/>
        <v>119.783935546875</v>
      </c>
      <c r="M79" s="2">
        <f t="shared" si="111"/>
        <v>125.82650756835937</v>
      </c>
      <c r="N79" s="2">
        <f t="shared" si="111"/>
        <v>124.58274078369141</v>
      </c>
      <c r="O79" s="2">
        <f t="shared" si="111"/>
        <v>135.8773193359375</v>
      </c>
      <c r="P79" s="2">
        <f t="shared" si="111"/>
        <v>129.02403259277344</v>
      </c>
      <c r="Q79" s="2">
        <f t="shared" si="111"/>
        <v>126.29480743408203</v>
      </c>
      <c r="R79" s="2">
        <f t="shared" si="111"/>
        <v>125.99267578125</v>
      </c>
      <c r="S79" s="2" t="str">
        <f t="shared" si="111"/>
        <v/>
      </c>
      <c r="T79" s="2" t="str">
        <f t="shared" si="111"/>
        <v/>
      </c>
      <c r="U79" s="2" t="str">
        <f t="shared" si="111"/>
        <v/>
      </c>
      <c r="V79" s="2">
        <f t="shared" si="111"/>
        <v>139.14533996582031</v>
      </c>
      <c r="W79" s="2">
        <f t="shared" si="111"/>
        <v>126.72785186767578</v>
      </c>
      <c r="X79" s="2" t="str">
        <f t="shared" si="111"/>
        <v/>
      </c>
      <c r="Y79" s="2" t="str">
        <f t="shared" si="111"/>
        <v/>
      </c>
      <c r="Z79" s="2">
        <f t="shared" si="111"/>
        <v>127.61913299560547</v>
      </c>
      <c r="AA79" s="2" t="str">
        <f t="shared" si="111"/>
        <v/>
      </c>
      <c r="AB79" s="2" t="str">
        <f t="shared" si="111"/>
        <v/>
      </c>
      <c r="AC79" s="2">
        <f t="shared" si="111"/>
        <v>120.81117248535156</v>
      </c>
      <c r="AD79" s="2">
        <f t="shared" si="111"/>
        <v>120.18173217773437</v>
      </c>
      <c r="AE79" s="2">
        <f t="shared" si="111"/>
        <v>122.31678009033203</v>
      </c>
      <c r="AF79" s="2">
        <f t="shared" si="111"/>
        <v>119.8040771484375</v>
      </c>
      <c r="AG79" s="2">
        <f t="shared" si="111"/>
        <v>140.31356811523437</v>
      </c>
      <c r="AH79" s="2">
        <f t="shared" si="105"/>
        <v>128.19361744756284</v>
      </c>
      <c r="AI79" s="2">
        <f t="shared" si="106"/>
        <v>7.2126831203239217</v>
      </c>
      <c r="AJ79" s="3">
        <f t="shared" si="107"/>
        <v>5.6263979938581926E-2</v>
      </c>
      <c r="AK79" s="2">
        <f t="shared" si="108"/>
        <v>-1.1659574891056859</v>
      </c>
      <c r="AL79" s="2">
        <f t="shared" si="109"/>
        <v>2.1439341371631357</v>
      </c>
      <c r="AM79" s="2">
        <f t="shared" si="110"/>
        <v>0.97797664805744988</v>
      </c>
    </row>
    <row r="80" spans="1:39" s="44" customFormat="1">
      <c r="A80" s="229"/>
      <c r="B80" s="2" t="str">
        <f t="shared" ref="B80:AG80" si="112">IF(B$93,B40,"")</f>
        <v/>
      </c>
      <c r="C80" s="2">
        <f t="shared" si="112"/>
        <v>229.864501953125</v>
      </c>
      <c r="D80" s="2">
        <f t="shared" si="112"/>
        <v>217.97573852539062</v>
      </c>
      <c r="E80" s="2">
        <f t="shared" si="112"/>
        <v>209.33485412597656</v>
      </c>
      <c r="F80" s="2">
        <f t="shared" si="112"/>
        <v>235.75601196289062</v>
      </c>
      <c r="G80" s="2">
        <f t="shared" si="112"/>
        <v>208.39825439453125</v>
      </c>
      <c r="H80" s="2">
        <f t="shared" si="112"/>
        <v>221.70199584960937</v>
      </c>
      <c r="I80" s="2">
        <f t="shared" si="112"/>
        <v>220.43807983398437</v>
      </c>
      <c r="J80" s="2">
        <f t="shared" si="112"/>
        <v>222.06454467773437</v>
      </c>
      <c r="K80" s="2" t="str">
        <f t="shared" si="112"/>
        <v/>
      </c>
      <c r="L80" s="2">
        <f t="shared" si="112"/>
        <v>221.23368835449219</v>
      </c>
      <c r="M80" s="2">
        <f t="shared" si="112"/>
        <v>217.34126281738281</v>
      </c>
      <c r="N80" s="2">
        <f t="shared" si="112"/>
        <v>227.54818725585937</v>
      </c>
      <c r="O80" s="2">
        <f t="shared" si="112"/>
        <v>256.74386596679687</v>
      </c>
      <c r="P80" s="2">
        <f t="shared" si="112"/>
        <v>229.10414123535156</v>
      </c>
      <c r="Q80" s="2">
        <f t="shared" si="112"/>
        <v>243.20851135253906</v>
      </c>
      <c r="R80" s="2">
        <f t="shared" si="112"/>
        <v>222.3314208984375</v>
      </c>
      <c r="S80" s="2" t="str">
        <f t="shared" si="112"/>
        <v/>
      </c>
      <c r="T80" s="2" t="str">
        <f t="shared" si="112"/>
        <v/>
      </c>
      <c r="U80" s="2" t="str">
        <f t="shared" si="112"/>
        <v/>
      </c>
      <c r="V80" s="2">
        <f t="shared" si="112"/>
        <v>252.13137817382812</v>
      </c>
      <c r="W80" s="2">
        <f t="shared" si="112"/>
        <v>240.84687805175781</v>
      </c>
      <c r="X80" s="2" t="str">
        <f t="shared" si="112"/>
        <v/>
      </c>
      <c r="Y80" s="2" t="str">
        <f t="shared" si="112"/>
        <v/>
      </c>
      <c r="Z80" s="2">
        <f t="shared" si="112"/>
        <v>218.51454162597656</v>
      </c>
      <c r="AA80" s="2" t="str">
        <f t="shared" si="112"/>
        <v/>
      </c>
      <c r="AB80" s="2" t="str">
        <f t="shared" si="112"/>
        <v/>
      </c>
      <c r="AC80" s="2">
        <f t="shared" si="112"/>
        <v>197.07347106933594</v>
      </c>
      <c r="AD80" s="2">
        <f t="shared" si="112"/>
        <v>237.25154113769531</v>
      </c>
      <c r="AE80" s="2">
        <f t="shared" si="112"/>
        <v>220.43807983398437</v>
      </c>
      <c r="AF80" s="2">
        <f t="shared" si="112"/>
        <v>201.7967529296875</v>
      </c>
      <c r="AG80" s="2">
        <f t="shared" si="112"/>
        <v>227.33668518066406</v>
      </c>
      <c r="AH80" s="2">
        <f t="shared" si="105"/>
        <v>225.14932118291441</v>
      </c>
      <c r="AI80" s="2">
        <f t="shared" si="106"/>
        <v>14.641122928530592</v>
      </c>
      <c r="AJ80" s="3">
        <f t="shared" si="107"/>
        <v>6.5028501314627299E-2</v>
      </c>
      <c r="AK80" s="2">
        <f t="shared" si="108"/>
        <v>-1.9176022392973793</v>
      </c>
      <c r="AL80" s="2">
        <f t="shared" si="109"/>
        <v>2.1579318019600393</v>
      </c>
      <c r="AM80" s="2">
        <f t="shared" si="110"/>
        <v>0.24032956266266003</v>
      </c>
    </row>
    <row r="81" spans="1:39" s="44" customFormat="1">
      <c r="A81" s="229"/>
      <c r="B81" s="2" t="str">
        <f t="shared" ref="B81:AG81" si="113">IF(B$93,B44,"")</f>
        <v/>
      </c>
      <c r="C81" s="2">
        <f t="shared" si="113"/>
        <v>186.96726989746094</v>
      </c>
      <c r="D81" s="2">
        <f t="shared" si="113"/>
        <v>172.63127136230469</v>
      </c>
      <c r="E81" s="2">
        <f t="shared" si="113"/>
        <v>183.24101257324219</v>
      </c>
      <c r="F81" s="2">
        <f t="shared" si="113"/>
        <v>184.94300842285156</v>
      </c>
      <c r="G81" s="2">
        <f t="shared" si="113"/>
        <v>175.30509948730469</v>
      </c>
      <c r="H81" s="2">
        <f t="shared" si="113"/>
        <v>175.11878967285156</v>
      </c>
      <c r="I81" s="2">
        <f t="shared" si="113"/>
        <v>185.85443115234375</v>
      </c>
      <c r="J81" s="2">
        <f t="shared" si="113"/>
        <v>178.01922607421875</v>
      </c>
      <c r="K81" s="2" t="str">
        <f t="shared" si="113"/>
        <v/>
      </c>
      <c r="L81" s="2">
        <f t="shared" si="113"/>
        <v>189.45982360839844</v>
      </c>
      <c r="M81" s="2">
        <f t="shared" si="113"/>
        <v>184.07186889648438</v>
      </c>
      <c r="N81" s="2">
        <f t="shared" si="113"/>
        <v>200.00411987304687</v>
      </c>
      <c r="O81" s="2">
        <f t="shared" si="113"/>
        <v>217.74411010742187</v>
      </c>
      <c r="P81" s="2">
        <f t="shared" si="113"/>
        <v>189.53033447265625</v>
      </c>
      <c r="Q81" s="2">
        <f t="shared" si="113"/>
        <v>209.03273010253906</v>
      </c>
      <c r="R81" s="2">
        <f t="shared" si="113"/>
        <v>187.11833190917969</v>
      </c>
      <c r="S81" s="2" t="str">
        <f t="shared" si="113"/>
        <v/>
      </c>
      <c r="T81" s="2" t="str">
        <f t="shared" si="113"/>
        <v/>
      </c>
      <c r="U81" s="2" t="str">
        <f t="shared" si="113"/>
        <v/>
      </c>
      <c r="V81" s="2">
        <f t="shared" si="113"/>
        <v>201.22270202636719</v>
      </c>
      <c r="W81" s="2">
        <f t="shared" si="113"/>
        <v>203.90158081054687</v>
      </c>
      <c r="X81" s="2" t="str">
        <f t="shared" si="113"/>
        <v/>
      </c>
      <c r="Y81" s="2" t="str">
        <f t="shared" si="113"/>
        <v/>
      </c>
      <c r="Z81" s="2">
        <f t="shared" si="113"/>
        <v>179.80178833007812</v>
      </c>
      <c r="AA81" s="2" t="str">
        <f t="shared" si="113"/>
        <v/>
      </c>
      <c r="AB81" s="2" t="str">
        <f t="shared" si="113"/>
        <v/>
      </c>
      <c r="AC81" s="2">
        <f t="shared" si="113"/>
        <v>173.59808349609375</v>
      </c>
      <c r="AD81" s="2">
        <f t="shared" si="113"/>
        <v>195.849853515625</v>
      </c>
      <c r="AE81" s="2">
        <f t="shared" si="113"/>
        <v>183.43235778808594</v>
      </c>
      <c r="AF81" s="2">
        <f t="shared" si="113"/>
        <v>182.87342834472656</v>
      </c>
      <c r="AG81" s="2">
        <f t="shared" si="113"/>
        <v>192.02288818359375</v>
      </c>
      <c r="AH81" s="2">
        <f t="shared" ref="AH81:AH83" si="114">AVERAGE(B81:AG81)</f>
        <v>188.33670043945313</v>
      </c>
      <c r="AI81" s="2">
        <f t="shared" ref="AI81:AI83" si="115">STDEV(B81:AG81)</f>
        <v>11.710713142315178</v>
      </c>
      <c r="AJ81" s="3">
        <f t="shared" ref="AJ81:AJ83" si="116">AI81/AH81</f>
        <v>6.2179666071403662E-2</v>
      </c>
      <c r="AK81" s="2">
        <f t="shared" ref="AK81:AK83" si="117">(MIN(B81:AG81)-AH81)/AI81</f>
        <v>-1.3411163680885376</v>
      </c>
      <c r="AL81" s="2">
        <f t="shared" ref="AL81:AL83" si="118">(MAX(B81:AG81)-AH81)/AI81</f>
        <v>2.5111544711746716</v>
      </c>
      <c r="AM81" s="2">
        <f t="shared" ref="AM81:AM83" si="119">AK81+AL81</f>
        <v>1.170038103086134</v>
      </c>
    </row>
    <row r="82" spans="1:39" s="44" customFormat="1">
      <c r="A82" s="229"/>
      <c r="B82" s="2" t="str">
        <f t="shared" ref="B82:AG82" si="120">IF(B$93,B45,"")</f>
        <v/>
      </c>
      <c r="C82" s="2">
        <f t="shared" si="120"/>
        <v>139.39207458496094</v>
      </c>
      <c r="D82" s="2">
        <f t="shared" si="120"/>
        <v>118.53513336181641</v>
      </c>
      <c r="E82" s="2">
        <f t="shared" si="120"/>
        <v>132.1611328125</v>
      </c>
      <c r="F82" s="2">
        <f t="shared" si="120"/>
        <v>125.23231506347656</v>
      </c>
      <c r="G82" s="2">
        <f t="shared" si="120"/>
        <v>122.35202789306641</v>
      </c>
      <c r="H82" s="2">
        <f t="shared" si="120"/>
        <v>124.70359039306641</v>
      </c>
      <c r="I82" s="2">
        <f t="shared" si="120"/>
        <v>129.42182922363281</v>
      </c>
      <c r="J82" s="2">
        <f t="shared" si="120"/>
        <v>120.92195129394531</v>
      </c>
      <c r="K82" s="2" t="str">
        <f t="shared" si="120"/>
        <v/>
      </c>
      <c r="L82" s="2">
        <f t="shared" si="120"/>
        <v>120.65003204345703</v>
      </c>
      <c r="M82" s="2">
        <f t="shared" si="120"/>
        <v>119.33074188232422</v>
      </c>
      <c r="N82" s="2">
        <f t="shared" si="120"/>
        <v>117.51293182373047</v>
      </c>
      <c r="O82" s="2">
        <f t="shared" si="120"/>
        <v>124.33097076416016</v>
      </c>
      <c r="P82" s="2">
        <f t="shared" si="120"/>
        <v>124.42664337158203</v>
      </c>
      <c r="Q82" s="2">
        <f t="shared" si="120"/>
        <v>119.51201629638672</v>
      </c>
      <c r="R82" s="2">
        <f t="shared" si="120"/>
        <v>118.56534576416016</v>
      </c>
      <c r="S82" s="2" t="str">
        <f t="shared" si="120"/>
        <v/>
      </c>
      <c r="T82" s="2" t="str">
        <f t="shared" si="120"/>
        <v/>
      </c>
      <c r="U82" s="2" t="str">
        <f t="shared" si="120"/>
        <v/>
      </c>
      <c r="V82" s="2">
        <f t="shared" si="120"/>
        <v>125.75601196289062</v>
      </c>
      <c r="W82" s="2">
        <f t="shared" si="120"/>
        <v>121.71251678466797</v>
      </c>
      <c r="X82" s="2" t="str">
        <f t="shared" si="120"/>
        <v/>
      </c>
      <c r="Y82" s="2" t="str">
        <f t="shared" si="120"/>
        <v/>
      </c>
      <c r="Z82" s="2">
        <f t="shared" si="120"/>
        <v>121.67726898193359</v>
      </c>
      <c r="AA82" s="2" t="str">
        <f t="shared" si="120"/>
        <v/>
      </c>
      <c r="AB82" s="2" t="str">
        <f t="shared" si="120"/>
        <v/>
      </c>
      <c r="AC82" s="2">
        <f t="shared" si="120"/>
        <v>115.805908203125</v>
      </c>
      <c r="AD82" s="2">
        <f t="shared" si="120"/>
        <v>118.05172729492187</v>
      </c>
      <c r="AE82" s="2">
        <f t="shared" si="120"/>
        <v>116.047607421875</v>
      </c>
      <c r="AF82" s="2">
        <f t="shared" si="120"/>
        <v>120.73563385009766</v>
      </c>
      <c r="AG82" s="2">
        <f t="shared" si="120"/>
        <v>128.09246826171875</v>
      </c>
      <c r="AH82" s="2">
        <f t="shared" si="114"/>
        <v>122.82295127536939</v>
      </c>
      <c r="AI82" s="2">
        <f t="shared" si="115"/>
        <v>5.5476296155562874</v>
      </c>
      <c r="AJ82" s="3">
        <f t="shared" si="116"/>
        <v>4.5167695108697455E-2</v>
      </c>
      <c r="AK82" s="2">
        <f t="shared" si="117"/>
        <v>-1.2648723073666768</v>
      </c>
      <c r="AL82" s="2">
        <f t="shared" si="118"/>
        <v>2.9867032332384866</v>
      </c>
      <c r="AM82" s="2">
        <f t="shared" si="119"/>
        <v>1.7218309258718099</v>
      </c>
    </row>
    <row r="83" spans="1:39" s="44" customFormat="1">
      <c r="A83" s="229"/>
      <c r="B83" s="2" t="str">
        <f t="shared" ref="B83:AG83" si="121">IF(B$93,B46,"")</f>
        <v/>
      </c>
      <c r="C83" s="2">
        <f t="shared" si="121"/>
        <v>203.33256530761719</v>
      </c>
      <c r="D83" s="2">
        <f t="shared" si="121"/>
        <v>197.14396667480469</v>
      </c>
      <c r="E83" s="2">
        <f t="shared" si="121"/>
        <v>193.04005432128906</v>
      </c>
      <c r="F83" s="2">
        <f t="shared" si="121"/>
        <v>216.49530029296875</v>
      </c>
      <c r="G83" s="2">
        <f t="shared" si="121"/>
        <v>191.36323547363281</v>
      </c>
      <c r="H83" s="2">
        <f t="shared" si="121"/>
        <v>199.91851806640625</v>
      </c>
      <c r="I83" s="2">
        <f t="shared" si="121"/>
        <v>203.36781311035156</v>
      </c>
      <c r="J83" s="2">
        <f t="shared" si="121"/>
        <v>206.69627380371094</v>
      </c>
      <c r="K83" s="2" t="str">
        <f t="shared" si="121"/>
        <v/>
      </c>
      <c r="L83" s="2">
        <f t="shared" si="121"/>
        <v>208.29251098632812</v>
      </c>
      <c r="M83" s="2">
        <f t="shared" si="121"/>
        <v>194.93339538574219</v>
      </c>
      <c r="N83" s="2">
        <f t="shared" si="121"/>
        <v>209.92401123046875</v>
      </c>
      <c r="O83" s="2">
        <f t="shared" si="121"/>
        <v>234.28060913085937</v>
      </c>
      <c r="P83" s="2">
        <f t="shared" si="121"/>
        <v>204.84321594238281</v>
      </c>
      <c r="Q83" s="2">
        <f t="shared" si="121"/>
        <v>224.57725524902344</v>
      </c>
      <c r="R83" s="2">
        <f t="shared" si="121"/>
        <v>200.84001159667969</v>
      </c>
      <c r="S83" s="2" t="str">
        <f t="shared" si="121"/>
        <v/>
      </c>
      <c r="T83" s="2" t="str">
        <f t="shared" si="121"/>
        <v/>
      </c>
      <c r="U83" s="2" t="str">
        <f t="shared" si="121"/>
        <v/>
      </c>
      <c r="V83" s="2">
        <f t="shared" si="121"/>
        <v>224.52186584472656</v>
      </c>
      <c r="W83" s="2">
        <f t="shared" si="121"/>
        <v>220.23162841796875</v>
      </c>
      <c r="X83" s="2" t="str">
        <f t="shared" si="121"/>
        <v/>
      </c>
      <c r="Y83" s="2" t="str">
        <f t="shared" si="121"/>
        <v/>
      </c>
      <c r="Z83" s="2">
        <f t="shared" si="121"/>
        <v>196.98283386230469</v>
      </c>
      <c r="AA83" s="2" t="str">
        <f t="shared" si="121"/>
        <v/>
      </c>
      <c r="AB83" s="2" t="str">
        <f t="shared" si="121"/>
        <v/>
      </c>
      <c r="AC83" s="2">
        <f t="shared" si="121"/>
        <v>177.58114624023437</v>
      </c>
      <c r="AD83" s="2">
        <f t="shared" si="121"/>
        <v>221.5458984375</v>
      </c>
      <c r="AE83" s="2">
        <f t="shared" si="121"/>
        <v>202.58229064941406</v>
      </c>
      <c r="AF83" s="2">
        <f t="shared" si="121"/>
        <v>178.51774597167969</v>
      </c>
      <c r="AG83" s="2">
        <f t="shared" si="121"/>
        <v>208.0054931640625</v>
      </c>
      <c r="AH83" s="2">
        <f t="shared" si="114"/>
        <v>205.17467996348506</v>
      </c>
      <c r="AI83" s="2">
        <f t="shared" si="115"/>
        <v>14.09353078409346</v>
      </c>
      <c r="AJ83" s="3">
        <f t="shared" si="116"/>
        <v>6.8690399744265163E-2</v>
      </c>
      <c r="AK83" s="2">
        <f t="shared" si="117"/>
        <v>-1.9578865045226201</v>
      </c>
      <c r="AL83" s="2">
        <f t="shared" si="118"/>
        <v>2.0651978282280026</v>
      </c>
      <c r="AM83" s="2">
        <f t="shared" si="119"/>
        <v>0.10731132370538243</v>
      </c>
    </row>
    <row r="84" spans="1:39" s="44" customFormat="1">
      <c r="A84" s="229"/>
      <c r="B84" s="2" t="str">
        <f t="shared" ref="B84:AG84" si="122">IF(B$93,B50,"")</f>
        <v/>
      </c>
      <c r="C84" s="2">
        <f t="shared" si="122"/>
        <v>318.83633422851563</v>
      </c>
      <c r="D84" s="2">
        <f t="shared" si="122"/>
        <v>303.75509643554687</v>
      </c>
      <c r="E84" s="2">
        <f t="shared" si="122"/>
        <v>329.92950439453125</v>
      </c>
      <c r="F84" s="2">
        <f t="shared" si="122"/>
        <v>300.18997192382813</v>
      </c>
      <c r="G84" s="2">
        <f t="shared" si="122"/>
        <v>296.2471923828125</v>
      </c>
      <c r="H84" s="2">
        <f t="shared" si="122"/>
        <v>294.9027099609375</v>
      </c>
      <c r="I84" s="2">
        <f t="shared" si="122"/>
        <v>312.662841796875</v>
      </c>
      <c r="J84" s="2">
        <f t="shared" si="122"/>
        <v>293.16046142578125</v>
      </c>
      <c r="K84" s="2" t="str">
        <f t="shared" si="122"/>
        <v/>
      </c>
      <c r="L84" s="2">
        <f t="shared" si="122"/>
        <v>309.57107543945312</v>
      </c>
      <c r="M84" s="2">
        <f t="shared" si="122"/>
        <v>329.93453979492187</v>
      </c>
      <c r="N84" s="2">
        <f t="shared" si="122"/>
        <v>326.66146850585937</v>
      </c>
      <c r="O84" s="2">
        <f t="shared" si="122"/>
        <v>329.94461059570312</v>
      </c>
      <c r="P84" s="2">
        <f t="shared" si="122"/>
        <v>329.9395751953125</v>
      </c>
      <c r="Q84" s="2">
        <f t="shared" si="122"/>
        <v>329.93453979492187</v>
      </c>
      <c r="R84" s="2">
        <f t="shared" si="122"/>
        <v>329.9395751953125</v>
      </c>
      <c r="S84" s="2" t="str">
        <f t="shared" si="122"/>
        <v/>
      </c>
      <c r="T84" s="2" t="str">
        <f t="shared" si="122"/>
        <v/>
      </c>
      <c r="U84" s="2" t="str">
        <f t="shared" si="122"/>
        <v/>
      </c>
      <c r="V84" s="2">
        <f t="shared" si="122"/>
        <v>329.9395751953125</v>
      </c>
      <c r="W84" s="2">
        <f t="shared" si="122"/>
        <v>329.93453979492187</v>
      </c>
      <c r="X84" s="2" t="str">
        <f t="shared" si="122"/>
        <v/>
      </c>
      <c r="Y84" s="2" t="str">
        <f t="shared" si="122"/>
        <v/>
      </c>
      <c r="Z84" s="2">
        <f t="shared" si="122"/>
        <v>329.033203125</v>
      </c>
      <c r="AA84" s="2" t="str">
        <f t="shared" si="122"/>
        <v/>
      </c>
      <c r="AB84" s="2" t="str">
        <f t="shared" si="122"/>
        <v/>
      </c>
      <c r="AC84" s="2">
        <f t="shared" si="122"/>
        <v>275.88372802734375</v>
      </c>
      <c r="AD84" s="2">
        <f t="shared" si="122"/>
        <v>323.01077270507812</v>
      </c>
      <c r="AE84" s="2">
        <f t="shared" si="122"/>
        <v>286.71502685546875</v>
      </c>
      <c r="AF84" s="2">
        <f t="shared" si="122"/>
        <v>301.8516845703125</v>
      </c>
      <c r="AG84" s="2">
        <f t="shared" si="122"/>
        <v>311.10186767578125</v>
      </c>
      <c r="AH84" s="2">
        <f t="shared" ref="AH84:AH86" si="123">AVERAGE(B84:AG84)</f>
        <v>314.04695195737094</v>
      </c>
      <c r="AI84" s="2">
        <f t="shared" ref="AI84:AI86" si="124">STDEV(B84:AG84)</f>
        <v>16.93207822446972</v>
      </c>
      <c r="AJ84" s="3">
        <f t="shared" ref="AJ84:AJ86" si="125">AI84/AH84</f>
        <v>5.3915754058227884E-2</v>
      </c>
      <c r="AK84" s="2">
        <f t="shared" ref="AK84:AK86" si="126">(MIN(B84:AG84)-AH84)/AI84</f>
        <v>-2.2539007571365262</v>
      </c>
      <c r="AL84" s="2">
        <f t="shared" ref="AL84:AL86" si="127">(MAX(B84:AG84)-AH84)/AI84</f>
        <v>0.9389077009671134</v>
      </c>
      <c r="AM84" s="2">
        <f t="shared" ref="AM84:AM86" si="128">AK84+AL84</f>
        <v>-1.3149930561694128</v>
      </c>
    </row>
    <row r="85" spans="1:39" s="44" customFormat="1">
      <c r="A85" s="229"/>
      <c r="B85" s="2" t="str">
        <f t="shared" ref="B85:AG85" si="129">IF(B$93,B51,"")</f>
        <v/>
      </c>
      <c r="C85" s="2">
        <f t="shared" si="129"/>
        <v>132.1812744140625</v>
      </c>
      <c r="D85" s="2">
        <f t="shared" si="129"/>
        <v>113.87228393554687</v>
      </c>
      <c r="E85" s="2">
        <f t="shared" si="129"/>
        <v>126.83360290527344</v>
      </c>
      <c r="F85" s="2">
        <f t="shared" si="129"/>
        <v>124.40146636962891</v>
      </c>
      <c r="G85" s="2">
        <f t="shared" si="129"/>
        <v>112.07965087890625</v>
      </c>
      <c r="H85" s="2">
        <f t="shared" si="129"/>
        <v>121.24421691894531</v>
      </c>
      <c r="I85" s="2">
        <f t="shared" si="129"/>
        <v>122.47287750244141</v>
      </c>
      <c r="J85" s="2">
        <f t="shared" si="129"/>
        <v>117.18058776855469</v>
      </c>
      <c r="K85" s="2" t="str">
        <f t="shared" si="129"/>
        <v/>
      </c>
      <c r="L85" s="2">
        <f t="shared" si="129"/>
        <v>114.44632720947266</v>
      </c>
      <c r="M85" s="2">
        <f t="shared" si="129"/>
        <v>112.35660552978516</v>
      </c>
      <c r="N85" s="2">
        <f t="shared" si="129"/>
        <v>105.91622924804687</v>
      </c>
      <c r="O85" s="2">
        <f t="shared" si="129"/>
        <v>121.97940063476562</v>
      </c>
      <c r="P85" s="2">
        <f t="shared" si="129"/>
        <v>116.88349914550781</v>
      </c>
      <c r="Q85" s="2">
        <f t="shared" si="129"/>
        <v>114.80888366699219</v>
      </c>
      <c r="R85" s="2">
        <f t="shared" si="129"/>
        <v>108.73105621337891</v>
      </c>
      <c r="S85" s="2" t="str">
        <f t="shared" si="129"/>
        <v/>
      </c>
      <c r="T85" s="2" t="str">
        <f t="shared" si="129"/>
        <v/>
      </c>
      <c r="U85" s="2" t="str">
        <f t="shared" si="129"/>
        <v/>
      </c>
      <c r="V85" s="2">
        <f t="shared" si="129"/>
        <v>116.85328674316406</v>
      </c>
      <c r="W85" s="2">
        <f t="shared" si="129"/>
        <v>113.63057708740234</v>
      </c>
      <c r="X85" s="2" t="str">
        <f t="shared" si="129"/>
        <v/>
      </c>
      <c r="Y85" s="2" t="str">
        <f t="shared" si="129"/>
        <v/>
      </c>
      <c r="Z85" s="2">
        <f t="shared" si="129"/>
        <v>115.84115600585937</v>
      </c>
      <c r="AA85" s="2" t="str">
        <f t="shared" si="129"/>
        <v/>
      </c>
      <c r="AB85" s="2" t="str">
        <f t="shared" si="129"/>
        <v/>
      </c>
      <c r="AC85" s="2">
        <f t="shared" si="129"/>
        <v>109.44609832763672</v>
      </c>
      <c r="AD85" s="2">
        <f t="shared" si="129"/>
        <v>108.95262145996094</v>
      </c>
      <c r="AE85" s="2">
        <f t="shared" si="129"/>
        <v>108.72098541259766</v>
      </c>
      <c r="AF85" s="2">
        <f t="shared" si="129"/>
        <v>114.91462707519531</v>
      </c>
      <c r="AG85" s="2">
        <f t="shared" si="129"/>
        <v>119.43648529052734</v>
      </c>
      <c r="AH85" s="2">
        <f t="shared" si="123"/>
        <v>116.22538259755011</v>
      </c>
      <c r="AI85" s="2">
        <f t="shared" si="124"/>
        <v>6.4400236151525236</v>
      </c>
      <c r="AJ85" s="3">
        <f t="shared" si="125"/>
        <v>5.5409786323975252E-2</v>
      </c>
      <c r="AK85" s="2">
        <f t="shared" si="126"/>
        <v>-1.6007943395187496</v>
      </c>
      <c r="AL85" s="2">
        <f t="shared" si="127"/>
        <v>2.4776138675905299</v>
      </c>
      <c r="AM85" s="2">
        <f t="shared" si="128"/>
        <v>0.87681952807178032</v>
      </c>
    </row>
    <row r="86" spans="1:39" s="44" customFormat="1">
      <c r="A86" s="229"/>
      <c r="B86" s="2" t="str">
        <f t="shared" ref="B86:AG86" si="130">IF(B$93,B52,"")</f>
        <v/>
      </c>
      <c r="C86" s="2">
        <f t="shared" si="130"/>
        <v>187.76791381835937</v>
      </c>
      <c r="D86" s="2">
        <f t="shared" si="130"/>
        <v>175.87411499023437</v>
      </c>
      <c r="E86" s="2">
        <f t="shared" si="130"/>
        <v>179.615478515625</v>
      </c>
      <c r="F86" s="2">
        <f t="shared" si="130"/>
        <v>195.56787109375</v>
      </c>
      <c r="G86" s="2">
        <f t="shared" si="130"/>
        <v>169.32798767089844</v>
      </c>
      <c r="H86" s="2">
        <f t="shared" si="130"/>
        <v>179.07164001464844</v>
      </c>
      <c r="I86" s="2">
        <f t="shared" si="130"/>
        <v>187.07301330566406</v>
      </c>
      <c r="J86" s="2">
        <f t="shared" si="130"/>
        <v>185.33576965332031</v>
      </c>
      <c r="K86" s="2" t="str">
        <f t="shared" si="130"/>
        <v/>
      </c>
      <c r="L86" s="2">
        <f t="shared" si="130"/>
        <v>183.22590637207031</v>
      </c>
      <c r="M86" s="2">
        <f t="shared" si="130"/>
        <v>172.16799926757813</v>
      </c>
      <c r="N86" s="2">
        <f t="shared" si="130"/>
        <v>189.24833679199219</v>
      </c>
      <c r="O86" s="2">
        <f t="shared" si="130"/>
        <v>216.1226806640625</v>
      </c>
      <c r="P86" s="2">
        <f t="shared" si="130"/>
        <v>191.06111145019531</v>
      </c>
      <c r="Q86" s="2">
        <f t="shared" si="130"/>
        <v>202.85923767089844</v>
      </c>
      <c r="R86" s="2">
        <f t="shared" si="130"/>
        <v>175.56695556640625</v>
      </c>
      <c r="S86" s="2" t="str">
        <f t="shared" si="130"/>
        <v/>
      </c>
      <c r="T86" s="2" t="str">
        <f t="shared" si="130"/>
        <v/>
      </c>
      <c r="U86" s="2" t="str">
        <f t="shared" si="130"/>
        <v/>
      </c>
      <c r="V86" s="2">
        <f t="shared" si="130"/>
        <v>201.12702941894531</v>
      </c>
      <c r="W86" s="2">
        <f t="shared" si="130"/>
        <v>202.24490356445312</v>
      </c>
      <c r="X86" s="2" t="str">
        <f t="shared" si="130"/>
        <v/>
      </c>
      <c r="Y86" s="2" t="str">
        <f t="shared" si="130"/>
        <v/>
      </c>
      <c r="Z86" s="2">
        <f t="shared" si="130"/>
        <v>173.9102783203125</v>
      </c>
      <c r="AA86" s="2" t="str">
        <f t="shared" si="130"/>
        <v/>
      </c>
      <c r="AB86" s="2" t="str">
        <f t="shared" si="130"/>
        <v/>
      </c>
      <c r="AC86" s="2">
        <f t="shared" si="130"/>
        <v>167.98855590820312</v>
      </c>
      <c r="AD86" s="2">
        <f t="shared" si="130"/>
        <v>201.04646301269531</v>
      </c>
      <c r="AE86" s="2">
        <f t="shared" si="130"/>
        <v>190.96543884277344</v>
      </c>
      <c r="AF86" s="2">
        <f t="shared" si="130"/>
        <v>169.64523315429687</v>
      </c>
      <c r="AG86" s="2">
        <f t="shared" si="130"/>
        <v>184.94300842285156</v>
      </c>
      <c r="AH86" s="2">
        <f t="shared" si="123"/>
        <v>186.16334467348844</v>
      </c>
      <c r="AI86" s="2">
        <f t="shared" si="124"/>
        <v>12.762679318253012</v>
      </c>
      <c r="AJ86" s="3">
        <f t="shared" si="125"/>
        <v>6.8556349482426046E-2</v>
      </c>
      <c r="AK86" s="2">
        <f t="shared" si="126"/>
        <v>-1.4240574656837124</v>
      </c>
      <c r="AL86" s="2">
        <f t="shared" si="127"/>
        <v>2.3474174382589572</v>
      </c>
      <c r="AM86" s="2">
        <f t="shared" si="128"/>
        <v>0.92335997257524483</v>
      </c>
    </row>
    <row r="87" spans="1:39">
      <c r="A87" s="197"/>
      <c r="B87" s="197"/>
      <c r="C87" s="197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</row>
    <row r="88" spans="1:39" ht="15.75" thickBot="1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</row>
    <row r="89" spans="1:39" ht="15" customHeight="1">
      <c r="A89" s="232"/>
      <c r="B89" s="53">
        <f>Calculations!B59</f>
        <v>0.48453976020689793</v>
      </c>
      <c r="C89" s="54">
        <f>Calculations!C59</f>
        <v>0.26173000722415962</v>
      </c>
      <c r="D89" s="55">
        <f>Calculations!D59</f>
        <v>0.31176077409034492</v>
      </c>
      <c r="E89" s="230" t="s">
        <v>58</v>
      </c>
      <c r="F89" s="231"/>
      <c r="G89" s="231"/>
      <c r="H89" s="231"/>
      <c r="I89" s="231"/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  <c r="U89" s="231"/>
      <c r="V89" s="231"/>
      <c r="W89" s="231"/>
      <c r="X89" s="231"/>
      <c r="Y89" s="231"/>
      <c r="Z89" s="231"/>
      <c r="AA89" s="231"/>
      <c r="AB89" s="231"/>
      <c r="AC89" s="231"/>
      <c r="AD89" s="231"/>
      <c r="AE89" s="231"/>
      <c r="AF89" s="231"/>
      <c r="AG89" s="231"/>
      <c r="AH89" s="231"/>
      <c r="AI89" s="231"/>
      <c r="AJ89" s="231"/>
      <c r="AK89" s="231"/>
      <c r="AL89" s="231"/>
      <c r="AM89" s="231"/>
    </row>
    <row r="90" spans="1:39" ht="15" customHeight="1">
      <c r="A90" s="232"/>
      <c r="B90" s="56">
        <f>Calculations!B60</f>
        <v>6.2791388846238583E-2</v>
      </c>
      <c r="C90" s="57">
        <f>Calculations!C60</f>
        <v>1.0213190000212282</v>
      </c>
      <c r="D90" s="58">
        <f>Calculations!D60</f>
        <v>5.6582783350988312E-2</v>
      </c>
      <c r="E90" s="230"/>
      <c r="F90" s="231"/>
      <c r="G90" s="231"/>
      <c r="H90" s="231"/>
      <c r="I90" s="231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  <c r="Z90" s="231"/>
      <c r="AA90" s="231"/>
      <c r="AB90" s="231"/>
      <c r="AC90" s="231"/>
      <c r="AD90" s="231"/>
      <c r="AE90" s="231"/>
      <c r="AF90" s="231"/>
      <c r="AG90" s="231"/>
      <c r="AH90" s="231"/>
      <c r="AI90" s="231"/>
      <c r="AJ90" s="231"/>
      <c r="AK90" s="231"/>
      <c r="AL90" s="231"/>
      <c r="AM90" s="231"/>
    </row>
    <row r="91" spans="1:39" ht="15.75" customHeight="1" thickBot="1">
      <c r="A91" s="232"/>
      <c r="B91" s="59">
        <f>Calculations!B61</f>
        <v>-9.3333205831311827E-2</v>
      </c>
      <c r="C91" s="60">
        <f>Calculations!C61</f>
        <v>-0.45199253345426338</v>
      </c>
      <c r="D91" s="61">
        <f>Calculations!D61</f>
        <v>1.8167292845092831</v>
      </c>
      <c r="E91" s="230"/>
      <c r="F91" s="231"/>
      <c r="G91" s="231"/>
      <c r="H91" s="231"/>
      <c r="I91" s="231"/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  <c r="U91" s="231"/>
      <c r="V91" s="231"/>
      <c r="W91" s="231"/>
      <c r="X91" s="231"/>
      <c r="Y91" s="231"/>
      <c r="Z91" s="231"/>
      <c r="AA91" s="231"/>
      <c r="AB91" s="231"/>
      <c r="AC91" s="231"/>
      <c r="AD91" s="231"/>
      <c r="AE91" s="231"/>
      <c r="AF91" s="231"/>
      <c r="AG91" s="231"/>
      <c r="AH91" s="231"/>
      <c r="AI91" s="231"/>
      <c r="AJ91" s="231"/>
      <c r="AK91" s="231"/>
      <c r="AL91" s="231"/>
      <c r="AM91" s="231"/>
    </row>
    <row r="92" spans="1:39">
      <c r="B92" s="40">
        <f>B1</f>
        <v>0</v>
      </c>
      <c r="C92" s="40">
        <f t="shared" ref="C92:AM92" si="131">C1</f>
        <v>1</v>
      </c>
      <c r="D92" s="40">
        <f t="shared" si="131"/>
        <v>2</v>
      </c>
      <c r="E92" s="40">
        <f t="shared" si="131"/>
        <v>3</v>
      </c>
      <c r="F92" s="40">
        <f t="shared" si="131"/>
        <v>4</v>
      </c>
      <c r="G92" s="40">
        <f t="shared" si="131"/>
        <v>5</v>
      </c>
      <c r="H92" s="40">
        <f t="shared" si="131"/>
        <v>6</v>
      </c>
      <c r="I92" s="40">
        <f t="shared" si="131"/>
        <v>7</v>
      </c>
      <c r="J92" s="40">
        <f t="shared" si="131"/>
        <v>8</v>
      </c>
      <c r="K92" s="40">
        <f t="shared" si="131"/>
        <v>9</v>
      </c>
      <c r="L92" s="40">
        <f t="shared" si="131"/>
        <v>10</v>
      </c>
      <c r="M92" s="40">
        <f t="shared" si="131"/>
        <v>11</v>
      </c>
      <c r="N92" s="40">
        <f t="shared" si="131"/>
        <v>12</v>
      </c>
      <c r="O92" s="40">
        <f t="shared" si="131"/>
        <v>13</v>
      </c>
      <c r="P92" s="40">
        <f t="shared" si="131"/>
        <v>14</v>
      </c>
      <c r="Q92" s="40">
        <f t="shared" si="131"/>
        <v>15</v>
      </c>
      <c r="R92" s="40">
        <f t="shared" si="131"/>
        <v>16</v>
      </c>
      <c r="S92" s="40">
        <f t="shared" si="131"/>
        <v>17</v>
      </c>
      <c r="T92" s="40">
        <f t="shared" si="131"/>
        <v>18</v>
      </c>
      <c r="U92" s="40">
        <f t="shared" si="131"/>
        <v>19</v>
      </c>
      <c r="V92" s="40">
        <f t="shared" si="131"/>
        <v>20</v>
      </c>
      <c r="W92" s="40">
        <f t="shared" si="131"/>
        <v>21</v>
      </c>
      <c r="X92" s="40">
        <f t="shared" si="131"/>
        <v>22</v>
      </c>
      <c r="Y92" s="40">
        <f t="shared" si="131"/>
        <v>23</v>
      </c>
      <c r="Z92" s="40">
        <f t="shared" si="131"/>
        <v>24</v>
      </c>
      <c r="AA92" s="40">
        <f t="shared" si="131"/>
        <v>25</v>
      </c>
      <c r="AB92" s="40">
        <f t="shared" si="131"/>
        <v>26</v>
      </c>
      <c r="AC92" s="40">
        <f t="shared" si="131"/>
        <v>27</v>
      </c>
      <c r="AD92" s="40">
        <f t="shared" si="131"/>
        <v>28</v>
      </c>
      <c r="AE92" s="40">
        <f t="shared" si="131"/>
        <v>29</v>
      </c>
      <c r="AF92" s="40">
        <f t="shared" si="131"/>
        <v>30</v>
      </c>
      <c r="AG92" s="40">
        <f t="shared" si="131"/>
        <v>31</v>
      </c>
      <c r="AH92" s="40" t="str">
        <f t="shared" si="131"/>
        <v>Mean</v>
      </c>
      <c r="AI92" s="40" t="str">
        <f t="shared" si="131"/>
        <v>stdDev</v>
      </c>
      <c r="AJ92" s="40" t="str">
        <f t="shared" si="131"/>
        <v>%/val</v>
      </c>
      <c r="AK92" s="40" t="str">
        <f t="shared" si="131"/>
        <v>minσ</v>
      </c>
      <c r="AL92" s="40" t="str">
        <f t="shared" si="131"/>
        <v>maxσ</v>
      </c>
      <c r="AM92" s="40" t="str">
        <f t="shared" si="131"/>
        <v>balance</v>
      </c>
    </row>
    <row r="93" spans="1:39">
      <c r="A93" t="s">
        <v>77</v>
      </c>
      <c r="B93" s="30">
        <f>ABS(AND(DUTenable!B16,B2&lt;&gt;""))</f>
        <v>0</v>
      </c>
      <c r="C93" s="30">
        <f>ABS(AND(DUTenable!C16,C2&lt;&gt;""))</f>
        <v>1</v>
      </c>
      <c r="D93" s="30">
        <f>ABS(AND(DUTenable!D16,D2&lt;&gt;""))</f>
        <v>1</v>
      </c>
      <c r="E93" s="30">
        <f>ABS(AND(DUTenable!E16,E2&lt;&gt;""))</f>
        <v>1</v>
      </c>
      <c r="F93" s="30">
        <f>ABS(AND(DUTenable!F16,F2&lt;&gt;""))</f>
        <v>1</v>
      </c>
      <c r="G93" s="30">
        <f>ABS(AND(DUTenable!G16,G2&lt;&gt;""))</f>
        <v>1</v>
      </c>
      <c r="H93" s="30">
        <f>ABS(AND(DUTenable!H16,H2&lt;&gt;""))</f>
        <v>1</v>
      </c>
      <c r="I93" s="30">
        <f>ABS(AND(DUTenable!I16,I2&lt;&gt;""))</f>
        <v>1</v>
      </c>
      <c r="J93" s="30">
        <f>ABS(AND(DUTenable!J16,J2&lt;&gt;""))</f>
        <v>1</v>
      </c>
      <c r="K93" s="30">
        <f>ABS(AND(DUTenable!K16,K2&lt;&gt;""))</f>
        <v>0</v>
      </c>
      <c r="L93" s="30">
        <f>ABS(AND(DUTenable!L16,L2&lt;&gt;""))</f>
        <v>1</v>
      </c>
      <c r="M93" s="30">
        <f>ABS(AND(DUTenable!M16,M2&lt;&gt;""))</f>
        <v>1</v>
      </c>
      <c r="N93" s="30">
        <f>ABS(AND(DUTenable!N16,N2&lt;&gt;""))</f>
        <v>1</v>
      </c>
      <c r="O93" s="30">
        <f>ABS(AND(DUTenable!O16,O2&lt;&gt;""))</f>
        <v>1</v>
      </c>
      <c r="P93" s="30">
        <f>ABS(AND(DUTenable!P16,P2&lt;&gt;""))</f>
        <v>1</v>
      </c>
      <c r="Q93" s="30">
        <f>ABS(AND(DUTenable!Q16,Q2&lt;&gt;""))</f>
        <v>1</v>
      </c>
      <c r="R93" s="30">
        <f>ABS(AND(DUTenable!R16,R2&lt;&gt;""))</f>
        <v>1</v>
      </c>
      <c r="S93" s="30">
        <f>ABS(AND(DUTenable!S16,S2&lt;&gt;""))</f>
        <v>0</v>
      </c>
      <c r="T93" s="30">
        <f>ABS(AND(DUTenable!T16,T2&lt;&gt;""))</f>
        <v>0</v>
      </c>
      <c r="U93" s="30">
        <f>ABS(AND(DUTenable!U16,U2&lt;&gt;""))</f>
        <v>0</v>
      </c>
      <c r="V93" s="30">
        <f>ABS(AND(DUTenable!V16,V2&lt;&gt;""))</f>
        <v>1</v>
      </c>
      <c r="W93" s="30">
        <f>ABS(AND(DUTenable!W16,W2&lt;&gt;""))</f>
        <v>1</v>
      </c>
      <c r="X93" s="30">
        <f>ABS(AND(DUTenable!X16,X2&lt;&gt;""))</f>
        <v>0</v>
      </c>
      <c r="Y93" s="30">
        <f>ABS(AND(DUTenable!Y16,Y2&lt;&gt;""))</f>
        <v>0</v>
      </c>
      <c r="Z93" s="30">
        <f>ABS(AND(DUTenable!Z16,Z2&lt;&gt;""))</f>
        <v>1</v>
      </c>
      <c r="AA93" s="30">
        <f>ABS(AND(DUTenable!AA16,AA2&lt;&gt;""))</f>
        <v>0</v>
      </c>
      <c r="AB93" s="30">
        <f>ABS(AND(DUTenable!AB16,AB2&lt;&gt;""))</f>
        <v>0</v>
      </c>
      <c r="AC93" s="30">
        <f>ABS(AND(DUTenable!AC16,AC2&lt;&gt;""))</f>
        <v>1</v>
      </c>
      <c r="AD93" s="30">
        <f>ABS(AND(DUTenable!AD16,AD2&lt;&gt;""))</f>
        <v>1</v>
      </c>
      <c r="AE93" s="30">
        <f>ABS(AND(DUTenable!AE16,AE2&lt;&gt;""))</f>
        <v>1</v>
      </c>
      <c r="AF93" s="30">
        <f>ABS(AND(DUTenable!AF16,AF2&lt;&gt;""))</f>
        <v>1</v>
      </c>
      <c r="AG93" s="30">
        <f>ABS(AND(DUTenable!AG16,AG2&lt;&gt;""))</f>
        <v>1</v>
      </c>
      <c r="AH93" s="48"/>
      <c r="AI93" s="48"/>
      <c r="AJ93" s="48"/>
      <c r="AK93" s="48"/>
      <c r="AL93" s="48"/>
      <c r="AM93" s="48"/>
    </row>
    <row r="94" spans="1:39">
      <c r="A94" s="40" t="s">
        <v>18</v>
      </c>
      <c r="B94" s="43" t="str">
        <f t="shared" ref="B94:AG94" si="132">IF(B$93,$B$89*B2+$C$89*B3+$D$89*B4,"")</f>
        <v/>
      </c>
      <c r="C94" s="43">
        <f t="shared" si="132"/>
        <v>104.51251686697952</v>
      </c>
      <c r="D94" s="43">
        <f t="shared" si="132"/>
        <v>97.019881581733756</v>
      </c>
      <c r="E94" s="43">
        <f t="shared" si="132"/>
        <v>102.50392198336451</v>
      </c>
      <c r="F94" s="43">
        <f t="shared" si="132"/>
        <v>99.44106320305724</v>
      </c>
      <c r="G94" s="43">
        <f t="shared" si="132"/>
        <v>97.64267288589933</v>
      </c>
      <c r="H94" s="43">
        <f t="shared" si="132"/>
        <v>98.411644776443282</v>
      </c>
      <c r="I94" s="43">
        <f t="shared" si="132"/>
        <v>100.94702592521428</v>
      </c>
      <c r="J94" s="43">
        <f t="shared" si="132"/>
        <v>95.154542327485444</v>
      </c>
      <c r="K94" s="43" t="str">
        <f t="shared" si="132"/>
        <v/>
      </c>
      <c r="L94" s="43">
        <f t="shared" si="132"/>
        <v>97.049249586297151</v>
      </c>
      <c r="M94" s="43">
        <f t="shared" si="132"/>
        <v>99.492632686180713</v>
      </c>
      <c r="N94" s="43">
        <f t="shared" si="132"/>
        <v>100.11501573767829</v>
      </c>
      <c r="O94" s="43">
        <f t="shared" si="132"/>
        <v>109.55190559713384</v>
      </c>
      <c r="P94" s="43">
        <f t="shared" si="132"/>
        <v>102.40483626742251</v>
      </c>
      <c r="Q94" s="43">
        <f t="shared" si="132"/>
        <v>101.39374333472063</v>
      </c>
      <c r="R94" s="43">
        <f t="shared" si="132"/>
        <v>99.747204082524561</v>
      </c>
      <c r="S94" s="43" t="str">
        <f t="shared" si="132"/>
        <v/>
      </c>
      <c r="T94" s="43" t="str">
        <f t="shared" si="132"/>
        <v/>
      </c>
      <c r="U94" s="43" t="str">
        <f t="shared" si="132"/>
        <v/>
      </c>
      <c r="V94" s="43">
        <f t="shared" si="132"/>
        <v>109.85548510985869</v>
      </c>
      <c r="W94" s="43">
        <f t="shared" si="132"/>
        <v>102.59220780786865</v>
      </c>
      <c r="X94" s="43" t="str">
        <f t="shared" si="132"/>
        <v/>
      </c>
      <c r="Y94" s="43" t="str">
        <f t="shared" si="132"/>
        <v/>
      </c>
      <c r="Z94" s="43">
        <f t="shared" si="132"/>
        <v>98.922820657189718</v>
      </c>
      <c r="AA94" s="43" t="str">
        <f t="shared" si="132"/>
        <v/>
      </c>
      <c r="AB94" s="43" t="str">
        <f t="shared" si="132"/>
        <v/>
      </c>
      <c r="AC94" s="43">
        <f t="shared" si="132"/>
        <v>90.546721628345509</v>
      </c>
      <c r="AD94" s="43">
        <f t="shared" si="132"/>
        <v>99.219727607694708</v>
      </c>
      <c r="AE94" s="43">
        <f t="shared" si="132"/>
        <v>95.094920732962166</v>
      </c>
      <c r="AF94" s="43">
        <f t="shared" si="132"/>
        <v>93.990536697471725</v>
      </c>
      <c r="AG94" s="43">
        <f t="shared" si="132"/>
        <v>100.22846701451634</v>
      </c>
      <c r="AH94" s="43">
        <f>AVERAGE(B94:AG94)</f>
        <v>99.819075830349661</v>
      </c>
      <c r="AI94" s="43">
        <f>STDEV(B94:AG94)</f>
        <v>4.4248461276700715</v>
      </c>
      <c r="AJ94" s="47">
        <f>AI94/AH94</f>
        <v>4.4328662541320701E-2</v>
      </c>
      <c r="AK94" s="2">
        <f>(MIN(B94:AG94)-AH94)/AI94</f>
        <v>-2.0955201456658483</v>
      </c>
      <c r="AL94" s="2">
        <f>(MAX(B94:AG94)-AH94)/AI94</f>
        <v>2.2681939642483702</v>
      </c>
      <c r="AM94" s="2">
        <f>AK94+AL94</f>
        <v>0.17267381858252184</v>
      </c>
    </row>
    <row r="95" spans="1:39">
      <c r="A95" s="40" t="s">
        <v>9</v>
      </c>
      <c r="B95" s="43" t="str">
        <f t="shared" ref="B95:AG95" si="133">IF(B$93,$B$90*B2+$C$90*B3+$D$90*B4,"")</f>
        <v/>
      </c>
      <c r="C95" s="43">
        <f t="shared" si="133"/>
        <v>165.83250830042397</v>
      </c>
      <c r="D95" s="43">
        <f t="shared" si="133"/>
        <v>146.37098004497216</v>
      </c>
      <c r="E95" s="43">
        <f t="shared" si="133"/>
        <v>156.55386561991588</v>
      </c>
      <c r="F95" s="43">
        <f t="shared" si="133"/>
        <v>146.02809588508649</v>
      </c>
      <c r="G95" s="43">
        <f t="shared" si="133"/>
        <v>152.43592975372337</v>
      </c>
      <c r="H95" s="43">
        <f t="shared" si="133"/>
        <v>147.83567666290676</v>
      </c>
      <c r="I95" s="43">
        <f t="shared" si="133"/>
        <v>161.36688109068172</v>
      </c>
      <c r="J95" s="43">
        <f t="shared" si="133"/>
        <v>143.04147123497347</v>
      </c>
      <c r="K95" s="43" t="str">
        <f t="shared" si="133"/>
        <v/>
      </c>
      <c r="L95" s="43">
        <f t="shared" si="133"/>
        <v>146.74762248487599</v>
      </c>
      <c r="M95" s="43">
        <f t="shared" si="133"/>
        <v>150.32296959283366</v>
      </c>
      <c r="N95" s="43">
        <f t="shared" si="133"/>
        <v>155.39155784632018</v>
      </c>
      <c r="O95" s="43">
        <f t="shared" si="133"/>
        <v>161.59165920560929</v>
      </c>
      <c r="P95" s="43">
        <f t="shared" si="133"/>
        <v>154.55585917594709</v>
      </c>
      <c r="Q95" s="43">
        <f t="shared" si="133"/>
        <v>151.57913426592611</v>
      </c>
      <c r="R95" s="43">
        <f t="shared" si="133"/>
        <v>150.75519073420568</v>
      </c>
      <c r="S95" s="43" t="str">
        <f t="shared" si="133"/>
        <v/>
      </c>
      <c r="T95" s="43" t="str">
        <f t="shared" si="133"/>
        <v/>
      </c>
      <c r="U95" s="43" t="str">
        <f t="shared" si="133"/>
        <v/>
      </c>
      <c r="V95" s="43">
        <f t="shared" si="133"/>
        <v>165.10227879330043</v>
      </c>
      <c r="W95" s="43">
        <f t="shared" si="133"/>
        <v>151.82970715923207</v>
      </c>
      <c r="X95" s="43" t="str">
        <f t="shared" si="133"/>
        <v/>
      </c>
      <c r="Y95" s="43" t="str">
        <f t="shared" si="133"/>
        <v/>
      </c>
      <c r="Z95" s="43">
        <f t="shared" si="133"/>
        <v>151.67838953521129</v>
      </c>
      <c r="AA95" s="43" t="str">
        <f t="shared" si="133"/>
        <v/>
      </c>
      <c r="AB95" s="43" t="str">
        <f t="shared" si="133"/>
        <v/>
      </c>
      <c r="AC95" s="43">
        <f t="shared" si="133"/>
        <v>141.81377006661938</v>
      </c>
      <c r="AD95" s="43">
        <f t="shared" si="133"/>
        <v>151.44332172189382</v>
      </c>
      <c r="AE95" s="43">
        <f t="shared" si="133"/>
        <v>145.13300825476904</v>
      </c>
      <c r="AF95" s="43">
        <f t="shared" si="133"/>
        <v>146.13147304295725</v>
      </c>
      <c r="AG95" s="43">
        <f t="shared" si="133"/>
        <v>162.47398110891797</v>
      </c>
      <c r="AH95" s="43">
        <f t="shared" ref="AH95:AH97" si="134">AVERAGE(B95:AG95)</f>
        <v>152.4354491991871</v>
      </c>
      <c r="AI95" s="43">
        <f t="shared" ref="AI95:AI97" si="135">STDEV(B95:AG95)</f>
        <v>6.9737234106585486</v>
      </c>
      <c r="AJ95" s="47">
        <f t="shared" ref="AJ95:AJ99" si="136">AI95/AH95</f>
        <v>4.5748698529736335E-2</v>
      </c>
      <c r="AK95" s="2">
        <f t="shared" ref="AK95:AK96" si="137">(MIN(B95:AG95)-AH95)/AI95</f>
        <v>-1.5231001442262082</v>
      </c>
      <c r="AL95" s="2">
        <f t="shared" ref="AL95:AL96" si="138">(MAX(B95:AG95)-AH95)/AI95</f>
        <v>1.9210769215138317</v>
      </c>
      <c r="AM95" s="2">
        <f t="shared" ref="AM95:AM147" si="139">AK95+AL95</f>
        <v>0.39797677728762348</v>
      </c>
    </row>
    <row r="96" spans="1:39">
      <c r="A96" s="40" t="s">
        <v>19</v>
      </c>
      <c r="B96" s="43" t="str">
        <f t="shared" ref="B96:AG96" si="140">IF(B$93,$B$91*B2+$C$91*B3+$D$91*B4,"")</f>
        <v/>
      </c>
      <c r="C96" s="43">
        <f t="shared" si="140"/>
        <v>167.37091421890909</v>
      </c>
      <c r="D96" s="43">
        <f t="shared" si="140"/>
        <v>159.02669488735665</v>
      </c>
      <c r="E96" s="43">
        <f t="shared" si="140"/>
        <v>160.53839084560911</v>
      </c>
      <c r="F96" s="43">
        <f t="shared" si="140"/>
        <v>166.30994911060722</v>
      </c>
      <c r="G96" s="43">
        <f t="shared" si="140"/>
        <v>151.01984234295509</v>
      </c>
      <c r="H96" s="43">
        <f t="shared" si="140"/>
        <v>160.73045319272791</v>
      </c>
      <c r="I96" s="43">
        <f t="shared" si="140"/>
        <v>148.72716482145967</v>
      </c>
      <c r="J96" s="43">
        <f t="shared" si="140"/>
        <v>154.25931951395319</v>
      </c>
      <c r="K96" s="43" t="str">
        <f t="shared" si="140"/>
        <v/>
      </c>
      <c r="L96" s="43">
        <f t="shared" si="140"/>
        <v>156.54590799553412</v>
      </c>
      <c r="M96" s="43">
        <f t="shared" si="140"/>
        <v>157.8795291839325</v>
      </c>
      <c r="N96" s="43">
        <f t="shared" si="140"/>
        <v>154.68784739775367</v>
      </c>
      <c r="O96" s="43">
        <f t="shared" si="140"/>
        <v>180.37789713113975</v>
      </c>
      <c r="P96" s="43">
        <f t="shared" si="140"/>
        <v>168.73364332632292</v>
      </c>
      <c r="Q96" s="43">
        <f t="shared" si="140"/>
        <v>161.78755881511884</v>
      </c>
      <c r="R96" s="43">
        <f t="shared" si="140"/>
        <v>160.73134810238793</v>
      </c>
      <c r="S96" s="43" t="str">
        <f t="shared" si="140"/>
        <v/>
      </c>
      <c r="T96" s="43" t="str">
        <f t="shared" si="140"/>
        <v/>
      </c>
      <c r="U96" s="43" t="str">
        <f t="shared" si="140"/>
        <v/>
      </c>
      <c r="V96" s="43">
        <f t="shared" si="140"/>
        <v>183.05198747175695</v>
      </c>
      <c r="W96" s="43">
        <f t="shared" si="140"/>
        <v>168.55482409207437</v>
      </c>
      <c r="X96" s="43" t="str">
        <f t="shared" si="140"/>
        <v/>
      </c>
      <c r="Y96" s="43" t="str">
        <f t="shared" si="140"/>
        <v/>
      </c>
      <c r="Z96" s="43">
        <f t="shared" si="140"/>
        <v>158.83055652042611</v>
      </c>
      <c r="AA96" s="43" t="str">
        <f t="shared" si="140"/>
        <v/>
      </c>
      <c r="AB96" s="43" t="str">
        <f t="shared" si="140"/>
        <v/>
      </c>
      <c r="AC96" s="43">
        <f t="shared" si="140"/>
        <v>136.40763776489754</v>
      </c>
      <c r="AD96" s="43">
        <f t="shared" si="140"/>
        <v>154.82562743185471</v>
      </c>
      <c r="AE96" s="43">
        <f t="shared" si="140"/>
        <v>157.01132889340349</v>
      </c>
      <c r="AF96" s="43">
        <f t="shared" si="140"/>
        <v>136.27513265029745</v>
      </c>
      <c r="AG96" s="43">
        <f t="shared" si="140"/>
        <v>146.86954239450102</v>
      </c>
      <c r="AH96" s="43">
        <f t="shared" si="134"/>
        <v>158.71969991760778</v>
      </c>
      <c r="AI96" s="43">
        <f t="shared" si="135"/>
        <v>11.225647514120091</v>
      </c>
      <c r="AJ96" s="47">
        <f t="shared" si="136"/>
        <v>7.0726239527590981E-2</v>
      </c>
      <c r="AK96" s="2">
        <f t="shared" si="137"/>
        <v>-1.999400679477831</v>
      </c>
      <c r="AL96" s="2">
        <f t="shared" si="138"/>
        <v>2.167562051413336</v>
      </c>
      <c r="AM96" s="2">
        <f t="shared" si="139"/>
        <v>0.16816137193550507</v>
      </c>
    </row>
    <row r="97" spans="1:39">
      <c r="A97" s="62" t="str">
        <f>A53</f>
        <v>Ev</v>
      </c>
      <c r="B97" s="43" t="str">
        <f>B95</f>
        <v/>
      </c>
      <c r="C97" s="43">
        <f t="shared" ref="C97:AG97" si="141">C95</f>
        <v>165.83250830042397</v>
      </c>
      <c r="D97" s="43">
        <f t="shared" si="141"/>
        <v>146.37098004497216</v>
      </c>
      <c r="E97" s="43">
        <f t="shared" si="141"/>
        <v>156.55386561991588</v>
      </c>
      <c r="F97" s="43">
        <f t="shared" si="141"/>
        <v>146.02809588508649</v>
      </c>
      <c r="G97" s="43">
        <f t="shared" si="141"/>
        <v>152.43592975372337</v>
      </c>
      <c r="H97" s="43">
        <f t="shared" si="141"/>
        <v>147.83567666290676</v>
      </c>
      <c r="I97" s="43">
        <f t="shared" si="141"/>
        <v>161.36688109068172</v>
      </c>
      <c r="J97" s="43">
        <f t="shared" si="141"/>
        <v>143.04147123497347</v>
      </c>
      <c r="K97" s="43" t="str">
        <f t="shared" si="141"/>
        <v/>
      </c>
      <c r="L97" s="43">
        <f t="shared" si="141"/>
        <v>146.74762248487599</v>
      </c>
      <c r="M97" s="43">
        <f t="shared" si="141"/>
        <v>150.32296959283366</v>
      </c>
      <c r="N97" s="43">
        <f t="shared" si="141"/>
        <v>155.39155784632018</v>
      </c>
      <c r="O97" s="43">
        <f t="shared" si="141"/>
        <v>161.59165920560929</v>
      </c>
      <c r="P97" s="43">
        <f t="shared" si="141"/>
        <v>154.55585917594709</v>
      </c>
      <c r="Q97" s="43">
        <f t="shared" si="141"/>
        <v>151.57913426592611</v>
      </c>
      <c r="R97" s="43">
        <f t="shared" si="141"/>
        <v>150.75519073420568</v>
      </c>
      <c r="S97" s="43" t="str">
        <f t="shared" si="141"/>
        <v/>
      </c>
      <c r="T97" s="43" t="str">
        <f t="shared" si="141"/>
        <v/>
      </c>
      <c r="U97" s="43" t="str">
        <f t="shared" si="141"/>
        <v/>
      </c>
      <c r="V97" s="43">
        <f t="shared" si="141"/>
        <v>165.10227879330043</v>
      </c>
      <c r="W97" s="43">
        <f t="shared" si="141"/>
        <v>151.82970715923207</v>
      </c>
      <c r="X97" s="43" t="str">
        <f t="shared" si="141"/>
        <v/>
      </c>
      <c r="Y97" s="43" t="str">
        <f t="shared" si="141"/>
        <v/>
      </c>
      <c r="Z97" s="43">
        <f t="shared" si="141"/>
        <v>151.67838953521129</v>
      </c>
      <c r="AA97" s="43" t="str">
        <f t="shared" si="141"/>
        <v/>
      </c>
      <c r="AB97" s="43" t="str">
        <f t="shared" si="141"/>
        <v/>
      </c>
      <c r="AC97" s="43">
        <f t="shared" si="141"/>
        <v>141.81377006661938</v>
      </c>
      <c r="AD97" s="43">
        <f t="shared" si="141"/>
        <v>151.44332172189382</v>
      </c>
      <c r="AE97" s="43">
        <f t="shared" si="141"/>
        <v>145.13300825476904</v>
      </c>
      <c r="AF97" s="43">
        <f t="shared" si="141"/>
        <v>146.13147304295725</v>
      </c>
      <c r="AG97" s="43">
        <f t="shared" si="141"/>
        <v>162.47398110891797</v>
      </c>
      <c r="AH97" s="43">
        <f t="shared" si="134"/>
        <v>152.4354491991871</v>
      </c>
      <c r="AI97" s="43">
        <f t="shared" si="135"/>
        <v>6.9737234106585486</v>
      </c>
      <c r="AJ97" s="47">
        <f t="shared" si="136"/>
        <v>4.5748698529736335E-2</v>
      </c>
      <c r="AK97" s="2">
        <f t="shared" ref="AK97:AK102" si="142">(MIN(B97:AG97)-AH97)/AI97</f>
        <v>-1.5231001442262082</v>
      </c>
      <c r="AL97" s="2">
        <f t="shared" ref="AL97:AL102" si="143">(MAX(B97:AG97)-AH97)/AI97</f>
        <v>1.9210769215138317</v>
      </c>
      <c r="AM97" s="2">
        <f t="shared" si="139"/>
        <v>0.39797677728762348</v>
      </c>
    </row>
    <row r="98" spans="1:39">
      <c r="A98" s="62" t="str">
        <f t="shared" ref="A98:A99" si="144">A54</f>
        <v>x</v>
      </c>
      <c r="B98" s="44" t="str">
        <f>IF(B94&lt;&gt;"",B94/SUM(B94:B96),"")</f>
        <v/>
      </c>
      <c r="C98" s="44">
        <f t="shared" ref="C98:AG98" si="145">IF(C94&lt;&gt;"",C94/SUM(C94:C96),"")</f>
        <v>0.23876790279446616</v>
      </c>
      <c r="D98" s="44">
        <f t="shared" si="145"/>
        <v>0.2410925666915911</v>
      </c>
      <c r="E98" s="44">
        <f t="shared" si="145"/>
        <v>0.24429183879197408</v>
      </c>
      <c r="F98" s="44">
        <f t="shared" si="145"/>
        <v>0.24149127826820352</v>
      </c>
      <c r="G98" s="44">
        <f t="shared" si="145"/>
        <v>0.24343817361381334</v>
      </c>
      <c r="H98" s="44">
        <f t="shared" si="145"/>
        <v>0.24181085776836542</v>
      </c>
      <c r="I98" s="44">
        <f t="shared" si="145"/>
        <v>0.24558865972682623</v>
      </c>
      <c r="J98" s="44">
        <f t="shared" si="145"/>
        <v>0.24245954713261242</v>
      </c>
      <c r="K98" s="44" t="str">
        <f t="shared" si="145"/>
        <v/>
      </c>
      <c r="L98" s="44">
        <f t="shared" si="145"/>
        <v>0.24241538606023139</v>
      </c>
      <c r="M98" s="44">
        <f t="shared" si="145"/>
        <v>0.24403684274856996</v>
      </c>
      <c r="N98" s="44">
        <f t="shared" si="145"/>
        <v>0.24406722913993995</v>
      </c>
      <c r="O98" s="44">
        <f t="shared" si="145"/>
        <v>0.24262834623169194</v>
      </c>
      <c r="P98" s="44">
        <f t="shared" si="145"/>
        <v>0.24055954458634501</v>
      </c>
      <c r="Q98" s="44">
        <f t="shared" si="145"/>
        <v>0.24446339243669124</v>
      </c>
      <c r="R98" s="44">
        <f t="shared" si="145"/>
        <v>0.24255598136105025</v>
      </c>
      <c r="S98" s="44" t="str">
        <f t="shared" si="145"/>
        <v/>
      </c>
      <c r="T98" s="44" t="str">
        <f t="shared" si="145"/>
        <v/>
      </c>
      <c r="U98" s="44" t="str">
        <f t="shared" si="145"/>
        <v/>
      </c>
      <c r="V98" s="44">
        <f t="shared" si="145"/>
        <v>0.2398540310115222</v>
      </c>
      <c r="W98" s="44">
        <f t="shared" si="145"/>
        <v>0.24254810804978058</v>
      </c>
      <c r="X98" s="44" t="str">
        <f t="shared" si="145"/>
        <v/>
      </c>
      <c r="Y98" s="44" t="str">
        <f t="shared" si="145"/>
        <v/>
      </c>
      <c r="Z98" s="44">
        <f t="shared" si="145"/>
        <v>0.24161002809186899</v>
      </c>
      <c r="AA98" s="44" t="str">
        <f t="shared" si="145"/>
        <v/>
      </c>
      <c r="AB98" s="44" t="str">
        <f t="shared" si="145"/>
        <v/>
      </c>
      <c r="AC98" s="44">
        <f t="shared" si="145"/>
        <v>0.24553835973019147</v>
      </c>
      <c r="AD98" s="44">
        <f t="shared" si="145"/>
        <v>0.2446917344280555</v>
      </c>
      <c r="AE98" s="44">
        <f t="shared" si="145"/>
        <v>0.23938953375403113</v>
      </c>
      <c r="AF98" s="44">
        <f t="shared" si="145"/>
        <v>0.24971107936813983</v>
      </c>
      <c r="AG98" s="44">
        <f t="shared" si="145"/>
        <v>0.24471514003623571</v>
      </c>
      <c r="AH98" s="44">
        <f>AVERAGE(B98:AG98)</f>
        <v>0.24294458964444332</v>
      </c>
      <c r="AI98" s="44">
        <f>STDEV(B98:AH98)</f>
        <v>2.3532168578829604E-3</v>
      </c>
      <c r="AJ98" s="47">
        <f t="shared" si="136"/>
        <v>9.6862287047715847E-3</v>
      </c>
      <c r="AK98" s="2">
        <f t="shared" si="142"/>
        <v>-1.7748839576708866</v>
      </c>
      <c r="AL98" s="2">
        <f t="shared" si="143"/>
        <v>2.8754212349914434</v>
      </c>
      <c r="AM98" s="2">
        <f t="shared" si="139"/>
        <v>1.1005372773205568</v>
      </c>
    </row>
    <row r="99" spans="1:39">
      <c r="A99" s="62" t="str">
        <f t="shared" si="144"/>
        <v>y</v>
      </c>
      <c r="B99" s="44" t="str">
        <f>IF(B94&lt;&gt;"",B95/SUM(B94:B96),"")</f>
        <v/>
      </c>
      <c r="C99" s="44">
        <f t="shared" ref="C99:AG99" si="146">IF(C94&lt;&gt;"",C95/SUM(C94:C96),"")</f>
        <v>0.37885873777620438</v>
      </c>
      <c r="D99" s="44">
        <f t="shared" si="146"/>
        <v>0.36372911090885074</v>
      </c>
      <c r="E99" s="44">
        <f t="shared" si="146"/>
        <v>0.37310603304025447</v>
      </c>
      <c r="F99" s="44">
        <f t="shared" si="146"/>
        <v>0.35462725761843167</v>
      </c>
      <c r="G99" s="44">
        <f t="shared" si="146"/>
        <v>0.38004617484953007</v>
      </c>
      <c r="H99" s="44">
        <f t="shared" si="146"/>
        <v>0.36325245720495508</v>
      </c>
      <c r="I99" s="44">
        <f t="shared" si="146"/>
        <v>0.39258091744791085</v>
      </c>
      <c r="J99" s="44">
        <f t="shared" si="146"/>
        <v>0.36447834741775037</v>
      </c>
      <c r="K99" s="44" t="str">
        <f t="shared" si="146"/>
        <v/>
      </c>
      <c r="L99" s="44">
        <f t="shared" si="146"/>
        <v>0.3665549368978856</v>
      </c>
      <c r="M99" s="44">
        <f t="shared" si="146"/>
        <v>0.36871416407015811</v>
      </c>
      <c r="N99" s="44">
        <f t="shared" si="146"/>
        <v>0.37882416214830211</v>
      </c>
      <c r="O99" s="44">
        <f t="shared" si="146"/>
        <v>0.3578825655673295</v>
      </c>
      <c r="P99" s="44">
        <f t="shared" si="146"/>
        <v>0.36306768753991886</v>
      </c>
      <c r="Q99" s="44">
        <f t="shared" si="146"/>
        <v>0.36546189307694632</v>
      </c>
      <c r="R99" s="44">
        <f t="shared" si="146"/>
        <v>0.36659246311861221</v>
      </c>
      <c r="S99" s="44" t="str">
        <f t="shared" si="146"/>
        <v/>
      </c>
      <c r="T99" s="44" t="str">
        <f t="shared" si="146"/>
        <v/>
      </c>
      <c r="U99" s="44" t="str">
        <f t="shared" si="146"/>
        <v/>
      </c>
      <c r="V99" s="44">
        <f t="shared" si="146"/>
        <v>0.3604776498702788</v>
      </c>
      <c r="W99" s="44">
        <f t="shared" si="146"/>
        <v>0.35895521701015071</v>
      </c>
      <c r="X99" s="44" t="str">
        <f t="shared" si="146"/>
        <v/>
      </c>
      <c r="Y99" s="44" t="str">
        <f t="shared" si="146"/>
        <v/>
      </c>
      <c r="Z99" s="44">
        <f t="shared" si="146"/>
        <v>0.37046072597878699</v>
      </c>
      <c r="AA99" s="44" t="str">
        <f t="shared" si="146"/>
        <v/>
      </c>
      <c r="AB99" s="44" t="str">
        <f t="shared" si="146"/>
        <v/>
      </c>
      <c r="AC99" s="44">
        <f t="shared" si="146"/>
        <v>0.38456080864237141</v>
      </c>
      <c r="AD99" s="44">
        <f t="shared" si="146"/>
        <v>0.37348347907379625</v>
      </c>
      <c r="AE99" s="44">
        <f t="shared" si="146"/>
        <v>0.36535414205762357</v>
      </c>
      <c r="AF99" s="44">
        <f t="shared" si="146"/>
        <v>0.38823746672142001</v>
      </c>
      <c r="AG99" s="44">
        <f t="shared" si="146"/>
        <v>0.39669211975032059</v>
      </c>
      <c r="AH99" s="44">
        <f>AVERAGE(B99:AG99)</f>
        <v>0.37113037033859952</v>
      </c>
      <c r="AI99" s="44">
        <f>STDEV(B99:AH99)</f>
        <v>1.1118708993237377E-2</v>
      </c>
      <c r="AJ99" s="47">
        <f t="shared" si="136"/>
        <v>2.9959038337642001E-2</v>
      </c>
      <c r="AK99" s="2">
        <f t="shared" si="142"/>
        <v>-1.4842651903386788</v>
      </c>
      <c r="AL99" s="2">
        <f t="shared" si="143"/>
        <v>2.2989853792619486</v>
      </c>
      <c r="AM99" s="2">
        <f t="shared" si="139"/>
        <v>0.81472018892326981</v>
      </c>
    </row>
    <row r="100" spans="1:39">
      <c r="A100" s="40" t="str">
        <f>A94</f>
        <v>X</v>
      </c>
      <c r="B100" s="43" t="str">
        <f t="shared" ref="B100:AG100" si="147">IF(B$93,$B$89*B8+$C$89*B9+$D$89*B10,"")</f>
        <v/>
      </c>
      <c r="C100" s="43">
        <f t="shared" si="147"/>
        <v>128.4699714369066</v>
      </c>
      <c r="D100" s="43">
        <f t="shared" si="147"/>
        <v>120.03268090661747</v>
      </c>
      <c r="E100" s="43">
        <f t="shared" si="147"/>
        <v>127.28347517554366</v>
      </c>
      <c r="F100" s="43">
        <f t="shared" si="147"/>
        <v>122.14324672601882</v>
      </c>
      <c r="G100" s="43">
        <f t="shared" si="147"/>
        <v>119.12148634594203</v>
      </c>
      <c r="H100" s="43">
        <f t="shared" si="147"/>
        <v>121.38423919150497</v>
      </c>
      <c r="I100" s="43">
        <f t="shared" si="147"/>
        <v>125.09909701830378</v>
      </c>
      <c r="J100" s="43">
        <f t="shared" si="147"/>
        <v>118.15096061099787</v>
      </c>
      <c r="K100" s="43" t="str">
        <f t="shared" si="147"/>
        <v/>
      </c>
      <c r="L100" s="43">
        <f t="shared" si="147"/>
        <v>118.29343928014477</v>
      </c>
      <c r="M100" s="43">
        <f t="shared" si="147"/>
        <v>125.58498978431346</v>
      </c>
      <c r="N100" s="43">
        <f t="shared" si="147"/>
        <v>121.86202011599158</v>
      </c>
      <c r="O100" s="43">
        <f t="shared" si="147"/>
        <v>133.13095584689114</v>
      </c>
      <c r="P100" s="43">
        <f t="shared" si="147"/>
        <v>126.62358221190986</v>
      </c>
      <c r="Q100" s="43">
        <f t="shared" si="147"/>
        <v>125.32199005150198</v>
      </c>
      <c r="R100" s="43">
        <f t="shared" si="147"/>
        <v>124.304421974478</v>
      </c>
      <c r="S100" s="43" t="str">
        <f t="shared" si="147"/>
        <v/>
      </c>
      <c r="T100" s="43" t="str">
        <f t="shared" si="147"/>
        <v/>
      </c>
      <c r="U100" s="43" t="str">
        <f t="shared" si="147"/>
        <v/>
      </c>
      <c r="V100" s="43">
        <f t="shared" si="147"/>
        <v>134.81658260757649</v>
      </c>
      <c r="W100" s="43">
        <f t="shared" si="147"/>
        <v>126.26209310811743</v>
      </c>
      <c r="X100" s="43" t="str">
        <f t="shared" si="147"/>
        <v/>
      </c>
      <c r="Y100" s="43" t="str">
        <f t="shared" si="147"/>
        <v/>
      </c>
      <c r="Z100" s="43">
        <f t="shared" si="147"/>
        <v>124.06429570832326</v>
      </c>
      <c r="AA100" s="43" t="str">
        <f t="shared" si="147"/>
        <v/>
      </c>
      <c r="AB100" s="43" t="str">
        <f t="shared" si="147"/>
        <v/>
      </c>
      <c r="AC100" s="43">
        <f t="shared" si="147"/>
        <v>110.37579494355842</v>
      </c>
      <c r="AD100" s="43">
        <f t="shared" si="147"/>
        <v>123.15661905971677</v>
      </c>
      <c r="AE100" s="43">
        <f t="shared" si="147"/>
        <v>115.20368803873035</v>
      </c>
      <c r="AF100" s="43">
        <f t="shared" si="147"/>
        <v>115.73019967463748</v>
      </c>
      <c r="AG100" s="43">
        <f t="shared" si="147"/>
        <v>122.7968829152224</v>
      </c>
      <c r="AH100" s="43">
        <f>AVERAGE(B100:AG100)</f>
        <v>123.0092483796934</v>
      </c>
      <c r="AI100" s="43">
        <f>STDEV(B100:AG100)</f>
        <v>5.5630346601613976</v>
      </c>
      <c r="AJ100" s="47">
        <f>AI100/AH100</f>
        <v>4.522452363085696E-2</v>
      </c>
      <c r="AK100" s="2">
        <f t="shared" si="142"/>
        <v>-2.2709643581060228</v>
      </c>
      <c r="AL100" s="2">
        <f t="shared" si="143"/>
        <v>2.1224628191585864</v>
      </c>
      <c r="AM100" s="2">
        <f t="shared" si="139"/>
        <v>-0.14850153894743645</v>
      </c>
    </row>
    <row r="101" spans="1:39">
      <c r="A101" s="40" t="str">
        <f t="shared" ref="A101:A147" si="148">A95</f>
        <v>Y</v>
      </c>
      <c r="B101" s="43" t="str">
        <f t="shared" ref="B101:AG101" si="149">IF(B$93,$B$90*B8+$C$90*B9+$D$90*B10,"")</f>
        <v/>
      </c>
      <c r="C101" s="43">
        <f t="shared" si="149"/>
        <v>164.60901753653903</v>
      </c>
      <c r="D101" s="43">
        <f t="shared" si="149"/>
        <v>144.70106562410876</v>
      </c>
      <c r="E101" s="43">
        <f t="shared" si="149"/>
        <v>157.00805644036322</v>
      </c>
      <c r="F101" s="43">
        <f t="shared" si="149"/>
        <v>148.13946615095585</v>
      </c>
      <c r="G101" s="43">
        <f t="shared" si="149"/>
        <v>149.36089280069734</v>
      </c>
      <c r="H101" s="43">
        <f t="shared" si="149"/>
        <v>149.22788285734225</v>
      </c>
      <c r="I101" s="43">
        <f t="shared" si="149"/>
        <v>160.46258111257382</v>
      </c>
      <c r="J101" s="43">
        <f t="shared" si="149"/>
        <v>142.68008692954029</v>
      </c>
      <c r="K101" s="43" t="str">
        <f t="shared" si="149"/>
        <v/>
      </c>
      <c r="L101" s="43">
        <f t="shared" si="149"/>
        <v>143.36155833552078</v>
      </c>
      <c r="M101" s="43">
        <f t="shared" si="149"/>
        <v>150.43695938122437</v>
      </c>
      <c r="N101" s="43">
        <f t="shared" si="149"/>
        <v>148.19278288597025</v>
      </c>
      <c r="O101" s="43">
        <f t="shared" si="149"/>
        <v>159.65714012665154</v>
      </c>
      <c r="P101" s="43">
        <f t="shared" si="149"/>
        <v>152.77951636555434</v>
      </c>
      <c r="Q101" s="43">
        <f t="shared" si="149"/>
        <v>149.36029540022784</v>
      </c>
      <c r="R101" s="43">
        <f t="shared" si="149"/>
        <v>148.88300514904094</v>
      </c>
      <c r="S101" s="43" t="str">
        <f t="shared" si="149"/>
        <v/>
      </c>
      <c r="T101" s="43" t="str">
        <f t="shared" si="149"/>
        <v/>
      </c>
      <c r="U101" s="43" t="str">
        <f t="shared" si="149"/>
        <v/>
      </c>
      <c r="V101" s="43">
        <f t="shared" si="149"/>
        <v>163.63442552754745</v>
      </c>
      <c r="W101" s="43">
        <f t="shared" si="149"/>
        <v>149.89779891467285</v>
      </c>
      <c r="X101" s="43" t="str">
        <f t="shared" si="149"/>
        <v/>
      </c>
      <c r="Y101" s="43" t="str">
        <f t="shared" si="149"/>
        <v/>
      </c>
      <c r="Z101" s="43">
        <f t="shared" si="149"/>
        <v>151.82435075986342</v>
      </c>
      <c r="AA101" s="43" t="str">
        <f t="shared" si="149"/>
        <v/>
      </c>
      <c r="AB101" s="43" t="str">
        <f t="shared" si="149"/>
        <v/>
      </c>
      <c r="AC101" s="43">
        <f t="shared" si="149"/>
        <v>135.32571956783841</v>
      </c>
      <c r="AD101" s="43">
        <f t="shared" si="149"/>
        <v>148.43527254552711</v>
      </c>
      <c r="AE101" s="43">
        <f t="shared" si="149"/>
        <v>137.25511939963349</v>
      </c>
      <c r="AF101" s="43">
        <f t="shared" si="149"/>
        <v>142.11602638001423</v>
      </c>
      <c r="AG101" s="43">
        <f t="shared" si="149"/>
        <v>161.54617734948596</v>
      </c>
      <c r="AH101" s="43">
        <f t="shared" ref="AH101:AH103" si="150">AVERAGE(B101:AG101)</f>
        <v>150.38674771916928</v>
      </c>
      <c r="AI101" s="43">
        <f t="shared" ref="AI101:AI103" si="151">STDEV(B101:AG101)</f>
        <v>7.8906702936794817</v>
      </c>
      <c r="AJ101" s="47">
        <f t="shared" ref="AJ101:AJ105" si="152">AI101/AH101</f>
        <v>5.2469186370161028E-2</v>
      </c>
      <c r="AK101" s="2">
        <f t="shared" si="142"/>
        <v>-1.9087134033967852</v>
      </c>
      <c r="AL101" s="2">
        <f t="shared" si="143"/>
        <v>1.8024159276762524</v>
      </c>
      <c r="AM101" s="2">
        <f t="shared" si="139"/>
        <v>-0.10629747572053283</v>
      </c>
    </row>
    <row r="102" spans="1:39">
      <c r="A102" s="40" t="str">
        <f t="shared" si="148"/>
        <v>Z</v>
      </c>
      <c r="B102" s="43" t="str">
        <f t="shared" ref="B102:AG102" si="153">IF(B$93,$B$91*B8+$C$91*B9+$D$91*B10,"")</f>
        <v/>
      </c>
      <c r="C102" s="43">
        <f t="shared" si="153"/>
        <v>140.50388692306672</v>
      </c>
      <c r="D102" s="43">
        <f t="shared" si="153"/>
        <v>137.58505861975669</v>
      </c>
      <c r="E102" s="43">
        <f t="shared" si="153"/>
        <v>136.34503459315815</v>
      </c>
      <c r="F102" s="43">
        <f t="shared" si="153"/>
        <v>139.67531810986341</v>
      </c>
      <c r="G102" s="43">
        <f t="shared" si="153"/>
        <v>127.11142530505505</v>
      </c>
      <c r="H102" s="43">
        <f t="shared" si="153"/>
        <v>135.10916492153527</v>
      </c>
      <c r="I102" s="43">
        <f t="shared" si="153"/>
        <v>132.19196936477613</v>
      </c>
      <c r="J102" s="43">
        <f t="shared" si="153"/>
        <v>133.79569710442857</v>
      </c>
      <c r="K102" s="43" t="str">
        <f t="shared" si="153"/>
        <v/>
      </c>
      <c r="L102" s="43">
        <f t="shared" si="153"/>
        <v>129.648254277555</v>
      </c>
      <c r="M102" s="43">
        <f t="shared" si="153"/>
        <v>136.74199068537303</v>
      </c>
      <c r="N102" s="43">
        <f t="shared" si="153"/>
        <v>131.62242256780763</v>
      </c>
      <c r="O102" s="43">
        <f t="shared" si="153"/>
        <v>142.77609492215561</v>
      </c>
      <c r="P102" s="43">
        <f t="shared" si="153"/>
        <v>144.36888688033315</v>
      </c>
      <c r="Q102" s="43">
        <f t="shared" si="153"/>
        <v>138.55385543255773</v>
      </c>
      <c r="R102" s="43">
        <f t="shared" si="153"/>
        <v>136.87981871375203</v>
      </c>
      <c r="S102" s="43" t="str">
        <f t="shared" si="153"/>
        <v/>
      </c>
      <c r="T102" s="43" t="str">
        <f t="shared" si="153"/>
        <v/>
      </c>
      <c r="U102" s="43" t="str">
        <f t="shared" si="153"/>
        <v/>
      </c>
      <c r="V102" s="43">
        <f t="shared" si="153"/>
        <v>147.86470368336794</v>
      </c>
      <c r="W102" s="43">
        <f t="shared" si="153"/>
        <v>143.18263021009409</v>
      </c>
      <c r="X102" s="43" t="str">
        <f t="shared" si="153"/>
        <v/>
      </c>
      <c r="Y102" s="43" t="str">
        <f t="shared" si="153"/>
        <v/>
      </c>
      <c r="Z102" s="43">
        <f t="shared" si="153"/>
        <v>135.62233275239743</v>
      </c>
      <c r="AA102" s="43" t="str">
        <f t="shared" si="153"/>
        <v/>
      </c>
      <c r="AB102" s="43" t="str">
        <f t="shared" si="153"/>
        <v/>
      </c>
      <c r="AC102" s="43">
        <f t="shared" si="153"/>
        <v>116.75457805331844</v>
      </c>
      <c r="AD102" s="43">
        <f t="shared" si="153"/>
        <v>138.88214903458663</v>
      </c>
      <c r="AE102" s="43">
        <f t="shared" si="153"/>
        <v>136.83170287739381</v>
      </c>
      <c r="AF102" s="43">
        <f t="shared" si="153"/>
        <v>120.27113599304057</v>
      </c>
      <c r="AG102" s="43">
        <f t="shared" si="153"/>
        <v>120.46543327207546</v>
      </c>
      <c r="AH102" s="43">
        <f t="shared" si="150"/>
        <v>134.90363236075859</v>
      </c>
      <c r="AI102" s="43">
        <f t="shared" si="151"/>
        <v>7.8388757732616341</v>
      </c>
      <c r="AJ102" s="47">
        <f t="shared" si="152"/>
        <v>5.8107225402937654E-2</v>
      </c>
      <c r="AK102" s="2">
        <f t="shared" si="142"/>
        <v>-2.3152623963434253</v>
      </c>
      <c r="AL102" s="2">
        <f t="shared" si="143"/>
        <v>1.6534349691851848</v>
      </c>
      <c r="AM102" s="2">
        <f t="shared" si="139"/>
        <v>-0.6618274271582405</v>
      </c>
    </row>
    <row r="103" spans="1:39">
      <c r="A103" s="40" t="str">
        <f t="shared" si="148"/>
        <v>Ev</v>
      </c>
      <c r="B103" s="43" t="str">
        <f t="shared" ref="B103:AG103" si="154">B101</f>
        <v/>
      </c>
      <c r="C103" s="43">
        <f t="shared" si="154"/>
        <v>164.60901753653903</v>
      </c>
      <c r="D103" s="43">
        <f t="shared" si="154"/>
        <v>144.70106562410876</v>
      </c>
      <c r="E103" s="43">
        <f t="shared" si="154"/>
        <v>157.00805644036322</v>
      </c>
      <c r="F103" s="43">
        <f t="shared" si="154"/>
        <v>148.13946615095585</v>
      </c>
      <c r="G103" s="43">
        <f t="shared" si="154"/>
        <v>149.36089280069734</v>
      </c>
      <c r="H103" s="43">
        <f t="shared" si="154"/>
        <v>149.22788285734225</v>
      </c>
      <c r="I103" s="43">
        <f t="shared" si="154"/>
        <v>160.46258111257382</v>
      </c>
      <c r="J103" s="43">
        <f t="shared" si="154"/>
        <v>142.68008692954029</v>
      </c>
      <c r="K103" s="43" t="str">
        <f t="shared" si="154"/>
        <v/>
      </c>
      <c r="L103" s="43">
        <f t="shared" si="154"/>
        <v>143.36155833552078</v>
      </c>
      <c r="M103" s="43">
        <f t="shared" si="154"/>
        <v>150.43695938122437</v>
      </c>
      <c r="N103" s="43">
        <f t="shared" si="154"/>
        <v>148.19278288597025</v>
      </c>
      <c r="O103" s="43">
        <f t="shared" si="154"/>
        <v>159.65714012665154</v>
      </c>
      <c r="P103" s="43">
        <f t="shared" si="154"/>
        <v>152.77951636555434</v>
      </c>
      <c r="Q103" s="43">
        <f t="shared" si="154"/>
        <v>149.36029540022784</v>
      </c>
      <c r="R103" s="43">
        <f t="shared" si="154"/>
        <v>148.88300514904094</v>
      </c>
      <c r="S103" s="43" t="str">
        <f t="shared" si="154"/>
        <v/>
      </c>
      <c r="T103" s="43" t="str">
        <f t="shared" si="154"/>
        <v/>
      </c>
      <c r="U103" s="43" t="str">
        <f t="shared" si="154"/>
        <v/>
      </c>
      <c r="V103" s="43">
        <f t="shared" si="154"/>
        <v>163.63442552754745</v>
      </c>
      <c r="W103" s="43">
        <f t="shared" si="154"/>
        <v>149.89779891467285</v>
      </c>
      <c r="X103" s="43" t="str">
        <f t="shared" si="154"/>
        <v/>
      </c>
      <c r="Y103" s="43" t="str">
        <f t="shared" si="154"/>
        <v/>
      </c>
      <c r="Z103" s="43">
        <f t="shared" si="154"/>
        <v>151.82435075986342</v>
      </c>
      <c r="AA103" s="43" t="str">
        <f t="shared" si="154"/>
        <v/>
      </c>
      <c r="AB103" s="43" t="str">
        <f t="shared" si="154"/>
        <v/>
      </c>
      <c r="AC103" s="43">
        <f t="shared" si="154"/>
        <v>135.32571956783841</v>
      </c>
      <c r="AD103" s="43">
        <f t="shared" si="154"/>
        <v>148.43527254552711</v>
      </c>
      <c r="AE103" s="43">
        <f t="shared" si="154"/>
        <v>137.25511939963349</v>
      </c>
      <c r="AF103" s="43">
        <f t="shared" si="154"/>
        <v>142.11602638001423</v>
      </c>
      <c r="AG103" s="43">
        <f t="shared" si="154"/>
        <v>161.54617734948596</v>
      </c>
      <c r="AH103" s="43">
        <f t="shared" si="150"/>
        <v>150.38674771916928</v>
      </c>
      <c r="AI103" s="43">
        <f t="shared" si="151"/>
        <v>7.8906702936794817</v>
      </c>
      <c r="AJ103" s="47">
        <f t="shared" si="152"/>
        <v>5.2469186370161028E-2</v>
      </c>
      <c r="AK103" s="2">
        <f t="shared" ref="AK103:AK147" si="155">(MIN(B103:AG103)-AH103)/AI103</f>
        <v>-1.9087134033967852</v>
      </c>
      <c r="AL103" s="2">
        <f t="shared" ref="AL103:AL147" si="156">(MAX(B103:AG103)-AH103)/AI103</f>
        <v>1.8024159276762524</v>
      </c>
      <c r="AM103" s="2">
        <f t="shared" si="139"/>
        <v>-0.10629747572053283</v>
      </c>
    </row>
    <row r="104" spans="1:39">
      <c r="A104" s="40" t="str">
        <f t="shared" si="148"/>
        <v>x</v>
      </c>
      <c r="B104" s="44" t="str">
        <f t="shared" ref="B104:AG104" si="157">IF(B100&lt;&gt;"",B100/SUM(B100:B102),"")</f>
        <v/>
      </c>
      <c r="C104" s="44">
        <f t="shared" si="157"/>
        <v>0.29629853617090229</v>
      </c>
      <c r="D104" s="44">
        <f t="shared" si="157"/>
        <v>0.29835215100552054</v>
      </c>
      <c r="E104" s="44">
        <f t="shared" si="157"/>
        <v>0.3025972666206132</v>
      </c>
      <c r="F104" s="44">
        <f t="shared" si="157"/>
        <v>0.29794085612129478</v>
      </c>
      <c r="G104" s="44">
        <f t="shared" si="157"/>
        <v>0.30112070766893889</v>
      </c>
      <c r="H104" s="44">
        <f t="shared" si="157"/>
        <v>0.29918134219160647</v>
      </c>
      <c r="I104" s="44">
        <f t="shared" si="157"/>
        <v>0.29945662418089436</v>
      </c>
      <c r="J104" s="44">
        <f t="shared" si="157"/>
        <v>0.29939927340022171</v>
      </c>
      <c r="K104" s="44" t="str">
        <f t="shared" si="157"/>
        <v/>
      </c>
      <c r="L104" s="44">
        <f t="shared" si="157"/>
        <v>0.30230630261264702</v>
      </c>
      <c r="M104" s="44">
        <f t="shared" si="157"/>
        <v>0.30425378202774789</v>
      </c>
      <c r="N104" s="44">
        <f t="shared" si="157"/>
        <v>0.30338294620296991</v>
      </c>
      <c r="O104" s="44">
        <f t="shared" si="157"/>
        <v>0.30565174692878078</v>
      </c>
      <c r="P104" s="44">
        <f t="shared" si="157"/>
        <v>0.29880121045547514</v>
      </c>
      <c r="Q104" s="44">
        <f t="shared" si="157"/>
        <v>0.30326967477560018</v>
      </c>
      <c r="R104" s="44">
        <f t="shared" si="157"/>
        <v>0.30313179908011073</v>
      </c>
      <c r="S104" s="44" t="str">
        <f t="shared" si="157"/>
        <v/>
      </c>
      <c r="T104" s="44" t="str">
        <f t="shared" si="157"/>
        <v/>
      </c>
      <c r="U104" s="44" t="str">
        <f t="shared" si="157"/>
        <v/>
      </c>
      <c r="V104" s="44">
        <f t="shared" si="157"/>
        <v>0.30206550887100259</v>
      </c>
      <c r="W104" s="44">
        <f t="shared" si="157"/>
        <v>0.30109537290853855</v>
      </c>
      <c r="X104" s="44" t="str">
        <f t="shared" si="157"/>
        <v/>
      </c>
      <c r="Y104" s="44" t="str">
        <f t="shared" si="157"/>
        <v/>
      </c>
      <c r="Z104" s="44">
        <f t="shared" si="157"/>
        <v>0.30148477676903124</v>
      </c>
      <c r="AA104" s="44" t="str">
        <f t="shared" si="157"/>
        <v/>
      </c>
      <c r="AB104" s="44" t="str">
        <f t="shared" si="157"/>
        <v/>
      </c>
      <c r="AC104" s="44">
        <f t="shared" si="157"/>
        <v>0.30452183645899455</v>
      </c>
      <c r="AD104" s="44">
        <f t="shared" si="157"/>
        <v>0.30003509812154056</v>
      </c>
      <c r="AE104" s="44">
        <f t="shared" si="157"/>
        <v>0.29593243345512693</v>
      </c>
      <c r="AF104" s="44">
        <f t="shared" si="157"/>
        <v>0.30606952044704133</v>
      </c>
      <c r="AG104" s="44">
        <f t="shared" si="157"/>
        <v>0.30334561867107707</v>
      </c>
      <c r="AH104" s="44">
        <f>AVERAGE(B104:AG104)</f>
        <v>0.30129106022372509</v>
      </c>
      <c r="AI104" s="44">
        <f>STDEV(B104:AH104)</f>
        <v>2.7432112985655301E-3</v>
      </c>
      <c r="AJ104" s="47">
        <f t="shared" si="152"/>
        <v>9.1048546097867809E-3</v>
      </c>
      <c r="AK104" s="2">
        <f t="shared" si="155"/>
        <v>-1.9534137860252603</v>
      </c>
      <c r="AL104" s="2">
        <f t="shared" si="156"/>
        <v>1.7419220407173788</v>
      </c>
      <c r="AM104" s="2">
        <f t="shared" si="139"/>
        <v>-0.21149174530788151</v>
      </c>
    </row>
    <row r="105" spans="1:39">
      <c r="A105" s="40" t="str">
        <f t="shared" si="148"/>
        <v>y</v>
      </c>
      <c r="B105" s="44" t="str">
        <f t="shared" ref="B105:AG105" si="158">IF(B100&lt;&gt;"",B101/SUM(B100:B102),"")</f>
        <v/>
      </c>
      <c r="C105" s="44">
        <f t="shared" si="158"/>
        <v>0.3796483364251404</v>
      </c>
      <c r="D105" s="44">
        <f t="shared" si="158"/>
        <v>0.35966766596949135</v>
      </c>
      <c r="E105" s="44">
        <f t="shared" si="158"/>
        <v>0.37326297581634166</v>
      </c>
      <c r="F105" s="44">
        <f t="shared" si="158"/>
        <v>0.36135276041393605</v>
      </c>
      <c r="G105" s="44">
        <f t="shared" si="158"/>
        <v>0.37756125379090882</v>
      </c>
      <c r="H105" s="44">
        <f t="shared" si="158"/>
        <v>0.36780885708921612</v>
      </c>
      <c r="I105" s="44">
        <f t="shared" si="158"/>
        <v>0.38410815099883305</v>
      </c>
      <c r="J105" s="44">
        <f t="shared" si="158"/>
        <v>0.36155706339139554</v>
      </c>
      <c r="K105" s="44" t="str">
        <f t="shared" si="158"/>
        <v/>
      </c>
      <c r="L105" s="44">
        <f t="shared" si="158"/>
        <v>0.36636945295471635</v>
      </c>
      <c r="M105" s="44">
        <f t="shared" si="158"/>
        <v>0.36446245627842822</v>
      </c>
      <c r="N105" s="44">
        <f t="shared" si="158"/>
        <v>0.36893498922116474</v>
      </c>
      <c r="O105" s="44">
        <f t="shared" si="158"/>
        <v>0.36655249321192152</v>
      </c>
      <c r="P105" s="44">
        <f t="shared" si="158"/>
        <v>0.36052292649904144</v>
      </c>
      <c r="Q105" s="44">
        <f t="shared" si="158"/>
        <v>0.361440543609304</v>
      </c>
      <c r="R105" s="44">
        <f t="shared" si="158"/>
        <v>0.36306973224611777</v>
      </c>
      <c r="S105" s="44" t="str">
        <f t="shared" si="158"/>
        <v/>
      </c>
      <c r="T105" s="44" t="str">
        <f t="shared" si="158"/>
        <v/>
      </c>
      <c r="U105" s="44" t="str">
        <f t="shared" si="158"/>
        <v/>
      </c>
      <c r="V105" s="44">
        <f t="shared" si="158"/>
        <v>0.36663380023263548</v>
      </c>
      <c r="W105" s="44">
        <f t="shared" si="158"/>
        <v>0.35745909600702552</v>
      </c>
      <c r="X105" s="44" t="str">
        <f t="shared" si="158"/>
        <v/>
      </c>
      <c r="Y105" s="44" t="str">
        <f t="shared" si="158"/>
        <v/>
      </c>
      <c r="Z105" s="44">
        <f t="shared" si="158"/>
        <v>0.36894362101206618</v>
      </c>
      <c r="AA105" s="44" t="str">
        <f t="shared" si="158"/>
        <v/>
      </c>
      <c r="AB105" s="44" t="str">
        <f t="shared" si="158"/>
        <v/>
      </c>
      <c r="AC105" s="44">
        <f t="shared" si="158"/>
        <v>0.3733575523873322</v>
      </c>
      <c r="AD105" s="44">
        <f t="shared" si="158"/>
        <v>0.36161914725265487</v>
      </c>
      <c r="AE105" s="44">
        <f t="shared" si="158"/>
        <v>0.35257761430738299</v>
      </c>
      <c r="AF105" s="44">
        <f t="shared" si="158"/>
        <v>0.37585162873872219</v>
      </c>
      <c r="AG105" s="44">
        <f t="shared" si="158"/>
        <v>0.39906815180202415</v>
      </c>
      <c r="AH105" s="44">
        <f>AVERAGE(B105:AG105)</f>
        <v>0.36834044650677394</v>
      </c>
      <c r="AI105" s="44">
        <f>STDEV(B105:AH105)</f>
        <v>9.9042500292323057E-3</v>
      </c>
      <c r="AJ105" s="47">
        <f t="shared" si="152"/>
        <v>2.6888847323613598E-2</v>
      </c>
      <c r="AK105" s="2">
        <f t="shared" si="155"/>
        <v>-1.5915220388082989</v>
      </c>
      <c r="AL105" s="2">
        <f t="shared" si="156"/>
        <v>3.1024767351952605</v>
      </c>
      <c r="AM105" s="2">
        <f t="shared" si="139"/>
        <v>1.5109546963869616</v>
      </c>
    </row>
    <row r="106" spans="1:39">
      <c r="A106" s="40" t="str">
        <f>A100</f>
        <v>X</v>
      </c>
      <c r="B106" s="43" t="str">
        <f t="shared" ref="B106:AG106" si="159">IF(B$93,$B$89*B14+$C$89*B15+$D$89*B16,"")</f>
        <v/>
      </c>
      <c r="C106" s="43">
        <f t="shared" si="159"/>
        <v>152.5075908933153</v>
      </c>
      <c r="D106" s="43">
        <f t="shared" si="159"/>
        <v>142.69305129498343</v>
      </c>
      <c r="E106" s="43">
        <f t="shared" si="159"/>
        <v>149.84829173978437</v>
      </c>
      <c r="F106" s="43">
        <f t="shared" si="159"/>
        <v>145.66768318513732</v>
      </c>
      <c r="G106" s="43">
        <f t="shared" si="159"/>
        <v>141.19031033709007</v>
      </c>
      <c r="H106" s="43">
        <f t="shared" si="159"/>
        <v>143.95671921699815</v>
      </c>
      <c r="I106" s="43">
        <f t="shared" si="159"/>
        <v>150.50747441997299</v>
      </c>
      <c r="J106" s="43">
        <f t="shared" si="159"/>
        <v>140.64515025335604</v>
      </c>
      <c r="K106" s="43" t="str">
        <f t="shared" si="159"/>
        <v/>
      </c>
      <c r="L106" s="43">
        <f t="shared" si="159"/>
        <v>142.35266046977884</v>
      </c>
      <c r="M106" s="43">
        <f t="shared" si="159"/>
        <v>145.64731054259931</v>
      </c>
      <c r="N106" s="43">
        <f t="shared" si="159"/>
        <v>149.40503423547193</v>
      </c>
      <c r="O106" s="43">
        <f t="shared" si="159"/>
        <v>160.65617131445538</v>
      </c>
      <c r="P106" s="43">
        <f t="shared" si="159"/>
        <v>150.26019031955624</v>
      </c>
      <c r="Q106" s="43">
        <f t="shared" si="159"/>
        <v>152.7156620317979</v>
      </c>
      <c r="R106" s="43">
        <f t="shared" si="159"/>
        <v>143.70989159822329</v>
      </c>
      <c r="S106" s="43" t="str">
        <f t="shared" si="159"/>
        <v/>
      </c>
      <c r="T106" s="43" t="str">
        <f t="shared" si="159"/>
        <v/>
      </c>
      <c r="U106" s="43" t="str">
        <f t="shared" si="159"/>
        <v/>
      </c>
      <c r="V106" s="43">
        <f t="shared" si="159"/>
        <v>158.4634633522206</v>
      </c>
      <c r="W106" s="43">
        <f t="shared" si="159"/>
        <v>148.68119226794946</v>
      </c>
      <c r="X106" s="43" t="str">
        <f t="shared" si="159"/>
        <v/>
      </c>
      <c r="Y106" s="43" t="str">
        <f t="shared" si="159"/>
        <v/>
      </c>
      <c r="Z106" s="43">
        <f t="shared" si="159"/>
        <v>143.94136835040965</v>
      </c>
      <c r="AA106" s="43" t="str">
        <f t="shared" si="159"/>
        <v/>
      </c>
      <c r="AB106" s="43" t="str">
        <f t="shared" si="159"/>
        <v/>
      </c>
      <c r="AC106" s="43">
        <f t="shared" si="159"/>
        <v>134.26225995699946</v>
      </c>
      <c r="AD106" s="43">
        <f t="shared" si="159"/>
        <v>147.18146749216004</v>
      </c>
      <c r="AE106" s="43">
        <f t="shared" si="159"/>
        <v>141.06699154084819</v>
      </c>
      <c r="AF106" s="43">
        <f t="shared" si="159"/>
        <v>140.05164434264262</v>
      </c>
      <c r="AG106" s="43">
        <f t="shared" si="159"/>
        <v>149.93445878357855</v>
      </c>
      <c r="AH106" s="43">
        <f>AVERAGE(B106:AG106)</f>
        <v>146.75417556257952</v>
      </c>
      <c r="AI106" s="43">
        <f>STDEV(B106:AG106)</f>
        <v>6.1083917994203167</v>
      </c>
      <c r="AJ106" s="47">
        <f>AI106/AH106</f>
        <v>4.1623291303323436E-2</v>
      </c>
      <c r="AK106" s="2">
        <f t="shared" si="155"/>
        <v>-2.0450416436557881</v>
      </c>
      <c r="AL106" s="2">
        <f t="shared" si="156"/>
        <v>2.2758847513997305</v>
      </c>
      <c r="AM106" s="2">
        <f t="shared" si="139"/>
        <v>0.23084310774394234</v>
      </c>
    </row>
    <row r="107" spans="1:39">
      <c r="A107" s="40" t="str">
        <f t="shared" si="148"/>
        <v>Y</v>
      </c>
      <c r="B107" s="43" t="str">
        <f t="shared" ref="B107:AG107" si="160">IF(B$93,$B$90*B14+$C$90*B15+$D$90*B16,"")</f>
        <v/>
      </c>
      <c r="C107" s="43">
        <f t="shared" si="160"/>
        <v>164.47583888173244</v>
      </c>
      <c r="D107" s="43">
        <f t="shared" si="160"/>
        <v>145.01758489884941</v>
      </c>
      <c r="E107" s="43">
        <f t="shared" si="160"/>
        <v>157.82520420999276</v>
      </c>
      <c r="F107" s="43">
        <f t="shared" si="160"/>
        <v>151.11657206312839</v>
      </c>
      <c r="G107" s="43">
        <f t="shared" si="160"/>
        <v>146.3312597193526</v>
      </c>
      <c r="H107" s="43">
        <f t="shared" si="160"/>
        <v>150.68742949591589</v>
      </c>
      <c r="I107" s="43">
        <f t="shared" si="160"/>
        <v>158.70779071742865</v>
      </c>
      <c r="J107" s="43">
        <f t="shared" si="160"/>
        <v>142.23276384231531</v>
      </c>
      <c r="K107" s="43" t="str">
        <f t="shared" si="160"/>
        <v/>
      </c>
      <c r="L107" s="43">
        <f t="shared" si="160"/>
        <v>140.22762990654962</v>
      </c>
      <c r="M107" s="43">
        <f t="shared" si="160"/>
        <v>147.29629835147148</v>
      </c>
      <c r="N107" s="43">
        <f t="shared" si="160"/>
        <v>143.28474147402142</v>
      </c>
      <c r="O107" s="43">
        <f t="shared" si="160"/>
        <v>158.84701282053339</v>
      </c>
      <c r="P107" s="43">
        <f t="shared" si="160"/>
        <v>151.23472403003422</v>
      </c>
      <c r="Q107" s="43">
        <f t="shared" si="160"/>
        <v>146.6362418538898</v>
      </c>
      <c r="R107" s="43">
        <f t="shared" si="160"/>
        <v>145.58714317334253</v>
      </c>
      <c r="S107" s="43" t="str">
        <f t="shared" si="160"/>
        <v/>
      </c>
      <c r="T107" s="43" t="str">
        <f t="shared" si="160"/>
        <v/>
      </c>
      <c r="U107" s="43" t="str">
        <f t="shared" si="160"/>
        <v/>
      </c>
      <c r="V107" s="43">
        <f t="shared" si="160"/>
        <v>160.73601974291856</v>
      </c>
      <c r="W107" s="43">
        <f t="shared" si="160"/>
        <v>147.5638466316498</v>
      </c>
      <c r="X107" s="43" t="str">
        <f t="shared" si="160"/>
        <v/>
      </c>
      <c r="Y107" s="43" t="str">
        <f t="shared" si="160"/>
        <v/>
      </c>
      <c r="Z107" s="43">
        <f t="shared" si="160"/>
        <v>149.82983422880608</v>
      </c>
      <c r="AA107" s="43" t="str">
        <f t="shared" si="160"/>
        <v/>
      </c>
      <c r="AB107" s="43" t="str">
        <f t="shared" si="160"/>
        <v/>
      </c>
      <c r="AC107" s="43">
        <f t="shared" si="160"/>
        <v>137.13680229984678</v>
      </c>
      <c r="AD107" s="43">
        <f t="shared" si="160"/>
        <v>139.11038880962269</v>
      </c>
      <c r="AE107" s="43">
        <f t="shared" si="160"/>
        <v>138.69508916288936</v>
      </c>
      <c r="AF107" s="43">
        <f t="shared" si="160"/>
        <v>137.96601623574384</v>
      </c>
      <c r="AG107" s="43">
        <f t="shared" si="160"/>
        <v>160.75476995809186</v>
      </c>
      <c r="AH107" s="43">
        <f t="shared" ref="AH107:AH109" si="161">AVERAGE(B107:AG107)</f>
        <v>148.75221750035337</v>
      </c>
      <c r="AI107" s="43">
        <f t="shared" ref="AI107:AI109" si="162">STDEV(B107:AG107)</f>
        <v>8.1552357364125321</v>
      </c>
      <c r="AJ107" s="47">
        <f t="shared" ref="AJ107:AJ111" si="163">AI107/AH107</f>
        <v>5.4824296897578409E-2</v>
      </c>
      <c r="AK107" s="2">
        <f t="shared" si="155"/>
        <v>-1.424289324788566</v>
      </c>
      <c r="AL107" s="2">
        <f t="shared" si="156"/>
        <v>1.9280400824189856</v>
      </c>
      <c r="AM107" s="2">
        <f t="shared" si="139"/>
        <v>0.50375075763041965</v>
      </c>
    </row>
    <row r="108" spans="1:39">
      <c r="A108" s="40" t="str">
        <f t="shared" si="148"/>
        <v>Z</v>
      </c>
      <c r="B108" s="43" t="str">
        <f t="shared" ref="B108:AG108" si="164">IF(B$93,$B$91*B14+$C$91*B15+$D$91*B16,"")</f>
        <v/>
      </c>
      <c r="C108" s="43">
        <f t="shared" si="164"/>
        <v>107.51100181695359</v>
      </c>
      <c r="D108" s="43">
        <f t="shared" si="164"/>
        <v>108.85064132031545</v>
      </c>
      <c r="E108" s="43">
        <f t="shared" si="164"/>
        <v>109.26019109111046</v>
      </c>
      <c r="F108" s="43">
        <f t="shared" si="164"/>
        <v>111.23635756641548</v>
      </c>
      <c r="G108" s="43">
        <f t="shared" si="164"/>
        <v>103.53824397594109</v>
      </c>
      <c r="H108" s="43">
        <f t="shared" si="164"/>
        <v>104.86949319744143</v>
      </c>
      <c r="I108" s="43">
        <f t="shared" si="164"/>
        <v>107.26318809729142</v>
      </c>
      <c r="J108" s="43">
        <f t="shared" si="164"/>
        <v>109.27398980988542</v>
      </c>
      <c r="K108" s="43" t="str">
        <f t="shared" si="164"/>
        <v/>
      </c>
      <c r="L108" s="43">
        <f t="shared" si="164"/>
        <v>107.08134831388037</v>
      </c>
      <c r="M108" s="43">
        <f t="shared" si="164"/>
        <v>114.05423620204429</v>
      </c>
      <c r="N108" s="43">
        <f t="shared" si="164"/>
        <v>105.45821991354057</v>
      </c>
      <c r="O108" s="43">
        <f t="shared" si="164"/>
        <v>113.5916029285826</v>
      </c>
      <c r="P108" s="43">
        <f t="shared" si="164"/>
        <v>113.47617010462386</v>
      </c>
      <c r="Q108" s="43">
        <f t="shared" si="164"/>
        <v>112.1861759931009</v>
      </c>
      <c r="R108" s="43">
        <f t="shared" si="164"/>
        <v>107.92668479576383</v>
      </c>
      <c r="S108" s="43" t="str">
        <f t="shared" si="164"/>
        <v/>
      </c>
      <c r="T108" s="43" t="str">
        <f t="shared" si="164"/>
        <v/>
      </c>
      <c r="U108" s="43" t="str">
        <f t="shared" si="164"/>
        <v/>
      </c>
      <c r="V108" s="43">
        <f t="shared" si="164"/>
        <v>123.01208967009194</v>
      </c>
      <c r="W108" s="43">
        <f t="shared" si="164"/>
        <v>116.84020614709607</v>
      </c>
      <c r="X108" s="43" t="str">
        <f t="shared" si="164"/>
        <v/>
      </c>
      <c r="Y108" s="43" t="str">
        <f t="shared" si="164"/>
        <v/>
      </c>
      <c r="Z108" s="43">
        <f t="shared" si="164"/>
        <v>107.48700770853715</v>
      </c>
      <c r="AA108" s="43" t="str">
        <f t="shared" si="164"/>
        <v/>
      </c>
      <c r="AB108" s="43" t="str">
        <f t="shared" si="164"/>
        <v/>
      </c>
      <c r="AC108" s="43">
        <f t="shared" si="164"/>
        <v>92.238635210166706</v>
      </c>
      <c r="AD108" s="43">
        <f t="shared" si="164"/>
        <v>116.37218738554347</v>
      </c>
      <c r="AE108" s="43">
        <f t="shared" si="164"/>
        <v>112.67376882675696</v>
      </c>
      <c r="AF108" s="43">
        <f t="shared" si="164"/>
        <v>95.652981231186999</v>
      </c>
      <c r="AG108" s="43">
        <f t="shared" si="164"/>
        <v>91.830190324355428</v>
      </c>
      <c r="AH108" s="43">
        <f t="shared" si="161"/>
        <v>108.33411354915764</v>
      </c>
      <c r="AI108" s="43">
        <f t="shared" si="162"/>
        <v>7.4562905607648737</v>
      </c>
      <c r="AJ108" s="47">
        <f t="shared" si="163"/>
        <v>6.8826801793892112E-2</v>
      </c>
      <c r="AK108" s="2">
        <f t="shared" si="155"/>
        <v>-2.2134227589850277</v>
      </c>
      <c r="AL108" s="2">
        <f t="shared" si="156"/>
        <v>1.9685359631999939</v>
      </c>
      <c r="AM108" s="2">
        <f t="shared" si="139"/>
        <v>-0.24488679578503381</v>
      </c>
    </row>
    <row r="109" spans="1:39">
      <c r="A109" s="40" t="str">
        <f t="shared" si="148"/>
        <v>Ev</v>
      </c>
      <c r="B109" s="43" t="str">
        <f t="shared" ref="B109:AG109" si="165">B107</f>
        <v/>
      </c>
      <c r="C109" s="43">
        <f t="shared" si="165"/>
        <v>164.47583888173244</v>
      </c>
      <c r="D109" s="43">
        <f t="shared" si="165"/>
        <v>145.01758489884941</v>
      </c>
      <c r="E109" s="43">
        <f t="shared" si="165"/>
        <v>157.82520420999276</v>
      </c>
      <c r="F109" s="43">
        <f t="shared" si="165"/>
        <v>151.11657206312839</v>
      </c>
      <c r="G109" s="43">
        <f t="shared" si="165"/>
        <v>146.3312597193526</v>
      </c>
      <c r="H109" s="43">
        <f t="shared" si="165"/>
        <v>150.68742949591589</v>
      </c>
      <c r="I109" s="43">
        <f t="shared" si="165"/>
        <v>158.70779071742865</v>
      </c>
      <c r="J109" s="43">
        <f t="shared" si="165"/>
        <v>142.23276384231531</v>
      </c>
      <c r="K109" s="43" t="str">
        <f t="shared" si="165"/>
        <v/>
      </c>
      <c r="L109" s="43">
        <f t="shared" si="165"/>
        <v>140.22762990654962</v>
      </c>
      <c r="M109" s="43">
        <f t="shared" si="165"/>
        <v>147.29629835147148</v>
      </c>
      <c r="N109" s="43">
        <f t="shared" si="165"/>
        <v>143.28474147402142</v>
      </c>
      <c r="O109" s="43">
        <f t="shared" si="165"/>
        <v>158.84701282053339</v>
      </c>
      <c r="P109" s="43">
        <f t="shared" si="165"/>
        <v>151.23472403003422</v>
      </c>
      <c r="Q109" s="43">
        <f t="shared" si="165"/>
        <v>146.6362418538898</v>
      </c>
      <c r="R109" s="43">
        <f t="shared" si="165"/>
        <v>145.58714317334253</v>
      </c>
      <c r="S109" s="43" t="str">
        <f t="shared" si="165"/>
        <v/>
      </c>
      <c r="T109" s="43" t="str">
        <f t="shared" si="165"/>
        <v/>
      </c>
      <c r="U109" s="43" t="str">
        <f t="shared" si="165"/>
        <v/>
      </c>
      <c r="V109" s="43">
        <f t="shared" si="165"/>
        <v>160.73601974291856</v>
      </c>
      <c r="W109" s="43">
        <f t="shared" si="165"/>
        <v>147.5638466316498</v>
      </c>
      <c r="X109" s="43" t="str">
        <f t="shared" si="165"/>
        <v/>
      </c>
      <c r="Y109" s="43" t="str">
        <f t="shared" si="165"/>
        <v/>
      </c>
      <c r="Z109" s="43">
        <f t="shared" si="165"/>
        <v>149.82983422880608</v>
      </c>
      <c r="AA109" s="43" t="str">
        <f t="shared" si="165"/>
        <v/>
      </c>
      <c r="AB109" s="43" t="str">
        <f t="shared" si="165"/>
        <v/>
      </c>
      <c r="AC109" s="43">
        <f t="shared" si="165"/>
        <v>137.13680229984678</v>
      </c>
      <c r="AD109" s="43">
        <f t="shared" si="165"/>
        <v>139.11038880962269</v>
      </c>
      <c r="AE109" s="43">
        <f t="shared" si="165"/>
        <v>138.69508916288936</v>
      </c>
      <c r="AF109" s="43">
        <f t="shared" si="165"/>
        <v>137.96601623574384</v>
      </c>
      <c r="AG109" s="43">
        <f t="shared" si="165"/>
        <v>160.75476995809186</v>
      </c>
      <c r="AH109" s="43">
        <f t="shared" si="161"/>
        <v>148.75221750035337</v>
      </c>
      <c r="AI109" s="43">
        <f t="shared" si="162"/>
        <v>8.1552357364125321</v>
      </c>
      <c r="AJ109" s="47">
        <f t="shared" si="163"/>
        <v>5.4824296897578409E-2</v>
      </c>
      <c r="AK109" s="2">
        <f t="shared" si="155"/>
        <v>-1.424289324788566</v>
      </c>
      <c r="AL109" s="2">
        <f t="shared" si="156"/>
        <v>1.9280400824189856</v>
      </c>
      <c r="AM109" s="2">
        <f t="shared" si="139"/>
        <v>0.50375075763041965</v>
      </c>
    </row>
    <row r="110" spans="1:39">
      <c r="A110" s="40" t="str">
        <f t="shared" si="148"/>
        <v>x</v>
      </c>
      <c r="B110" s="44" t="str">
        <f t="shared" ref="B110:AG110" si="166">IF(B106&lt;&gt;"",B106/SUM(B106:B108),"")</f>
        <v/>
      </c>
      <c r="C110" s="44">
        <f t="shared" si="166"/>
        <v>0.35926876666287222</v>
      </c>
      <c r="D110" s="44">
        <f t="shared" si="166"/>
        <v>0.35982598247982622</v>
      </c>
      <c r="E110" s="44">
        <f t="shared" si="166"/>
        <v>0.35940557550843605</v>
      </c>
      <c r="F110" s="44">
        <f t="shared" si="166"/>
        <v>0.35701059850938982</v>
      </c>
      <c r="G110" s="44">
        <f t="shared" si="166"/>
        <v>0.36104530629526166</v>
      </c>
      <c r="H110" s="44">
        <f t="shared" si="166"/>
        <v>0.36032992147311893</v>
      </c>
      <c r="I110" s="44">
        <f t="shared" si="166"/>
        <v>0.36138117890857457</v>
      </c>
      <c r="J110" s="44">
        <f t="shared" si="166"/>
        <v>0.35864966828575712</v>
      </c>
      <c r="K110" s="44" t="str">
        <f t="shared" si="166"/>
        <v/>
      </c>
      <c r="L110" s="44">
        <f t="shared" si="166"/>
        <v>0.36532377410380118</v>
      </c>
      <c r="M110" s="44">
        <f t="shared" si="166"/>
        <v>0.35785769457379751</v>
      </c>
      <c r="N110" s="44">
        <f t="shared" si="166"/>
        <v>0.37524999718177271</v>
      </c>
      <c r="O110" s="44">
        <f t="shared" si="166"/>
        <v>0.37094921507534473</v>
      </c>
      <c r="P110" s="44">
        <f t="shared" si="166"/>
        <v>0.36209797730168153</v>
      </c>
      <c r="Q110" s="44">
        <f t="shared" si="166"/>
        <v>0.3710851303888516</v>
      </c>
      <c r="R110" s="44">
        <f t="shared" si="166"/>
        <v>0.36178577592183386</v>
      </c>
      <c r="S110" s="44" t="str">
        <f t="shared" si="166"/>
        <v/>
      </c>
      <c r="T110" s="44" t="str">
        <f t="shared" si="166"/>
        <v/>
      </c>
      <c r="U110" s="44" t="str">
        <f t="shared" si="166"/>
        <v/>
      </c>
      <c r="V110" s="44">
        <f t="shared" si="166"/>
        <v>0.35834309437294715</v>
      </c>
      <c r="W110" s="44">
        <f t="shared" si="166"/>
        <v>0.3599285959757349</v>
      </c>
      <c r="X110" s="44" t="str">
        <f t="shared" si="166"/>
        <v/>
      </c>
      <c r="Y110" s="44" t="str">
        <f t="shared" si="166"/>
        <v/>
      </c>
      <c r="Z110" s="44">
        <f t="shared" si="166"/>
        <v>0.35872504203013195</v>
      </c>
      <c r="AA110" s="44" t="str">
        <f t="shared" si="166"/>
        <v/>
      </c>
      <c r="AB110" s="44" t="str">
        <f t="shared" si="166"/>
        <v/>
      </c>
      <c r="AC110" s="44">
        <f t="shared" si="166"/>
        <v>0.36921986057064099</v>
      </c>
      <c r="AD110" s="44">
        <f t="shared" si="166"/>
        <v>0.36551927046768634</v>
      </c>
      <c r="AE110" s="44">
        <f t="shared" si="166"/>
        <v>0.35946509909739144</v>
      </c>
      <c r="AF110" s="44">
        <f t="shared" si="166"/>
        <v>0.3747996997152761</v>
      </c>
      <c r="AG110" s="44">
        <f t="shared" si="166"/>
        <v>0.37249000093330797</v>
      </c>
      <c r="AH110" s="44">
        <f>AVERAGE(B110:AG110)</f>
        <v>0.36346770547101903</v>
      </c>
      <c r="AI110" s="44">
        <f>STDEV(B110:AH110)</f>
        <v>5.7074501738908915E-3</v>
      </c>
      <c r="AJ110" s="47">
        <f t="shared" si="163"/>
        <v>1.5702771079743074E-2</v>
      </c>
      <c r="AK110" s="2">
        <f t="shared" si="155"/>
        <v>-1.1313470577750593</v>
      </c>
      <c r="AL110" s="2">
        <f t="shared" si="156"/>
        <v>2.0643704897596042</v>
      </c>
      <c r="AM110" s="2">
        <f t="shared" si="139"/>
        <v>0.93302343198454496</v>
      </c>
    </row>
    <row r="111" spans="1:39">
      <c r="A111" s="40" t="str">
        <f t="shared" si="148"/>
        <v>y</v>
      </c>
      <c r="B111" s="44" t="str">
        <f t="shared" ref="B111:AG111" si="167">IF(B106&lt;&gt;"",B107/SUM(B106:B108),"")</f>
        <v/>
      </c>
      <c r="C111" s="44">
        <f t="shared" si="167"/>
        <v>0.38746288912410703</v>
      </c>
      <c r="D111" s="44">
        <f t="shared" si="167"/>
        <v>0.36568770861314254</v>
      </c>
      <c r="E111" s="44">
        <f t="shared" si="167"/>
        <v>0.37853790450498009</v>
      </c>
      <c r="F111" s="44">
        <f t="shared" si="167"/>
        <v>0.3703650436203918</v>
      </c>
      <c r="G111" s="44">
        <f t="shared" si="167"/>
        <v>0.37419150336739759</v>
      </c>
      <c r="H111" s="44">
        <f t="shared" si="167"/>
        <v>0.37717718167363046</v>
      </c>
      <c r="I111" s="44">
        <f t="shared" si="167"/>
        <v>0.38107083207974263</v>
      </c>
      <c r="J111" s="44">
        <f t="shared" si="167"/>
        <v>0.36269813413061919</v>
      </c>
      <c r="K111" s="44" t="str">
        <f t="shared" si="167"/>
        <v/>
      </c>
      <c r="L111" s="44">
        <f t="shared" si="167"/>
        <v>0.35987024634476339</v>
      </c>
      <c r="M111" s="44">
        <f t="shared" si="167"/>
        <v>0.36190928312332105</v>
      </c>
      <c r="N111" s="44">
        <f t="shared" si="167"/>
        <v>0.3598780931944795</v>
      </c>
      <c r="O111" s="44">
        <f t="shared" si="167"/>
        <v>0.36677193437846017</v>
      </c>
      <c r="P111" s="44">
        <f t="shared" si="167"/>
        <v>0.36444641493260638</v>
      </c>
      <c r="Q111" s="44">
        <f t="shared" si="167"/>
        <v>0.3563126938267267</v>
      </c>
      <c r="R111" s="44">
        <f t="shared" si="167"/>
        <v>0.36651170612852951</v>
      </c>
      <c r="S111" s="44" t="str">
        <f t="shared" si="167"/>
        <v/>
      </c>
      <c r="T111" s="44" t="str">
        <f t="shared" si="167"/>
        <v/>
      </c>
      <c r="U111" s="44" t="str">
        <f t="shared" si="167"/>
        <v/>
      </c>
      <c r="V111" s="44">
        <f t="shared" si="167"/>
        <v>0.36348216474256062</v>
      </c>
      <c r="W111" s="44">
        <f t="shared" si="167"/>
        <v>0.3572237168988428</v>
      </c>
      <c r="X111" s="44" t="str">
        <f t="shared" si="167"/>
        <v/>
      </c>
      <c r="Y111" s="44" t="str">
        <f t="shared" si="167"/>
        <v/>
      </c>
      <c r="Z111" s="44">
        <f t="shared" si="167"/>
        <v>0.37340004612331584</v>
      </c>
      <c r="AA111" s="44" t="str">
        <f t="shared" si="167"/>
        <v/>
      </c>
      <c r="AB111" s="44" t="str">
        <f t="shared" si="167"/>
        <v/>
      </c>
      <c r="AC111" s="44">
        <f t="shared" si="167"/>
        <v>0.37712482301779782</v>
      </c>
      <c r="AD111" s="44">
        <f t="shared" si="167"/>
        <v>0.34547507032349706</v>
      </c>
      <c r="AE111" s="44">
        <f t="shared" si="167"/>
        <v>0.3534210478701742</v>
      </c>
      <c r="AF111" s="44">
        <f t="shared" si="167"/>
        <v>0.36921823873456133</v>
      </c>
      <c r="AG111" s="44">
        <f t="shared" si="167"/>
        <v>0.39937146468882045</v>
      </c>
      <c r="AH111" s="44">
        <f>AVERAGE(B111:AG111)</f>
        <v>0.36833078875836828</v>
      </c>
      <c r="AI111" s="44">
        <f>STDEV(B111:AH111)</f>
        <v>1.1602884374290176E-2</v>
      </c>
      <c r="AJ111" s="47">
        <f t="shared" si="163"/>
        <v>3.1501261171793811E-2</v>
      </c>
      <c r="AK111" s="2">
        <f t="shared" si="155"/>
        <v>-1.9698307504912504</v>
      </c>
      <c r="AL111" s="2">
        <f t="shared" si="156"/>
        <v>2.6752551287361368</v>
      </c>
      <c r="AM111" s="2">
        <f t="shared" si="139"/>
        <v>0.70542437824488635</v>
      </c>
    </row>
    <row r="112" spans="1:39">
      <c r="A112" s="40" t="str">
        <f>A106</f>
        <v>X</v>
      </c>
      <c r="B112" s="43" t="str">
        <f t="shared" ref="B112:AG112" si="168">IF(B$93,$B$89*B20+$C$89*B21+$D$89*B22,"")</f>
        <v/>
      </c>
      <c r="C112" s="43">
        <f t="shared" si="168"/>
        <v>122.29509689664451</v>
      </c>
      <c r="D112" s="43">
        <f t="shared" si="168"/>
        <v>114.75203610715249</v>
      </c>
      <c r="E112" s="43">
        <f t="shared" si="168"/>
        <v>120.24038770586392</v>
      </c>
      <c r="F112" s="43">
        <f t="shared" si="168"/>
        <v>118.27838576208498</v>
      </c>
      <c r="G112" s="43">
        <f t="shared" si="168"/>
        <v>113.97955987912682</v>
      </c>
      <c r="H112" s="43">
        <f t="shared" si="168"/>
        <v>116.44323228640054</v>
      </c>
      <c r="I112" s="43">
        <f t="shared" si="168"/>
        <v>121.5924808716554</v>
      </c>
      <c r="J112" s="43">
        <f t="shared" si="168"/>
        <v>113.53590764456322</v>
      </c>
      <c r="K112" s="43" t="str">
        <f t="shared" si="168"/>
        <v/>
      </c>
      <c r="L112" s="43">
        <f t="shared" si="168"/>
        <v>113.81754153135773</v>
      </c>
      <c r="M112" s="43">
        <f t="shared" si="168"/>
        <v>117.84411939788153</v>
      </c>
      <c r="N112" s="43">
        <f t="shared" si="168"/>
        <v>119.59549364289498</v>
      </c>
      <c r="O112" s="43">
        <f t="shared" si="168"/>
        <v>128.55055092544592</v>
      </c>
      <c r="P112" s="43">
        <f t="shared" si="168"/>
        <v>120.71185152873002</v>
      </c>
      <c r="Q112" s="43">
        <f t="shared" si="168"/>
        <v>122.97858928634257</v>
      </c>
      <c r="R112" s="43">
        <f t="shared" si="168"/>
        <v>118.341837543027</v>
      </c>
      <c r="S112" s="43" t="str">
        <f t="shared" si="168"/>
        <v/>
      </c>
      <c r="T112" s="43" t="str">
        <f t="shared" si="168"/>
        <v/>
      </c>
      <c r="U112" s="43" t="str">
        <f t="shared" si="168"/>
        <v/>
      </c>
      <c r="V112" s="43">
        <f t="shared" si="168"/>
        <v>127.40824686138195</v>
      </c>
      <c r="W112" s="43">
        <f t="shared" si="168"/>
        <v>120.8910682742288</v>
      </c>
      <c r="X112" s="43" t="str">
        <f t="shared" si="168"/>
        <v/>
      </c>
      <c r="Y112" s="43" t="str">
        <f t="shared" si="168"/>
        <v/>
      </c>
      <c r="Z112" s="43">
        <f t="shared" si="168"/>
        <v>116.90537152473058</v>
      </c>
      <c r="AA112" s="43" t="str">
        <f t="shared" si="168"/>
        <v/>
      </c>
      <c r="AB112" s="43" t="str">
        <f t="shared" si="168"/>
        <v/>
      </c>
      <c r="AC112" s="43">
        <f t="shared" si="168"/>
        <v>105.56213473360677</v>
      </c>
      <c r="AD112" s="43">
        <f t="shared" si="168"/>
        <v>120.83342354509128</v>
      </c>
      <c r="AE112" s="43">
        <f t="shared" si="168"/>
        <v>110.98022075868315</v>
      </c>
      <c r="AF112" s="43">
        <f t="shared" si="168"/>
        <v>110.80802796157818</v>
      </c>
      <c r="AG112" s="43">
        <f t="shared" si="168"/>
        <v>118.76935644236164</v>
      </c>
      <c r="AH112" s="43">
        <f>AVERAGE(B112:AG112)</f>
        <v>118.04847483090583</v>
      </c>
      <c r="AI112" s="43">
        <f>STDEV(B112:AG112)</f>
        <v>5.2720954753194578</v>
      </c>
      <c r="AJ112" s="47">
        <f>AI112/AH112</f>
        <v>4.4660428547435925E-2</v>
      </c>
      <c r="AK112" s="2">
        <f t="shared" si="155"/>
        <v>-2.3683827722301376</v>
      </c>
      <c r="AL112" s="2">
        <f t="shared" si="156"/>
        <v>1.992011742523256</v>
      </c>
      <c r="AM112" s="2">
        <f t="shared" si="139"/>
        <v>-0.37637102970688163</v>
      </c>
    </row>
    <row r="113" spans="1:39">
      <c r="A113" s="40" t="str">
        <f t="shared" si="148"/>
        <v>Y</v>
      </c>
      <c r="B113" s="43" t="str">
        <f t="shared" ref="B113:AG113" si="169">IF(B$93,$B$90*B20+$C$90*B21+$D$90*B22,"")</f>
        <v/>
      </c>
      <c r="C113" s="43">
        <f t="shared" si="169"/>
        <v>165.11245187444896</v>
      </c>
      <c r="D113" s="43">
        <f t="shared" si="169"/>
        <v>143.77996066431598</v>
      </c>
      <c r="E113" s="43">
        <f t="shared" si="169"/>
        <v>156.18233020569528</v>
      </c>
      <c r="F113" s="43">
        <f t="shared" si="169"/>
        <v>145.799670216908</v>
      </c>
      <c r="G113" s="43">
        <f t="shared" si="169"/>
        <v>150.9507222194851</v>
      </c>
      <c r="H113" s="43">
        <f t="shared" si="169"/>
        <v>147.87356149138498</v>
      </c>
      <c r="I113" s="43">
        <f t="shared" si="169"/>
        <v>160.97091100927</v>
      </c>
      <c r="J113" s="43">
        <f t="shared" si="169"/>
        <v>141.05272623505115</v>
      </c>
      <c r="K113" s="43" t="str">
        <f t="shared" si="169"/>
        <v/>
      </c>
      <c r="L113" s="43">
        <f t="shared" si="169"/>
        <v>143.21408694097522</v>
      </c>
      <c r="M113" s="43">
        <f t="shared" si="169"/>
        <v>149.9268818857083</v>
      </c>
      <c r="N113" s="43">
        <f t="shared" si="169"/>
        <v>151.8903396437114</v>
      </c>
      <c r="O113" s="43">
        <f t="shared" si="169"/>
        <v>160.400196117435</v>
      </c>
      <c r="P113" s="43">
        <f t="shared" si="169"/>
        <v>152.11707497820595</v>
      </c>
      <c r="Q113" s="43">
        <f t="shared" si="169"/>
        <v>150.6577180508265</v>
      </c>
      <c r="R113" s="43">
        <f t="shared" si="169"/>
        <v>149.22240354513983</v>
      </c>
      <c r="S113" s="43" t="str">
        <f t="shared" si="169"/>
        <v/>
      </c>
      <c r="T113" s="43" t="str">
        <f t="shared" si="169"/>
        <v/>
      </c>
      <c r="U113" s="43" t="str">
        <f t="shared" si="169"/>
        <v/>
      </c>
      <c r="V113" s="43">
        <f t="shared" si="169"/>
        <v>164.12701937996786</v>
      </c>
      <c r="W113" s="43">
        <f t="shared" si="169"/>
        <v>150.48349241630456</v>
      </c>
      <c r="X113" s="43" t="str">
        <f t="shared" si="169"/>
        <v/>
      </c>
      <c r="Y113" s="43" t="str">
        <f t="shared" si="169"/>
        <v/>
      </c>
      <c r="Z113" s="43">
        <f t="shared" si="169"/>
        <v>151.29772519381726</v>
      </c>
      <c r="AA113" s="43" t="str">
        <f t="shared" si="169"/>
        <v/>
      </c>
      <c r="AB113" s="43" t="str">
        <f t="shared" si="169"/>
        <v/>
      </c>
      <c r="AC113" s="43">
        <f t="shared" si="169"/>
        <v>134.7787174446926</v>
      </c>
      <c r="AD113" s="43">
        <f t="shared" si="169"/>
        <v>150.7354413172641</v>
      </c>
      <c r="AE113" s="43">
        <f t="shared" si="169"/>
        <v>137.59379726912982</v>
      </c>
      <c r="AF113" s="43">
        <f t="shared" si="169"/>
        <v>143.58159274087691</v>
      </c>
      <c r="AG113" s="43">
        <f t="shared" si="169"/>
        <v>161.96524830663822</v>
      </c>
      <c r="AH113" s="43">
        <f t="shared" ref="AH113:AH115" si="170">AVERAGE(B113:AG113)</f>
        <v>150.59626387596754</v>
      </c>
      <c r="AI113" s="43">
        <f t="shared" ref="AI113:AI115" si="171">STDEV(B113:AG113)</f>
        <v>8.1349654653505858</v>
      </c>
      <c r="AJ113" s="47">
        <f t="shared" ref="AJ113:AJ117" si="172">AI113/AH113</f>
        <v>5.401837506440809E-2</v>
      </c>
      <c r="AK113" s="2">
        <f t="shared" si="155"/>
        <v>-1.9443901143338485</v>
      </c>
      <c r="AL113" s="2">
        <f t="shared" si="156"/>
        <v>1.784419130027104</v>
      </c>
      <c r="AM113" s="2">
        <f t="shared" si="139"/>
        <v>-0.1599709843067445</v>
      </c>
    </row>
    <row r="114" spans="1:39">
      <c r="A114" s="40" t="str">
        <f t="shared" si="148"/>
        <v>Z</v>
      </c>
      <c r="B114" s="43" t="str">
        <f t="shared" ref="B114:AG114" si="173">IF(B$93,$B$91*B20+$C$91*B21+$D$91*B22,"")</f>
        <v/>
      </c>
      <c r="C114" s="43">
        <f t="shared" si="173"/>
        <v>234.44409182664651</v>
      </c>
      <c r="D114" s="43">
        <f t="shared" si="173"/>
        <v>230.34833293137379</v>
      </c>
      <c r="E114" s="43">
        <f t="shared" si="173"/>
        <v>225.33296612725172</v>
      </c>
      <c r="F114" s="43">
        <f t="shared" si="173"/>
        <v>240.20523152442917</v>
      </c>
      <c r="G114" s="43">
        <f t="shared" si="173"/>
        <v>211.54116122872725</v>
      </c>
      <c r="H114" s="43">
        <f t="shared" si="173"/>
        <v>229.16757602735245</v>
      </c>
      <c r="I114" s="43">
        <f t="shared" si="173"/>
        <v>232.9549109856344</v>
      </c>
      <c r="J114" s="43">
        <f t="shared" si="173"/>
        <v>228.26096662905672</v>
      </c>
      <c r="K114" s="43" t="str">
        <f t="shared" si="173"/>
        <v/>
      </c>
      <c r="L114" s="43">
        <f t="shared" si="173"/>
        <v>222.34465019421231</v>
      </c>
      <c r="M114" s="43">
        <f t="shared" si="173"/>
        <v>224.35251073424234</v>
      </c>
      <c r="N114" s="43">
        <f t="shared" si="173"/>
        <v>237.34470791744695</v>
      </c>
      <c r="O114" s="43">
        <f t="shared" si="173"/>
        <v>248.33564403072319</v>
      </c>
      <c r="P114" s="43">
        <f t="shared" si="173"/>
        <v>241.43978908926539</v>
      </c>
      <c r="Q114" s="43">
        <f t="shared" si="173"/>
        <v>250.63077300084043</v>
      </c>
      <c r="R114" s="43">
        <f t="shared" si="173"/>
        <v>232.28905455342175</v>
      </c>
      <c r="S114" s="43" t="str">
        <f t="shared" si="173"/>
        <v/>
      </c>
      <c r="T114" s="43" t="str">
        <f t="shared" si="173"/>
        <v/>
      </c>
      <c r="U114" s="43" t="str">
        <f t="shared" si="173"/>
        <v/>
      </c>
      <c r="V114" s="43">
        <f t="shared" si="173"/>
        <v>244.85543983413976</v>
      </c>
      <c r="W114" s="43">
        <f t="shared" si="173"/>
        <v>237.31829818065799</v>
      </c>
      <c r="X114" s="43" t="str">
        <f t="shared" si="173"/>
        <v/>
      </c>
      <c r="Y114" s="43" t="str">
        <f t="shared" si="173"/>
        <v/>
      </c>
      <c r="Z114" s="43">
        <f t="shared" si="173"/>
        <v>225.76615947390769</v>
      </c>
      <c r="AA114" s="43" t="str">
        <f t="shared" si="173"/>
        <v/>
      </c>
      <c r="AB114" s="43" t="str">
        <f t="shared" si="173"/>
        <v/>
      </c>
      <c r="AC114" s="43">
        <f t="shared" si="173"/>
        <v>201.81776609980051</v>
      </c>
      <c r="AD114" s="43">
        <f t="shared" si="173"/>
        <v>244.84876097759349</v>
      </c>
      <c r="AE114" s="43">
        <f t="shared" si="173"/>
        <v>228.25186400671549</v>
      </c>
      <c r="AF114" s="43">
        <f t="shared" si="173"/>
        <v>203.14638941385169</v>
      </c>
      <c r="AG114" s="43">
        <f t="shared" si="173"/>
        <v>218.22694974014081</v>
      </c>
      <c r="AH114" s="43">
        <f t="shared" si="170"/>
        <v>230.14017367510579</v>
      </c>
      <c r="AI114" s="43">
        <f t="shared" si="171"/>
        <v>12.987002664983251</v>
      </c>
      <c r="AJ114" s="47">
        <f t="shared" si="172"/>
        <v>5.6430837161517498E-2</v>
      </c>
      <c r="AK114" s="2">
        <f t="shared" si="155"/>
        <v>-2.1808271166118072</v>
      </c>
      <c r="AL114" s="2">
        <f t="shared" si="156"/>
        <v>1.5777774020931932</v>
      </c>
      <c r="AM114" s="2">
        <f t="shared" si="139"/>
        <v>-0.603049714518614</v>
      </c>
    </row>
    <row r="115" spans="1:39">
      <c r="A115" s="40" t="str">
        <f t="shared" si="148"/>
        <v>Ev</v>
      </c>
      <c r="B115" s="43" t="str">
        <f t="shared" ref="B115:AG115" si="174">B113</f>
        <v/>
      </c>
      <c r="C115" s="43">
        <f t="shared" si="174"/>
        <v>165.11245187444896</v>
      </c>
      <c r="D115" s="43">
        <f t="shared" si="174"/>
        <v>143.77996066431598</v>
      </c>
      <c r="E115" s="43">
        <f t="shared" si="174"/>
        <v>156.18233020569528</v>
      </c>
      <c r="F115" s="43">
        <f t="shared" si="174"/>
        <v>145.799670216908</v>
      </c>
      <c r="G115" s="43">
        <f t="shared" si="174"/>
        <v>150.9507222194851</v>
      </c>
      <c r="H115" s="43">
        <f t="shared" si="174"/>
        <v>147.87356149138498</v>
      </c>
      <c r="I115" s="43">
        <f t="shared" si="174"/>
        <v>160.97091100927</v>
      </c>
      <c r="J115" s="43">
        <f t="shared" si="174"/>
        <v>141.05272623505115</v>
      </c>
      <c r="K115" s="43" t="str">
        <f t="shared" si="174"/>
        <v/>
      </c>
      <c r="L115" s="43">
        <f t="shared" si="174"/>
        <v>143.21408694097522</v>
      </c>
      <c r="M115" s="43">
        <f t="shared" si="174"/>
        <v>149.9268818857083</v>
      </c>
      <c r="N115" s="43">
        <f t="shared" si="174"/>
        <v>151.8903396437114</v>
      </c>
      <c r="O115" s="43">
        <f t="shared" si="174"/>
        <v>160.400196117435</v>
      </c>
      <c r="P115" s="43">
        <f t="shared" si="174"/>
        <v>152.11707497820595</v>
      </c>
      <c r="Q115" s="43">
        <f t="shared" si="174"/>
        <v>150.6577180508265</v>
      </c>
      <c r="R115" s="43">
        <f t="shared" si="174"/>
        <v>149.22240354513983</v>
      </c>
      <c r="S115" s="43" t="str">
        <f t="shared" si="174"/>
        <v/>
      </c>
      <c r="T115" s="43" t="str">
        <f t="shared" si="174"/>
        <v/>
      </c>
      <c r="U115" s="43" t="str">
        <f t="shared" si="174"/>
        <v/>
      </c>
      <c r="V115" s="43">
        <f t="shared" si="174"/>
        <v>164.12701937996786</v>
      </c>
      <c r="W115" s="43">
        <f t="shared" si="174"/>
        <v>150.48349241630456</v>
      </c>
      <c r="X115" s="43" t="str">
        <f t="shared" si="174"/>
        <v/>
      </c>
      <c r="Y115" s="43" t="str">
        <f t="shared" si="174"/>
        <v/>
      </c>
      <c r="Z115" s="43">
        <f t="shared" si="174"/>
        <v>151.29772519381726</v>
      </c>
      <c r="AA115" s="43" t="str">
        <f t="shared" si="174"/>
        <v/>
      </c>
      <c r="AB115" s="43" t="str">
        <f t="shared" si="174"/>
        <v/>
      </c>
      <c r="AC115" s="43">
        <f t="shared" si="174"/>
        <v>134.7787174446926</v>
      </c>
      <c r="AD115" s="43">
        <f t="shared" si="174"/>
        <v>150.7354413172641</v>
      </c>
      <c r="AE115" s="43">
        <f t="shared" si="174"/>
        <v>137.59379726912982</v>
      </c>
      <c r="AF115" s="43">
        <f t="shared" si="174"/>
        <v>143.58159274087691</v>
      </c>
      <c r="AG115" s="43">
        <f t="shared" si="174"/>
        <v>161.96524830663822</v>
      </c>
      <c r="AH115" s="43">
        <f t="shared" si="170"/>
        <v>150.59626387596754</v>
      </c>
      <c r="AI115" s="43">
        <f t="shared" si="171"/>
        <v>8.1349654653505858</v>
      </c>
      <c r="AJ115" s="47">
        <f t="shared" si="172"/>
        <v>5.401837506440809E-2</v>
      </c>
      <c r="AK115" s="2">
        <f t="shared" si="155"/>
        <v>-1.9443901143338485</v>
      </c>
      <c r="AL115" s="2">
        <f t="shared" si="156"/>
        <v>1.784419130027104</v>
      </c>
      <c r="AM115" s="2">
        <f t="shared" si="139"/>
        <v>-0.1599709843067445</v>
      </c>
    </row>
    <row r="116" spans="1:39">
      <c r="A116" s="40" t="str">
        <f t="shared" si="148"/>
        <v>x</v>
      </c>
      <c r="B116" s="44" t="str">
        <f t="shared" ref="B116:AG116" si="175">IF(B112&lt;&gt;"",B112/SUM(B112:B114),"")</f>
        <v/>
      </c>
      <c r="C116" s="44">
        <f t="shared" si="175"/>
        <v>0.23434839977999319</v>
      </c>
      <c r="D116" s="44">
        <f t="shared" si="175"/>
        <v>0.2347241832718093</v>
      </c>
      <c r="E116" s="44">
        <f t="shared" si="175"/>
        <v>0.23963931357589424</v>
      </c>
      <c r="F116" s="44">
        <f t="shared" si="175"/>
        <v>0.23454750274920089</v>
      </c>
      <c r="G116" s="44">
        <f t="shared" si="175"/>
        <v>0.23921593093423243</v>
      </c>
      <c r="H116" s="44">
        <f t="shared" si="175"/>
        <v>0.23596133821296197</v>
      </c>
      <c r="I116" s="44">
        <f t="shared" si="175"/>
        <v>0.23586452739996935</v>
      </c>
      <c r="J116" s="44">
        <f t="shared" si="175"/>
        <v>0.23513720944359429</v>
      </c>
      <c r="K116" s="44" t="str">
        <f t="shared" si="175"/>
        <v/>
      </c>
      <c r="L116" s="44">
        <f t="shared" si="175"/>
        <v>0.23742839726645998</v>
      </c>
      <c r="M116" s="44">
        <f t="shared" si="175"/>
        <v>0.23946045356518431</v>
      </c>
      <c r="N116" s="44">
        <f t="shared" si="175"/>
        <v>0.23503992775255661</v>
      </c>
      <c r="O116" s="44">
        <f t="shared" si="175"/>
        <v>0.23925890002271707</v>
      </c>
      <c r="P116" s="44">
        <f t="shared" si="175"/>
        <v>0.23472524745897966</v>
      </c>
      <c r="Q116" s="44">
        <f t="shared" si="175"/>
        <v>0.23457240383480663</v>
      </c>
      <c r="R116" s="44">
        <f t="shared" si="175"/>
        <v>0.23675314052121813</v>
      </c>
      <c r="S116" s="44" t="str">
        <f t="shared" si="175"/>
        <v/>
      </c>
      <c r="T116" s="44" t="str">
        <f t="shared" si="175"/>
        <v/>
      </c>
      <c r="U116" s="44" t="str">
        <f t="shared" si="175"/>
        <v/>
      </c>
      <c r="V116" s="44">
        <f t="shared" si="175"/>
        <v>0.23752881140235679</v>
      </c>
      <c r="W116" s="44">
        <f t="shared" si="175"/>
        <v>0.23765041353733696</v>
      </c>
      <c r="X116" s="44" t="str">
        <f t="shared" si="175"/>
        <v/>
      </c>
      <c r="Y116" s="44" t="str">
        <f t="shared" si="175"/>
        <v/>
      </c>
      <c r="Z116" s="44">
        <f t="shared" si="175"/>
        <v>0.23666527837348453</v>
      </c>
      <c r="AA116" s="44" t="str">
        <f t="shared" si="175"/>
        <v/>
      </c>
      <c r="AB116" s="44" t="str">
        <f t="shared" si="175"/>
        <v/>
      </c>
      <c r="AC116" s="44">
        <f t="shared" si="175"/>
        <v>0.23874268276099156</v>
      </c>
      <c r="AD116" s="44">
        <f t="shared" si="175"/>
        <v>0.2339839259912106</v>
      </c>
      <c r="AE116" s="44">
        <f t="shared" si="175"/>
        <v>0.23274789590940601</v>
      </c>
      <c r="AF116" s="44">
        <f t="shared" si="175"/>
        <v>0.24218427732805228</v>
      </c>
      <c r="AG116" s="44">
        <f t="shared" si="175"/>
        <v>0.23803308165488435</v>
      </c>
      <c r="AH116" s="44">
        <f>AVERAGE(B116:AG116)</f>
        <v>0.23670492359770873</v>
      </c>
      <c r="AI116" s="44">
        <f>STDEV(B116:AH116)</f>
        <v>2.2767268606109677E-3</v>
      </c>
      <c r="AJ116" s="47">
        <f t="shared" si="172"/>
        <v>9.6184178428006563E-3</v>
      </c>
      <c r="AK116" s="2">
        <f t="shared" si="155"/>
        <v>-1.7380335589491134</v>
      </c>
      <c r="AL116" s="2">
        <f t="shared" si="156"/>
        <v>2.4066803203934404</v>
      </c>
      <c r="AM116" s="2">
        <f t="shared" si="139"/>
        <v>0.668646761444327</v>
      </c>
    </row>
    <row r="117" spans="1:39">
      <c r="A117" s="40" t="str">
        <f t="shared" si="148"/>
        <v>y</v>
      </c>
      <c r="B117" s="44" t="str">
        <f t="shared" ref="B117:AG117" si="176">IF(B112&lt;&gt;"",B113/SUM(B112:B114),"")</f>
        <v/>
      </c>
      <c r="C117" s="44">
        <f t="shared" si="176"/>
        <v>0.31639730342770533</v>
      </c>
      <c r="D117" s="44">
        <f t="shared" si="176"/>
        <v>0.29410052302924572</v>
      </c>
      <c r="E117" s="44">
        <f t="shared" si="176"/>
        <v>0.31127167100236486</v>
      </c>
      <c r="F117" s="44">
        <f t="shared" si="176"/>
        <v>0.28912255041947743</v>
      </c>
      <c r="G117" s="44">
        <f t="shared" si="176"/>
        <v>0.31680958918618946</v>
      </c>
      <c r="H117" s="44">
        <f t="shared" si="176"/>
        <v>0.29965196577507769</v>
      </c>
      <c r="I117" s="44">
        <f t="shared" si="176"/>
        <v>0.31225062255633779</v>
      </c>
      <c r="J117" s="44">
        <f t="shared" si="176"/>
        <v>0.29212559373862029</v>
      </c>
      <c r="K117" s="44" t="str">
        <f t="shared" si="176"/>
        <v/>
      </c>
      <c r="L117" s="44">
        <f t="shared" si="176"/>
        <v>0.29875088383460691</v>
      </c>
      <c r="M117" s="44">
        <f t="shared" si="176"/>
        <v>0.30465295444017654</v>
      </c>
      <c r="N117" s="44">
        <f t="shared" si="176"/>
        <v>0.29850869266669999</v>
      </c>
      <c r="O117" s="44">
        <f t="shared" si="176"/>
        <v>0.2985376119371343</v>
      </c>
      <c r="P117" s="44">
        <f t="shared" si="176"/>
        <v>0.29579297819400457</v>
      </c>
      <c r="Q117" s="44">
        <f t="shared" si="176"/>
        <v>0.2873682588532801</v>
      </c>
      <c r="R117" s="44">
        <f t="shared" si="176"/>
        <v>0.29853239909842921</v>
      </c>
      <c r="S117" s="44" t="str">
        <f t="shared" si="176"/>
        <v/>
      </c>
      <c r="T117" s="44" t="str">
        <f t="shared" si="176"/>
        <v/>
      </c>
      <c r="U117" s="44" t="str">
        <f t="shared" si="176"/>
        <v/>
      </c>
      <c r="V117" s="44">
        <f t="shared" si="176"/>
        <v>0.30598408496076601</v>
      </c>
      <c r="W117" s="44">
        <f t="shared" si="176"/>
        <v>0.295823874449964</v>
      </c>
      <c r="X117" s="44" t="str">
        <f t="shared" si="176"/>
        <v/>
      </c>
      <c r="Y117" s="44" t="str">
        <f t="shared" si="176"/>
        <v/>
      </c>
      <c r="Z117" s="44">
        <f t="shared" si="176"/>
        <v>0.30628976054102869</v>
      </c>
      <c r="AA117" s="44" t="str">
        <f t="shared" si="176"/>
        <v/>
      </c>
      <c r="AB117" s="44" t="str">
        <f t="shared" si="176"/>
        <v/>
      </c>
      <c r="AC117" s="44">
        <f t="shared" si="176"/>
        <v>0.30481983585339106</v>
      </c>
      <c r="AD117" s="44">
        <f t="shared" si="176"/>
        <v>0.29188670907987346</v>
      </c>
      <c r="AE117" s="44">
        <f t="shared" si="176"/>
        <v>0.28856193099678723</v>
      </c>
      <c r="AF117" s="44">
        <f t="shared" si="176"/>
        <v>0.31381484640821633</v>
      </c>
      <c r="AG117" s="44">
        <f t="shared" si="176"/>
        <v>0.32460466512788855</v>
      </c>
      <c r="AH117" s="44">
        <f>AVERAGE(B117:AG117)</f>
        <v>0.30198518719901157</v>
      </c>
      <c r="AI117" s="44">
        <f>STDEV(B117:AH117)</f>
        <v>9.9325820963699664E-3</v>
      </c>
      <c r="AJ117" s="47">
        <f t="shared" si="172"/>
        <v>3.2890957958889175E-2</v>
      </c>
      <c r="AK117" s="2">
        <f t="shared" si="155"/>
        <v>-1.4716141486586334</v>
      </c>
      <c r="AL117" s="2">
        <f t="shared" si="156"/>
        <v>2.2773008780006614</v>
      </c>
      <c r="AM117" s="2">
        <f t="shared" si="139"/>
        <v>0.80568672934202801</v>
      </c>
    </row>
    <row r="118" spans="1:39">
      <c r="A118" s="40" t="str">
        <f>A112</f>
        <v>X</v>
      </c>
      <c r="B118" s="43" t="str">
        <f t="shared" ref="B118:AG118" si="177">IF(B$93,$B$89*B26+$C$89*B27+$D$89*B28,"")</f>
        <v/>
      </c>
      <c r="C118" s="43">
        <f t="shared" si="177"/>
        <v>156.41534145771192</v>
      </c>
      <c r="D118" s="43">
        <f t="shared" si="177"/>
        <v>146.47061204429883</v>
      </c>
      <c r="E118" s="43">
        <f t="shared" si="177"/>
        <v>151.25396799160876</v>
      </c>
      <c r="F118" s="43">
        <f t="shared" si="177"/>
        <v>147.66131723851268</v>
      </c>
      <c r="G118" s="43">
        <f t="shared" si="177"/>
        <v>142.25963119015353</v>
      </c>
      <c r="H118" s="43">
        <f t="shared" si="177"/>
        <v>147.08997256765295</v>
      </c>
      <c r="I118" s="43">
        <f t="shared" si="177"/>
        <v>152.18241909416855</v>
      </c>
      <c r="J118" s="43">
        <f t="shared" si="177"/>
        <v>143.11329227955355</v>
      </c>
      <c r="K118" s="43" t="str">
        <f t="shared" si="177"/>
        <v/>
      </c>
      <c r="L118" s="43">
        <f t="shared" si="177"/>
        <v>145.34276843745874</v>
      </c>
      <c r="M118" s="43">
        <f t="shared" si="177"/>
        <v>150.73647739330309</v>
      </c>
      <c r="N118" s="43">
        <f t="shared" si="177"/>
        <v>149.69642270963521</v>
      </c>
      <c r="O118" s="43">
        <f t="shared" si="177"/>
        <v>160.20788775921812</v>
      </c>
      <c r="P118" s="43">
        <f t="shared" si="177"/>
        <v>151.84977023115229</v>
      </c>
      <c r="Q118" s="43">
        <f t="shared" si="177"/>
        <v>154.30504217515292</v>
      </c>
      <c r="R118" s="43">
        <f t="shared" si="177"/>
        <v>151.03924635825186</v>
      </c>
      <c r="S118" s="43" t="str">
        <f t="shared" si="177"/>
        <v/>
      </c>
      <c r="T118" s="43" t="str">
        <f t="shared" si="177"/>
        <v/>
      </c>
      <c r="U118" s="43" t="str">
        <f t="shared" si="177"/>
        <v/>
      </c>
      <c r="V118" s="43">
        <f t="shared" si="177"/>
        <v>162.41961366909334</v>
      </c>
      <c r="W118" s="43">
        <f t="shared" si="177"/>
        <v>153.0622887489877</v>
      </c>
      <c r="X118" s="43" t="str">
        <f t="shared" si="177"/>
        <v/>
      </c>
      <c r="Y118" s="43" t="str">
        <f t="shared" si="177"/>
        <v/>
      </c>
      <c r="Z118" s="43">
        <f t="shared" si="177"/>
        <v>149.30054677858232</v>
      </c>
      <c r="AA118" s="43" t="str">
        <f t="shared" si="177"/>
        <v/>
      </c>
      <c r="AB118" s="43" t="str">
        <f t="shared" si="177"/>
        <v/>
      </c>
      <c r="AC118" s="43">
        <f t="shared" si="177"/>
        <v>130.11643602174078</v>
      </c>
      <c r="AD118" s="43">
        <f t="shared" si="177"/>
        <v>148.38271910671315</v>
      </c>
      <c r="AE118" s="43">
        <f t="shared" si="177"/>
        <v>139.04676615104063</v>
      </c>
      <c r="AF118" s="43">
        <f t="shared" si="177"/>
        <v>139.40564130264079</v>
      </c>
      <c r="AG118" s="43">
        <f t="shared" si="177"/>
        <v>150.22913372164476</v>
      </c>
      <c r="AH118" s="43">
        <f>AVERAGE(B118:AG118)</f>
        <v>148.76466584470768</v>
      </c>
      <c r="AI118" s="43">
        <f>STDEV(B118:AG118)</f>
        <v>7.0389797977985333</v>
      </c>
      <c r="AJ118" s="47">
        <f>AI118/AH118</f>
        <v>4.7316207500149109E-2</v>
      </c>
      <c r="AK118" s="2">
        <f t="shared" si="155"/>
        <v>-2.6492802023382991</v>
      </c>
      <c r="AL118" s="2">
        <f t="shared" si="156"/>
        <v>1.9399043919200185</v>
      </c>
      <c r="AM118" s="2">
        <f t="shared" si="139"/>
        <v>-0.70937581041828057</v>
      </c>
    </row>
    <row r="119" spans="1:39">
      <c r="A119" s="40" t="str">
        <f t="shared" si="148"/>
        <v>Y</v>
      </c>
      <c r="B119" s="43" t="str">
        <f t="shared" ref="B119:AG119" si="178">IF(B$93,$B$90*B26+$C$90*B27+$D$90*B28,"")</f>
        <v/>
      </c>
      <c r="C119" s="43">
        <f t="shared" si="178"/>
        <v>166.08208824483367</v>
      </c>
      <c r="D119" s="43">
        <f t="shared" si="178"/>
        <v>146.15729998993447</v>
      </c>
      <c r="E119" s="43">
        <f t="shared" si="178"/>
        <v>158.72872392996672</v>
      </c>
      <c r="F119" s="43">
        <f t="shared" si="178"/>
        <v>149.15893162123768</v>
      </c>
      <c r="G119" s="43">
        <f t="shared" si="178"/>
        <v>147.89364862282517</v>
      </c>
      <c r="H119" s="43">
        <f t="shared" si="178"/>
        <v>150.02991861653837</v>
      </c>
      <c r="I119" s="43">
        <f t="shared" si="178"/>
        <v>159.49548115004072</v>
      </c>
      <c r="J119" s="43">
        <f t="shared" si="178"/>
        <v>141.84192706519056</v>
      </c>
      <c r="K119" s="43" t="str">
        <f t="shared" si="178"/>
        <v/>
      </c>
      <c r="L119" s="43">
        <f t="shared" si="178"/>
        <v>140.31384972690083</v>
      </c>
      <c r="M119" s="43">
        <f t="shared" si="178"/>
        <v>147.0880009238445</v>
      </c>
      <c r="N119" s="43">
        <f t="shared" si="178"/>
        <v>144.5460094652569</v>
      </c>
      <c r="O119" s="43">
        <f t="shared" si="178"/>
        <v>158.9575171208167</v>
      </c>
      <c r="P119" s="43">
        <f t="shared" si="178"/>
        <v>151.34443500869151</v>
      </c>
      <c r="Q119" s="43">
        <f t="shared" si="178"/>
        <v>147.58087113048518</v>
      </c>
      <c r="R119" s="43">
        <f t="shared" si="178"/>
        <v>147.7069842080171</v>
      </c>
      <c r="S119" s="43" t="str">
        <f t="shared" si="178"/>
        <v/>
      </c>
      <c r="T119" s="43" t="str">
        <f t="shared" si="178"/>
        <v/>
      </c>
      <c r="U119" s="43" t="str">
        <f t="shared" si="178"/>
        <v/>
      </c>
      <c r="V119" s="43">
        <f t="shared" si="178"/>
        <v>162.08135741574196</v>
      </c>
      <c r="W119" s="43">
        <f t="shared" si="178"/>
        <v>148.17967275373019</v>
      </c>
      <c r="X119" s="43" t="str">
        <f t="shared" si="178"/>
        <v/>
      </c>
      <c r="Y119" s="43" t="str">
        <f t="shared" si="178"/>
        <v/>
      </c>
      <c r="Z119" s="43">
        <f t="shared" si="178"/>
        <v>149.71274935277611</v>
      </c>
      <c r="AA119" s="43" t="str">
        <f t="shared" si="178"/>
        <v/>
      </c>
      <c r="AB119" s="43" t="str">
        <f t="shared" si="178"/>
        <v/>
      </c>
      <c r="AC119" s="43">
        <f t="shared" si="178"/>
        <v>137.51980388286964</v>
      </c>
      <c r="AD119" s="43">
        <f t="shared" si="178"/>
        <v>140.28578635511525</v>
      </c>
      <c r="AE119" s="43">
        <f t="shared" si="178"/>
        <v>140.08034783270998</v>
      </c>
      <c r="AF119" s="43">
        <f t="shared" si="178"/>
        <v>138.59014813358729</v>
      </c>
      <c r="AG119" s="43">
        <f t="shared" si="178"/>
        <v>160.94591985813588</v>
      </c>
      <c r="AH119" s="43">
        <f t="shared" ref="AH119:AH121" si="179">AVERAGE(B119:AG119)</f>
        <v>149.31832488735853</v>
      </c>
      <c r="AI119" s="43">
        <f t="shared" ref="AI119:AI121" si="180">STDEV(B119:AG119)</f>
        <v>8.1849143240618734</v>
      </c>
      <c r="AJ119" s="47">
        <f t="shared" ref="AJ119:AJ123" si="181">AI119/AH119</f>
        <v>5.481520322596934E-2</v>
      </c>
      <c r="AK119" s="2">
        <f t="shared" si="155"/>
        <v>-1.4414959689686424</v>
      </c>
      <c r="AL119" s="2">
        <f t="shared" si="156"/>
        <v>2.0481293625998398</v>
      </c>
      <c r="AM119" s="2">
        <f t="shared" si="139"/>
        <v>0.60663339363119739</v>
      </c>
    </row>
    <row r="120" spans="1:39">
      <c r="A120" s="40" t="str">
        <f t="shared" si="148"/>
        <v>Z</v>
      </c>
      <c r="B120" s="43" t="str">
        <f t="shared" ref="B120:AG120" si="182">IF(B$93,$B$91*B26+$C$91*B27+$D$91*B28,"")</f>
        <v/>
      </c>
      <c r="C120" s="43">
        <f t="shared" si="182"/>
        <v>207.70045755520715</v>
      </c>
      <c r="D120" s="43">
        <f t="shared" si="182"/>
        <v>203.78549416427273</v>
      </c>
      <c r="E120" s="43">
        <f t="shared" si="182"/>
        <v>196.70413553502701</v>
      </c>
      <c r="F120" s="43">
        <f t="shared" si="182"/>
        <v>207.41494623755827</v>
      </c>
      <c r="G120" s="43">
        <f t="shared" si="182"/>
        <v>186.87300154480215</v>
      </c>
      <c r="H120" s="43">
        <f t="shared" si="182"/>
        <v>201.97209961030978</v>
      </c>
      <c r="I120" s="43">
        <f t="shared" si="182"/>
        <v>200.89986866964659</v>
      </c>
      <c r="J120" s="43">
        <f t="shared" si="182"/>
        <v>201.71420699897402</v>
      </c>
      <c r="K120" s="43" t="str">
        <f t="shared" si="182"/>
        <v/>
      </c>
      <c r="L120" s="43">
        <f t="shared" si="182"/>
        <v>201.18918743391833</v>
      </c>
      <c r="M120" s="43">
        <f t="shared" si="182"/>
        <v>198.18207861168662</v>
      </c>
      <c r="N120" s="43">
        <f t="shared" si="182"/>
        <v>203.32558629776122</v>
      </c>
      <c r="O120" s="43">
        <f t="shared" si="182"/>
        <v>218.29916371474746</v>
      </c>
      <c r="P120" s="43">
        <f t="shared" si="182"/>
        <v>210.21719661630749</v>
      </c>
      <c r="Q120" s="43">
        <f t="shared" si="182"/>
        <v>218.96275816181247</v>
      </c>
      <c r="R120" s="43">
        <f t="shared" si="182"/>
        <v>206.91639535898406</v>
      </c>
      <c r="S120" s="43" t="str">
        <f t="shared" si="182"/>
        <v/>
      </c>
      <c r="T120" s="43" t="str">
        <f t="shared" si="182"/>
        <v/>
      </c>
      <c r="U120" s="43" t="str">
        <f t="shared" si="182"/>
        <v/>
      </c>
      <c r="V120" s="43">
        <f t="shared" si="182"/>
        <v>224.03111483993069</v>
      </c>
      <c r="W120" s="43">
        <f t="shared" si="182"/>
        <v>210.68975065097794</v>
      </c>
      <c r="X120" s="43" t="str">
        <f t="shared" si="182"/>
        <v/>
      </c>
      <c r="Y120" s="43" t="str">
        <f t="shared" si="182"/>
        <v/>
      </c>
      <c r="Z120" s="43">
        <f t="shared" si="182"/>
        <v>198.66218614795514</v>
      </c>
      <c r="AA120" s="43" t="str">
        <f t="shared" si="182"/>
        <v/>
      </c>
      <c r="AB120" s="43" t="str">
        <f t="shared" si="182"/>
        <v/>
      </c>
      <c r="AC120" s="43">
        <f t="shared" si="182"/>
        <v>172.5720051652697</v>
      </c>
      <c r="AD120" s="43">
        <f t="shared" si="182"/>
        <v>215.31366843099272</v>
      </c>
      <c r="AE120" s="43">
        <f t="shared" si="182"/>
        <v>195.87744099698671</v>
      </c>
      <c r="AF120" s="43">
        <f t="shared" si="182"/>
        <v>176.13832116172892</v>
      </c>
      <c r="AG120" s="43">
        <f t="shared" si="182"/>
        <v>190.53063602147654</v>
      </c>
      <c r="AH120" s="43">
        <f t="shared" si="179"/>
        <v>202.0857260837536</v>
      </c>
      <c r="AI120" s="43">
        <f t="shared" si="180"/>
        <v>12.501318153598492</v>
      </c>
      <c r="AJ120" s="47">
        <f t="shared" si="181"/>
        <v>6.1861460459693089E-2</v>
      </c>
      <c r="AK120" s="2">
        <f t="shared" si="155"/>
        <v>-2.3608487165802114</v>
      </c>
      <c r="AL120" s="2">
        <f t="shared" si="156"/>
        <v>1.7554459846988326</v>
      </c>
      <c r="AM120" s="2">
        <f t="shared" si="139"/>
        <v>-0.60540273188137883</v>
      </c>
    </row>
    <row r="121" spans="1:39">
      <c r="A121" s="40" t="str">
        <f t="shared" si="148"/>
        <v>Ev</v>
      </c>
      <c r="B121" s="43" t="str">
        <f t="shared" ref="B121:AG121" si="183">B119</f>
        <v/>
      </c>
      <c r="C121" s="43">
        <f t="shared" si="183"/>
        <v>166.08208824483367</v>
      </c>
      <c r="D121" s="43">
        <f t="shared" si="183"/>
        <v>146.15729998993447</v>
      </c>
      <c r="E121" s="43">
        <f t="shared" si="183"/>
        <v>158.72872392996672</v>
      </c>
      <c r="F121" s="43">
        <f t="shared" si="183"/>
        <v>149.15893162123768</v>
      </c>
      <c r="G121" s="43">
        <f t="shared" si="183"/>
        <v>147.89364862282517</v>
      </c>
      <c r="H121" s="43">
        <f t="shared" si="183"/>
        <v>150.02991861653837</v>
      </c>
      <c r="I121" s="43">
        <f t="shared" si="183"/>
        <v>159.49548115004072</v>
      </c>
      <c r="J121" s="43">
        <f t="shared" si="183"/>
        <v>141.84192706519056</v>
      </c>
      <c r="K121" s="43" t="str">
        <f t="shared" si="183"/>
        <v/>
      </c>
      <c r="L121" s="43">
        <f t="shared" si="183"/>
        <v>140.31384972690083</v>
      </c>
      <c r="M121" s="43">
        <f t="shared" si="183"/>
        <v>147.0880009238445</v>
      </c>
      <c r="N121" s="43">
        <f t="shared" si="183"/>
        <v>144.5460094652569</v>
      </c>
      <c r="O121" s="43">
        <f t="shared" si="183"/>
        <v>158.9575171208167</v>
      </c>
      <c r="P121" s="43">
        <f t="shared" si="183"/>
        <v>151.34443500869151</v>
      </c>
      <c r="Q121" s="43">
        <f t="shared" si="183"/>
        <v>147.58087113048518</v>
      </c>
      <c r="R121" s="43">
        <f t="shared" si="183"/>
        <v>147.7069842080171</v>
      </c>
      <c r="S121" s="43" t="str">
        <f t="shared" si="183"/>
        <v/>
      </c>
      <c r="T121" s="43" t="str">
        <f t="shared" si="183"/>
        <v/>
      </c>
      <c r="U121" s="43" t="str">
        <f t="shared" si="183"/>
        <v/>
      </c>
      <c r="V121" s="43">
        <f t="shared" si="183"/>
        <v>162.08135741574196</v>
      </c>
      <c r="W121" s="43">
        <f t="shared" si="183"/>
        <v>148.17967275373019</v>
      </c>
      <c r="X121" s="43" t="str">
        <f t="shared" si="183"/>
        <v/>
      </c>
      <c r="Y121" s="43" t="str">
        <f t="shared" si="183"/>
        <v/>
      </c>
      <c r="Z121" s="43">
        <f t="shared" si="183"/>
        <v>149.71274935277611</v>
      </c>
      <c r="AA121" s="43" t="str">
        <f t="shared" si="183"/>
        <v/>
      </c>
      <c r="AB121" s="43" t="str">
        <f t="shared" si="183"/>
        <v/>
      </c>
      <c r="AC121" s="43">
        <f t="shared" si="183"/>
        <v>137.51980388286964</v>
      </c>
      <c r="AD121" s="43">
        <f t="shared" si="183"/>
        <v>140.28578635511525</v>
      </c>
      <c r="AE121" s="43">
        <f t="shared" si="183"/>
        <v>140.08034783270998</v>
      </c>
      <c r="AF121" s="43">
        <f t="shared" si="183"/>
        <v>138.59014813358729</v>
      </c>
      <c r="AG121" s="43">
        <f t="shared" si="183"/>
        <v>160.94591985813588</v>
      </c>
      <c r="AH121" s="43">
        <f t="shared" si="179"/>
        <v>149.31832488735853</v>
      </c>
      <c r="AI121" s="43">
        <f t="shared" si="180"/>
        <v>8.1849143240618734</v>
      </c>
      <c r="AJ121" s="47">
        <f t="shared" si="181"/>
        <v>5.481520322596934E-2</v>
      </c>
      <c r="AK121" s="2">
        <f t="shared" si="155"/>
        <v>-1.4414959689686424</v>
      </c>
      <c r="AL121" s="2">
        <f t="shared" si="156"/>
        <v>2.0481293625998398</v>
      </c>
      <c r="AM121" s="2">
        <f t="shared" si="139"/>
        <v>0.60663339363119739</v>
      </c>
    </row>
    <row r="122" spans="1:39">
      <c r="A122" s="40" t="str">
        <f t="shared" si="148"/>
        <v>x</v>
      </c>
      <c r="B122" s="44" t="str">
        <f t="shared" ref="B122:AG122" si="184">IF(B118&lt;&gt;"",B118/SUM(B118:B120),"")</f>
        <v/>
      </c>
      <c r="C122" s="44">
        <f t="shared" si="184"/>
        <v>0.29501313607021507</v>
      </c>
      <c r="D122" s="44">
        <f t="shared" si="184"/>
        <v>0.29505772852904799</v>
      </c>
      <c r="E122" s="44">
        <f t="shared" si="184"/>
        <v>0.29851569015688217</v>
      </c>
      <c r="F122" s="44">
        <f t="shared" si="184"/>
        <v>0.29284214722460339</v>
      </c>
      <c r="G122" s="44">
        <f t="shared" si="184"/>
        <v>0.29822178934299742</v>
      </c>
      <c r="H122" s="44">
        <f t="shared" si="184"/>
        <v>0.2947151532796618</v>
      </c>
      <c r="I122" s="44">
        <f t="shared" si="184"/>
        <v>0.29689625325858493</v>
      </c>
      <c r="J122" s="44">
        <f t="shared" si="184"/>
        <v>0.29406674126777271</v>
      </c>
      <c r="K122" s="44" t="str">
        <f t="shared" si="184"/>
        <v/>
      </c>
      <c r="L122" s="44">
        <f t="shared" si="184"/>
        <v>0.29853963362968505</v>
      </c>
      <c r="M122" s="44">
        <f t="shared" si="184"/>
        <v>0.3039001708498188</v>
      </c>
      <c r="N122" s="44">
        <f t="shared" si="184"/>
        <v>0.30085619885527798</v>
      </c>
      <c r="O122" s="44">
        <f t="shared" si="184"/>
        <v>0.29808083568761856</v>
      </c>
      <c r="P122" s="44">
        <f t="shared" si="184"/>
        <v>0.29576626012232171</v>
      </c>
      <c r="Q122" s="44">
        <f t="shared" si="184"/>
        <v>0.29625695644074601</v>
      </c>
      <c r="R122" s="44">
        <f t="shared" si="184"/>
        <v>0.29869568881402447</v>
      </c>
      <c r="S122" s="44" t="str">
        <f t="shared" si="184"/>
        <v/>
      </c>
      <c r="T122" s="44" t="str">
        <f t="shared" si="184"/>
        <v/>
      </c>
      <c r="U122" s="44" t="str">
        <f t="shared" si="184"/>
        <v/>
      </c>
      <c r="V122" s="44">
        <f t="shared" si="184"/>
        <v>0.29609865646286004</v>
      </c>
      <c r="W122" s="44">
        <f t="shared" si="184"/>
        <v>0.29898966036906544</v>
      </c>
      <c r="X122" s="44" t="str">
        <f t="shared" si="184"/>
        <v/>
      </c>
      <c r="Y122" s="44" t="str">
        <f t="shared" si="184"/>
        <v/>
      </c>
      <c r="Z122" s="44">
        <f t="shared" si="184"/>
        <v>0.29999578459199527</v>
      </c>
      <c r="AA122" s="44" t="str">
        <f t="shared" si="184"/>
        <v/>
      </c>
      <c r="AB122" s="44" t="str">
        <f t="shared" si="184"/>
        <v/>
      </c>
      <c r="AC122" s="44">
        <f t="shared" si="184"/>
        <v>0.29557927975902781</v>
      </c>
      <c r="AD122" s="44">
        <f t="shared" si="184"/>
        <v>0.29442057039554898</v>
      </c>
      <c r="AE122" s="44">
        <f t="shared" si="184"/>
        <v>0.29272722691402259</v>
      </c>
      <c r="AF122" s="44">
        <f t="shared" si="184"/>
        <v>0.30697020560531296</v>
      </c>
      <c r="AG122" s="44">
        <f t="shared" si="184"/>
        <v>0.29943677505639416</v>
      </c>
      <c r="AH122" s="44">
        <f>AVERAGE(B122:AG122)</f>
        <v>0.2974627192471081</v>
      </c>
      <c r="AI122" s="44">
        <f>STDEV(B122:AH122)</f>
        <v>3.3277281073745587E-3</v>
      </c>
      <c r="AJ122" s="47">
        <f t="shared" si="181"/>
        <v>1.118704258401588E-2</v>
      </c>
      <c r="AK122" s="2">
        <f t="shared" si="155"/>
        <v>-1.4230406392250661</v>
      </c>
      <c r="AL122" s="2">
        <f t="shared" si="156"/>
        <v>2.8570502310977206</v>
      </c>
      <c r="AM122" s="2">
        <f t="shared" si="139"/>
        <v>1.4340095918726545</v>
      </c>
    </row>
    <row r="123" spans="1:39">
      <c r="A123" s="40" t="str">
        <f t="shared" si="148"/>
        <v>y</v>
      </c>
      <c r="B123" s="44" t="str">
        <f t="shared" ref="B123:AG123" si="185">IF(B118&lt;&gt;"",B119/SUM(B118:B120),"")</f>
        <v/>
      </c>
      <c r="C123" s="44">
        <f t="shared" si="185"/>
        <v>0.31324547350392179</v>
      </c>
      <c r="D123" s="44">
        <f t="shared" si="185"/>
        <v>0.29442657705237119</v>
      </c>
      <c r="E123" s="44">
        <f t="shared" si="185"/>
        <v>0.31326791092385714</v>
      </c>
      <c r="F123" s="44">
        <f t="shared" si="185"/>
        <v>0.29581221832889432</v>
      </c>
      <c r="G123" s="44">
        <f t="shared" si="185"/>
        <v>0.31003249590749798</v>
      </c>
      <c r="H123" s="44">
        <f t="shared" si="185"/>
        <v>0.30060574279644675</v>
      </c>
      <c r="I123" s="44">
        <f t="shared" si="185"/>
        <v>0.31116347766702623</v>
      </c>
      <c r="J123" s="44">
        <f t="shared" si="185"/>
        <v>0.29145436180536316</v>
      </c>
      <c r="K123" s="44" t="str">
        <f t="shared" si="185"/>
        <v/>
      </c>
      <c r="L123" s="44">
        <f t="shared" si="185"/>
        <v>0.28821004127676758</v>
      </c>
      <c r="M123" s="44">
        <f t="shared" si="185"/>
        <v>0.29654446875577961</v>
      </c>
      <c r="N123" s="44">
        <f t="shared" si="185"/>
        <v>0.29050502463755368</v>
      </c>
      <c r="O123" s="44">
        <f t="shared" si="185"/>
        <v>0.29575441137713698</v>
      </c>
      <c r="P123" s="44">
        <f t="shared" si="185"/>
        <v>0.29478199054701848</v>
      </c>
      <c r="Q123" s="44">
        <f t="shared" si="185"/>
        <v>0.28334692822521285</v>
      </c>
      <c r="R123" s="44">
        <f t="shared" si="185"/>
        <v>0.29210579670139813</v>
      </c>
      <c r="S123" s="44" t="str">
        <f t="shared" si="185"/>
        <v/>
      </c>
      <c r="T123" s="44" t="str">
        <f t="shared" si="185"/>
        <v/>
      </c>
      <c r="U123" s="44" t="str">
        <f t="shared" si="185"/>
        <v/>
      </c>
      <c r="V123" s="44">
        <f t="shared" si="185"/>
        <v>0.29548199927537555</v>
      </c>
      <c r="W123" s="44">
        <f t="shared" si="185"/>
        <v>0.28945202892459732</v>
      </c>
      <c r="X123" s="44" t="str">
        <f t="shared" si="185"/>
        <v/>
      </c>
      <c r="Y123" s="44" t="str">
        <f t="shared" si="185"/>
        <v/>
      </c>
      <c r="Z123" s="44">
        <f t="shared" si="185"/>
        <v>0.30082404033066651</v>
      </c>
      <c r="AA123" s="44" t="str">
        <f t="shared" si="185"/>
        <v/>
      </c>
      <c r="AB123" s="44" t="str">
        <f t="shared" si="185"/>
        <v/>
      </c>
      <c r="AC123" s="44">
        <f t="shared" si="185"/>
        <v>0.31239715617102826</v>
      </c>
      <c r="AD123" s="44">
        <f t="shared" si="185"/>
        <v>0.27835465939505427</v>
      </c>
      <c r="AE123" s="44">
        <f t="shared" si="185"/>
        <v>0.29490316748307938</v>
      </c>
      <c r="AF123" s="44">
        <f t="shared" si="185"/>
        <v>0.30517449559361676</v>
      </c>
      <c r="AG123" s="44">
        <f t="shared" si="185"/>
        <v>0.32079747787204005</v>
      </c>
      <c r="AH123" s="44">
        <f>AVERAGE(B123:AG123)</f>
        <v>0.29863660628485678</v>
      </c>
      <c r="AI123" s="44">
        <f>STDEV(B123:AH123)</f>
        <v>1.0471161341990108E-2</v>
      </c>
      <c r="AJ123" s="47">
        <f t="shared" si="181"/>
        <v>3.5063221057374701E-2</v>
      </c>
      <c r="AK123" s="2">
        <f t="shared" si="155"/>
        <v>-1.9369338535994516</v>
      </c>
      <c r="AL123" s="2">
        <f t="shared" si="156"/>
        <v>2.1163718964310663</v>
      </c>
      <c r="AM123" s="2">
        <f t="shared" si="139"/>
        <v>0.17943804283161469</v>
      </c>
    </row>
    <row r="124" spans="1:39">
      <c r="A124" s="40" t="str">
        <f>A118</f>
        <v>X</v>
      </c>
      <c r="B124" s="43" t="str">
        <f t="shared" ref="B124:AG124" si="186">IF(B$93,$B$89*B32+$C$89*B33+$D$89*B34,"")</f>
        <v/>
      </c>
      <c r="C124" s="43">
        <f t="shared" si="186"/>
        <v>186.25472725445692</v>
      </c>
      <c r="D124" s="43">
        <f t="shared" si="186"/>
        <v>173.67457375922027</v>
      </c>
      <c r="E124" s="43">
        <f t="shared" si="186"/>
        <v>178.92130094493103</v>
      </c>
      <c r="F124" s="43">
        <f t="shared" si="186"/>
        <v>180.76320597689033</v>
      </c>
      <c r="G124" s="43">
        <f t="shared" si="186"/>
        <v>173.4380131999703</v>
      </c>
      <c r="H124" s="43">
        <f t="shared" si="186"/>
        <v>174.74427614527488</v>
      </c>
      <c r="I124" s="43">
        <f t="shared" si="186"/>
        <v>182.21688847763369</v>
      </c>
      <c r="J124" s="43">
        <f t="shared" si="186"/>
        <v>175.934301097504</v>
      </c>
      <c r="K124" s="43" t="str">
        <f t="shared" si="186"/>
        <v/>
      </c>
      <c r="L124" s="43">
        <f t="shared" si="186"/>
        <v>179.45191226999398</v>
      </c>
      <c r="M124" s="43">
        <f t="shared" si="186"/>
        <v>182.75738473178001</v>
      </c>
      <c r="N124" s="43">
        <f t="shared" si="186"/>
        <v>185.22965992070675</v>
      </c>
      <c r="O124" s="43">
        <f t="shared" si="186"/>
        <v>200.16114931978692</v>
      </c>
      <c r="P124" s="43">
        <f t="shared" si="186"/>
        <v>179.46886183105781</v>
      </c>
      <c r="Q124" s="43">
        <f t="shared" si="186"/>
        <v>190.02108957464898</v>
      </c>
      <c r="R124" s="43">
        <f t="shared" si="186"/>
        <v>181.94070952054983</v>
      </c>
      <c r="S124" s="43" t="str">
        <f t="shared" si="186"/>
        <v/>
      </c>
      <c r="T124" s="43" t="str">
        <f t="shared" si="186"/>
        <v/>
      </c>
      <c r="U124" s="43" t="str">
        <f t="shared" si="186"/>
        <v/>
      </c>
      <c r="V124" s="43">
        <f t="shared" si="186"/>
        <v>197.94519929398422</v>
      </c>
      <c r="W124" s="43">
        <f t="shared" si="186"/>
        <v>188.97524951586362</v>
      </c>
      <c r="X124" s="43" t="str">
        <f t="shared" si="186"/>
        <v/>
      </c>
      <c r="Y124" s="43" t="str">
        <f t="shared" si="186"/>
        <v/>
      </c>
      <c r="Z124" s="43">
        <f t="shared" si="186"/>
        <v>180.74437662525793</v>
      </c>
      <c r="AA124" s="43" t="str">
        <f t="shared" si="186"/>
        <v/>
      </c>
      <c r="AB124" s="43" t="str">
        <f t="shared" si="186"/>
        <v/>
      </c>
      <c r="AC124" s="43">
        <f t="shared" si="186"/>
        <v>166.64668304519233</v>
      </c>
      <c r="AD124" s="43">
        <f t="shared" si="186"/>
        <v>183.72931931684724</v>
      </c>
      <c r="AE124" s="43">
        <f t="shared" si="186"/>
        <v>177.12847499321248</v>
      </c>
      <c r="AF124" s="43">
        <f t="shared" si="186"/>
        <v>176.63253346458495</v>
      </c>
      <c r="AG124" s="43">
        <f t="shared" si="186"/>
        <v>184.29034375947964</v>
      </c>
      <c r="AH124" s="43">
        <f>AVERAGE(B124:AG124)</f>
        <v>181.78566234951427</v>
      </c>
      <c r="AI124" s="43">
        <f>STDEV(B124:AG124)</f>
        <v>7.6253593188436986</v>
      </c>
      <c r="AJ124" s="47">
        <f>AI124/AH124</f>
        <v>4.1946978767679881E-2</v>
      </c>
      <c r="AK124" s="2">
        <f t="shared" si="155"/>
        <v>-1.9853463517333101</v>
      </c>
      <c r="AL124" s="2">
        <f t="shared" si="156"/>
        <v>2.4097863722780066</v>
      </c>
      <c r="AM124" s="2">
        <f t="shared" si="139"/>
        <v>0.42444002054469654</v>
      </c>
    </row>
    <row r="125" spans="1:39">
      <c r="A125" s="40" t="str">
        <f t="shared" si="148"/>
        <v>Y</v>
      </c>
      <c r="B125" s="43" t="str">
        <f t="shared" ref="B125:AG125" si="187">IF(B$93,$B$90*B32+$C$90*B33+$D$90*B34,"")</f>
        <v/>
      </c>
      <c r="C125" s="43">
        <f t="shared" si="187"/>
        <v>165.3189398643845</v>
      </c>
      <c r="D125" s="43">
        <f t="shared" si="187"/>
        <v>144.96605524257657</v>
      </c>
      <c r="E125" s="43">
        <f t="shared" si="187"/>
        <v>159.31370216025351</v>
      </c>
      <c r="F125" s="43">
        <f t="shared" si="187"/>
        <v>152.94674864053133</v>
      </c>
      <c r="G125" s="43">
        <f t="shared" si="187"/>
        <v>145.97729435504033</v>
      </c>
      <c r="H125" s="43">
        <f t="shared" si="187"/>
        <v>151.20896249682912</v>
      </c>
      <c r="I125" s="43">
        <f t="shared" si="187"/>
        <v>158.57134417734656</v>
      </c>
      <c r="J125" s="43">
        <f t="shared" si="187"/>
        <v>144.76911756774774</v>
      </c>
      <c r="K125" s="43" t="str">
        <f t="shared" si="187"/>
        <v/>
      </c>
      <c r="L125" s="43">
        <f t="shared" si="187"/>
        <v>144.76086022669779</v>
      </c>
      <c r="M125" s="43">
        <f t="shared" si="187"/>
        <v>145.81012085487387</v>
      </c>
      <c r="N125" s="43">
        <f t="shared" si="187"/>
        <v>144.05096868765494</v>
      </c>
      <c r="O125" s="43">
        <f t="shared" si="187"/>
        <v>156.33400155802866</v>
      </c>
      <c r="P125" s="43">
        <f t="shared" si="187"/>
        <v>150.92401613090931</v>
      </c>
      <c r="Q125" s="43">
        <f t="shared" si="187"/>
        <v>146.53557021737331</v>
      </c>
      <c r="R125" s="43">
        <f t="shared" si="187"/>
        <v>145.20064286823012</v>
      </c>
      <c r="S125" s="43" t="str">
        <f t="shared" si="187"/>
        <v/>
      </c>
      <c r="T125" s="43" t="str">
        <f t="shared" si="187"/>
        <v/>
      </c>
      <c r="U125" s="43" t="str">
        <f t="shared" si="187"/>
        <v/>
      </c>
      <c r="V125" s="43">
        <f t="shared" si="187"/>
        <v>155.80318698656743</v>
      </c>
      <c r="W125" s="43">
        <f t="shared" si="187"/>
        <v>148.71081166501131</v>
      </c>
      <c r="X125" s="43" t="str">
        <f t="shared" si="187"/>
        <v/>
      </c>
      <c r="Y125" s="43" t="str">
        <f t="shared" si="187"/>
        <v/>
      </c>
      <c r="Z125" s="43">
        <f t="shared" si="187"/>
        <v>150.7068066092138</v>
      </c>
      <c r="AA125" s="43" t="str">
        <f t="shared" si="187"/>
        <v/>
      </c>
      <c r="AB125" s="43" t="str">
        <f t="shared" si="187"/>
        <v/>
      </c>
      <c r="AC125" s="43">
        <f t="shared" si="187"/>
        <v>140.54726189029236</v>
      </c>
      <c r="AD125" s="43">
        <f t="shared" si="187"/>
        <v>144.33816983231634</v>
      </c>
      <c r="AE125" s="43">
        <f t="shared" si="187"/>
        <v>143.47480654426712</v>
      </c>
      <c r="AF125" s="43">
        <f t="shared" si="187"/>
        <v>144.32733236223609</v>
      </c>
      <c r="AG125" s="43">
        <f t="shared" si="187"/>
        <v>159.03361840405418</v>
      </c>
      <c r="AH125" s="43">
        <f t="shared" ref="AH125:AH127" si="188">AVERAGE(B125:AG125)</f>
        <v>149.7230582322799</v>
      </c>
      <c r="AI125" s="43">
        <f t="shared" ref="AI125:AI127" si="189">STDEV(B125:AG125)</f>
        <v>6.5441352354320008</v>
      </c>
      <c r="AJ125" s="47">
        <f t="shared" ref="AJ125:AJ129" si="190">AI125/AH125</f>
        <v>4.3708265865632062E-2</v>
      </c>
      <c r="AK125" s="2">
        <f t="shared" si="155"/>
        <v>-1.4021403916451627</v>
      </c>
      <c r="AL125" s="2">
        <f t="shared" si="156"/>
        <v>2.3831844958923849</v>
      </c>
      <c r="AM125" s="2">
        <f t="shared" si="139"/>
        <v>0.98104410424722222</v>
      </c>
    </row>
    <row r="126" spans="1:39">
      <c r="A126" s="40" t="str">
        <f t="shared" si="148"/>
        <v>Z</v>
      </c>
      <c r="B126" s="43" t="str">
        <f t="shared" ref="B126:AG126" si="191">IF(B$93,$B$91*B32+$C$91*B33+$D$91*B34,"")</f>
        <v/>
      </c>
      <c r="C126" s="43">
        <f t="shared" si="191"/>
        <v>176.51341204691244</v>
      </c>
      <c r="D126" s="43">
        <f t="shared" si="191"/>
        <v>174.63971873251739</v>
      </c>
      <c r="E126" s="43">
        <f t="shared" si="191"/>
        <v>168.6014751221758</v>
      </c>
      <c r="F126" s="43">
        <f t="shared" si="191"/>
        <v>172.3462756091339</v>
      </c>
      <c r="G126" s="43">
        <f t="shared" si="191"/>
        <v>154.90545199488946</v>
      </c>
      <c r="H126" s="43">
        <f t="shared" si="191"/>
        <v>167.74032489110138</v>
      </c>
      <c r="I126" s="43">
        <f t="shared" si="191"/>
        <v>173.53499823387858</v>
      </c>
      <c r="J126" s="43">
        <f t="shared" si="191"/>
        <v>170.06014350200991</v>
      </c>
      <c r="K126" s="43" t="str">
        <f t="shared" si="191"/>
        <v/>
      </c>
      <c r="L126" s="43">
        <f t="shared" si="191"/>
        <v>166.47965101089986</v>
      </c>
      <c r="M126" s="43">
        <f t="shared" si="191"/>
        <v>175.93704527712248</v>
      </c>
      <c r="N126" s="43">
        <f t="shared" si="191"/>
        <v>176.74284783499968</v>
      </c>
      <c r="O126" s="43">
        <f t="shared" si="191"/>
        <v>188.9004145252045</v>
      </c>
      <c r="P126" s="43">
        <f t="shared" si="191"/>
        <v>180.82312642002717</v>
      </c>
      <c r="Q126" s="43">
        <f t="shared" si="191"/>
        <v>179.59511262222347</v>
      </c>
      <c r="R126" s="43">
        <f t="shared" si="191"/>
        <v>177.2854995123069</v>
      </c>
      <c r="S126" s="43" t="str">
        <f t="shared" si="191"/>
        <v/>
      </c>
      <c r="T126" s="43" t="str">
        <f t="shared" si="191"/>
        <v/>
      </c>
      <c r="U126" s="43" t="str">
        <f t="shared" si="191"/>
        <v/>
      </c>
      <c r="V126" s="43">
        <f t="shared" si="191"/>
        <v>192.89736174062909</v>
      </c>
      <c r="W126" s="43">
        <f t="shared" si="191"/>
        <v>181.02851767111753</v>
      </c>
      <c r="X126" s="43" t="str">
        <f t="shared" si="191"/>
        <v/>
      </c>
      <c r="Y126" s="43" t="str">
        <f t="shared" si="191"/>
        <v/>
      </c>
      <c r="Z126" s="43">
        <f t="shared" si="191"/>
        <v>173.25041405414206</v>
      </c>
      <c r="AA126" s="43" t="str">
        <f t="shared" si="191"/>
        <v/>
      </c>
      <c r="AB126" s="43" t="str">
        <f t="shared" si="191"/>
        <v/>
      </c>
      <c r="AC126" s="43">
        <f t="shared" si="191"/>
        <v>143.53516934740654</v>
      </c>
      <c r="AD126" s="43">
        <f t="shared" si="191"/>
        <v>179.07409858037778</v>
      </c>
      <c r="AE126" s="43">
        <f t="shared" si="191"/>
        <v>170.16337217420192</v>
      </c>
      <c r="AF126" s="43">
        <f t="shared" si="191"/>
        <v>145.22862112813363</v>
      </c>
      <c r="AG126" s="43">
        <f t="shared" si="191"/>
        <v>149.29090553298278</v>
      </c>
      <c r="AH126" s="43">
        <f t="shared" si="188"/>
        <v>171.24234598106065</v>
      </c>
      <c r="AI126" s="43">
        <f t="shared" si="189"/>
        <v>12.569274191984272</v>
      </c>
      <c r="AJ126" s="47">
        <f t="shared" si="190"/>
        <v>7.3400502194558986E-2</v>
      </c>
      <c r="AK126" s="2">
        <f t="shared" si="155"/>
        <v>-2.2043577226856619</v>
      </c>
      <c r="AL126" s="2">
        <f t="shared" si="156"/>
        <v>1.7228533190387689</v>
      </c>
      <c r="AM126" s="2">
        <f t="shared" si="139"/>
        <v>-0.48150440364689295</v>
      </c>
    </row>
    <row r="127" spans="1:39">
      <c r="A127" s="40" t="str">
        <f t="shared" si="148"/>
        <v>Ev</v>
      </c>
      <c r="B127" s="43" t="str">
        <f t="shared" ref="B127:AG127" si="192">B125</f>
        <v/>
      </c>
      <c r="C127" s="43">
        <f t="shared" si="192"/>
        <v>165.3189398643845</v>
      </c>
      <c r="D127" s="43">
        <f t="shared" si="192"/>
        <v>144.96605524257657</v>
      </c>
      <c r="E127" s="43">
        <f t="shared" si="192"/>
        <v>159.31370216025351</v>
      </c>
      <c r="F127" s="43">
        <f t="shared" si="192"/>
        <v>152.94674864053133</v>
      </c>
      <c r="G127" s="43">
        <f t="shared" si="192"/>
        <v>145.97729435504033</v>
      </c>
      <c r="H127" s="43">
        <f t="shared" si="192"/>
        <v>151.20896249682912</v>
      </c>
      <c r="I127" s="43">
        <f t="shared" si="192"/>
        <v>158.57134417734656</v>
      </c>
      <c r="J127" s="43">
        <f t="shared" si="192"/>
        <v>144.76911756774774</v>
      </c>
      <c r="K127" s="43" t="str">
        <f t="shared" si="192"/>
        <v/>
      </c>
      <c r="L127" s="43">
        <f t="shared" si="192"/>
        <v>144.76086022669779</v>
      </c>
      <c r="M127" s="43">
        <f t="shared" si="192"/>
        <v>145.81012085487387</v>
      </c>
      <c r="N127" s="43">
        <f t="shared" si="192"/>
        <v>144.05096868765494</v>
      </c>
      <c r="O127" s="43">
        <f t="shared" si="192"/>
        <v>156.33400155802866</v>
      </c>
      <c r="P127" s="43">
        <f t="shared" si="192"/>
        <v>150.92401613090931</v>
      </c>
      <c r="Q127" s="43">
        <f t="shared" si="192"/>
        <v>146.53557021737331</v>
      </c>
      <c r="R127" s="43">
        <f t="shared" si="192"/>
        <v>145.20064286823012</v>
      </c>
      <c r="S127" s="43" t="str">
        <f t="shared" si="192"/>
        <v/>
      </c>
      <c r="T127" s="43" t="str">
        <f t="shared" si="192"/>
        <v/>
      </c>
      <c r="U127" s="43" t="str">
        <f t="shared" si="192"/>
        <v/>
      </c>
      <c r="V127" s="43">
        <f t="shared" si="192"/>
        <v>155.80318698656743</v>
      </c>
      <c r="W127" s="43">
        <f t="shared" si="192"/>
        <v>148.71081166501131</v>
      </c>
      <c r="X127" s="43" t="str">
        <f t="shared" si="192"/>
        <v/>
      </c>
      <c r="Y127" s="43" t="str">
        <f t="shared" si="192"/>
        <v/>
      </c>
      <c r="Z127" s="43">
        <f t="shared" si="192"/>
        <v>150.7068066092138</v>
      </c>
      <c r="AA127" s="43" t="str">
        <f t="shared" si="192"/>
        <v/>
      </c>
      <c r="AB127" s="43" t="str">
        <f t="shared" si="192"/>
        <v/>
      </c>
      <c r="AC127" s="43">
        <f t="shared" si="192"/>
        <v>140.54726189029236</v>
      </c>
      <c r="AD127" s="43">
        <f t="shared" si="192"/>
        <v>144.33816983231634</v>
      </c>
      <c r="AE127" s="43">
        <f t="shared" si="192"/>
        <v>143.47480654426712</v>
      </c>
      <c r="AF127" s="43">
        <f t="shared" si="192"/>
        <v>144.32733236223609</v>
      </c>
      <c r="AG127" s="43">
        <f t="shared" si="192"/>
        <v>159.03361840405418</v>
      </c>
      <c r="AH127" s="43">
        <f t="shared" si="188"/>
        <v>149.7230582322799</v>
      </c>
      <c r="AI127" s="43">
        <f t="shared" si="189"/>
        <v>6.5441352354320008</v>
      </c>
      <c r="AJ127" s="47">
        <f t="shared" si="190"/>
        <v>4.3708265865632062E-2</v>
      </c>
      <c r="AK127" s="2">
        <f t="shared" si="155"/>
        <v>-1.4021403916451627</v>
      </c>
      <c r="AL127" s="2">
        <f t="shared" si="156"/>
        <v>2.3831844958923849</v>
      </c>
      <c r="AM127" s="2">
        <f t="shared" si="139"/>
        <v>0.98104410424722222</v>
      </c>
    </row>
    <row r="128" spans="1:39">
      <c r="A128" s="40" t="str">
        <f t="shared" si="148"/>
        <v>x</v>
      </c>
      <c r="B128" s="44" t="str">
        <f t="shared" ref="B128:AG128" si="193">IF(B124&lt;&gt;"",B124/SUM(B124:B126),"")</f>
        <v/>
      </c>
      <c r="C128" s="44">
        <f t="shared" si="193"/>
        <v>0.35269699752679623</v>
      </c>
      <c r="D128" s="44">
        <f t="shared" si="193"/>
        <v>0.35208086954391127</v>
      </c>
      <c r="E128" s="44">
        <f t="shared" si="193"/>
        <v>0.35301583179391688</v>
      </c>
      <c r="F128" s="44">
        <f t="shared" si="193"/>
        <v>0.35719984298180602</v>
      </c>
      <c r="G128" s="44">
        <f t="shared" si="193"/>
        <v>0.36565553943823126</v>
      </c>
      <c r="H128" s="44">
        <f t="shared" si="193"/>
        <v>0.35395291543743557</v>
      </c>
      <c r="I128" s="44">
        <f t="shared" si="193"/>
        <v>0.35428477178198725</v>
      </c>
      <c r="J128" s="44">
        <f t="shared" si="193"/>
        <v>0.35849096114748269</v>
      </c>
      <c r="K128" s="44" t="str">
        <f t="shared" si="193"/>
        <v/>
      </c>
      <c r="L128" s="44">
        <f t="shared" si="193"/>
        <v>0.36571160195877295</v>
      </c>
      <c r="M128" s="44">
        <f t="shared" si="193"/>
        <v>0.3622512114486896</v>
      </c>
      <c r="N128" s="44">
        <f t="shared" si="193"/>
        <v>0.36604953829931508</v>
      </c>
      <c r="O128" s="44">
        <f t="shared" si="193"/>
        <v>0.36700179102460767</v>
      </c>
      <c r="P128" s="44">
        <f t="shared" si="193"/>
        <v>0.35106268249175132</v>
      </c>
      <c r="Q128" s="44">
        <f t="shared" si="193"/>
        <v>0.36814964072649653</v>
      </c>
      <c r="R128" s="44">
        <f t="shared" si="193"/>
        <v>0.36068799437391291</v>
      </c>
      <c r="S128" s="44" t="str">
        <f t="shared" si="193"/>
        <v/>
      </c>
      <c r="T128" s="44" t="str">
        <f t="shared" si="193"/>
        <v/>
      </c>
      <c r="U128" s="44" t="str">
        <f t="shared" si="193"/>
        <v/>
      </c>
      <c r="V128" s="44">
        <f t="shared" si="193"/>
        <v>0.3621087331430492</v>
      </c>
      <c r="W128" s="44">
        <f t="shared" si="193"/>
        <v>0.36431451364659817</v>
      </c>
      <c r="X128" s="44" t="str">
        <f t="shared" si="193"/>
        <v/>
      </c>
      <c r="Y128" s="44" t="str">
        <f t="shared" si="193"/>
        <v/>
      </c>
      <c r="Z128" s="44">
        <f t="shared" si="193"/>
        <v>0.35812126927329535</v>
      </c>
      <c r="AA128" s="44" t="str">
        <f t="shared" si="193"/>
        <v/>
      </c>
      <c r="AB128" s="44" t="str">
        <f t="shared" si="193"/>
        <v/>
      </c>
      <c r="AC128" s="44">
        <f t="shared" si="193"/>
        <v>0.36972691083052561</v>
      </c>
      <c r="AD128" s="44">
        <f t="shared" si="193"/>
        <v>0.3622840716719728</v>
      </c>
      <c r="AE128" s="44">
        <f t="shared" si="193"/>
        <v>0.36092198533373249</v>
      </c>
      <c r="AF128" s="44">
        <f t="shared" si="193"/>
        <v>0.3788865199531451</v>
      </c>
      <c r="AG128" s="44">
        <f t="shared" si="193"/>
        <v>0.37410633710920538</v>
      </c>
      <c r="AH128" s="44">
        <f>AVERAGE(B128:AG128)</f>
        <v>0.36168532743202775</v>
      </c>
      <c r="AI128" s="44">
        <f>STDEV(B128:AH128)</f>
        <v>7.1135827998855877E-3</v>
      </c>
      <c r="AJ128" s="47">
        <f t="shared" si="190"/>
        <v>1.9667877738895719E-2</v>
      </c>
      <c r="AK128" s="2">
        <f t="shared" si="155"/>
        <v>-1.4932904050048139</v>
      </c>
      <c r="AL128" s="2">
        <f t="shared" si="156"/>
        <v>2.4180772200183016</v>
      </c>
      <c r="AM128" s="2">
        <f t="shared" si="139"/>
        <v>0.9247868150134877</v>
      </c>
    </row>
    <row r="129" spans="1:39">
      <c r="A129" s="40" t="str">
        <f t="shared" si="148"/>
        <v>y</v>
      </c>
      <c r="B129" s="44" t="str">
        <f t="shared" ref="B129:AG129" si="194">IF(B124&lt;&gt;"",B125/SUM(B124:B126),"")</f>
        <v/>
      </c>
      <c r="C129" s="44">
        <f t="shared" si="194"/>
        <v>0.31305242333432448</v>
      </c>
      <c r="D129" s="44">
        <f t="shared" si="194"/>
        <v>0.29388167582272456</v>
      </c>
      <c r="E129" s="44">
        <f t="shared" si="194"/>
        <v>0.31432958953042728</v>
      </c>
      <c r="F129" s="44">
        <f t="shared" si="194"/>
        <v>0.30223271546732827</v>
      </c>
      <c r="G129" s="44">
        <f t="shared" si="194"/>
        <v>0.30776071132447042</v>
      </c>
      <c r="H129" s="44">
        <f t="shared" si="194"/>
        <v>0.30628100843502071</v>
      </c>
      <c r="I129" s="44">
        <f t="shared" si="194"/>
        <v>0.30831067829330189</v>
      </c>
      <c r="J129" s="44">
        <f t="shared" si="194"/>
        <v>0.29498750259377987</v>
      </c>
      <c r="K129" s="44" t="str">
        <f t="shared" si="194"/>
        <v/>
      </c>
      <c r="L129" s="44">
        <f t="shared" si="194"/>
        <v>0.29501344078620806</v>
      </c>
      <c r="M129" s="44">
        <f t="shared" si="194"/>
        <v>0.28901646299370004</v>
      </c>
      <c r="N129" s="44">
        <f t="shared" si="194"/>
        <v>0.28467250116562215</v>
      </c>
      <c r="O129" s="44">
        <f t="shared" si="194"/>
        <v>0.28664333096017319</v>
      </c>
      <c r="P129" s="44">
        <f t="shared" si="194"/>
        <v>0.29522553057265954</v>
      </c>
      <c r="Q129" s="44">
        <f t="shared" si="194"/>
        <v>0.28390015892412523</v>
      </c>
      <c r="R129" s="44">
        <f t="shared" si="194"/>
        <v>0.28785272298847114</v>
      </c>
      <c r="S129" s="44" t="str">
        <f t="shared" si="194"/>
        <v/>
      </c>
      <c r="T129" s="44" t="str">
        <f t="shared" si="194"/>
        <v/>
      </c>
      <c r="U129" s="44" t="str">
        <f t="shared" si="194"/>
        <v/>
      </c>
      <c r="V129" s="44">
        <f t="shared" si="194"/>
        <v>0.28501673625115359</v>
      </c>
      <c r="W129" s="44">
        <f t="shared" si="194"/>
        <v>0.28669101993264728</v>
      </c>
      <c r="X129" s="44" t="str">
        <f t="shared" si="194"/>
        <v/>
      </c>
      <c r="Y129" s="44" t="str">
        <f t="shared" si="194"/>
        <v/>
      </c>
      <c r="Z129" s="44">
        <f t="shared" si="194"/>
        <v>0.29860576510724229</v>
      </c>
      <c r="AA129" s="44" t="str">
        <f t="shared" si="194"/>
        <v/>
      </c>
      <c r="AB129" s="44" t="str">
        <f t="shared" si="194"/>
        <v/>
      </c>
      <c r="AC129" s="44">
        <f t="shared" si="194"/>
        <v>0.31182201778534463</v>
      </c>
      <c r="AD129" s="44">
        <f t="shared" si="194"/>
        <v>0.28461118812699676</v>
      </c>
      <c r="AE129" s="44">
        <f t="shared" si="194"/>
        <v>0.29234831963248376</v>
      </c>
      <c r="AF129" s="44">
        <f t="shared" si="194"/>
        <v>0.30959008298328416</v>
      </c>
      <c r="AG129" s="44">
        <f t="shared" si="194"/>
        <v>0.32283560410529355</v>
      </c>
      <c r="AH129" s="44">
        <f>AVERAGE(B129:AG129)</f>
        <v>0.29802961683116447</v>
      </c>
      <c r="AI129" s="44">
        <f>STDEV(B129:AH129)</f>
        <v>1.1350582133071749E-2</v>
      </c>
      <c r="AJ129" s="47">
        <f t="shared" si="190"/>
        <v>3.8085416656767776E-2</v>
      </c>
      <c r="AK129" s="2">
        <f t="shared" si="155"/>
        <v>-1.2448223131984377</v>
      </c>
      <c r="AL129" s="2">
        <f t="shared" si="156"/>
        <v>2.1854374501068841</v>
      </c>
      <c r="AM129" s="2">
        <f t="shared" si="139"/>
        <v>0.94061513690844634</v>
      </c>
    </row>
    <row r="130" spans="1:39">
      <c r="A130" s="40" t="str">
        <f>A124</f>
        <v>X</v>
      </c>
      <c r="B130" s="43" t="str">
        <f t="shared" ref="B130:AG130" si="195">IF(B$93,$B$89*B38+$C$89*B39+$D$89*B40,"")</f>
        <v/>
      </c>
      <c r="C130" s="43">
        <f t="shared" si="195"/>
        <v>154.00480238113798</v>
      </c>
      <c r="D130" s="43">
        <f t="shared" si="195"/>
        <v>144.68044641957997</v>
      </c>
      <c r="E130" s="43">
        <f t="shared" si="195"/>
        <v>148.78640206603509</v>
      </c>
      <c r="F130" s="43">
        <f t="shared" si="195"/>
        <v>151.91681027457108</v>
      </c>
      <c r="G130" s="43">
        <f t="shared" si="195"/>
        <v>142.17922602727913</v>
      </c>
      <c r="H130" s="43">
        <f t="shared" si="195"/>
        <v>147.03702338821631</v>
      </c>
      <c r="I130" s="43">
        <f t="shared" si="195"/>
        <v>150.07113278951789</v>
      </c>
      <c r="J130" s="43">
        <f t="shared" si="195"/>
        <v>145.18130324258712</v>
      </c>
      <c r="K130" s="43" t="str">
        <f t="shared" si="195"/>
        <v/>
      </c>
      <c r="L130" s="43">
        <f t="shared" si="195"/>
        <v>145.62689386870096</v>
      </c>
      <c r="M130" s="43">
        <f t="shared" si="195"/>
        <v>149.291202087182</v>
      </c>
      <c r="N130" s="43">
        <f t="shared" si="195"/>
        <v>149.79817550921695</v>
      </c>
      <c r="O130" s="43">
        <f t="shared" si="195"/>
        <v>166.13349959799197</v>
      </c>
      <c r="P130" s="43">
        <f t="shared" si="195"/>
        <v>152.03613176795025</v>
      </c>
      <c r="Q130" s="43">
        <f t="shared" si="195"/>
        <v>157.15121612033053</v>
      </c>
      <c r="R130" s="43">
        <f t="shared" si="195"/>
        <v>149.04343153171598</v>
      </c>
      <c r="S130" s="43" t="str">
        <f t="shared" si="195"/>
        <v/>
      </c>
      <c r="T130" s="43" t="str">
        <f t="shared" si="195"/>
        <v/>
      </c>
      <c r="U130" s="43" t="str">
        <f t="shared" si="195"/>
        <v/>
      </c>
      <c r="V130" s="43">
        <f t="shared" si="195"/>
        <v>165.39957139423191</v>
      </c>
      <c r="W130" s="43">
        <f t="shared" si="195"/>
        <v>157.09434890122333</v>
      </c>
      <c r="X130" s="43" t="str">
        <f t="shared" si="195"/>
        <v/>
      </c>
      <c r="Y130" s="43" t="str">
        <f t="shared" si="195"/>
        <v/>
      </c>
      <c r="Z130" s="43">
        <f t="shared" si="195"/>
        <v>146.99335062511153</v>
      </c>
      <c r="AA130" s="43" t="str">
        <f t="shared" si="195"/>
        <v/>
      </c>
      <c r="AB130" s="43" t="str">
        <f t="shared" si="195"/>
        <v/>
      </c>
      <c r="AC130" s="43">
        <f t="shared" si="195"/>
        <v>134.49144076465916</v>
      </c>
      <c r="AD130" s="43">
        <f t="shared" si="195"/>
        <v>151.92029318238252</v>
      </c>
      <c r="AE130" s="43">
        <f t="shared" si="195"/>
        <v>142.35510439455157</v>
      </c>
      <c r="AF130" s="43">
        <f t="shared" si="195"/>
        <v>139.1796679794034</v>
      </c>
      <c r="AG130" s="43">
        <f t="shared" si="195"/>
        <v>152.08542835492085</v>
      </c>
      <c r="AH130" s="43">
        <f>AVERAGE(B130:AG130)</f>
        <v>149.67203924645642</v>
      </c>
      <c r="AI130" s="43">
        <f>STDEV(B130:AG130)</f>
        <v>7.3760302729887277</v>
      </c>
      <c r="AJ130" s="47">
        <f>AI130/AH130</f>
        <v>4.9281284000166785E-2</v>
      </c>
      <c r="AK130" s="2">
        <f t="shared" si="155"/>
        <v>-2.0580987224780145</v>
      </c>
      <c r="AL130" s="2">
        <f t="shared" si="156"/>
        <v>2.2317506493727355</v>
      </c>
      <c r="AM130" s="2">
        <f t="shared" si="139"/>
        <v>0.17365192689472098</v>
      </c>
    </row>
    <row r="131" spans="1:39">
      <c r="A131" s="40" t="str">
        <f t="shared" si="148"/>
        <v>Y</v>
      </c>
      <c r="B131" s="43" t="str">
        <f t="shared" ref="B131:AG131" si="196">IF(B$93,$B$90*B38+$C$90*B39+$D$90*B40,"")</f>
        <v/>
      </c>
      <c r="C131" s="43">
        <f t="shared" si="196"/>
        <v>165.5243282919391</v>
      </c>
      <c r="D131" s="43">
        <f t="shared" si="196"/>
        <v>144.3746649444584</v>
      </c>
      <c r="E131" s="43">
        <f t="shared" si="196"/>
        <v>157.88316835410325</v>
      </c>
      <c r="F131" s="43">
        <f t="shared" si="196"/>
        <v>147.26577737763671</v>
      </c>
      <c r="G131" s="43">
        <f t="shared" si="196"/>
        <v>148.24608599547093</v>
      </c>
      <c r="H131" s="43">
        <f t="shared" si="196"/>
        <v>147.98709441897552</v>
      </c>
      <c r="I131" s="43">
        <f t="shared" si="196"/>
        <v>159.50713549959536</v>
      </c>
      <c r="J131" s="43">
        <f t="shared" si="196"/>
        <v>142.19374267153731</v>
      </c>
      <c r="K131" s="43" t="str">
        <f t="shared" si="196"/>
        <v/>
      </c>
      <c r="L131" s="43">
        <f t="shared" si="196"/>
        <v>140.72654294162126</v>
      </c>
      <c r="M131" s="43">
        <f t="shared" si="196"/>
        <v>147.10485788020935</v>
      </c>
      <c r="N131" s="43">
        <f t="shared" si="196"/>
        <v>146.10762550309306</v>
      </c>
      <c r="O131" s="43">
        <f t="shared" si="196"/>
        <v>159.84923772332451</v>
      </c>
      <c r="P131" s="43">
        <f t="shared" si="196"/>
        <v>150.80815788510313</v>
      </c>
      <c r="Q131" s="43">
        <f t="shared" si="196"/>
        <v>149.0044133013638</v>
      </c>
      <c r="R131" s="43">
        <f t="shared" si="196"/>
        <v>147.31757373790876</v>
      </c>
      <c r="S131" s="43" t="str">
        <f t="shared" si="196"/>
        <v/>
      </c>
      <c r="T131" s="43" t="str">
        <f t="shared" si="196"/>
        <v/>
      </c>
      <c r="U131" s="43" t="str">
        <f t="shared" si="196"/>
        <v/>
      </c>
      <c r="V131" s="43">
        <f t="shared" si="196"/>
        <v>162.90633826192294</v>
      </c>
      <c r="W131" s="43">
        <f t="shared" si="196"/>
        <v>149.38641717088521</v>
      </c>
      <c r="X131" s="43" t="str">
        <f t="shared" si="196"/>
        <v/>
      </c>
      <c r="Y131" s="43" t="str">
        <f t="shared" si="196"/>
        <v/>
      </c>
      <c r="Z131" s="43">
        <f t="shared" si="196"/>
        <v>148.59610659927159</v>
      </c>
      <c r="AA131" s="43" t="str">
        <f t="shared" si="196"/>
        <v/>
      </c>
      <c r="AB131" s="43" t="str">
        <f t="shared" si="196"/>
        <v/>
      </c>
      <c r="AC131" s="43">
        <f t="shared" si="196"/>
        <v>139.90684222199997</v>
      </c>
      <c r="AD131" s="43">
        <f t="shared" si="196"/>
        <v>142.19408538206662</v>
      </c>
      <c r="AE131" s="43">
        <f t="shared" si="196"/>
        <v>142.79061261399224</v>
      </c>
      <c r="AF131" s="43">
        <f t="shared" si="196"/>
        <v>139.59641213250666</v>
      </c>
      <c r="AG131" s="43">
        <f t="shared" si="196"/>
        <v>161.93324962955288</v>
      </c>
      <c r="AH131" s="43">
        <f t="shared" ref="AH131:AH133" si="197">AVERAGE(B131:AG131)</f>
        <v>149.61784654515384</v>
      </c>
      <c r="AI131" s="43">
        <f t="shared" ref="AI131:AI133" si="198">STDEV(B131:AG131)</f>
        <v>7.8250062765842809</v>
      </c>
      <c r="AJ131" s="47">
        <f t="shared" ref="AJ131:AJ135" si="199">AI131/AH131</f>
        <v>5.2299952560958277E-2</v>
      </c>
      <c r="AK131" s="2">
        <f t="shared" si="155"/>
        <v>-1.2806934663599618</v>
      </c>
      <c r="AL131" s="2">
        <f t="shared" si="156"/>
        <v>2.0327755895077253</v>
      </c>
      <c r="AM131" s="2">
        <f t="shared" si="139"/>
        <v>0.75208212314776346</v>
      </c>
    </row>
    <row r="132" spans="1:39">
      <c r="A132" s="40" t="str">
        <f t="shared" si="148"/>
        <v>Z</v>
      </c>
      <c r="B132" s="43" t="str">
        <f t="shared" ref="B132:AG132" si="200">IF(B$93,$B$91*B38+$C$91*B39+$D$91*B40,"")</f>
        <v/>
      </c>
      <c r="C132" s="43">
        <f t="shared" si="200"/>
        <v>344.051177051031</v>
      </c>
      <c r="D132" s="43">
        <f t="shared" si="200"/>
        <v>331.56656702804571</v>
      </c>
      <c r="E132" s="43">
        <f t="shared" si="200"/>
        <v>309.22422560053514</v>
      </c>
      <c r="F132" s="43">
        <f t="shared" si="200"/>
        <v>362.86495074095529</v>
      </c>
      <c r="G132" s="43">
        <f t="shared" si="200"/>
        <v>312.30414607561983</v>
      </c>
      <c r="H132" s="43">
        <f t="shared" si="200"/>
        <v>336.78555299429547</v>
      </c>
      <c r="I132" s="43">
        <f t="shared" si="200"/>
        <v>329.2953983772249</v>
      </c>
      <c r="J132" s="43">
        <f t="shared" si="200"/>
        <v>340.0841764049909</v>
      </c>
      <c r="K132" s="43" t="str">
        <f t="shared" si="200"/>
        <v/>
      </c>
      <c r="L132" s="43">
        <f t="shared" si="200"/>
        <v>339.05373860593971</v>
      </c>
      <c r="M132" s="43">
        <f t="shared" si="200"/>
        <v>328.616118186721</v>
      </c>
      <c r="N132" s="43">
        <f t="shared" si="200"/>
        <v>348.17409830850221</v>
      </c>
      <c r="O132" s="43">
        <f t="shared" si="200"/>
        <v>395.28580729518285</v>
      </c>
      <c r="P132" s="43">
        <f t="shared" si="200"/>
        <v>348.87968055285955</v>
      </c>
      <c r="Q132" s="43">
        <f t="shared" si="200"/>
        <v>375.46121547983421</v>
      </c>
      <c r="R132" s="43">
        <f t="shared" si="200"/>
        <v>337.96255074824023</v>
      </c>
      <c r="S132" s="43" t="str">
        <f t="shared" si="200"/>
        <v/>
      </c>
      <c r="T132" s="43" t="str">
        <f t="shared" si="200"/>
        <v/>
      </c>
      <c r="U132" s="43" t="str">
        <f t="shared" si="200"/>
        <v/>
      </c>
      <c r="V132" s="43">
        <f t="shared" si="200"/>
        <v>385.45818357923758</v>
      </c>
      <c r="W132" s="43">
        <f t="shared" si="200"/>
        <v>370.86599906199126</v>
      </c>
      <c r="X132" s="43" t="str">
        <f t="shared" si="200"/>
        <v/>
      </c>
      <c r="Y132" s="43" t="str">
        <f t="shared" si="200"/>
        <v/>
      </c>
      <c r="Z132" s="43">
        <f t="shared" si="200"/>
        <v>330.54084566423205</v>
      </c>
      <c r="AA132" s="43" t="str">
        <f t="shared" si="200"/>
        <v/>
      </c>
      <c r="AB132" s="43" t="str">
        <f t="shared" si="200"/>
        <v/>
      </c>
      <c r="AC132" s="43">
        <f t="shared" si="200"/>
        <v>295.44271479779047</v>
      </c>
      <c r="AD132" s="43">
        <f t="shared" si="200"/>
        <v>367.74375083484279</v>
      </c>
      <c r="AE132" s="43">
        <f t="shared" si="200"/>
        <v>337.17364192914687</v>
      </c>
      <c r="AF132" s="43">
        <f t="shared" si="200"/>
        <v>303.80865156905207</v>
      </c>
      <c r="AG132" s="43">
        <f t="shared" si="200"/>
        <v>341.01943313455195</v>
      </c>
      <c r="AH132" s="43">
        <f t="shared" si="197"/>
        <v>342.24620104438367</v>
      </c>
      <c r="AI132" s="43">
        <f t="shared" si="198"/>
        <v>25.325423693029428</v>
      </c>
      <c r="AJ132" s="47">
        <f t="shared" si="199"/>
        <v>7.3997676572442481E-2</v>
      </c>
      <c r="AK132" s="2">
        <f t="shared" si="155"/>
        <v>-1.8480830494249694</v>
      </c>
      <c r="AL132" s="2">
        <f t="shared" si="156"/>
        <v>2.0943225627217368</v>
      </c>
      <c r="AM132" s="2">
        <f t="shared" si="139"/>
        <v>0.24623951329676741</v>
      </c>
    </row>
    <row r="133" spans="1:39">
      <c r="A133" s="40" t="str">
        <f t="shared" si="148"/>
        <v>Ev</v>
      </c>
      <c r="B133" s="43" t="str">
        <f t="shared" ref="B133:AG133" si="201">B131</f>
        <v/>
      </c>
      <c r="C133" s="43">
        <f t="shared" si="201"/>
        <v>165.5243282919391</v>
      </c>
      <c r="D133" s="43">
        <f t="shared" si="201"/>
        <v>144.3746649444584</v>
      </c>
      <c r="E133" s="43">
        <f t="shared" si="201"/>
        <v>157.88316835410325</v>
      </c>
      <c r="F133" s="43">
        <f t="shared" si="201"/>
        <v>147.26577737763671</v>
      </c>
      <c r="G133" s="43">
        <f t="shared" si="201"/>
        <v>148.24608599547093</v>
      </c>
      <c r="H133" s="43">
        <f t="shared" si="201"/>
        <v>147.98709441897552</v>
      </c>
      <c r="I133" s="43">
        <f t="shared" si="201"/>
        <v>159.50713549959536</v>
      </c>
      <c r="J133" s="43">
        <f t="shared" si="201"/>
        <v>142.19374267153731</v>
      </c>
      <c r="K133" s="43" t="str">
        <f t="shared" si="201"/>
        <v/>
      </c>
      <c r="L133" s="43">
        <f t="shared" si="201"/>
        <v>140.72654294162126</v>
      </c>
      <c r="M133" s="43">
        <f t="shared" si="201"/>
        <v>147.10485788020935</v>
      </c>
      <c r="N133" s="43">
        <f t="shared" si="201"/>
        <v>146.10762550309306</v>
      </c>
      <c r="O133" s="43">
        <f t="shared" si="201"/>
        <v>159.84923772332451</v>
      </c>
      <c r="P133" s="43">
        <f t="shared" si="201"/>
        <v>150.80815788510313</v>
      </c>
      <c r="Q133" s="43">
        <f t="shared" si="201"/>
        <v>149.0044133013638</v>
      </c>
      <c r="R133" s="43">
        <f t="shared" si="201"/>
        <v>147.31757373790876</v>
      </c>
      <c r="S133" s="43" t="str">
        <f t="shared" si="201"/>
        <v/>
      </c>
      <c r="T133" s="43" t="str">
        <f t="shared" si="201"/>
        <v/>
      </c>
      <c r="U133" s="43" t="str">
        <f t="shared" si="201"/>
        <v/>
      </c>
      <c r="V133" s="43">
        <f t="shared" si="201"/>
        <v>162.90633826192294</v>
      </c>
      <c r="W133" s="43">
        <f t="shared" si="201"/>
        <v>149.38641717088521</v>
      </c>
      <c r="X133" s="43" t="str">
        <f t="shared" si="201"/>
        <v/>
      </c>
      <c r="Y133" s="43" t="str">
        <f t="shared" si="201"/>
        <v/>
      </c>
      <c r="Z133" s="43">
        <f t="shared" si="201"/>
        <v>148.59610659927159</v>
      </c>
      <c r="AA133" s="43" t="str">
        <f t="shared" si="201"/>
        <v/>
      </c>
      <c r="AB133" s="43" t="str">
        <f t="shared" si="201"/>
        <v/>
      </c>
      <c r="AC133" s="43">
        <f t="shared" si="201"/>
        <v>139.90684222199997</v>
      </c>
      <c r="AD133" s="43">
        <f t="shared" si="201"/>
        <v>142.19408538206662</v>
      </c>
      <c r="AE133" s="43">
        <f t="shared" si="201"/>
        <v>142.79061261399224</v>
      </c>
      <c r="AF133" s="43">
        <f t="shared" si="201"/>
        <v>139.59641213250666</v>
      </c>
      <c r="AG133" s="43">
        <f t="shared" si="201"/>
        <v>161.93324962955288</v>
      </c>
      <c r="AH133" s="43">
        <f t="shared" si="197"/>
        <v>149.61784654515384</v>
      </c>
      <c r="AI133" s="43">
        <f t="shared" si="198"/>
        <v>7.8250062765842809</v>
      </c>
      <c r="AJ133" s="47">
        <f t="shared" si="199"/>
        <v>5.2299952560958277E-2</v>
      </c>
      <c r="AK133" s="2">
        <f t="shared" si="155"/>
        <v>-1.2806934663599618</v>
      </c>
      <c r="AL133" s="2">
        <f t="shared" si="156"/>
        <v>2.0327755895077253</v>
      </c>
      <c r="AM133" s="2">
        <f t="shared" si="139"/>
        <v>0.75208212314776346</v>
      </c>
    </row>
    <row r="134" spans="1:39">
      <c r="A134" s="40" t="str">
        <f t="shared" si="148"/>
        <v>x</v>
      </c>
      <c r="B134" s="44" t="str">
        <f t="shared" ref="B134:AG134" si="202">IF(B130&lt;&gt;"",B130/SUM(B130:B132),"")</f>
        <v/>
      </c>
      <c r="C134" s="44">
        <f t="shared" si="202"/>
        <v>0.23208163441336996</v>
      </c>
      <c r="D134" s="44">
        <f t="shared" si="202"/>
        <v>0.23312180585509071</v>
      </c>
      <c r="E134" s="44">
        <f t="shared" si="202"/>
        <v>0.24157801722854311</v>
      </c>
      <c r="F134" s="44">
        <f t="shared" si="202"/>
        <v>0.22946510856801025</v>
      </c>
      <c r="G134" s="44">
        <f t="shared" si="202"/>
        <v>0.23589227988932049</v>
      </c>
      <c r="H134" s="44">
        <f t="shared" si="202"/>
        <v>0.23272360361577135</v>
      </c>
      <c r="I134" s="44">
        <f t="shared" si="202"/>
        <v>0.23489954371197291</v>
      </c>
      <c r="J134" s="44">
        <f t="shared" si="202"/>
        <v>0.23137966273886454</v>
      </c>
      <c r="K134" s="44" t="str">
        <f t="shared" si="202"/>
        <v/>
      </c>
      <c r="L134" s="44">
        <f t="shared" si="202"/>
        <v>0.2328513320490348</v>
      </c>
      <c r="M134" s="44">
        <f t="shared" si="202"/>
        <v>0.23886126911653638</v>
      </c>
      <c r="N134" s="44">
        <f t="shared" si="202"/>
        <v>0.23257700739796475</v>
      </c>
      <c r="O134" s="44">
        <f t="shared" si="202"/>
        <v>0.23033515164081592</v>
      </c>
      <c r="P134" s="44">
        <f t="shared" si="202"/>
        <v>0.23328301354316347</v>
      </c>
      <c r="Q134" s="44">
        <f t="shared" si="202"/>
        <v>0.2305565323037663</v>
      </c>
      <c r="R134" s="44">
        <f t="shared" si="202"/>
        <v>0.23496436498019369</v>
      </c>
      <c r="S134" s="44" t="str">
        <f t="shared" si="202"/>
        <v/>
      </c>
      <c r="T134" s="44" t="str">
        <f t="shared" si="202"/>
        <v/>
      </c>
      <c r="U134" s="44" t="str">
        <f t="shared" si="202"/>
        <v/>
      </c>
      <c r="V134" s="44">
        <f t="shared" si="202"/>
        <v>0.2317286242916744</v>
      </c>
      <c r="W134" s="44">
        <f t="shared" si="202"/>
        <v>0.23192603403091783</v>
      </c>
      <c r="X134" s="44" t="str">
        <f t="shared" si="202"/>
        <v/>
      </c>
      <c r="Y134" s="44" t="str">
        <f t="shared" si="202"/>
        <v/>
      </c>
      <c r="Z134" s="44">
        <f t="shared" si="202"/>
        <v>0.23476479248323612</v>
      </c>
      <c r="AA134" s="44" t="str">
        <f t="shared" si="202"/>
        <v/>
      </c>
      <c r="AB134" s="44" t="str">
        <f t="shared" si="202"/>
        <v/>
      </c>
      <c r="AC134" s="44">
        <f t="shared" si="202"/>
        <v>0.23601573296334222</v>
      </c>
      <c r="AD134" s="44">
        <f t="shared" si="202"/>
        <v>0.22953603866778319</v>
      </c>
      <c r="AE134" s="44">
        <f t="shared" si="202"/>
        <v>0.2287492785658381</v>
      </c>
      <c r="AF134" s="44">
        <f t="shared" si="202"/>
        <v>0.23890030138246335</v>
      </c>
      <c r="AG134" s="44">
        <f t="shared" si="202"/>
        <v>0.23217798441545293</v>
      </c>
      <c r="AH134" s="44">
        <f>AVERAGE(B134:AG134)</f>
        <v>0.23340735277622296</v>
      </c>
      <c r="AI134" s="44">
        <f>STDEV(B134:AH134)</f>
        <v>3.1615702859247256E-3</v>
      </c>
      <c r="AJ134" s="47">
        <f t="shared" si="199"/>
        <v>1.3545290019016026E-2</v>
      </c>
      <c r="AK134" s="2">
        <f t="shared" si="155"/>
        <v>-1.4733419753856345</v>
      </c>
      <c r="AL134" s="2">
        <f t="shared" si="156"/>
        <v>2.5843690677053273</v>
      </c>
      <c r="AM134" s="2">
        <f t="shared" si="139"/>
        <v>1.1110270923196928</v>
      </c>
    </row>
    <row r="135" spans="1:39">
      <c r="A135" s="40" t="str">
        <f t="shared" si="148"/>
        <v>y</v>
      </c>
      <c r="B135" s="44" t="str">
        <f t="shared" ref="B135:AG135" si="203">IF(B130&lt;&gt;"",B131/SUM(B130:B132),"")</f>
        <v/>
      </c>
      <c r="C135" s="44">
        <f t="shared" si="203"/>
        <v>0.24944129047415606</v>
      </c>
      <c r="D135" s="44">
        <f t="shared" si="203"/>
        <v>0.23262910396315264</v>
      </c>
      <c r="E135" s="44">
        <f t="shared" si="203"/>
        <v>0.25634804145486734</v>
      </c>
      <c r="F135" s="44">
        <f t="shared" si="203"/>
        <v>0.22243988359969036</v>
      </c>
      <c r="G135" s="44">
        <f t="shared" si="203"/>
        <v>0.2459579235818205</v>
      </c>
      <c r="H135" s="44">
        <f t="shared" si="203"/>
        <v>0.23422733341711166</v>
      </c>
      <c r="I135" s="44">
        <f t="shared" si="203"/>
        <v>0.24966929116347583</v>
      </c>
      <c r="J135" s="44">
        <f t="shared" si="203"/>
        <v>0.22661830062196447</v>
      </c>
      <c r="K135" s="44" t="str">
        <f t="shared" si="203"/>
        <v/>
      </c>
      <c r="L135" s="44">
        <f t="shared" si="203"/>
        <v>0.22501587521434452</v>
      </c>
      <c r="M135" s="44">
        <f t="shared" si="203"/>
        <v>0.23536318654568195</v>
      </c>
      <c r="N135" s="44">
        <f t="shared" si="203"/>
        <v>0.22684705058668156</v>
      </c>
      <c r="O135" s="44">
        <f t="shared" si="203"/>
        <v>0.22162236093120743</v>
      </c>
      <c r="P135" s="44">
        <f t="shared" si="203"/>
        <v>0.2313988203279605</v>
      </c>
      <c r="Q135" s="44">
        <f t="shared" si="203"/>
        <v>0.21860435876242185</v>
      </c>
      <c r="R135" s="44">
        <f t="shared" si="203"/>
        <v>0.23224358033104436</v>
      </c>
      <c r="S135" s="44" t="str">
        <f t="shared" si="203"/>
        <v/>
      </c>
      <c r="T135" s="44" t="str">
        <f t="shared" si="203"/>
        <v/>
      </c>
      <c r="U135" s="44" t="str">
        <f t="shared" si="203"/>
        <v/>
      </c>
      <c r="V135" s="44">
        <f t="shared" si="203"/>
        <v>0.22823554701875148</v>
      </c>
      <c r="W135" s="44">
        <f t="shared" si="203"/>
        <v>0.22054643922498099</v>
      </c>
      <c r="X135" s="44" t="str">
        <f t="shared" si="203"/>
        <v/>
      </c>
      <c r="Y135" s="44" t="str">
        <f t="shared" si="203"/>
        <v/>
      </c>
      <c r="Z135" s="44">
        <f t="shared" si="203"/>
        <v>0.23732457271870122</v>
      </c>
      <c r="AA135" s="44" t="str">
        <f t="shared" si="203"/>
        <v/>
      </c>
      <c r="AB135" s="44" t="str">
        <f t="shared" si="203"/>
        <v/>
      </c>
      <c r="AC135" s="44">
        <f t="shared" si="203"/>
        <v>0.24551908824735297</v>
      </c>
      <c r="AD135" s="44">
        <f t="shared" si="203"/>
        <v>0.21484073257681852</v>
      </c>
      <c r="AE135" s="44">
        <f t="shared" si="203"/>
        <v>0.22944909324006596</v>
      </c>
      <c r="AF135" s="44">
        <f t="shared" si="203"/>
        <v>0.2396156379342827</v>
      </c>
      <c r="AG135" s="44">
        <f t="shared" si="203"/>
        <v>0.24721195130603371</v>
      </c>
      <c r="AH135" s="44">
        <f>AVERAGE(B135:AG135)</f>
        <v>0.23352910709750307</v>
      </c>
      <c r="AI135" s="44">
        <f>STDEV(B135:AH135)</f>
        <v>1.1027658638985659E-2</v>
      </c>
      <c r="AJ135" s="47">
        <f t="shared" si="199"/>
        <v>4.7221773662592691E-2</v>
      </c>
      <c r="AK135" s="2">
        <f t="shared" si="155"/>
        <v>-1.6946819930221875</v>
      </c>
      <c r="AL135" s="2">
        <f t="shared" si="156"/>
        <v>2.0692456217943995</v>
      </c>
      <c r="AM135" s="2">
        <f t="shared" si="139"/>
        <v>0.37456362877221205</v>
      </c>
    </row>
    <row r="136" spans="1:39">
      <c r="A136" s="40" t="str">
        <f>A130</f>
        <v>X</v>
      </c>
      <c r="B136" s="43" t="str">
        <f t="shared" ref="B136:AG136" si="204">IF(B$93,$B$89*B44+$C$89*B45+$D$89*B46,"")</f>
        <v/>
      </c>
      <c r="C136" s="43">
        <f t="shared" si="204"/>
        <v>190.46728276884485</v>
      </c>
      <c r="D136" s="43">
        <f t="shared" si="204"/>
        <v>176.13267179898622</v>
      </c>
      <c r="E136" s="43">
        <f t="shared" si="204"/>
        <v>183.56040730372399</v>
      </c>
      <c r="F136" s="43">
        <f t="shared" si="204"/>
        <v>189.88403808567037</v>
      </c>
      <c r="G136" s="43">
        <f t="shared" si="204"/>
        <v>176.62503843666059</v>
      </c>
      <c r="H136" s="43">
        <f t="shared" si="204"/>
        <v>179.81743991763904</v>
      </c>
      <c r="I136" s="43">
        <f t="shared" si="204"/>
        <v>187.32954464195524</v>
      </c>
      <c r="J136" s="43">
        <f t="shared" si="204"/>
        <v>182.3460866225781</v>
      </c>
      <c r="K136" s="43" t="str">
        <f t="shared" si="204"/>
        <v/>
      </c>
      <c r="L136" s="43">
        <f t="shared" si="204"/>
        <v>188.315985720703</v>
      </c>
      <c r="M136" s="43">
        <f t="shared" si="204"/>
        <v>181.19516139238141</v>
      </c>
      <c r="N136" s="43">
        <f t="shared" si="204"/>
        <v>193.11268102019613</v>
      </c>
      <c r="O136" s="43">
        <f t="shared" si="204"/>
        <v>211.08632883119924</v>
      </c>
      <c r="P136" s="43">
        <f t="shared" si="204"/>
        <v>188.26324865518905</v>
      </c>
      <c r="Q136" s="43">
        <f t="shared" si="204"/>
        <v>202.57892874742521</v>
      </c>
      <c r="R136" s="43">
        <f t="shared" si="204"/>
        <v>184.31241796067201</v>
      </c>
      <c r="S136" s="43" t="str">
        <f t="shared" si="204"/>
        <v/>
      </c>
      <c r="T136" s="43" t="str">
        <f t="shared" si="204"/>
        <v/>
      </c>
      <c r="U136" s="43" t="str">
        <f t="shared" si="204"/>
        <v/>
      </c>
      <c r="V136" s="43">
        <f t="shared" si="204"/>
        <v>200.41163240352944</v>
      </c>
      <c r="W136" s="43">
        <f t="shared" si="204"/>
        <v>199.31382392383472</v>
      </c>
      <c r="X136" s="43" t="str">
        <f t="shared" si="204"/>
        <v/>
      </c>
      <c r="Y136" s="43" t="str">
        <f t="shared" si="204"/>
        <v/>
      </c>
      <c r="Z136" s="43">
        <f t="shared" si="204"/>
        <v>180.37922865930688</v>
      </c>
      <c r="AA136" s="43" t="str">
        <f t="shared" si="204"/>
        <v/>
      </c>
      <c r="AB136" s="43" t="str">
        <f t="shared" si="204"/>
        <v/>
      </c>
      <c r="AC136" s="43">
        <f t="shared" si="204"/>
        <v>169.78789055588479</v>
      </c>
      <c r="AD136" s="43">
        <f t="shared" si="204"/>
        <v>194.86404129015739</v>
      </c>
      <c r="AE136" s="43">
        <f t="shared" si="204"/>
        <v>182.41062353555543</v>
      </c>
      <c r="AF136" s="43">
        <f t="shared" si="204"/>
        <v>175.86441611116112</v>
      </c>
      <c r="AG136" s="43">
        <f t="shared" si="204"/>
        <v>191.41632040208665</v>
      </c>
      <c r="AH136" s="43">
        <f>AVERAGE(B136:AG136)</f>
        <v>187.3684886428409</v>
      </c>
      <c r="AI136" s="43">
        <f>STDEV(B136:AG136)</f>
        <v>9.8410386498160776</v>
      </c>
      <c r="AJ136" s="47">
        <f>AI136/AH136</f>
        <v>5.2522378341722777E-2</v>
      </c>
      <c r="AK136" s="2">
        <f t="shared" si="155"/>
        <v>-1.7864575795853301</v>
      </c>
      <c r="AL136" s="2">
        <f t="shared" si="156"/>
        <v>2.4100952178255706</v>
      </c>
      <c r="AM136" s="2">
        <f t="shared" si="139"/>
        <v>0.62363763824024043</v>
      </c>
    </row>
    <row r="137" spans="1:39">
      <c r="A137" s="40" t="str">
        <f t="shared" si="148"/>
        <v>Y</v>
      </c>
      <c r="B137" s="43" t="str">
        <f t="shared" ref="B137:AG137" si="205">IF(B$93,$B$90*B44+$C$90*B45+$D$90*B46,"")</f>
        <v/>
      </c>
      <c r="C137" s="43">
        <f t="shared" si="205"/>
        <v>165.60883126264946</v>
      </c>
      <c r="D137" s="43">
        <f t="shared" si="205"/>
        <v>143.0568955149192</v>
      </c>
      <c r="E137" s="43">
        <f t="shared" si="205"/>
        <v>157.40737725052469</v>
      </c>
      <c r="F137" s="43">
        <f t="shared" si="205"/>
        <v>151.76487782022991</v>
      </c>
      <c r="G137" s="43">
        <f t="shared" si="205"/>
        <v>146.79596594110063</v>
      </c>
      <c r="H137" s="43">
        <f t="shared" si="205"/>
        <v>149.67004445153623</v>
      </c>
      <c r="I137" s="43">
        <f t="shared" si="205"/>
        <v>155.35814796866941</v>
      </c>
      <c r="J137" s="43">
        <f t="shared" si="205"/>
        <v>146.37341130277255</v>
      </c>
      <c r="K137" s="43" t="str">
        <f t="shared" si="205"/>
        <v/>
      </c>
      <c r="L137" s="43">
        <f t="shared" si="205"/>
        <v>146.90438555686015</v>
      </c>
      <c r="M137" s="43">
        <f t="shared" si="205"/>
        <v>144.46275634556366</v>
      </c>
      <c r="N137" s="43">
        <f t="shared" si="205"/>
        <v>144.45481132919744</v>
      </c>
      <c r="O137" s="43">
        <f t="shared" si="205"/>
        <v>153.9102867690429</v>
      </c>
      <c r="P137" s="43">
        <f t="shared" si="205"/>
        <v>150.57076722287994</v>
      </c>
      <c r="Q137" s="43">
        <f t="shared" si="205"/>
        <v>147.8925545911209</v>
      </c>
      <c r="R137" s="43">
        <f t="shared" si="205"/>
        <v>144.20654717657698</v>
      </c>
      <c r="S137" s="43" t="str">
        <f t="shared" si="205"/>
        <v/>
      </c>
      <c r="T137" s="43" t="str">
        <f t="shared" si="205"/>
        <v/>
      </c>
      <c r="U137" s="43" t="str">
        <f t="shared" si="205"/>
        <v/>
      </c>
      <c r="V137" s="43">
        <f t="shared" si="205"/>
        <v>153.77612940487728</v>
      </c>
      <c r="W137" s="43">
        <f t="shared" si="205"/>
        <v>149.57188789743111</v>
      </c>
      <c r="X137" s="43" t="str">
        <f t="shared" si="205"/>
        <v/>
      </c>
      <c r="Y137" s="43" t="str">
        <f t="shared" si="205"/>
        <v/>
      </c>
      <c r="Z137" s="43">
        <f t="shared" si="205"/>
        <v>146.70714770051998</v>
      </c>
      <c r="AA137" s="43" t="str">
        <f t="shared" si="205"/>
        <v/>
      </c>
      <c r="AB137" s="43" t="str">
        <f t="shared" si="205"/>
        <v/>
      </c>
      <c r="AC137" s="43">
        <f t="shared" si="205"/>
        <v>139.22327465126213</v>
      </c>
      <c r="AD137" s="43">
        <f t="shared" si="205"/>
        <v>145.40183995279594</v>
      </c>
      <c r="AE137" s="43">
        <f t="shared" si="205"/>
        <v>141.50226873438223</v>
      </c>
      <c r="AF137" s="43">
        <f t="shared" si="205"/>
        <v>144.89350432417169</v>
      </c>
      <c r="AG137" s="43">
        <f t="shared" si="205"/>
        <v>154.65018519014095</v>
      </c>
      <c r="AH137" s="43">
        <f t="shared" ref="AH137:AH139" si="206">AVERAGE(B137:AG137)</f>
        <v>148.87669123300981</v>
      </c>
      <c r="AI137" s="43">
        <f t="shared" ref="AI137:AI139" si="207">STDEV(B137:AG137)</f>
        <v>5.9548823746289319</v>
      </c>
      <c r="AJ137" s="47">
        <f t="shared" ref="AJ137:AJ141" si="208">AI137/AH137</f>
        <v>3.9998755515790109E-2</v>
      </c>
      <c r="AK137" s="2">
        <f t="shared" si="155"/>
        <v>-1.6210927394429371</v>
      </c>
      <c r="AL137" s="2">
        <f t="shared" si="156"/>
        <v>2.8098187297414561</v>
      </c>
      <c r="AM137" s="2">
        <f t="shared" si="139"/>
        <v>1.188725990298519</v>
      </c>
    </row>
    <row r="138" spans="1:39">
      <c r="A138" s="40" t="str">
        <f t="shared" si="148"/>
        <v>Z</v>
      </c>
      <c r="B138" s="43" t="str">
        <f t="shared" ref="B138:AG138" si="209">IF(B$93,$B$91*B44+$C$91*B45+$D$91*B46,"")</f>
        <v/>
      </c>
      <c r="C138" s="43">
        <f t="shared" si="209"/>
        <v>288.94579426858417</v>
      </c>
      <c r="D138" s="43">
        <f t="shared" si="209"/>
        <v>288.46799230791441</v>
      </c>
      <c r="E138" s="43">
        <f t="shared" si="209"/>
        <v>273.8632033814049</v>
      </c>
      <c r="F138" s="43">
        <f t="shared" si="209"/>
        <v>319.44795677279217</v>
      </c>
      <c r="G138" s="43">
        <f t="shared" si="209"/>
        <v>275.99120386901342</v>
      </c>
      <c r="H138" s="43">
        <f t="shared" si="209"/>
        <v>290.48833649286712</v>
      </c>
      <c r="I138" s="43">
        <f t="shared" si="209"/>
        <v>293.62017125170871</v>
      </c>
      <c r="J138" s="43">
        <f t="shared" si="209"/>
        <v>304.24024943345137</v>
      </c>
      <c r="K138" s="43" t="str">
        <f t="shared" si="209"/>
        <v/>
      </c>
      <c r="L138" s="43">
        <f t="shared" si="209"/>
        <v>306.19529809456697</v>
      </c>
      <c r="M138" s="43">
        <f t="shared" si="209"/>
        <v>283.02458595626626</v>
      </c>
      <c r="N138" s="43">
        <f t="shared" si="209"/>
        <v>309.59310526818069</v>
      </c>
      <c r="O138" s="43">
        <f t="shared" si="209"/>
        <v>349.10501709097264</v>
      </c>
      <c r="P138" s="43">
        <f t="shared" si="209"/>
        <v>298.2152816502404</v>
      </c>
      <c r="Q138" s="43">
        <f t="shared" si="209"/>
        <v>334.4678423974446</v>
      </c>
      <c r="R138" s="43">
        <f t="shared" si="209"/>
        <v>293.81692577015735</v>
      </c>
      <c r="S138" s="43" t="str">
        <f t="shared" si="209"/>
        <v/>
      </c>
      <c r="T138" s="43" t="str">
        <f t="shared" si="209"/>
        <v/>
      </c>
      <c r="U138" s="43" t="str">
        <f t="shared" si="209"/>
        <v/>
      </c>
      <c r="V138" s="43">
        <f t="shared" si="209"/>
        <v>332.27391038240808</v>
      </c>
      <c r="W138" s="43">
        <f t="shared" si="209"/>
        <v>326.0573116963734</v>
      </c>
      <c r="X138" s="43" t="str">
        <f t="shared" si="209"/>
        <v/>
      </c>
      <c r="Y138" s="43" t="str">
        <f t="shared" si="209"/>
        <v/>
      </c>
      <c r="Z138" s="43">
        <f t="shared" si="209"/>
        <v>286.08578843328655</v>
      </c>
      <c r="AA138" s="43" t="str">
        <f t="shared" si="209"/>
        <v/>
      </c>
      <c r="AB138" s="43" t="str">
        <f t="shared" si="209"/>
        <v/>
      </c>
      <c r="AC138" s="43">
        <f t="shared" si="209"/>
        <v>254.07099725479483</v>
      </c>
      <c r="AD138" s="43">
        <f t="shared" si="209"/>
        <v>330.851127565436</v>
      </c>
      <c r="AE138" s="43">
        <f t="shared" si="209"/>
        <v>298.46419786028434</v>
      </c>
      <c r="AF138" s="43">
        <f t="shared" si="209"/>
        <v>252.67864856045159</v>
      </c>
      <c r="AG138" s="43">
        <f t="shared" si="209"/>
        <v>302.07071977676139</v>
      </c>
      <c r="AH138" s="43">
        <f t="shared" si="206"/>
        <v>299.65372458849396</v>
      </c>
      <c r="AI138" s="43">
        <f t="shared" si="207"/>
        <v>24.606075376412711</v>
      </c>
      <c r="AJ138" s="47">
        <f t="shared" si="208"/>
        <v>8.2115032643774219E-2</v>
      </c>
      <c r="AK138" s="2">
        <f t="shared" si="155"/>
        <v>-1.9090844561531537</v>
      </c>
      <c r="AL138" s="2">
        <f t="shared" si="156"/>
        <v>2.0097188091150242</v>
      </c>
      <c r="AM138" s="2">
        <f t="shared" si="139"/>
        <v>0.10063435296187051</v>
      </c>
    </row>
    <row r="139" spans="1:39">
      <c r="A139" s="40" t="str">
        <f t="shared" si="148"/>
        <v>Ev</v>
      </c>
      <c r="B139" s="43" t="str">
        <f t="shared" ref="B139:AG139" si="210">B137</f>
        <v/>
      </c>
      <c r="C139" s="43">
        <f t="shared" si="210"/>
        <v>165.60883126264946</v>
      </c>
      <c r="D139" s="43">
        <f t="shared" si="210"/>
        <v>143.0568955149192</v>
      </c>
      <c r="E139" s="43">
        <f t="shared" si="210"/>
        <v>157.40737725052469</v>
      </c>
      <c r="F139" s="43">
        <f t="shared" si="210"/>
        <v>151.76487782022991</v>
      </c>
      <c r="G139" s="43">
        <f t="shared" si="210"/>
        <v>146.79596594110063</v>
      </c>
      <c r="H139" s="43">
        <f t="shared" si="210"/>
        <v>149.67004445153623</v>
      </c>
      <c r="I139" s="43">
        <f t="shared" si="210"/>
        <v>155.35814796866941</v>
      </c>
      <c r="J139" s="43">
        <f t="shared" si="210"/>
        <v>146.37341130277255</v>
      </c>
      <c r="K139" s="43" t="str">
        <f t="shared" si="210"/>
        <v/>
      </c>
      <c r="L139" s="43">
        <f t="shared" si="210"/>
        <v>146.90438555686015</v>
      </c>
      <c r="M139" s="43">
        <f t="shared" si="210"/>
        <v>144.46275634556366</v>
      </c>
      <c r="N139" s="43">
        <f t="shared" si="210"/>
        <v>144.45481132919744</v>
      </c>
      <c r="O139" s="43">
        <f t="shared" si="210"/>
        <v>153.9102867690429</v>
      </c>
      <c r="P139" s="43">
        <f t="shared" si="210"/>
        <v>150.57076722287994</v>
      </c>
      <c r="Q139" s="43">
        <f t="shared" si="210"/>
        <v>147.8925545911209</v>
      </c>
      <c r="R139" s="43">
        <f t="shared" si="210"/>
        <v>144.20654717657698</v>
      </c>
      <c r="S139" s="43" t="str">
        <f t="shared" si="210"/>
        <v/>
      </c>
      <c r="T139" s="43" t="str">
        <f t="shared" si="210"/>
        <v/>
      </c>
      <c r="U139" s="43" t="str">
        <f t="shared" si="210"/>
        <v/>
      </c>
      <c r="V139" s="43">
        <f t="shared" si="210"/>
        <v>153.77612940487728</v>
      </c>
      <c r="W139" s="43">
        <f t="shared" si="210"/>
        <v>149.57188789743111</v>
      </c>
      <c r="X139" s="43" t="str">
        <f t="shared" si="210"/>
        <v/>
      </c>
      <c r="Y139" s="43" t="str">
        <f t="shared" si="210"/>
        <v/>
      </c>
      <c r="Z139" s="43">
        <f t="shared" si="210"/>
        <v>146.70714770051998</v>
      </c>
      <c r="AA139" s="43" t="str">
        <f t="shared" si="210"/>
        <v/>
      </c>
      <c r="AB139" s="43" t="str">
        <f t="shared" si="210"/>
        <v/>
      </c>
      <c r="AC139" s="43">
        <f t="shared" si="210"/>
        <v>139.22327465126213</v>
      </c>
      <c r="AD139" s="43">
        <f t="shared" si="210"/>
        <v>145.40183995279594</v>
      </c>
      <c r="AE139" s="43">
        <f t="shared" si="210"/>
        <v>141.50226873438223</v>
      </c>
      <c r="AF139" s="43">
        <f t="shared" si="210"/>
        <v>144.89350432417169</v>
      </c>
      <c r="AG139" s="43">
        <f t="shared" si="210"/>
        <v>154.65018519014095</v>
      </c>
      <c r="AH139" s="43">
        <f t="shared" si="206"/>
        <v>148.87669123300981</v>
      </c>
      <c r="AI139" s="43">
        <f t="shared" si="207"/>
        <v>5.9548823746289319</v>
      </c>
      <c r="AJ139" s="47">
        <f t="shared" si="208"/>
        <v>3.9998755515790109E-2</v>
      </c>
      <c r="AK139" s="2">
        <f t="shared" si="155"/>
        <v>-1.6210927394429371</v>
      </c>
      <c r="AL139" s="2">
        <f t="shared" si="156"/>
        <v>2.8098187297414561</v>
      </c>
      <c r="AM139" s="2">
        <f t="shared" si="139"/>
        <v>1.188725990298519</v>
      </c>
    </row>
    <row r="140" spans="1:39">
      <c r="A140" s="40" t="str">
        <f t="shared" si="148"/>
        <v>x</v>
      </c>
      <c r="B140" s="44" t="str">
        <f t="shared" ref="B140:AG140" si="211">IF(B136&lt;&gt;"",B136/SUM(B136:B138),"")</f>
        <v/>
      </c>
      <c r="C140" s="44">
        <f t="shared" si="211"/>
        <v>0.29528808295955628</v>
      </c>
      <c r="D140" s="44">
        <f t="shared" si="211"/>
        <v>0.28985514787079042</v>
      </c>
      <c r="E140" s="44">
        <f t="shared" si="211"/>
        <v>0.29855425459286522</v>
      </c>
      <c r="F140" s="44">
        <f t="shared" si="211"/>
        <v>0.28722573942345386</v>
      </c>
      <c r="G140" s="44">
        <f t="shared" si="211"/>
        <v>0.29466373224741704</v>
      </c>
      <c r="H140" s="44">
        <f t="shared" si="211"/>
        <v>0.29003944003431092</v>
      </c>
      <c r="I140" s="44">
        <f t="shared" si="211"/>
        <v>0.29440080074585473</v>
      </c>
      <c r="J140" s="44">
        <f t="shared" si="211"/>
        <v>0.28808480694620331</v>
      </c>
      <c r="K140" s="44" t="str">
        <f t="shared" si="211"/>
        <v/>
      </c>
      <c r="L140" s="44">
        <f t="shared" si="211"/>
        <v>0.29359430196808572</v>
      </c>
      <c r="M140" s="44">
        <f t="shared" si="211"/>
        <v>0.29768419544290015</v>
      </c>
      <c r="N140" s="44">
        <f t="shared" si="211"/>
        <v>0.29839993616903104</v>
      </c>
      <c r="O140" s="44">
        <f t="shared" si="211"/>
        <v>0.29559703992789393</v>
      </c>
      <c r="P140" s="44">
        <f t="shared" si="211"/>
        <v>0.29552383055068504</v>
      </c>
      <c r="Q140" s="44">
        <f t="shared" si="211"/>
        <v>0.29576185967968366</v>
      </c>
      <c r="R140" s="44">
        <f t="shared" si="211"/>
        <v>0.2961622825447725</v>
      </c>
      <c r="S140" s="44" t="str">
        <f t="shared" si="211"/>
        <v/>
      </c>
      <c r="T140" s="44" t="str">
        <f t="shared" si="211"/>
        <v/>
      </c>
      <c r="U140" s="44" t="str">
        <f t="shared" si="211"/>
        <v/>
      </c>
      <c r="V140" s="44">
        <f t="shared" si="211"/>
        <v>0.2919487576981884</v>
      </c>
      <c r="W140" s="44">
        <f t="shared" si="211"/>
        <v>0.2953046656961642</v>
      </c>
      <c r="X140" s="44" t="str">
        <f t="shared" si="211"/>
        <v/>
      </c>
      <c r="Y140" s="44" t="str">
        <f t="shared" si="211"/>
        <v/>
      </c>
      <c r="Z140" s="44">
        <f t="shared" si="211"/>
        <v>0.29417386994428801</v>
      </c>
      <c r="AA140" s="44" t="str">
        <f t="shared" si="211"/>
        <v/>
      </c>
      <c r="AB140" s="44" t="str">
        <f t="shared" si="211"/>
        <v/>
      </c>
      <c r="AC140" s="44">
        <f t="shared" si="211"/>
        <v>0.30153306546513203</v>
      </c>
      <c r="AD140" s="44">
        <f t="shared" si="211"/>
        <v>0.29035777477336006</v>
      </c>
      <c r="AE140" s="44">
        <f t="shared" si="211"/>
        <v>0.29308698284088358</v>
      </c>
      <c r="AF140" s="44">
        <f t="shared" si="211"/>
        <v>0.30668503827570504</v>
      </c>
      <c r="AG140" s="44">
        <f t="shared" si="211"/>
        <v>0.29533301422875691</v>
      </c>
      <c r="AH140" s="44">
        <f>AVERAGE(B140:AG140)</f>
        <v>0.29475037478373839</v>
      </c>
      <c r="AI140" s="44">
        <f>STDEV(B140:AH140)</f>
        <v>4.2170472304673612E-3</v>
      </c>
      <c r="AJ140" s="47">
        <f t="shared" si="208"/>
        <v>1.4307181911342625E-2</v>
      </c>
      <c r="AK140" s="2">
        <f t="shared" si="155"/>
        <v>-1.7843374638824228</v>
      </c>
      <c r="AL140" s="2">
        <f t="shared" si="156"/>
        <v>2.8300995553810688</v>
      </c>
      <c r="AM140" s="2">
        <f t="shared" si="139"/>
        <v>1.0457620914986461</v>
      </c>
    </row>
    <row r="141" spans="1:39">
      <c r="A141" s="40" t="str">
        <f t="shared" si="148"/>
        <v>y</v>
      </c>
      <c r="B141" s="44" t="str">
        <f t="shared" ref="B141:AG141" si="212">IF(B136&lt;&gt;"",B137/SUM(B136:B138),"")</f>
        <v/>
      </c>
      <c r="C141" s="44">
        <f t="shared" si="212"/>
        <v>0.25674915709313334</v>
      </c>
      <c r="D141" s="44">
        <f t="shared" si="212"/>
        <v>0.23542354283216968</v>
      </c>
      <c r="E141" s="44">
        <f t="shared" si="212"/>
        <v>0.25601731262608135</v>
      </c>
      <c r="F141" s="44">
        <f t="shared" si="212"/>
        <v>0.22956526356764506</v>
      </c>
      <c r="G141" s="44">
        <f t="shared" si="212"/>
        <v>0.24489986009872117</v>
      </c>
      <c r="H141" s="44">
        <f t="shared" si="212"/>
        <v>0.24141271226259797</v>
      </c>
      <c r="I141" s="44">
        <f t="shared" si="212"/>
        <v>0.24415563093257875</v>
      </c>
      <c r="J141" s="44">
        <f t="shared" si="212"/>
        <v>0.2312523219897564</v>
      </c>
      <c r="K141" s="44" t="str">
        <f t="shared" si="212"/>
        <v/>
      </c>
      <c r="L141" s="44">
        <f t="shared" si="212"/>
        <v>0.22903148858315564</v>
      </c>
      <c r="M141" s="44">
        <f t="shared" si="212"/>
        <v>0.23733679786882547</v>
      </c>
      <c r="N141" s="44">
        <f t="shared" si="212"/>
        <v>0.2232132361905011</v>
      </c>
      <c r="O141" s="44">
        <f t="shared" si="212"/>
        <v>0.21552994661138855</v>
      </c>
      <c r="P141" s="44">
        <f t="shared" si="212"/>
        <v>0.23635653913610796</v>
      </c>
      <c r="Q141" s="44">
        <f t="shared" si="212"/>
        <v>0.21592066484459088</v>
      </c>
      <c r="R141" s="44">
        <f t="shared" si="212"/>
        <v>0.23171819154815967</v>
      </c>
      <c r="S141" s="44" t="str">
        <f t="shared" si="212"/>
        <v/>
      </c>
      <c r="T141" s="44" t="str">
        <f t="shared" si="212"/>
        <v/>
      </c>
      <c r="U141" s="44" t="str">
        <f t="shared" si="212"/>
        <v/>
      </c>
      <c r="V141" s="44">
        <f t="shared" si="212"/>
        <v>0.22401269529601986</v>
      </c>
      <c r="W141" s="44">
        <f t="shared" si="212"/>
        <v>0.22160668780291815</v>
      </c>
      <c r="X141" s="44" t="str">
        <f t="shared" si="212"/>
        <v/>
      </c>
      <c r="Y141" s="44" t="str">
        <f t="shared" si="212"/>
        <v/>
      </c>
      <c r="Z141" s="44">
        <f t="shared" si="212"/>
        <v>0.23925930778351545</v>
      </c>
      <c r="AA141" s="44" t="str">
        <f t="shared" si="212"/>
        <v/>
      </c>
      <c r="AB141" s="44" t="str">
        <f t="shared" si="212"/>
        <v/>
      </c>
      <c r="AC141" s="44">
        <f t="shared" si="212"/>
        <v>0.24725214885611321</v>
      </c>
      <c r="AD141" s="44">
        <f t="shared" si="212"/>
        <v>0.2166564668223297</v>
      </c>
      <c r="AE141" s="44">
        <f t="shared" si="212"/>
        <v>0.22735777228685466</v>
      </c>
      <c r="AF141" s="44">
        <f t="shared" si="212"/>
        <v>0.2526757311238671</v>
      </c>
      <c r="AG141" s="44">
        <f t="shared" si="212"/>
        <v>0.23860716394139764</v>
      </c>
      <c r="AH141" s="44">
        <f>AVERAGE(B141:AG141)</f>
        <v>0.23460915826514908</v>
      </c>
      <c r="AI141" s="44">
        <f>STDEV(B141:AH141)</f>
        <v>1.1982546886899016E-2</v>
      </c>
      <c r="AJ141" s="47">
        <f t="shared" si="208"/>
        <v>5.1074506108396069E-2</v>
      </c>
      <c r="AK141" s="2">
        <f t="shared" si="155"/>
        <v>-1.5922501145912955</v>
      </c>
      <c r="AL141" s="2">
        <f t="shared" si="156"/>
        <v>1.8476872268441344</v>
      </c>
      <c r="AM141" s="2">
        <f t="shared" si="139"/>
        <v>0.25543711225283894</v>
      </c>
    </row>
    <row r="142" spans="1:39">
      <c r="A142" s="40" t="str">
        <f>A136</f>
        <v>X</v>
      </c>
      <c r="B142" s="43" t="str">
        <f t="shared" ref="B142:AG142" si="213">IF(B$93,$B$89*B50+$C$89*B51+$D$89*B52,"")</f>
        <v/>
      </c>
      <c r="C142" s="43">
        <f t="shared" si="213"/>
        <v>247.62335700096341</v>
      </c>
      <c r="D142" s="43">
        <f t="shared" si="213"/>
        <v>231.81586551739508</v>
      </c>
      <c r="E142" s="43">
        <f t="shared" si="213"/>
        <v>249.05718336980922</v>
      </c>
      <c r="F142" s="43">
        <f t="shared" si="213"/>
        <v>238.98396458349441</v>
      </c>
      <c r="G142" s="43">
        <f t="shared" si="213"/>
        <v>225.66797590479183</v>
      </c>
      <c r="H142" s="43">
        <f t="shared" si="213"/>
        <v>230.45285124751453</v>
      </c>
      <c r="I142" s="43">
        <f t="shared" si="213"/>
        <v>241.87443294292993</v>
      </c>
      <c r="J142" s="43">
        <f t="shared" si="213"/>
        <v>230.49799877833567</v>
      </c>
      <c r="K142" s="43" t="str">
        <f t="shared" si="213"/>
        <v/>
      </c>
      <c r="L142" s="43">
        <f t="shared" si="213"/>
        <v>237.07618311169963</v>
      </c>
      <c r="M142" s="43">
        <f t="shared" si="213"/>
        <v>242.94872669844349</v>
      </c>
      <c r="N142" s="43">
        <f t="shared" si="213"/>
        <v>245.00213303849108</v>
      </c>
      <c r="O142" s="43">
        <f t="shared" si="213"/>
        <v>259.17552613124474</v>
      </c>
      <c r="P142" s="43">
        <f t="shared" si="213"/>
        <v>250.02612172791584</v>
      </c>
      <c r="Q142" s="43">
        <f t="shared" si="213"/>
        <v>253.15888571542081</v>
      </c>
      <c r="R142" s="43">
        <f t="shared" si="213"/>
        <v>243.06191274818866</v>
      </c>
      <c r="S142" s="43" t="str">
        <f t="shared" si="213"/>
        <v/>
      </c>
      <c r="T142" s="43" t="str">
        <f t="shared" si="213"/>
        <v/>
      </c>
      <c r="U142" s="43" t="str">
        <f t="shared" si="213"/>
        <v/>
      </c>
      <c r="V142" s="43">
        <f t="shared" si="213"/>
        <v>253.15637261349957</v>
      </c>
      <c r="W142" s="43">
        <f t="shared" si="213"/>
        <v>252.65896224925697</v>
      </c>
      <c r="X142" s="43" t="str">
        <f t="shared" si="213"/>
        <v/>
      </c>
      <c r="Y142" s="43" t="str">
        <f t="shared" si="213"/>
        <v/>
      </c>
      <c r="Z142" s="43">
        <f t="shared" si="213"/>
        <v>243.96717893197155</v>
      </c>
      <c r="AA142" s="43" t="str">
        <f t="shared" si="213"/>
        <v/>
      </c>
      <c r="AB142" s="43" t="str">
        <f t="shared" si="213"/>
        <v/>
      </c>
      <c r="AC142" s="43">
        <f t="shared" si="213"/>
        <v>214.69420575756322</v>
      </c>
      <c r="AD142" s="43">
        <f t="shared" si="213"/>
        <v>247.70613368953386</v>
      </c>
      <c r="AE142" s="43">
        <f t="shared" si="213"/>
        <v>226.9159076958455</v>
      </c>
      <c r="AF142" s="43">
        <f t="shared" si="213"/>
        <v>229.22447824322052</v>
      </c>
      <c r="AG142" s="43">
        <f t="shared" si="213"/>
        <v>239.65931198996446</v>
      </c>
      <c r="AH142" s="43">
        <f>AVERAGE(B142:AG142)</f>
        <v>240.62633346467365</v>
      </c>
      <c r="AI142" s="43">
        <f>STDEV(B142:AG142)</f>
        <v>10.910341004031846</v>
      </c>
      <c r="AJ142" s="47">
        <f>AI142/AH142</f>
        <v>4.5341425632592254E-2</v>
      </c>
      <c r="AK142" s="2">
        <f t="shared" si="155"/>
        <v>-2.3768393396253495</v>
      </c>
      <c r="AL142" s="2">
        <f t="shared" si="156"/>
        <v>1.7001478376996975</v>
      </c>
      <c r="AM142" s="2">
        <f t="shared" si="139"/>
        <v>-0.67669150192565208</v>
      </c>
    </row>
    <row r="143" spans="1:39">
      <c r="A143" s="40" t="str">
        <f t="shared" si="148"/>
        <v>Y</v>
      </c>
      <c r="B143" s="43" t="str">
        <f t="shared" ref="B143:AG143" si="214">IF(B$93,$B$90*B50+$C$90*B51+$D$90*B52,"")</f>
        <v/>
      </c>
      <c r="C143" s="43">
        <f t="shared" si="214"/>
        <v>165.64385443480518</v>
      </c>
      <c r="D143" s="43">
        <f t="shared" si="214"/>
        <v>145.32457847903646</v>
      </c>
      <c r="E143" s="43">
        <f t="shared" si="214"/>
        <v>160.41744399792091</v>
      </c>
      <c r="F143" s="43">
        <f t="shared" si="214"/>
        <v>156.96870096912605</v>
      </c>
      <c r="G143" s="43">
        <f t="shared" si="214"/>
        <v>142.6518984515298</v>
      </c>
      <c r="H143" s="43">
        <f t="shared" si="214"/>
        <v>152.47874492623586</v>
      </c>
      <c r="I143" s="43">
        <f t="shared" si="214"/>
        <v>155.30152264024434</v>
      </c>
      <c r="J143" s="43">
        <f t="shared" si="214"/>
        <v>148.57352695089151</v>
      </c>
      <c r="K143" s="43" t="str">
        <f t="shared" si="214"/>
        <v/>
      </c>
      <c r="L143" s="43">
        <f t="shared" si="214"/>
        <v>146.69203799968719</v>
      </c>
      <c r="M143" s="43">
        <f t="shared" si="214"/>
        <v>145.21072859005801</v>
      </c>
      <c r="N143" s="43">
        <f t="shared" si="214"/>
        <v>139.39398227190532</v>
      </c>
      <c r="O143" s="43">
        <f t="shared" si="214"/>
        <v>157.52638263837264</v>
      </c>
      <c r="P143" s="43">
        <f t="shared" si="214"/>
        <v>150.9034721041092</v>
      </c>
      <c r="Q143" s="43">
        <f t="shared" si="214"/>
        <v>149.4518825382728</v>
      </c>
      <c r="R143" s="43">
        <f t="shared" si="214"/>
        <v>141.7005247753583</v>
      </c>
      <c r="S143" s="43" t="str">
        <f t="shared" si="214"/>
        <v/>
      </c>
      <c r="T143" s="43" t="str">
        <f t="shared" si="214"/>
        <v/>
      </c>
      <c r="U143" s="43" t="str">
        <f t="shared" si="214"/>
        <v/>
      </c>
      <c r="V143" s="43">
        <f t="shared" si="214"/>
        <v>151.44217325921383</v>
      </c>
      <c r="W143" s="43">
        <f t="shared" si="214"/>
        <v>148.21369490703754</v>
      </c>
      <c r="X143" s="43" t="str">
        <f t="shared" si="214"/>
        <v/>
      </c>
      <c r="Y143" s="43" t="str">
        <f t="shared" si="214"/>
        <v/>
      </c>
      <c r="Z143" s="43">
        <f t="shared" si="214"/>
        <v>148.81155301466097</v>
      </c>
      <c r="AA143" s="43" t="str">
        <f t="shared" si="214"/>
        <v/>
      </c>
      <c r="AB143" s="43" t="str">
        <f t="shared" si="214"/>
        <v/>
      </c>
      <c r="AC143" s="43">
        <f t="shared" si="214"/>
        <v>138.60776220752106</v>
      </c>
      <c r="AD143" s="43">
        <f t="shared" si="214"/>
        <v>142.93344588975708</v>
      </c>
      <c r="AE143" s="43">
        <f t="shared" si="214"/>
        <v>139.84739889582531</v>
      </c>
      <c r="AF143" s="43">
        <f t="shared" si="214"/>
        <v>145.91717798609494</v>
      </c>
      <c r="AG143" s="43">
        <f t="shared" si="214"/>
        <v>151.98186024486276</v>
      </c>
      <c r="AH143" s="43">
        <f t="shared" ref="AH143:AH145" si="215">AVERAGE(B143:AG143)</f>
        <v>148.95627600750115</v>
      </c>
      <c r="AI143" s="43">
        <f t="shared" ref="AI143:AI145" si="216">STDEV(B143:AG143)</f>
        <v>6.9804494852335992</v>
      </c>
      <c r="AJ143" s="47">
        <f t="shared" ref="AJ143:AJ147" si="217">AI143/AH143</f>
        <v>4.6862406018273961E-2</v>
      </c>
      <c r="AK143" s="2">
        <f t="shared" si="155"/>
        <v>-1.4824996329922975</v>
      </c>
      <c r="AL143" s="2">
        <f t="shared" si="156"/>
        <v>2.3906166017825692</v>
      </c>
      <c r="AM143" s="2">
        <f t="shared" si="139"/>
        <v>0.90811696879027171</v>
      </c>
    </row>
    <row r="144" spans="1:39">
      <c r="A144" s="40" t="str">
        <f t="shared" si="148"/>
        <v>Z</v>
      </c>
      <c r="B144" s="43" t="str">
        <f t="shared" ref="B144:AG144" si="218">IF(B$93,$B$91*B50+$C$91*B51+$D$91*B52,"")</f>
        <v/>
      </c>
      <c r="C144" s="43">
        <f t="shared" si="218"/>
        <v>251.62050141835249</v>
      </c>
      <c r="D144" s="43">
        <f t="shared" si="218"/>
        <v>239.69579604573198</v>
      </c>
      <c r="E144" s="43">
        <f t="shared" si="218"/>
        <v>238.19147992271985</v>
      </c>
      <c r="F144" s="43">
        <f t="shared" si="218"/>
        <v>271.04765213725585</v>
      </c>
      <c r="G144" s="43">
        <f t="shared" si="218"/>
        <v>229.31424835570857</v>
      </c>
      <c r="H144" s="43">
        <f t="shared" si="218"/>
        <v>242.99899633884797</v>
      </c>
      <c r="I144" s="43">
        <f t="shared" si="218"/>
        <v>255.32237006280189</v>
      </c>
      <c r="J144" s="43">
        <f t="shared" si="218"/>
        <v>256.3785637712304</v>
      </c>
      <c r="K144" s="43" t="str">
        <f t="shared" si="218"/>
        <v/>
      </c>
      <c r="L144" s="43">
        <f t="shared" si="218"/>
        <v>252.24972350354</v>
      </c>
      <c r="M144" s="43">
        <f t="shared" si="218"/>
        <v>231.20445102751449</v>
      </c>
      <c r="N144" s="43">
        <f t="shared" si="218"/>
        <v>265.4512886257246</v>
      </c>
      <c r="O144" s="43">
        <f t="shared" si="218"/>
        <v>306.70783643324944</v>
      </c>
      <c r="P144" s="43">
        <f t="shared" si="218"/>
        <v>263.48152912108469</v>
      </c>
      <c r="Q144" s="43">
        <f t="shared" si="218"/>
        <v>285.85371120471177</v>
      </c>
      <c r="R144" s="43">
        <f t="shared" si="218"/>
        <v>239.01768572298761</v>
      </c>
      <c r="S144" s="43" t="str">
        <f t="shared" si="218"/>
        <v/>
      </c>
      <c r="T144" s="43" t="str">
        <f t="shared" si="218"/>
        <v/>
      </c>
      <c r="U144" s="43" t="str">
        <f t="shared" si="218"/>
        <v/>
      </c>
      <c r="V144" s="43">
        <f t="shared" si="218"/>
        <v>281.78223285065815</v>
      </c>
      <c r="W144" s="43">
        <f t="shared" si="218"/>
        <v>285.27021821915434</v>
      </c>
      <c r="X144" s="43" t="str">
        <f t="shared" si="218"/>
        <v/>
      </c>
      <c r="Y144" s="43" t="str">
        <f t="shared" si="218"/>
        <v/>
      </c>
      <c r="Z144" s="43">
        <f t="shared" si="218"/>
        <v>232.87883424771121</v>
      </c>
      <c r="AA144" s="43" t="str">
        <f t="shared" si="218"/>
        <v/>
      </c>
      <c r="AB144" s="43" t="str">
        <f t="shared" si="218"/>
        <v/>
      </c>
      <c r="AC144" s="43">
        <f t="shared" si="218"/>
        <v>229.97179694757892</v>
      </c>
      <c r="AD144" s="43">
        <f t="shared" si="218"/>
        <v>285.85359456739081</v>
      </c>
      <c r="AE144" s="43">
        <f t="shared" si="218"/>
        <v>271.03139882211747</v>
      </c>
      <c r="AF144" s="43">
        <f t="shared" si="218"/>
        <v>228.08612421961766</v>
      </c>
      <c r="AG144" s="43">
        <f t="shared" si="218"/>
        <v>252.97084514341387</v>
      </c>
      <c r="AH144" s="43">
        <f t="shared" si="215"/>
        <v>256.36438603083064</v>
      </c>
      <c r="AI144" s="43">
        <f t="shared" si="216"/>
        <v>22.229651798611783</v>
      </c>
      <c r="AJ144" s="47">
        <f t="shared" si="217"/>
        <v>8.6711154161399087E-2</v>
      </c>
      <c r="AK144" s="2">
        <f t="shared" si="155"/>
        <v>-1.2720964802956982</v>
      </c>
      <c r="AL144" s="2">
        <f t="shared" si="156"/>
        <v>2.2646981094666847</v>
      </c>
      <c r="AM144" s="2">
        <f t="shared" si="139"/>
        <v>0.99260162917098649</v>
      </c>
    </row>
    <row r="145" spans="1:39">
      <c r="A145" s="40" t="str">
        <f t="shared" si="148"/>
        <v>Ev</v>
      </c>
      <c r="B145" s="43" t="str">
        <f t="shared" ref="B145:AG145" si="219">B143</f>
        <v/>
      </c>
      <c r="C145" s="43">
        <f t="shared" si="219"/>
        <v>165.64385443480518</v>
      </c>
      <c r="D145" s="43">
        <f t="shared" si="219"/>
        <v>145.32457847903646</v>
      </c>
      <c r="E145" s="43">
        <f t="shared" si="219"/>
        <v>160.41744399792091</v>
      </c>
      <c r="F145" s="43">
        <f t="shared" si="219"/>
        <v>156.96870096912605</v>
      </c>
      <c r="G145" s="43">
        <f t="shared" si="219"/>
        <v>142.6518984515298</v>
      </c>
      <c r="H145" s="43">
        <f t="shared" si="219"/>
        <v>152.47874492623586</v>
      </c>
      <c r="I145" s="43">
        <f t="shared" si="219"/>
        <v>155.30152264024434</v>
      </c>
      <c r="J145" s="43">
        <f t="shared" si="219"/>
        <v>148.57352695089151</v>
      </c>
      <c r="K145" s="43" t="str">
        <f t="shared" si="219"/>
        <v/>
      </c>
      <c r="L145" s="43">
        <f t="shared" si="219"/>
        <v>146.69203799968719</v>
      </c>
      <c r="M145" s="43">
        <f t="shared" si="219"/>
        <v>145.21072859005801</v>
      </c>
      <c r="N145" s="43">
        <f t="shared" si="219"/>
        <v>139.39398227190532</v>
      </c>
      <c r="O145" s="43">
        <f t="shared" si="219"/>
        <v>157.52638263837264</v>
      </c>
      <c r="P145" s="43">
        <f t="shared" si="219"/>
        <v>150.9034721041092</v>
      </c>
      <c r="Q145" s="43">
        <f t="shared" si="219"/>
        <v>149.4518825382728</v>
      </c>
      <c r="R145" s="43">
        <f t="shared" si="219"/>
        <v>141.7005247753583</v>
      </c>
      <c r="S145" s="43" t="str">
        <f t="shared" si="219"/>
        <v/>
      </c>
      <c r="T145" s="43" t="str">
        <f t="shared" si="219"/>
        <v/>
      </c>
      <c r="U145" s="43" t="str">
        <f t="shared" si="219"/>
        <v/>
      </c>
      <c r="V145" s="43">
        <f t="shared" si="219"/>
        <v>151.44217325921383</v>
      </c>
      <c r="W145" s="43">
        <f t="shared" si="219"/>
        <v>148.21369490703754</v>
      </c>
      <c r="X145" s="43" t="str">
        <f t="shared" si="219"/>
        <v/>
      </c>
      <c r="Y145" s="43" t="str">
        <f t="shared" si="219"/>
        <v/>
      </c>
      <c r="Z145" s="43">
        <f t="shared" si="219"/>
        <v>148.81155301466097</v>
      </c>
      <c r="AA145" s="43" t="str">
        <f t="shared" si="219"/>
        <v/>
      </c>
      <c r="AB145" s="43" t="str">
        <f t="shared" si="219"/>
        <v/>
      </c>
      <c r="AC145" s="43">
        <f t="shared" si="219"/>
        <v>138.60776220752106</v>
      </c>
      <c r="AD145" s="43">
        <f t="shared" si="219"/>
        <v>142.93344588975708</v>
      </c>
      <c r="AE145" s="43">
        <f t="shared" si="219"/>
        <v>139.84739889582531</v>
      </c>
      <c r="AF145" s="43">
        <f t="shared" si="219"/>
        <v>145.91717798609494</v>
      </c>
      <c r="AG145" s="43">
        <f t="shared" si="219"/>
        <v>151.98186024486276</v>
      </c>
      <c r="AH145" s="43">
        <f t="shared" si="215"/>
        <v>148.95627600750115</v>
      </c>
      <c r="AI145" s="43">
        <f t="shared" si="216"/>
        <v>6.9804494852335992</v>
      </c>
      <c r="AJ145" s="47">
        <f t="shared" si="217"/>
        <v>4.6862406018273961E-2</v>
      </c>
      <c r="AK145" s="2">
        <f t="shared" si="155"/>
        <v>-1.4824996329922975</v>
      </c>
      <c r="AL145" s="2">
        <f t="shared" si="156"/>
        <v>2.3906166017825692</v>
      </c>
      <c r="AM145" s="2">
        <f t="shared" si="139"/>
        <v>0.90811696879027171</v>
      </c>
    </row>
    <row r="146" spans="1:39">
      <c r="A146" s="40" t="str">
        <f t="shared" si="148"/>
        <v>x</v>
      </c>
      <c r="B146" s="44" t="str">
        <f t="shared" ref="B146:AG146" si="220">IF(B142&lt;&gt;"",B142/SUM(B142:B144),"")</f>
        <v/>
      </c>
      <c r="C146" s="44">
        <f t="shared" si="220"/>
        <v>0.37242883604812976</v>
      </c>
      <c r="D146" s="44">
        <f t="shared" si="220"/>
        <v>0.37581427690038027</v>
      </c>
      <c r="E146" s="44">
        <f t="shared" si="220"/>
        <v>0.3845456487012342</v>
      </c>
      <c r="F146" s="44">
        <f t="shared" si="220"/>
        <v>0.3582966278205143</v>
      </c>
      <c r="G146" s="44">
        <f t="shared" si="220"/>
        <v>0.37760222739746385</v>
      </c>
      <c r="H146" s="44">
        <f t="shared" si="220"/>
        <v>0.36817636652401853</v>
      </c>
      <c r="I146" s="44">
        <f t="shared" si="220"/>
        <v>0.37068973733146854</v>
      </c>
      <c r="J146" s="44">
        <f t="shared" si="220"/>
        <v>0.36273186924804057</v>
      </c>
      <c r="K146" s="44" t="str">
        <f t="shared" si="220"/>
        <v/>
      </c>
      <c r="L146" s="44">
        <f t="shared" si="220"/>
        <v>0.37275077711091303</v>
      </c>
      <c r="M146" s="44">
        <f t="shared" si="220"/>
        <v>0.39225522220612669</v>
      </c>
      <c r="N146" s="44">
        <f t="shared" si="220"/>
        <v>0.37701486772820036</v>
      </c>
      <c r="O146" s="44">
        <f t="shared" si="220"/>
        <v>0.35826933193796523</v>
      </c>
      <c r="P146" s="44">
        <f t="shared" si="220"/>
        <v>0.37631236607933977</v>
      </c>
      <c r="Q146" s="44">
        <f t="shared" si="220"/>
        <v>0.36771524641993647</v>
      </c>
      <c r="R146" s="44">
        <f t="shared" si="220"/>
        <v>0.38965959909582448</v>
      </c>
      <c r="S146" s="44" t="str">
        <f t="shared" si="220"/>
        <v/>
      </c>
      <c r="T146" s="44" t="str">
        <f t="shared" si="220"/>
        <v/>
      </c>
      <c r="U146" s="44" t="str">
        <f t="shared" si="220"/>
        <v/>
      </c>
      <c r="V146" s="44">
        <f t="shared" si="220"/>
        <v>0.36882788746554901</v>
      </c>
      <c r="W146" s="44">
        <f t="shared" si="220"/>
        <v>0.36823083255219274</v>
      </c>
      <c r="X146" s="44" t="str">
        <f t="shared" si="220"/>
        <v/>
      </c>
      <c r="Y146" s="44" t="str">
        <f t="shared" si="220"/>
        <v/>
      </c>
      <c r="Z146" s="44">
        <f t="shared" si="220"/>
        <v>0.38993723102549305</v>
      </c>
      <c r="AA146" s="44" t="str">
        <f t="shared" si="220"/>
        <v/>
      </c>
      <c r="AB146" s="44" t="str">
        <f t="shared" si="220"/>
        <v/>
      </c>
      <c r="AC146" s="44">
        <f t="shared" si="220"/>
        <v>0.36808479769308772</v>
      </c>
      <c r="AD146" s="44">
        <f t="shared" si="220"/>
        <v>0.36616205921365963</v>
      </c>
      <c r="AE146" s="44">
        <f t="shared" si="220"/>
        <v>0.35578204988175161</v>
      </c>
      <c r="AF146" s="44">
        <f t="shared" si="220"/>
        <v>0.37999655465573468</v>
      </c>
      <c r="AG146" s="44">
        <f t="shared" si="220"/>
        <v>0.37178846426832718</v>
      </c>
      <c r="AH146" s="44">
        <f>AVERAGE(B146:AG146)</f>
        <v>0.37274229901327616</v>
      </c>
      <c r="AI146" s="44">
        <f>STDEV(B146:AH146)</f>
        <v>9.7280975185531412E-3</v>
      </c>
      <c r="AJ146" s="47">
        <f t="shared" si="217"/>
        <v>2.6098721675284431E-2</v>
      </c>
      <c r="AK146" s="2">
        <f t="shared" si="155"/>
        <v>-1.7434291853241051</v>
      </c>
      <c r="AL146" s="2">
        <f t="shared" si="156"/>
        <v>2.0058313720268588</v>
      </c>
      <c r="AM146" s="2">
        <f t="shared" si="139"/>
        <v>0.26240218670275373</v>
      </c>
    </row>
    <row r="147" spans="1:39">
      <c r="A147" s="40" t="str">
        <f t="shared" si="148"/>
        <v>y</v>
      </c>
      <c r="B147" s="44" t="str">
        <f t="shared" ref="B147:AG147" si="221">IF(B142&lt;&gt;"",B143/SUM(B142:B144),"")</f>
        <v/>
      </c>
      <c r="C147" s="44">
        <f t="shared" si="221"/>
        <v>0.24913056931636832</v>
      </c>
      <c r="D147" s="44">
        <f t="shared" si="221"/>
        <v>0.2355966933283668</v>
      </c>
      <c r="E147" s="44">
        <f t="shared" si="221"/>
        <v>0.24768540794737109</v>
      </c>
      <c r="F147" s="44">
        <f t="shared" si="221"/>
        <v>0.23533527167240287</v>
      </c>
      <c r="G147" s="44">
        <f t="shared" si="221"/>
        <v>0.23869436672086841</v>
      </c>
      <c r="H147" s="44">
        <f t="shared" si="221"/>
        <v>0.24360327926161693</v>
      </c>
      <c r="I147" s="44">
        <f t="shared" si="221"/>
        <v>0.23801060713296876</v>
      </c>
      <c r="J147" s="44">
        <f t="shared" si="221"/>
        <v>0.23380833429056355</v>
      </c>
      <c r="K147" s="44" t="str">
        <f t="shared" si="221"/>
        <v/>
      </c>
      <c r="L147" s="44">
        <f t="shared" si="221"/>
        <v>0.230641350989713</v>
      </c>
      <c r="M147" s="44">
        <f t="shared" si="221"/>
        <v>0.23445138973914895</v>
      </c>
      <c r="N147" s="44">
        <f t="shared" si="221"/>
        <v>0.21450263773863981</v>
      </c>
      <c r="O147" s="44">
        <f t="shared" si="221"/>
        <v>0.21775540581665415</v>
      </c>
      <c r="P147" s="44">
        <f t="shared" si="221"/>
        <v>0.22712363910072453</v>
      </c>
      <c r="Q147" s="44">
        <f t="shared" si="221"/>
        <v>0.21708001937273827</v>
      </c>
      <c r="R147" s="44">
        <f t="shared" si="221"/>
        <v>0.22716421940132014</v>
      </c>
      <c r="S147" s="44" t="str">
        <f t="shared" si="221"/>
        <v/>
      </c>
      <c r="T147" s="44" t="str">
        <f t="shared" si="221"/>
        <v/>
      </c>
      <c r="U147" s="44" t="str">
        <f t="shared" si="221"/>
        <v/>
      </c>
      <c r="V147" s="44">
        <f t="shared" si="221"/>
        <v>0.22063871535110219</v>
      </c>
      <c r="W147" s="44">
        <f t="shared" si="221"/>
        <v>0.21600995977104162</v>
      </c>
      <c r="X147" s="44" t="str">
        <f t="shared" si="221"/>
        <v/>
      </c>
      <c r="Y147" s="44" t="str">
        <f t="shared" si="221"/>
        <v/>
      </c>
      <c r="Z147" s="44">
        <f t="shared" si="221"/>
        <v>0.23784824328079276</v>
      </c>
      <c r="AA147" s="44" t="str">
        <f t="shared" si="221"/>
        <v/>
      </c>
      <c r="AB147" s="44" t="str">
        <f t="shared" si="221"/>
        <v/>
      </c>
      <c r="AC147" s="44">
        <f t="shared" si="221"/>
        <v>0.23763757354708998</v>
      </c>
      <c r="AD147" s="44">
        <f t="shared" si="221"/>
        <v>0.21128586562614052</v>
      </c>
      <c r="AE147" s="44">
        <f t="shared" si="221"/>
        <v>0.21926710540046762</v>
      </c>
      <c r="AF147" s="44">
        <f t="shared" si="221"/>
        <v>0.24189399546138396</v>
      </c>
      <c r="AG147" s="44">
        <f t="shared" si="221"/>
        <v>0.23577261383211831</v>
      </c>
      <c r="AH147" s="44">
        <f>AVERAGE(B147:AG147)</f>
        <v>0.23091031583041746</v>
      </c>
      <c r="AI147" s="44">
        <f>STDEV(B147:AH147)</f>
        <v>1.0826391419318798E-2</v>
      </c>
      <c r="AJ147" s="47">
        <f t="shared" si="217"/>
        <v>4.688569837334506E-2</v>
      </c>
      <c r="AK147" s="2">
        <f t="shared" si="155"/>
        <v>-1.8126492424113485</v>
      </c>
      <c r="AL147" s="2">
        <f t="shared" si="156"/>
        <v>1.6829479722521692</v>
      </c>
      <c r="AM147" s="2">
        <f t="shared" si="139"/>
        <v>-0.12970127015917932</v>
      </c>
    </row>
    <row r="148" spans="1:39">
      <c r="A148" s="40"/>
      <c r="B148" s="95"/>
      <c r="C148" s="80"/>
      <c r="D148" s="80"/>
      <c r="F148" s="80"/>
      <c r="G148" s="80"/>
      <c r="H148" s="80"/>
      <c r="AJ148" t="s">
        <v>5</v>
      </c>
      <c r="AK148" s="2">
        <f>MIN(AK94:AK147)</f>
        <v>-2.6492802023382991</v>
      </c>
      <c r="AL148" s="2">
        <f t="shared" ref="AL148:AM148" si="222">MIN(AL94:AL147)</f>
        <v>1.5777774020931932</v>
      </c>
      <c r="AM148" s="2">
        <f t="shared" si="222"/>
        <v>-0.70937581041828057</v>
      </c>
    </row>
    <row r="149" spans="1:39">
      <c r="A149" s="40"/>
      <c r="B149" s="95"/>
      <c r="C149" s="95"/>
      <c r="D149" s="95"/>
      <c r="AJ149" t="s">
        <v>71</v>
      </c>
      <c r="AK149" s="2">
        <f>AVERAGE(AK94:AK147)</f>
        <v>-1.7649968988638274</v>
      </c>
      <c r="AL149" s="2">
        <f t="shared" ref="AL149:AM149" si="223">AVERAGE(AL94:AL147)</f>
        <v>2.1630568596369035</v>
      </c>
      <c r="AM149" s="2">
        <f t="shared" si="223"/>
        <v>0.39805996077307737</v>
      </c>
    </row>
    <row r="150" spans="1:39">
      <c r="A150" s="40"/>
      <c r="B150" s="95"/>
      <c r="C150" s="95"/>
      <c r="D150" s="95"/>
      <c r="AI150" s="44"/>
      <c r="AJ150" t="s">
        <v>4</v>
      </c>
      <c r="AK150" s="2">
        <f>MAX(AK94:AK147)</f>
        <v>-1.1313470577750593</v>
      </c>
      <c r="AL150" s="2">
        <f t="shared" ref="AL150:AM150" si="224">MAX(AL94:AL147)</f>
        <v>3.1024767351952605</v>
      </c>
      <c r="AM150" s="2">
        <f t="shared" si="224"/>
        <v>1.5109546963869616</v>
      </c>
    </row>
    <row r="151" spans="1:39">
      <c r="A151" s="80"/>
      <c r="B151" s="95"/>
      <c r="C151" s="95"/>
      <c r="D151" s="95"/>
    </row>
    <row r="152" spans="1:39">
      <c r="A152" s="80"/>
      <c r="B152" s="95"/>
      <c r="C152" s="95"/>
      <c r="D152" s="95"/>
    </row>
    <row r="153" spans="1:39">
      <c r="A153" s="80"/>
      <c r="B153" s="95"/>
      <c r="C153" s="95"/>
      <c r="D153" s="95"/>
    </row>
    <row r="154" spans="1:39">
      <c r="A154" s="80"/>
      <c r="B154" s="95"/>
      <c r="C154" s="95"/>
      <c r="D154" s="95"/>
    </row>
    <row r="155" spans="1:39">
      <c r="A155" s="80"/>
      <c r="B155" s="95"/>
      <c r="C155" s="95"/>
      <c r="D155" s="95"/>
    </row>
    <row r="156" spans="1:39">
      <c r="A156" s="80"/>
      <c r="B156" s="95"/>
      <c r="C156" s="95"/>
      <c r="D156" s="95"/>
    </row>
    <row r="157" spans="1:39">
      <c r="A157" s="80"/>
      <c r="B157" s="95"/>
      <c r="C157" s="95"/>
      <c r="D157" s="95"/>
    </row>
    <row r="158" spans="1:39">
      <c r="A158" s="80"/>
      <c r="B158" s="95"/>
      <c r="C158" s="95"/>
      <c r="D158" s="95"/>
    </row>
    <row r="159" spans="1:39">
      <c r="A159" s="80"/>
      <c r="B159" s="95"/>
      <c r="C159" s="95"/>
      <c r="D159" s="95"/>
    </row>
    <row r="160" spans="1:39">
      <c r="A160" s="80"/>
      <c r="B160" s="95"/>
      <c r="C160" s="95"/>
      <c r="D160" s="95"/>
    </row>
    <row r="161" spans="1:4">
      <c r="A161" s="80"/>
      <c r="B161" s="95"/>
      <c r="C161" s="95"/>
      <c r="D161" s="95"/>
    </row>
    <row r="162" spans="1:4">
      <c r="A162" s="80"/>
      <c r="B162" s="95"/>
      <c r="C162" s="95"/>
      <c r="D162" s="95"/>
    </row>
    <row r="163" spans="1:4">
      <c r="A163" s="80"/>
      <c r="B163" s="95"/>
      <c r="C163" s="95"/>
      <c r="D163" s="95"/>
    </row>
    <row r="164" spans="1:4">
      <c r="A164" s="80"/>
      <c r="B164" s="95"/>
      <c r="C164" s="95"/>
      <c r="D164" s="95"/>
    </row>
    <row r="165" spans="1:4">
      <c r="A165" s="80"/>
      <c r="B165" s="95"/>
      <c r="C165" s="95"/>
      <c r="D165" s="95"/>
    </row>
    <row r="166" spans="1:4">
      <c r="A166" s="80"/>
      <c r="B166" s="95"/>
      <c r="C166" s="95"/>
      <c r="D166" s="95"/>
    </row>
    <row r="167" spans="1:4">
      <c r="A167" s="80"/>
      <c r="B167" s="95"/>
      <c r="C167" s="95"/>
      <c r="D167" s="95"/>
    </row>
    <row r="168" spans="1:4">
      <c r="A168" s="80"/>
      <c r="B168" s="95"/>
      <c r="C168" s="95"/>
      <c r="D168" s="95"/>
    </row>
    <row r="169" spans="1:4">
      <c r="A169" s="80"/>
      <c r="B169" s="95"/>
      <c r="C169" s="95"/>
      <c r="D169" s="95"/>
    </row>
    <row r="170" spans="1:4">
      <c r="A170" s="80"/>
      <c r="B170" s="95"/>
      <c r="C170" s="95"/>
      <c r="D170" s="95"/>
    </row>
    <row r="171" spans="1:4">
      <c r="A171" s="80"/>
      <c r="B171" s="95"/>
      <c r="C171" s="95"/>
      <c r="D171" s="95"/>
    </row>
    <row r="172" spans="1:4">
      <c r="A172" s="80"/>
      <c r="B172" s="95"/>
      <c r="C172" s="95"/>
      <c r="D172" s="95"/>
    </row>
    <row r="173" spans="1:4">
      <c r="A173" s="80"/>
      <c r="B173" s="95"/>
      <c r="C173" s="95"/>
      <c r="D173" s="95"/>
    </row>
    <row r="174" spans="1:4">
      <c r="A174" s="80"/>
      <c r="B174" s="95"/>
      <c r="C174" s="95"/>
      <c r="D174" s="95"/>
    </row>
    <row r="175" spans="1:4">
      <c r="A175" s="80"/>
      <c r="B175" s="95"/>
      <c r="C175" s="95"/>
      <c r="D175" s="95"/>
    </row>
    <row r="176" spans="1:4">
      <c r="A176" s="80"/>
      <c r="B176" s="95"/>
      <c r="C176" s="95"/>
      <c r="D176" s="95"/>
    </row>
    <row r="177" spans="1:4">
      <c r="A177" s="80"/>
      <c r="B177" s="95"/>
      <c r="C177" s="95"/>
      <c r="D177" s="95"/>
    </row>
    <row r="178" spans="1:4">
      <c r="A178" s="80"/>
      <c r="B178" s="95"/>
      <c r="C178" s="95"/>
      <c r="D178" s="95"/>
    </row>
    <row r="179" spans="1:4">
      <c r="A179" s="80"/>
      <c r="B179" s="95"/>
      <c r="C179" s="95"/>
      <c r="D179" s="95"/>
    </row>
  </sheetData>
  <mergeCells count="13">
    <mergeCell ref="A56:AM58"/>
    <mergeCell ref="E89:AM91"/>
    <mergeCell ref="A87:AM88"/>
    <mergeCell ref="A89:A91"/>
    <mergeCell ref="A60:A62"/>
    <mergeCell ref="A63:A65"/>
    <mergeCell ref="A66:A68"/>
    <mergeCell ref="A69:A71"/>
    <mergeCell ref="A72:A74"/>
    <mergeCell ref="A75:A77"/>
    <mergeCell ref="A78:A80"/>
    <mergeCell ref="A81:A83"/>
    <mergeCell ref="A84:A86"/>
  </mergeCells>
  <conditionalFormatting sqref="B50:AG52">
    <cfRule type="top10" dxfId="154" priority="597" percent="1" bottom="1" rank="10"/>
    <cfRule type="top10" dxfId="153" priority="598" percent="1" rank="10"/>
  </conditionalFormatting>
  <conditionalFormatting sqref="B14:AG16">
    <cfRule type="top10" dxfId="152" priority="595" percent="1" bottom="1" rank="10"/>
    <cfRule type="top10" dxfId="151" priority="596" percent="1" rank="10"/>
  </conditionalFormatting>
  <conditionalFormatting sqref="B20:AG22">
    <cfRule type="top10" dxfId="150" priority="593" percent="1" bottom="1" rank="10"/>
    <cfRule type="top10" dxfId="149" priority="594" percent="1" rank="10"/>
  </conditionalFormatting>
  <conditionalFormatting sqref="B26:AG28">
    <cfRule type="top10" dxfId="148" priority="591" percent="1" bottom="1" rank="10"/>
    <cfRule type="top10" dxfId="147" priority="592" percent="1" rank="10"/>
  </conditionalFormatting>
  <conditionalFormatting sqref="B32:AG34">
    <cfRule type="top10" dxfId="146" priority="589" percent="1" bottom="1" rank="10"/>
    <cfRule type="top10" dxfId="145" priority="590" percent="1" rank="10"/>
  </conditionalFormatting>
  <conditionalFormatting sqref="B38:AG40">
    <cfRule type="top10" dxfId="144" priority="587" percent="1" bottom="1" rank="10"/>
    <cfRule type="top10" dxfId="143" priority="588" percent="1" rank="10"/>
  </conditionalFormatting>
  <conditionalFormatting sqref="B44:AG46">
    <cfRule type="top10" dxfId="142" priority="585" percent="1" bottom="1" rank="10"/>
    <cfRule type="top10" dxfId="141" priority="586" percent="1" rank="10"/>
  </conditionalFormatting>
  <conditionalFormatting sqref="B95:AG95">
    <cfRule type="top10" dxfId="140" priority="603" percent="1" bottom="1" rank="10"/>
    <cfRule type="top10" dxfId="139" priority="604" percent="1" rank="10"/>
  </conditionalFormatting>
  <conditionalFormatting sqref="B94:AG94">
    <cfRule type="top10" dxfId="138" priority="549" percent="1" bottom="1" rank="10"/>
    <cfRule type="top10" dxfId="137" priority="550" percent="1" rank="10"/>
  </conditionalFormatting>
  <conditionalFormatting sqref="B96:AG96">
    <cfRule type="top10" dxfId="136" priority="547" percent="1" bottom="1" rank="10"/>
    <cfRule type="top10" dxfId="135" priority="548" percent="1" rank="10"/>
  </conditionalFormatting>
  <conditionalFormatting sqref="B97:AG97">
    <cfRule type="top10" dxfId="134" priority="545" percent="1" bottom="1" rank="10"/>
    <cfRule type="top10" dxfId="133" priority="546" percent="1" rank="10"/>
  </conditionalFormatting>
  <conditionalFormatting sqref="B98:AG98">
    <cfRule type="top10" dxfId="132" priority="583" percent="1" bottom="1" rank="10"/>
    <cfRule type="top10" dxfId="131" priority="584" percent="1" rank="10"/>
  </conditionalFormatting>
  <conditionalFormatting sqref="B99:AG99">
    <cfRule type="top10" dxfId="130" priority="543" percent="1" bottom="1" rank="10"/>
    <cfRule type="top10" dxfId="129" priority="544" percent="1" rank="10"/>
  </conditionalFormatting>
  <conditionalFormatting sqref="B101:AG101">
    <cfRule type="top10" dxfId="128" priority="541" percent="1" bottom="1" rank="10"/>
    <cfRule type="top10" dxfId="127" priority="542" percent="1" rank="10"/>
  </conditionalFormatting>
  <conditionalFormatting sqref="B100:AG100">
    <cfRule type="top10" dxfId="126" priority="539" percent="1" bottom="1" rank="10"/>
    <cfRule type="top10" dxfId="125" priority="540" percent="1" rank="10"/>
  </conditionalFormatting>
  <conditionalFormatting sqref="B102:AG102">
    <cfRule type="top10" dxfId="124" priority="537" percent="1" bottom="1" rank="10"/>
    <cfRule type="top10" dxfId="123" priority="538" percent="1" rank="10"/>
  </conditionalFormatting>
  <conditionalFormatting sqref="B103:AG103">
    <cfRule type="top10" dxfId="122" priority="535" percent="1" bottom="1" rank="10"/>
    <cfRule type="top10" dxfId="121" priority="536" percent="1" rank="10"/>
  </conditionalFormatting>
  <conditionalFormatting sqref="B104:AG104">
    <cfRule type="top10" dxfId="120" priority="533" percent="1" bottom="1" rank="10"/>
    <cfRule type="top10" dxfId="119" priority="534" percent="1" rank="10"/>
  </conditionalFormatting>
  <conditionalFormatting sqref="B105:AG105">
    <cfRule type="top10" dxfId="118" priority="531" percent="1" bottom="1" rank="10"/>
    <cfRule type="top10" dxfId="117" priority="532" percent="1" rank="10"/>
  </conditionalFormatting>
  <conditionalFormatting sqref="B107:AG107">
    <cfRule type="top10" dxfId="116" priority="529" percent="1" bottom="1" rank="10"/>
    <cfRule type="top10" dxfId="115" priority="530" percent="1" rank="10"/>
  </conditionalFormatting>
  <conditionalFormatting sqref="B106:AG106">
    <cfRule type="top10" dxfId="114" priority="527" percent="1" bottom="1" rank="10"/>
    <cfRule type="top10" dxfId="113" priority="528" percent="1" rank="10"/>
  </conditionalFormatting>
  <conditionalFormatting sqref="B108:AG108">
    <cfRule type="top10" dxfId="112" priority="525" percent="1" bottom="1" rank="10"/>
    <cfRule type="top10" dxfId="111" priority="526" percent="1" rank="10"/>
  </conditionalFormatting>
  <conditionalFormatting sqref="B109:AG109">
    <cfRule type="top10" dxfId="110" priority="523" percent="1" bottom="1" rank="10"/>
    <cfRule type="top10" dxfId="109" priority="524" percent="1" rank="10"/>
  </conditionalFormatting>
  <conditionalFormatting sqref="B110:AG110">
    <cfRule type="top10" dxfId="108" priority="521" percent="1" bottom="1" rank="10"/>
    <cfRule type="top10" dxfId="107" priority="522" percent="1" rank="10"/>
  </conditionalFormatting>
  <conditionalFormatting sqref="B111:AG111">
    <cfRule type="top10" dxfId="106" priority="519" percent="1" bottom="1" rank="10"/>
    <cfRule type="top10" dxfId="105" priority="520" percent="1" rank="10"/>
  </conditionalFormatting>
  <conditionalFormatting sqref="B113:AG113">
    <cfRule type="top10" dxfId="104" priority="517" percent="1" bottom="1" rank="10"/>
    <cfRule type="top10" dxfId="103" priority="518" percent="1" rank="10"/>
  </conditionalFormatting>
  <conditionalFormatting sqref="B112:AG112">
    <cfRule type="top10" dxfId="102" priority="515" percent="1" bottom="1" rank="10"/>
    <cfRule type="top10" dxfId="101" priority="516" percent="1" rank="10"/>
  </conditionalFormatting>
  <conditionalFormatting sqref="B114:AG114">
    <cfRule type="top10" dxfId="100" priority="513" percent="1" bottom="1" rank="10"/>
    <cfRule type="top10" dxfId="99" priority="514" percent="1" rank="10"/>
  </conditionalFormatting>
  <conditionalFormatting sqref="B115:AG115">
    <cfRule type="top10" dxfId="98" priority="511" percent="1" bottom="1" rank="10"/>
    <cfRule type="top10" dxfId="97" priority="512" percent="1" rank="10"/>
  </conditionalFormatting>
  <conditionalFormatting sqref="B116:AG116">
    <cfRule type="top10" dxfId="96" priority="509" percent="1" bottom="1" rank="10"/>
    <cfRule type="top10" dxfId="95" priority="510" percent="1" rank="10"/>
  </conditionalFormatting>
  <conditionalFormatting sqref="B117:AG117">
    <cfRule type="top10" dxfId="94" priority="507" percent="1" bottom="1" rank="10"/>
    <cfRule type="top10" dxfId="93" priority="508" percent="1" rank="10"/>
  </conditionalFormatting>
  <conditionalFormatting sqref="B119:AG119">
    <cfRule type="top10" dxfId="92" priority="505" percent="1" bottom="1" rank="10"/>
    <cfRule type="top10" dxfId="91" priority="506" percent="1" rank="10"/>
  </conditionalFormatting>
  <conditionalFormatting sqref="B118:AG118">
    <cfRule type="top10" dxfId="90" priority="503" percent="1" bottom="1" rank="10"/>
    <cfRule type="top10" dxfId="89" priority="504" percent="1" rank="10"/>
  </conditionalFormatting>
  <conditionalFormatting sqref="B120:AG120">
    <cfRule type="top10" dxfId="88" priority="501" percent="1" bottom="1" rank="10"/>
    <cfRule type="top10" dxfId="87" priority="502" percent="1" rank="10"/>
  </conditionalFormatting>
  <conditionalFormatting sqref="B121:AG121">
    <cfRule type="top10" dxfId="86" priority="499" percent="1" bottom="1" rank="10"/>
    <cfRule type="top10" dxfId="85" priority="500" percent="1" rank="10"/>
  </conditionalFormatting>
  <conditionalFormatting sqref="B122:AG122">
    <cfRule type="top10" dxfId="84" priority="497" percent="1" bottom="1" rank="10"/>
    <cfRule type="top10" dxfId="83" priority="498" percent="1" rank="10"/>
  </conditionalFormatting>
  <conditionalFormatting sqref="B123:AG123">
    <cfRule type="top10" dxfId="82" priority="495" percent="1" bottom="1" rank="10"/>
    <cfRule type="top10" dxfId="81" priority="496" percent="1" rank="10"/>
  </conditionalFormatting>
  <conditionalFormatting sqref="B125:AG125">
    <cfRule type="top10" dxfId="80" priority="493" percent="1" bottom="1" rank="10"/>
    <cfRule type="top10" dxfId="79" priority="494" percent="1" rank="10"/>
  </conditionalFormatting>
  <conditionalFormatting sqref="B124:AG124">
    <cfRule type="top10" dxfId="78" priority="491" percent="1" bottom="1" rank="10"/>
    <cfRule type="top10" dxfId="77" priority="492" percent="1" rank="10"/>
  </conditionalFormatting>
  <conditionalFormatting sqref="B126:AG126">
    <cfRule type="top10" dxfId="76" priority="489" percent="1" bottom="1" rank="10"/>
    <cfRule type="top10" dxfId="75" priority="490" percent="1" rank="10"/>
  </conditionalFormatting>
  <conditionalFormatting sqref="B127:AG127">
    <cfRule type="top10" dxfId="74" priority="487" percent="1" bottom="1" rank="10"/>
    <cfRule type="top10" dxfId="73" priority="488" percent="1" rank="10"/>
  </conditionalFormatting>
  <conditionalFormatting sqref="B128:AG128">
    <cfRule type="top10" dxfId="72" priority="485" percent="1" bottom="1" rank="10"/>
    <cfRule type="top10" dxfId="71" priority="486" percent="1" rank="10"/>
  </conditionalFormatting>
  <conditionalFormatting sqref="B129:AG129">
    <cfRule type="top10" dxfId="70" priority="483" percent="1" bottom="1" rank="10"/>
    <cfRule type="top10" dxfId="69" priority="484" percent="1" rank="10"/>
  </conditionalFormatting>
  <conditionalFormatting sqref="B131:AG131">
    <cfRule type="top10" dxfId="68" priority="481" percent="1" bottom="1" rank="10"/>
    <cfRule type="top10" dxfId="67" priority="482" percent="1" rank="10"/>
  </conditionalFormatting>
  <conditionalFormatting sqref="B130:AG130">
    <cfRule type="top10" dxfId="66" priority="479" percent="1" bottom="1" rank="10"/>
    <cfRule type="top10" dxfId="65" priority="480" percent="1" rank="10"/>
  </conditionalFormatting>
  <conditionalFormatting sqref="B132:AG132">
    <cfRule type="top10" dxfId="64" priority="477" percent="1" bottom="1" rank="10"/>
    <cfRule type="top10" dxfId="63" priority="478" percent="1" rank="10"/>
  </conditionalFormatting>
  <conditionalFormatting sqref="B133:AG133">
    <cfRule type="top10" dxfId="62" priority="475" percent="1" bottom="1" rank="10"/>
    <cfRule type="top10" dxfId="61" priority="476" percent="1" rank="10"/>
  </conditionalFormatting>
  <conditionalFormatting sqref="B134:AG134">
    <cfRule type="top10" dxfId="60" priority="473" percent="1" bottom="1" rank="10"/>
    <cfRule type="top10" dxfId="59" priority="474" percent="1" rank="10"/>
  </conditionalFormatting>
  <conditionalFormatting sqref="B135:AG135">
    <cfRule type="top10" dxfId="58" priority="471" percent="1" bottom="1" rank="10"/>
    <cfRule type="top10" dxfId="57" priority="472" percent="1" rank="10"/>
  </conditionalFormatting>
  <conditionalFormatting sqref="B137:AG137">
    <cfRule type="top10" dxfId="56" priority="469" percent="1" bottom="1" rank="10"/>
    <cfRule type="top10" dxfId="55" priority="470" percent="1" rank="10"/>
  </conditionalFormatting>
  <conditionalFormatting sqref="B136:AG136">
    <cfRule type="top10" dxfId="54" priority="467" percent="1" bottom="1" rank="10"/>
    <cfRule type="top10" dxfId="53" priority="468" percent="1" rank="10"/>
  </conditionalFormatting>
  <conditionalFormatting sqref="B138:AG138">
    <cfRule type="top10" dxfId="52" priority="465" percent="1" bottom="1" rank="10"/>
    <cfRule type="top10" dxfId="51" priority="466" percent="1" rank="10"/>
  </conditionalFormatting>
  <conditionalFormatting sqref="B139:AG139">
    <cfRule type="top10" dxfId="50" priority="463" percent="1" bottom="1" rank="10"/>
    <cfRule type="top10" dxfId="49" priority="464" percent="1" rank="10"/>
  </conditionalFormatting>
  <conditionalFormatting sqref="B140:AG140">
    <cfRule type="top10" dxfId="48" priority="461" percent="1" bottom="1" rank="10"/>
    <cfRule type="top10" dxfId="47" priority="462" percent="1" rank="10"/>
  </conditionalFormatting>
  <conditionalFormatting sqref="B141:AG141">
    <cfRule type="top10" dxfId="46" priority="459" percent="1" bottom="1" rank="10"/>
    <cfRule type="top10" dxfId="45" priority="460" percent="1" rank="10"/>
  </conditionalFormatting>
  <conditionalFormatting sqref="B143:AG143">
    <cfRule type="top10" dxfId="44" priority="457" percent="1" bottom="1" rank="10"/>
    <cfRule type="top10" dxfId="43" priority="458" percent="1" rank="10"/>
  </conditionalFormatting>
  <conditionalFormatting sqref="B142:AG142">
    <cfRule type="top10" dxfId="42" priority="455" percent="1" bottom="1" rank="10"/>
    <cfRule type="top10" dxfId="41" priority="456" percent="1" rank="10"/>
  </conditionalFormatting>
  <conditionalFormatting sqref="B144:AG144">
    <cfRule type="top10" dxfId="40" priority="453" percent="1" bottom="1" rank="10"/>
    <cfRule type="top10" dxfId="39" priority="454" percent="1" rank="10"/>
  </conditionalFormatting>
  <conditionalFormatting sqref="B145:AG145">
    <cfRule type="top10" dxfId="38" priority="451" percent="1" bottom="1" rank="10"/>
    <cfRule type="top10" dxfId="37" priority="452" percent="1" rank="10"/>
  </conditionalFormatting>
  <conditionalFormatting sqref="B146:AG146">
    <cfRule type="top10" dxfId="36" priority="449" percent="1" bottom="1" rank="10"/>
    <cfRule type="top10" dxfId="35" priority="450" percent="1" rank="10"/>
  </conditionalFormatting>
  <conditionalFormatting sqref="B147:AG147">
    <cfRule type="top10" dxfId="34" priority="447" percent="1" bottom="1" rank="10"/>
    <cfRule type="top10" dxfId="33" priority="448" percent="1" rank="10"/>
  </conditionalFormatting>
  <conditionalFormatting sqref="B2:AG2">
    <cfRule type="top10" dxfId="32" priority="601" percent="1" bottom="1" rank="10"/>
    <cfRule type="top10" dxfId="31" priority="602" percent="1" rank="10"/>
  </conditionalFormatting>
  <conditionalFormatting sqref="B3:AG3">
    <cfRule type="top10" dxfId="30" priority="445" percent="1" bottom="1" rank="10"/>
    <cfRule type="top10" dxfId="29" priority="446" percent="1" rank="10"/>
  </conditionalFormatting>
  <conditionalFormatting sqref="B4:AG4">
    <cfRule type="top10" dxfId="28" priority="443" percent="1" bottom="1" rank="10"/>
    <cfRule type="top10" dxfId="27" priority="444" percent="1" rank="10"/>
  </conditionalFormatting>
  <conditionalFormatting sqref="B8:AG8">
    <cfRule type="top10" dxfId="26" priority="599" percent="1" bottom="1" rank="10"/>
    <cfRule type="top10" dxfId="25" priority="600" percent="1" rank="10"/>
  </conditionalFormatting>
  <conditionalFormatting sqref="B9:AG9">
    <cfRule type="top10" dxfId="24" priority="441" percent="1" bottom="1" rank="10"/>
    <cfRule type="top10" dxfId="23" priority="442" percent="1" rank="10"/>
  </conditionalFormatting>
  <conditionalFormatting sqref="B10:AG10">
    <cfRule type="top10" dxfId="22" priority="439" percent="1" bottom="1" rank="10"/>
    <cfRule type="top10" dxfId="21" priority="440" percent="1" rank="10"/>
  </conditionalFormatting>
  <conditionalFormatting sqref="AK94:AK147">
    <cfRule type="top10" dxfId="20" priority="437" percent="1" bottom="1" rank="10"/>
    <cfRule type="top10" dxfId="19" priority="438" percent="1" rank="10"/>
  </conditionalFormatting>
  <conditionalFormatting sqref="AL94:AL147">
    <cfRule type="top10" dxfId="18" priority="435" percent="1" bottom="1" rank="10"/>
    <cfRule type="top10" dxfId="17" priority="436" percent="1" rank="10"/>
  </conditionalFormatting>
  <conditionalFormatting sqref="AM94:AM147">
    <cfRule type="top10" dxfId="16" priority="433" percent="1" bottom="1" rank="10"/>
    <cfRule type="top10" dxfId="15" priority="434" percent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AG16"/>
  <sheetViews>
    <sheetView tabSelected="1" workbookViewId="0">
      <selection activeCell="G11" sqref="G11"/>
    </sheetView>
  </sheetViews>
  <sheetFormatPr defaultRowHeight="15"/>
  <cols>
    <col min="1" max="1" width="9.140625" customWidth="1"/>
    <col min="2" max="9" width="3" style="48" customWidth="1"/>
    <col min="10" max="33" width="3" customWidth="1"/>
  </cols>
  <sheetData>
    <row r="1" spans="2:33" ht="15.75" thickBot="1"/>
    <row r="2" spans="2:33">
      <c r="B2" s="89">
        <v>0</v>
      </c>
      <c r="C2" s="50">
        <v>0</v>
      </c>
      <c r="D2" s="92">
        <f>B2+8</f>
        <v>8</v>
      </c>
      <c r="E2" s="50">
        <v>1</v>
      </c>
      <c r="F2" s="92">
        <f>D2+8</f>
        <v>16</v>
      </c>
      <c r="G2" s="50">
        <v>1</v>
      </c>
      <c r="H2" s="92">
        <f>F2+8</f>
        <v>24</v>
      </c>
      <c r="I2" s="51">
        <v>1</v>
      </c>
    </row>
    <row r="3" spans="2:33">
      <c r="B3" s="90">
        <f>B2+1</f>
        <v>1</v>
      </c>
      <c r="C3" s="63">
        <v>1</v>
      </c>
      <c r="D3" s="93">
        <f t="shared" ref="D3:D9" si="0">B3+8</f>
        <v>9</v>
      </c>
      <c r="E3" s="63">
        <v>0</v>
      </c>
      <c r="F3" s="93">
        <f t="shared" ref="F3:F9" si="1">D3+8</f>
        <v>17</v>
      </c>
      <c r="G3" s="63">
        <v>0</v>
      </c>
      <c r="H3" s="93">
        <f t="shared" ref="H3:H9" si="2">F3+8</f>
        <v>25</v>
      </c>
      <c r="I3" s="67">
        <v>0</v>
      </c>
    </row>
    <row r="4" spans="2:33">
      <c r="B4" s="90">
        <f t="shared" ref="B4:B9" si="3">B3+1</f>
        <v>2</v>
      </c>
      <c r="C4" s="63">
        <v>1</v>
      </c>
      <c r="D4" s="93">
        <f t="shared" si="0"/>
        <v>10</v>
      </c>
      <c r="E4" s="63">
        <v>1</v>
      </c>
      <c r="F4" s="93">
        <f t="shared" si="1"/>
        <v>18</v>
      </c>
      <c r="G4" s="63">
        <v>0</v>
      </c>
      <c r="H4" s="93">
        <f t="shared" si="2"/>
        <v>26</v>
      </c>
      <c r="I4" s="67">
        <v>0</v>
      </c>
    </row>
    <row r="5" spans="2:33">
      <c r="B5" s="90">
        <f t="shared" si="3"/>
        <v>3</v>
      </c>
      <c r="C5" s="63">
        <v>1</v>
      </c>
      <c r="D5" s="93">
        <f t="shared" si="0"/>
        <v>11</v>
      </c>
      <c r="E5" s="63">
        <v>1</v>
      </c>
      <c r="F5" s="93">
        <f t="shared" si="1"/>
        <v>19</v>
      </c>
      <c r="G5" s="63">
        <v>0</v>
      </c>
      <c r="H5" s="93">
        <f t="shared" si="2"/>
        <v>27</v>
      </c>
      <c r="I5" s="67">
        <v>1</v>
      </c>
    </row>
    <row r="6" spans="2:33">
      <c r="B6" s="90">
        <f t="shared" si="3"/>
        <v>4</v>
      </c>
      <c r="C6" s="63">
        <v>1</v>
      </c>
      <c r="D6" s="93">
        <f t="shared" si="0"/>
        <v>12</v>
      </c>
      <c r="E6" s="63">
        <v>1</v>
      </c>
      <c r="F6" s="93">
        <f t="shared" si="1"/>
        <v>20</v>
      </c>
      <c r="G6" s="63">
        <v>1</v>
      </c>
      <c r="H6" s="93">
        <f t="shared" si="2"/>
        <v>28</v>
      </c>
      <c r="I6" s="67">
        <v>1</v>
      </c>
    </row>
    <row r="7" spans="2:33">
      <c r="B7" s="90">
        <f t="shared" si="3"/>
        <v>5</v>
      </c>
      <c r="C7" s="63">
        <v>1</v>
      </c>
      <c r="D7" s="93">
        <f t="shared" si="0"/>
        <v>13</v>
      </c>
      <c r="E7" s="63">
        <v>1</v>
      </c>
      <c r="F7" s="93">
        <f t="shared" si="1"/>
        <v>21</v>
      </c>
      <c r="G7" s="63">
        <v>1</v>
      </c>
      <c r="H7" s="93">
        <f t="shared" si="2"/>
        <v>29</v>
      </c>
      <c r="I7" s="67">
        <v>1</v>
      </c>
    </row>
    <row r="8" spans="2:33">
      <c r="B8" s="90">
        <f t="shared" si="3"/>
        <v>6</v>
      </c>
      <c r="C8" s="63">
        <v>1</v>
      </c>
      <c r="D8" s="93">
        <f t="shared" si="0"/>
        <v>14</v>
      </c>
      <c r="E8" s="63">
        <v>1</v>
      </c>
      <c r="F8" s="93">
        <f t="shared" si="1"/>
        <v>22</v>
      </c>
      <c r="G8" s="63">
        <v>0</v>
      </c>
      <c r="H8" s="93">
        <f t="shared" si="2"/>
        <v>30</v>
      </c>
      <c r="I8" s="67">
        <v>1</v>
      </c>
    </row>
    <row r="9" spans="2:33" ht="15.75" thickBot="1">
      <c r="B9" s="91">
        <f t="shared" si="3"/>
        <v>7</v>
      </c>
      <c r="C9" s="70">
        <v>1</v>
      </c>
      <c r="D9" s="94">
        <f t="shared" si="0"/>
        <v>15</v>
      </c>
      <c r="E9" s="70">
        <v>1</v>
      </c>
      <c r="F9" s="94">
        <f t="shared" si="1"/>
        <v>23</v>
      </c>
      <c r="G9" s="70">
        <v>1</v>
      </c>
      <c r="H9" s="94">
        <f t="shared" si="2"/>
        <v>31</v>
      </c>
      <c r="I9" s="71">
        <v>1</v>
      </c>
    </row>
    <row r="11" spans="2:33">
      <c r="B11" s="197" t="s">
        <v>78</v>
      </c>
      <c r="C11" s="197"/>
      <c r="D11" s="197"/>
      <c r="E11" s="197"/>
      <c r="F11" s="197"/>
      <c r="G11" s="63">
        <v>1</v>
      </c>
    </row>
    <row r="12" spans="2:33">
      <c r="B12" s="197" t="s">
        <v>79</v>
      </c>
      <c r="C12" s="197"/>
      <c r="D12" s="197"/>
      <c r="E12" s="197"/>
      <c r="F12" s="234">
        <f>COUNT(data0!B60:AG60)/COUNT(data0!B2:AG2)</f>
        <v>0.74193548387096775</v>
      </c>
      <c r="G12" s="234"/>
      <c r="H12" s="234"/>
    </row>
    <row r="14" spans="2:33">
      <c r="B14" s="48">
        <v>1</v>
      </c>
      <c r="C14" s="48">
        <f>B14+1</f>
        <v>2</v>
      </c>
      <c r="D14" s="48">
        <f t="shared" ref="D14:I14" si="4">C14+1</f>
        <v>3</v>
      </c>
      <c r="E14" s="48">
        <f t="shared" si="4"/>
        <v>4</v>
      </c>
      <c r="F14" s="48">
        <f t="shared" si="4"/>
        <v>5</v>
      </c>
      <c r="G14" s="48">
        <f t="shared" si="4"/>
        <v>6</v>
      </c>
      <c r="H14" s="48">
        <f t="shared" si="4"/>
        <v>7</v>
      </c>
      <c r="I14" s="48">
        <f t="shared" si="4"/>
        <v>8</v>
      </c>
      <c r="J14" s="48">
        <f>B14</f>
        <v>1</v>
      </c>
      <c r="K14" s="48">
        <f t="shared" ref="K14:AE14" si="5">C14</f>
        <v>2</v>
      </c>
      <c r="L14" s="48">
        <f t="shared" si="5"/>
        <v>3</v>
      </c>
      <c r="M14" s="48">
        <f t="shared" si="5"/>
        <v>4</v>
      </c>
      <c r="N14" s="48">
        <f t="shared" si="5"/>
        <v>5</v>
      </c>
      <c r="O14" s="48">
        <f t="shared" si="5"/>
        <v>6</v>
      </c>
      <c r="P14" s="48">
        <f t="shared" si="5"/>
        <v>7</v>
      </c>
      <c r="Q14" s="48">
        <f t="shared" si="5"/>
        <v>8</v>
      </c>
      <c r="R14" s="48">
        <f t="shared" si="5"/>
        <v>1</v>
      </c>
      <c r="S14" s="48">
        <f t="shared" si="5"/>
        <v>2</v>
      </c>
      <c r="T14" s="48">
        <f t="shared" si="5"/>
        <v>3</v>
      </c>
      <c r="U14" s="48">
        <f t="shared" si="5"/>
        <v>4</v>
      </c>
      <c r="V14" s="48">
        <f t="shared" si="5"/>
        <v>5</v>
      </c>
      <c r="W14" s="48">
        <f t="shared" si="5"/>
        <v>6</v>
      </c>
      <c r="X14" s="48">
        <f t="shared" si="5"/>
        <v>7</v>
      </c>
      <c r="Y14" s="48">
        <f t="shared" si="5"/>
        <v>8</v>
      </c>
      <c r="Z14" s="48">
        <f t="shared" si="5"/>
        <v>1</v>
      </c>
      <c r="AA14" s="48">
        <f t="shared" si="5"/>
        <v>2</v>
      </c>
      <c r="AB14" s="48">
        <f t="shared" si="5"/>
        <v>3</v>
      </c>
      <c r="AC14" s="48">
        <f t="shared" si="5"/>
        <v>4</v>
      </c>
      <c r="AD14" s="48">
        <f t="shared" si="5"/>
        <v>5</v>
      </c>
      <c r="AE14" s="48">
        <f t="shared" si="5"/>
        <v>6</v>
      </c>
      <c r="AF14" s="48">
        <f t="shared" ref="AF14" si="6">X14</f>
        <v>7</v>
      </c>
      <c r="AG14" s="48">
        <f t="shared" ref="AG14" si="7">Y14</f>
        <v>8</v>
      </c>
    </row>
    <row r="15" spans="2:33">
      <c r="B15" s="48">
        <v>1</v>
      </c>
      <c r="C15" s="48">
        <f>B15</f>
        <v>1</v>
      </c>
      <c r="D15" s="48">
        <f t="shared" ref="D15:I15" si="8">C15</f>
        <v>1</v>
      </c>
      <c r="E15" s="48">
        <f t="shared" si="8"/>
        <v>1</v>
      </c>
      <c r="F15" s="48">
        <f t="shared" si="8"/>
        <v>1</v>
      </c>
      <c r="G15" s="48">
        <f t="shared" si="8"/>
        <v>1</v>
      </c>
      <c r="H15" s="48">
        <f t="shared" si="8"/>
        <v>1</v>
      </c>
      <c r="I15" s="48">
        <f t="shared" si="8"/>
        <v>1</v>
      </c>
      <c r="J15" s="48">
        <f>B15+1</f>
        <v>2</v>
      </c>
      <c r="K15" s="48">
        <f t="shared" ref="K15:AE15" si="9">C15+1</f>
        <v>2</v>
      </c>
      <c r="L15" s="48">
        <f t="shared" si="9"/>
        <v>2</v>
      </c>
      <c r="M15" s="48">
        <f t="shared" si="9"/>
        <v>2</v>
      </c>
      <c r="N15" s="48">
        <f t="shared" si="9"/>
        <v>2</v>
      </c>
      <c r="O15" s="48">
        <f t="shared" si="9"/>
        <v>2</v>
      </c>
      <c r="P15" s="48">
        <f t="shared" si="9"/>
        <v>2</v>
      </c>
      <c r="Q15" s="48">
        <f t="shared" si="9"/>
        <v>2</v>
      </c>
      <c r="R15" s="48">
        <f t="shared" si="9"/>
        <v>3</v>
      </c>
      <c r="S15" s="48">
        <f t="shared" si="9"/>
        <v>3</v>
      </c>
      <c r="T15" s="48">
        <f t="shared" si="9"/>
        <v>3</v>
      </c>
      <c r="U15" s="48">
        <f t="shared" si="9"/>
        <v>3</v>
      </c>
      <c r="V15" s="48">
        <f t="shared" si="9"/>
        <v>3</v>
      </c>
      <c r="W15" s="48">
        <f t="shared" si="9"/>
        <v>3</v>
      </c>
      <c r="X15" s="48">
        <f t="shared" si="9"/>
        <v>3</v>
      </c>
      <c r="Y15" s="48">
        <f t="shared" si="9"/>
        <v>3</v>
      </c>
      <c r="Z15" s="48">
        <f t="shared" si="9"/>
        <v>4</v>
      </c>
      <c r="AA15" s="48">
        <f t="shared" si="9"/>
        <v>4</v>
      </c>
      <c r="AB15" s="48">
        <f t="shared" si="9"/>
        <v>4</v>
      </c>
      <c r="AC15" s="48">
        <f t="shared" si="9"/>
        <v>4</v>
      </c>
      <c r="AD15" s="48">
        <f t="shared" si="9"/>
        <v>4</v>
      </c>
      <c r="AE15" s="48">
        <f t="shared" si="9"/>
        <v>4</v>
      </c>
      <c r="AF15" s="48">
        <f t="shared" ref="AF15" si="10">X15+1</f>
        <v>4</v>
      </c>
      <c r="AG15" s="48">
        <f t="shared" ref="AG15" si="11">Y15+1</f>
        <v>4</v>
      </c>
    </row>
    <row r="16" spans="2:33">
      <c r="B16" s="30">
        <f t="shared" ref="B16:AG16" si="12">ABS(OR(NOT(UseEnableMask),INDEX(Enable,B14,1,B15)))</f>
        <v>0</v>
      </c>
      <c r="C16" s="30">
        <f t="shared" si="12"/>
        <v>1</v>
      </c>
      <c r="D16" s="30">
        <f t="shared" si="12"/>
        <v>1</v>
      </c>
      <c r="E16" s="30">
        <f t="shared" si="12"/>
        <v>1</v>
      </c>
      <c r="F16" s="30">
        <f t="shared" si="12"/>
        <v>1</v>
      </c>
      <c r="G16" s="30">
        <f t="shared" si="12"/>
        <v>1</v>
      </c>
      <c r="H16" s="30">
        <f t="shared" si="12"/>
        <v>1</v>
      </c>
      <c r="I16" s="30">
        <f t="shared" si="12"/>
        <v>1</v>
      </c>
      <c r="J16" s="30">
        <f t="shared" si="12"/>
        <v>1</v>
      </c>
      <c r="K16" s="30">
        <f t="shared" si="12"/>
        <v>0</v>
      </c>
      <c r="L16" s="30">
        <f t="shared" si="12"/>
        <v>1</v>
      </c>
      <c r="M16" s="30">
        <f t="shared" si="12"/>
        <v>1</v>
      </c>
      <c r="N16" s="30">
        <f t="shared" si="12"/>
        <v>1</v>
      </c>
      <c r="O16" s="30">
        <f t="shared" si="12"/>
        <v>1</v>
      </c>
      <c r="P16" s="30">
        <f t="shared" si="12"/>
        <v>1</v>
      </c>
      <c r="Q16" s="30">
        <f t="shared" si="12"/>
        <v>1</v>
      </c>
      <c r="R16" s="30">
        <f t="shared" si="12"/>
        <v>1</v>
      </c>
      <c r="S16" s="30">
        <f t="shared" si="12"/>
        <v>0</v>
      </c>
      <c r="T16" s="30">
        <f t="shared" si="12"/>
        <v>0</v>
      </c>
      <c r="U16" s="30">
        <f t="shared" si="12"/>
        <v>0</v>
      </c>
      <c r="V16" s="30">
        <f t="shared" si="12"/>
        <v>1</v>
      </c>
      <c r="W16" s="30">
        <f t="shared" si="12"/>
        <v>1</v>
      </c>
      <c r="X16" s="30">
        <f t="shared" si="12"/>
        <v>0</v>
      </c>
      <c r="Y16" s="30">
        <f t="shared" si="12"/>
        <v>1</v>
      </c>
      <c r="Z16" s="30">
        <f t="shared" si="12"/>
        <v>1</v>
      </c>
      <c r="AA16" s="30">
        <f t="shared" si="12"/>
        <v>0</v>
      </c>
      <c r="AB16" s="30">
        <f t="shared" si="12"/>
        <v>0</v>
      </c>
      <c r="AC16" s="30">
        <f t="shared" si="12"/>
        <v>1</v>
      </c>
      <c r="AD16" s="30">
        <f t="shared" si="12"/>
        <v>1</v>
      </c>
      <c r="AE16" s="30">
        <f t="shared" si="12"/>
        <v>1</v>
      </c>
      <c r="AF16" s="30">
        <f t="shared" si="12"/>
        <v>1</v>
      </c>
      <c r="AG16" s="30">
        <f t="shared" si="12"/>
        <v>1</v>
      </c>
    </row>
  </sheetData>
  <mergeCells count="3">
    <mergeCell ref="B11:F11"/>
    <mergeCell ref="B12:E12"/>
    <mergeCell ref="F12:H12"/>
  </mergeCells>
  <conditionalFormatting sqref="C2:C9 E2:E9 G2:G9 I2:I9">
    <cfRule type="cellIs" dxfId="14" priority="17" operator="equal">
      <formula>0</formula>
    </cfRule>
    <cfRule type="cellIs" dxfId="13" priority="18" operator="equal">
      <formula>1</formula>
    </cfRule>
  </conditionalFormatting>
  <conditionalFormatting sqref="G11">
    <cfRule type="cellIs" dxfId="12" priority="1" operator="equal">
      <formula>0</formula>
    </cfRule>
    <cfRule type="cellIs" dxfId="11" priority="2" operator="equal">
      <formula>1</formula>
    </cfRule>
  </conditionalFormatting>
  <dataValidations count="1">
    <dataValidation type="list" allowBlank="1" showInputMessage="1" showErrorMessage="1" sqref="G2:G9 I2:I9 E2:E9 C2:C9 G11">
      <formula1>$B$2:$B$3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Summary</vt:lpstr>
      <vt:lpstr>Calculations</vt:lpstr>
      <vt:lpstr>data0</vt:lpstr>
      <vt:lpstr>DUTenable</vt:lpstr>
      <vt:lpstr>comp38</vt:lpstr>
      <vt:lpstr>Enable</vt:lpstr>
      <vt:lpstr>PorB</vt:lpstr>
      <vt:lpstr>UseEnableMask</vt:lpstr>
      <vt:lpstr>xOffset</vt:lpstr>
      <vt:lpstr>yOffset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2013-08-28T22:51:59Z</dcterms:created>
  <dcterms:modified xsi:type="dcterms:W3CDTF">2013-10-08T21:03:10Z</dcterms:modified>
</cp:coreProperties>
</file>